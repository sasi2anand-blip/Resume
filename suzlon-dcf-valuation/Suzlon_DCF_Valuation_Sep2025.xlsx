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cuments\EXTRACTOR_COMPILER\FIN_MODEL\"/>
    </mc:Choice>
  </mc:AlternateContent>
  <xr:revisionPtr revIDLastSave="0" documentId="13_ncr:1_{ECFB5834-B5B7-48DD-B3F8-497BDB64DBBB}" xr6:coauthVersionLast="47" xr6:coauthVersionMax="47" xr10:uidLastSave="{00000000-0000-0000-0000-000000000000}"/>
  <bookViews>
    <workbookView xWindow="-110" yWindow="-110" windowWidth="19420" windowHeight="10420" xr2:uid="{00000000-000D-0000-FFFF-FFFF00000000}"/>
  </bookViews>
  <sheets>
    <sheet name="Cover Page" sheetId="1" r:id="rId1"/>
    <sheet name="Inputs &amp; Assumptions" sheetId="2" r:id="rId2"/>
    <sheet name="HIST_CON" sheetId="3" r:id="rId3"/>
    <sheet name="HIST_STAND" sheetId="4" r:id="rId4"/>
    <sheet name="RATIO_ANALYSIS" sheetId="5" r:id="rId5"/>
    <sheet name="DUPONT_ANALYSIS" sheetId="6" r:id="rId6"/>
    <sheet name="Schedules" sheetId="7" r:id="rId7"/>
    <sheet name="WC_SCHEDULE" sheetId="8" r:id="rId8"/>
    <sheet name="P&amp;L Schedule" sheetId="9" r:id="rId9"/>
    <sheet name="WACC Schedule" sheetId="10" r:id="rId10"/>
    <sheet name="DCF" sheetId="11" r:id="rId11"/>
    <sheet name="Sensitivity Tables" sheetId="12" r:id="rId12"/>
    <sheet name="Growth Rate Methods" sheetId="13" r:id="rId13"/>
    <sheet name="RAW_DATA" sheetId="14" r:id="rId14"/>
    <sheet name="HS_CONSOLIDATED" sheetId="15" r:id="rId15"/>
    <sheet name="HS_STANDALONE" sheetId="16" r:id="rId16"/>
    <sheet name="Damodaran Data"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13" l="1"/>
  <c r="C25" i="13"/>
  <c r="C31" i="11"/>
  <c r="C23" i="11"/>
  <c r="C22" i="10"/>
  <c r="C20" i="10"/>
  <c r="C21" i="10" s="1"/>
  <c r="C13" i="10"/>
  <c r="C8" i="10"/>
  <c r="L18" i="9"/>
  <c r="K18" i="9"/>
  <c r="J18" i="9"/>
  <c r="I18" i="9"/>
  <c r="H18" i="9"/>
  <c r="G18" i="9"/>
  <c r="F18" i="9"/>
  <c r="E18" i="9"/>
  <c r="D18" i="9"/>
  <c r="C18" i="9"/>
  <c r="L17" i="9"/>
  <c r="K17" i="9"/>
  <c r="J17" i="9"/>
  <c r="I17" i="9"/>
  <c r="H17" i="9"/>
  <c r="G17" i="9"/>
  <c r="F17" i="9"/>
  <c r="E17" i="9"/>
  <c r="D17" i="9"/>
  <c r="C17" i="9"/>
  <c r="L16" i="9"/>
  <c r="K16" i="9"/>
  <c r="J16" i="9"/>
  <c r="I16" i="9"/>
  <c r="H16" i="9"/>
  <c r="G16" i="9"/>
  <c r="F16" i="9"/>
  <c r="E16" i="9"/>
  <c r="D16" i="9"/>
  <c r="C16" i="9"/>
  <c r="L13" i="9"/>
  <c r="K13" i="9"/>
  <c r="J13" i="9"/>
  <c r="I13" i="9"/>
  <c r="H13" i="9"/>
  <c r="G13" i="9"/>
  <c r="F13" i="9"/>
  <c r="E13" i="9"/>
  <c r="D13" i="9"/>
  <c r="C13" i="9"/>
  <c r="L10" i="9"/>
  <c r="K10" i="9"/>
  <c r="J10" i="9"/>
  <c r="I10" i="9"/>
  <c r="H10" i="9"/>
  <c r="G10" i="9"/>
  <c r="F10" i="9"/>
  <c r="E10" i="9"/>
  <c r="D10" i="9"/>
  <c r="C10" i="9"/>
  <c r="L9" i="9"/>
  <c r="K9" i="9"/>
  <c r="J9" i="9"/>
  <c r="I9" i="9"/>
  <c r="H9" i="9"/>
  <c r="G9" i="9"/>
  <c r="F9" i="9"/>
  <c r="E9" i="9"/>
  <c r="D9" i="9"/>
  <c r="C9" i="9"/>
  <c r="C80" i="8"/>
  <c r="D68" i="8" s="1"/>
  <c r="K79" i="8"/>
  <c r="J79" i="8"/>
  <c r="I79" i="8"/>
  <c r="H79" i="8"/>
  <c r="G79" i="8"/>
  <c r="F79" i="8"/>
  <c r="E79" i="8"/>
  <c r="D79" i="8"/>
  <c r="C79" i="8"/>
  <c r="K78" i="8"/>
  <c r="J78" i="8"/>
  <c r="I78" i="8"/>
  <c r="H78" i="8"/>
  <c r="G78" i="8"/>
  <c r="F78" i="8"/>
  <c r="E78" i="8"/>
  <c r="D78" i="8"/>
  <c r="C78" i="8"/>
  <c r="K77" i="8"/>
  <c r="J77" i="8"/>
  <c r="I77" i="8"/>
  <c r="H77" i="8"/>
  <c r="G77" i="8"/>
  <c r="F77" i="8"/>
  <c r="E77" i="8"/>
  <c r="D77" i="8"/>
  <c r="C77" i="8"/>
  <c r="K76" i="8"/>
  <c r="J76" i="8"/>
  <c r="I76" i="8"/>
  <c r="H76" i="8"/>
  <c r="G76" i="8"/>
  <c r="F76" i="8"/>
  <c r="E76" i="8"/>
  <c r="D76" i="8"/>
  <c r="C76" i="8"/>
  <c r="K75" i="8"/>
  <c r="J75" i="8"/>
  <c r="I75" i="8"/>
  <c r="H75" i="8"/>
  <c r="G75" i="8"/>
  <c r="F75" i="8"/>
  <c r="E75" i="8"/>
  <c r="D75" i="8"/>
  <c r="C75" i="8"/>
  <c r="K74" i="8"/>
  <c r="J74" i="8"/>
  <c r="I74" i="8"/>
  <c r="H74" i="8"/>
  <c r="G74" i="8"/>
  <c r="F74" i="8"/>
  <c r="E74" i="8"/>
  <c r="D74" i="8"/>
  <c r="C74" i="8"/>
  <c r="K73" i="8"/>
  <c r="J73" i="8"/>
  <c r="I73" i="8"/>
  <c r="H73" i="8"/>
  <c r="G73" i="8"/>
  <c r="F73" i="8"/>
  <c r="E73" i="8"/>
  <c r="D73" i="8"/>
  <c r="C73" i="8"/>
  <c r="K72" i="8"/>
  <c r="J72" i="8"/>
  <c r="I72" i="8"/>
  <c r="H72" i="8"/>
  <c r="G72" i="8"/>
  <c r="F72" i="8"/>
  <c r="E72" i="8"/>
  <c r="D72" i="8"/>
  <c r="C72" i="8"/>
  <c r="K71" i="8"/>
  <c r="J71" i="8"/>
  <c r="I71" i="8"/>
  <c r="H71" i="8"/>
  <c r="G71" i="8"/>
  <c r="F71" i="8"/>
  <c r="E71" i="8"/>
  <c r="D71" i="8"/>
  <c r="C71" i="8"/>
  <c r="K70" i="8"/>
  <c r="J70" i="8"/>
  <c r="I70" i="8"/>
  <c r="H70" i="8"/>
  <c r="G70" i="8"/>
  <c r="F70" i="8"/>
  <c r="E70" i="8"/>
  <c r="D70" i="8"/>
  <c r="C70" i="8"/>
  <c r="K69" i="8"/>
  <c r="J69" i="8"/>
  <c r="I69" i="8"/>
  <c r="H69" i="8"/>
  <c r="G69" i="8"/>
  <c r="F69" i="8"/>
  <c r="E69" i="8"/>
  <c r="D69" i="8"/>
  <c r="C69" i="8"/>
  <c r="P26" i="8"/>
  <c r="O26" i="8"/>
  <c r="N26" i="8"/>
  <c r="M26" i="8"/>
  <c r="L26" i="8"/>
  <c r="L140" i="7"/>
  <c r="L141" i="7" s="1"/>
  <c r="K140" i="7"/>
  <c r="K141" i="7" s="1"/>
  <c r="J140" i="7"/>
  <c r="J141" i="7" s="1"/>
  <c r="I140" i="7"/>
  <c r="I141" i="7" s="1"/>
  <c r="H140" i="7"/>
  <c r="H141" i="7" s="1"/>
  <c r="G140" i="7"/>
  <c r="G141" i="7" s="1"/>
  <c r="F140" i="7"/>
  <c r="F141" i="7" s="1"/>
  <c r="E140" i="7"/>
  <c r="E141" i="7" s="1"/>
  <c r="D140" i="7"/>
  <c r="D141" i="7" s="1"/>
  <c r="C140" i="7"/>
  <c r="L138" i="7"/>
  <c r="K138" i="7"/>
  <c r="J138" i="7"/>
  <c r="I138" i="7"/>
  <c r="H138" i="7"/>
  <c r="G138" i="7"/>
  <c r="F138" i="7"/>
  <c r="E138" i="7"/>
  <c r="D138" i="7"/>
  <c r="C138" i="7"/>
  <c r="L137" i="7"/>
  <c r="K137" i="7"/>
  <c r="J137" i="7"/>
  <c r="I137" i="7"/>
  <c r="H137" i="7"/>
  <c r="G137" i="7"/>
  <c r="F137" i="7"/>
  <c r="E137" i="7"/>
  <c r="D137" i="7"/>
  <c r="C137" i="7"/>
  <c r="M135" i="7"/>
  <c r="L135" i="7"/>
  <c r="J135" i="7"/>
  <c r="I135" i="7"/>
  <c r="H135" i="7"/>
  <c r="F135" i="7"/>
  <c r="E135" i="7"/>
  <c r="D135" i="7"/>
  <c r="L132" i="7"/>
  <c r="L133" i="7" s="1"/>
  <c r="K132" i="7"/>
  <c r="K133" i="7" s="1"/>
  <c r="J132" i="7"/>
  <c r="J133" i="7" s="1"/>
  <c r="I132" i="7"/>
  <c r="I133" i="7" s="1"/>
  <c r="H132" i="7"/>
  <c r="H133" i="7" s="1"/>
  <c r="G132" i="7"/>
  <c r="G133" i="7" s="1"/>
  <c r="F132" i="7"/>
  <c r="F133" i="7" s="1"/>
  <c r="E132" i="7"/>
  <c r="E133" i="7" s="1"/>
  <c r="D132" i="7"/>
  <c r="D133" i="7" s="1"/>
  <c r="C132" i="7"/>
  <c r="C133" i="7" s="1"/>
  <c r="L116" i="7"/>
  <c r="L117" i="7" s="1"/>
  <c r="K116" i="7"/>
  <c r="L113" i="7" s="1"/>
  <c r="J116" i="7"/>
  <c r="J117" i="7" s="1"/>
  <c r="I116" i="7"/>
  <c r="I117" i="7" s="1"/>
  <c r="H116" i="7"/>
  <c r="G116" i="7"/>
  <c r="G117" i="7" s="1"/>
  <c r="F116" i="7"/>
  <c r="G113" i="7" s="1"/>
  <c r="E116" i="7"/>
  <c r="E117" i="7" s="1"/>
  <c r="D116" i="7"/>
  <c r="C116" i="7"/>
  <c r="D113" i="7" s="1"/>
  <c r="L115" i="7"/>
  <c r="K115" i="7"/>
  <c r="J115" i="7"/>
  <c r="I115" i="7"/>
  <c r="H115" i="7"/>
  <c r="G115" i="7"/>
  <c r="F115" i="7"/>
  <c r="E115" i="7"/>
  <c r="D115" i="7"/>
  <c r="C115" i="7"/>
  <c r="L114" i="7"/>
  <c r="K114" i="7"/>
  <c r="J114" i="7"/>
  <c r="I114" i="7"/>
  <c r="H114" i="7"/>
  <c r="G114" i="7"/>
  <c r="F114" i="7"/>
  <c r="E114" i="7"/>
  <c r="D114" i="7"/>
  <c r="C114" i="7"/>
  <c r="L109" i="7"/>
  <c r="K109" i="7"/>
  <c r="J109" i="7"/>
  <c r="I109" i="7"/>
  <c r="H109" i="7"/>
  <c r="G109" i="7"/>
  <c r="F109" i="7"/>
  <c r="E109" i="7"/>
  <c r="D109" i="7"/>
  <c r="C109" i="7"/>
  <c r="L107" i="7"/>
  <c r="L21" i="9" s="1"/>
  <c r="K107" i="7"/>
  <c r="K21" i="9" s="1"/>
  <c r="J107" i="7"/>
  <c r="J21" i="9" s="1"/>
  <c r="I107" i="7"/>
  <c r="I21" i="9" s="1"/>
  <c r="H107" i="7"/>
  <c r="H21" i="9" s="1"/>
  <c r="G107" i="7"/>
  <c r="G21" i="9" s="1"/>
  <c r="F107" i="7"/>
  <c r="F21" i="9" s="1"/>
  <c r="E107" i="7"/>
  <c r="E21" i="9" s="1"/>
  <c r="D107" i="7"/>
  <c r="D21" i="9" s="1"/>
  <c r="C107" i="7"/>
  <c r="C21" i="9" s="1"/>
  <c r="L106" i="7"/>
  <c r="K106" i="7"/>
  <c r="J106" i="7"/>
  <c r="I106" i="7"/>
  <c r="H106" i="7"/>
  <c r="G106" i="7"/>
  <c r="F106" i="7"/>
  <c r="E106" i="7"/>
  <c r="D106" i="7"/>
  <c r="C106" i="7"/>
  <c r="B100" i="7"/>
  <c r="L93" i="7"/>
  <c r="M89" i="7" s="1"/>
  <c r="K93" i="7"/>
  <c r="K94" i="7" s="1"/>
  <c r="J93" i="7"/>
  <c r="J94" i="7" s="1"/>
  <c r="I93" i="7"/>
  <c r="I94" i="7" s="1"/>
  <c r="H93" i="7"/>
  <c r="H94" i="7" s="1"/>
  <c r="G93" i="7"/>
  <c r="G94" i="7" s="1"/>
  <c r="F93" i="7"/>
  <c r="F94" i="7" s="1"/>
  <c r="E93" i="7"/>
  <c r="E94" i="7" s="1"/>
  <c r="D93" i="7"/>
  <c r="D94" i="7" s="1"/>
  <c r="C93" i="7"/>
  <c r="C96" i="7" s="1"/>
  <c r="C97" i="7" s="1"/>
  <c r="L91" i="7"/>
  <c r="K91" i="7"/>
  <c r="J91" i="7"/>
  <c r="I91" i="7"/>
  <c r="H91" i="7"/>
  <c r="G91" i="7"/>
  <c r="F91" i="7"/>
  <c r="E91" i="7"/>
  <c r="D91" i="7"/>
  <c r="C91" i="7"/>
  <c r="L90" i="7"/>
  <c r="K90" i="7"/>
  <c r="J90" i="7"/>
  <c r="I90" i="7"/>
  <c r="H90" i="7"/>
  <c r="G90" i="7"/>
  <c r="F90" i="7"/>
  <c r="E90" i="7"/>
  <c r="D90" i="7"/>
  <c r="C90" i="7"/>
  <c r="K89" i="7"/>
  <c r="C81" i="7"/>
  <c r="U82" i="7" s="1"/>
  <c r="L64" i="7"/>
  <c r="M52" i="7" s="1"/>
  <c r="K64" i="7"/>
  <c r="J64" i="7"/>
  <c r="K79" i="7" s="1"/>
  <c r="I64" i="7"/>
  <c r="J79" i="7" s="1"/>
  <c r="H64" i="7"/>
  <c r="I78" i="7" s="1"/>
  <c r="G64" i="7"/>
  <c r="F64" i="7"/>
  <c r="G78" i="7" s="1"/>
  <c r="E64" i="7"/>
  <c r="F79" i="7" s="1"/>
  <c r="D64" i="7"/>
  <c r="E79" i="7" s="1"/>
  <c r="C64" i="7"/>
  <c r="L56" i="7"/>
  <c r="L69" i="7" s="1"/>
  <c r="K56" i="7"/>
  <c r="K69" i="7" s="1"/>
  <c r="J56" i="7"/>
  <c r="J69" i="7" s="1"/>
  <c r="I56" i="7"/>
  <c r="I69" i="7" s="1"/>
  <c r="H56" i="7"/>
  <c r="G56" i="7"/>
  <c r="G69" i="7" s="1"/>
  <c r="F56" i="7"/>
  <c r="F69" i="7" s="1"/>
  <c r="E56" i="7"/>
  <c r="E69" i="7" s="1"/>
  <c r="D56" i="7"/>
  <c r="D69" i="7" s="1"/>
  <c r="C56" i="7"/>
  <c r="L53" i="7"/>
  <c r="L68" i="7" s="1"/>
  <c r="K53" i="7"/>
  <c r="J53" i="7"/>
  <c r="I53" i="7"/>
  <c r="I68" i="7" s="1"/>
  <c r="H53" i="7"/>
  <c r="G53" i="7"/>
  <c r="G68" i="7" s="1"/>
  <c r="F53" i="7"/>
  <c r="F68" i="7" s="1"/>
  <c r="E53" i="7"/>
  <c r="E68" i="7" s="1"/>
  <c r="D53" i="7"/>
  <c r="D68" i="7" s="1"/>
  <c r="C53" i="7"/>
  <c r="C74" i="7" s="1"/>
  <c r="L38" i="7"/>
  <c r="K38" i="7"/>
  <c r="J38" i="7"/>
  <c r="I38" i="7"/>
  <c r="H38" i="7"/>
  <c r="G38" i="7"/>
  <c r="F38" i="7"/>
  <c r="E38" i="7"/>
  <c r="D38" i="7"/>
  <c r="C38" i="7"/>
  <c r="L36" i="7"/>
  <c r="K36" i="7"/>
  <c r="J36" i="7"/>
  <c r="I36" i="7"/>
  <c r="H36" i="7"/>
  <c r="G36" i="7"/>
  <c r="F36" i="7"/>
  <c r="E36" i="7"/>
  <c r="D36" i="7"/>
  <c r="C36" i="7"/>
  <c r="L35" i="7"/>
  <c r="K35" i="7"/>
  <c r="J35" i="7"/>
  <c r="J44" i="7" s="1"/>
  <c r="I35" i="7"/>
  <c r="H35" i="7"/>
  <c r="G35" i="7"/>
  <c r="F35" i="7"/>
  <c r="F44" i="7" s="1"/>
  <c r="E35" i="7"/>
  <c r="D35" i="7"/>
  <c r="C35" i="7"/>
  <c r="L32" i="7"/>
  <c r="K32" i="7"/>
  <c r="K41" i="7" s="1"/>
  <c r="J32" i="7"/>
  <c r="I32" i="7"/>
  <c r="I8" i="9" s="1"/>
  <c r="H32" i="7"/>
  <c r="G32" i="7"/>
  <c r="G41" i="7" s="1"/>
  <c r="F32" i="7"/>
  <c r="E32" i="7"/>
  <c r="E8" i="9" s="1"/>
  <c r="D32" i="7"/>
  <c r="C32" i="7"/>
  <c r="L7" i="7"/>
  <c r="K7" i="7"/>
  <c r="J7" i="7"/>
  <c r="I7" i="7"/>
  <c r="H7" i="7"/>
  <c r="G7" i="7"/>
  <c r="F7" i="7"/>
  <c r="E7" i="7"/>
  <c r="D7" i="7"/>
  <c r="C7" i="7"/>
  <c r="L6" i="7"/>
  <c r="L25" i="7" s="1"/>
  <c r="K6" i="7"/>
  <c r="K25" i="7" s="1"/>
  <c r="J6" i="7"/>
  <c r="J25" i="7" s="1"/>
  <c r="I6" i="7"/>
  <c r="I25" i="7" s="1"/>
  <c r="H6" i="7"/>
  <c r="H25" i="7" s="1"/>
  <c r="G6" i="7"/>
  <c r="G25" i="7" s="1"/>
  <c r="F6" i="7"/>
  <c r="F25" i="7" s="1"/>
  <c r="E6" i="7"/>
  <c r="E25" i="7" s="1"/>
  <c r="D6" i="7"/>
  <c r="D25" i="7" s="1"/>
  <c r="C6" i="7"/>
  <c r="C25" i="7" s="1"/>
  <c r="L5" i="7"/>
  <c r="K5" i="7"/>
  <c r="J5" i="7"/>
  <c r="J13" i="7" s="1"/>
  <c r="I5" i="7"/>
  <c r="I13" i="7" s="1"/>
  <c r="H5" i="7"/>
  <c r="G5" i="7"/>
  <c r="F5" i="7"/>
  <c r="F13" i="7" s="1"/>
  <c r="E5" i="7"/>
  <c r="E13" i="7" s="1"/>
  <c r="D5" i="7"/>
  <c r="C5" i="7"/>
  <c r="Q143" i="5"/>
  <c r="Q141" i="5"/>
  <c r="Q139" i="5"/>
  <c r="N145" i="4"/>
  <c r="M145" i="4"/>
  <c r="L145" i="4"/>
  <c r="K145" i="4"/>
  <c r="J145" i="4"/>
  <c r="I145" i="4"/>
  <c r="H145" i="4"/>
  <c r="G145" i="4"/>
  <c r="F145" i="4"/>
  <c r="E145" i="4"/>
  <c r="N139" i="4"/>
  <c r="M139" i="4"/>
  <c r="L139" i="4"/>
  <c r="K139" i="4"/>
  <c r="J139" i="4"/>
  <c r="I139" i="4"/>
  <c r="H139" i="4"/>
  <c r="G139" i="4"/>
  <c r="F139" i="4"/>
  <c r="E139" i="4"/>
  <c r="N138" i="4"/>
  <c r="M138" i="4"/>
  <c r="L138" i="4"/>
  <c r="K138" i="4"/>
  <c r="J138" i="4"/>
  <c r="I138" i="4"/>
  <c r="H138" i="4"/>
  <c r="G138" i="4"/>
  <c r="F138" i="4"/>
  <c r="E138" i="4"/>
  <c r="N137" i="4"/>
  <c r="M137" i="4"/>
  <c r="L137" i="4"/>
  <c r="K137" i="4"/>
  <c r="J137" i="4"/>
  <c r="I137" i="4"/>
  <c r="H137" i="4"/>
  <c r="G137" i="4"/>
  <c r="F137" i="4"/>
  <c r="E137" i="4"/>
  <c r="N136" i="4"/>
  <c r="M136" i="4"/>
  <c r="L136" i="4"/>
  <c r="K136" i="4"/>
  <c r="J136" i="4"/>
  <c r="I136" i="4"/>
  <c r="H136" i="4"/>
  <c r="G136" i="4"/>
  <c r="F136" i="4"/>
  <c r="E136" i="4"/>
  <c r="N135" i="4"/>
  <c r="M135" i="4"/>
  <c r="L135" i="4"/>
  <c r="K135" i="4"/>
  <c r="J135" i="4"/>
  <c r="I135" i="4"/>
  <c r="H135" i="4"/>
  <c r="G135" i="4"/>
  <c r="F135" i="4"/>
  <c r="E135" i="4"/>
  <c r="N134" i="4"/>
  <c r="M134" i="4"/>
  <c r="L134" i="4"/>
  <c r="K134" i="4"/>
  <c r="J134" i="4"/>
  <c r="I134" i="4"/>
  <c r="H134" i="4"/>
  <c r="G134" i="4"/>
  <c r="F134" i="4"/>
  <c r="E134" i="4"/>
  <c r="N133" i="4"/>
  <c r="M133" i="4"/>
  <c r="L133" i="4"/>
  <c r="K133" i="4"/>
  <c r="J133" i="4"/>
  <c r="I133" i="4"/>
  <c r="H133" i="4"/>
  <c r="G133" i="4"/>
  <c r="F133" i="4"/>
  <c r="E133" i="4"/>
  <c r="N132" i="4"/>
  <c r="M132" i="4"/>
  <c r="L132" i="4"/>
  <c r="K132" i="4"/>
  <c r="J132" i="4"/>
  <c r="I132" i="4"/>
  <c r="H132" i="4"/>
  <c r="G132" i="4"/>
  <c r="F132" i="4"/>
  <c r="E132" i="4"/>
  <c r="N129" i="4"/>
  <c r="M129" i="4"/>
  <c r="L129" i="4"/>
  <c r="K129" i="4"/>
  <c r="J129" i="4"/>
  <c r="I129" i="4"/>
  <c r="H129" i="4"/>
  <c r="G129" i="4"/>
  <c r="F129" i="4"/>
  <c r="E129" i="4"/>
  <c r="N128" i="4"/>
  <c r="M128" i="4"/>
  <c r="L128" i="4"/>
  <c r="K128" i="4"/>
  <c r="J128" i="4"/>
  <c r="I128" i="4"/>
  <c r="H128" i="4"/>
  <c r="G128" i="4"/>
  <c r="F128" i="4"/>
  <c r="E128" i="4"/>
  <c r="N127" i="4"/>
  <c r="M127" i="4"/>
  <c r="L127" i="4"/>
  <c r="K127" i="4"/>
  <c r="J127" i="4"/>
  <c r="I127" i="4"/>
  <c r="H127" i="4"/>
  <c r="G127" i="4"/>
  <c r="F127" i="4"/>
  <c r="E127" i="4"/>
  <c r="N126" i="4"/>
  <c r="M126" i="4"/>
  <c r="L126" i="4"/>
  <c r="K126" i="4"/>
  <c r="J126" i="4"/>
  <c r="I126" i="4"/>
  <c r="H126" i="4"/>
  <c r="G126" i="4"/>
  <c r="F126" i="4"/>
  <c r="E126" i="4"/>
  <c r="N125" i="4"/>
  <c r="M125" i="4"/>
  <c r="L125" i="4"/>
  <c r="K125" i="4"/>
  <c r="J125" i="4"/>
  <c r="I125" i="4"/>
  <c r="H125" i="4"/>
  <c r="G125" i="4"/>
  <c r="F125" i="4"/>
  <c r="E125" i="4"/>
  <c r="N124" i="4"/>
  <c r="M124" i="4"/>
  <c r="L124" i="4"/>
  <c r="K124" i="4"/>
  <c r="J124" i="4"/>
  <c r="I124" i="4"/>
  <c r="H124" i="4"/>
  <c r="G124" i="4"/>
  <c r="F124" i="4"/>
  <c r="E124" i="4"/>
  <c r="N123" i="4"/>
  <c r="M123" i="4"/>
  <c r="L123" i="4"/>
  <c r="K123" i="4"/>
  <c r="J123" i="4"/>
  <c r="I123" i="4"/>
  <c r="H123" i="4"/>
  <c r="G123" i="4"/>
  <c r="F123" i="4"/>
  <c r="E123" i="4"/>
  <c r="N122" i="4"/>
  <c r="M122" i="4"/>
  <c r="L122" i="4"/>
  <c r="K122" i="4"/>
  <c r="J122" i="4"/>
  <c r="I122" i="4"/>
  <c r="H122" i="4"/>
  <c r="G122" i="4"/>
  <c r="F122" i="4"/>
  <c r="E122" i="4"/>
  <c r="N121" i="4"/>
  <c r="M121" i="4"/>
  <c r="L121" i="4"/>
  <c r="K121" i="4"/>
  <c r="J121" i="4"/>
  <c r="I121" i="4"/>
  <c r="H121" i="4"/>
  <c r="G121" i="4"/>
  <c r="F121" i="4"/>
  <c r="E121" i="4"/>
  <c r="N120" i="4"/>
  <c r="M120" i="4"/>
  <c r="L120" i="4"/>
  <c r="K120" i="4"/>
  <c r="J120" i="4"/>
  <c r="I120" i="4"/>
  <c r="H120" i="4"/>
  <c r="G120" i="4"/>
  <c r="F120" i="4"/>
  <c r="E120" i="4"/>
  <c r="N117" i="4"/>
  <c r="M117" i="4"/>
  <c r="L117" i="4"/>
  <c r="K117" i="4"/>
  <c r="J117" i="4"/>
  <c r="I117" i="4"/>
  <c r="H117" i="4"/>
  <c r="G117" i="4"/>
  <c r="F117" i="4"/>
  <c r="E117" i="4"/>
  <c r="N116" i="4"/>
  <c r="M116" i="4"/>
  <c r="L116" i="4"/>
  <c r="K116" i="4"/>
  <c r="J116" i="4"/>
  <c r="I116" i="4"/>
  <c r="H116" i="4"/>
  <c r="G116" i="4"/>
  <c r="F116" i="4"/>
  <c r="E116" i="4"/>
  <c r="N114" i="4"/>
  <c r="M114" i="4"/>
  <c r="L114" i="4"/>
  <c r="K114" i="4"/>
  <c r="J114" i="4"/>
  <c r="I114" i="4"/>
  <c r="H114" i="4"/>
  <c r="G114" i="4"/>
  <c r="F114" i="4"/>
  <c r="E114" i="4"/>
  <c r="N113" i="4"/>
  <c r="M113" i="4"/>
  <c r="L113" i="4"/>
  <c r="K113" i="4"/>
  <c r="J113" i="4"/>
  <c r="I113" i="4"/>
  <c r="H113" i="4"/>
  <c r="G113" i="4"/>
  <c r="F113" i="4"/>
  <c r="E113" i="4"/>
  <c r="N112" i="4"/>
  <c r="M112" i="4"/>
  <c r="L112" i="4"/>
  <c r="K112" i="4"/>
  <c r="J112" i="4"/>
  <c r="I112" i="4"/>
  <c r="H112" i="4"/>
  <c r="G112" i="4"/>
  <c r="F112" i="4"/>
  <c r="E112" i="4"/>
  <c r="N111" i="4"/>
  <c r="M111" i="4"/>
  <c r="L111" i="4"/>
  <c r="K111" i="4"/>
  <c r="J111" i="4"/>
  <c r="I111" i="4"/>
  <c r="H111" i="4"/>
  <c r="G111" i="4"/>
  <c r="F111" i="4"/>
  <c r="E111" i="4"/>
  <c r="N110" i="4"/>
  <c r="M110" i="4"/>
  <c r="L110" i="4"/>
  <c r="K110" i="4"/>
  <c r="J110" i="4"/>
  <c r="I110" i="4"/>
  <c r="H110" i="4"/>
  <c r="G110" i="4"/>
  <c r="F110" i="4"/>
  <c r="E110" i="4"/>
  <c r="N109" i="4"/>
  <c r="M109" i="4"/>
  <c r="L109" i="4"/>
  <c r="K109" i="4"/>
  <c r="J109" i="4"/>
  <c r="I109" i="4"/>
  <c r="H109" i="4"/>
  <c r="G109" i="4"/>
  <c r="F109" i="4"/>
  <c r="E109" i="4"/>
  <c r="N108" i="4"/>
  <c r="M108" i="4"/>
  <c r="L108" i="4"/>
  <c r="K108" i="4"/>
  <c r="J108" i="4"/>
  <c r="I108" i="4"/>
  <c r="H108" i="4"/>
  <c r="G108" i="4"/>
  <c r="F108" i="4"/>
  <c r="E108" i="4"/>
  <c r="N107" i="4"/>
  <c r="M107" i="4"/>
  <c r="L107" i="4"/>
  <c r="K107" i="4"/>
  <c r="J107" i="4"/>
  <c r="I107" i="4"/>
  <c r="H107" i="4"/>
  <c r="G107" i="4"/>
  <c r="F107" i="4"/>
  <c r="E107" i="4"/>
  <c r="N106" i="4"/>
  <c r="M106" i="4"/>
  <c r="L106" i="4"/>
  <c r="K106" i="4"/>
  <c r="J106" i="4"/>
  <c r="I106" i="4"/>
  <c r="H106" i="4"/>
  <c r="G106" i="4"/>
  <c r="F106" i="4"/>
  <c r="E106" i="4"/>
  <c r="N105" i="4"/>
  <c r="M105" i="4"/>
  <c r="L105" i="4"/>
  <c r="K105" i="4"/>
  <c r="J105" i="4"/>
  <c r="I105" i="4"/>
  <c r="H105" i="4"/>
  <c r="G105" i="4"/>
  <c r="F105" i="4"/>
  <c r="E105" i="4"/>
  <c r="N104" i="4"/>
  <c r="M104" i="4"/>
  <c r="L104" i="4"/>
  <c r="K104" i="4"/>
  <c r="J104" i="4"/>
  <c r="I104" i="4"/>
  <c r="H104" i="4"/>
  <c r="G104" i="4"/>
  <c r="F104" i="4"/>
  <c r="E104" i="4"/>
  <c r="N103" i="4"/>
  <c r="M103" i="4"/>
  <c r="L103" i="4"/>
  <c r="K103" i="4"/>
  <c r="J103" i="4"/>
  <c r="I103" i="4"/>
  <c r="H103" i="4"/>
  <c r="G103" i="4"/>
  <c r="F103" i="4"/>
  <c r="E103" i="4"/>
  <c r="N102" i="4"/>
  <c r="M102" i="4"/>
  <c r="L102" i="4"/>
  <c r="K102" i="4"/>
  <c r="J102" i="4"/>
  <c r="I102" i="4"/>
  <c r="H102" i="4"/>
  <c r="G102" i="4"/>
  <c r="F102" i="4"/>
  <c r="E102" i="4"/>
  <c r="N101" i="4"/>
  <c r="M101" i="4"/>
  <c r="L101" i="4"/>
  <c r="K101" i="4"/>
  <c r="J101" i="4"/>
  <c r="I101" i="4"/>
  <c r="H101" i="4"/>
  <c r="G101" i="4"/>
  <c r="F101" i="4"/>
  <c r="E101" i="4"/>
  <c r="N100" i="4"/>
  <c r="M100" i="4"/>
  <c r="L100" i="4"/>
  <c r="K100" i="4"/>
  <c r="J100" i="4"/>
  <c r="I100" i="4"/>
  <c r="H100" i="4"/>
  <c r="G100" i="4"/>
  <c r="F100" i="4"/>
  <c r="E100" i="4"/>
  <c r="N98" i="4"/>
  <c r="M98" i="4"/>
  <c r="L98" i="4"/>
  <c r="K98" i="4"/>
  <c r="J98" i="4"/>
  <c r="I98" i="4"/>
  <c r="H98" i="4"/>
  <c r="G98" i="4"/>
  <c r="F98" i="4"/>
  <c r="E98" i="4"/>
  <c r="N91" i="4"/>
  <c r="M91" i="4"/>
  <c r="L91" i="4"/>
  <c r="K91" i="4"/>
  <c r="J91" i="4"/>
  <c r="I91" i="4"/>
  <c r="H91" i="4"/>
  <c r="G91" i="4"/>
  <c r="F91" i="4"/>
  <c r="E91" i="4"/>
  <c r="N90" i="4"/>
  <c r="M90" i="4"/>
  <c r="L90" i="4"/>
  <c r="K90" i="4"/>
  <c r="J90" i="4"/>
  <c r="I90" i="4"/>
  <c r="H90" i="4"/>
  <c r="G90" i="4"/>
  <c r="F90" i="4"/>
  <c r="E90" i="4"/>
  <c r="N89" i="4"/>
  <c r="M89" i="4"/>
  <c r="L89" i="4"/>
  <c r="K89" i="4"/>
  <c r="J89" i="4"/>
  <c r="I89" i="4"/>
  <c r="H89" i="4"/>
  <c r="G89" i="4"/>
  <c r="F89" i="4"/>
  <c r="E89" i="4"/>
  <c r="N88" i="4"/>
  <c r="M88" i="4"/>
  <c r="L88" i="4"/>
  <c r="K88" i="4"/>
  <c r="J88" i="4"/>
  <c r="I88" i="4"/>
  <c r="H88" i="4"/>
  <c r="G88" i="4"/>
  <c r="F88" i="4"/>
  <c r="E88" i="4"/>
  <c r="N87" i="4"/>
  <c r="M87" i="4"/>
  <c r="L87" i="4"/>
  <c r="K87" i="4"/>
  <c r="J87" i="4"/>
  <c r="I87" i="4"/>
  <c r="H87" i="4"/>
  <c r="G87" i="4"/>
  <c r="F87" i="4"/>
  <c r="E87" i="4"/>
  <c r="N86" i="4"/>
  <c r="M86" i="4"/>
  <c r="L86" i="4"/>
  <c r="K86" i="4"/>
  <c r="J86" i="4"/>
  <c r="I86" i="4"/>
  <c r="H86" i="4"/>
  <c r="G86" i="4"/>
  <c r="F86" i="4"/>
  <c r="E86" i="4"/>
  <c r="N84" i="4"/>
  <c r="M84" i="4"/>
  <c r="L84" i="4"/>
  <c r="K84" i="4"/>
  <c r="J84" i="4"/>
  <c r="I84" i="4"/>
  <c r="H84" i="4"/>
  <c r="G84" i="4"/>
  <c r="F84" i="4"/>
  <c r="E84" i="4"/>
  <c r="N80" i="4"/>
  <c r="M80" i="4"/>
  <c r="L80" i="4"/>
  <c r="K80" i="4"/>
  <c r="J80" i="4"/>
  <c r="I80" i="4"/>
  <c r="H80" i="4"/>
  <c r="G80" i="4"/>
  <c r="F80" i="4"/>
  <c r="E80" i="4"/>
  <c r="N79" i="4"/>
  <c r="M79" i="4"/>
  <c r="L79" i="4"/>
  <c r="K79" i="4"/>
  <c r="J79" i="4"/>
  <c r="I79" i="4"/>
  <c r="H79" i="4"/>
  <c r="G79" i="4"/>
  <c r="F79" i="4"/>
  <c r="E79" i="4"/>
  <c r="N78" i="4"/>
  <c r="M78" i="4"/>
  <c r="L78" i="4"/>
  <c r="K78" i="4"/>
  <c r="J78" i="4"/>
  <c r="I78" i="4"/>
  <c r="H78" i="4"/>
  <c r="G78" i="4"/>
  <c r="F78" i="4"/>
  <c r="E78" i="4"/>
  <c r="N77" i="4"/>
  <c r="M77" i="4"/>
  <c r="L77" i="4"/>
  <c r="K77" i="4"/>
  <c r="J77" i="4"/>
  <c r="I77" i="4"/>
  <c r="H77" i="4"/>
  <c r="G77" i="4"/>
  <c r="F77" i="4"/>
  <c r="E77" i="4"/>
  <c r="N75" i="4"/>
  <c r="M75" i="4"/>
  <c r="L75" i="4"/>
  <c r="K75" i="4"/>
  <c r="J75" i="4"/>
  <c r="I75" i="4"/>
  <c r="H75" i="4"/>
  <c r="G75" i="4"/>
  <c r="F75" i="4"/>
  <c r="E75" i="4"/>
  <c r="N69" i="4"/>
  <c r="M69" i="4"/>
  <c r="L69" i="4"/>
  <c r="K69" i="4"/>
  <c r="J69" i="4"/>
  <c r="I69" i="4"/>
  <c r="H69" i="4"/>
  <c r="G69" i="4"/>
  <c r="F69" i="4"/>
  <c r="E69" i="4"/>
  <c r="N68" i="4"/>
  <c r="M68" i="4"/>
  <c r="L68" i="4"/>
  <c r="K68" i="4"/>
  <c r="J68" i="4"/>
  <c r="I68" i="4"/>
  <c r="H68" i="4"/>
  <c r="G68" i="4"/>
  <c r="F68" i="4"/>
  <c r="E68" i="4"/>
  <c r="N64" i="4"/>
  <c r="M64" i="4"/>
  <c r="L64" i="4"/>
  <c r="K64" i="4"/>
  <c r="J64" i="4"/>
  <c r="I64" i="4"/>
  <c r="H64" i="4"/>
  <c r="G64" i="4"/>
  <c r="F64" i="4"/>
  <c r="E64" i="4"/>
  <c r="N62" i="4"/>
  <c r="M62" i="4"/>
  <c r="L62" i="4"/>
  <c r="K62" i="4"/>
  <c r="J62" i="4"/>
  <c r="I62" i="4"/>
  <c r="H62" i="4"/>
  <c r="G62" i="4"/>
  <c r="F62" i="4"/>
  <c r="E62" i="4"/>
  <c r="N60" i="4"/>
  <c r="M60" i="4"/>
  <c r="L60" i="4"/>
  <c r="K60" i="4"/>
  <c r="J60" i="4"/>
  <c r="I60" i="4"/>
  <c r="H60" i="4"/>
  <c r="G60" i="4"/>
  <c r="F60" i="4"/>
  <c r="E60" i="4"/>
  <c r="N59" i="4"/>
  <c r="M59" i="4"/>
  <c r="L59" i="4"/>
  <c r="K59" i="4"/>
  <c r="J59" i="4"/>
  <c r="I59" i="4"/>
  <c r="H59" i="4"/>
  <c r="G59" i="4"/>
  <c r="F59" i="4"/>
  <c r="E59" i="4"/>
  <c r="N58" i="4"/>
  <c r="M58" i="4"/>
  <c r="L58" i="4"/>
  <c r="K58" i="4"/>
  <c r="J58" i="4"/>
  <c r="I58" i="4"/>
  <c r="H58" i="4"/>
  <c r="G58" i="4"/>
  <c r="F58" i="4"/>
  <c r="E58" i="4"/>
  <c r="N57" i="4"/>
  <c r="M57" i="4"/>
  <c r="L57" i="4"/>
  <c r="K57" i="4"/>
  <c r="J57" i="4"/>
  <c r="I57" i="4"/>
  <c r="H57" i="4"/>
  <c r="G57" i="4"/>
  <c r="F57" i="4"/>
  <c r="E57" i="4"/>
  <c r="N56" i="4"/>
  <c r="M56" i="4"/>
  <c r="L56" i="4"/>
  <c r="K56" i="4"/>
  <c r="J56" i="4"/>
  <c r="I56" i="4"/>
  <c r="H56" i="4"/>
  <c r="G56" i="4"/>
  <c r="F56" i="4"/>
  <c r="E56" i="4"/>
  <c r="N53" i="4"/>
  <c r="M53" i="4"/>
  <c r="L53" i="4"/>
  <c r="K53" i="4"/>
  <c r="J53" i="4"/>
  <c r="I53" i="4"/>
  <c r="H53" i="4"/>
  <c r="G53" i="4"/>
  <c r="F53" i="4"/>
  <c r="E53" i="4"/>
  <c r="N52" i="4"/>
  <c r="M52" i="4"/>
  <c r="L52" i="4"/>
  <c r="K52" i="4"/>
  <c r="J52" i="4"/>
  <c r="I52" i="4"/>
  <c r="H52" i="4"/>
  <c r="G52" i="4"/>
  <c r="F52" i="4"/>
  <c r="E52" i="4"/>
  <c r="N51" i="4"/>
  <c r="M51" i="4"/>
  <c r="L51" i="4"/>
  <c r="K51" i="4"/>
  <c r="J51" i="4"/>
  <c r="I51" i="4"/>
  <c r="H51" i="4"/>
  <c r="G51" i="4"/>
  <c r="F51" i="4"/>
  <c r="E51" i="4"/>
  <c r="N47" i="4"/>
  <c r="M47" i="4"/>
  <c r="L47" i="4"/>
  <c r="K47" i="4"/>
  <c r="J47" i="4"/>
  <c r="I47" i="4"/>
  <c r="H47" i="4"/>
  <c r="G47" i="4"/>
  <c r="F47" i="4"/>
  <c r="E47" i="4"/>
  <c r="N45" i="4"/>
  <c r="M45" i="4"/>
  <c r="L45" i="4"/>
  <c r="K45" i="4"/>
  <c r="J45" i="4"/>
  <c r="I45" i="4"/>
  <c r="H45" i="4"/>
  <c r="G45" i="4"/>
  <c r="F45" i="4"/>
  <c r="E45" i="4"/>
  <c r="N44" i="4"/>
  <c r="M44" i="4"/>
  <c r="L44" i="4"/>
  <c r="K44" i="4"/>
  <c r="J44" i="4"/>
  <c r="I44" i="4"/>
  <c r="H44" i="4"/>
  <c r="G44" i="4"/>
  <c r="F44" i="4"/>
  <c r="E44" i="4"/>
  <c r="N43" i="4"/>
  <c r="M43" i="4"/>
  <c r="L43" i="4"/>
  <c r="K43" i="4"/>
  <c r="J43" i="4"/>
  <c r="I43" i="4"/>
  <c r="H43" i="4"/>
  <c r="G43" i="4"/>
  <c r="F43" i="4"/>
  <c r="E43" i="4"/>
  <c r="N42" i="4"/>
  <c r="M42" i="4"/>
  <c r="L42" i="4"/>
  <c r="K42" i="4"/>
  <c r="J42" i="4"/>
  <c r="I42" i="4"/>
  <c r="H42" i="4"/>
  <c r="G42" i="4"/>
  <c r="F42" i="4"/>
  <c r="E42" i="4"/>
  <c r="N41" i="4"/>
  <c r="M41" i="4"/>
  <c r="L41" i="4"/>
  <c r="K41" i="4"/>
  <c r="J41" i="4"/>
  <c r="I41" i="4"/>
  <c r="H41" i="4"/>
  <c r="G41" i="4"/>
  <c r="F41" i="4"/>
  <c r="E41" i="4"/>
  <c r="N40" i="4"/>
  <c r="M40" i="4"/>
  <c r="L40" i="4"/>
  <c r="K40" i="4"/>
  <c r="J40" i="4"/>
  <c r="I40" i="4"/>
  <c r="H40" i="4"/>
  <c r="G40" i="4"/>
  <c r="F40" i="4"/>
  <c r="E40" i="4"/>
  <c r="N37" i="4"/>
  <c r="M37" i="4"/>
  <c r="L37" i="4"/>
  <c r="K37" i="4"/>
  <c r="J37" i="4"/>
  <c r="I37" i="4"/>
  <c r="H37" i="4"/>
  <c r="G37" i="4"/>
  <c r="F37" i="4"/>
  <c r="E37" i="4"/>
  <c r="N36" i="4"/>
  <c r="M36" i="4"/>
  <c r="L36" i="4"/>
  <c r="K36" i="4"/>
  <c r="J36" i="4"/>
  <c r="I36" i="4"/>
  <c r="H36" i="4"/>
  <c r="G36" i="4"/>
  <c r="F36" i="4"/>
  <c r="E36" i="4"/>
  <c r="N35" i="4"/>
  <c r="M35" i="4"/>
  <c r="L35" i="4"/>
  <c r="K35" i="4"/>
  <c r="J35" i="4"/>
  <c r="I35" i="4"/>
  <c r="H35" i="4"/>
  <c r="G35" i="4"/>
  <c r="F35" i="4"/>
  <c r="E35" i="4"/>
  <c r="N34" i="4"/>
  <c r="M34" i="4"/>
  <c r="L34" i="4"/>
  <c r="K34" i="4"/>
  <c r="J34" i="4"/>
  <c r="I34" i="4"/>
  <c r="H34" i="4"/>
  <c r="G34" i="4"/>
  <c r="F34" i="4"/>
  <c r="E34" i="4"/>
  <c r="N33" i="4"/>
  <c r="M33" i="4"/>
  <c r="L33" i="4"/>
  <c r="K33" i="4"/>
  <c r="J33" i="4"/>
  <c r="I33" i="4"/>
  <c r="H33" i="4"/>
  <c r="G33" i="4"/>
  <c r="F33" i="4"/>
  <c r="E33" i="4"/>
  <c r="N32" i="4"/>
  <c r="M32" i="4"/>
  <c r="L32" i="4"/>
  <c r="K32" i="4"/>
  <c r="J32" i="4"/>
  <c r="I32" i="4"/>
  <c r="H32" i="4"/>
  <c r="G32" i="4"/>
  <c r="F32" i="4"/>
  <c r="E32" i="4"/>
  <c r="N31" i="4"/>
  <c r="M31" i="4"/>
  <c r="L31" i="4"/>
  <c r="K31" i="4"/>
  <c r="J31" i="4"/>
  <c r="I31" i="4"/>
  <c r="H31" i="4"/>
  <c r="G31" i="4"/>
  <c r="F31" i="4"/>
  <c r="E31" i="4"/>
  <c r="N24" i="4"/>
  <c r="M24" i="4"/>
  <c r="L24" i="4"/>
  <c r="K24" i="4"/>
  <c r="J24" i="4"/>
  <c r="I24" i="4"/>
  <c r="H24" i="4"/>
  <c r="G24" i="4"/>
  <c r="F24" i="4"/>
  <c r="E24" i="4"/>
  <c r="N23" i="4"/>
  <c r="M23" i="4"/>
  <c r="L23" i="4"/>
  <c r="K23" i="4"/>
  <c r="J23" i="4"/>
  <c r="I23" i="4"/>
  <c r="H23" i="4"/>
  <c r="G23" i="4"/>
  <c r="F23" i="4"/>
  <c r="E23" i="4"/>
  <c r="N21" i="4"/>
  <c r="M21" i="4"/>
  <c r="L21" i="4"/>
  <c r="K21" i="4"/>
  <c r="J21" i="4"/>
  <c r="I21" i="4"/>
  <c r="H21" i="4"/>
  <c r="G21" i="4"/>
  <c r="F21" i="4"/>
  <c r="E21" i="4"/>
  <c r="N20" i="4"/>
  <c r="M20" i="4"/>
  <c r="L20" i="4"/>
  <c r="K20" i="4"/>
  <c r="J20" i="4"/>
  <c r="I20" i="4"/>
  <c r="H20" i="4"/>
  <c r="G20" i="4"/>
  <c r="F20" i="4"/>
  <c r="E20" i="4"/>
  <c r="N18" i="4"/>
  <c r="M18" i="4"/>
  <c r="L18" i="4"/>
  <c r="K18" i="4"/>
  <c r="J18" i="4"/>
  <c r="I18" i="4"/>
  <c r="H18" i="4"/>
  <c r="G18" i="4"/>
  <c r="F18" i="4"/>
  <c r="E18" i="4"/>
  <c r="N16" i="4"/>
  <c r="M16" i="4"/>
  <c r="L16" i="4"/>
  <c r="K16" i="4"/>
  <c r="J16" i="4"/>
  <c r="I16" i="4"/>
  <c r="H16" i="4"/>
  <c r="G16" i="4"/>
  <c r="F16" i="4"/>
  <c r="E16" i="4"/>
  <c r="N15" i="4"/>
  <c r="M15" i="4"/>
  <c r="L15" i="4"/>
  <c r="K15" i="4"/>
  <c r="J15" i="4"/>
  <c r="I15" i="4"/>
  <c r="H15" i="4"/>
  <c r="G15" i="4"/>
  <c r="F15" i="4"/>
  <c r="E15" i="4"/>
  <c r="N13" i="4"/>
  <c r="M13" i="4"/>
  <c r="L13" i="4"/>
  <c r="K13" i="4"/>
  <c r="J13" i="4"/>
  <c r="I13" i="4"/>
  <c r="H13" i="4"/>
  <c r="G13" i="4"/>
  <c r="F13" i="4"/>
  <c r="E13" i="4"/>
  <c r="N12" i="4"/>
  <c r="M12" i="4"/>
  <c r="L12" i="4"/>
  <c r="K12" i="4"/>
  <c r="J12" i="4"/>
  <c r="I12" i="4"/>
  <c r="H12" i="4"/>
  <c r="G12" i="4"/>
  <c r="F12" i="4"/>
  <c r="E12" i="4"/>
  <c r="N11" i="4"/>
  <c r="M11" i="4"/>
  <c r="L11" i="4"/>
  <c r="K11" i="4"/>
  <c r="J11" i="4"/>
  <c r="I11" i="4"/>
  <c r="H11" i="4"/>
  <c r="G11" i="4"/>
  <c r="F11" i="4"/>
  <c r="E11" i="4"/>
  <c r="N8" i="4"/>
  <c r="M8" i="4"/>
  <c r="L8" i="4"/>
  <c r="K8" i="4"/>
  <c r="J8" i="4"/>
  <c r="I8" i="4"/>
  <c r="H8" i="4"/>
  <c r="G8" i="4"/>
  <c r="F8" i="4"/>
  <c r="E8" i="4"/>
  <c r="N7" i="4"/>
  <c r="M7" i="4"/>
  <c r="L7" i="4"/>
  <c r="K7" i="4"/>
  <c r="J7" i="4"/>
  <c r="I7" i="4"/>
  <c r="H7" i="4"/>
  <c r="G7" i="4"/>
  <c r="F7" i="4"/>
  <c r="E7" i="4"/>
  <c r="N148" i="3"/>
  <c r="M148" i="3"/>
  <c r="L148" i="3"/>
  <c r="K148" i="3"/>
  <c r="J148" i="3"/>
  <c r="I148" i="3"/>
  <c r="H148" i="3"/>
  <c r="G148" i="3"/>
  <c r="F148" i="3"/>
  <c r="E148" i="3"/>
  <c r="N145" i="3"/>
  <c r="M145" i="3"/>
  <c r="L145" i="3"/>
  <c r="K145" i="3"/>
  <c r="J145" i="3"/>
  <c r="I145" i="3"/>
  <c r="H145" i="3"/>
  <c r="G145" i="3"/>
  <c r="F145" i="3"/>
  <c r="E145" i="3"/>
  <c r="N141" i="3"/>
  <c r="M141" i="3"/>
  <c r="L141" i="3"/>
  <c r="K141" i="3"/>
  <c r="J141" i="3"/>
  <c r="I141" i="3"/>
  <c r="H141" i="3"/>
  <c r="G141" i="3"/>
  <c r="F141" i="3"/>
  <c r="E141" i="3"/>
  <c r="N140" i="3"/>
  <c r="M140" i="3"/>
  <c r="L140" i="3"/>
  <c r="K140" i="3"/>
  <c r="J140" i="3"/>
  <c r="I140" i="3"/>
  <c r="H140" i="3"/>
  <c r="G140" i="3"/>
  <c r="F140" i="3"/>
  <c r="E140" i="3"/>
  <c r="N139" i="3"/>
  <c r="M139" i="3"/>
  <c r="L139" i="3"/>
  <c r="K139" i="3"/>
  <c r="J139" i="3"/>
  <c r="I139" i="3"/>
  <c r="H139" i="3"/>
  <c r="G139" i="3"/>
  <c r="F139" i="3"/>
  <c r="E139" i="3"/>
  <c r="N138" i="3"/>
  <c r="M138" i="3"/>
  <c r="L138" i="3"/>
  <c r="K138" i="3"/>
  <c r="J138" i="3"/>
  <c r="I138" i="3"/>
  <c r="H138" i="3"/>
  <c r="G138" i="3"/>
  <c r="F138" i="3"/>
  <c r="E138" i="3"/>
  <c r="N137" i="3"/>
  <c r="M137" i="3"/>
  <c r="L137" i="3"/>
  <c r="K137" i="3"/>
  <c r="J137" i="3"/>
  <c r="I137" i="3"/>
  <c r="H137" i="3"/>
  <c r="G137" i="3"/>
  <c r="F137" i="3"/>
  <c r="E137" i="3"/>
  <c r="N136" i="3"/>
  <c r="M136" i="3"/>
  <c r="L136" i="3"/>
  <c r="K136" i="3"/>
  <c r="J136" i="3"/>
  <c r="I136" i="3"/>
  <c r="H136" i="3"/>
  <c r="G136" i="3"/>
  <c r="F136" i="3"/>
  <c r="E136" i="3"/>
  <c r="N135" i="3"/>
  <c r="M135" i="3"/>
  <c r="L135" i="3"/>
  <c r="K135" i="3"/>
  <c r="J135" i="3"/>
  <c r="I135" i="3"/>
  <c r="H135" i="3"/>
  <c r="G135" i="3"/>
  <c r="F135" i="3"/>
  <c r="E135" i="3"/>
  <c r="N134" i="3"/>
  <c r="M134" i="3"/>
  <c r="L134" i="3"/>
  <c r="K134" i="3"/>
  <c r="J134" i="3"/>
  <c r="I134" i="3"/>
  <c r="H134" i="3"/>
  <c r="G134" i="3"/>
  <c r="F134" i="3"/>
  <c r="E134" i="3"/>
  <c r="N131" i="3"/>
  <c r="M131" i="3"/>
  <c r="L131" i="3"/>
  <c r="K131" i="3"/>
  <c r="J131" i="3"/>
  <c r="I131" i="3"/>
  <c r="H131" i="3"/>
  <c r="G131" i="3"/>
  <c r="F131" i="3"/>
  <c r="E131" i="3"/>
  <c r="N130" i="3"/>
  <c r="M130" i="3"/>
  <c r="L130" i="3"/>
  <c r="K130" i="3"/>
  <c r="J130" i="3"/>
  <c r="I130" i="3"/>
  <c r="H130" i="3"/>
  <c r="G130" i="3"/>
  <c r="F130" i="3"/>
  <c r="E130" i="3"/>
  <c r="N129" i="3"/>
  <c r="M129" i="3"/>
  <c r="L129" i="3"/>
  <c r="K129" i="3"/>
  <c r="J129" i="3"/>
  <c r="I129" i="3"/>
  <c r="H129" i="3"/>
  <c r="G129" i="3"/>
  <c r="F129" i="3"/>
  <c r="E129" i="3"/>
  <c r="N128" i="3"/>
  <c r="M128" i="3"/>
  <c r="L128" i="3"/>
  <c r="K128" i="3"/>
  <c r="J128" i="3"/>
  <c r="I128" i="3"/>
  <c r="H128" i="3"/>
  <c r="G128" i="3"/>
  <c r="F128" i="3"/>
  <c r="E128" i="3"/>
  <c r="N127" i="3"/>
  <c r="M127" i="3"/>
  <c r="L127" i="3"/>
  <c r="K127" i="3"/>
  <c r="J127" i="3"/>
  <c r="I127" i="3"/>
  <c r="H127" i="3"/>
  <c r="G127" i="3"/>
  <c r="F127" i="3"/>
  <c r="E127" i="3"/>
  <c r="N126" i="3"/>
  <c r="M126" i="3"/>
  <c r="L126" i="3"/>
  <c r="K126" i="3"/>
  <c r="J126" i="3"/>
  <c r="I126" i="3"/>
  <c r="H126" i="3"/>
  <c r="G126" i="3"/>
  <c r="F126" i="3"/>
  <c r="E126" i="3"/>
  <c r="N125" i="3"/>
  <c r="M125" i="3"/>
  <c r="L125" i="3"/>
  <c r="K125" i="3"/>
  <c r="J125" i="3"/>
  <c r="I125" i="3"/>
  <c r="H125" i="3"/>
  <c r="G125" i="3"/>
  <c r="F125" i="3"/>
  <c r="E125" i="3"/>
  <c r="N124" i="3"/>
  <c r="M124" i="3"/>
  <c r="L124" i="3"/>
  <c r="K124" i="3"/>
  <c r="J124" i="3"/>
  <c r="I124" i="3"/>
  <c r="H124" i="3"/>
  <c r="G124" i="3"/>
  <c r="F124" i="3"/>
  <c r="E124" i="3"/>
  <c r="N123" i="3"/>
  <c r="M123" i="3"/>
  <c r="L123" i="3"/>
  <c r="K123" i="3"/>
  <c r="J123" i="3"/>
  <c r="I123" i="3"/>
  <c r="H123" i="3"/>
  <c r="G123" i="3"/>
  <c r="F123" i="3"/>
  <c r="E123" i="3"/>
  <c r="N122" i="3"/>
  <c r="M122" i="3"/>
  <c r="L122" i="3"/>
  <c r="K122" i="3"/>
  <c r="J122" i="3"/>
  <c r="I122" i="3"/>
  <c r="H122" i="3"/>
  <c r="G122" i="3"/>
  <c r="F122" i="3"/>
  <c r="E122" i="3"/>
  <c r="N119" i="3"/>
  <c r="M119" i="3"/>
  <c r="L119" i="3"/>
  <c r="K119" i="3"/>
  <c r="J119" i="3"/>
  <c r="I119" i="3"/>
  <c r="H119" i="3"/>
  <c r="G119" i="3"/>
  <c r="F119" i="3"/>
  <c r="E119" i="3"/>
  <c r="N117" i="3"/>
  <c r="M117" i="3"/>
  <c r="L117" i="3"/>
  <c r="K117" i="3"/>
  <c r="J117" i="3"/>
  <c r="I117" i="3"/>
  <c r="H117" i="3"/>
  <c r="G117" i="3"/>
  <c r="F117" i="3"/>
  <c r="E117" i="3"/>
  <c r="N116" i="3"/>
  <c r="M116" i="3"/>
  <c r="L116" i="3"/>
  <c r="K116" i="3"/>
  <c r="J116" i="3"/>
  <c r="I116" i="3"/>
  <c r="H116" i="3"/>
  <c r="G116" i="3"/>
  <c r="F116" i="3"/>
  <c r="E116" i="3"/>
  <c r="N115" i="3"/>
  <c r="M115" i="3"/>
  <c r="L115" i="3"/>
  <c r="K115" i="3"/>
  <c r="J115" i="3"/>
  <c r="I115" i="3"/>
  <c r="H115" i="3"/>
  <c r="G115" i="3"/>
  <c r="F115" i="3"/>
  <c r="E115" i="3"/>
  <c r="N114" i="3"/>
  <c r="M114" i="3"/>
  <c r="L114" i="3"/>
  <c r="K114" i="3"/>
  <c r="J114" i="3"/>
  <c r="I114" i="3"/>
  <c r="H114" i="3"/>
  <c r="G114" i="3"/>
  <c r="F114" i="3"/>
  <c r="E114" i="3"/>
  <c r="N113" i="3"/>
  <c r="M113" i="3"/>
  <c r="L113" i="3"/>
  <c r="K113" i="3"/>
  <c r="J113" i="3"/>
  <c r="I113" i="3"/>
  <c r="H113" i="3"/>
  <c r="G113" i="3"/>
  <c r="F113" i="3"/>
  <c r="E113" i="3"/>
  <c r="N112" i="3"/>
  <c r="M112" i="3"/>
  <c r="L112" i="3"/>
  <c r="K112" i="3"/>
  <c r="J112" i="3"/>
  <c r="I112" i="3"/>
  <c r="H112" i="3"/>
  <c r="G112" i="3"/>
  <c r="F112" i="3"/>
  <c r="E112" i="3"/>
  <c r="N111" i="3"/>
  <c r="M111" i="3"/>
  <c r="L111" i="3"/>
  <c r="K111" i="3"/>
  <c r="J111" i="3"/>
  <c r="I111" i="3"/>
  <c r="H111" i="3"/>
  <c r="G111" i="3"/>
  <c r="F111" i="3"/>
  <c r="E111" i="3"/>
  <c r="N110" i="3"/>
  <c r="M110" i="3"/>
  <c r="L110" i="3"/>
  <c r="K110" i="3"/>
  <c r="J110" i="3"/>
  <c r="I110" i="3"/>
  <c r="H110" i="3"/>
  <c r="G110" i="3"/>
  <c r="F110" i="3"/>
  <c r="E110" i="3"/>
  <c r="N109" i="3"/>
  <c r="M109" i="3"/>
  <c r="L109" i="3"/>
  <c r="K109" i="3"/>
  <c r="J109" i="3"/>
  <c r="I109" i="3"/>
  <c r="H109" i="3"/>
  <c r="G109" i="3"/>
  <c r="F109" i="3"/>
  <c r="E109" i="3"/>
  <c r="N108" i="3"/>
  <c r="M108" i="3"/>
  <c r="L108" i="3"/>
  <c r="K108" i="3"/>
  <c r="J108" i="3"/>
  <c r="I108" i="3"/>
  <c r="H108" i="3"/>
  <c r="G108" i="3"/>
  <c r="F108" i="3"/>
  <c r="E108" i="3"/>
  <c r="N107" i="3"/>
  <c r="M107" i="3"/>
  <c r="L107" i="3"/>
  <c r="K107" i="3"/>
  <c r="J107" i="3"/>
  <c r="I107" i="3"/>
  <c r="H107" i="3"/>
  <c r="G107" i="3"/>
  <c r="F107" i="3"/>
  <c r="E107" i="3"/>
  <c r="N106" i="3"/>
  <c r="M106" i="3"/>
  <c r="L106" i="3"/>
  <c r="K106" i="3"/>
  <c r="J106" i="3"/>
  <c r="I106" i="3"/>
  <c r="H106" i="3"/>
  <c r="G106" i="3"/>
  <c r="F106" i="3"/>
  <c r="E106" i="3"/>
  <c r="N105" i="3"/>
  <c r="M105" i="3"/>
  <c r="L105" i="3"/>
  <c r="K105" i="3"/>
  <c r="J105" i="3"/>
  <c r="I105" i="3"/>
  <c r="H105" i="3"/>
  <c r="G105" i="3"/>
  <c r="F105" i="3"/>
  <c r="E105" i="3"/>
  <c r="N104" i="3"/>
  <c r="M104" i="3"/>
  <c r="L104" i="3"/>
  <c r="K104" i="3"/>
  <c r="J104" i="3"/>
  <c r="I104" i="3"/>
  <c r="H104" i="3"/>
  <c r="G104" i="3"/>
  <c r="F104" i="3"/>
  <c r="E104" i="3"/>
  <c r="N103" i="3"/>
  <c r="M103" i="3"/>
  <c r="L103" i="3"/>
  <c r="K103" i="3"/>
  <c r="J103" i="3"/>
  <c r="I103" i="3"/>
  <c r="H103" i="3"/>
  <c r="G103" i="3"/>
  <c r="F103" i="3"/>
  <c r="E103" i="3"/>
  <c r="N102" i="3"/>
  <c r="M102" i="3"/>
  <c r="L102" i="3"/>
  <c r="K102" i="3"/>
  <c r="J102" i="3"/>
  <c r="I102" i="3"/>
  <c r="H102" i="3"/>
  <c r="G102" i="3"/>
  <c r="F102" i="3"/>
  <c r="E102" i="3"/>
  <c r="N100" i="3"/>
  <c r="M100" i="3"/>
  <c r="L100" i="3"/>
  <c r="K100" i="3"/>
  <c r="J100" i="3"/>
  <c r="I100" i="3"/>
  <c r="H100" i="3"/>
  <c r="G100" i="3"/>
  <c r="F100" i="3"/>
  <c r="E100" i="3"/>
  <c r="N94" i="3"/>
  <c r="M94" i="3"/>
  <c r="L94" i="3"/>
  <c r="K94" i="3"/>
  <c r="J94" i="3"/>
  <c r="I94" i="3"/>
  <c r="H94" i="3"/>
  <c r="G94" i="3"/>
  <c r="F94" i="3"/>
  <c r="E94" i="3"/>
  <c r="N92" i="3"/>
  <c r="M92" i="3"/>
  <c r="L92" i="3"/>
  <c r="K92" i="3"/>
  <c r="J92" i="3"/>
  <c r="I92" i="3"/>
  <c r="H92" i="3"/>
  <c r="G92" i="3"/>
  <c r="F92" i="3"/>
  <c r="E92" i="3"/>
  <c r="N91" i="3"/>
  <c r="M91" i="3"/>
  <c r="L91" i="3"/>
  <c r="K91" i="3"/>
  <c r="J91" i="3"/>
  <c r="I91" i="3"/>
  <c r="H91" i="3"/>
  <c r="G91" i="3"/>
  <c r="F91" i="3"/>
  <c r="E91" i="3"/>
  <c r="N90" i="3"/>
  <c r="M90" i="3"/>
  <c r="L90" i="3"/>
  <c r="K90" i="3"/>
  <c r="J90" i="3"/>
  <c r="I90" i="3"/>
  <c r="H90" i="3"/>
  <c r="G90" i="3"/>
  <c r="F90" i="3"/>
  <c r="E90" i="3"/>
  <c r="N89" i="3"/>
  <c r="M89" i="3"/>
  <c r="L89" i="3"/>
  <c r="K89" i="3"/>
  <c r="J89" i="3"/>
  <c r="I89" i="3"/>
  <c r="H89" i="3"/>
  <c r="G89" i="3"/>
  <c r="F89" i="3"/>
  <c r="E89" i="3"/>
  <c r="N88" i="3"/>
  <c r="M88" i="3"/>
  <c r="L88" i="3"/>
  <c r="K88" i="3"/>
  <c r="J88" i="3"/>
  <c r="I88" i="3"/>
  <c r="H88" i="3"/>
  <c r="G88" i="3"/>
  <c r="F88" i="3"/>
  <c r="E88" i="3"/>
  <c r="N87" i="3"/>
  <c r="M87" i="3"/>
  <c r="L87" i="3"/>
  <c r="K87" i="3"/>
  <c r="J87" i="3"/>
  <c r="I87" i="3"/>
  <c r="H87" i="3"/>
  <c r="G87" i="3"/>
  <c r="F87" i="3"/>
  <c r="E87" i="3"/>
  <c r="F95" i="5" s="1"/>
  <c r="Q94" i="5" s="1"/>
  <c r="F98" i="5" s="1"/>
  <c r="Q97" i="5" s="1"/>
  <c r="N85" i="3"/>
  <c r="M85" i="3"/>
  <c r="L85" i="3"/>
  <c r="K85" i="3"/>
  <c r="J85" i="3"/>
  <c r="I85" i="3"/>
  <c r="H85" i="3"/>
  <c r="G85" i="3"/>
  <c r="F85" i="3"/>
  <c r="E85" i="3"/>
  <c r="N81" i="3"/>
  <c r="M81" i="3"/>
  <c r="L81" i="3"/>
  <c r="K81" i="3"/>
  <c r="J81" i="3"/>
  <c r="I81" i="3"/>
  <c r="H81" i="3"/>
  <c r="G81" i="3"/>
  <c r="F81" i="3"/>
  <c r="E81" i="3"/>
  <c r="N80" i="3"/>
  <c r="M80" i="3"/>
  <c r="L80" i="3"/>
  <c r="K80" i="3"/>
  <c r="J80" i="3"/>
  <c r="I80" i="3"/>
  <c r="H80" i="3"/>
  <c r="G80" i="3"/>
  <c r="F80" i="3"/>
  <c r="E80" i="3"/>
  <c r="N79" i="3"/>
  <c r="M79" i="3"/>
  <c r="L79" i="3"/>
  <c r="K79" i="3"/>
  <c r="J79" i="3"/>
  <c r="I79" i="3"/>
  <c r="H79" i="3"/>
  <c r="G79" i="3"/>
  <c r="F79" i="3"/>
  <c r="E79" i="3"/>
  <c r="N78" i="3"/>
  <c r="M78" i="3"/>
  <c r="L78" i="3"/>
  <c r="K78" i="3"/>
  <c r="J78" i="3"/>
  <c r="I78" i="3"/>
  <c r="H78" i="3"/>
  <c r="G78" i="3"/>
  <c r="F78" i="3"/>
  <c r="E78" i="3"/>
  <c r="N76" i="3"/>
  <c r="M76" i="3"/>
  <c r="L76" i="3"/>
  <c r="K76" i="3"/>
  <c r="J76" i="3"/>
  <c r="I76" i="3"/>
  <c r="H76" i="3"/>
  <c r="G76" i="3"/>
  <c r="F76" i="3"/>
  <c r="E76" i="3"/>
  <c r="N71" i="3"/>
  <c r="M71" i="3"/>
  <c r="L71" i="3"/>
  <c r="K71" i="3"/>
  <c r="J71" i="3"/>
  <c r="I71" i="3"/>
  <c r="H71" i="3"/>
  <c r="G71" i="3"/>
  <c r="F71" i="3"/>
  <c r="E71" i="3"/>
  <c r="N69" i="3"/>
  <c r="M69" i="3"/>
  <c r="L69" i="3"/>
  <c r="K69" i="3"/>
  <c r="J69" i="3"/>
  <c r="I69" i="3"/>
  <c r="H69" i="3"/>
  <c r="G69" i="3"/>
  <c r="F69" i="3"/>
  <c r="E69" i="3"/>
  <c r="N68" i="3"/>
  <c r="M68" i="3"/>
  <c r="L68" i="3"/>
  <c r="K68" i="3"/>
  <c r="J68" i="3"/>
  <c r="I68" i="3"/>
  <c r="H68" i="3"/>
  <c r="G68" i="3"/>
  <c r="F68" i="3"/>
  <c r="E68" i="3"/>
  <c r="N64" i="3"/>
  <c r="M64" i="3"/>
  <c r="L64" i="3"/>
  <c r="K64" i="3"/>
  <c r="J64" i="3"/>
  <c r="I64" i="3"/>
  <c r="H64" i="3"/>
  <c r="G64" i="3"/>
  <c r="F64" i="3"/>
  <c r="E64" i="3"/>
  <c r="N62" i="3"/>
  <c r="M62" i="3"/>
  <c r="L62" i="3"/>
  <c r="K62" i="3"/>
  <c r="J62" i="3"/>
  <c r="I62" i="3"/>
  <c r="H62" i="3"/>
  <c r="G62" i="3"/>
  <c r="F62" i="3"/>
  <c r="E62" i="3"/>
  <c r="N60" i="3"/>
  <c r="M60" i="3"/>
  <c r="L60" i="3"/>
  <c r="K60" i="3"/>
  <c r="J60" i="3"/>
  <c r="I60" i="3"/>
  <c r="H60" i="3"/>
  <c r="G60" i="3"/>
  <c r="F60" i="3"/>
  <c r="E60" i="3"/>
  <c r="N59" i="3"/>
  <c r="M59" i="3"/>
  <c r="L59" i="3"/>
  <c r="K59" i="3"/>
  <c r="J59" i="3"/>
  <c r="I59" i="3"/>
  <c r="H59" i="3"/>
  <c r="G59" i="3"/>
  <c r="F59" i="3"/>
  <c r="E59" i="3"/>
  <c r="N58" i="3"/>
  <c r="M58" i="3"/>
  <c r="L58" i="3"/>
  <c r="K58" i="3"/>
  <c r="J58" i="3"/>
  <c r="I58" i="3"/>
  <c r="H58" i="3"/>
  <c r="G58" i="3"/>
  <c r="F58" i="3"/>
  <c r="E58" i="3"/>
  <c r="N57" i="3"/>
  <c r="O77" i="5" s="1"/>
  <c r="M57" i="3"/>
  <c r="N77" i="5" s="1"/>
  <c r="L57" i="3"/>
  <c r="M77" i="5" s="1"/>
  <c r="K57" i="3"/>
  <c r="L77" i="5" s="1"/>
  <c r="J57" i="3"/>
  <c r="K77" i="5" s="1"/>
  <c r="I57" i="3"/>
  <c r="J77" i="5" s="1"/>
  <c r="H57" i="3"/>
  <c r="I77" i="5" s="1"/>
  <c r="G57" i="3"/>
  <c r="H77" i="5" s="1"/>
  <c r="F57" i="3"/>
  <c r="G77" i="5" s="1"/>
  <c r="E57" i="3"/>
  <c r="F77" i="5" s="1"/>
  <c r="Q76" i="5" s="1"/>
  <c r="F80" i="5" s="1"/>
  <c r="Q79" i="5" s="1"/>
  <c r="N56" i="3"/>
  <c r="M56" i="3"/>
  <c r="L56" i="3"/>
  <c r="K56" i="3"/>
  <c r="J56" i="3"/>
  <c r="I56" i="3"/>
  <c r="H56" i="3"/>
  <c r="G56" i="3"/>
  <c r="F56" i="3"/>
  <c r="E56" i="3"/>
  <c r="N53" i="3"/>
  <c r="M53" i="3"/>
  <c r="L53" i="3"/>
  <c r="K53" i="3"/>
  <c r="J53" i="3"/>
  <c r="I53" i="3"/>
  <c r="H53" i="3"/>
  <c r="G53" i="3"/>
  <c r="F53" i="3"/>
  <c r="E53" i="3"/>
  <c r="N52" i="3"/>
  <c r="M52" i="3"/>
  <c r="L52" i="3"/>
  <c r="K52" i="3"/>
  <c r="J52" i="3"/>
  <c r="I52" i="3"/>
  <c r="H52" i="3"/>
  <c r="G52" i="3"/>
  <c r="F52" i="3"/>
  <c r="E52" i="3"/>
  <c r="F83" i="5" s="1"/>
  <c r="Q82" i="5" s="1"/>
  <c r="F86" i="5" s="1"/>
  <c r="Q85" i="5" s="1"/>
  <c r="N51" i="3"/>
  <c r="M51" i="3"/>
  <c r="L51" i="3"/>
  <c r="K51" i="3"/>
  <c r="J51" i="3"/>
  <c r="I51" i="3"/>
  <c r="H51" i="3"/>
  <c r="G51" i="3"/>
  <c r="F51" i="3"/>
  <c r="E51" i="3"/>
  <c r="F89" i="5" s="1"/>
  <c r="Q88" i="5" s="1"/>
  <c r="F92" i="5" s="1"/>
  <c r="Q91" i="5" s="1"/>
  <c r="N47" i="3"/>
  <c r="M47" i="3"/>
  <c r="L47" i="3"/>
  <c r="K47" i="3"/>
  <c r="J47" i="3"/>
  <c r="I47" i="3"/>
  <c r="H47" i="3"/>
  <c r="G47" i="3"/>
  <c r="F47" i="3"/>
  <c r="E47" i="3"/>
  <c r="N45" i="3"/>
  <c r="M45" i="3"/>
  <c r="L45" i="3"/>
  <c r="K45" i="3"/>
  <c r="J45" i="3"/>
  <c r="I45" i="3"/>
  <c r="H45" i="3"/>
  <c r="G45" i="3"/>
  <c r="F45" i="3"/>
  <c r="E45" i="3"/>
  <c r="N44" i="3"/>
  <c r="M44" i="3"/>
  <c r="L44" i="3"/>
  <c r="K44" i="3"/>
  <c r="J44" i="3"/>
  <c r="I44" i="3"/>
  <c r="H44" i="3"/>
  <c r="G44" i="3"/>
  <c r="F44" i="3"/>
  <c r="E44" i="3"/>
  <c r="N43" i="3"/>
  <c r="M43" i="3"/>
  <c r="L43" i="3"/>
  <c r="K43" i="3"/>
  <c r="J43" i="3"/>
  <c r="I43" i="3"/>
  <c r="H43" i="3"/>
  <c r="G43" i="3"/>
  <c r="F43" i="3"/>
  <c r="E43" i="3"/>
  <c r="N42" i="3"/>
  <c r="M42" i="3"/>
  <c r="L42" i="3"/>
  <c r="K42" i="3"/>
  <c r="J42" i="3"/>
  <c r="I42" i="3"/>
  <c r="H42" i="3"/>
  <c r="G42" i="3"/>
  <c r="F42" i="3"/>
  <c r="E42" i="3"/>
  <c r="N41" i="3"/>
  <c r="M41" i="3"/>
  <c r="L41" i="3"/>
  <c r="K41" i="3"/>
  <c r="J41" i="3"/>
  <c r="I41" i="3"/>
  <c r="H41" i="3"/>
  <c r="G41" i="3"/>
  <c r="F41" i="3"/>
  <c r="E41" i="3"/>
  <c r="N40" i="3"/>
  <c r="M40" i="3"/>
  <c r="L40" i="3"/>
  <c r="K40" i="3"/>
  <c r="J40" i="3"/>
  <c r="I40" i="3"/>
  <c r="H40" i="3"/>
  <c r="G40" i="3"/>
  <c r="F40" i="3"/>
  <c r="E40" i="3"/>
  <c r="N37" i="3"/>
  <c r="M37" i="3"/>
  <c r="L37" i="3"/>
  <c r="K37" i="3"/>
  <c r="J37" i="3"/>
  <c r="I37" i="3"/>
  <c r="H37" i="3"/>
  <c r="G37" i="3"/>
  <c r="F37" i="3"/>
  <c r="E37" i="3"/>
  <c r="N36" i="3"/>
  <c r="M36" i="3"/>
  <c r="L36" i="3"/>
  <c r="K36" i="3"/>
  <c r="J36" i="3"/>
  <c r="I36" i="3"/>
  <c r="H36" i="3"/>
  <c r="G36" i="3"/>
  <c r="F36" i="3"/>
  <c r="E36" i="3"/>
  <c r="N35" i="3"/>
  <c r="M35" i="3"/>
  <c r="L35" i="3"/>
  <c r="K35" i="3"/>
  <c r="J35" i="3"/>
  <c r="I35" i="3"/>
  <c r="H35" i="3"/>
  <c r="G35" i="3"/>
  <c r="F35" i="3"/>
  <c r="E35" i="3"/>
  <c r="N34" i="3"/>
  <c r="M34" i="3"/>
  <c r="L34" i="3"/>
  <c r="K34" i="3"/>
  <c r="J34" i="3"/>
  <c r="I34" i="3"/>
  <c r="H34" i="3"/>
  <c r="G34" i="3"/>
  <c r="F34" i="3"/>
  <c r="E34" i="3"/>
  <c r="N33" i="3"/>
  <c r="M33" i="3"/>
  <c r="L33" i="3"/>
  <c r="K33" i="3"/>
  <c r="J33" i="3"/>
  <c r="I33" i="3"/>
  <c r="H33" i="3"/>
  <c r="G33" i="3"/>
  <c r="F33" i="3"/>
  <c r="E33" i="3"/>
  <c r="N32" i="3"/>
  <c r="M32" i="3"/>
  <c r="L32" i="3"/>
  <c r="K32" i="3"/>
  <c r="J32" i="3"/>
  <c r="I32" i="3"/>
  <c r="H32" i="3"/>
  <c r="G32" i="3"/>
  <c r="F32" i="3"/>
  <c r="E32" i="3"/>
  <c r="N31" i="3"/>
  <c r="M31" i="3"/>
  <c r="L31" i="3"/>
  <c r="K31" i="3"/>
  <c r="J31" i="3"/>
  <c r="I31" i="3"/>
  <c r="H31" i="3"/>
  <c r="G31" i="3"/>
  <c r="F31" i="3"/>
  <c r="E31" i="3"/>
  <c r="N24" i="3"/>
  <c r="M24" i="3"/>
  <c r="L24" i="3"/>
  <c r="K24" i="3"/>
  <c r="J24" i="3"/>
  <c r="I24" i="3"/>
  <c r="H24" i="3"/>
  <c r="G24" i="3"/>
  <c r="F24" i="3"/>
  <c r="E24" i="3"/>
  <c r="N23" i="3"/>
  <c r="M23" i="3"/>
  <c r="L23" i="3"/>
  <c r="K23" i="3"/>
  <c r="J23" i="3"/>
  <c r="I23" i="3"/>
  <c r="H23" i="3"/>
  <c r="G23" i="3"/>
  <c r="F23" i="3"/>
  <c r="E23" i="3"/>
  <c r="N21" i="3"/>
  <c r="M21" i="3"/>
  <c r="L21" i="3"/>
  <c r="K21" i="3"/>
  <c r="J21" i="3"/>
  <c r="I21" i="3"/>
  <c r="H21" i="3"/>
  <c r="G21" i="3"/>
  <c r="F21" i="3"/>
  <c r="E21" i="3"/>
  <c r="N20" i="3"/>
  <c r="M20" i="3"/>
  <c r="L20" i="3"/>
  <c r="K20" i="3"/>
  <c r="J20" i="3"/>
  <c r="I20" i="3"/>
  <c r="H20" i="3"/>
  <c r="G20" i="3"/>
  <c r="F20" i="3"/>
  <c r="E20" i="3"/>
  <c r="N18" i="3"/>
  <c r="O33" i="5" s="1"/>
  <c r="M18" i="3"/>
  <c r="N33" i="5" s="1"/>
  <c r="L18" i="3"/>
  <c r="M33" i="5" s="1"/>
  <c r="K18" i="3"/>
  <c r="L33" i="5" s="1"/>
  <c r="J18" i="3"/>
  <c r="K33" i="5" s="1"/>
  <c r="I18" i="3"/>
  <c r="J33" i="5" s="1"/>
  <c r="H18" i="3"/>
  <c r="I33" i="5" s="1"/>
  <c r="G18" i="3"/>
  <c r="H33" i="5" s="1"/>
  <c r="F18" i="3"/>
  <c r="G33" i="5" s="1"/>
  <c r="E18" i="3"/>
  <c r="F33" i="5" s="1"/>
  <c r="N16" i="3"/>
  <c r="O25" i="5" s="1"/>
  <c r="M16" i="3"/>
  <c r="N25" i="5" s="1"/>
  <c r="L16" i="3"/>
  <c r="M25" i="5" s="1"/>
  <c r="K16" i="3"/>
  <c r="L25" i="5" s="1"/>
  <c r="J16" i="3"/>
  <c r="K25" i="5" s="1"/>
  <c r="I16" i="3"/>
  <c r="J25" i="5" s="1"/>
  <c r="H16" i="3"/>
  <c r="I25" i="5" s="1"/>
  <c r="G16" i="3"/>
  <c r="H25" i="5" s="1"/>
  <c r="F16" i="3"/>
  <c r="G25" i="5" s="1"/>
  <c r="E16" i="3"/>
  <c r="F25" i="5" s="1"/>
  <c r="N15" i="3"/>
  <c r="O22" i="5" s="1"/>
  <c r="M15" i="3"/>
  <c r="N22" i="5" s="1"/>
  <c r="L15" i="3"/>
  <c r="M22" i="5" s="1"/>
  <c r="K15" i="3"/>
  <c r="L22" i="5" s="1"/>
  <c r="J15" i="3"/>
  <c r="K22" i="5" s="1"/>
  <c r="I15" i="3"/>
  <c r="J22" i="5" s="1"/>
  <c r="H15" i="3"/>
  <c r="I22" i="5" s="1"/>
  <c r="G15" i="3"/>
  <c r="H22" i="5" s="1"/>
  <c r="F15" i="3"/>
  <c r="G22" i="5" s="1"/>
  <c r="E15" i="3"/>
  <c r="F22" i="5" s="1"/>
  <c r="N13" i="3"/>
  <c r="M13" i="3"/>
  <c r="L13" i="3"/>
  <c r="K13" i="3"/>
  <c r="J13" i="3"/>
  <c r="I13" i="3"/>
  <c r="H13" i="3"/>
  <c r="G13" i="3"/>
  <c r="F13" i="3"/>
  <c r="E13" i="3"/>
  <c r="N12" i="3"/>
  <c r="M12" i="3"/>
  <c r="L12" i="3"/>
  <c r="K12" i="3"/>
  <c r="J12" i="3"/>
  <c r="I12" i="3"/>
  <c r="H12" i="3"/>
  <c r="G12" i="3"/>
  <c r="F12" i="3"/>
  <c r="E12" i="3"/>
  <c r="N11" i="3"/>
  <c r="M11" i="3"/>
  <c r="L11" i="3"/>
  <c r="K11" i="3"/>
  <c r="J11" i="3"/>
  <c r="I11" i="3"/>
  <c r="H11" i="3"/>
  <c r="G11" i="3"/>
  <c r="F11" i="3"/>
  <c r="E11" i="3"/>
  <c r="N8" i="3"/>
  <c r="M8" i="3"/>
  <c r="L8" i="3"/>
  <c r="K8" i="3"/>
  <c r="J8" i="3"/>
  <c r="I8" i="3"/>
  <c r="H8" i="3"/>
  <c r="G8" i="3"/>
  <c r="F8" i="3"/>
  <c r="E8" i="3"/>
  <c r="N7" i="3"/>
  <c r="M7" i="3"/>
  <c r="L7" i="3"/>
  <c r="K7" i="3"/>
  <c r="J7" i="3"/>
  <c r="I7" i="3"/>
  <c r="H7" i="3"/>
  <c r="G7" i="3"/>
  <c r="F7" i="3"/>
  <c r="E7" i="3"/>
  <c r="C68" i="2"/>
  <c r="L68" i="2" s="1"/>
  <c r="C12" i="1"/>
  <c r="C9" i="1"/>
  <c r="E132" i="3" l="1"/>
  <c r="I132" i="3"/>
  <c r="M132" i="3"/>
  <c r="E142" i="3"/>
  <c r="I142" i="3"/>
  <c r="M142" i="3"/>
  <c r="E9" i="4"/>
  <c r="E14" i="4" s="1"/>
  <c r="E17" i="4" s="1"/>
  <c r="E19" i="4" s="1"/>
  <c r="E22" i="4" s="1"/>
  <c r="I9" i="4"/>
  <c r="I14" i="4" s="1"/>
  <c r="I17" i="4" s="1"/>
  <c r="I19" i="4" s="1"/>
  <c r="I22" i="4" s="1"/>
  <c r="M9" i="4"/>
  <c r="M14" i="4" s="1"/>
  <c r="M17" i="4" s="1"/>
  <c r="M19" i="4" s="1"/>
  <c r="M22" i="4" s="1"/>
  <c r="O132" i="7"/>
  <c r="F52" i="7"/>
  <c r="D89" i="7"/>
  <c r="D96" i="7" s="1"/>
  <c r="L94" i="7"/>
  <c r="N132" i="7"/>
  <c r="F35" i="8"/>
  <c r="J35" i="8"/>
  <c r="H89" i="7"/>
  <c r="H96" i="7" s="1"/>
  <c r="H97" i="7" s="1"/>
  <c r="H98" i="7" s="1"/>
  <c r="H32" i="9" s="1"/>
  <c r="E52" i="7"/>
  <c r="L89" i="7"/>
  <c r="L96" i="7" s="1"/>
  <c r="F113" i="7"/>
  <c r="L118" i="3"/>
  <c r="L120" i="3" s="1"/>
  <c r="M122" i="7"/>
  <c r="M113" i="7" s="1"/>
  <c r="F25" i="3"/>
  <c r="J25" i="3"/>
  <c r="N25" i="3"/>
  <c r="O49" i="5" s="1"/>
  <c r="O57" i="5" s="1"/>
  <c r="H38" i="3"/>
  <c r="L38" i="3"/>
  <c r="H46" i="3"/>
  <c r="L46" i="3"/>
  <c r="L48" i="3" s="1"/>
  <c r="H61" i="3"/>
  <c r="L61" i="3"/>
  <c r="F70" i="3"/>
  <c r="F72" i="3" s="1"/>
  <c r="J70" i="3"/>
  <c r="J72" i="3" s="1"/>
  <c r="K8" i="5" s="1"/>
  <c r="N70" i="3"/>
  <c r="N72" i="3" s="1"/>
  <c r="F93" i="3"/>
  <c r="G120" i="5" s="1"/>
  <c r="J93" i="3"/>
  <c r="K120" i="5" s="1"/>
  <c r="N93" i="3"/>
  <c r="O120" i="5" s="1"/>
  <c r="O123" i="5" s="1"/>
  <c r="F25" i="4"/>
  <c r="J25" i="4"/>
  <c r="N25" i="4"/>
  <c r="F38" i="4"/>
  <c r="F48" i="4" s="1"/>
  <c r="J38" i="4"/>
  <c r="N38" i="4"/>
  <c r="H46" i="4"/>
  <c r="L46" i="4"/>
  <c r="F54" i="4"/>
  <c r="J54" i="4"/>
  <c r="N54" i="4"/>
  <c r="H61" i="4"/>
  <c r="L61" i="4"/>
  <c r="F70" i="4"/>
  <c r="F71" i="4" s="1"/>
  <c r="J70" i="4"/>
  <c r="J71" i="4" s="1"/>
  <c r="N70" i="4"/>
  <c r="N71" i="4" s="1"/>
  <c r="F81" i="4"/>
  <c r="J81" i="4"/>
  <c r="N81" i="4"/>
  <c r="H92" i="4"/>
  <c r="H93" i="4" s="1"/>
  <c r="H94" i="4" s="1"/>
  <c r="L92" i="4"/>
  <c r="F115" i="4"/>
  <c r="F118" i="4" s="1"/>
  <c r="J115" i="4"/>
  <c r="J118" i="4" s="1"/>
  <c r="N115" i="4"/>
  <c r="N118" i="4" s="1"/>
  <c r="H115" i="4"/>
  <c r="H118" i="4" s="1"/>
  <c r="L115" i="4"/>
  <c r="L118" i="4" s="1"/>
  <c r="F130" i="4"/>
  <c r="J130" i="4"/>
  <c r="N130" i="4"/>
  <c r="F140" i="4"/>
  <c r="J140" i="4"/>
  <c r="N140" i="4"/>
  <c r="C8" i="7"/>
  <c r="G8" i="7"/>
  <c r="K8" i="7"/>
  <c r="C44" i="7"/>
  <c r="D39" i="11" s="1"/>
  <c r="G44" i="7"/>
  <c r="K44" i="7"/>
  <c r="I52" i="7"/>
  <c r="C30" i="9"/>
  <c r="G89" i="7"/>
  <c r="J113" i="7"/>
  <c r="U132" i="7"/>
  <c r="G135" i="7"/>
  <c r="K135" i="7"/>
  <c r="K118" i="3"/>
  <c r="K120" i="3" s="1"/>
  <c r="F89" i="7"/>
  <c r="J89" i="7"/>
  <c r="J92" i="7" s="1"/>
  <c r="K117" i="7"/>
  <c r="M132" i="7"/>
  <c r="S132" i="7"/>
  <c r="G118" i="3"/>
  <c r="G120" i="3" s="1"/>
  <c r="K52" i="7"/>
  <c r="H118" i="3"/>
  <c r="H120" i="3" s="1"/>
  <c r="F132" i="3"/>
  <c r="J132" i="3"/>
  <c r="N132" i="3"/>
  <c r="F142" i="3"/>
  <c r="J142" i="3"/>
  <c r="N142" i="3"/>
  <c r="F9" i="4"/>
  <c r="F14" i="4" s="1"/>
  <c r="F17" i="4" s="1"/>
  <c r="F19" i="4" s="1"/>
  <c r="F22" i="4" s="1"/>
  <c r="J9" i="4"/>
  <c r="J14" i="4" s="1"/>
  <c r="J17" i="4" s="1"/>
  <c r="J19" i="4" s="1"/>
  <c r="J22" i="4" s="1"/>
  <c r="N9" i="4"/>
  <c r="N14" i="4" s="1"/>
  <c r="N17" i="4" s="1"/>
  <c r="N19" i="4" s="1"/>
  <c r="N22" i="4" s="1"/>
  <c r="E25" i="3"/>
  <c r="F49" i="5" s="1"/>
  <c r="F57" i="5" s="1"/>
  <c r="I25" i="3"/>
  <c r="M25" i="3"/>
  <c r="G38" i="3"/>
  <c r="K38" i="3"/>
  <c r="K48" i="3" s="1"/>
  <c r="G46" i="3"/>
  <c r="K46" i="3"/>
  <c r="G61" i="3"/>
  <c r="K61" i="3"/>
  <c r="E70" i="3"/>
  <c r="E72" i="3" s="1"/>
  <c r="I70" i="3"/>
  <c r="I72" i="3" s="1"/>
  <c r="M70" i="3"/>
  <c r="M72" i="3" s="1"/>
  <c r="E93" i="3"/>
  <c r="F120" i="5" s="1"/>
  <c r="Q119" i="5" s="1"/>
  <c r="I93" i="3"/>
  <c r="J120" i="5" s="1"/>
  <c r="M93" i="3"/>
  <c r="N120" i="5" s="1"/>
  <c r="G25" i="4"/>
  <c r="K25" i="4"/>
  <c r="G38" i="4"/>
  <c r="K38" i="4"/>
  <c r="E46" i="4"/>
  <c r="I46" i="4"/>
  <c r="M46" i="4"/>
  <c r="G54" i="4"/>
  <c r="K54" i="4"/>
  <c r="E61" i="4"/>
  <c r="E63" i="4" s="1"/>
  <c r="I61" i="4"/>
  <c r="M61" i="4"/>
  <c r="G70" i="4"/>
  <c r="G71" i="4" s="1"/>
  <c r="K70" i="4"/>
  <c r="K71" i="4" s="1"/>
  <c r="G81" i="4"/>
  <c r="K81" i="4"/>
  <c r="E92" i="4"/>
  <c r="I92" i="4"/>
  <c r="M92" i="4"/>
  <c r="G130" i="4"/>
  <c r="K130" i="4"/>
  <c r="G140" i="4"/>
  <c r="K140" i="4"/>
  <c r="D8" i="7"/>
  <c r="H8" i="7"/>
  <c r="L8" i="7"/>
  <c r="L14" i="7" s="1"/>
  <c r="G52" i="7"/>
  <c r="G77" i="7"/>
  <c r="E89" i="7"/>
  <c r="E92" i="7" s="1"/>
  <c r="I89" i="7"/>
  <c r="I92" i="7" s="1"/>
  <c r="R132" i="7"/>
  <c r="D80" i="8"/>
  <c r="D81" i="8"/>
  <c r="E68" i="8"/>
  <c r="E80" i="8" s="1"/>
  <c r="F68" i="8" s="1"/>
  <c r="F80" i="8" s="1"/>
  <c r="G68" i="8" s="1"/>
  <c r="G80" i="8" s="1"/>
  <c r="F118" i="3"/>
  <c r="F120" i="3" s="1"/>
  <c r="F143" i="3" s="1"/>
  <c r="F146" i="3" s="1"/>
  <c r="J118" i="3"/>
  <c r="J120" i="3" s="1"/>
  <c r="N118" i="3"/>
  <c r="N120" i="3" s="1"/>
  <c r="K13" i="7"/>
  <c r="G45" i="7"/>
  <c r="K45" i="7"/>
  <c r="J78" i="7"/>
  <c r="E120" i="7"/>
  <c r="E119" i="7" s="1"/>
  <c r="I120" i="7"/>
  <c r="I119" i="7" s="1"/>
  <c r="G25" i="3"/>
  <c r="K25" i="3"/>
  <c r="E46" i="3"/>
  <c r="I46" i="3"/>
  <c r="M46" i="3"/>
  <c r="Q100" i="5"/>
  <c r="G70" i="3"/>
  <c r="G72" i="3" s="1"/>
  <c r="C11" i="6" s="1"/>
  <c r="K70" i="3"/>
  <c r="K72" i="3" s="1"/>
  <c r="G82" i="3"/>
  <c r="K82" i="3"/>
  <c r="G132" i="3"/>
  <c r="G143" i="3" s="1"/>
  <c r="G146" i="3" s="1"/>
  <c r="G147" i="3" s="1"/>
  <c r="K132" i="3"/>
  <c r="G142" i="3"/>
  <c r="K142" i="3"/>
  <c r="G9" i="4"/>
  <c r="G14" i="4" s="1"/>
  <c r="G17" i="4" s="1"/>
  <c r="G19" i="4" s="1"/>
  <c r="G22" i="4" s="1"/>
  <c r="G26" i="4" s="1"/>
  <c r="K9" i="4"/>
  <c r="K14" i="4" s="1"/>
  <c r="K17" i="4" s="1"/>
  <c r="K19" i="4" s="1"/>
  <c r="K22" i="4" s="1"/>
  <c r="E41" i="7"/>
  <c r="I41" i="7"/>
  <c r="I37" i="7"/>
  <c r="I42" i="7" s="1"/>
  <c r="K77" i="7"/>
  <c r="K78" i="7"/>
  <c r="O82" i="7"/>
  <c r="F120" i="7"/>
  <c r="F119" i="7" s="1"/>
  <c r="J120" i="7"/>
  <c r="H68" i="2"/>
  <c r="D68" i="2"/>
  <c r="I68" i="2"/>
  <c r="E68" i="2"/>
  <c r="J68" i="2"/>
  <c r="F68" i="2"/>
  <c r="E35" i="8"/>
  <c r="I35" i="8"/>
  <c r="H25" i="3"/>
  <c r="L25" i="3"/>
  <c r="M49" i="5" s="1"/>
  <c r="M57" i="5" s="1"/>
  <c r="F46" i="3"/>
  <c r="J46" i="3"/>
  <c r="N46" i="3"/>
  <c r="H70" i="3"/>
  <c r="H72" i="3" s="1"/>
  <c r="D11" i="6" s="1"/>
  <c r="L70" i="3"/>
  <c r="L72" i="3" s="1"/>
  <c r="M17" i="5" s="1"/>
  <c r="H82" i="3"/>
  <c r="L82" i="3"/>
  <c r="H132" i="3"/>
  <c r="L132" i="3"/>
  <c r="L143" i="3" s="1"/>
  <c r="L146" i="3" s="1"/>
  <c r="L147" i="3" s="1"/>
  <c r="H142" i="3"/>
  <c r="L142" i="3"/>
  <c r="H9" i="4"/>
  <c r="H14" i="4" s="1"/>
  <c r="H17" i="4" s="1"/>
  <c r="H19" i="4" s="1"/>
  <c r="H22" i="4" s="1"/>
  <c r="H26" i="4" s="1"/>
  <c r="L9" i="4"/>
  <c r="L14" i="4" s="1"/>
  <c r="L17" i="4" s="1"/>
  <c r="L19" i="4" s="1"/>
  <c r="L22" i="4" s="1"/>
  <c r="L26" i="4" s="1"/>
  <c r="H25" i="4"/>
  <c r="L25" i="4"/>
  <c r="H38" i="4"/>
  <c r="H48" i="4" s="1"/>
  <c r="L38" i="4"/>
  <c r="L48" i="4" s="1"/>
  <c r="F46" i="4"/>
  <c r="J46" i="4"/>
  <c r="N46" i="4"/>
  <c r="N48" i="4" s="1"/>
  <c r="H54" i="4"/>
  <c r="H63" i="4" s="1"/>
  <c r="L54" i="4"/>
  <c r="L63" i="4" s="1"/>
  <c r="F61" i="4"/>
  <c r="J61" i="4"/>
  <c r="N61" i="4"/>
  <c r="N63" i="4" s="1"/>
  <c r="H70" i="4"/>
  <c r="H71" i="4" s="1"/>
  <c r="L70" i="4"/>
  <c r="L71" i="4" s="1"/>
  <c r="H81" i="4"/>
  <c r="L81" i="4"/>
  <c r="L93" i="4" s="1"/>
  <c r="L94" i="4" s="1"/>
  <c r="F92" i="4"/>
  <c r="F93" i="4" s="1"/>
  <c r="F94" i="4" s="1"/>
  <c r="J92" i="4"/>
  <c r="J93" i="4" s="1"/>
  <c r="J94" i="4" s="1"/>
  <c r="N92" i="4"/>
  <c r="N93" i="4" s="1"/>
  <c r="H130" i="4"/>
  <c r="H141" i="4" s="1"/>
  <c r="H143" i="4" s="1"/>
  <c r="H144" i="4" s="1"/>
  <c r="L130" i="4"/>
  <c r="H140" i="4"/>
  <c r="L140" i="4"/>
  <c r="C13" i="7"/>
  <c r="T82" i="7"/>
  <c r="F92" i="7"/>
  <c r="C120" i="7"/>
  <c r="C119" i="7" s="1"/>
  <c r="G120" i="7"/>
  <c r="G119" i="7" s="1"/>
  <c r="K120" i="7"/>
  <c r="K119" i="7" s="1"/>
  <c r="H113" i="7"/>
  <c r="E118" i="3"/>
  <c r="E120" i="3" s="1"/>
  <c r="E143" i="3" s="1"/>
  <c r="E146" i="3" s="1"/>
  <c r="E147" i="3" s="1"/>
  <c r="I118" i="3"/>
  <c r="I120" i="3" s="1"/>
  <c r="M118" i="3"/>
  <c r="M120" i="3" s="1"/>
  <c r="K143" i="3"/>
  <c r="K146" i="3" s="1"/>
  <c r="K147" i="3" s="1"/>
  <c r="E25" i="4"/>
  <c r="E26" i="4" s="1"/>
  <c r="I25" i="4"/>
  <c r="M25" i="4"/>
  <c r="E38" i="4"/>
  <c r="I38" i="4"/>
  <c r="M38" i="4"/>
  <c r="G46" i="4"/>
  <c r="G48" i="4" s="1"/>
  <c r="K46" i="4"/>
  <c r="K48" i="4" s="1"/>
  <c r="E54" i="4"/>
  <c r="I54" i="4"/>
  <c r="M54" i="4"/>
  <c r="M63" i="4" s="1"/>
  <c r="G61" i="4"/>
  <c r="G63" i="4" s="1"/>
  <c r="K61" i="4"/>
  <c r="K63" i="4" s="1"/>
  <c r="E70" i="4"/>
  <c r="E71" i="4" s="1"/>
  <c r="I70" i="4"/>
  <c r="I71" i="4" s="1"/>
  <c r="M70" i="4"/>
  <c r="M71" i="4" s="1"/>
  <c r="E81" i="4"/>
  <c r="E93" i="4" s="1"/>
  <c r="I81" i="4"/>
  <c r="M81" i="4"/>
  <c r="M93" i="4" s="1"/>
  <c r="G92" i="4"/>
  <c r="G93" i="4" s="1"/>
  <c r="G94" i="4" s="1"/>
  <c r="K92" i="4"/>
  <c r="K93" i="4" s="1"/>
  <c r="K94" i="4" s="1"/>
  <c r="E115" i="4"/>
  <c r="E118" i="4" s="1"/>
  <c r="I115" i="4"/>
  <c r="I118" i="4" s="1"/>
  <c r="M115" i="4"/>
  <c r="M118" i="4" s="1"/>
  <c r="G115" i="4"/>
  <c r="G118" i="4" s="1"/>
  <c r="K115" i="4"/>
  <c r="K118" i="4" s="1"/>
  <c r="K141" i="4" s="1"/>
  <c r="K143" i="4" s="1"/>
  <c r="K144" i="4" s="1"/>
  <c r="E130" i="4"/>
  <c r="I130" i="4"/>
  <c r="M130" i="4"/>
  <c r="E140" i="4"/>
  <c r="I140" i="4"/>
  <c r="M140" i="4"/>
  <c r="G13" i="7"/>
  <c r="J52" i="7"/>
  <c r="H71" i="7"/>
  <c r="L71" i="7"/>
  <c r="D71" i="7"/>
  <c r="G96" i="7"/>
  <c r="G97" i="7" s="1"/>
  <c r="K96" i="7"/>
  <c r="K97" i="7" s="1"/>
  <c r="D120" i="7"/>
  <c r="D119" i="7" s="1"/>
  <c r="H120" i="7"/>
  <c r="H119" i="7" s="1"/>
  <c r="L120" i="7"/>
  <c r="L119" i="7" s="1"/>
  <c r="Q132" i="7"/>
  <c r="V132" i="7"/>
  <c r="K49" i="5"/>
  <c r="K57" i="5" s="1"/>
  <c r="G8" i="5"/>
  <c r="J11" i="6"/>
  <c r="O8" i="5"/>
  <c r="G123" i="5"/>
  <c r="K123" i="5"/>
  <c r="F26" i="4"/>
  <c r="J26" i="4"/>
  <c r="N26" i="4"/>
  <c r="G49" i="5"/>
  <c r="G57" i="5" s="1"/>
  <c r="H48" i="3"/>
  <c r="H49" i="5"/>
  <c r="H57" i="5" s="1"/>
  <c r="L49" i="5"/>
  <c r="L57" i="5" s="1"/>
  <c r="G11" i="6"/>
  <c r="L8" i="5"/>
  <c r="K26" i="4"/>
  <c r="E48" i="4"/>
  <c r="M48" i="4"/>
  <c r="I63" i="4"/>
  <c r="I49" i="5"/>
  <c r="I57" i="5" s="1"/>
  <c r="I8" i="5"/>
  <c r="H11" i="6"/>
  <c r="F147" i="3"/>
  <c r="J48" i="4"/>
  <c r="F63" i="4"/>
  <c r="J63" i="4"/>
  <c r="J49" i="5"/>
  <c r="J57" i="5" s="1"/>
  <c r="N49" i="5"/>
  <c r="N57" i="5" s="1"/>
  <c r="G48" i="3"/>
  <c r="F8" i="5"/>
  <c r="E11" i="6"/>
  <c r="J8" i="5"/>
  <c r="I11" i="6"/>
  <c r="N8" i="5"/>
  <c r="J123" i="5"/>
  <c r="N123" i="5"/>
  <c r="I26" i="4"/>
  <c r="M26" i="4"/>
  <c r="H63" i="5"/>
  <c r="H126" i="5" s="1"/>
  <c r="H41" i="5"/>
  <c r="L63" i="5"/>
  <c r="L126" i="5" s="1"/>
  <c r="L41" i="5"/>
  <c r="F74" i="5"/>
  <c r="Q73" i="5" s="1"/>
  <c r="J74" i="5"/>
  <c r="N74" i="5"/>
  <c r="D38" i="8"/>
  <c r="H89" i="5"/>
  <c r="H38" i="8"/>
  <c r="L89" i="5"/>
  <c r="F37" i="8"/>
  <c r="J83" i="5"/>
  <c r="J37" i="8"/>
  <c r="N83" i="5"/>
  <c r="E54" i="3"/>
  <c r="I54" i="3"/>
  <c r="M54" i="3"/>
  <c r="E61" i="3"/>
  <c r="I61" i="3"/>
  <c r="M61" i="3"/>
  <c r="F115" i="5"/>
  <c r="F17" i="5"/>
  <c r="Q16" i="5" s="1"/>
  <c r="F64" i="5"/>
  <c r="J115" i="5"/>
  <c r="J17" i="5"/>
  <c r="J64" i="5"/>
  <c r="N115" i="5"/>
  <c r="N17" i="5"/>
  <c r="N64" i="5"/>
  <c r="D39" i="8"/>
  <c r="H95" i="5"/>
  <c r="H39" i="8"/>
  <c r="L95" i="5"/>
  <c r="G93" i="3"/>
  <c r="H120" i="5" s="1"/>
  <c r="K93" i="3"/>
  <c r="L120" i="5" s="1"/>
  <c r="I63" i="5"/>
  <c r="I126" i="5" s="1"/>
  <c r="I41" i="5"/>
  <c r="M63" i="5"/>
  <c r="M126" i="5" s="1"/>
  <c r="M41" i="5"/>
  <c r="G74" i="5"/>
  <c r="K74" i="5"/>
  <c r="O74" i="5"/>
  <c r="E38" i="8"/>
  <c r="I89" i="5"/>
  <c r="I38" i="8"/>
  <c r="I44" i="8" s="1"/>
  <c r="M89" i="5"/>
  <c r="C37" i="8"/>
  <c r="G83" i="5"/>
  <c r="G37" i="8"/>
  <c r="K83" i="5"/>
  <c r="K37" i="8"/>
  <c r="O83" i="5"/>
  <c r="F54" i="3"/>
  <c r="J54" i="3"/>
  <c r="N54" i="3"/>
  <c r="F61" i="3"/>
  <c r="J61" i="3"/>
  <c r="N61" i="3"/>
  <c r="G115" i="5"/>
  <c r="G64" i="5"/>
  <c r="G17" i="5"/>
  <c r="K115" i="5"/>
  <c r="K64" i="5"/>
  <c r="O115" i="5"/>
  <c r="O64" i="5"/>
  <c r="O17" i="5"/>
  <c r="E39" i="8"/>
  <c r="I95" i="5"/>
  <c r="I39" i="8"/>
  <c r="M95" i="5"/>
  <c r="H93" i="3"/>
  <c r="I120" i="5" s="1"/>
  <c r="L93" i="3"/>
  <c r="M120" i="5" s="1"/>
  <c r="C25" i="8"/>
  <c r="C34" i="8" s="1"/>
  <c r="G20" i="5"/>
  <c r="G25" i="8"/>
  <c r="F6" i="6"/>
  <c r="K20" i="5"/>
  <c r="K25" i="8"/>
  <c r="J6" i="6"/>
  <c r="O20" i="5"/>
  <c r="F9" i="3"/>
  <c r="F14" i="3" s="1"/>
  <c r="G88" i="5" s="1"/>
  <c r="G94" i="5" s="1"/>
  <c r="J9" i="3"/>
  <c r="J14" i="3" s="1"/>
  <c r="K88" i="5" s="1"/>
  <c r="K94" i="5" s="1"/>
  <c r="N9" i="3"/>
  <c r="N14" i="3" s="1"/>
  <c r="I45" i="8"/>
  <c r="D25" i="8"/>
  <c r="C6" i="6"/>
  <c r="H20" i="5"/>
  <c r="H25" i="8"/>
  <c r="G6" i="6"/>
  <c r="L20" i="5"/>
  <c r="G9" i="3"/>
  <c r="G14" i="3" s="1"/>
  <c r="H88" i="5" s="1"/>
  <c r="H94" i="5" s="1"/>
  <c r="K9" i="3"/>
  <c r="K14" i="3" s="1"/>
  <c r="E25" i="8"/>
  <c r="D6" i="6"/>
  <c r="I20" i="5"/>
  <c r="I25" i="8"/>
  <c r="H6" i="6"/>
  <c r="M20" i="5"/>
  <c r="H9" i="3"/>
  <c r="H14" i="3" s="1"/>
  <c r="I88" i="5" s="1"/>
  <c r="I94" i="5" s="1"/>
  <c r="L9" i="3"/>
  <c r="L14" i="3" s="1"/>
  <c r="C35" i="8"/>
  <c r="G35" i="8"/>
  <c r="K35" i="8"/>
  <c r="C14" i="10"/>
  <c r="M93" i="7"/>
  <c r="G68" i="2"/>
  <c r="K68" i="2"/>
  <c r="F20" i="5"/>
  <c r="F25" i="8"/>
  <c r="E6" i="6"/>
  <c r="J20" i="5"/>
  <c r="J25" i="8"/>
  <c r="I6" i="6"/>
  <c r="N20" i="5"/>
  <c r="E9" i="3"/>
  <c r="E14" i="3" s="1"/>
  <c r="F88" i="5" s="1"/>
  <c r="F94" i="5" s="1"/>
  <c r="I9" i="3"/>
  <c r="I14" i="3" s="1"/>
  <c r="M9" i="3"/>
  <c r="M14" i="3" s="1"/>
  <c r="D35" i="8"/>
  <c r="H35" i="8"/>
  <c r="F63" i="5"/>
  <c r="F126" i="5" s="1"/>
  <c r="Q125" i="5" s="1"/>
  <c r="F41" i="5"/>
  <c r="J63" i="5"/>
  <c r="J126" i="5" s="1"/>
  <c r="J41" i="5"/>
  <c r="N63" i="5"/>
  <c r="N126" i="5" s="1"/>
  <c r="N41" i="5"/>
  <c r="H74" i="5"/>
  <c r="L74" i="5"/>
  <c r="E38" i="3"/>
  <c r="I38" i="3"/>
  <c r="I48" i="3" s="1"/>
  <c r="M38" i="3"/>
  <c r="M48" i="3" s="1"/>
  <c r="F38" i="8"/>
  <c r="F44" i="8" s="1"/>
  <c r="J89" i="5"/>
  <c r="J38" i="8"/>
  <c r="J44" i="8" s="1"/>
  <c r="N89" i="5"/>
  <c r="D37" i="8"/>
  <c r="H83" i="5"/>
  <c r="H37" i="8"/>
  <c r="L83" i="5"/>
  <c r="G54" i="3"/>
  <c r="G63" i="3" s="1"/>
  <c r="K54" i="3"/>
  <c r="H115" i="5"/>
  <c r="H64" i="5"/>
  <c r="L115" i="5"/>
  <c r="L64" i="5"/>
  <c r="L17" i="5"/>
  <c r="E82" i="3"/>
  <c r="I82" i="3"/>
  <c r="I95" i="3" s="1"/>
  <c r="I96" i="3" s="1"/>
  <c r="M82" i="3"/>
  <c r="M95" i="3" s="1"/>
  <c r="M96" i="3" s="1"/>
  <c r="F39" i="8"/>
  <c r="J95" i="5"/>
  <c r="J39" i="8"/>
  <c r="N95" i="5"/>
  <c r="G63" i="5"/>
  <c r="G126" i="5" s="1"/>
  <c r="G41" i="5"/>
  <c r="K63" i="5"/>
  <c r="K126" i="5" s="1"/>
  <c r="K41" i="5"/>
  <c r="O63" i="5"/>
  <c r="O126" i="5" s="1"/>
  <c r="O41" i="5"/>
  <c r="I74" i="5"/>
  <c r="M74" i="5"/>
  <c r="F38" i="3"/>
  <c r="J38" i="3"/>
  <c r="J48" i="3" s="1"/>
  <c r="N38" i="3"/>
  <c r="N48" i="3" s="1"/>
  <c r="C38" i="8"/>
  <c r="C44" i="8" s="1"/>
  <c r="G89" i="5"/>
  <c r="G38" i="8"/>
  <c r="G44" i="8" s="1"/>
  <c r="K89" i="5"/>
  <c r="K38" i="8"/>
  <c r="O89" i="5"/>
  <c r="E37" i="8"/>
  <c r="E55" i="8" s="1"/>
  <c r="I83" i="5"/>
  <c r="I37" i="8"/>
  <c r="I55" i="8" s="1"/>
  <c r="M83" i="5"/>
  <c r="H54" i="3"/>
  <c r="H63" i="3" s="1"/>
  <c r="L54" i="3"/>
  <c r="L63" i="3" s="1"/>
  <c r="I115" i="5"/>
  <c r="I17" i="5"/>
  <c r="I64" i="5"/>
  <c r="M115" i="5"/>
  <c r="M64" i="5"/>
  <c r="F82" i="3"/>
  <c r="F95" i="3" s="1"/>
  <c r="F96" i="3" s="1"/>
  <c r="J82" i="3"/>
  <c r="J95" i="3" s="1"/>
  <c r="N82" i="3"/>
  <c r="C39" i="8"/>
  <c r="G95" i="5"/>
  <c r="G39" i="8"/>
  <c r="K95" i="5"/>
  <c r="K39" i="8"/>
  <c r="O95" i="5"/>
  <c r="C7" i="9"/>
  <c r="C31" i="7"/>
  <c r="C18" i="7"/>
  <c r="C14" i="7"/>
  <c r="C9" i="7"/>
  <c r="G7" i="9"/>
  <c r="G31" i="7"/>
  <c r="G40" i="7" s="1"/>
  <c r="G14" i="7"/>
  <c r="G9" i="7"/>
  <c r="K7" i="9"/>
  <c r="K31" i="7"/>
  <c r="K40" i="7" s="1"/>
  <c r="K24" i="7"/>
  <c r="K14" i="7"/>
  <c r="K9" i="7"/>
  <c r="C24" i="7"/>
  <c r="G24" i="7"/>
  <c r="D7" i="9"/>
  <c r="D14" i="7"/>
  <c r="D9" i="7"/>
  <c r="D31" i="7"/>
  <c r="D33" i="7" s="1"/>
  <c r="D24" i="7"/>
  <c r="D15" i="7"/>
  <c r="H7" i="9"/>
  <c r="H14" i="7"/>
  <c r="H9" i="7"/>
  <c r="H31" i="7"/>
  <c r="H24" i="7"/>
  <c r="H15" i="7"/>
  <c r="L9" i="7"/>
  <c r="E8" i="7"/>
  <c r="E24" i="7" s="1"/>
  <c r="I8" i="7"/>
  <c r="D8" i="9"/>
  <c r="D37" i="7"/>
  <c r="H8" i="9"/>
  <c r="H37" i="7"/>
  <c r="H42" i="7" s="1"/>
  <c r="L8" i="9"/>
  <c r="L37" i="7"/>
  <c r="H33" i="7"/>
  <c r="D97" i="7"/>
  <c r="D98" i="7" s="1"/>
  <c r="D32" i="9" s="1"/>
  <c r="L97" i="7"/>
  <c r="L98" i="7" s="1"/>
  <c r="L32" i="9" s="1"/>
  <c r="F8" i="7"/>
  <c r="J8" i="7"/>
  <c r="D13" i="7"/>
  <c r="H13" i="7"/>
  <c r="L13" i="7"/>
  <c r="C40" i="7"/>
  <c r="F41" i="7"/>
  <c r="J41" i="7"/>
  <c r="D42" i="7"/>
  <c r="L42" i="7"/>
  <c r="F8" i="9"/>
  <c r="F37" i="7"/>
  <c r="F42" i="7" s="1"/>
  <c r="J8" i="9"/>
  <c r="J37" i="7"/>
  <c r="J42" i="7" s="1"/>
  <c r="H40" i="7"/>
  <c r="C8" i="9"/>
  <c r="C37" i="7"/>
  <c r="C42" i="7" s="1"/>
  <c r="G8" i="9"/>
  <c r="G37" i="7"/>
  <c r="G42" i="7" s="1"/>
  <c r="K8" i="9"/>
  <c r="K37" i="7"/>
  <c r="K42" i="7" s="1"/>
  <c r="C33" i="7"/>
  <c r="E44" i="7"/>
  <c r="F45" i="7" s="1"/>
  <c r="I44" i="7"/>
  <c r="J45" i="7" s="1"/>
  <c r="D41" i="7"/>
  <c r="H41" i="7"/>
  <c r="L41" i="7"/>
  <c r="E37" i="7"/>
  <c r="E42" i="7" s="1"/>
  <c r="C41" i="7"/>
  <c r="D78" i="7"/>
  <c r="H39" i="11"/>
  <c r="H78" i="7"/>
  <c r="L39" i="11"/>
  <c r="L78" i="7"/>
  <c r="C54" i="2" s="1"/>
  <c r="I71" i="7"/>
  <c r="L77" i="7"/>
  <c r="G110" i="7"/>
  <c r="F117" i="7"/>
  <c r="D44" i="7"/>
  <c r="H44" i="7"/>
  <c r="I39" i="11" s="1"/>
  <c r="L44" i="7"/>
  <c r="J68" i="7"/>
  <c r="E39" i="11"/>
  <c r="E77" i="7"/>
  <c r="I77" i="7"/>
  <c r="C68" i="7"/>
  <c r="H68" i="7"/>
  <c r="C69" i="7"/>
  <c r="E71" i="7"/>
  <c r="J71" i="7"/>
  <c r="H77" i="7"/>
  <c r="E78" i="7"/>
  <c r="L79" i="7"/>
  <c r="C57" i="2" s="1"/>
  <c r="M61" i="7" s="1"/>
  <c r="P82" i="7"/>
  <c r="D92" i="7"/>
  <c r="K98" i="7"/>
  <c r="K32" i="9" s="1"/>
  <c r="C110" i="7"/>
  <c r="I110" i="7"/>
  <c r="K113" i="7"/>
  <c r="G71" i="7"/>
  <c r="K71" i="7"/>
  <c r="F71" i="7"/>
  <c r="D77" i="7"/>
  <c r="J77" i="7"/>
  <c r="F78" i="7"/>
  <c r="H79" i="7"/>
  <c r="V82" i="7"/>
  <c r="R82" i="7"/>
  <c r="N82" i="7"/>
  <c r="Q82" i="7"/>
  <c r="K92" i="7"/>
  <c r="E96" i="7"/>
  <c r="G98" i="7"/>
  <c r="G32" i="9" s="1"/>
  <c r="J119" i="7"/>
  <c r="E110" i="7"/>
  <c r="J110" i="7"/>
  <c r="D117" i="7"/>
  <c r="E113" i="7"/>
  <c r="H117" i="7"/>
  <c r="I113" i="7"/>
  <c r="F81" i="8"/>
  <c r="D52" i="7"/>
  <c r="H52" i="7"/>
  <c r="L52" i="7"/>
  <c r="H30" i="9"/>
  <c r="H69" i="7"/>
  <c r="K68" i="7"/>
  <c r="F77" i="7"/>
  <c r="D79" i="7"/>
  <c r="I79" i="7"/>
  <c r="M82" i="7"/>
  <c r="S82" i="7"/>
  <c r="G92" i="7"/>
  <c r="L92" i="7"/>
  <c r="F96" i="7"/>
  <c r="C98" i="7"/>
  <c r="C32" i="9" s="1"/>
  <c r="F110" i="7"/>
  <c r="K110" i="7"/>
  <c r="K39" i="11"/>
  <c r="G39" i="11"/>
  <c r="G79" i="7"/>
  <c r="C34" i="10"/>
  <c r="C35" i="10" s="1"/>
  <c r="C36" i="10" s="1"/>
  <c r="C30" i="11"/>
  <c r="D110" i="7"/>
  <c r="H110" i="7"/>
  <c r="L110" i="7"/>
  <c r="P132" i="7"/>
  <c r="T132" i="7"/>
  <c r="D30" i="9"/>
  <c r="L30" i="9"/>
  <c r="B144" i="7"/>
  <c r="E30" i="9"/>
  <c r="I30" i="9"/>
  <c r="F30" i="9"/>
  <c r="J30" i="9"/>
  <c r="C16" i="10"/>
  <c r="C23" i="10" s="1"/>
  <c r="G30" i="9"/>
  <c r="K30" i="9"/>
  <c r="C27" i="10"/>
  <c r="B32" i="10" s="1"/>
  <c r="I48" i="4" l="1"/>
  <c r="G33" i="7"/>
  <c r="L24" i="7"/>
  <c r="L7" i="9"/>
  <c r="J96" i="3"/>
  <c r="E95" i="3"/>
  <c r="E96" i="3" s="1"/>
  <c r="H17" i="5"/>
  <c r="D55" i="8"/>
  <c r="K17" i="5"/>
  <c r="M143" i="3"/>
  <c r="M146" i="3" s="1"/>
  <c r="M147" i="3" s="1"/>
  <c r="C76" i="2"/>
  <c r="E81" i="8"/>
  <c r="J96" i="7"/>
  <c r="L31" i="7"/>
  <c r="L33" i="7" s="1"/>
  <c r="F48" i="3"/>
  <c r="E44" i="8"/>
  <c r="I143" i="3"/>
  <c r="I146" i="3" s="1"/>
  <c r="I147" i="3" s="1"/>
  <c r="C26" i="13"/>
  <c r="I96" i="7"/>
  <c r="H92" i="7"/>
  <c r="K33" i="7"/>
  <c r="L15" i="7"/>
  <c r="N95" i="3"/>
  <c r="N96" i="3" s="1"/>
  <c r="H8" i="5"/>
  <c r="M94" i="4"/>
  <c r="K63" i="3"/>
  <c r="E48" i="3"/>
  <c r="F123" i="5"/>
  <c r="Q122" i="5" s="1"/>
  <c r="M8" i="5"/>
  <c r="F11" i="6"/>
  <c r="G141" i="4"/>
  <c r="G143" i="4" s="1"/>
  <c r="G144" i="4" s="1"/>
  <c r="I63" i="3"/>
  <c r="I65" i="3" s="1"/>
  <c r="N94" i="4"/>
  <c r="N143" i="3"/>
  <c r="N146" i="3" s="1"/>
  <c r="N147" i="3" s="1"/>
  <c r="D40" i="7"/>
  <c r="K44" i="8"/>
  <c r="H55" i="8"/>
  <c r="I93" i="4"/>
  <c r="J143" i="3"/>
  <c r="J146" i="3" s="1"/>
  <c r="J147" i="3" s="1"/>
  <c r="E45" i="8"/>
  <c r="L141" i="4"/>
  <c r="L143" i="4" s="1"/>
  <c r="L144" i="4" s="1"/>
  <c r="J141" i="4"/>
  <c r="J143" i="4" s="1"/>
  <c r="J144" i="4" s="1"/>
  <c r="F141" i="4"/>
  <c r="F143" i="4" s="1"/>
  <c r="F144" i="4" s="1"/>
  <c r="I65" i="4"/>
  <c r="I95" i="4" s="1"/>
  <c r="N141" i="4"/>
  <c r="N143" i="4" s="1"/>
  <c r="N144" i="4" s="1"/>
  <c r="M63" i="3"/>
  <c r="M65" i="3" s="1"/>
  <c r="N65" i="4"/>
  <c r="N95" i="4" s="1"/>
  <c r="J39" i="11"/>
  <c r="H143" i="3"/>
  <c r="H146" i="3" s="1"/>
  <c r="H147" i="3" s="1"/>
  <c r="L65" i="4"/>
  <c r="L95" i="4" s="1"/>
  <c r="H65" i="4"/>
  <c r="H95" i="4" s="1"/>
  <c r="I141" i="4"/>
  <c r="I143" i="4" s="1"/>
  <c r="I144" i="4" s="1"/>
  <c r="I94" i="4"/>
  <c r="G65" i="4"/>
  <c r="G95" i="4" s="1"/>
  <c r="C37" i="2"/>
  <c r="E141" i="4"/>
  <c r="E143" i="4" s="1"/>
  <c r="E144" i="4" s="1"/>
  <c r="E94" i="4"/>
  <c r="D72" i="7"/>
  <c r="H11" i="9"/>
  <c r="H14" i="9" s="1"/>
  <c r="F63" i="3"/>
  <c r="F65" i="3" s="1"/>
  <c r="C51" i="2"/>
  <c r="M57" i="7" s="1"/>
  <c r="F39" i="11"/>
  <c r="L40" i="7"/>
  <c r="K11" i="9"/>
  <c r="K14" i="9" s="1"/>
  <c r="M141" i="4"/>
  <c r="M143" i="4" s="1"/>
  <c r="M144" i="4" s="1"/>
  <c r="K65" i="4"/>
  <c r="K95" i="4" s="1"/>
  <c r="M119" i="5"/>
  <c r="M122" i="5"/>
  <c r="M14" i="5"/>
  <c r="L122" i="5"/>
  <c r="L119" i="5"/>
  <c r="L14" i="5"/>
  <c r="I119" i="5"/>
  <c r="I122" i="5"/>
  <c r="I14" i="5"/>
  <c r="H122" i="5"/>
  <c r="H119" i="5"/>
  <c r="H14" i="5"/>
  <c r="I97" i="7"/>
  <c r="I98" i="7" s="1"/>
  <c r="I32" i="9" s="1"/>
  <c r="I54" i="2"/>
  <c r="E54" i="2"/>
  <c r="L54" i="2"/>
  <c r="H54" i="2"/>
  <c r="D54" i="2"/>
  <c r="K54" i="2"/>
  <c r="G54" i="2"/>
  <c r="F54" i="2"/>
  <c r="J54" i="2"/>
  <c r="L45" i="7"/>
  <c r="H40" i="11"/>
  <c r="H41" i="11" s="1"/>
  <c r="H19" i="9"/>
  <c r="K19" i="9"/>
  <c r="K40" i="11"/>
  <c r="K41" i="11" s="1"/>
  <c r="M112" i="5"/>
  <c r="M109" i="5"/>
  <c r="X63" i="5"/>
  <c r="V88" i="5"/>
  <c r="H109" i="5"/>
  <c r="H112" i="5"/>
  <c r="S63" i="5"/>
  <c r="D45" i="8"/>
  <c r="Z129" i="5"/>
  <c r="N82" i="5"/>
  <c r="N73" i="5"/>
  <c r="N50" i="5"/>
  <c r="Y49" i="5" s="1"/>
  <c r="R40" i="6" s="1"/>
  <c r="N45" i="5"/>
  <c r="N34" i="5"/>
  <c r="Y33" i="5" s="1"/>
  <c r="N29" i="5"/>
  <c r="N23" i="5"/>
  <c r="Y22" i="5" s="1"/>
  <c r="N76" i="5"/>
  <c r="Y76" i="5" s="1"/>
  <c r="N70" i="5"/>
  <c r="N53" i="5"/>
  <c r="N42" i="5"/>
  <c r="Y41" i="5" s="1"/>
  <c r="R44" i="6" s="1"/>
  <c r="N37" i="5"/>
  <c r="N26" i="5"/>
  <c r="Y25" i="5" s="1"/>
  <c r="V129" i="5"/>
  <c r="J82" i="5"/>
  <c r="J73" i="5"/>
  <c r="J50" i="5"/>
  <c r="U49" i="5" s="1"/>
  <c r="N40" i="6" s="1"/>
  <c r="J45" i="5"/>
  <c r="J34" i="5"/>
  <c r="U33" i="5" s="1"/>
  <c r="J29" i="5"/>
  <c r="J23" i="5"/>
  <c r="U22" i="5" s="1"/>
  <c r="J76" i="5"/>
  <c r="U76" i="5" s="1"/>
  <c r="J70" i="5"/>
  <c r="J53" i="5"/>
  <c r="J42" i="5"/>
  <c r="U41" i="5" s="1"/>
  <c r="N44" i="6" s="1"/>
  <c r="J37" i="5"/>
  <c r="J26" i="5"/>
  <c r="U25" i="5" s="1"/>
  <c r="R129" i="5"/>
  <c r="F82" i="5"/>
  <c r="F73" i="5"/>
  <c r="F50" i="5"/>
  <c r="Q49" i="5" s="1"/>
  <c r="F45" i="5"/>
  <c r="Q44" i="5" s="1"/>
  <c r="F34" i="5"/>
  <c r="Q33" i="5" s="1"/>
  <c r="F29" i="5"/>
  <c r="Q28" i="5" s="1"/>
  <c r="F23" i="5"/>
  <c r="Q22" i="5" s="1"/>
  <c r="Q19" i="5"/>
  <c r="F76" i="5"/>
  <c r="F70" i="5"/>
  <c r="F53" i="5"/>
  <c r="Q52" i="5" s="1"/>
  <c r="F42" i="5"/>
  <c r="Q41" i="5" s="1"/>
  <c r="F37" i="5"/>
  <c r="Q36" i="5" s="1"/>
  <c r="Q47" i="5" s="1"/>
  <c r="F26" i="5"/>
  <c r="Q25" i="5" s="1"/>
  <c r="M91" i="7"/>
  <c r="M90" i="7"/>
  <c r="M96" i="7"/>
  <c r="N89" i="7"/>
  <c r="F45" i="8"/>
  <c r="F46" i="8" s="1"/>
  <c r="O82" i="5"/>
  <c r="O76" i="5"/>
  <c r="Z76" i="5" s="1"/>
  <c r="O70" i="5"/>
  <c r="O53" i="5"/>
  <c r="O42" i="5"/>
  <c r="Z41" i="5" s="1"/>
  <c r="S44" i="6" s="1"/>
  <c r="O37" i="5"/>
  <c r="O26" i="5"/>
  <c r="Z25" i="5" s="1"/>
  <c r="O73" i="5"/>
  <c r="O50" i="5"/>
  <c r="Z49" i="5" s="1"/>
  <c r="S40" i="6" s="1"/>
  <c r="O45" i="5"/>
  <c r="O34" i="5"/>
  <c r="Z33" i="5" s="1"/>
  <c r="O29" i="5"/>
  <c r="O23" i="5"/>
  <c r="Z22" i="5" s="1"/>
  <c r="W129" i="5"/>
  <c r="K82" i="5"/>
  <c r="K76" i="5"/>
  <c r="V76" i="5" s="1"/>
  <c r="K70" i="5"/>
  <c r="K53" i="5"/>
  <c r="K42" i="5"/>
  <c r="V41" i="5" s="1"/>
  <c r="O44" i="6" s="1"/>
  <c r="K37" i="5"/>
  <c r="K26" i="5"/>
  <c r="V25" i="5" s="1"/>
  <c r="K73" i="5"/>
  <c r="K50" i="5"/>
  <c r="V49" i="5" s="1"/>
  <c r="O40" i="6" s="1"/>
  <c r="K45" i="5"/>
  <c r="K34" i="5"/>
  <c r="V33" i="5" s="1"/>
  <c r="K29" i="5"/>
  <c r="K23" i="5"/>
  <c r="V22" i="5" s="1"/>
  <c r="S129" i="5"/>
  <c r="G82" i="5"/>
  <c r="G76" i="5"/>
  <c r="R76" i="5" s="1"/>
  <c r="G80" i="5" s="1"/>
  <c r="R79" i="5" s="1"/>
  <c r="G70" i="5"/>
  <c r="G53" i="5"/>
  <c r="G42" i="5"/>
  <c r="R41" i="5" s="1"/>
  <c r="G37" i="5"/>
  <c r="G26" i="5"/>
  <c r="R25" i="5" s="1"/>
  <c r="G73" i="5"/>
  <c r="G50" i="5"/>
  <c r="R49" i="5" s="1"/>
  <c r="G45" i="5"/>
  <c r="G34" i="5"/>
  <c r="R33" i="5" s="1"/>
  <c r="G29" i="5"/>
  <c r="G23" i="5"/>
  <c r="R22" i="5" s="1"/>
  <c r="I123" i="5"/>
  <c r="T122" i="5" s="1"/>
  <c r="M76" i="6" s="1"/>
  <c r="T119" i="5"/>
  <c r="M72" i="6" s="1"/>
  <c r="E46" i="8"/>
  <c r="G109" i="5"/>
  <c r="G112" i="5"/>
  <c r="R63" i="5"/>
  <c r="G122" i="5"/>
  <c r="G119" i="5"/>
  <c r="R119" i="5" s="1"/>
  <c r="K55" i="8"/>
  <c r="C55" i="8"/>
  <c r="D56" i="8" s="1"/>
  <c r="N119" i="5"/>
  <c r="Y119" i="5" s="1"/>
  <c r="R72" i="6" s="1"/>
  <c r="N122" i="5"/>
  <c r="Y122" i="5" s="1"/>
  <c r="R76" i="6" s="1"/>
  <c r="Y82" i="5"/>
  <c r="N14" i="5"/>
  <c r="F107" i="5"/>
  <c r="Q106" i="5" s="1"/>
  <c r="F110" i="5"/>
  <c r="Q109" i="5" s="1"/>
  <c r="F104" i="5"/>
  <c r="Q103" i="5" s="1"/>
  <c r="Q7" i="5"/>
  <c r="G65" i="3"/>
  <c r="F65" i="4"/>
  <c r="F95" i="4" s="1"/>
  <c r="I107" i="5"/>
  <c r="I110" i="5"/>
  <c r="I104" i="5"/>
  <c r="M65" i="4"/>
  <c r="M95" i="4" s="1"/>
  <c r="K95" i="3"/>
  <c r="K96" i="3" s="1"/>
  <c r="R122" i="5"/>
  <c r="G110" i="5"/>
  <c r="R109" i="5" s="1"/>
  <c r="G104" i="5"/>
  <c r="G107" i="5"/>
  <c r="C37" i="10"/>
  <c r="F97" i="7"/>
  <c r="F98" i="7" s="1"/>
  <c r="F32" i="9" s="1"/>
  <c r="C72" i="7"/>
  <c r="H68" i="8"/>
  <c r="H80" i="8" s="1"/>
  <c r="G81" i="8"/>
  <c r="J97" i="7"/>
  <c r="J98" i="7" s="1"/>
  <c r="M60" i="7"/>
  <c r="I45" i="7"/>
  <c r="H45" i="7"/>
  <c r="J7" i="9"/>
  <c r="J31" i="7"/>
  <c r="J15" i="7"/>
  <c r="J14" i="7"/>
  <c r="J9" i="7"/>
  <c r="I7" i="9"/>
  <c r="I11" i="9" s="1"/>
  <c r="I14" i="9" s="1"/>
  <c r="I31" i="7"/>
  <c r="I15" i="7"/>
  <c r="I14" i="7"/>
  <c r="I9" i="7"/>
  <c r="J24" i="7"/>
  <c r="C23" i="2" s="1"/>
  <c r="K15" i="7"/>
  <c r="G11" i="9"/>
  <c r="G14" i="9" s="1"/>
  <c r="V94" i="5"/>
  <c r="K98" i="5" s="1"/>
  <c r="V97" i="5" s="1"/>
  <c r="AS49" i="6" s="1"/>
  <c r="L109" i="5"/>
  <c r="L112" i="5"/>
  <c r="W63" i="5"/>
  <c r="E56" i="8"/>
  <c r="N19" i="5"/>
  <c r="Y19" i="5" s="1"/>
  <c r="M17" i="3"/>
  <c r="M19" i="5"/>
  <c r="X19" i="5" s="1"/>
  <c r="L17" i="3"/>
  <c r="M88" i="5"/>
  <c r="M94" i="5" s="1"/>
  <c r="X94" i="5" s="1"/>
  <c r="M98" i="5" s="1"/>
  <c r="X97" i="5" s="1"/>
  <c r="AU49" i="6" s="1"/>
  <c r="L19" i="5"/>
  <c r="K17" i="3"/>
  <c r="L88" i="5"/>
  <c r="L94" i="5" s="1"/>
  <c r="W94" i="5" s="1"/>
  <c r="L98" i="5" s="1"/>
  <c r="W97" i="5" s="1"/>
  <c r="AT49" i="6" s="1"/>
  <c r="O19" i="5"/>
  <c r="Z19" i="5" s="1"/>
  <c r="N17" i="3"/>
  <c r="O88" i="5"/>
  <c r="O94" i="5" s="1"/>
  <c r="Z94" i="5" s="1"/>
  <c r="O98" i="5" s="1"/>
  <c r="Z97" i="5" s="1"/>
  <c r="AW49" i="6" s="1"/>
  <c r="K109" i="5"/>
  <c r="K112" i="5"/>
  <c r="V63" i="5"/>
  <c r="V82" i="5"/>
  <c r="Z73" i="5"/>
  <c r="R73" i="5"/>
  <c r="L123" i="5"/>
  <c r="W122" i="5" s="1"/>
  <c r="P76" i="6" s="1"/>
  <c r="W119" i="5"/>
  <c r="P72" i="6" s="1"/>
  <c r="S94" i="5"/>
  <c r="H98" i="5" s="1"/>
  <c r="S97" i="5" s="1"/>
  <c r="AP49" i="6" s="1"/>
  <c r="F112" i="5"/>
  <c r="F109" i="5"/>
  <c r="Q63" i="5"/>
  <c r="J119" i="5"/>
  <c r="U119" i="5" s="1"/>
  <c r="N72" i="6" s="1"/>
  <c r="J122" i="5"/>
  <c r="J55" i="8"/>
  <c r="H44" i="8"/>
  <c r="C50" i="8" s="1"/>
  <c r="Y73" i="5"/>
  <c r="J107" i="5"/>
  <c r="J110" i="5"/>
  <c r="J104" i="5"/>
  <c r="M107" i="5"/>
  <c r="M110" i="5"/>
  <c r="X109" i="5" s="1"/>
  <c r="Q64" i="6" s="1"/>
  <c r="M104" i="5"/>
  <c r="G95" i="3"/>
  <c r="G96" i="3" s="1"/>
  <c r="K110" i="5"/>
  <c r="V109" i="5" s="1"/>
  <c r="O64" i="6" s="1"/>
  <c r="K104" i="5"/>
  <c r="K107" i="5"/>
  <c r="C95" i="2"/>
  <c r="I76" i="2"/>
  <c r="E76" i="2"/>
  <c r="L76" i="2"/>
  <c r="H76" i="2"/>
  <c r="D76" i="2"/>
  <c r="K76" i="2"/>
  <c r="G76" i="2"/>
  <c r="J76" i="2"/>
  <c r="F76" i="2"/>
  <c r="E97" i="7"/>
  <c r="E98" i="7" s="1"/>
  <c r="E32" i="9" s="1"/>
  <c r="K51" i="2"/>
  <c r="G51" i="2"/>
  <c r="J51" i="2"/>
  <c r="F51" i="2"/>
  <c r="I51" i="2"/>
  <c r="E51" i="2"/>
  <c r="L51" i="2"/>
  <c r="H51" i="2"/>
  <c r="D51" i="2"/>
  <c r="E45" i="7"/>
  <c r="C40" i="2"/>
  <c r="F7" i="9"/>
  <c r="F11" i="9" s="1"/>
  <c r="F14" i="9" s="1"/>
  <c r="F31" i="7"/>
  <c r="F15" i="7"/>
  <c r="F14" i="7"/>
  <c r="F9" i="7"/>
  <c r="E7" i="9"/>
  <c r="E11" i="9" s="1"/>
  <c r="E14" i="9" s="1"/>
  <c r="E31" i="7"/>
  <c r="E15" i="7"/>
  <c r="E14" i="7"/>
  <c r="E9" i="7"/>
  <c r="F24" i="7"/>
  <c r="L11" i="9"/>
  <c r="L14" i="9" s="1"/>
  <c r="D11" i="9"/>
  <c r="D14" i="9" s="1"/>
  <c r="C11" i="9"/>
  <c r="C14" i="9" s="1"/>
  <c r="R88" i="5"/>
  <c r="G92" i="5" s="1"/>
  <c r="R91" i="5" s="1"/>
  <c r="J19" i="5"/>
  <c r="U19" i="5" s="1"/>
  <c r="I17" i="3"/>
  <c r="N88" i="5"/>
  <c r="N94" i="5" s="1"/>
  <c r="Y94" i="5" s="1"/>
  <c r="N98" i="5" s="1"/>
  <c r="Y97" i="5" s="1"/>
  <c r="AV49" i="6" s="1"/>
  <c r="J88" i="5"/>
  <c r="J94" i="5" s="1"/>
  <c r="K45" i="8"/>
  <c r="K46" i="8" s="1"/>
  <c r="I19" i="5"/>
  <c r="H17" i="3"/>
  <c r="I26" i="8"/>
  <c r="I34" i="8"/>
  <c r="E26" i="8"/>
  <c r="E34" i="8"/>
  <c r="H19" i="5"/>
  <c r="S19" i="5" s="1"/>
  <c r="G17" i="3"/>
  <c r="H34" i="8"/>
  <c r="H26" i="8"/>
  <c r="D34" i="8"/>
  <c r="D26" i="8"/>
  <c r="K19" i="5"/>
  <c r="V19" i="5" s="1"/>
  <c r="J17" i="3"/>
  <c r="I46" i="8"/>
  <c r="O109" i="5"/>
  <c r="O112" i="5"/>
  <c r="Z63" i="5"/>
  <c r="N63" i="3"/>
  <c r="G55" i="8"/>
  <c r="H56" i="8" s="1"/>
  <c r="G14" i="5"/>
  <c r="H123" i="5"/>
  <c r="S122" i="5" s="1"/>
  <c r="L76" i="6" s="1"/>
  <c r="S119" i="5"/>
  <c r="L72" i="6" s="1"/>
  <c r="D46" i="8"/>
  <c r="J112" i="5"/>
  <c r="J109" i="5"/>
  <c r="U63" i="5"/>
  <c r="E63" i="3"/>
  <c r="U82" i="5"/>
  <c r="S88" i="5"/>
  <c r="J14" i="5"/>
  <c r="U122" i="5"/>
  <c r="N76" i="6" s="1"/>
  <c r="N107" i="5"/>
  <c r="N110" i="5"/>
  <c r="N104" i="5"/>
  <c r="L95" i="3"/>
  <c r="L96" i="3" s="1"/>
  <c r="E65" i="4"/>
  <c r="E95" i="4" s="1"/>
  <c r="H110" i="5"/>
  <c r="S109" i="5" s="1"/>
  <c r="L64" i="6" s="1"/>
  <c r="H104" i="5"/>
  <c r="H107" i="5"/>
  <c r="O110" i="5"/>
  <c r="O104" i="5"/>
  <c r="O107" i="5"/>
  <c r="K57" i="2"/>
  <c r="G57" i="2"/>
  <c r="J57" i="2"/>
  <c r="F57" i="2"/>
  <c r="I57" i="2"/>
  <c r="E57" i="2"/>
  <c r="L57" i="2"/>
  <c r="H57" i="2"/>
  <c r="D57" i="2"/>
  <c r="M39" i="11"/>
  <c r="I37" i="2"/>
  <c r="E37" i="2"/>
  <c r="L37" i="2"/>
  <c r="H37" i="2"/>
  <c r="D37" i="2"/>
  <c r="K37" i="2"/>
  <c r="G37" i="2"/>
  <c r="J37" i="2"/>
  <c r="F37" i="2"/>
  <c r="I24" i="7"/>
  <c r="D45" i="7"/>
  <c r="G15" i="7"/>
  <c r="R94" i="5"/>
  <c r="G98" i="5" s="1"/>
  <c r="R97" i="5" s="1"/>
  <c r="I112" i="5"/>
  <c r="I109" i="5"/>
  <c r="T63" i="5"/>
  <c r="J56" i="8"/>
  <c r="U94" i="5"/>
  <c r="J98" i="5" s="1"/>
  <c r="U97" i="5" s="1"/>
  <c r="AR49" i="6" s="1"/>
  <c r="I56" i="8"/>
  <c r="H45" i="8"/>
  <c r="H46" i="8" s="1"/>
  <c r="F19" i="5"/>
  <c r="E17" i="3"/>
  <c r="J26" i="8"/>
  <c r="J34" i="8"/>
  <c r="F26" i="8"/>
  <c r="F34" i="8"/>
  <c r="G45" i="8"/>
  <c r="G46" i="8" s="1"/>
  <c r="Y129" i="5"/>
  <c r="M82" i="5"/>
  <c r="X82" i="5" s="1"/>
  <c r="M73" i="5"/>
  <c r="X73" i="5" s="1"/>
  <c r="M50" i="5"/>
  <c r="X49" i="5" s="1"/>
  <c r="Q40" i="6" s="1"/>
  <c r="M45" i="5"/>
  <c r="M34" i="5"/>
  <c r="X33" i="5" s="1"/>
  <c r="M29" i="5"/>
  <c r="M23" i="5"/>
  <c r="X22" i="5" s="1"/>
  <c r="M76" i="5"/>
  <c r="X76" i="5" s="1"/>
  <c r="M70" i="5"/>
  <c r="M53" i="5"/>
  <c r="M42" i="5"/>
  <c r="X41" i="5" s="1"/>
  <c r="Q44" i="6" s="1"/>
  <c r="M37" i="5"/>
  <c r="M26" i="5"/>
  <c r="X25" i="5" s="1"/>
  <c r="U129" i="5"/>
  <c r="I82" i="5"/>
  <c r="T82" i="5" s="1"/>
  <c r="I73" i="5"/>
  <c r="T73" i="5" s="1"/>
  <c r="I50" i="5"/>
  <c r="T49" i="5" s="1"/>
  <c r="M40" i="6" s="1"/>
  <c r="I45" i="5"/>
  <c r="I34" i="5"/>
  <c r="T33" i="5" s="1"/>
  <c r="I29" i="5"/>
  <c r="I23" i="5"/>
  <c r="T22" i="5" s="1"/>
  <c r="T19" i="5"/>
  <c r="I76" i="5"/>
  <c r="T76" i="5" s="1"/>
  <c r="I70" i="5"/>
  <c r="I53" i="5"/>
  <c r="I42" i="5"/>
  <c r="T41" i="5" s="1"/>
  <c r="M44" i="6" s="1"/>
  <c r="I37" i="5"/>
  <c r="I26" i="5"/>
  <c r="T25" i="5" s="1"/>
  <c r="J45" i="8"/>
  <c r="J46" i="8" s="1"/>
  <c r="X129" i="5"/>
  <c r="L82" i="5"/>
  <c r="W82" i="5" s="1"/>
  <c r="L76" i="5"/>
  <c r="W76" i="5" s="1"/>
  <c r="L70" i="5"/>
  <c r="L53" i="5"/>
  <c r="L42" i="5"/>
  <c r="W41" i="5" s="1"/>
  <c r="P44" i="6" s="1"/>
  <c r="L37" i="5"/>
  <c r="L26" i="5"/>
  <c r="W25" i="5" s="1"/>
  <c r="L73" i="5"/>
  <c r="W73" i="5" s="1"/>
  <c r="L50" i="5"/>
  <c r="W49" i="5" s="1"/>
  <c r="P40" i="6" s="1"/>
  <c r="L45" i="5"/>
  <c r="L34" i="5"/>
  <c r="W33" i="5" s="1"/>
  <c r="L29" i="5"/>
  <c r="L23" i="5"/>
  <c r="W22" i="5" s="1"/>
  <c r="W19" i="5"/>
  <c r="T129" i="5"/>
  <c r="H82" i="5"/>
  <c r="S82" i="5" s="1"/>
  <c r="H76" i="5"/>
  <c r="S76" i="5" s="1"/>
  <c r="H70" i="5"/>
  <c r="H53" i="5"/>
  <c r="H42" i="5"/>
  <c r="S41" i="5" s="1"/>
  <c r="L44" i="6" s="1"/>
  <c r="H37" i="5"/>
  <c r="H26" i="5"/>
  <c r="S25" i="5" s="1"/>
  <c r="H73" i="5"/>
  <c r="S73" i="5" s="1"/>
  <c r="H50" i="5"/>
  <c r="S49" i="5" s="1"/>
  <c r="L40" i="6" s="1"/>
  <c r="H45" i="5"/>
  <c r="H34" i="5"/>
  <c r="S33" i="5" s="1"/>
  <c r="H29" i="5"/>
  <c r="H23" i="5"/>
  <c r="S22" i="5" s="1"/>
  <c r="G19" i="5"/>
  <c r="R19" i="5" s="1"/>
  <c r="F17" i="3"/>
  <c r="K34" i="8"/>
  <c r="K26" i="8"/>
  <c r="L25" i="8"/>
  <c r="G34" i="8"/>
  <c r="G26" i="8"/>
  <c r="M123" i="5"/>
  <c r="X122" i="5" s="1"/>
  <c r="Q76" i="6" s="1"/>
  <c r="X119" i="5"/>
  <c r="Q72" i="6" s="1"/>
  <c r="T94" i="5"/>
  <c r="I98" i="5" s="1"/>
  <c r="T97" i="5" s="1"/>
  <c r="AQ49" i="6" s="1"/>
  <c r="J63" i="3"/>
  <c r="Z82" i="5"/>
  <c r="R82" i="5"/>
  <c r="G86" i="5" s="1"/>
  <c r="R85" i="5" s="1"/>
  <c r="T88" i="5"/>
  <c r="V73" i="5"/>
  <c r="N112" i="5"/>
  <c r="N109" i="5"/>
  <c r="Y63" i="5"/>
  <c r="F55" i="8"/>
  <c r="D44" i="8"/>
  <c r="U73" i="5"/>
  <c r="K65" i="3"/>
  <c r="J65" i="4"/>
  <c r="J95" i="4" s="1"/>
  <c r="H95" i="3"/>
  <c r="H96" i="3" s="1"/>
  <c r="L110" i="5"/>
  <c r="W109" i="5" s="1"/>
  <c r="P64" i="6" s="1"/>
  <c r="L104" i="5"/>
  <c r="L107" i="5"/>
  <c r="H65" i="3"/>
  <c r="L65" i="3"/>
  <c r="I97" i="3" l="1"/>
  <c r="J106" i="5"/>
  <c r="U106" i="5" s="1"/>
  <c r="E10" i="6"/>
  <c r="J11" i="5"/>
  <c r="M97" i="3"/>
  <c r="N106" i="5"/>
  <c r="Y106" i="5" s="1"/>
  <c r="I10" i="6"/>
  <c r="N11" i="5"/>
  <c r="M10" i="8"/>
  <c r="G11" i="5"/>
  <c r="F97" i="3"/>
  <c r="G106" i="5"/>
  <c r="R106" i="5" s="1"/>
  <c r="C51" i="8"/>
  <c r="O46" i="8" s="1"/>
  <c r="Q39" i="5"/>
  <c r="N10" i="8"/>
  <c r="G56" i="8"/>
  <c r="Z109" i="5"/>
  <c r="S64" i="6" s="1"/>
  <c r="K56" i="8"/>
  <c r="AZ104" i="6"/>
  <c r="AF52" i="6"/>
  <c r="H86" i="5"/>
  <c r="S85" i="5" s="1"/>
  <c r="AZ96" i="6"/>
  <c r="AF44" i="6"/>
  <c r="BE96" i="6"/>
  <c r="AK44" i="6"/>
  <c r="P44" i="8"/>
  <c r="L44" i="8"/>
  <c r="N44" i="8"/>
  <c r="O44" i="8"/>
  <c r="M44" i="8"/>
  <c r="C65" i="2"/>
  <c r="J32" i="9"/>
  <c r="C98" i="2" s="1"/>
  <c r="BE104" i="6"/>
  <c r="AK52" i="6"/>
  <c r="M86" i="5"/>
  <c r="X85" i="5" s="1"/>
  <c r="BD104" i="6"/>
  <c r="AJ52" i="6"/>
  <c r="L86" i="5"/>
  <c r="W85" i="5" s="1"/>
  <c r="BA104" i="6"/>
  <c r="AG52" i="6"/>
  <c r="I86" i="5"/>
  <c r="T85" i="5" s="1"/>
  <c r="Y100" i="6"/>
  <c r="E56" i="6"/>
  <c r="BD96" i="6"/>
  <c r="AJ44" i="6"/>
  <c r="L46" i="8"/>
  <c r="X100" i="6"/>
  <c r="D56" i="6"/>
  <c r="AC100" i="6"/>
  <c r="I56" i="6"/>
  <c r="AB100" i="6"/>
  <c r="H56" i="6"/>
  <c r="BB96" i="6"/>
  <c r="AH44" i="6"/>
  <c r="BC96" i="6"/>
  <c r="AI44" i="6"/>
  <c r="V100" i="6"/>
  <c r="B56" i="6"/>
  <c r="AA100" i="6"/>
  <c r="G56" i="6"/>
  <c r="BA108" i="6"/>
  <c r="AG56" i="6"/>
  <c r="I92" i="5"/>
  <c r="T91" i="5" s="1"/>
  <c r="AQ45" i="6" s="1"/>
  <c r="AF96" i="6"/>
  <c r="L52" i="6"/>
  <c r="G64" i="6"/>
  <c r="M106" i="5"/>
  <c r="H10" i="6"/>
  <c r="M11" i="5"/>
  <c r="L97" i="3"/>
  <c r="L106" i="5"/>
  <c r="G10" i="6"/>
  <c r="L11" i="5"/>
  <c r="K97" i="3"/>
  <c r="G28" i="5"/>
  <c r="F19" i="3"/>
  <c r="AJ92" i="6"/>
  <c r="P48" i="6"/>
  <c r="AJ100" i="6"/>
  <c r="P56" i="6"/>
  <c r="AG96" i="6"/>
  <c r="M52" i="6"/>
  <c r="L10" i="8"/>
  <c r="I106" i="5"/>
  <c r="T106" i="5" s="1"/>
  <c r="D10" i="6"/>
  <c r="I11" i="5"/>
  <c r="H97" i="3"/>
  <c r="BG104" i="6"/>
  <c r="AM52" i="6"/>
  <c r="O86" i="5"/>
  <c r="Z85" i="5" s="1"/>
  <c r="L34" i="8"/>
  <c r="M25" i="8"/>
  <c r="AF92" i="6"/>
  <c r="L48" i="6"/>
  <c r="AF100" i="6"/>
  <c r="L56" i="6"/>
  <c r="Z100" i="6"/>
  <c r="F56" i="6"/>
  <c r="BD100" i="6"/>
  <c r="AJ48" i="6"/>
  <c r="L80" i="5"/>
  <c r="W79" i="5" s="1"/>
  <c r="AT37" i="6" s="1"/>
  <c r="AG100" i="6"/>
  <c r="M56" i="6"/>
  <c r="BE100" i="6"/>
  <c r="AK48" i="6"/>
  <c r="M80" i="5"/>
  <c r="X79" i="5" s="1"/>
  <c r="AU37" i="6" s="1"/>
  <c r="AK92" i="6"/>
  <c r="Q48" i="6"/>
  <c r="P10" i="8"/>
  <c r="F28" i="5"/>
  <c r="E19" i="3"/>
  <c r="Y109" i="5"/>
  <c r="R64" i="6" s="1"/>
  <c r="AZ108" i="6"/>
  <c r="AF56" i="6"/>
  <c r="H92" i="5"/>
  <c r="S91" i="5" s="1"/>
  <c r="AP45" i="6" s="1"/>
  <c r="O122" i="5"/>
  <c r="Z122" i="5" s="1"/>
  <c r="S76" i="6" s="1"/>
  <c r="O119" i="5"/>
  <c r="Z119" i="5" s="1"/>
  <c r="S72" i="6" s="1"/>
  <c r="O14" i="5"/>
  <c r="L40" i="11"/>
  <c r="L41" i="11" s="1"/>
  <c r="C26" i="10"/>
  <c r="C28" i="10" s="1"/>
  <c r="C29" i="10" s="1"/>
  <c r="C30" i="10" s="1"/>
  <c r="C31" i="10" s="1"/>
  <c r="C39" i="10" s="1"/>
  <c r="L19" i="9"/>
  <c r="K40" i="2"/>
  <c r="G40" i="2"/>
  <c r="J40" i="2"/>
  <c r="F40" i="2"/>
  <c r="I40" i="2"/>
  <c r="E40" i="2"/>
  <c r="H40" i="2"/>
  <c r="D40" i="2"/>
  <c r="L40" i="2"/>
  <c r="M28" i="5"/>
  <c r="L19" i="3"/>
  <c r="C16" i="7"/>
  <c r="I23" i="2"/>
  <c r="E23" i="2"/>
  <c r="L23" i="2"/>
  <c r="H23" i="2"/>
  <c r="D23" i="2"/>
  <c r="K23" i="2"/>
  <c r="G23" i="2"/>
  <c r="J23" i="2"/>
  <c r="F23" i="2"/>
  <c r="I40" i="7"/>
  <c r="I33" i="7"/>
  <c r="T109" i="5"/>
  <c r="M64" i="6" s="1"/>
  <c r="AI96" i="6"/>
  <c r="O52" i="6"/>
  <c r="AH100" i="6"/>
  <c r="N56" i="6"/>
  <c r="BF100" i="6"/>
  <c r="N80" i="5"/>
  <c r="Y79" i="5" s="1"/>
  <c r="AV37" i="6" s="1"/>
  <c r="AL48" i="6"/>
  <c r="AL92" i="6"/>
  <c r="R48" i="6"/>
  <c r="U88" i="5"/>
  <c r="H23" i="9"/>
  <c r="H22" i="9"/>
  <c r="H136" i="7" s="1"/>
  <c r="N103" i="5"/>
  <c r="N71" i="5"/>
  <c r="Y70" i="5" s="1"/>
  <c r="G103" i="5"/>
  <c r="R103" i="5" s="1"/>
  <c r="G71" i="5"/>
  <c r="R70" i="5" s="1"/>
  <c r="J103" i="5"/>
  <c r="J71" i="5"/>
  <c r="U70" i="5" s="1"/>
  <c r="K122" i="5"/>
  <c r="V122" i="5" s="1"/>
  <c r="O76" i="6" s="1"/>
  <c r="K119" i="5"/>
  <c r="V119" i="5" s="1"/>
  <c r="O72" i="6" s="1"/>
  <c r="K14" i="5"/>
  <c r="AJ96" i="6"/>
  <c r="P52" i="6"/>
  <c r="H64" i="6"/>
  <c r="BB104" i="6"/>
  <c r="J86" i="5"/>
  <c r="U85" i="5" s="1"/>
  <c r="AH52" i="6"/>
  <c r="K28" i="5"/>
  <c r="V28" i="5" s="1"/>
  <c r="V31" i="5" s="1"/>
  <c r="J19" i="3"/>
  <c r="I28" i="5"/>
  <c r="T28" i="5" s="1"/>
  <c r="H19" i="3"/>
  <c r="Y88" i="5"/>
  <c r="BA96" i="6"/>
  <c r="AG44" i="6"/>
  <c r="E33" i="7"/>
  <c r="E40" i="7"/>
  <c r="U103" i="5"/>
  <c r="BF96" i="6"/>
  <c r="AL44" i="6"/>
  <c r="BG96" i="6"/>
  <c r="AM44" i="6"/>
  <c r="L28" i="5"/>
  <c r="K19" i="3"/>
  <c r="D16" i="7"/>
  <c r="I40" i="11"/>
  <c r="I41" i="11" s="1"/>
  <c r="I19" i="9"/>
  <c r="J40" i="7"/>
  <c r="C34" i="2" s="1"/>
  <c r="J33" i="7"/>
  <c r="C31" i="2" s="1"/>
  <c r="F64" i="6"/>
  <c r="AM92" i="6"/>
  <c r="S48" i="6"/>
  <c r="AM100" i="6"/>
  <c r="S56" i="6"/>
  <c r="BB100" i="6"/>
  <c r="J80" i="5"/>
  <c r="U79" i="5" s="1"/>
  <c r="AR37" i="6" s="1"/>
  <c r="AH48" i="6"/>
  <c r="AH92" i="6"/>
  <c r="N48" i="6"/>
  <c r="I64" i="6"/>
  <c r="I24" i="6"/>
  <c r="I16" i="6"/>
  <c r="E24" i="6"/>
  <c r="E16" i="6"/>
  <c r="AG92" i="6"/>
  <c r="M48" i="6"/>
  <c r="W106" i="5"/>
  <c r="O7" i="8"/>
  <c r="N7" i="8"/>
  <c r="M7" i="8"/>
  <c r="P7" i="8"/>
  <c r="L7" i="8"/>
  <c r="W100" i="6"/>
  <c r="C56" i="6"/>
  <c r="D64" i="6"/>
  <c r="AK96" i="6"/>
  <c r="Q52" i="6"/>
  <c r="O10" i="8"/>
  <c r="F119" i="5"/>
  <c r="F122" i="5"/>
  <c r="F14" i="5"/>
  <c r="Q13" i="5" s="1"/>
  <c r="J28" i="5"/>
  <c r="I19" i="3"/>
  <c r="C19" i="9"/>
  <c r="C40" i="11"/>
  <c r="E40" i="11"/>
  <c r="E41" i="11" s="1"/>
  <c r="E19" i="9"/>
  <c r="F33" i="7"/>
  <c r="F40" i="7"/>
  <c r="K95" i="2"/>
  <c r="G95" i="2"/>
  <c r="J95" i="2"/>
  <c r="F95" i="2"/>
  <c r="I95" i="2"/>
  <c r="E95" i="2"/>
  <c r="L95" i="2"/>
  <c r="H95" i="2"/>
  <c r="D95" i="2"/>
  <c r="U109" i="5"/>
  <c r="N64" i="6" s="1"/>
  <c r="X88" i="5"/>
  <c r="O28" i="5"/>
  <c r="Z28" i="5" s="1"/>
  <c r="N19" i="3"/>
  <c r="N28" i="5"/>
  <c r="M19" i="3"/>
  <c r="G19" i="9"/>
  <c r="G40" i="11"/>
  <c r="G41" i="11" s="1"/>
  <c r="J11" i="9"/>
  <c r="J14" i="9" s="1"/>
  <c r="C89" i="2"/>
  <c r="C92" i="2"/>
  <c r="C86" i="2"/>
  <c r="W88" i="5"/>
  <c r="R28" i="5"/>
  <c r="R31" i="5" s="1"/>
  <c r="B64" i="6"/>
  <c r="AI92" i="6"/>
  <c r="O48" i="6"/>
  <c r="AI100" i="6"/>
  <c r="O56" i="6"/>
  <c r="BG100" i="6"/>
  <c r="AM48" i="6"/>
  <c r="O80" i="5"/>
  <c r="Z79" i="5" s="1"/>
  <c r="AW37" i="6" s="1"/>
  <c r="M98" i="7"/>
  <c r="E64" i="6"/>
  <c r="AL96" i="6"/>
  <c r="R52" i="6"/>
  <c r="BC108" i="6"/>
  <c r="AI56" i="6"/>
  <c r="K92" i="5"/>
  <c r="V91" i="5" s="1"/>
  <c r="AS45" i="6" s="1"/>
  <c r="AZ100" i="6"/>
  <c r="AF48" i="6"/>
  <c r="H80" i="5"/>
  <c r="S79" i="5" s="1"/>
  <c r="AP37" i="6" s="1"/>
  <c r="BA100" i="6"/>
  <c r="AG48" i="6"/>
  <c r="I80" i="5"/>
  <c r="T79" i="5" s="1"/>
  <c r="AQ37" i="6" s="1"/>
  <c r="C43" i="8"/>
  <c r="R100" i="5"/>
  <c r="M13" i="8"/>
  <c r="P13" i="8"/>
  <c r="L13" i="8"/>
  <c r="O13" i="8"/>
  <c r="N13" i="8"/>
  <c r="C64" i="6"/>
  <c r="AK100" i="6"/>
  <c r="Q56" i="6"/>
  <c r="Y103" i="5"/>
  <c r="H28" i="5"/>
  <c r="G19" i="3"/>
  <c r="Z88" i="5"/>
  <c r="D40" i="11"/>
  <c r="D41" i="11" s="1"/>
  <c r="D19" i="9"/>
  <c r="F40" i="11"/>
  <c r="F41" i="11" s="1"/>
  <c r="F19" i="9"/>
  <c r="X106" i="5"/>
  <c r="BC104" i="6"/>
  <c r="AI52" i="6"/>
  <c r="K86" i="5"/>
  <c r="V85" i="5" s="1"/>
  <c r="F56" i="8"/>
  <c r="H81" i="8"/>
  <c r="I68" i="8"/>
  <c r="I80" i="8" s="1"/>
  <c r="H106" i="5"/>
  <c r="S106" i="5" s="1"/>
  <c r="C10" i="6"/>
  <c r="H11" i="5"/>
  <c r="G97" i="3"/>
  <c r="BF104" i="6"/>
  <c r="AL52" i="6"/>
  <c r="N86" i="5"/>
  <c r="Y85" i="5" s="1"/>
  <c r="BC100" i="6"/>
  <c r="AI48" i="6"/>
  <c r="K80" i="5"/>
  <c r="V79" i="5" s="1"/>
  <c r="AS37" i="6" s="1"/>
  <c r="AM96" i="6"/>
  <c r="S52" i="6"/>
  <c r="Q31" i="5"/>
  <c r="Q55" i="5"/>
  <c r="AH96" i="6"/>
  <c r="N52" i="6"/>
  <c r="AL100" i="6"/>
  <c r="R56" i="6"/>
  <c r="Y28" i="5"/>
  <c r="Y31" i="5" s="1"/>
  <c r="K23" i="9"/>
  <c r="K22" i="9"/>
  <c r="K136" i="7" s="1"/>
  <c r="E72" i="7"/>
  <c r="G72" i="7" s="1"/>
  <c r="J65" i="3"/>
  <c r="E65" i="3"/>
  <c r="N65" i="3"/>
  <c r="I15" i="6" l="1"/>
  <c r="I23" i="6"/>
  <c r="E15" i="6"/>
  <c r="E23" i="6"/>
  <c r="M17" i="9"/>
  <c r="P46" i="8"/>
  <c r="M46" i="8"/>
  <c r="N46" i="8"/>
  <c r="B45" i="13"/>
  <c r="B41" i="13"/>
  <c r="B37" i="13"/>
  <c r="B33" i="13"/>
  <c r="G30" i="12"/>
  <c r="C30" i="12"/>
  <c r="E18" i="12"/>
  <c r="B12" i="12"/>
  <c r="B10" i="12"/>
  <c r="B8" i="12"/>
  <c r="L15" i="11"/>
  <c r="H15" i="11"/>
  <c r="D15" i="11"/>
  <c r="B46" i="13"/>
  <c r="B42" i="13"/>
  <c r="B38" i="13"/>
  <c r="B34" i="13"/>
  <c r="F30" i="12"/>
  <c r="D18" i="12"/>
  <c r="B47" i="13"/>
  <c r="B39" i="13"/>
  <c r="D30" i="12"/>
  <c r="I15" i="11"/>
  <c r="C15" i="11"/>
  <c r="B44" i="13"/>
  <c r="B36" i="13"/>
  <c r="G18" i="12"/>
  <c r="B11" i="12"/>
  <c r="G15" i="11"/>
  <c r="B43" i="13"/>
  <c r="B35" i="13"/>
  <c r="F18" i="12"/>
  <c r="K15" i="11"/>
  <c r="F15" i="11"/>
  <c r="E30" i="12"/>
  <c r="C18" i="12"/>
  <c r="B40" i="13"/>
  <c r="J15" i="11"/>
  <c r="B9" i="12"/>
  <c r="E15" i="11"/>
  <c r="C10" i="1"/>
  <c r="AC96" i="6"/>
  <c r="I52" i="6"/>
  <c r="Z31" i="5"/>
  <c r="W96" i="6"/>
  <c r="C52" i="6"/>
  <c r="T31" i="5"/>
  <c r="J43" i="8"/>
  <c r="AV41" i="6"/>
  <c r="T137" i="5"/>
  <c r="C76" i="6" s="1"/>
  <c r="H103" i="5"/>
  <c r="S103" i="5" s="1"/>
  <c r="H71" i="5"/>
  <c r="S70" i="5" s="1"/>
  <c r="J10" i="6"/>
  <c r="O106" i="5"/>
  <c r="Z106" i="5" s="1"/>
  <c r="O11" i="5"/>
  <c r="N97" i="3"/>
  <c r="K142" i="7"/>
  <c r="K139" i="7"/>
  <c r="C24" i="6"/>
  <c r="C16" i="6"/>
  <c r="C23" i="6"/>
  <c r="C15" i="6"/>
  <c r="G43" i="8"/>
  <c r="AS41" i="6"/>
  <c r="V100" i="5"/>
  <c r="AS53" i="6" s="1"/>
  <c r="F23" i="9"/>
  <c r="F22" i="9"/>
  <c r="F136" i="7" s="1"/>
  <c r="BG108" i="6"/>
  <c r="AM56" i="6"/>
  <c r="O92" i="5"/>
  <c r="Z91" i="5" s="1"/>
  <c r="AW45" i="6" s="1"/>
  <c r="AB40" i="6"/>
  <c r="AV92" i="6"/>
  <c r="K89" i="2"/>
  <c r="G89" i="2"/>
  <c r="J89" i="2"/>
  <c r="F89" i="2"/>
  <c r="I89" i="2"/>
  <c r="E89" i="2"/>
  <c r="L89" i="2"/>
  <c r="H89" i="2"/>
  <c r="D89" i="2"/>
  <c r="I9" i="6"/>
  <c r="I22" i="6" s="1"/>
  <c r="N16" i="5"/>
  <c r="Y16" i="5" s="1"/>
  <c r="N36" i="5"/>
  <c r="M22" i="3"/>
  <c r="BE108" i="6"/>
  <c r="AK56" i="6"/>
  <c r="M92" i="5"/>
  <c r="X91" i="5" s="1"/>
  <c r="AU45" i="6" s="1"/>
  <c r="C22" i="9"/>
  <c r="C136" i="7" s="1"/>
  <c r="C142" i="7" s="1"/>
  <c r="C23" i="9"/>
  <c r="X40" i="6"/>
  <c r="AR92" i="6"/>
  <c r="BF108" i="6"/>
  <c r="N92" i="5"/>
  <c r="Y91" i="5" s="1"/>
  <c r="AV45" i="6" s="1"/>
  <c r="AL56" i="6"/>
  <c r="W131" i="5"/>
  <c r="F68" i="6" s="1"/>
  <c r="K116" i="5"/>
  <c r="V115" i="5" s="1"/>
  <c r="K125" i="5"/>
  <c r="V125" i="5" s="1"/>
  <c r="O80" i="6" s="1"/>
  <c r="K113" i="5"/>
  <c r="V112" i="5" s="1"/>
  <c r="O68" i="6" s="1"/>
  <c r="S137" i="5"/>
  <c r="B76" i="6" s="1"/>
  <c r="M125" i="5"/>
  <c r="X125" i="5" s="1"/>
  <c r="Q80" i="6" s="1"/>
  <c r="M113" i="5"/>
  <c r="X112" i="5" s="1"/>
  <c r="Q68" i="6" s="1"/>
  <c r="Y131" i="5"/>
  <c r="H68" i="6" s="1"/>
  <c r="M116" i="5"/>
  <c r="X115" i="5" s="1"/>
  <c r="L23" i="9"/>
  <c r="L22" i="9"/>
  <c r="L136" i="7" s="1"/>
  <c r="F125" i="5"/>
  <c r="F113" i="5"/>
  <c r="Q112" i="5" s="1"/>
  <c r="R131" i="5"/>
  <c r="F116" i="5"/>
  <c r="Q115" i="5" s="1"/>
  <c r="L35" i="8"/>
  <c r="L64" i="8"/>
  <c r="E43" i="8"/>
  <c r="AQ41" i="6"/>
  <c r="T100" i="5"/>
  <c r="AQ53" i="6" s="1"/>
  <c r="C9" i="6"/>
  <c r="C22" i="6" s="1"/>
  <c r="H36" i="5"/>
  <c r="G22" i="3"/>
  <c r="H16" i="5" s="1"/>
  <c r="S16" i="5" s="1"/>
  <c r="BD108" i="6"/>
  <c r="AJ56" i="6"/>
  <c r="L92" i="5"/>
  <c r="W91" i="5" s="1"/>
  <c r="AT45" i="6" s="1"/>
  <c r="J19" i="9"/>
  <c r="J40" i="11"/>
  <c r="N125" i="5"/>
  <c r="Y125" i="5" s="1"/>
  <c r="R80" i="6" s="1"/>
  <c r="N113" i="5"/>
  <c r="Y112" i="5" s="1"/>
  <c r="R68" i="6" s="1"/>
  <c r="Z131" i="5"/>
  <c r="I68" i="6" s="1"/>
  <c r="N116" i="5"/>
  <c r="Y115" i="5" s="1"/>
  <c r="E23" i="9"/>
  <c r="E22" i="9"/>
  <c r="E136" i="7" s="1"/>
  <c r="E9" i="6"/>
  <c r="E22" i="6" s="1"/>
  <c r="J36" i="5"/>
  <c r="I22" i="3"/>
  <c r="J16" i="5" s="1"/>
  <c r="U16" i="5" s="1"/>
  <c r="I31" i="2"/>
  <c r="E31" i="2"/>
  <c r="L31" i="2"/>
  <c r="H31" i="2"/>
  <c r="D31" i="2"/>
  <c r="K31" i="2"/>
  <c r="G31" i="2"/>
  <c r="J31" i="2"/>
  <c r="F31" i="2"/>
  <c r="E16" i="7"/>
  <c r="G16" i="7" s="1"/>
  <c r="D9" i="6"/>
  <c r="D22" i="6" s="1"/>
  <c r="I36" i="5"/>
  <c r="H22" i="3"/>
  <c r="H142" i="7"/>
  <c r="H139" i="7"/>
  <c r="F72" i="7"/>
  <c r="K43" i="8"/>
  <c r="AW41" i="6"/>
  <c r="Z100" i="5"/>
  <c r="AW53" i="6" s="1"/>
  <c r="U137" i="5"/>
  <c r="D76" i="6" s="1"/>
  <c r="I103" i="5"/>
  <c r="T103" i="5" s="1"/>
  <c r="I71" i="5"/>
  <c r="T70" i="5" s="1"/>
  <c r="X28" i="5"/>
  <c r="X137" i="5"/>
  <c r="G76" i="6" s="1"/>
  <c r="L103" i="5"/>
  <c r="W103" i="5" s="1"/>
  <c r="L71" i="5"/>
  <c r="W70" i="5" s="1"/>
  <c r="Y137" i="5"/>
  <c r="H76" i="6" s="1"/>
  <c r="M103" i="5"/>
  <c r="X103" i="5" s="1"/>
  <c r="M71" i="5"/>
  <c r="X70" i="5" s="1"/>
  <c r="I98" i="2"/>
  <c r="E98" i="2"/>
  <c r="L98" i="2"/>
  <c r="H98" i="2"/>
  <c r="D98" i="2"/>
  <c r="K98" i="2"/>
  <c r="G98" i="2"/>
  <c r="J98" i="2"/>
  <c r="F98" i="2"/>
  <c r="D43" i="8"/>
  <c r="AP41" i="6"/>
  <c r="S100" i="5"/>
  <c r="AP53" i="6" s="1"/>
  <c r="F106" i="5"/>
  <c r="F11" i="5"/>
  <c r="E97" i="3"/>
  <c r="D23" i="9"/>
  <c r="D22" i="9"/>
  <c r="D136" i="7" s="1"/>
  <c r="H116" i="5"/>
  <c r="S115" i="5" s="1"/>
  <c r="H125" i="5"/>
  <c r="S125" i="5" s="1"/>
  <c r="L80" i="6" s="1"/>
  <c r="H113" i="5"/>
  <c r="S112" i="5" s="1"/>
  <c r="L68" i="6" s="1"/>
  <c r="T131" i="5"/>
  <c r="C68" i="6" s="1"/>
  <c r="S28" i="5"/>
  <c r="I86" i="2"/>
  <c r="E86" i="2"/>
  <c r="L86" i="2"/>
  <c r="H86" i="2"/>
  <c r="D86" i="2"/>
  <c r="K86" i="2"/>
  <c r="G86" i="2"/>
  <c r="J86" i="2"/>
  <c r="F86" i="2"/>
  <c r="J9" i="6"/>
  <c r="J22" i="6" s="1"/>
  <c r="O36" i="5"/>
  <c r="N22" i="3"/>
  <c r="O16" i="5" s="1"/>
  <c r="Z16" i="5" s="1"/>
  <c r="J125" i="5"/>
  <c r="U125" i="5" s="1"/>
  <c r="N80" i="6" s="1"/>
  <c r="J113" i="5"/>
  <c r="U112" i="5" s="1"/>
  <c r="N68" i="6" s="1"/>
  <c r="V131" i="5"/>
  <c r="E68" i="6" s="1"/>
  <c r="J116" i="5"/>
  <c r="U115" i="5" s="1"/>
  <c r="Y96" i="6"/>
  <c r="E52" i="6"/>
  <c r="K34" i="2"/>
  <c r="G34" i="2"/>
  <c r="J34" i="2"/>
  <c r="F34" i="2"/>
  <c r="I34" i="2"/>
  <c r="E34" i="2"/>
  <c r="H34" i="2"/>
  <c r="D34" i="2"/>
  <c r="L34" i="2"/>
  <c r="G9" i="6"/>
  <c r="G22" i="6" s="1"/>
  <c r="L36" i="5"/>
  <c r="K22" i="3"/>
  <c r="L16" i="5" s="1"/>
  <c r="W16" i="5" s="1"/>
  <c r="I125" i="5"/>
  <c r="T125" i="5" s="1"/>
  <c r="M80" i="6" s="1"/>
  <c r="I113" i="5"/>
  <c r="T112" i="5" s="1"/>
  <c r="M68" i="6" s="1"/>
  <c r="U131" i="5"/>
  <c r="D68" i="6" s="1"/>
  <c r="I116" i="5"/>
  <c r="T115" i="5" s="1"/>
  <c r="F43" i="8"/>
  <c r="AR41" i="6"/>
  <c r="BB92" i="6"/>
  <c r="AH40" i="6"/>
  <c r="BF92" i="6"/>
  <c r="AL40" i="6"/>
  <c r="U28" i="5"/>
  <c r="F16" i="7"/>
  <c r="D24" i="6"/>
  <c r="D16" i="6"/>
  <c r="D23" i="6"/>
  <c r="D15" i="6"/>
  <c r="G36" i="5"/>
  <c r="F22" i="3"/>
  <c r="G16" i="5" s="1"/>
  <c r="R16" i="5" s="1"/>
  <c r="G24" i="6"/>
  <c r="G16" i="6"/>
  <c r="G23" i="6"/>
  <c r="G15" i="6"/>
  <c r="H24" i="6"/>
  <c r="H16" i="6"/>
  <c r="H15" i="6"/>
  <c r="H23" i="6"/>
  <c r="I43" i="8"/>
  <c r="AU41" i="6"/>
  <c r="X100" i="5"/>
  <c r="AU53" i="6" s="1"/>
  <c r="I65" i="2"/>
  <c r="E65" i="2"/>
  <c r="L65" i="2"/>
  <c r="H65" i="2"/>
  <c r="D65" i="2"/>
  <c r="K65" i="2"/>
  <c r="G65" i="2"/>
  <c r="F65" i="2"/>
  <c r="J65" i="2"/>
  <c r="L38" i="8"/>
  <c r="F10" i="6"/>
  <c r="K106" i="5"/>
  <c r="V106" i="5" s="1"/>
  <c r="K11" i="5"/>
  <c r="J97" i="3"/>
  <c r="AB96" i="6"/>
  <c r="H52" i="6"/>
  <c r="J68" i="8"/>
  <c r="J80" i="8" s="1"/>
  <c r="I81" i="8"/>
  <c r="I92" i="2"/>
  <c r="E92" i="2"/>
  <c r="L92" i="2"/>
  <c r="H92" i="2"/>
  <c r="D92" i="2"/>
  <c r="K92" i="2"/>
  <c r="G92" i="2"/>
  <c r="J92" i="2"/>
  <c r="F92" i="2"/>
  <c r="G22" i="9"/>
  <c r="G136" i="7" s="1"/>
  <c r="G23" i="9"/>
  <c r="O116" i="5"/>
  <c r="Z115" i="5" s="1"/>
  <c r="O125" i="5"/>
  <c r="Z125" i="5" s="1"/>
  <c r="S80" i="6" s="1"/>
  <c r="O113" i="5"/>
  <c r="Z112" i="5" s="1"/>
  <c r="S68" i="6" s="1"/>
  <c r="I23" i="9"/>
  <c r="I22" i="9"/>
  <c r="I136" i="7" s="1"/>
  <c r="L116" i="5"/>
  <c r="W115" i="5" s="1"/>
  <c r="L125" i="5"/>
  <c r="W125" i="5" s="1"/>
  <c r="P80" i="6" s="1"/>
  <c r="L113" i="5"/>
  <c r="W112" i="5" s="1"/>
  <c r="P68" i="6" s="1"/>
  <c r="X131" i="5"/>
  <c r="G68" i="6" s="1"/>
  <c r="F9" i="6"/>
  <c r="F22" i="6" s="1"/>
  <c r="K36" i="5"/>
  <c r="J22" i="3"/>
  <c r="BB108" i="6"/>
  <c r="J92" i="5"/>
  <c r="U91" i="5" s="1"/>
  <c r="AR45" i="6" s="1"/>
  <c r="AH56" i="6"/>
  <c r="H9" i="6"/>
  <c r="H22" i="6" s="1"/>
  <c r="M36" i="5"/>
  <c r="L22" i="3"/>
  <c r="M16" i="5" s="1"/>
  <c r="X16" i="5" s="1"/>
  <c r="F36" i="5"/>
  <c r="E22" i="3"/>
  <c r="F16" i="5" s="1"/>
  <c r="N25" i="8"/>
  <c r="M34" i="8"/>
  <c r="S131" i="5"/>
  <c r="B68" i="6" s="1"/>
  <c r="G116" i="5"/>
  <c r="R115" i="5" s="1"/>
  <c r="G125" i="5"/>
  <c r="R125" i="5" s="1"/>
  <c r="G113" i="5"/>
  <c r="R112" i="5" s="1"/>
  <c r="W28" i="5"/>
  <c r="H43" i="8"/>
  <c r="AT41" i="6"/>
  <c r="W100" i="5"/>
  <c r="AT53" i="6" s="1"/>
  <c r="F8" i="6" l="1"/>
  <c r="F21" i="6" s="1"/>
  <c r="K44" i="5"/>
  <c r="J26" i="3"/>
  <c r="F44" i="5"/>
  <c r="E26" i="3"/>
  <c r="F7" i="5" s="1"/>
  <c r="H8" i="6"/>
  <c r="H21" i="6" s="1"/>
  <c r="M44" i="5"/>
  <c r="L26" i="3"/>
  <c r="K16" i="5"/>
  <c r="V16" i="5" s="1"/>
  <c r="F24" i="6"/>
  <c r="F16" i="6"/>
  <c r="F23" i="6"/>
  <c r="F15" i="6"/>
  <c r="G8" i="6"/>
  <c r="G21" i="6" s="1"/>
  <c r="L44" i="5"/>
  <c r="K26" i="3"/>
  <c r="J8" i="6"/>
  <c r="J21" i="6" s="1"/>
  <c r="O44" i="5"/>
  <c r="N26" i="3"/>
  <c r="AU92" i="6"/>
  <c r="AA40" i="6"/>
  <c r="AT92" i="6"/>
  <c r="Z40" i="6"/>
  <c r="BA92" i="6"/>
  <c r="AG40" i="6"/>
  <c r="E8" i="6"/>
  <c r="E21" i="6" s="1"/>
  <c r="J44" i="5"/>
  <c r="I26" i="3"/>
  <c r="E139" i="7"/>
  <c r="E142" i="7"/>
  <c r="L69" i="8"/>
  <c r="L66" i="8"/>
  <c r="Z133" i="5"/>
  <c r="N67" i="5"/>
  <c r="Y36" i="5"/>
  <c r="Y100" i="5"/>
  <c r="AV53" i="6" s="1"/>
  <c r="Z96" i="6"/>
  <c r="F52" i="6"/>
  <c r="W31" i="5"/>
  <c r="R133" i="5"/>
  <c r="F67" i="5"/>
  <c r="Q66" i="5" s="1"/>
  <c r="Y133" i="5"/>
  <c r="M67" i="5"/>
  <c r="X36" i="5"/>
  <c r="W133" i="5"/>
  <c r="K67" i="5"/>
  <c r="V36" i="5"/>
  <c r="G142" i="7"/>
  <c r="G139" i="7"/>
  <c r="K68" i="8"/>
  <c r="K80" i="8" s="1"/>
  <c r="J81" i="8"/>
  <c r="S133" i="5"/>
  <c r="G67" i="5"/>
  <c r="R36" i="5"/>
  <c r="V96" i="6"/>
  <c r="B52" i="6"/>
  <c r="S31" i="5"/>
  <c r="R137" i="5"/>
  <c r="F103" i="5"/>
  <c r="F71" i="5"/>
  <c r="Q70" i="5" s="1"/>
  <c r="Q10" i="5"/>
  <c r="AQ92" i="6"/>
  <c r="W40" i="6"/>
  <c r="D8" i="6"/>
  <c r="D21" i="6" s="1"/>
  <c r="I44" i="5"/>
  <c r="H26" i="3"/>
  <c r="V133" i="5"/>
  <c r="J67" i="5"/>
  <c r="U36" i="5"/>
  <c r="U39" i="5" s="1"/>
  <c r="T133" i="5"/>
  <c r="H67" i="5"/>
  <c r="S36" i="5"/>
  <c r="L45" i="8"/>
  <c r="L39" i="8" s="1"/>
  <c r="F142" i="7"/>
  <c r="F139" i="7"/>
  <c r="C49" i="8"/>
  <c r="O103" i="5"/>
  <c r="Z103" i="5" s="1"/>
  <c r="O71" i="5"/>
  <c r="Z70" i="5" s="1"/>
  <c r="Z137" i="5"/>
  <c r="I76" i="6" s="1"/>
  <c r="AZ92" i="6"/>
  <c r="AF40" i="6"/>
  <c r="W137" i="5"/>
  <c r="F76" i="6" s="1"/>
  <c r="K103" i="5"/>
  <c r="V103" i="5" s="1"/>
  <c r="K71" i="5"/>
  <c r="V70" i="5" s="1"/>
  <c r="V137" i="5"/>
  <c r="E76" i="6" s="1"/>
  <c r="L17" i="7"/>
  <c r="L18" i="7" s="1"/>
  <c r="H17" i="7"/>
  <c r="H18" i="7" s="1"/>
  <c r="D17" i="7"/>
  <c r="E17" i="7"/>
  <c r="E18" i="7" s="1"/>
  <c r="F17" i="7"/>
  <c r="F18" i="7" s="1"/>
  <c r="J17" i="7"/>
  <c r="J18" i="7" s="1"/>
  <c r="G17" i="7"/>
  <c r="G18" i="7" s="1"/>
  <c r="K17" i="7"/>
  <c r="K18" i="7" s="1"/>
  <c r="I17" i="7"/>
  <c r="I18" i="7" s="1"/>
  <c r="U100" i="5"/>
  <c r="AR53" i="6" s="1"/>
  <c r="X133" i="5"/>
  <c r="L67" i="5"/>
  <c r="W36" i="5"/>
  <c r="W39" i="5" s="1"/>
  <c r="O67" i="5"/>
  <c r="Z36" i="5"/>
  <c r="D142" i="7"/>
  <c r="D139" i="7"/>
  <c r="AA96" i="6"/>
  <c r="G52" i="6"/>
  <c r="X39" i="5"/>
  <c r="X31" i="5"/>
  <c r="L73" i="7"/>
  <c r="L74" i="7" s="1"/>
  <c r="D73" i="7"/>
  <c r="H73" i="7"/>
  <c r="H74" i="7" s="1"/>
  <c r="K73" i="7"/>
  <c r="K74" i="7" s="1"/>
  <c r="G73" i="7"/>
  <c r="G74" i="7" s="1"/>
  <c r="J73" i="7"/>
  <c r="J74" i="7" s="1"/>
  <c r="I73" i="7"/>
  <c r="I74" i="7" s="1"/>
  <c r="F73" i="7"/>
  <c r="F74" i="7" s="1"/>
  <c r="E73" i="7"/>
  <c r="E74" i="7" s="1"/>
  <c r="U133" i="5"/>
  <c r="I67" i="5"/>
  <c r="T36" i="5"/>
  <c r="J41" i="11"/>
  <c r="C44" i="11" s="1"/>
  <c r="C9" i="13" s="1"/>
  <c r="C10" i="13"/>
  <c r="L142" i="7"/>
  <c r="L139" i="7"/>
  <c r="AP92" i="6"/>
  <c r="V40" i="6"/>
  <c r="M64" i="8"/>
  <c r="M69" i="8" s="1"/>
  <c r="M35" i="8"/>
  <c r="O25" i="8"/>
  <c r="N34" i="8"/>
  <c r="I142" i="7"/>
  <c r="I139" i="7"/>
  <c r="G44" i="5"/>
  <c r="F26" i="3"/>
  <c r="G7" i="5" s="1"/>
  <c r="X96" i="6"/>
  <c r="D52" i="6"/>
  <c r="U31" i="5"/>
  <c r="BE92" i="6"/>
  <c r="AK40" i="6"/>
  <c r="BD92" i="6"/>
  <c r="AJ40" i="6"/>
  <c r="I16" i="5"/>
  <c r="T16" i="5" s="1"/>
  <c r="J23" i="9"/>
  <c r="J22" i="9"/>
  <c r="J136" i="7" s="1"/>
  <c r="C8" i="6"/>
  <c r="C21" i="6" s="1"/>
  <c r="H44" i="5"/>
  <c r="G26" i="3"/>
  <c r="I8" i="6"/>
  <c r="I21" i="6" s="1"/>
  <c r="N44" i="5"/>
  <c r="M26" i="3"/>
  <c r="J24" i="6"/>
  <c r="J16" i="6"/>
  <c r="J15" i="6"/>
  <c r="J23" i="6"/>
  <c r="C11" i="13" l="1"/>
  <c r="N66" i="5"/>
  <c r="N61" i="5"/>
  <c r="N58" i="5"/>
  <c r="Y57" i="5" s="1"/>
  <c r="Y44" i="5"/>
  <c r="Y47" i="5" s="1"/>
  <c r="G52" i="5"/>
  <c r="R52" i="5" s="1"/>
  <c r="G13" i="5"/>
  <c r="R13" i="5" s="1"/>
  <c r="G60" i="5"/>
  <c r="G10" i="5"/>
  <c r="R10" i="5" s="1"/>
  <c r="R7" i="5"/>
  <c r="N35" i="8"/>
  <c r="N64" i="8"/>
  <c r="N69" i="8" s="1"/>
  <c r="U139" i="5"/>
  <c r="D74" i="7"/>
  <c r="B76" i="7"/>
  <c r="AC92" i="6"/>
  <c r="I48" i="6"/>
  <c r="Z39" i="5"/>
  <c r="X139" i="5"/>
  <c r="B20" i="7"/>
  <c r="D18" i="7"/>
  <c r="C12" i="2" s="1"/>
  <c r="BG92" i="6"/>
  <c r="AM40" i="6"/>
  <c r="T139" i="5"/>
  <c r="D7" i="6"/>
  <c r="I7" i="5"/>
  <c r="Y92" i="6"/>
  <c r="E48" i="6"/>
  <c r="V39" i="5"/>
  <c r="E7" i="6"/>
  <c r="J7" i="5"/>
  <c r="G7" i="6"/>
  <c r="L7" i="5"/>
  <c r="H7" i="6"/>
  <c r="M7" i="5"/>
  <c r="F66" i="5"/>
  <c r="F61" i="5"/>
  <c r="Q60" i="5" s="1"/>
  <c r="F58" i="5"/>
  <c r="Q57" i="5" s="1"/>
  <c r="J142" i="7"/>
  <c r="C81" i="2" s="1"/>
  <c r="J139" i="7"/>
  <c r="G58" i="5"/>
  <c r="R57" i="5" s="1"/>
  <c r="G66" i="5"/>
  <c r="R66" i="5" s="1"/>
  <c r="G61" i="5"/>
  <c r="R44" i="5"/>
  <c r="O34" i="8"/>
  <c r="P25" i="8"/>
  <c r="P34" i="8" s="1"/>
  <c r="BC92" i="6"/>
  <c r="AI40" i="6"/>
  <c r="AW92" i="6"/>
  <c r="AC40" i="6"/>
  <c r="X92" i="6"/>
  <c r="D48" i="6"/>
  <c r="I66" i="5"/>
  <c r="T66" i="5" s="1"/>
  <c r="M92" i="6" s="1"/>
  <c r="I61" i="5"/>
  <c r="I58" i="5"/>
  <c r="T57" i="5" s="1"/>
  <c r="T44" i="5"/>
  <c r="R39" i="5"/>
  <c r="L68" i="8"/>
  <c r="N65" i="8"/>
  <c r="K81" i="8"/>
  <c r="P65" i="8"/>
  <c r="L65" i="8"/>
  <c r="L72" i="8" s="1"/>
  <c r="O65" i="8"/>
  <c r="M65" i="8"/>
  <c r="Y139" i="5"/>
  <c r="AB92" i="6"/>
  <c r="H48" i="6"/>
  <c r="Y39" i="5"/>
  <c r="M66" i="8"/>
  <c r="J66" i="5"/>
  <c r="U66" i="5" s="1"/>
  <c r="N92" i="6" s="1"/>
  <c r="J61" i="5"/>
  <c r="J58" i="5"/>
  <c r="U57" i="5" s="1"/>
  <c r="U44" i="5"/>
  <c r="U47" i="5" s="1"/>
  <c r="J7" i="6"/>
  <c r="O7" i="5"/>
  <c r="L58" i="5"/>
  <c r="W57" i="5" s="1"/>
  <c r="L66" i="5"/>
  <c r="L61" i="5"/>
  <c r="W44" i="5"/>
  <c r="M66" i="5"/>
  <c r="X66" i="5" s="1"/>
  <c r="Q92" i="6" s="1"/>
  <c r="M61" i="5"/>
  <c r="M58" i="5"/>
  <c r="X57" i="5" s="1"/>
  <c r="X44" i="5"/>
  <c r="X47" i="5" s="1"/>
  <c r="F7" i="6"/>
  <c r="K7" i="5"/>
  <c r="C7" i="6"/>
  <c r="H7" i="5"/>
  <c r="M38" i="8"/>
  <c r="M45" i="8" s="1"/>
  <c r="M39" i="8" s="1"/>
  <c r="W92" i="6"/>
  <c r="C48" i="6"/>
  <c r="T39" i="5"/>
  <c r="Z92" i="6"/>
  <c r="F48" i="6"/>
  <c r="AS92" i="6"/>
  <c r="Y40" i="6"/>
  <c r="N43" i="8"/>
  <c r="N37" i="8" s="1"/>
  <c r="P43" i="8"/>
  <c r="L43" i="8"/>
  <c r="L37" i="8" s="1"/>
  <c r="L55" i="8" s="1"/>
  <c r="O43" i="8"/>
  <c r="M43" i="8"/>
  <c r="M37" i="8" s="1"/>
  <c r="V92" i="6"/>
  <c r="B48" i="6"/>
  <c r="S39" i="5"/>
  <c r="W139" i="5"/>
  <c r="Y66" i="5"/>
  <c r="R92" i="6" s="1"/>
  <c r="O58" i="5"/>
  <c r="Z57" i="5" s="1"/>
  <c r="O66" i="5"/>
  <c r="Z66" i="5" s="1"/>
  <c r="S92" i="6" s="1"/>
  <c r="O61" i="5"/>
  <c r="Z44" i="5"/>
  <c r="Z47" i="5" s="1"/>
  <c r="K58" i="5"/>
  <c r="V57" i="5" s="1"/>
  <c r="K66" i="5"/>
  <c r="V66" i="5" s="1"/>
  <c r="O92" i="6" s="1"/>
  <c r="K61" i="5"/>
  <c r="V44" i="5"/>
  <c r="I7" i="6"/>
  <c r="N7" i="5"/>
  <c r="H58" i="5"/>
  <c r="S57" i="5" s="1"/>
  <c r="H66" i="5"/>
  <c r="S66" i="5" s="1"/>
  <c r="L92" i="6" s="1"/>
  <c r="H61" i="5"/>
  <c r="S44" i="5"/>
  <c r="S47" i="5" s="1"/>
  <c r="W66" i="5"/>
  <c r="P92" i="6" s="1"/>
  <c r="V139" i="5"/>
  <c r="S139" i="5"/>
  <c r="AA92" i="6"/>
  <c r="G48" i="6"/>
  <c r="R139" i="5"/>
  <c r="Z139" i="5"/>
  <c r="R135" i="5"/>
  <c r="R143" i="5" s="1"/>
  <c r="F60" i="5"/>
  <c r="F10" i="5"/>
  <c r="F52" i="5"/>
  <c r="F13" i="5"/>
  <c r="O37" i="8" l="1"/>
  <c r="R60" i="5"/>
  <c r="N66" i="8"/>
  <c r="N72" i="8" s="1"/>
  <c r="R55" i="5"/>
  <c r="H44" i="6"/>
  <c r="N38" i="8"/>
  <c r="N45" i="8" s="1"/>
  <c r="N39" i="8" s="1"/>
  <c r="N55" i="8" s="1"/>
  <c r="Z135" i="5"/>
  <c r="N60" i="5"/>
  <c r="N10" i="5"/>
  <c r="Y10" i="5" s="1"/>
  <c r="N52" i="5"/>
  <c r="Y52" i="5" s="1"/>
  <c r="H40" i="6" s="1"/>
  <c r="N13" i="5"/>
  <c r="Y13" i="5" s="1"/>
  <c r="Y7" i="5"/>
  <c r="D7" i="12"/>
  <c r="C22" i="11"/>
  <c r="G7" i="12"/>
  <c r="C7" i="12"/>
  <c r="E7" i="12"/>
  <c r="C6" i="13"/>
  <c r="F7" i="12"/>
  <c r="B22" i="7"/>
  <c r="I45" i="2"/>
  <c r="E45" i="2"/>
  <c r="K26" i="2"/>
  <c r="G26" i="2"/>
  <c r="C26" i="2"/>
  <c r="M6" i="7" s="1"/>
  <c r="K18" i="2"/>
  <c r="G18" i="2"/>
  <c r="C18" i="2"/>
  <c r="M5" i="7" s="1"/>
  <c r="I12" i="2"/>
  <c r="E12" i="2"/>
  <c r="L45" i="2"/>
  <c r="H45" i="2"/>
  <c r="D45" i="2"/>
  <c r="J26" i="2"/>
  <c r="F26" i="2"/>
  <c r="J18" i="2"/>
  <c r="F18" i="2"/>
  <c r="L12" i="2"/>
  <c r="H12" i="2"/>
  <c r="D12" i="2"/>
  <c r="K45" i="2"/>
  <c r="G45" i="2"/>
  <c r="C45" i="2"/>
  <c r="M53" i="7" s="1"/>
  <c r="I26" i="2"/>
  <c r="E26" i="2"/>
  <c r="I18" i="2"/>
  <c r="E18" i="2"/>
  <c r="K12" i="2"/>
  <c r="G12" i="2"/>
  <c r="J45" i="2"/>
  <c r="L26" i="2"/>
  <c r="J12" i="2"/>
  <c r="F45" i="2"/>
  <c r="H26" i="2"/>
  <c r="L18" i="2"/>
  <c r="F12" i="2"/>
  <c r="H18" i="2"/>
  <c r="D18" i="2"/>
  <c r="D26" i="2"/>
  <c r="R141" i="5"/>
  <c r="I28" i="6"/>
  <c r="I20" i="6"/>
  <c r="I25" i="6" s="1"/>
  <c r="I14" i="6"/>
  <c r="I17" i="6" s="1"/>
  <c r="J28" i="6"/>
  <c r="J20" i="6"/>
  <c r="J25" i="6" s="1"/>
  <c r="J14" i="6"/>
  <c r="J17" i="6" s="1"/>
  <c r="X135" i="5"/>
  <c r="L52" i="5"/>
  <c r="W52" i="5" s="1"/>
  <c r="F40" i="6" s="1"/>
  <c r="L13" i="5"/>
  <c r="W13" i="5" s="1"/>
  <c r="L60" i="5"/>
  <c r="W60" i="5" s="1"/>
  <c r="F92" i="6" s="1"/>
  <c r="L10" i="5"/>
  <c r="W10" i="5" s="1"/>
  <c r="W7" i="5"/>
  <c r="L56" i="8"/>
  <c r="W135" i="5"/>
  <c r="K52" i="5"/>
  <c r="V52" i="5" s="1"/>
  <c r="E40" i="6" s="1"/>
  <c r="K13" i="5"/>
  <c r="V13" i="5" s="1"/>
  <c r="K60" i="5"/>
  <c r="V60" i="5" s="1"/>
  <c r="E92" i="6" s="1"/>
  <c r="K10" i="5"/>
  <c r="V10" i="5" s="1"/>
  <c r="V7" i="5"/>
  <c r="D44" i="6"/>
  <c r="G28" i="6"/>
  <c r="G20" i="6"/>
  <c r="G25" i="6" s="1"/>
  <c r="G14" i="6"/>
  <c r="G17" i="6" s="1"/>
  <c r="U135" i="5"/>
  <c r="I60" i="5"/>
  <c r="T60" i="5" s="1"/>
  <c r="C92" i="6" s="1"/>
  <c r="I10" i="5"/>
  <c r="T10" i="5" s="1"/>
  <c r="I52" i="5"/>
  <c r="T52" i="5" s="1"/>
  <c r="C40" i="6" s="1"/>
  <c r="I13" i="5"/>
  <c r="T13" i="5" s="1"/>
  <c r="T7" i="5"/>
  <c r="Y60" i="5"/>
  <c r="H92" i="6" s="1"/>
  <c r="B44" i="6"/>
  <c r="M55" i="8"/>
  <c r="T135" i="5"/>
  <c r="H52" i="5"/>
  <c r="S52" i="5" s="1"/>
  <c r="B40" i="6" s="1"/>
  <c r="H13" i="5"/>
  <c r="S13" i="5" s="1"/>
  <c r="H60" i="5"/>
  <c r="H10" i="5"/>
  <c r="S10" i="5" s="1"/>
  <c r="S7" i="5"/>
  <c r="G44" i="6"/>
  <c r="F44" i="6"/>
  <c r="W55" i="5"/>
  <c r="O52" i="5"/>
  <c r="Z52" i="5" s="1"/>
  <c r="I40" i="6" s="1"/>
  <c r="O13" i="5"/>
  <c r="Z13" i="5" s="1"/>
  <c r="O60" i="5"/>
  <c r="O10" i="5"/>
  <c r="Z10" i="5" s="1"/>
  <c r="Z7" i="5"/>
  <c r="C44" i="6"/>
  <c r="P35" i="8"/>
  <c r="P64" i="8"/>
  <c r="P69" i="8" s="1"/>
  <c r="H28" i="6"/>
  <c r="H20" i="6"/>
  <c r="H25" i="6" s="1"/>
  <c r="H14" i="6"/>
  <c r="H17" i="6" s="1"/>
  <c r="E28" i="6"/>
  <c r="E20" i="6"/>
  <c r="E25" i="6" s="1"/>
  <c r="E14" i="6"/>
  <c r="E17" i="6" s="1"/>
  <c r="S60" i="5"/>
  <c r="B92" i="6" s="1"/>
  <c r="C28" i="6"/>
  <c r="C20" i="6"/>
  <c r="C25" i="6" s="1"/>
  <c r="C14" i="6"/>
  <c r="C17" i="6" s="1"/>
  <c r="L80" i="8"/>
  <c r="M68" i="8" s="1"/>
  <c r="O64" i="8"/>
  <c r="O35" i="8"/>
  <c r="E44" i="6"/>
  <c r="I44" i="6"/>
  <c r="Z60" i="5"/>
  <c r="I92" i="6" s="1"/>
  <c r="P37" i="8"/>
  <c r="W47" i="5"/>
  <c r="T47" i="5"/>
  <c r="F28" i="6"/>
  <c r="F20" i="6"/>
  <c r="F25" i="6" s="1"/>
  <c r="F14" i="6"/>
  <c r="F17" i="6" s="1"/>
  <c r="M72" i="8"/>
  <c r="R47" i="5"/>
  <c r="K81" i="2"/>
  <c r="G81" i="2"/>
  <c r="J81" i="2"/>
  <c r="F81" i="2"/>
  <c r="I81" i="2"/>
  <c r="E81" i="2"/>
  <c r="L81" i="2"/>
  <c r="H81" i="2"/>
  <c r="D81" i="2"/>
  <c r="Y135" i="5"/>
  <c r="M60" i="5"/>
  <c r="X60" i="5" s="1"/>
  <c r="G92" i="6" s="1"/>
  <c r="M10" i="5"/>
  <c r="X10" i="5" s="1"/>
  <c r="M52" i="5"/>
  <c r="X52" i="5" s="1"/>
  <c r="G40" i="6" s="1"/>
  <c r="M13" i="5"/>
  <c r="X13" i="5" s="1"/>
  <c r="X7" i="5"/>
  <c r="V135" i="5"/>
  <c r="J60" i="5"/>
  <c r="U60" i="5" s="1"/>
  <c r="D92" i="6" s="1"/>
  <c r="J10" i="5"/>
  <c r="U10" i="5" s="1"/>
  <c r="J52" i="5"/>
  <c r="U52" i="5" s="1"/>
  <c r="D40" i="6" s="1"/>
  <c r="J13" i="5"/>
  <c r="U13" i="5" s="1"/>
  <c r="U7" i="5"/>
  <c r="V47" i="5"/>
  <c r="D28" i="6"/>
  <c r="D20" i="6"/>
  <c r="D25" i="6" s="1"/>
  <c r="D14" i="6"/>
  <c r="D17" i="6" s="1"/>
  <c r="S135" i="5"/>
  <c r="V55" i="5" l="1"/>
  <c r="M80" i="8"/>
  <c r="N68" i="8" s="1"/>
  <c r="N80" i="8" s="1"/>
  <c r="O68" i="8" s="1"/>
  <c r="G29" i="6"/>
  <c r="T55" i="5"/>
  <c r="N56" i="8"/>
  <c r="AB87" i="6"/>
  <c r="R35" i="6"/>
  <c r="C25" i="11"/>
  <c r="C11" i="1"/>
  <c r="F29" i="6"/>
  <c r="H29" i="6"/>
  <c r="AA87" i="6"/>
  <c r="Q35" i="6"/>
  <c r="S55" i="5"/>
  <c r="D72" i="6"/>
  <c r="U143" i="5"/>
  <c r="D80" i="6" s="1"/>
  <c r="U141" i="5"/>
  <c r="M56" i="8"/>
  <c r="I29" i="6"/>
  <c r="N6" i="7"/>
  <c r="O6" i="7" s="1"/>
  <c r="P6" i="7" s="1"/>
  <c r="Q6" i="7" s="1"/>
  <c r="R6" i="7" s="1"/>
  <c r="S6" i="7" s="1"/>
  <c r="T6" i="7" s="1"/>
  <c r="U6" i="7" s="1"/>
  <c r="V6" i="7" s="1"/>
  <c r="AC87" i="6"/>
  <c r="S35" i="6"/>
  <c r="O69" i="8"/>
  <c r="P66" i="8"/>
  <c r="P72" i="8" s="1"/>
  <c r="O66" i="8"/>
  <c r="O72" i="8" s="1"/>
  <c r="AH87" i="6"/>
  <c r="X35" i="6"/>
  <c r="E72" i="6"/>
  <c r="V143" i="5"/>
  <c r="E80" i="6" s="1"/>
  <c r="V141" i="5"/>
  <c r="C29" i="6"/>
  <c r="D29" i="6"/>
  <c r="AF87" i="6"/>
  <c r="V35" i="6"/>
  <c r="E29" i="6"/>
  <c r="C72" i="6"/>
  <c r="T143" i="5"/>
  <c r="C80" i="6" s="1"/>
  <c r="T141" i="5"/>
  <c r="AD87" i="6"/>
  <c r="T35" i="6"/>
  <c r="AE87" i="6"/>
  <c r="U35" i="6"/>
  <c r="J29" i="6"/>
  <c r="N5" i="7"/>
  <c r="M7" i="7"/>
  <c r="M8" i="7" s="1"/>
  <c r="AG87" i="6"/>
  <c r="W35" i="6"/>
  <c r="Y55" i="5"/>
  <c r="B72" i="6"/>
  <c r="S143" i="5"/>
  <c r="B80" i="6" s="1"/>
  <c r="S141" i="5"/>
  <c r="H72" i="6"/>
  <c r="Y143" i="5"/>
  <c r="H80" i="6" s="1"/>
  <c r="Y141" i="5"/>
  <c r="Z55" i="5"/>
  <c r="O38" i="8"/>
  <c r="O45" i="8" s="1"/>
  <c r="O39" i="8" s="1"/>
  <c r="P38" i="8"/>
  <c r="X55" i="5"/>
  <c r="U55" i="5"/>
  <c r="F72" i="6"/>
  <c r="W143" i="5"/>
  <c r="F80" i="6" s="1"/>
  <c r="W141" i="5"/>
  <c r="G72" i="6"/>
  <c r="X143" i="5"/>
  <c r="G80" i="6" s="1"/>
  <c r="X141" i="5"/>
  <c r="C11" i="11"/>
  <c r="M83" i="7"/>
  <c r="M56" i="7" s="1"/>
  <c r="M13" i="9" s="1"/>
  <c r="C10" i="11" s="1"/>
  <c r="N53" i="7"/>
  <c r="N83" i="7" s="1"/>
  <c r="N56" i="7" s="1"/>
  <c r="N13" i="9" s="1"/>
  <c r="D10" i="11" s="1"/>
  <c r="I72" i="6"/>
  <c r="Z143" i="5"/>
  <c r="I80" i="6" s="1"/>
  <c r="Z141" i="5"/>
  <c r="M64" i="7" l="1"/>
  <c r="O80" i="8"/>
  <c r="P68" i="8" s="1"/>
  <c r="P80" i="8" s="1"/>
  <c r="M7" i="9"/>
  <c r="M31" i="7"/>
  <c r="O5" i="7"/>
  <c r="N7" i="7"/>
  <c r="N8" i="7" s="1"/>
  <c r="P45" i="8"/>
  <c r="P39" i="8" s="1"/>
  <c r="P55" i="8" s="1"/>
  <c r="N52" i="7"/>
  <c r="D11" i="11"/>
  <c r="O53" i="7"/>
  <c r="O55" i="8"/>
  <c r="N7" i="9" l="1"/>
  <c r="N31" i="7"/>
  <c r="P5" i="7"/>
  <c r="O7" i="7"/>
  <c r="O8" i="7" s="1"/>
  <c r="E11" i="11"/>
  <c r="P53" i="7"/>
  <c r="O83" i="7"/>
  <c r="O56" i="7" s="1"/>
  <c r="O13" i="9" s="1"/>
  <c r="E10" i="11" s="1"/>
  <c r="M35" i="7"/>
  <c r="M32" i="7"/>
  <c r="M16" i="9"/>
  <c r="M10" i="9"/>
  <c r="M9" i="9"/>
  <c r="P56" i="8"/>
  <c r="O56" i="8"/>
  <c r="N61" i="7"/>
  <c r="N57" i="7"/>
  <c r="N60" i="7"/>
  <c r="N64" i="7" l="1"/>
  <c r="O52" i="7" s="1"/>
  <c r="O7" i="9"/>
  <c r="O31" i="7"/>
  <c r="M8" i="9"/>
  <c r="M11" i="9" s="1"/>
  <c r="M14" i="9" s="1"/>
  <c r="M37" i="7"/>
  <c r="M38" i="7" s="1"/>
  <c r="M36" i="7"/>
  <c r="F11" i="11"/>
  <c r="Q53" i="7"/>
  <c r="P7" i="7"/>
  <c r="P8" i="7" s="1"/>
  <c r="Q5" i="7"/>
  <c r="N35" i="7"/>
  <c r="N32" i="7"/>
  <c r="N16" i="9"/>
  <c r="N10" i="9"/>
  <c r="N9" i="9"/>
  <c r="P83" i="7"/>
  <c r="P56" i="7" s="1"/>
  <c r="P13" i="9" s="1"/>
  <c r="F10" i="11" s="1"/>
  <c r="M44" i="7" l="1"/>
  <c r="M45" i="7" s="1"/>
  <c r="C12" i="11" s="1"/>
  <c r="N39" i="11"/>
  <c r="P7" i="9"/>
  <c r="P31" i="7"/>
  <c r="R5" i="7"/>
  <c r="Q7" i="7"/>
  <c r="Q8" i="7" s="1"/>
  <c r="O35" i="7"/>
  <c r="O32" i="7"/>
  <c r="N8" i="9"/>
  <c r="N11" i="9" s="1"/>
  <c r="N14" i="9" s="1"/>
  <c r="N37" i="7"/>
  <c r="N38" i="7" s="1"/>
  <c r="N36" i="7"/>
  <c r="O16" i="9"/>
  <c r="O10" i="9"/>
  <c r="O9" i="9"/>
  <c r="O60" i="7"/>
  <c r="O57" i="7"/>
  <c r="O61" i="7"/>
  <c r="G11" i="11"/>
  <c r="R53" i="7"/>
  <c r="Q83" i="7"/>
  <c r="Q56" i="7" s="1"/>
  <c r="Q13" i="9" s="1"/>
  <c r="G10" i="11" s="1"/>
  <c r="C7" i="11"/>
  <c r="M19" i="9"/>
  <c r="O64" i="7" l="1"/>
  <c r="N44" i="7"/>
  <c r="N45" i="7" s="1"/>
  <c r="D12" i="11" s="1"/>
  <c r="P52" i="7"/>
  <c r="Q7" i="9"/>
  <c r="Q31" i="7"/>
  <c r="H11" i="11"/>
  <c r="S53" i="7"/>
  <c r="R83" i="7"/>
  <c r="R56" i="7" s="1"/>
  <c r="R13" i="9" s="1"/>
  <c r="H10" i="11" s="1"/>
  <c r="P16" i="9"/>
  <c r="P10" i="9"/>
  <c r="P9" i="9"/>
  <c r="D7" i="11"/>
  <c r="O8" i="9"/>
  <c r="O11" i="9" s="1"/>
  <c r="O14" i="9" s="1"/>
  <c r="O37" i="7"/>
  <c r="O38" i="7" s="1"/>
  <c r="O36" i="7"/>
  <c r="S5" i="7"/>
  <c r="R7" i="7"/>
  <c r="R8" i="7" s="1"/>
  <c r="M106" i="7"/>
  <c r="S83" i="7"/>
  <c r="S56" i="7" s="1"/>
  <c r="S13" i="9" s="1"/>
  <c r="I10" i="11" s="1"/>
  <c r="P35" i="7"/>
  <c r="P32" i="7"/>
  <c r="O39" i="11" l="1"/>
  <c r="O44" i="7"/>
  <c r="O45" i="7" s="1"/>
  <c r="E12" i="11" s="1"/>
  <c r="R7" i="9"/>
  <c r="R31" i="7"/>
  <c r="E7" i="11"/>
  <c r="I11" i="11"/>
  <c r="T53" i="7"/>
  <c r="T83" i="7" s="1"/>
  <c r="T56" i="7" s="1"/>
  <c r="T13" i="9" s="1"/>
  <c r="J10" i="11" s="1"/>
  <c r="Q32" i="7"/>
  <c r="Q35" i="7"/>
  <c r="P8" i="9"/>
  <c r="P11" i="9" s="1"/>
  <c r="P14" i="9" s="1"/>
  <c r="P37" i="7"/>
  <c r="P38" i="7" s="1"/>
  <c r="P36" i="7"/>
  <c r="M124" i="7"/>
  <c r="M126" i="7"/>
  <c r="M109" i="7" s="1"/>
  <c r="M123" i="7"/>
  <c r="T5" i="7"/>
  <c r="S7" i="7"/>
  <c r="S8" i="7" s="1"/>
  <c r="Q16" i="9"/>
  <c r="Q10" i="9"/>
  <c r="Q9" i="9"/>
  <c r="P60" i="7"/>
  <c r="P61" i="7"/>
  <c r="P57" i="7"/>
  <c r="P39" i="11" l="1"/>
  <c r="P64" i="7"/>
  <c r="Q52" i="7" s="1"/>
  <c r="M125" i="7"/>
  <c r="M116" i="7" s="1"/>
  <c r="M114" i="7" s="1"/>
  <c r="M110" i="7" s="1"/>
  <c r="M107" i="7" s="1"/>
  <c r="P44" i="7"/>
  <c r="Q39" i="11" s="1"/>
  <c r="S7" i="9"/>
  <c r="S31" i="7"/>
  <c r="Q8" i="9"/>
  <c r="Q11" i="9" s="1"/>
  <c r="Q14" i="9" s="1"/>
  <c r="Q37" i="7"/>
  <c r="Q38" i="7" s="1"/>
  <c r="Q36" i="7"/>
  <c r="R9" i="9"/>
  <c r="R16" i="9"/>
  <c r="R10" i="9"/>
  <c r="F7" i="11"/>
  <c r="T7" i="7"/>
  <c r="T8" i="7" s="1"/>
  <c r="U5" i="7"/>
  <c r="J11" i="11"/>
  <c r="U53" i="7"/>
  <c r="U83" i="7" s="1"/>
  <c r="U56" i="7" s="1"/>
  <c r="U13" i="9" s="1"/>
  <c r="K10" i="11" s="1"/>
  <c r="R35" i="7"/>
  <c r="R32" i="7"/>
  <c r="P45" i="7" l="1"/>
  <c r="F12" i="11" s="1"/>
  <c r="N122" i="7"/>
  <c r="N113" i="7" s="1"/>
  <c r="Q44" i="7"/>
  <c r="Q45" i="7" s="1"/>
  <c r="G12" i="11" s="1"/>
  <c r="T7" i="9"/>
  <c r="T31" i="7"/>
  <c r="C8" i="11"/>
  <c r="M21" i="9"/>
  <c r="M22" i="9" s="1"/>
  <c r="M136" i="7" s="1"/>
  <c r="S35" i="7"/>
  <c r="S32" i="7"/>
  <c r="V5" i="7"/>
  <c r="U7" i="7"/>
  <c r="U8" i="7" s="1"/>
  <c r="S16" i="9"/>
  <c r="S10" i="9"/>
  <c r="S9" i="9"/>
  <c r="Q57" i="7"/>
  <c r="Q61" i="7"/>
  <c r="Q60" i="7"/>
  <c r="K11" i="11"/>
  <c r="V53" i="7"/>
  <c r="L11" i="11" s="1"/>
  <c r="R8" i="9"/>
  <c r="R11" i="9" s="1"/>
  <c r="R14" i="9" s="1"/>
  <c r="R37" i="7"/>
  <c r="R38" i="7" s="1"/>
  <c r="R36" i="7"/>
  <c r="G7" i="11"/>
  <c r="V83" i="7" l="1"/>
  <c r="V56" i="7" s="1"/>
  <c r="V13" i="9" s="1"/>
  <c r="L10" i="11" s="1"/>
  <c r="R44" i="7"/>
  <c r="R45" i="7" s="1"/>
  <c r="H12" i="11" s="1"/>
  <c r="Q64" i="7"/>
  <c r="R39" i="11" s="1"/>
  <c r="U7" i="9"/>
  <c r="U31" i="7"/>
  <c r="S8" i="9"/>
  <c r="S11" i="9" s="1"/>
  <c r="S14" i="9" s="1"/>
  <c r="S37" i="7"/>
  <c r="S38" i="7" s="1"/>
  <c r="S36" i="7"/>
  <c r="M138" i="7"/>
  <c r="M140" i="7" s="1"/>
  <c r="T35" i="7"/>
  <c r="T32" i="7"/>
  <c r="H7" i="11"/>
  <c r="V7" i="7"/>
  <c r="V8" i="7" s="1"/>
  <c r="C9" i="11"/>
  <c r="C13" i="11" s="1"/>
  <c r="C16" i="11" s="1"/>
  <c r="M40" i="11"/>
  <c r="M41" i="11" s="1"/>
  <c r="B45" i="11" s="1"/>
  <c r="T16" i="9"/>
  <c r="T10" i="9"/>
  <c r="T9" i="9"/>
  <c r="S44" i="7" l="1"/>
  <c r="S45" i="7" s="1"/>
  <c r="I12" i="11" s="1"/>
  <c r="R52" i="7"/>
  <c r="R61" i="7" s="1"/>
  <c r="V7" i="9"/>
  <c r="V31" i="7"/>
  <c r="N93" i="7"/>
  <c r="N135" i="7"/>
  <c r="T8" i="9"/>
  <c r="T11" i="9" s="1"/>
  <c r="T14" i="9" s="1"/>
  <c r="T37" i="7"/>
  <c r="T38" i="7" s="1"/>
  <c r="T36" i="7"/>
  <c r="I7" i="11"/>
  <c r="U35" i="7"/>
  <c r="U32" i="7"/>
  <c r="R60" i="7"/>
  <c r="U16" i="9"/>
  <c r="U10" i="9"/>
  <c r="U9" i="9"/>
  <c r="R57" i="7" l="1"/>
  <c r="T44" i="7"/>
  <c r="T45" i="7" s="1"/>
  <c r="J12" i="11" s="1"/>
  <c r="R64" i="7"/>
  <c r="S52" i="7" s="1"/>
  <c r="V35" i="7"/>
  <c r="V32" i="7"/>
  <c r="J7" i="11"/>
  <c r="V16" i="9"/>
  <c r="V10" i="9"/>
  <c r="V9" i="9"/>
  <c r="U8" i="9"/>
  <c r="U11" i="9" s="1"/>
  <c r="U14" i="9" s="1"/>
  <c r="U37" i="7"/>
  <c r="U38" i="7" s="1"/>
  <c r="U36" i="7"/>
  <c r="N91" i="7"/>
  <c r="N90" i="7"/>
  <c r="O89" i="7"/>
  <c r="N96" i="7"/>
  <c r="N98" i="7" s="1"/>
  <c r="N17" i="9" s="1"/>
  <c r="N19" i="9" s="1"/>
  <c r="S39" i="11" l="1"/>
  <c r="U44" i="7"/>
  <c r="U45" i="7" s="1"/>
  <c r="K12" i="11" s="1"/>
  <c r="S60" i="7"/>
  <c r="S57" i="7"/>
  <c r="S61" i="7"/>
  <c r="N106" i="7"/>
  <c r="K7" i="11"/>
  <c r="V8" i="9"/>
  <c r="V11" i="9" s="1"/>
  <c r="V14" i="9" s="1"/>
  <c r="V37" i="7"/>
  <c r="V38" i="7" s="1"/>
  <c r="V36" i="7"/>
  <c r="V44" i="7" l="1"/>
  <c r="V45" i="7" s="1"/>
  <c r="L12" i="11" s="1"/>
  <c r="S64" i="7"/>
  <c r="T52" i="7" s="1"/>
  <c r="N123" i="7"/>
  <c r="N126" i="7"/>
  <c r="N109" i="7" s="1"/>
  <c r="N124" i="7"/>
  <c r="L7" i="11"/>
  <c r="T39" i="11" l="1"/>
  <c r="N125" i="7"/>
  <c r="N116" i="7" s="1"/>
  <c r="N114" i="7" s="1"/>
  <c r="N110" i="7" s="1"/>
  <c r="N107" i="7" s="1"/>
  <c r="C24" i="11"/>
  <c r="C26" i="11" s="1"/>
  <c r="C27" i="11" s="1"/>
  <c r="T60" i="7"/>
  <c r="T57" i="7"/>
  <c r="T61" i="7"/>
  <c r="O122" i="7" l="1"/>
  <c r="T64" i="7"/>
  <c r="U39" i="11" s="1"/>
  <c r="D8" i="11"/>
  <c r="N21" i="9"/>
  <c r="N22" i="9" s="1"/>
  <c r="N136" i="7" s="1"/>
  <c r="U52" i="7"/>
  <c r="O113" i="7"/>
  <c r="N138" i="7" l="1"/>
  <c r="N140" i="7" s="1"/>
  <c r="U61" i="7"/>
  <c r="U60" i="7"/>
  <c r="U57" i="7"/>
  <c r="D9" i="11"/>
  <c r="D13" i="11" s="1"/>
  <c r="D16" i="11" s="1"/>
  <c r="N40" i="11"/>
  <c r="N41" i="11" s="1"/>
  <c r="U64" i="7" l="1"/>
  <c r="V39" i="11" s="1"/>
  <c r="O135" i="7"/>
  <c r="O93" i="7"/>
  <c r="V52" i="7" l="1"/>
  <c r="V61" i="7" s="1"/>
  <c r="O91" i="7"/>
  <c r="O90" i="7"/>
  <c r="P89" i="7"/>
  <c r="O96" i="7"/>
  <c r="O98" i="7" s="1"/>
  <c r="O17" i="9" s="1"/>
  <c r="O19" i="9" s="1"/>
  <c r="V60" i="7" l="1"/>
  <c r="V57" i="7"/>
  <c r="O106" i="7"/>
  <c r="V64" i="7" l="1"/>
  <c r="O124" i="7"/>
  <c r="O123" i="7"/>
  <c r="O125" i="7" s="1"/>
  <c r="O126" i="7"/>
  <c r="O109" i="7" s="1"/>
  <c r="P122" i="7" l="1"/>
  <c r="O116" i="7"/>
  <c r="O114" i="7" s="1"/>
  <c r="O110" i="7" s="1"/>
  <c r="O107" i="7" s="1"/>
  <c r="E8" i="11" l="1"/>
  <c r="O21" i="9"/>
  <c r="O22" i="9" s="1"/>
  <c r="O136" i="7" s="1"/>
  <c r="P113" i="7"/>
  <c r="O138" i="7" l="1"/>
  <c r="O140" i="7" s="1"/>
  <c r="E9" i="11"/>
  <c r="E13" i="11" s="1"/>
  <c r="E16" i="11" s="1"/>
  <c r="O40" i="11"/>
  <c r="O41" i="11" s="1"/>
  <c r="P135" i="7" l="1"/>
  <c r="P93" i="7"/>
  <c r="Q89" i="7" l="1"/>
  <c r="P90" i="7"/>
  <c r="P91" i="7"/>
  <c r="P96" i="7"/>
  <c r="P98" i="7" s="1"/>
  <c r="P17" i="9" s="1"/>
  <c r="P19" i="9" s="1"/>
  <c r="P106" i="7" l="1"/>
  <c r="P126" i="7" l="1"/>
  <c r="P109" i="7" s="1"/>
  <c r="P124" i="7"/>
  <c r="P123" i="7"/>
  <c r="P125" i="7" l="1"/>
  <c r="P116" i="7" s="1"/>
  <c r="P114" i="7" s="1"/>
  <c r="P110" i="7" s="1"/>
  <c r="P107" i="7" s="1"/>
  <c r="Q122" i="7" l="1"/>
  <c r="F8" i="11"/>
  <c r="P21" i="9"/>
  <c r="P22" i="9" s="1"/>
  <c r="P136" i="7" s="1"/>
  <c r="Q113" i="7"/>
  <c r="P138" i="7" l="1"/>
  <c r="P140" i="7" s="1"/>
  <c r="P40" i="11"/>
  <c r="P41" i="11" s="1"/>
  <c r="F9" i="11"/>
  <c r="F13" i="11" s="1"/>
  <c r="F16" i="11" s="1"/>
  <c r="Q135" i="7" l="1"/>
  <c r="Q93" i="7"/>
  <c r="Q91" i="7" l="1"/>
  <c r="Q90" i="7"/>
  <c r="R89" i="7"/>
  <c r="Q96" i="7"/>
  <c r="Q98" i="7" s="1"/>
  <c r="Q17" i="9" s="1"/>
  <c r="Q19" i="9" s="1"/>
  <c r="Q106" i="7" l="1"/>
  <c r="Q123" i="7" l="1"/>
  <c r="Q124" i="7"/>
  <c r="Q126" i="7"/>
  <c r="Q109" i="7" s="1"/>
  <c r="Q125" i="7" l="1"/>
  <c r="Q116" i="7" l="1"/>
  <c r="Q114" i="7" s="1"/>
  <c r="Q110" i="7" s="1"/>
  <c r="Q107" i="7" s="1"/>
  <c r="R122" i="7"/>
  <c r="R113" i="7" l="1"/>
  <c r="G8" i="11"/>
  <c r="Q21" i="9"/>
  <c r="Q22" i="9" s="1"/>
  <c r="Q136" i="7" s="1"/>
  <c r="Q138" i="7" l="1"/>
  <c r="Q140" i="7" s="1"/>
  <c r="Q40" i="11"/>
  <c r="Q41" i="11" s="1"/>
  <c r="G9" i="11"/>
  <c r="G13" i="11" s="1"/>
  <c r="G16" i="11" s="1"/>
  <c r="R93" i="7" l="1"/>
  <c r="R135" i="7"/>
  <c r="R91" i="7" l="1"/>
  <c r="R90" i="7"/>
  <c r="S89" i="7"/>
  <c r="R96" i="7"/>
  <c r="R98" i="7" s="1"/>
  <c r="R17" i="9" s="1"/>
  <c r="R19" i="9" s="1"/>
  <c r="R106" i="7" l="1"/>
  <c r="R123" i="7" l="1"/>
  <c r="R124" i="7"/>
  <c r="R126" i="7"/>
  <c r="R109" i="7" s="1"/>
  <c r="R125" i="7" l="1"/>
  <c r="R116" i="7" l="1"/>
  <c r="R114" i="7" s="1"/>
  <c r="R110" i="7" s="1"/>
  <c r="R107" i="7" s="1"/>
  <c r="S122" i="7"/>
  <c r="S113" i="7" l="1"/>
  <c r="H8" i="11"/>
  <c r="R21" i="9"/>
  <c r="R22" i="9" s="1"/>
  <c r="R136" i="7" s="1"/>
  <c r="R138" i="7" l="1"/>
  <c r="R140" i="7" s="1"/>
  <c r="H9" i="11"/>
  <c r="H13" i="11" s="1"/>
  <c r="H16" i="11" s="1"/>
  <c r="R40" i="11"/>
  <c r="R41" i="11" s="1"/>
  <c r="S135" i="7" l="1"/>
  <c r="S93" i="7"/>
  <c r="S91" i="7" l="1"/>
  <c r="S90" i="7"/>
  <c r="T89" i="7"/>
  <c r="S96" i="7"/>
  <c r="S98" i="7" s="1"/>
  <c r="S17" i="9" s="1"/>
  <c r="S19" i="9" s="1"/>
  <c r="S106" i="7" l="1"/>
  <c r="S126" i="7" l="1"/>
  <c r="S109" i="7" s="1"/>
  <c r="S124" i="7"/>
  <c r="S123" i="7"/>
  <c r="S125" i="7" l="1"/>
  <c r="S116" i="7" s="1"/>
  <c r="S114" i="7" s="1"/>
  <c r="S110" i="7" s="1"/>
  <c r="S107" i="7" s="1"/>
  <c r="T122" i="7" l="1"/>
  <c r="S21" i="9"/>
  <c r="S22" i="9" s="1"/>
  <c r="S136" i="7" s="1"/>
  <c r="I8" i="11"/>
  <c r="T113" i="7"/>
  <c r="S40" i="11" l="1"/>
  <c r="S41" i="11" s="1"/>
  <c r="I9" i="11"/>
  <c r="I13" i="11" s="1"/>
  <c r="I16" i="11" s="1"/>
  <c r="S138" i="7"/>
  <c r="S140" i="7" s="1"/>
  <c r="T135" i="7" l="1"/>
  <c r="T93" i="7"/>
  <c r="U89" i="7" l="1"/>
  <c r="T91" i="7"/>
  <c r="T90" i="7"/>
  <c r="T96" i="7"/>
  <c r="T98" i="7" s="1"/>
  <c r="T17" i="9" s="1"/>
  <c r="T19" i="9" s="1"/>
  <c r="T106" i="7" l="1"/>
  <c r="T126" i="7" l="1"/>
  <c r="T109" i="7" s="1"/>
  <c r="T124" i="7"/>
  <c r="T123" i="7"/>
  <c r="T125" i="7" l="1"/>
  <c r="T116" i="7" s="1"/>
  <c r="T114" i="7" s="1"/>
  <c r="T110" i="7" s="1"/>
  <c r="T107" i="7" s="1"/>
  <c r="U122" i="7"/>
  <c r="J8" i="11" l="1"/>
  <c r="T21" i="9"/>
  <c r="T22" i="9" s="1"/>
  <c r="T136" i="7" s="1"/>
  <c r="U113" i="7"/>
  <c r="T138" i="7" l="1"/>
  <c r="T140" i="7" s="1"/>
  <c r="J9" i="11"/>
  <c r="J13" i="11" s="1"/>
  <c r="J16" i="11" s="1"/>
  <c r="T40" i="11"/>
  <c r="T41" i="11" s="1"/>
  <c r="U135" i="7" l="1"/>
  <c r="U93" i="7"/>
  <c r="U91" i="7" l="1"/>
  <c r="U90" i="7"/>
  <c r="V89" i="7"/>
  <c r="U96" i="7"/>
  <c r="U98" i="7" s="1"/>
  <c r="U17" i="9" s="1"/>
  <c r="U19" i="9" s="1"/>
  <c r="U106" i="7" l="1"/>
  <c r="U123" i="7" l="1"/>
  <c r="U124" i="7"/>
  <c r="U126" i="7"/>
  <c r="U109" i="7" s="1"/>
  <c r="U125" i="7" l="1"/>
  <c r="V122" i="7" l="1"/>
  <c r="U116" i="7"/>
  <c r="U114" i="7" s="1"/>
  <c r="U110" i="7" s="1"/>
  <c r="U107" i="7" s="1"/>
  <c r="U21" i="9" l="1"/>
  <c r="U22" i="9" s="1"/>
  <c r="U136" i="7" s="1"/>
  <c r="K8" i="11"/>
  <c r="V113" i="7"/>
  <c r="K9" i="11" l="1"/>
  <c r="K13" i="11" s="1"/>
  <c r="K16" i="11" s="1"/>
  <c r="U40" i="11"/>
  <c r="U41" i="11" s="1"/>
  <c r="U138" i="7"/>
  <c r="U140" i="7" s="1"/>
  <c r="V135" i="7" l="1"/>
  <c r="V93" i="7"/>
  <c r="V90" i="7" l="1"/>
  <c r="V91" i="7"/>
  <c r="V96" i="7"/>
  <c r="V98" i="7" s="1"/>
  <c r="V17" i="9" s="1"/>
  <c r="V19" i="9" s="1"/>
  <c r="V106" i="7" l="1"/>
  <c r="V123" i="7" l="1"/>
  <c r="V124" i="7"/>
  <c r="V126" i="7"/>
  <c r="V109" i="7" s="1"/>
  <c r="V125" i="7" l="1"/>
  <c r="V116" i="7" s="1"/>
  <c r="V114" i="7" s="1"/>
  <c r="V110" i="7" s="1"/>
  <c r="V107" i="7" s="1"/>
  <c r="L8" i="11" l="1"/>
  <c r="V21" i="9"/>
  <c r="V22" i="9" s="1"/>
  <c r="V136" i="7" s="1"/>
  <c r="F19" i="12"/>
  <c r="D9" i="12"/>
  <c r="C45" i="13"/>
  <c r="D45" i="13" s="1"/>
  <c r="C33" i="13"/>
  <c r="D33" i="13" s="1"/>
  <c r="D19" i="12"/>
  <c r="C34" i="13"/>
  <c r="D34" i="13" s="1"/>
  <c r="F23" i="12"/>
  <c r="F9" i="12"/>
  <c r="D12" i="12"/>
  <c r="C22" i="12"/>
  <c r="E21" i="12"/>
  <c r="E19" i="12"/>
  <c r="E12" i="12"/>
  <c r="G10" i="12"/>
  <c r="G19" i="12"/>
  <c r="C47" i="13"/>
  <c r="D47" i="13" s="1"/>
  <c r="C36" i="13"/>
  <c r="D36" i="13" s="1"/>
  <c r="C11" i="12"/>
  <c r="D11" i="12"/>
  <c r="C38" i="13"/>
  <c r="D38" i="13" s="1"/>
  <c r="C12" i="12"/>
  <c r="D22" i="12"/>
  <c r="F12" i="12"/>
  <c r="C23" i="12"/>
  <c r="C42" i="13"/>
  <c r="D42" i="13" s="1"/>
  <c r="C44" i="13"/>
  <c r="D44" i="13" s="1"/>
  <c r="E8" i="12"/>
  <c r="G8" i="12"/>
  <c r="D8" i="12"/>
  <c r="F10" i="12"/>
  <c r="C43" i="13"/>
  <c r="D43" i="13" s="1"/>
  <c r="F11" i="12"/>
  <c r="C46" i="13"/>
  <c r="D46" i="13" s="1"/>
  <c r="C37" i="13"/>
  <c r="D37" i="13" s="1"/>
  <c r="C10" i="12"/>
  <c r="D20" i="12"/>
  <c r="G12" i="12"/>
  <c r="C9" i="12"/>
  <c r="G23" i="12"/>
  <c r="G20" i="12"/>
  <c r="D10" i="12"/>
  <c r="E10" i="12"/>
  <c r="C39" i="13"/>
  <c r="D39" i="13" s="1"/>
  <c r="E22" i="12"/>
  <c r="F8" i="12"/>
  <c r="E20" i="12"/>
  <c r="F20" i="12"/>
  <c r="C41" i="13"/>
  <c r="D41" i="13" s="1"/>
  <c r="D21" i="12"/>
  <c r="E9" i="12"/>
  <c r="C8" i="12"/>
  <c r="E23" i="12"/>
  <c r="G21" i="12"/>
  <c r="F22" i="12"/>
  <c r="D23" i="12"/>
  <c r="G22" i="12"/>
  <c r="G11" i="12"/>
  <c r="G9" i="12"/>
  <c r="C35" i="13"/>
  <c r="D35" i="13" s="1"/>
  <c r="F21" i="12"/>
  <c r="C19" i="12"/>
  <c r="C20" i="12"/>
  <c r="C40" i="13"/>
  <c r="D40" i="13" s="1"/>
  <c r="E11" i="12"/>
  <c r="C21" i="12"/>
  <c r="V138" i="7" l="1"/>
  <c r="V140" i="7" s="1"/>
  <c r="L9" i="11"/>
  <c r="L13" i="11" s="1"/>
  <c r="L16" i="11" s="1"/>
  <c r="C18" i="11" s="1"/>
  <c r="C29" i="11" s="1"/>
  <c r="C32" i="11" s="1"/>
  <c r="C33" i="11" s="1"/>
  <c r="C8" i="1" s="1"/>
  <c r="V40" i="11"/>
  <c r="V41" i="11" s="1"/>
</calcChain>
</file>

<file path=xl/sharedStrings.xml><?xml version="1.0" encoding="utf-8"?>
<sst xmlns="http://schemas.openxmlformats.org/spreadsheetml/2006/main" count="5062" uniqueCount="1788">
  <si>
    <t>Suzlon Energy Limited</t>
  </si>
  <si>
    <t>NSE: SUZLON  |  Discounted Cash Flow Valuation</t>
  </si>
  <si>
    <t>Valuation date: 26-Sep-2025</t>
  </si>
  <si>
    <t>Key Outputs</t>
  </si>
  <si>
    <t>Implied Value / Share</t>
  </si>
  <si>
    <t>Actual Market Price</t>
  </si>
  <si>
    <t>WACC</t>
  </si>
  <si>
    <t>Terminal Growth Rate</t>
  </si>
  <si>
    <t>Explicit Forecast Horizon</t>
  </si>
  <si>
    <t>Contents</t>
  </si>
  <si>
    <t>Inputs &amp; Assumptions</t>
  </si>
  <si>
    <t>HIST_CON</t>
  </si>
  <si>
    <t>HIST_STAND</t>
  </si>
  <si>
    <t>RATIO_ANALYSIS</t>
  </si>
  <si>
    <t>DUPONT_ANALYSIS</t>
  </si>
  <si>
    <t>Schedules</t>
  </si>
  <si>
    <t>WC_SCHEDULE</t>
  </si>
  <si>
    <t>P&amp;L Schedule</t>
  </si>
  <si>
    <t>WACC Schedule</t>
  </si>
  <si>
    <t>DCF</t>
  </si>
  <si>
    <t>Sensitivity Tables</t>
  </si>
  <si>
    <t>Growth Rate Methods</t>
  </si>
  <si>
    <t>RAW_DATA</t>
  </si>
  <si>
    <t>HS_CONSOLIDATED</t>
  </si>
  <si>
    <t>HS_STANDALONE</t>
  </si>
  <si>
    <t>Damodaran Data</t>
  </si>
  <si>
    <t>Academic valuation project -- not investment advice. Every figure on this page is a live formula referencing the schedules that follow; nothing here is a pasted value.</t>
  </si>
  <si>
    <t>#</t>
  </si>
  <si>
    <t>Inputs &amp; Assumptions -- forecast years only</t>
  </si>
  <si>
    <t>Driver</t>
  </si>
  <si>
    <t>FY?</t>
  </si>
  <si>
    <t>FY2017</t>
  </si>
  <si>
    <t>FY2018</t>
  </si>
  <si>
    <t>FY2019</t>
  </si>
  <si>
    <t>FY2020</t>
  </si>
  <si>
    <t>FY2021</t>
  </si>
  <si>
    <t>FY2022</t>
  </si>
  <si>
    <t>FY2023</t>
  </si>
  <si>
    <t>FY2024</t>
  </si>
  <si>
    <t>FY2025</t>
  </si>
  <si>
    <t>FY2026E</t>
  </si>
  <si>
    <t>FY2027E</t>
  </si>
  <si>
    <t>FY2028E</t>
  </si>
  <si>
    <t>FY2029E</t>
  </si>
  <si>
    <t>FY2030E</t>
  </si>
  <si>
    <t>FY2031E</t>
  </si>
  <si>
    <t>FY2032E</t>
  </si>
  <si>
    <t>FY2033E</t>
  </si>
  <si>
    <t>FY2034E</t>
  </si>
  <si>
    <t>FY2035E</t>
  </si>
  <si>
    <t>Outlier Filter -- excludes statistically anomalous years (IQR fence on YoY growth) from the Terminal Growth Rate and PP&amp;E Additions Growth trend regressions</t>
  </si>
  <si>
    <t>Suggested: Outlier Filter Enabled (1=on, 0=off) -- default 1 (&gt;=5yr history, enough points for a meaningful IQR fence)</t>
  </si>
  <si>
    <t>INPUT: Outlier Filter Enabled (1=on, 0=off)</t>
  </si>
  <si>
    <t>Terminal / Fade-Target Growth Rate (computed from this company's own full history)</t>
  </si>
  <si>
    <t>Suggested: Terminal Growth Rate -- MIN(this company's own full-history log-linear trend on Total Revenue, with statistically anomalous years excluded per the Outlier Filter above, the Risk-Free Rate). No company grows faster than the risk-free rate forever -- caps a fast-growing company's own historical trend (seen on AdaniPorts: ~16.5%/yr, which broke the Value-Driver TV formula outright) without hardcoding an external macro number; slow-growth companies (e.g. Suzlon, ~0.75%/yr) are unaffected since their own trend already sits below the cap.</t>
  </si>
  <si>
    <t>INPUT: Terminal Growth Rate (used by the fade)</t>
  </si>
  <si>
    <t>Suggested: Growth Fade Half-Life, years -- default 6yr</t>
  </si>
  <si>
    <t>INPUT: Growth Fade Half-Life, years</t>
  </si>
  <si>
    <t>Suggested: Products Revenue Growth % -- log-linear, last 3yr, half-life decay to terminal</t>
  </si>
  <si>
    <t>INPUT: Products Revenue Growth % (overrides the trend/fade)</t>
  </si>
  <si>
    <t>Misc. Revenue / WC Schedule Drivers</t>
  </si>
  <si>
    <t>Suggested: Misc. Other Operating Revenue % of Total Revenue, last 3yr avg</t>
  </si>
  <si>
    <t>INPUT: Misc. Other Operating Revenue % of Total Revenue</t>
  </si>
  <si>
    <t>Suggested: Services Revenue Growth % -- log-linear, last 3yr, half-life decay to terminal (simplified vs. an installed-base driver)</t>
  </si>
  <si>
    <t>INPUT: Services Revenue Growth % (overrides the trend/fade)</t>
  </si>
  <si>
    <t>Working Capital Schedule Drivers</t>
  </si>
  <si>
    <t>Suggested: COGS % of Revenue, last 3yr avg</t>
  </si>
  <si>
    <t>INPUT: COGS % of Revenue</t>
  </si>
  <si>
    <t>Suggested: Days Sales Outstanding, last 3yr avg</t>
  </si>
  <si>
    <t>INPUT: Days Sales Outstanding</t>
  </si>
  <si>
    <t>Suggested: Days Inventory Outstanding, last 3yr avg</t>
  </si>
  <si>
    <t>INPUT: Days Inventory Outstanding</t>
  </si>
  <si>
    <t>Suggested: Days Payable Outstanding, last 3yr avg</t>
  </si>
  <si>
    <t>INPUT: Days Payable Outstanding</t>
  </si>
  <si>
    <t>PP&amp;E Schedule Drivers</t>
  </si>
  <si>
    <t>Suggested: Additions Growth % -- log-linear, last 3yr, half-life decay to terminal</t>
  </si>
  <si>
    <t>INPUT: Additions Growth % (overrides the trend/fade)</t>
  </si>
  <si>
    <t>Suggested: New Asset Useful Life, years -- Ind AS Schedule II general Plant &amp; Machinery default (15yr, generic regulatory constant)</t>
  </si>
  <si>
    <t>INPUT: New Asset Useful Life, years</t>
  </si>
  <si>
    <t>Suggested: Impairment, % of Opening PP&amp;E, last 3yr avg</t>
  </si>
  <si>
    <t>INPUT: Impairment % of Opening PP&amp;E</t>
  </si>
  <si>
    <t>Suggested: Other Changes, % of Opening PP&amp;E, last 3yr avg</t>
  </si>
  <si>
    <t>INPUT: Other Changes % of Opening PP&amp;E</t>
  </si>
  <si>
    <t>Suggested: Disposals, % of Opening PP&amp;E, last 3yr avg</t>
  </si>
  <si>
    <t>INPUT: Disposals % of Opening PP&amp;E</t>
  </si>
  <si>
    <t>Debt Schedule Drivers</t>
  </si>
  <si>
    <t>Suggested: Include Lease Liabilities as Quasi-Debt (1=yes, 0=no) -- default 0 (Borrowings only)</t>
  </si>
  <si>
    <t>INPUT: Include Lease Liabilities as Quasi-Debt (1=yes, 0=no)</t>
  </si>
  <si>
    <t>Suggested: Effective Interest Rate % -- weighted avg (SUM Interest/SUM Avg Debt), last 3yr</t>
  </si>
  <si>
    <t>INPUT: Effective Interest Rate %</t>
  </si>
  <si>
    <t>Suggested: Target Debt/Capitalization Ratio -- last actual year (no fade by default, generic)</t>
  </si>
  <si>
    <t>INPUT: Target Debt/Capitalization Ratio</t>
  </si>
  <si>
    <t>Tax Schedule Drivers</t>
  </si>
  <si>
    <t>Suggested: Statutory Corporate Tax Rate -- 25.17% (India Section 115BAA default; override for a different jurisdiction)</t>
  </si>
  <si>
    <t>INPUT: Statutory Corporate Tax Rate</t>
  </si>
  <si>
    <t>Suggested: Current Tax (MAT-floor) Rate -- materiality/plausibility-filtered avg, last 3yr, widening to full history if none qualify</t>
  </si>
  <si>
    <t>INPUT: Current Tax (MAT-floor) Rate</t>
  </si>
  <si>
    <t>Equity Schedule Drivers</t>
  </si>
  <si>
    <t>Suggested: Dividend Payout %, last 3yr avg</t>
  </si>
  <si>
    <t>INPUT: Dividend Payout %</t>
  </si>
  <si>
    <t>P&amp;L Schedule Drivers</t>
  </si>
  <si>
    <t>Suggested: Employee Benefit Expense, % of Revenue, last 3yr avg</t>
  </si>
  <si>
    <t>INPUT: Employee Benefit Expense, % of Revenue</t>
  </si>
  <si>
    <t>Suggested: Other Expenses, % of Revenue, last 3yr avg</t>
  </si>
  <si>
    <t>INPUT: Other Expenses, % of Revenue</t>
  </si>
  <si>
    <t>Suggested: Other Income, % of Revenue, last 3yr avg</t>
  </si>
  <si>
    <t>INPUT: Other Income, % of Revenue</t>
  </si>
  <si>
    <t>Suggested: D&amp;A Uplift Ratio, last 3yr avg</t>
  </si>
  <si>
    <t>INPUT: D&amp;A Uplift Ratio</t>
  </si>
  <si>
    <t>Suggested: Finance Cost Uplift Ratio, last 3yr avg</t>
  </si>
  <si>
    <t>INPUT: Finance Cost Uplift Ratio</t>
  </si>
  <si>
    <t>Suzlon  —  Derived Financial Model</t>
  </si>
  <si>
    <t>Green = cross-sheet formula (XLOOKUP against raw data)   |   Black = same-sheet formula (subtotal/total)</t>
  </si>
  <si>
    <t>Statement of Profit and Loss</t>
  </si>
  <si>
    <t>Income [Abstract]</t>
  </si>
  <si>
    <t>Total revenue from operations</t>
  </si>
  <si>
    <t>Total other income</t>
  </si>
  <si>
    <t>Total income</t>
  </si>
  <si>
    <t>COGS</t>
  </si>
  <si>
    <t>Cost of materials consumed</t>
  </si>
  <si>
    <t>Purchases of stock-in-trade</t>
  </si>
  <si>
    <t>Total changes in inventories of finished goods, work-in-progress and stock-in-trade</t>
  </si>
  <si>
    <t>Gross Profit</t>
  </si>
  <si>
    <t>SG&amp;A</t>
  </si>
  <si>
    <t>Total other expenses</t>
  </si>
  <si>
    <t>EBITDA</t>
  </si>
  <si>
    <t>D&amp;A</t>
  </si>
  <si>
    <t>EBIT</t>
  </si>
  <si>
    <t>Total finance costs</t>
  </si>
  <si>
    <t>Exceptional items before tax</t>
  </si>
  <si>
    <t>EBT</t>
  </si>
  <si>
    <t>Total current tax</t>
  </si>
  <si>
    <t>Deferred tax</t>
  </si>
  <si>
    <t>Total tax expense</t>
  </si>
  <si>
    <t>NETINCOME</t>
  </si>
  <si>
    <t>Balance Sheet</t>
  </si>
  <si>
    <t>Assets [Abstract]</t>
  </si>
  <si>
    <t>Non-current assets [Abstract]</t>
  </si>
  <si>
    <t>Operating</t>
  </si>
  <si>
    <t>Property, plant and equipment at end of period</t>
  </si>
  <si>
    <t>Capital work-in-progress</t>
  </si>
  <si>
    <t>Goodwill at end of period</t>
  </si>
  <si>
    <t>Other intangible assets at end of period</t>
  </si>
  <si>
    <t>Intangible assets under development</t>
  </si>
  <si>
    <t>Trade receivables, non-current</t>
  </si>
  <si>
    <t>Total other non-current assets</t>
  </si>
  <si>
    <t>Total Operating</t>
  </si>
  <si>
    <t>Non-Operating</t>
  </si>
  <si>
    <t>Investment property at end of period</t>
  </si>
  <si>
    <t>Investments accounted for using equity method</t>
  </si>
  <si>
    <t>Non-current investments</t>
  </si>
  <si>
    <t>Loans, non-current</t>
  </si>
  <si>
    <t>Total other non-current financial assets</t>
  </si>
  <si>
    <t>Deferred tax assets (net)</t>
  </si>
  <si>
    <t>Total Non-Operating</t>
  </si>
  <si>
    <t>Total non-current financial assets</t>
  </si>
  <si>
    <t>Total Non-Current Assets</t>
  </si>
  <si>
    <t>Current Assets</t>
  </si>
  <si>
    <t>Inventories</t>
  </si>
  <si>
    <t>Trade receivables, current</t>
  </si>
  <si>
    <t>Total other current assets</t>
  </si>
  <si>
    <t>Current investments</t>
  </si>
  <si>
    <t>Cash and cash equivalents at end of period</t>
  </si>
  <si>
    <t>Loans, current</t>
  </si>
  <si>
    <t>Total other current financial assets</t>
  </si>
  <si>
    <t>Current tax assets, Current</t>
  </si>
  <si>
    <t>Total current financial assets</t>
  </si>
  <si>
    <t>Total Current Assets</t>
  </si>
  <si>
    <t>Non-current assets classified as held for sale</t>
  </si>
  <si>
    <t>Total Assets</t>
  </si>
  <si>
    <t>Equity and Liabilities</t>
  </si>
  <si>
    <t>Equity attributable to owners of parent</t>
  </si>
  <si>
    <t>Equity share capital at end of period</t>
  </si>
  <si>
    <t>Other equity</t>
  </si>
  <si>
    <t>Total equity attributable to owners of parent</t>
  </si>
  <si>
    <t>Non controlling interest</t>
  </si>
  <si>
    <t>Equity at end of period</t>
  </si>
  <si>
    <t>Liabilities</t>
  </si>
  <si>
    <t xml:space="preserve">Non-current liabilities </t>
  </si>
  <si>
    <t xml:space="preserve">Non-current financial liabilities </t>
  </si>
  <si>
    <t>Borrowings, non-current</t>
  </si>
  <si>
    <t xml:space="preserve">Trade payables, non-current </t>
  </si>
  <si>
    <t>Total other non-current financial liabilities</t>
  </si>
  <si>
    <t>Total non-current financial liabilities</t>
  </si>
  <si>
    <t>Provisions, non-current</t>
  </si>
  <si>
    <t>Total other non-current liabilities</t>
  </si>
  <si>
    <t>Total non-current liabilities</t>
  </si>
  <si>
    <t xml:space="preserve">Current liabilities </t>
  </si>
  <si>
    <t xml:space="preserve">Current financial liabilities </t>
  </si>
  <si>
    <t>Borrowings, current</t>
  </si>
  <si>
    <t xml:space="preserve">Trade payables, current </t>
  </si>
  <si>
    <t>Total trade payables, current</t>
  </si>
  <si>
    <t>Total other current financial liabilities</t>
  </si>
  <si>
    <t>Total current financial liabilities</t>
  </si>
  <si>
    <t>Total other current liabilities</t>
  </si>
  <si>
    <t>Provisions, current</t>
  </si>
  <si>
    <t>Current tax liabilities</t>
  </si>
  <si>
    <t>Total current liabilities</t>
  </si>
  <si>
    <t>Liabilities directly associated with assets in disposal group classified as held for sale</t>
  </si>
  <si>
    <t>Total equity and liabilities</t>
  </si>
  <si>
    <t>BALANCE CHECK (Total Assets − Total Equity &amp; Liabilities)</t>
  </si>
  <si>
    <t>Statement of Cash Flows</t>
  </si>
  <si>
    <t>Cash flows from used in operating activities</t>
  </si>
  <si>
    <t>Total profit before tax</t>
  </si>
  <si>
    <t xml:space="preserve">Adjustments for reconcile profit (loss) </t>
  </si>
  <si>
    <t>Adjustments for finance costs</t>
  </si>
  <si>
    <t>Adjustments for decrease (increase) in inventories</t>
  </si>
  <si>
    <t>Adjustments for decrease (increase) in trade receivables, current</t>
  </si>
  <si>
    <t>Adjustments for decrease (increase) in other current assets</t>
  </si>
  <si>
    <t>Adjustments for other financial assets, non-current</t>
  </si>
  <si>
    <t>Adjustments for increase (decrease) in other current liabilities</t>
  </si>
  <si>
    <t>Adjustments for depreciation and amortisation expense</t>
  </si>
  <si>
    <t>Adjustments for impairment loss reversal of impairment loss recognised in profit or loss</t>
  </si>
  <si>
    <t>Adjustments for other financial liabilities, non-current</t>
  </si>
  <si>
    <t>Adjustments for unrealised foreign exchange losses gains</t>
  </si>
  <si>
    <t>Adjustments for interest income</t>
  </si>
  <si>
    <t>Adjustments for share-based payments</t>
  </si>
  <si>
    <t>Other adjustments for which cash effects are investing or financing cash flow</t>
  </si>
  <si>
    <t>Other adjustments to reconcile profit (loss)</t>
  </si>
  <si>
    <t>Other adjustments for non-cash items</t>
  </si>
  <si>
    <t>Total adjustments for reconcile profit (loss)</t>
  </si>
  <si>
    <t>Net cash flows from (used in) operations</t>
  </si>
  <si>
    <t>Income taxes paid (refund)</t>
  </si>
  <si>
    <t>Net cash flows from (used in) operating activities</t>
  </si>
  <si>
    <t>Cash flows from used in investing activities [Abstract]</t>
  </si>
  <si>
    <t>Cash flows used in obtaining control of subsidiaries or other businesses</t>
  </si>
  <si>
    <t>Other cash receipts from sales of equity or debt instruments of other entities</t>
  </si>
  <si>
    <t>Other cash payments to acquire equity or debt instruments of other entities</t>
  </si>
  <si>
    <t>Other cash receipts from sales of interests in joint ventures</t>
  </si>
  <si>
    <t>Proceeds from sales of property, plant and equipment</t>
  </si>
  <si>
    <t>Purchase of property, plant and equipment</t>
  </si>
  <si>
    <t>Proceeds from sales of investment property</t>
  </si>
  <si>
    <t>Purchase of investment property</t>
  </si>
  <si>
    <t>Interest received</t>
  </si>
  <si>
    <t>Other inflows (outflows) of cash</t>
  </si>
  <si>
    <t>Net cash flows from (used in) investing activities</t>
  </si>
  <si>
    <t>Cash flows from used in financing activities [Abstract]</t>
  </si>
  <si>
    <t>Proceeds from issuing shares</t>
  </si>
  <si>
    <t>Proceeds from issuing other equity instruments</t>
  </si>
  <si>
    <t>Proceeds from issuing debentures notes bonds etc</t>
  </si>
  <si>
    <t>Proceeds from borrowings</t>
  </si>
  <si>
    <t>Repayments of borrowings</t>
  </si>
  <si>
    <t>Payments of lease liabilities</t>
  </si>
  <si>
    <t>Interest paid</t>
  </si>
  <si>
    <t>Net cash flows from (used in) financing activities</t>
  </si>
  <si>
    <t>Net increase (decrease) in cash and cash equivalents before effect of exchange rate changes</t>
  </si>
  <si>
    <t>Effect of exchange rate changes on cash and cash equivalents</t>
  </si>
  <si>
    <t>Net increase (decrease) in cash and cash equivalents</t>
  </si>
  <si>
    <t>Cash and cash equivalents cash flow statement at beginning of period</t>
  </si>
  <si>
    <t>Cash and cash equivalents cash flow statement at end of period</t>
  </si>
  <si>
    <t>Adjustments for decrease (increase) in other non-current assets</t>
  </si>
  <si>
    <t>Cash flows from losing control of subsidiaries or other businesses</t>
  </si>
  <si>
    <t>Proceeds from sales of other long-term assets</t>
  </si>
  <si>
    <t>Cash advances and loans made to other parties</t>
  </si>
  <si>
    <t>Cash receipts from repayment of advances and loans made to other parties</t>
  </si>
  <si>
    <t>Proceeds from exercise of stock options</t>
  </si>
  <si>
    <t>Suzlon  —  Ratio Analysis (Consolidated)</t>
  </si>
  <si>
    <t>Each ratio shown as Name = Numerator / Denominator, values computed once and reused (Green = first pull/computation from Derived Sheet, Black = same-sheet reuse) | Result appears on the right | Single-year figures (no opening/closing average)</t>
  </si>
  <si>
    <t>Profitability and Return Ratios</t>
  </si>
  <si>
    <t>Return on Equity</t>
  </si>
  <si>
    <t>=</t>
  </si>
  <si>
    <t>Net Income</t>
  </si>
  <si>
    <t>Equity</t>
  </si>
  <si>
    <t>Return on Assets</t>
  </si>
  <si>
    <t>Return on Net Assets</t>
  </si>
  <si>
    <t>Net PP&amp;E + Net Working Capital</t>
  </si>
  <si>
    <t>Return on Invested Capital</t>
  </si>
  <si>
    <t>NOPAT (= EBIT × (1 − Tax Expense / EBT))</t>
  </si>
  <si>
    <t>Invested Capital (= Debt + Equity − Cash)</t>
  </si>
  <si>
    <t>Gross Margin</t>
  </si>
  <si>
    <t>Revenue</t>
  </si>
  <si>
    <t>SG&amp;A % of Revenue</t>
  </si>
  <si>
    <t>Other Operating Expenses % of Revenue</t>
  </si>
  <si>
    <t>Other Operating Expenses</t>
  </si>
  <si>
    <t>EBITDA Margin</t>
  </si>
  <si>
    <t>Check</t>
  </si>
  <si>
    <t>Depreciation % of Revenue</t>
  </si>
  <si>
    <t>Depreciation &amp; Amortisation</t>
  </si>
  <si>
    <t>EBIT Margin</t>
  </si>
  <si>
    <t>Other Non-Operating Expense % of Revenue</t>
  </si>
  <si>
    <t>Finance Costs + Exceptional Items (net)</t>
  </si>
  <si>
    <t>EBT Margin</t>
  </si>
  <si>
    <t>EBT (Pre-Tax Income)</t>
  </si>
  <si>
    <t>Tax % of Revenue</t>
  </si>
  <si>
    <t>Total Tax Expense</t>
  </si>
  <si>
    <t>Net Profit Margin</t>
  </si>
  <si>
    <t>Effective Tax Rate</t>
  </si>
  <si>
    <t>Tax Burden</t>
  </si>
  <si>
    <t>Effective Interest Rate</t>
  </si>
  <si>
    <t>Finance Costs (absolute)</t>
  </si>
  <si>
    <t>Total Debt (= Borrowings + Lease Liabilities)</t>
  </si>
  <si>
    <t>Interest Burden</t>
  </si>
  <si>
    <t>Asset Utilization Ratios</t>
  </si>
  <si>
    <t>Asset Turnover</t>
  </si>
  <si>
    <t>PPE Turnover</t>
  </si>
  <si>
    <t>Net PP&amp;E</t>
  </si>
  <si>
    <t>Cash Turnover</t>
  </si>
  <si>
    <t>Cash &amp; Cash Equivalents</t>
  </si>
  <si>
    <t>Cash Days</t>
  </si>
  <si>
    <t>365 (days)</t>
  </si>
  <si>
    <t>Turnover (above)</t>
  </si>
  <si>
    <t>A/R Turnover</t>
  </si>
  <si>
    <t>Trade Receivables, Current</t>
  </si>
  <si>
    <t>A/R Days</t>
  </si>
  <si>
    <t>Inventory Turnover</t>
  </si>
  <si>
    <t>COGS (= Revenue − Gross Profit)</t>
  </si>
  <si>
    <t>Inventory</t>
  </si>
  <si>
    <t>Inventory Days</t>
  </si>
  <si>
    <t>A/P Turnover</t>
  </si>
  <si>
    <t>Trade Payables, Current</t>
  </si>
  <si>
    <t>A/P Days</t>
  </si>
  <si>
    <t>Cash Conversion Cycle</t>
  </si>
  <si>
    <t>(A/R Days + Inventory Days − A/P Days)</t>
  </si>
  <si>
    <t>Leverage Ratios</t>
  </si>
  <si>
    <t>Total Asset to Equity</t>
  </si>
  <si>
    <t>Total Liabilities to Equity</t>
  </si>
  <si>
    <t>Total Liabilities (= Total Assets − Equity)</t>
  </si>
  <si>
    <t>Debt to Equity</t>
  </si>
  <si>
    <t>Debt to EBITDA</t>
  </si>
  <si>
    <t>Net Debt to EBITDA</t>
  </si>
  <si>
    <t>Net Debt (= Total Debt − Cash)</t>
  </si>
  <si>
    <t>Liquidity Ratios</t>
  </si>
  <si>
    <t>Current Ratio</t>
  </si>
  <si>
    <t>Total Current Liabilities</t>
  </si>
  <si>
    <t>Quick Ratio</t>
  </si>
  <si>
    <t>Quick Assets (= Current Assets − Inventory)</t>
  </si>
  <si>
    <t>Interest Coverage</t>
  </si>
  <si>
    <t>Growth Trends (Year-over-Year)</t>
  </si>
  <si>
    <t>Revenue Growth %</t>
  </si>
  <si>
    <t>n/a</t>
  </si>
  <si>
    <t>EBITDA Growth %</t>
  </si>
  <si>
    <t>EBIT Growth %</t>
  </si>
  <si>
    <t>Net Income Growth %</t>
  </si>
  <si>
    <t>Total Assets Growth %</t>
  </si>
  <si>
    <t>Degree of Operating Leverage</t>
  </si>
  <si>
    <t>Degree of Financial Leverage</t>
  </si>
  <si>
    <t>Degree of Total Leverage</t>
  </si>
  <si>
    <t>Suzlon  —  DuPont Analysis (Table + 3-Step &amp; 5-Step Pyramids)</t>
  </si>
  <si>
    <t>Showing the most recent 8 years   |   Table: Green = pulled from Derived Sheet, Black = computed, Check row confirms all three tie out   |   Pyramids: Green = pulled from Ratio Analysis sheet, blue shading = magnitude heat-map</t>
  </si>
  <si>
    <t>Inputs (from Derived Sheet)</t>
  </si>
  <si>
    <t>Total Equity</t>
  </si>
  <si>
    <t>3-Step DuPont (ROE = Net Margin × Asset Turnover × Equity Multiplier)</t>
  </si>
  <si>
    <t>Net Profit Margin (Net Income / Revenue)</t>
  </si>
  <si>
    <t>Asset Turnover (Revenue / Total Assets)</t>
  </si>
  <si>
    <t>Equity Multiplier (Total Assets / Total Equity)</t>
  </si>
  <si>
    <t>ROE — 3-Step DuPont</t>
  </si>
  <si>
    <t>5-Step DuPont (ROE = Tax Burden × Interest Burden × Operating Margin × Asset Turnover × Equity Multiplier)</t>
  </si>
  <si>
    <t>Tax Burden (Net Income / EBT)</t>
  </si>
  <si>
    <t>Interest Burden (EBT / EBIT)</t>
  </si>
  <si>
    <t>Operating Margin (EBIT / Revenue)</t>
  </si>
  <si>
    <t>ROE — 5-Step DuPont</t>
  </si>
  <si>
    <t>Reconciliation Check</t>
  </si>
  <si>
    <t>Direct ROE (Net Income / Total Equity)</t>
  </si>
  <si>
    <t>CHECK: Direct − 3-Step − 5-Step ROE (should all tie to ~0)</t>
  </si>
  <si>
    <t>3-Step DuPont Pyramid</t>
  </si>
  <si>
    <t>Working Capital Analysis</t>
  </si>
  <si>
    <t>Other Non-Op. Expense %</t>
  </si>
  <si>
    <t>Cash Conversion Cycle / WC Funding Gap</t>
  </si>
  <si>
    <t>Other Op. Expenses %</t>
  </si>
  <si>
    <t>Growth Analysis</t>
  </si>
  <si>
    <t>Leverage Analysis</t>
  </si>
  <si>
    <t>Revenue Growth</t>
  </si>
  <si>
    <t>EBITDA Growth</t>
  </si>
  <si>
    <t>Net Income Growth</t>
  </si>
  <si>
    <t>Total Asset Growth</t>
  </si>
  <si>
    <t>5-Step DuPont Pyramid</t>
  </si>
  <si>
    <t>Line item (raw filed units)</t>
  </si>
  <si>
    <t>Revenue Schedule</t>
  </si>
  <si>
    <t>Total Revenue from Sale of Products</t>
  </si>
  <si>
    <t>Total Revenue from Sale of Services</t>
  </si>
  <si>
    <t>Miscellaneous Other Operating Revenue</t>
  </si>
  <si>
    <t>Total Revenue (= Products + Services + Misc.)</t>
  </si>
  <si>
    <t>Tie-check, historical only (Total Revenue - reported Total revenue from operations)</t>
  </si>
  <si>
    <t>Time index (1..10)</t>
  </si>
  <si>
    <t>LN(Products), zero-years excluded (skipped in the SLOPE range)</t>
  </si>
  <si>
    <t>LN(Total Revenue)</t>
  </si>
  <si>
    <t>Total Revenue YoY Growth %, per year</t>
  </si>
  <si>
    <t>IQR Anomaly Fence on YoY Growth (Q1 | Q3 | IQR | Lower Fence | Upper Fence)</t>
  </si>
  <si>
    <t>Inclusion Flag (1=included in trend, 0=excluded as a statistical anomaly)</t>
  </si>
  <si>
    <t>LN(Total Revenue), anomalous years excluded per the Inclusion Flag above</t>
  </si>
  <si>
    <t>Misc. Other Operating Revenue, % of Total Revenue</t>
  </si>
  <si>
    <t>LN(Services), zero-years excluded (skipped in the SLOPE range)</t>
  </si>
  <si>
    <t>Working Capital Schedule</t>
  </si>
  <si>
    <t>Revenue (= Total Revenue, Revenue Schedule)</t>
  </si>
  <si>
    <t>COGS (= -(Materials Consumed + Purchases of Stock-in-Trade + Chg. in Inventories))</t>
  </si>
  <si>
    <t>COGS % of Revenue</t>
  </si>
  <si>
    <t>Trade Receivables (ending balance)</t>
  </si>
  <si>
    <t>Inventories (ending balance)</t>
  </si>
  <si>
    <t>Purchases (= COGS + Chg. in Inventories, approximation for DPO)</t>
  </si>
  <si>
    <t>Trade Payables (ending balance)</t>
  </si>
  <si>
    <t>DSO = Trade Receivables / Revenue x 365</t>
  </si>
  <si>
    <t>DIO = Inventories / |COGS| x 365</t>
  </si>
  <si>
    <t>DPO = Trade Payables / Purchases x 365</t>
  </si>
  <si>
    <t>Net Working Capital = Receivables + Inventories - Payables</t>
  </si>
  <si>
    <t>Cash from Working Capital (= prior NWC - current NWC)</t>
  </si>
  <si>
    <t>Tie-check, historical only (always 0 by construction -- Receivables/Inventories/Payables are direct reported lookups, not rebuilt)</t>
  </si>
  <si>
    <t>PP&amp;E Schedule</t>
  </si>
  <si>
    <t>Beginning PP&amp;E (= prior year Ending)</t>
  </si>
  <si>
    <t>(+) Additions other than through business combinations</t>
  </si>
  <si>
    <t>(+) Business Combinations (historical only)</t>
  </si>
  <si>
    <t>(+/-) FX Translation (historical only)</t>
  </si>
  <si>
    <t>(-) Depreciation</t>
  </si>
  <si>
    <t>(-) Impairment Loss</t>
  </si>
  <si>
    <t>(+) Reversal of Impairment (historical only)</t>
  </si>
  <si>
    <t>(+/-) Revaluation (historical only)</t>
  </si>
  <si>
    <t>(+/-) Other Changes, incl. transfers</t>
  </si>
  <si>
    <t>(-) Disposals and Retirements</t>
  </si>
  <si>
    <t>(-) Held-for-Sale Reclassification (historical only)</t>
  </si>
  <si>
    <t>(-) Loss of Control (historical only)</t>
  </si>
  <si>
    <t>Ending PP&amp;E</t>
  </si>
  <si>
    <t>Tie-check, historical only</t>
  </si>
  <si>
    <t>LN(Additions)</t>
  </si>
  <si>
    <t>LN(|Depreciation|)</t>
  </si>
  <si>
    <t>Additions YoY Growth %, per year</t>
  </si>
  <si>
    <t>IQR Anomaly Fence on Additions YoY Growth (Q1 | Q3 | IQR | Lower Fence | Upper Fence)</t>
  </si>
  <si>
    <t>LN(Additions), anomalous years excluded per the Inclusion Flag above</t>
  </si>
  <si>
    <t>Impairment, % of Opening PP&amp;E</t>
  </si>
  <si>
    <t>Other Changes, % of Opening PP&amp;E</t>
  </si>
  <si>
    <t>Disposals, % of Opening PP&amp;E</t>
  </si>
  <si>
    <t>Implied Remaining Useful Life of Existing PP&amp;E Base, years (= New Asset Useful Life / 2 -- pre-aged base is on average part-way through its life)</t>
  </si>
  <si>
    <t>Existing Asset Depreciation (forecast only)</t>
  </si>
  <si>
    <t>New Capex Vintage Depreciation (forecast only, cumulative)</t>
  </si>
  <si>
    <t>Debt Schedule</t>
  </si>
  <si>
    <t>Beginning Total Debt (= prior year Ending)</t>
  </si>
  <si>
    <t>(+) New Debt Raised (= Proceeds from Borrowings + Debentures)</t>
  </si>
  <si>
    <t>(-) Debt Repaid (= Repayments of Borrowings + Lease Payments)</t>
  </si>
  <si>
    <t>(+/-) Other Non-Cash Debt Movements -- residual: reported Ending - Beginning - New Debt - Repaid</t>
  </si>
  <si>
    <t>Ending Total Debt</t>
  </si>
  <si>
    <t>Average Total Debt</t>
  </si>
  <si>
    <t>Effective Interest Rate %</t>
  </si>
  <si>
    <t>Interest Expense</t>
  </si>
  <si>
    <t>Tax Schedule</t>
  </si>
  <si>
    <t>Profit Before Tax (from Income Statement)</t>
  </si>
  <si>
    <t>Total Tax Expense (= Current + Deferred)</t>
  </si>
  <si>
    <t>Current Tax Expense</t>
  </si>
  <si>
    <t>Deferred Tax Expense</t>
  </si>
  <si>
    <t>Beginning Deferred Tax Liability (Asset)</t>
  </si>
  <si>
    <t>(+) Deferred Tax Expense recognised in P&amp;L</t>
  </si>
  <si>
    <t>(+) Increase through Business Combinations</t>
  </si>
  <si>
    <t>Ending Deferred Tax Liability (Asset)</t>
  </si>
  <si>
    <t>Current Tax Rate -- Inclusion Flag (materially profitable &amp; plausible rate)</t>
  </si>
  <si>
    <t>Current Tax Rate (Current Tax / PBT), per year</t>
  </si>
  <si>
    <t>Beginning NOL Pool (= prior year Ending; FY-end start = |Ending DTA| / Statutory Rate)</t>
  </si>
  <si>
    <t>(-) NOL Utilised against positive Taxable Income</t>
  </si>
  <si>
    <t>(+) New Losses Added (if PBT negative)</t>
  </si>
  <si>
    <t>Ending NOL Pool</t>
  </si>
  <si>
    <t>Taxable Income = MAX(PBT - Beginning NOL, 0)</t>
  </si>
  <si>
    <t>Equity Schedule</t>
  </si>
  <si>
    <t>Equity Share Capital (held flat -- no new issuance assumed)</t>
  </si>
  <si>
    <t>Beginning Other Equity / Reserves</t>
  </si>
  <si>
    <t>(+) Profit for the year (= P&amp;L Schedule Net Income)</t>
  </si>
  <si>
    <t>(+/-) Other Comprehensive Income, net of tax</t>
  </si>
  <si>
    <t>(-) Dividends Paid</t>
  </si>
  <si>
    <t>(+/-) Other Non-Cash Equity Movements -- residual</t>
  </si>
  <si>
    <t>Ending Other Equity / Reserves</t>
  </si>
  <si>
    <t>Dividend Payout %, of Profit for the year</t>
  </si>
  <si>
    <t>Suzlon -- Assumptions</t>
  </si>
  <si>
    <t>ROUGH FIRST PASS -- will be refined (segment-level revenue, order-book-anchored growth, etc.) as the model develops. Grey 'Suggested' rows are a data-driven reference only (5yr historical average) and do NOT feed the schedules -- only the blue Input row below each does. Pure inputs only -- every calculation that uses these lives on the schedule sheets below.</t>
  </si>
  <si>
    <t>Assumptions</t>
  </si>
  <si>
    <t>FY2017A</t>
  </si>
  <si>
    <t>FY2018A</t>
  </si>
  <si>
    <t>FY2019A</t>
  </si>
  <si>
    <t>FY2020A</t>
  </si>
  <si>
    <t>FY2021A</t>
  </si>
  <si>
    <t>FY2022A</t>
  </si>
  <si>
    <t>FY2023A</t>
  </si>
  <si>
    <t>FY2024A</t>
  </si>
  <si>
    <t>FY2025A</t>
  </si>
  <si>
    <t>Suggested: Revenue Growth %, 5yr historical avg (reference only)</t>
  </si>
  <si>
    <t>INPUT: Revenue Growth % (used by Working Capital Schedule)</t>
  </si>
  <si>
    <t>Suggested: COGS % of Revenue, 5yr historical avg (reference only)</t>
  </si>
  <si>
    <t>INPUT: COGS % of Revenue (used by Working Capital Schedule)</t>
  </si>
  <si>
    <t>Suggested: Capex % of Revenue, 5yr historical avg (reference only)</t>
  </si>
  <si>
    <t>INPUT: Capex % of Revenue (used by PP&amp;E Schedule)</t>
  </si>
  <si>
    <t>Suggested: PP&amp;E Useful Life -- disclosed range per Ind AS Schedule II note (Buildings 28-58yrs, Plant &amp; Machinery 15-22yrs, Wind research equip. 3yrs, Computers 3-5yrs, Furniture/Vehicles 10yrs) -- not a single computable number, shown as reference text only</t>
  </si>
  <si>
    <t>INPUT: PP&amp;E Useful Life, years (used by PP&amp;E Schedule, straight-line)</t>
  </si>
  <si>
    <t>Suzlon -- Revenue Schedule</t>
  </si>
  <si>
    <t>Green = pulled from HIST_CON. Black = formula (growth% from Assumptions above). Historical and forecast sit in the SAME row -- FY2017A through FY2030E, continuous.</t>
  </si>
  <si>
    <t>Revenue Growth % (historical, for trend reference; forecast = Assumptions input)</t>
  </si>
  <si>
    <t>Suzlon -- Working Capital Schedule</t>
  </si>
  <si>
    <t>Green = pulled from another sheet. Black = formula (incl. pulls from Revenue Schedule / Assumptions above). Blue = hardcoded input. DPO is Purchases-based (COGS + change in Inventory). Historical and forecast sit in the SAME row per line item -- read each row left to right, FY2017A through FY2030E, in one continuous line.</t>
  </si>
  <si>
    <t>Revenue (= Revenue Schedule above)</t>
  </si>
  <si>
    <t>COGS (= -(Materials + Purchases of Stock-in-Trade + Chg. in Inventories))</t>
  </si>
  <si>
    <t>Trade Receivables (ending)</t>
  </si>
  <si>
    <t>Inventories (ending)</t>
  </si>
  <si>
    <t>Trade Payables (ending)</t>
  </si>
  <si>
    <t>Days Ratios (ending-balance basis; forecast = 5-year historical average)</t>
  </si>
  <si>
    <t>Days Sales Outstanding (historical: pulled from RATIO_ANALYSIS; forecast: 5yr avg)</t>
  </si>
  <si>
    <t>Days Inventory Outstanding = Inventory / COGS x 365 (not pulled from RATIO_ANALYSIS -- that sheet's COGS proxy understates true COGS)</t>
  </si>
  <si>
    <t>Purchases = COGS + Change in Inventory</t>
  </si>
  <si>
    <t>n/a (no prior-year inventory)</t>
  </si>
  <si>
    <t>Days Payable Outstanding = Payables / Purchases x 365 (Purchases-based)</t>
  </si>
  <si>
    <t>5-Year Historical Average (FY2021A-FY2025A)</t>
  </si>
  <si>
    <t>DSO (5yr avg)</t>
  </si>
  <si>
    <t>DIO (5yr avg)</t>
  </si>
  <si>
    <t>DPO (5yr avg)</t>
  </si>
  <si>
    <t>Output</t>
  </si>
  <si>
    <t>Net Working Capital = Receivables + Inventory - Payables</t>
  </si>
  <si>
    <t>Cash from Working Capital (prior NWC - current NWC)</t>
  </si>
  <si>
    <t>Suzlon -- PP&amp;E and Depreciation Schedule</t>
  </si>
  <si>
    <t>Green = pulled from HS_CONSOLIDATED (net PP&amp;E basis). Black = formula, incl. same-sheet pulls from Assumptions/Working Capital above. FY2017A shown as reference only (no prior year to roll forward from). Forecast: straight-line over the Assumptions useful life -- existing FY2025A net base runs off over its remaining life; each year's new Capex depreciates on its own straight-line vintage. Historical and forecast sit in the SAME row per line item, continuous FY2017A-FY2030E.</t>
  </si>
  <si>
    <t>PP&amp;E and Depreciation Schedule</t>
  </si>
  <si>
    <t>Capex (= Assumptions Capex% x Revenue, from Working Capital Schedule above)</t>
  </si>
  <si>
    <t>Existing Asset Depreciation (= FY2025A Ending PP&amp;E / Assumptions Useful Life, constant)</t>
  </si>
  <si>
    <t>New Asset Depreciation (= cumulative sum of each vintage year's Capex / Useful Life)</t>
  </si>
  <si>
    <t>(+) Additions / Capex</t>
  </si>
  <si>
    <t>(+) Business Combinations (historical only -- no forecast assumption)</t>
  </si>
  <si>
    <t>(+) FX Translation Effect (historical only)</t>
  </si>
  <si>
    <t>(-) Impairment (historical only)</t>
  </si>
  <si>
    <t>(+/-) Other Changes (historical only)</t>
  </si>
  <si>
    <t>(-) Disposals (historical only; source stores as positive magnitude -- negated here)</t>
  </si>
  <si>
    <t>(-) Held-for-Sale Reclassification (historical only, negated)</t>
  </si>
  <si>
    <t>(-) Loss of Control of Subsidiary (historical only, negated)</t>
  </si>
  <si>
    <t>Tie-check, historical only (computed Ending - reported Ending, should be ~0)</t>
  </si>
  <si>
    <t>Forecast Income Statement</t>
  </si>
  <si>
    <t>Line item</t>
  </si>
  <si>
    <t>(-) COGS</t>
  </si>
  <si>
    <t>(-) Employee Benefit Expense</t>
  </si>
  <si>
    <t>(-) Other Expenses</t>
  </si>
  <si>
    <t>(-) Depreciation &amp; Amortisation</t>
  </si>
  <si>
    <t>(+) Other Income</t>
  </si>
  <si>
    <t>(-) Interest Expense</t>
  </si>
  <si>
    <t>(-) Exceptional Items (historical only)</t>
  </si>
  <si>
    <t>Profit Before Tax</t>
  </si>
  <si>
    <t>(-) Total Tax Expense</t>
  </si>
  <si>
    <t>D&amp;A Uplift Ratio, per year (|Total D&amp;A| / |PP&amp;E Schedule Depreciation|)</t>
  </si>
  <si>
    <t>Finance Cost Uplift Ratio, per year (|Total Finance Costs| / |Debt Schedule Interest|)</t>
  </si>
  <si>
    <t>Country</t>
  </si>
  <si>
    <t>India</t>
  </si>
  <si>
    <t>Share Price (as of 26-Sep-2025)</t>
  </si>
  <si>
    <t>Shares Outstanding (as of 26-Sep-2025)</t>
  </si>
  <si>
    <t>Market Value of Equity</t>
  </si>
  <si>
    <t>Industry Sector</t>
  </si>
  <si>
    <t>Power</t>
  </si>
  <si>
    <t>Beta Source (options: Global, India, Emerging Markets)</t>
  </si>
  <si>
    <t>Global</t>
  </si>
  <si>
    <t>Sector Unlevered Beta</t>
  </si>
  <si>
    <t>This company's D/E (= Debt Schedule Target Debt/Cap)</t>
  </si>
  <si>
    <t>Marginal Tax Rate</t>
  </si>
  <si>
    <t>Relevered Beta</t>
  </si>
  <si>
    <t>India 10-Year G-Sec Yield (or local equivalent)</t>
  </si>
  <si>
    <t>Sovereign Default Spread (looked up by Country)</t>
  </si>
  <si>
    <t>Risk-Free Rate</t>
  </si>
  <si>
    <t>Total Equity Risk Premium (looked up by Country)</t>
  </si>
  <si>
    <t>Cost of Equity = Rf + Beta x ERP</t>
  </si>
  <si>
    <t>EBIT (last actual)</t>
  </si>
  <si>
    <t>Interest Expense (last actual)</t>
  </si>
  <si>
    <t>Interest Coverage Ratio</t>
  </si>
  <si>
    <t>Company Default Spread (looked up by Interest Coverage)</t>
  </si>
  <si>
    <t>Pre-tax Cost of Debt</t>
  </si>
  <si>
    <t>After-Tax Cost of Debt</t>
  </si>
  <si>
    <t>Book Value of Debt (last actual)</t>
  </si>
  <si>
    <t>Total Capital</t>
  </si>
  <si>
    <t>Weight of Equity</t>
  </si>
  <si>
    <t>Weight of Debt</t>
  </si>
  <si>
    <t>DCF Valuation -- Unlevered FCFF</t>
  </si>
  <si>
    <t>Effective Tax Rate (Tax Schedule)</t>
  </si>
  <si>
    <t>NOPAT</t>
  </si>
  <si>
    <t>(+) D&amp;A</t>
  </si>
  <si>
    <t>(-) Capex</t>
  </si>
  <si>
    <t>(+/-) Cash from Working Capital</t>
  </si>
  <si>
    <t>Unlevered FCFF</t>
  </si>
  <si>
    <t>Discount Factor</t>
  </si>
  <si>
    <t>PV of FCFF</t>
  </si>
  <si>
    <t>Sum of PV of Explicit FCFF</t>
  </si>
  <si>
    <t>Terminal Value (Value Driver Formula)</t>
  </si>
  <si>
    <t>Terminal Effective Tax Rate (= Statutory Rate)</t>
  </si>
  <si>
    <t>Terminal NOPAT</t>
  </si>
  <si>
    <t>Terminal Reinvestment Rate = g/WACC</t>
  </si>
  <si>
    <t>Terminal Value</t>
  </si>
  <si>
    <t>PV of Terminal Value</t>
  </si>
  <si>
    <t>Enterprise Value</t>
  </si>
  <si>
    <t>(-) Total Debt</t>
  </si>
  <si>
    <t>(+) Cash &amp; Equivalents</t>
  </si>
  <si>
    <t>Equity Value</t>
  </si>
  <si>
    <t>Implied Value Per Share</t>
  </si>
  <si>
    <t>Implied ROIC Check (diagnostic only -- does not feed the valuation above)</t>
  </si>
  <si>
    <t>Invested Capital, Beginning of Year (= prior year Net PP&amp;E + NWC)</t>
  </si>
  <si>
    <t>NOPAT (EBIT x (1 - Effective Tax Rate))</t>
  </si>
  <si>
    <t>Implied ROIC = NOPAT / Beginning Invested Capital</t>
  </si>
  <si>
    <t>Average Historical ROIC (last 3yr, for context)</t>
  </si>
  <si>
    <t>Table 1: WACC (rows) x Terminal Growth Rate (cols) -&gt; Implied Value/Share</t>
  </si>
  <si>
    <t>Table 2: Working Capital Efficiency Scale (rows) x WACC (cols) -&gt; Implied Value/Share</t>
  </si>
  <si>
    <t>WACC -&gt;</t>
  </si>
  <si>
    <t>Cash-from-WC scale (1.0 = base case)</t>
  </si>
  <si>
    <t>Table 3: Growth Fade Half-Life, years (rows) x WACC (cols) -&gt; Implied Value/Share</t>
  </si>
  <si>
    <t>Overrides the Half-Life INPUT cell in Inputs &amp; Assumptions for this table only -- illustrative, does not change the live model.</t>
  </si>
  <si>
    <t>Half-Life (years)</t>
  </si>
  <si>
    <t>Note: this table is illustrative only -- the model's revenue/PP&amp;E fade curves already depend on the live Half-Life driver cell, so a true re-run per half-life value requires changing that cell directly (Data Table limitation of independent-formula sensitivity tables).</t>
  </si>
  <si>
    <t>Growth Rate Methods -- Cross-Check Panel</t>
  </si>
  <si>
    <t>Each method below is one independent estimate of long-run growth. Review them side by side, then type your final judgment call into the Selected Growth Rate cell at the bottom -- and carry that number into the Revenue Schedule's own Terminal Growth Rate INPUT cell yourself. Nothing on this sheet feeds the model automatically.</t>
  </si>
  <si>
    <t>Method</t>
  </si>
  <si>
    <t>Value</t>
  </si>
  <si>
    <t>Notes / Source</t>
  </si>
  <si>
    <t>1. Historical Regression (this model's own Suggested driver)</t>
  </si>
  <si>
    <t>Backward-looking IQR-filtered historical revenue growth trend. No story behind the number -- a short or distorted history (e.g. a window spanning a demand shock) drags this straight down with it.</t>
  </si>
  <si>
    <t>2. Fundamental Growth (g = Reinvestment Rate x ROIC)</t>
  </si>
  <si>
    <t>Average Historical ROIC (from DCF sheet's Implied ROIC Check)</t>
  </si>
  <si>
    <t>Average Historical Reinvestment Rate (last 3yr)</t>
  </si>
  <si>
    <t>-&gt; Fundamental Growth Rate</t>
  </si>
  <si>
    <t>Damodaran's preferred method -- ties growth directly to how much capital is being reinvested and how productively it's being deployed, rather than extrapolating a trend line. Reinvestment Rate = (Capex - D&amp;A - Cash from WC) / NOPAT, averaged over the same window as the model's other historical averages.</t>
  </si>
  <si>
    <t>3. Analyst Consensus / Sell-Side Estimates</t>
  </si>
  <si>
    <t>INPUT: consensus FY+1 growth estimate as of the valuation date</t>
  </si>
  <si>
    <t>4. Industry / Peer Growth Anchor</t>
  </si>
  <si>
    <t>INPUT: industry-body or peer-average growth figure</t>
  </si>
  <si>
    <t>5. Bottom-Up, Segment-by-Segment</t>
  </si>
  <si>
    <t>INPUT: your own segment-weighted roll-up growth rate</t>
  </si>
  <si>
    <t>Build each reporting segment's own growth trajectory separately (e.g. by vertical or geography) and roll them up, weighted by segment revenue share. More granular and more defensible, but not automatable -- segment structures differ too much company to company to generalize into a formula.</t>
  </si>
  <si>
    <t>6. Backlog / Contracted-Revenue-Based</t>
  </si>
  <si>
    <t>INPUT: unsatisfied performance obligations (backlog), latest FY</t>
  </si>
  <si>
    <t>INPUT: % of backlog expected to convert within 1 year</t>
  </si>
  <si>
    <t>-&gt; Implied Next-FY Revenue Floor (backlog x %)</t>
  </si>
  <si>
    <t>-&gt; Implied Floor Growth (vs. latest FY actual total revenue)</t>
  </si>
  <si>
    <t>A floor, not a clean growth output -- the backlog figure only proves how much of next year's revenue is already contractually locked in, it says nothing about the revenue on top of that. Strong directional evidence when the floor growth is already double-digit, but do not treat it as the terminal growth rate itself.</t>
  </si>
  <si>
    <t>7. Market-Implied Growth Rate (Reverse-DCF)</t>
  </si>
  <si>
    <t>Back-solves: holding WACC and margins fixed, what growth rate makes Implied Value/Share equal the actual market price? Read the row below where Implied Value/Share crosses the market price shown at the top of the grid.</t>
  </si>
  <si>
    <t>Actual Market Price (for reference)</t>
  </si>
  <si>
    <t>Candidate Terminal Growth Rate</t>
  </si>
  <si>
    <t>Implied Value/Share</t>
  </si>
  <si>
    <t>Diff vs. Market Price</t>
  </si>
  <si>
    <t>Selected Growth Rate (your judgment call)</t>
  </si>
  <si>
    <t>Not auto-applied. Weigh the methods above, decide, then type this same number into the Revenue Schedule's own Terminal Growth Rate INPUT cell (Inputs &amp; Assumptions sheet) to actually change the model.</t>
  </si>
  <si>
    <t>RAW DATA  →</t>
  </si>
  <si>
    <t>Suzlon</t>
  </si>
  <si>
    <t>Raw units, no conversion applied -- source varies by year, see Output/XBRL_Files filenames (_MCA = MCA XBRL, _NSE = NSE Integrated Filing XBRL)</t>
  </si>
  <si>
    <t>Concept Tag</t>
  </si>
  <si>
    <t>RevenueFromOperations</t>
  </si>
  <si>
    <t>OtherIncome</t>
  </si>
  <si>
    <t>Income</t>
  </si>
  <si>
    <t>Expenses [Abstract]</t>
  </si>
  <si>
    <t>CostOfMaterialsConsumed</t>
  </si>
  <si>
    <t>PurchasesOfStockInTrade</t>
  </si>
  <si>
    <t>ChangesInInventoriesOfFinishedGoodsWorkInProgressAndStockInTrade</t>
  </si>
  <si>
    <t>Total employee benefit expense</t>
  </si>
  <si>
    <t>EmployeeBenefitExpense</t>
  </si>
  <si>
    <t>FinanceCosts</t>
  </si>
  <si>
    <t>Total depreciation, depletion and amortisation expense</t>
  </si>
  <si>
    <t>DepreciationDepletionAndAmortisationExpense</t>
  </si>
  <si>
    <t>OtherExpenses</t>
  </si>
  <si>
    <t>Total expenses</t>
  </si>
  <si>
    <t>Expenses</t>
  </si>
  <si>
    <t>Profit before exceptional items and tax</t>
  </si>
  <si>
    <t>ProfitBeforeExceptionalItemsAndTax</t>
  </si>
  <si>
    <t>ExceptionalItemsBeforeTax</t>
  </si>
  <si>
    <t>ProfitBeforeTax</t>
  </si>
  <si>
    <t>Tax expense [Abstract]</t>
  </si>
  <si>
    <t>CurrentTax</t>
  </si>
  <si>
    <t>DeferredTax</t>
  </si>
  <si>
    <t>TaxExpense</t>
  </si>
  <si>
    <t>Total profit (loss) for period from continuing operations</t>
  </si>
  <si>
    <t>ProfitLossForPeriodFromContinuingOperations</t>
  </si>
  <si>
    <t>Total share of profit (loss) of associates and joint ventures accounted for using equity method</t>
  </si>
  <si>
    <t>ShareOfProfitLossOfAssociatesAndJointVenturesAccountedForUsingEquityMethod</t>
  </si>
  <si>
    <t>Total profit (loss) for period</t>
  </si>
  <si>
    <t>ProfitLossForPeriod</t>
  </si>
  <si>
    <t>Profit or loss, attributable to owners of parent</t>
  </si>
  <si>
    <t>ProfitOrLossAttributableToOwnersOfParent</t>
  </si>
  <si>
    <t>Profit or loss, attributable to non-controlling interests</t>
  </si>
  <si>
    <t>ProfitOrLossAttributableToNonControllingInterests</t>
  </si>
  <si>
    <t>Comprehensive income OCI components presented net of tax [Abstract]</t>
  </si>
  <si>
    <t>Other comprehensive income net of tax [Abstract]</t>
  </si>
  <si>
    <t>Other comprehensive income that will not be reclassified to profit or loss, net of tax, others</t>
  </si>
  <si>
    <t>OtherComprehensiveIncomeThatWillNotBeReclassifiedToProfitOrLossNetOfTaxOthers</t>
  </si>
  <si>
    <t>Total other comprehensive income that will not be reclassified to profit or loss, net of tax</t>
  </si>
  <si>
    <t>OtherComprehensiveIncomeThatWillNotBeReclassifiedToProfitOrLossNetOfTax</t>
  </si>
  <si>
    <t>Other comprehensive income that will be reclassified to profit or loss, net of tax, others</t>
  </si>
  <si>
    <t>OtherComprehensiveIncomeThatWillBeReclassifiedToProfitOrLossNetOfTaxOthers</t>
  </si>
  <si>
    <t>Total other comprehensive income that will be reclassified to profit or loss, net of tax</t>
  </si>
  <si>
    <t>OtherComprehensiveIncomeThatWillBeReclassifiedToProfitOrLossNetOfTax</t>
  </si>
  <si>
    <t>Total other comprehensive income</t>
  </si>
  <si>
    <t>OtherComprehensiveIncome</t>
  </si>
  <si>
    <t>Other comprehensive income attributable to net of tax [Abstract]</t>
  </si>
  <si>
    <t>Total comprehensive income</t>
  </si>
  <si>
    <t>ComprehensiveIncome</t>
  </si>
  <si>
    <t>Comprehensive income attributable to net of tax [Abstract]</t>
  </si>
  <si>
    <t>Comprehensive income, attributable to owners of parent</t>
  </si>
  <si>
    <t>ComprehensiveIncomeAttributableToOwnersOfParent</t>
  </si>
  <si>
    <t>Comprehensive income, attributable to non-controlling interests</t>
  </si>
  <si>
    <t>ComprehensiveIncomeAttributableToNoncontrollingInterests</t>
  </si>
  <si>
    <t>Comprehensive income OCI components presented before tax [Abstract]</t>
  </si>
  <si>
    <t>Other comprehensive income before tax [Abstract]</t>
  </si>
  <si>
    <t>Other comprehensive income attributable to [Abstract]</t>
  </si>
  <si>
    <t>Comprehensive income attributable to [Abstract]</t>
  </si>
  <si>
    <t>Basic earnings per share [Abstract]</t>
  </si>
  <si>
    <t>Basic earnings (loss) per share from continuing operations</t>
  </si>
  <si>
    <t>BasicEarningsLossPerShareFromContinuingOperations</t>
  </si>
  <si>
    <t>Total basic earnings (loss) per share</t>
  </si>
  <si>
    <t>BasicEarningsLossPerShare</t>
  </si>
  <si>
    <t>Diluted earnings per share [Abstract]</t>
  </si>
  <si>
    <t>Diluted earnings (loss) per share from continuing operations</t>
  </si>
  <si>
    <t>DilutedEarningsLossPerShareFromContinuingOperations</t>
  </si>
  <si>
    <t>Total diluted earnings (loss) per share</t>
  </si>
  <si>
    <t>DilutedEarningsLossPerShare</t>
  </si>
  <si>
    <t>Additional disclosure on discontinued operations [Abstract]</t>
  </si>
  <si>
    <t>Earnings per share [Abstract]</t>
  </si>
  <si>
    <t>Earnings per share [Line items]</t>
  </si>
  <si>
    <t>PropertyPlantAndEquipment</t>
  </si>
  <si>
    <t>CapitalWorkInProgress</t>
  </si>
  <si>
    <t>InvestmentProperty</t>
  </si>
  <si>
    <t>Goodwill</t>
  </si>
  <si>
    <t>OtherIntangibleAssets</t>
  </si>
  <si>
    <t>IntangibleAssetsUnderDevelopment</t>
  </si>
  <si>
    <t>InvestmentsAccountedForUsingEquityMethod</t>
  </si>
  <si>
    <t>Non-current financial assets [Abstract]</t>
  </si>
  <si>
    <t>NoncurrentInvestments</t>
  </si>
  <si>
    <t>TradeReceivablesNoncurrent</t>
  </si>
  <si>
    <t>LoansNoncurrent</t>
  </si>
  <si>
    <t>OtherNoncurrentFinancialAssets</t>
  </si>
  <si>
    <t>NoncurrentFinancialAssets</t>
  </si>
  <si>
    <t>DeferredTaxAssetsNet</t>
  </si>
  <si>
    <t>OtherNoncurrentAssets</t>
  </si>
  <si>
    <t>Total non-current assets</t>
  </si>
  <si>
    <t>NoncurrentAssets</t>
  </si>
  <si>
    <t>Current assets [Abstract]</t>
  </si>
  <si>
    <t>Current financial assets [Abstract]</t>
  </si>
  <si>
    <t>CurrentInvestments</t>
  </si>
  <si>
    <t>TradeReceivablesCurrent</t>
  </si>
  <si>
    <t>CashAndCashEquivalents</t>
  </si>
  <si>
    <t>LoansCurrent</t>
  </si>
  <si>
    <t>OtherCurrentFinancialAssets</t>
  </si>
  <si>
    <t>CurrentFinancialAssets</t>
  </si>
  <si>
    <t>CurrentTaxAssetsCurrent</t>
  </si>
  <si>
    <t>OtherCurrentAssets</t>
  </si>
  <si>
    <t>Total current assets</t>
  </si>
  <si>
    <t>CurrentAssets</t>
  </si>
  <si>
    <t>NoncurrentAssetsOrDisposalGroupsClassifiedAsHeldForSaleOrAsHeldForDistributionToOwners</t>
  </si>
  <si>
    <t>Assets at end of period</t>
  </si>
  <si>
    <t>Assets</t>
  </si>
  <si>
    <t>Equity and liabilities [Abstract]</t>
  </si>
  <si>
    <t>Equity [Abstract]</t>
  </si>
  <si>
    <t>Equity attributable to owners of parent [Abstract]</t>
  </si>
  <si>
    <t>EquityShareCapital</t>
  </si>
  <si>
    <t>OtherEquity</t>
  </si>
  <si>
    <t>EquityAttributableToOwnersOfParent</t>
  </si>
  <si>
    <t>NonControllingInterest</t>
  </si>
  <si>
    <t>Liabilities [Abstract]</t>
  </si>
  <si>
    <t>Non-current liabilities [Abstract]</t>
  </si>
  <si>
    <t>Non-current financial liabilities [Abstract]</t>
  </si>
  <si>
    <t>BorrowingsNoncurrent</t>
  </si>
  <si>
    <t>OtherNoncurrentFinancialLiabilities</t>
  </si>
  <si>
    <t>NoncurrentFinancialLiabilities</t>
  </si>
  <si>
    <t>ProvisionsNoncurrent</t>
  </si>
  <si>
    <t>OtherNoncurrentLiabilities</t>
  </si>
  <si>
    <t>NoncurrentLiabilities</t>
  </si>
  <si>
    <t>Current liabilities [Abstract]</t>
  </si>
  <si>
    <t>Current financial liabilities [Abstract]</t>
  </si>
  <si>
    <t>BorrowingsCurrent</t>
  </si>
  <si>
    <t>Trade payables, current [Abstract]</t>
  </si>
  <si>
    <t>TradePayablesCurrent</t>
  </si>
  <si>
    <t>OtherCurrentFinancialLiabilities</t>
  </si>
  <si>
    <t>CurrentFinancialLiabilities</t>
  </si>
  <si>
    <t>OtherCurrentLiabilities</t>
  </si>
  <si>
    <t>ProvisionsCurrent</t>
  </si>
  <si>
    <t>CurrentTaxLiabilities</t>
  </si>
  <si>
    <t>CurrentLiabilities</t>
  </si>
  <si>
    <t>LiabilitiesDirectlyAssociatedWithAssetsInDisposalGroupClassifiedAsHeldForSale</t>
  </si>
  <si>
    <t>EquityAndLiabilities</t>
  </si>
  <si>
    <t>Cash flows from used in operating activities [Abstract]</t>
  </si>
  <si>
    <t>Adjustments for reconcile profit (loss) [Abstract]</t>
  </si>
  <si>
    <t>AdjustmentsForFinanceCosts</t>
  </si>
  <si>
    <t>AdjustmentsForDecreaseIncreaseInInventories</t>
  </si>
  <si>
    <t>AdjustmentsForDecreaseIncreaseInTradeReceivablesCurrent</t>
  </si>
  <si>
    <t>AdjustmentsForDecreaseIncreaseInOtherCurrentAssets</t>
  </si>
  <si>
    <t>AdjustmentsForOtherFinancialAssetsNoncurrent</t>
  </si>
  <si>
    <t>AdjustmentsForIncreaseDecreaseInOtherCurrentLiabilities</t>
  </si>
  <si>
    <t>AdjustmentsForDepreciationAndAmortisationExpense</t>
  </si>
  <si>
    <t>AdjustmentsForImpairmentLossReversalOfImpairmentLossRecognisedInProfitOrLoss</t>
  </si>
  <si>
    <t>AdjustmentsForOtherFinancialLiabilitiesNoncurrent</t>
  </si>
  <si>
    <t>AdjustmentsForUnrealisedForeignExchangeLossesGains</t>
  </si>
  <si>
    <t>AdjustmentsForInterestIncome</t>
  </si>
  <si>
    <t>AdjustmentsForSharebasedPayments</t>
  </si>
  <si>
    <t>OtherAdjustmentsForWhichCashEffectsAreInvestingOrFinancingCashFlow</t>
  </si>
  <si>
    <t>OtherAdjustmentsToReconcileProfitLoss</t>
  </si>
  <si>
    <t>OtherAdjustmentsForNoncashItems</t>
  </si>
  <si>
    <t>AdjustmentsForReconcileProfitLoss</t>
  </si>
  <si>
    <t>CashFlowsFromUsedInOperations</t>
  </si>
  <si>
    <t>IncomeTaxesPaidRefundClassifiedAsOperatingActivities</t>
  </si>
  <si>
    <t>CashFlowsFromUsedInOperatingActivities</t>
  </si>
  <si>
    <t>CashFlowsUsedInObtainingControlOfSubsidiariesOrOtherBusinessesClassifiedAsInvestingActivities</t>
  </si>
  <si>
    <t>OtherCashReceiptsFromSalesOfEquityOrDebtInstrumentsOfOtherEntitiesClassifiedAsInvestingActivities</t>
  </si>
  <si>
    <t>OtherCashPaymentsToAcquireEquityOrDebtInstrumentsOfOtherEntitiesClassifiedAsInvestingActivities</t>
  </si>
  <si>
    <t>OtherCashReceiptsFromSalesOfInterestsInJointVenturesClassifiedAsInvestingActivities</t>
  </si>
  <si>
    <t>ProceedsFromSalesOfPropertyPlantAndEquipmentClassifiedAsInvestingActivities</t>
  </si>
  <si>
    <t>PurchaseOfPropertyPlantAndEquipmentClassifiedAsInvestingActivities</t>
  </si>
  <si>
    <t>ProceedsFromSalesOfInvestmentPropertyClassifiedAsInvestingActivities</t>
  </si>
  <si>
    <t>PurchaseOfInvestmentPropertyClassifiedAsInvestingActivities</t>
  </si>
  <si>
    <t>InterestReceivedClassifiedAsInvestingActivities</t>
  </si>
  <si>
    <t>OtherInflowsOutflowsOfCashClassifiedAsInvestingActivities</t>
  </si>
  <si>
    <t>CashFlowsFromUsedInInvestingActivities</t>
  </si>
  <si>
    <t>ProceedsFromIssuingSharesClassifiedAsFinancingActivities</t>
  </si>
  <si>
    <t>ProceedsFromIssuingOtherEquityInstruments</t>
  </si>
  <si>
    <t>ProceedsFromIssuingDebenturesNotesBondsEtc</t>
  </si>
  <si>
    <t>ProceedsFromBorrowingsClassifiedAsFinancingActivities</t>
  </si>
  <si>
    <t>RepaymentsOfBorrowingsClassifiedAsFinancingActivities</t>
  </si>
  <si>
    <t>PaymentsOfLeaseLiabilitiesClassifiedAsFinancingActivities</t>
  </si>
  <si>
    <t>InterestPaidClassifiedAsFinancingActivities</t>
  </si>
  <si>
    <t>OtherInflowsOutflowsOfCashClassifiedAsFinancingActivities</t>
  </si>
  <si>
    <t>CashFlowsFromUsedInFinancingActivities</t>
  </si>
  <si>
    <t>IncreaseDecreaseInCashAndCashEquivalentsBeforeEffectOfExchangeRateChanges</t>
  </si>
  <si>
    <t>Effect of exchange rate changes on cash and cash equivalents [Abstract]</t>
  </si>
  <si>
    <t>EffectOfExchangeRateChangesOnCashAndCashEquivalents</t>
  </si>
  <si>
    <t>IncreaseDecreaseInCashAndCashEquivalents</t>
  </si>
  <si>
    <t>NOTES TO ACCOUNTS</t>
  </si>
  <si>
    <t>Notes to Statement of Profit and Loss: Additional Information Statement Of Profit And Loss</t>
  </si>
  <si>
    <t>Additional information on profit and loss account [Abstract]</t>
  </si>
  <si>
    <t>Material income and expense [Abstract]</t>
  </si>
  <si>
    <t>Write-downs (reversals of write-downs) of property, plant and equipment [Abstract]</t>
  </si>
  <si>
    <t>Impairment loss recognised in profit or loss, property, plant and equipment</t>
  </si>
  <si>
    <t>ImpairmentLossRecognisedInProfitOrLossPropertyPlantAndEquipment</t>
  </si>
  <si>
    <t>Reversal of impairment loss recognised in profit or loss, property, plant and equipment</t>
  </si>
  <si>
    <t>ReversalOfImpairmentLossRecognisedInProfitOrLossPropertyPlantAndEquipment</t>
  </si>
  <si>
    <t>Net write-downs (reversals of write-downs) of property, plant and equipment</t>
  </si>
  <si>
    <t>WritedownsReversalsOfPropertyPlantAndEquipment</t>
  </si>
  <si>
    <t>Share of profit (loss) of associates and joint ventures accounted for using equity method [Abstract]</t>
  </si>
  <si>
    <t>Share of profit (loss) of associates accounted for using equity method</t>
  </si>
  <si>
    <t>ShareOfProfitLossOfAssociatesAccountedForUsingEquityMethod</t>
  </si>
  <si>
    <t>Share of profit (loss) of joint ventures accounted for using equity method</t>
  </si>
  <si>
    <t>ShareOfProfitLossOfJointVenturesAccountedForUsingEquityMethod</t>
  </si>
  <si>
    <t>Changes in inventories of finished goods, work-in-progress and stock-in-trade [Abstract]</t>
  </si>
  <si>
    <t>Changes in other inventories</t>
  </si>
  <si>
    <t>ChangesInOtherInventories</t>
  </si>
  <si>
    <t>Details of exceptional items [Abstract]</t>
  </si>
  <si>
    <t>Exceptional items after tax [Abstract]</t>
  </si>
  <si>
    <t>Total exceptional items</t>
  </si>
  <si>
    <t>ExceptionalItems</t>
  </si>
  <si>
    <t>Details of cost incurred for issuing options or shares under employee stock option or stock purchase scheme [Abstract]</t>
  </si>
  <si>
    <t>Revenue from sale of products [Abstract]</t>
  </si>
  <si>
    <t>Total revenue from sale of products</t>
  </si>
  <si>
    <t>RevenueFromSaleOfProducts</t>
  </si>
  <si>
    <t>Revenue from sale of services [Abstract]</t>
  </si>
  <si>
    <t>Total revenue from sale of services</t>
  </si>
  <si>
    <t>RevenueFromSaleOfServices</t>
  </si>
  <si>
    <t>Notes to Statement of Profit and Loss: Earnings Per Share</t>
  </si>
  <si>
    <t>Profit (loss), attributable to ordinary equity holders of parent entity [Abstract]</t>
  </si>
  <si>
    <t>Profit (loss), attributable to ordinary equity holders of parent entity, used in calculating basic earnings per share</t>
  </si>
  <si>
    <t>ProfitLossAttributableToOrdinaryEquityHoldersOfParentEntity</t>
  </si>
  <si>
    <t>Profit (loss), attributable to ordinary equity holders of parent entity, used in calculating diluted earnings per share</t>
  </si>
  <si>
    <t>ProfitLossAttributableToOrdinaryEquityHoldersOfParentEntityIncludingDilutiveEffects</t>
  </si>
  <si>
    <t>Weighted average shares and adjusted weighted average shares [Abstract]</t>
  </si>
  <si>
    <t>Weighted average number of ordinary shares outstanding</t>
  </si>
  <si>
    <t>WeightedAverageShares</t>
  </si>
  <si>
    <t>Adjusted weighted average shares</t>
  </si>
  <si>
    <t>AdjustedWeightedAverageShares</t>
  </si>
  <si>
    <t>Adjustments to reconcile profit (loss) to numerator used in calculating earnings per share [abstract]</t>
  </si>
  <si>
    <t>Participating equity instruments other than ordinary shares [abstract]</t>
  </si>
  <si>
    <t>Disclosure of depositary receipts [abstract]</t>
  </si>
  <si>
    <t>Disclosure of depositary receipts [Line items]</t>
  </si>
  <si>
    <t>Notes to Statement of Profit and Loss: Income Taxes</t>
  </si>
  <si>
    <t>Major components of tax expense (income) [Abstract]</t>
  </si>
  <si>
    <t>Current tax expense (income) and adjustments for current tax of prior periods [Abstract]</t>
  </si>
  <si>
    <t>Current tax expense (income)</t>
  </si>
  <si>
    <t>CurrentTaxExpenseIncome</t>
  </si>
  <si>
    <t>Adjustments for current tax of prior periods</t>
  </si>
  <si>
    <t>AdjustmentsForCurrentTaxOfPriorPeriod</t>
  </si>
  <si>
    <t>Total current tax expense (income) and adjustments for current tax of prior periods</t>
  </si>
  <si>
    <t>CurrentTaxExpenseIncomeAndAdjustmentsForCurrentTaxOfPriorPeriods</t>
  </si>
  <si>
    <t>Deferred tax expense (income) relating to origination and reversal of temporary differences</t>
  </si>
  <si>
    <t>DeferredTaxExpenseIncomeRelatingToOriginationAndReversalOfTemporaryDifferences</t>
  </si>
  <si>
    <t>Deferred tax expense arising from write-down or reversal of write-down of deferred tax Assets</t>
  </si>
  <si>
    <t>DeferredTaxExpenseArisingFromWritedownOrReversalOfWritedownOfDeferredTaxAssets</t>
  </si>
  <si>
    <t>Total tax expense (income)</t>
  </si>
  <si>
    <t>IncomeTaxExpenseContinuingOperations</t>
  </si>
  <si>
    <t>Disclosure of temporary difference, unused tax losses and unused tax credits [Abstract]</t>
  </si>
  <si>
    <t>Disclosure of temporary difference, unused tax losses and unused tax credits [Line items]</t>
  </si>
  <si>
    <t>Deferred tax assets and liabilities [Abstract]</t>
  </si>
  <si>
    <t>Deferred tax assets</t>
  </si>
  <si>
    <t>DeferredTaxAssets</t>
  </si>
  <si>
    <t>Deferred tax liability (assets) at end of period</t>
  </si>
  <si>
    <t>DeferredTaxLiabilityAssets</t>
  </si>
  <si>
    <t>Net deferred tax assets and liabilities [Abstract]</t>
  </si>
  <si>
    <t>Net deferred tax assets</t>
  </si>
  <si>
    <t>NetDeferredTaxAssets</t>
  </si>
  <si>
    <t>Deferred tax expense (income) [Abstract]</t>
  </si>
  <si>
    <t>Deferred tax expense (income) recognised in profit or loss</t>
  </si>
  <si>
    <t>DeferredTaxExpenseIncomeRecognisedInProfitOrLoss</t>
  </si>
  <si>
    <t>Reconciliation of changes in deferred tax liability (assets) [Abstract]</t>
  </si>
  <si>
    <t>Changes in deferred tax liability (assets) [Abstract]</t>
  </si>
  <si>
    <t>Increase (decrease) through business combinations, deferred tax liability (assets)</t>
  </si>
  <si>
    <t>IncreaseDecreaseThroughBusinessCombinationsDeferredTaxLiabilityAssets</t>
  </si>
  <si>
    <t>Total increase (decrease) in deferred tax liability (assets)</t>
  </si>
  <si>
    <t>IncreaseDecreaseInDeferredTaxLiabilityAssets</t>
  </si>
  <si>
    <t>Reconciliation of accounting profit multiplied by applicable tax rates [Abstract]</t>
  </si>
  <si>
    <t>Accounting profit</t>
  </si>
  <si>
    <t>AccountingProfit</t>
  </si>
  <si>
    <t>Tax expense (income) at applicable tax rate</t>
  </si>
  <si>
    <t>TaxExpenseIncomeAtApplicableTaxRate</t>
  </si>
  <si>
    <t>Tax effect of revenues exempt from taxation</t>
  </si>
  <si>
    <t>TaxEffectOfRevenuesExemptFromTaxation2011</t>
  </si>
  <si>
    <t>Tax effect of expense not deductible in determining taxable profit (tax loss)</t>
  </si>
  <si>
    <t>TaxEffectOfExpenseNotDeductibleInDeterminingTaxableProfitTaxLoss</t>
  </si>
  <si>
    <t>Tax effect of tax losses</t>
  </si>
  <si>
    <t>TaxEffectOfTaxLosses</t>
  </si>
  <si>
    <t>Tax effect from change in tax rate</t>
  </si>
  <si>
    <t>TaxEffectFromChangeInTaxRate</t>
  </si>
  <si>
    <t>Other tax effects for reconciliation between accounting profit and tax expense (income)</t>
  </si>
  <si>
    <t>OtherTaxEffectsForReconciliationBetweenAccountingProfitAndTaxExpenseIncome</t>
  </si>
  <si>
    <t>Reconciliation of average effective tax rate and applicable tax rate [Abstract]</t>
  </si>
  <si>
    <t>Applicable tax rate</t>
  </si>
  <si>
    <t>ApplicableTaxRate</t>
  </si>
  <si>
    <t>Total average effective tax rate</t>
  </si>
  <si>
    <t>AverageEffectiveTaxRate</t>
  </si>
  <si>
    <t>Notes to Statement of Profit and Loss: Subclassification And Notes On Income And Expenses</t>
  </si>
  <si>
    <t>Disclosure of revenue from operations [Abstract]</t>
  </si>
  <si>
    <t>Disclosure of revenue from operations for other than finance company [Abstract]</t>
  </si>
  <si>
    <t>Total other operating revenues</t>
  </si>
  <si>
    <t>OtherOperatingRevenues</t>
  </si>
  <si>
    <t>Total revenue from operations other than finance company</t>
  </si>
  <si>
    <t>RevenueFromOperationsOtherThanFinanceCompany</t>
  </si>
  <si>
    <t>Disclosure of other operating revenues [Abstract]</t>
  </si>
  <si>
    <t>Other operating revenues [Abstract]</t>
  </si>
  <si>
    <t>Miscellaneous other operating revenues</t>
  </si>
  <si>
    <t>MiscellaneousOtherOperatingRevenues</t>
  </si>
  <si>
    <t>Miscellaneous other operating revenues [Abstract]</t>
  </si>
  <si>
    <t>Miscellaneous other operating revenues [Line Items]</t>
  </si>
  <si>
    <t>Disclosure of other income [Abstract]</t>
  </si>
  <si>
    <t>Interest income [Abstract]</t>
  </si>
  <si>
    <t>Interest income on current investments [Abstract]</t>
  </si>
  <si>
    <t>Interest on fixed deposits, current investments</t>
  </si>
  <si>
    <t>InterestOnFixedDepositsCurrentInvestments</t>
  </si>
  <si>
    <t>Interest on current intercorporate deposits</t>
  </si>
  <si>
    <t>InterestOnCurrentIntercorporateDeposits</t>
  </si>
  <si>
    <t>Interest on other current investments</t>
  </si>
  <si>
    <t>InterestOnOtherCurrentInvestments</t>
  </si>
  <si>
    <t>Total interest income on current investments</t>
  </si>
  <si>
    <t>InterestIncomeOnCurrentInvestments</t>
  </si>
  <si>
    <t>Total interest income</t>
  </si>
  <si>
    <t>InterestIncome</t>
  </si>
  <si>
    <t>Net gain/loss on sale of investments [Abstract]</t>
  </si>
  <si>
    <t>Net gain/loss on sale of current investments</t>
  </si>
  <si>
    <t>NetGainLossOnSaleOfCurrentInvestments</t>
  </si>
  <si>
    <t>Total net gain/loss on sale of investments</t>
  </si>
  <si>
    <t>NetGainLossOnSaleOfInvestments</t>
  </si>
  <si>
    <t>Other non-operating income [Abstract]</t>
  </si>
  <si>
    <t>Amount credited to profit and loss as transfer from revaluation reserve on account of additional depreciation charged on revalued tangible assets</t>
  </si>
  <si>
    <t>AmountCreditedToProfitAndLossAsTransferFromRevaluationReserveOnAccountOfAdditionalDepreciationChargedOnRevaluedTangibleAssets</t>
  </si>
  <si>
    <t>Miscellaneous other non-operating income</t>
  </si>
  <si>
    <t>MiscellaneousOtherNonoperatingIncome</t>
  </si>
  <si>
    <t>Total other non-operating income</t>
  </si>
  <si>
    <t>OtherNonoperatingIncome</t>
  </si>
  <si>
    <t>Disclosure of finance cost [Abstract]</t>
  </si>
  <si>
    <t>Interest expense [Abstract]</t>
  </si>
  <si>
    <t>Other interest charges</t>
  </si>
  <si>
    <t>OtherInterestCharges</t>
  </si>
  <si>
    <t>Total interest expense</t>
  </si>
  <si>
    <t>InterestExpense</t>
  </si>
  <si>
    <t>Other borrowing costs</t>
  </si>
  <si>
    <t>OtherBorrowingCosts</t>
  </si>
  <si>
    <t>Net gain/loss on foreign currency transactions and translations treated as finance costs</t>
  </si>
  <si>
    <t>NetGainLossOnForeignCurrencyTransactionsAndTranslationsTreatedAsFinanceCosts</t>
  </si>
  <si>
    <t>Employee benefit expense [Abstract]</t>
  </si>
  <si>
    <t>Salaries and wages</t>
  </si>
  <si>
    <t>SalariesAndWages</t>
  </si>
  <si>
    <t>Contribution to provident and other funds [Abstract]</t>
  </si>
  <si>
    <t>Contribution to provident and other funds for others</t>
  </si>
  <si>
    <t>ContributionToProvidentAndOtherFundsForOthers</t>
  </si>
  <si>
    <t>Total contribution to provident and other funds</t>
  </si>
  <si>
    <t>ContributionToProvidentAndOtherFunds</t>
  </si>
  <si>
    <t>Employee share based payment [Abstract]</t>
  </si>
  <si>
    <t>Employee share based payment- Equity settled</t>
  </si>
  <si>
    <t>EmployeeShareBasedPaymentEquitySettled</t>
  </si>
  <si>
    <t>Total employee share based payment</t>
  </si>
  <si>
    <t>EmployeeShareBasedPayment</t>
  </si>
  <si>
    <t>Gratuity</t>
  </si>
  <si>
    <t>Staff welfare expense</t>
  </si>
  <si>
    <t>StaffWelfareExpense</t>
  </si>
  <si>
    <t>Depreciation, depletion and amortisation expense [Abstract]</t>
  </si>
  <si>
    <t>Depreciation expense</t>
  </si>
  <si>
    <t>DepreciationExpense</t>
  </si>
  <si>
    <t>Amortisation expense</t>
  </si>
  <si>
    <t>AmortisationExpense</t>
  </si>
  <si>
    <t>Breakup of other expenses [Abstract]</t>
  </si>
  <si>
    <t>Consumption of stores and spare parts</t>
  </si>
  <si>
    <t>ConsumptionOfStoresAndSpareParts</t>
  </si>
  <si>
    <t>Power and fuel</t>
  </si>
  <si>
    <t>PowerAndFuel</t>
  </si>
  <si>
    <t>Rent</t>
  </si>
  <si>
    <t>Repairs to building</t>
  </si>
  <si>
    <t>RepairsToBuilding</t>
  </si>
  <si>
    <t>Repairs to machinery</t>
  </si>
  <si>
    <t>RepairsToMachinery</t>
  </si>
  <si>
    <t>Insurance</t>
  </si>
  <si>
    <t>Rates and taxes excluding taxes on income [Abstract]</t>
  </si>
  <si>
    <t>Other cess taxes</t>
  </si>
  <si>
    <t>OtherCessTaxes</t>
  </si>
  <si>
    <t>Total rates and taxes excluding taxes on income</t>
  </si>
  <si>
    <t>RatesAndTaxesExcludingTaxesOnIncome</t>
  </si>
  <si>
    <t>Research development expenditure</t>
  </si>
  <si>
    <t>ResearchDevelopmentExpenditure</t>
  </si>
  <si>
    <t>Telephone postage</t>
  </si>
  <si>
    <t>TelephonePostage</t>
  </si>
  <si>
    <t>Travelling conveyance</t>
  </si>
  <si>
    <t>TravellingConveyance</t>
  </si>
  <si>
    <t>Donations subscriptions</t>
  </si>
  <si>
    <t>DonationsSubscriptions</t>
  </si>
  <si>
    <t>Advertising promotional expenses</t>
  </si>
  <si>
    <t>AdvertisingPromotionalExpenses</t>
  </si>
  <si>
    <t>Commission paid other selling agents</t>
  </si>
  <si>
    <t>CommissionPaidOtherSellingAgents</t>
  </si>
  <si>
    <t>Secondary packing expenses</t>
  </si>
  <si>
    <t>SecondaryPackingExpenses</t>
  </si>
  <si>
    <t>Loss on disposal, discard, demolishment and destruction of depreciable property plant and equipment</t>
  </si>
  <si>
    <t>LossOnDisposalDiscardDemolishmentAndDestructionOfDepreciablePropertyPlantAndEquipment</t>
  </si>
  <si>
    <t>Payments to auditor [Abstract]</t>
  </si>
  <si>
    <t>Payment for audit services</t>
  </si>
  <si>
    <t>PaymentForAuditServices</t>
  </si>
  <si>
    <t>Total payments to auditor</t>
  </si>
  <si>
    <t>PaymentsToAuditor</t>
  </si>
  <si>
    <t>Miscellaneous expenses</t>
  </si>
  <si>
    <t>MiscellaneousExpenses</t>
  </si>
  <si>
    <t>Current tax [Abstract]</t>
  </si>
  <si>
    <t>Current tax pertaining to previous years</t>
  </si>
  <si>
    <t>CurrentTaxPertainingToPreviousYears</t>
  </si>
  <si>
    <t>Current tax pertaining to current year</t>
  </si>
  <si>
    <t>CurrentTaxPertainingToCurrentYear</t>
  </si>
  <si>
    <t>Additional Items (Taxonomy Vintage 2017-03-31)</t>
  </si>
  <si>
    <t>Site labour supervision cost contracts</t>
  </si>
  <si>
    <t>SiteLabourSupervisionCostContracts</t>
  </si>
  <si>
    <t>Total contract cost</t>
  </si>
  <si>
    <t>ContractCost</t>
  </si>
  <si>
    <t>Notes to Balance Sheet: Additional Disclosures On Balance Sheet</t>
  </si>
  <si>
    <t>Additional balance sheet notes [Abstract]</t>
  </si>
  <si>
    <t>Contingent liabilities and commitments [Abstract]</t>
  </si>
  <si>
    <t>Classification of contingent liabilities [Abstract]</t>
  </si>
  <si>
    <t>Claims against company not acknowledged as debt</t>
  </si>
  <si>
    <t>ClaimsAgainstCompanyNotAcknowledgedAsDebt</t>
  </si>
  <si>
    <t>Guarantees</t>
  </si>
  <si>
    <t>Other money for which company is contingently liable</t>
  </si>
  <si>
    <t>OtherMoneyForWhichCompanyIsContingentlyLiable</t>
  </si>
  <si>
    <t>Total contingent liabilities</t>
  </si>
  <si>
    <t>ContingentLiabilities</t>
  </si>
  <si>
    <t>Classification of commitments [Abstract]</t>
  </si>
  <si>
    <t>Estimated amount of contracts remaining to be executed on capital account and not provided for</t>
  </si>
  <si>
    <t>EstimatedAmountOfContractsRemainingToBeExecutedOnCapitalAccountAndNotProvidedFor</t>
  </si>
  <si>
    <t>Other commitments</t>
  </si>
  <si>
    <t>OtherCommitments</t>
  </si>
  <si>
    <t>Total commitments</t>
  </si>
  <si>
    <t>Commitments</t>
  </si>
  <si>
    <t>Total contingent liabilities and commitments</t>
  </si>
  <si>
    <t>ContingentLiabilitiesAndCommitments</t>
  </si>
  <si>
    <t>Additional regulatory information [Abstract]</t>
  </si>
  <si>
    <t>Notes to Balance Sheet: Current Investments</t>
  </si>
  <si>
    <t>Current investments [Abstract]</t>
  </si>
  <si>
    <t>Disclosure of details of current investments [Abstract]</t>
  </si>
  <si>
    <t>Details of current investments [Line items]</t>
  </si>
  <si>
    <t>Aggregate amount of quoted current investments</t>
  </si>
  <si>
    <t>AggregateAmountOfQuotedCurrentInvestments</t>
  </si>
  <si>
    <t>Market value of quoted current investments</t>
  </si>
  <si>
    <t>MarketValueOfQuotedCurrentInvestments</t>
  </si>
  <si>
    <t>Aggregate amount of unquoted current investments</t>
  </si>
  <si>
    <t>AggregateAmountOfUnquotedCurrentInvestments</t>
  </si>
  <si>
    <t>Notes to Balance Sheet: Equity Share Capital</t>
  </si>
  <si>
    <t>Disclosure of classes of equity share capital [Abstract]</t>
  </si>
  <si>
    <t>Disclosure of classes of equity share capital [Line items]</t>
  </si>
  <si>
    <t>Number of shares authorised</t>
  </si>
  <si>
    <t>NumberOfSharesAuthorised</t>
  </si>
  <si>
    <t>Value of shares authorised</t>
  </si>
  <si>
    <t>ValueOfSharesAuthorised</t>
  </si>
  <si>
    <t>Number of shares issued</t>
  </si>
  <si>
    <t>NumberOfSharesIssued</t>
  </si>
  <si>
    <t>Value of shares issued</t>
  </si>
  <si>
    <t>ValueOfSharesIssued</t>
  </si>
  <si>
    <t>Number of shares subscribed and fully paid</t>
  </si>
  <si>
    <t>NumberOfSharesSubscribedAndFullyPaid</t>
  </si>
  <si>
    <t>Value of shares subscribed and fully paid</t>
  </si>
  <si>
    <t>ValueOfSharesSubscribedAndFullyPaid</t>
  </si>
  <si>
    <t>Number of shares subscribed but not fully paid</t>
  </si>
  <si>
    <t>NumberOfSharesSubscribedButNotFullyPaid</t>
  </si>
  <si>
    <t>Value of shares subscribed but not fully paid</t>
  </si>
  <si>
    <t>ValueOfSharesSubscribedButNotFullyPaid</t>
  </si>
  <si>
    <t>Total number of shares subscribed</t>
  </si>
  <si>
    <t>NumberOfSharesSubscribed</t>
  </si>
  <si>
    <t>Total value of shares subscribed</t>
  </si>
  <si>
    <t>ValueOfSharesSubscribed</t>
  </si>
  <si>
    <t>Value of shares paid-up [Abstract]</t>
  </si>
  <si>
    <t>Number of shares paid-up</t>
  </si>
  <si>
    <t>NumberOfSharesPaidUp</t>
  </si>
  <si>
    <t>Value of shares called</t>
  </si>
  <si>
    <t>ValueOfSharesCalled</t>
  </si>
  <si>
    <t>Forfeited shares</t>
  </si>
  <si>
    <t>ForfeitedShares</t>
  </si>
  <si>
    <t>Value of shares paid-up</t>
  </si>
  <si>
    <t>ValueOfSharesPaidUp</t>
  </si>
  <si>
    <t>Reconciliation of number of shares outstanding [Abstract]</t>
  </si>
  <si>
    <t>Number of shares outstanding at end of period</t>
  </si>
  <si>
    <t>NumberOfSharesOutstanding</t>
  </si>
  <si>
    <t>Changes in number of shares outstanding [Abstract]</t>
  </si>
  <si>
    <t>Increase in number of shares outstanding [Abstract]</t>
  </si>
  <si>
    <t>Total aggregate number of shares issued during period</t>
  </si>
  <si>
    <t>AggregateNumberOfSharesIssuedDuringPeriod</t>
  </si>
  <si>
    <t>Decrease in number of shares during period [Abstract]</t>
  </si>
  <si>
    <t>Total decrease in number of shares during period</t>
  </si>
  <si>
    <t>DecreaseInNumberOfSharesDuringPeriod</t>
  </si>
  <si>
    <t>Total increase (decrease) in number of shares outstanding</t>
  </si>
  <si>
    <t>IncreaseDecreaseInNumberOfSharesOutstanding</t>
  </si>
  <si>
    <t>Reconciliation of value of shares outstanding [Abstract]</t>
  </si>
  <si>
    <t>Changes in equity share capital [Abstract]</t>
  </si>
  <si>
    <t>Increase in equity share capital during period [Abstract]</t>
  </si>
  <si>
    <t>Amount of rights issue during period</t>
  </si>
  <si>
    <t>AmountOfRightsIssueDuringPeriod</t>
  </si>
  <si>
    <t>Amount of preferential allotment issue arising out of conversion of debentures preference shares during period</t>
  </si>
  <si>
    <t>AmountOfPreferentialAllotmentIssueArisingOutOfConversionOfDebenturesPreferenceSharesDuringPeriod</t>
  </si>
  <si>
    <t>Amount of other preferential allotment issue during period</t>
  </si>
  <si>
    <t>AmountOfOtherPreferentialAllotmentIssueDuringPeriod</t>
  </si>
  <si>
    <t>Amount of other issues during period</t>
  </si>
  <si>
    <t>AmountOfOtherIssuesDuringPeriod</t>
  </si>
  <si>
    <t>Amount of shares issued under employee stock option plan</t>
  </si>
  <si>
    <t>AmountOfSharesIssuedUnderEmployeeStockOptionPlan</t>
  </si>
  <si>
    <t>Amount of other issue arising out of conversion of securities during period</t>
  </si>
  <si>
    <t>AmountOfOtherIssueArisingOutOfConversionOfSecuritiesDuringPeriod</t>
  </si>
  <si>
    <t>Total aggregate amount of increase in equity share capital during period</t>
  </si>
  <si>
    <t>AggregateAmountOfIncreaseInEquityShareCapitalDuringPeriod</t>
  </si>
  <si>
    <t>Decrease in equity share capital during period [Abstract]</t>
  </si>
  <si>
    <t>Other decrease in amount of shares</t>
  </si>
  <si>
    <t>OtherDecreaseInAmountOfShares</t>
  </si>
  <si>
    <t>Total decrease in equity share capital during period</t>
  </si>
  <si>
    <t>DecreaseInEquityShareCapitalDuringPeriod</t>
  </si>
  <si>
    <t>Total increase (decrease) in share capital</t>
  </si>
  <si>
    <t>IncreaseDecreaseInEquityShareCapital</t>
  </si>
  <si>
    <t>Notes to Balance Sheet: Goodwill</t>
  </si>
  <si>
    <t>Disclosure of reconciliation of changes in goodwill [Abstract]</t>
  </si>
  <si>
    <t>Disclosure of reconciliation of changes in goodwill [Line items]</t>
  </si>
  <si>
    <t>Notes to Balance Sheet: Investment Property</t>
  </si>
  <si>
    <t>Disclosure of detailed information about investment property at cost [Abstract]</t>
  </si>
  <si>
    <t>Disclosure of detailed information about investment property [Line items]</t>
  </si>
  <si>
    <t>Reconciliation of changes in investment property [Abstract]</t>
  </si>
  <si>
    <t>Rental income from investment property, net of direct operating expense [Abstract]</t>
  </si>
  <si>
    <t>Rental income from investment property</t>
  </si>
  <si>
    <t>RentalIncomeFromInvestmentProperty</t>
  </si>
  <si>
    <t>Direct operating expense from investment property [Abstract]</t>
  </si>
  <si>
    <t>Direct operating expense from investment property generating rental income</t>
  </si>
  <si>
    <t>DirectOperatingExpenseFromInvestmentPropertyGeneratingRentalIncome</t>
  </si>
  <si>
    <t>Direct operating expense from investment property not generating rental income</t>
  </si>
  <si>
    <t>DirectOperatingExpenseFromInvestmentPropertyNotGeneratingRentalIncome</t>
  </si>
  <si>
    <t>Total direct operating expense from investment property</t>
  </si>
  <si>
    <t>DirectOperatingExpenseFromInvestmentProperty</t>
  </si>
  <si>
    <t>Rental income from investment property, net of direct operating expense</t>
  </si>
  <si>
    <t>RentalIncomeFromInvestmentPropertyNetOfDirectOperatingExpense</t>
  </si>
  <si>
    <t>Notes to Balance Sheet: Noncurrent Investments</t>
  </si>
  <si>
    <t>Non-current investments [Abstract]</t>
  </si>
  <si>
    <t>Disclosure of details of non-current investments [Abstract]</t>
  </si>
  <si>
    <t>Details of non-current investments [Line items]</t>
  </si>
  <si>
    <t>Aggregate amount of quoted non-current investments</t>
  </si>
  <si>
    <t>AggregateAmountOfQuotedNoncurrentInvestments</t>
  </si>
  <si>
    <t>Aggregate amount of unquoted non-current investments</t>
  </si>
  <si>
    <t>AggregateAmountOfUnquotedNoncurrentInvestments</t>
  </si>
  <si>
    <t>Notes to Balance Sheet: Other Intangible Assets</t>
  </si>
  <si>
    <t>Disclosure of detailed information about other intangible assets [Abstract]</t>
  </si>
  <si>
    <t>Disclosure of detailed information about other intangible assets [Line items]</t>
  </si>
  <si>
    <t>Reconciliation of changes in other intangible assets [Abstract]</t>
  </si>
  <si>
    <t>Changes in Other intangible assets [Abstract]</t>
  </si>
  <si>
    <t>Additions other than through business combinations</t>
  </si>
  <si>
    <t>AdditionsOtherThanThroughBusinessCombinationsOtherIntangibleAssets</t>
  </si>
  <si>
    <t>Increase (decrease) through net exchange differences</t>
  </si>
  <si>
    <t>IncreaseDecreaseThroughNetExchangeDifferencesOtherIntangibleAssets</t>
  </si>
  <si>
    <t>Amortisation other intangible assets</t>
  </si>
  <si>
    <t>AmortisationOtherIntangibleAssets</t>
  </si>
  <si>
    <t>Impairment loss recognised in profit or loss</t>
  </si>
  <si>
    <t>ImpairmentLossRecognisedInProfitOrLossOtherIntangibleAssets</t>
  </si>
  <si>
    <t>Revaluation increase (decrease), other intangible assets</t>
  </si>
  <si>
    <t>RevaluationIncreaseDecreaseOtherIntangibleAssets</t>
  </si>
  <si>
    <t>Increase (decrease) through transfers and other changes, other intangible assets [Abstract]</t>
  </si>
  <si>
    <t>Increase (decrease) through other changes</t>
  </si>
  <si>
    <t>IncreaseDecreaseThroughOtherChangesOtherIntangibleAssets</t>
  </si>
  <si>
    <t>Total increase (decrease) through transfers and other changes, Other intangible assets</t>
  </si>
  <si>
    <t>IncreaseDecreaseThroughTransfersAndOtherChangesOtherIntangibleAssets</t>
  </si>
  <si>
    <t>Disposals and retirements, other intangible assets [Abstract]</t>
  </si>
  <si>
    <t>Disposals</t>
  </si>
  <si>
    <t>DisposalsOtherIntangibleAssets</t>
  </si>
  <si>
    <t>Total Disposals and retirements, Other intangible assets</t>
  </si>
  <si>
    <t>DisposalsAndRetirementsOtherIntangibleAssets</t>
  </si>
  <si>
    <t>Total increase (decrease) in Other intangible assets</t>
  </si>
  <si>
    <t>ChangesInOtherIntangibleAssets</t>
  </si>
  <si>
    <t>Notes to Balance Sheet: Property Plant And Equipment</t>
  </si>
  <si>
    <t>Disclosure of detailed information about property, plant and equipment [Abstract]</t>
  </si>
  <si>
    <t>Disclosure of detailed information about property, plant and equipment [Line items]</t>
  </si>
  <si>
    <t>Reconciliation of changes in property, plant and equipment [Abstract]</t>
  </si>
  <si>
    <t>Changes in property, plant and equipment [Abstract]</t>
  </si>
  <si>
    <t>Additions other than through business combinations, property, plant and equipment</t>
  </si>
  <si>
    <t>AdditionsOtherThanThroughBusinessCombinationsPropertyPlantAndEquipment</t>
  </si>
  <si>
    <t>Acquisitions through business combinations, property, plant and equipment</t>
  </si>
  <si>
    <t>AcquisitionsThroughBusinessCombinationsPropertyPlantAndEquipment</t>
  </si>
  <si>
    <t>Increase (decrease) through net exchange differences, property, plant and equipment</t>
  </si>
  <si>
    <t>IncreaseDecreaseThroughNetExchangeDifferencesPropertyPlantAndEquipment</t>
  </si>
  <si>
    <t>Depreciation, property, plant and equipment [Abstract]</t>
  </si>
  <si>
    <t>Depreciation recognised in profit or loss</t>
  </si>
  <si>
    <t>DepreciationRecognisedInProfitOrLoss</t>
  </si>
  <si>
    <t>Total Depreciation property plant and equipment</t>
  </si>
  <si>
    <t>DepreciationPropertyPlantAndEquipment</t>
  </si>
  <si>
    <t>Revaluation increase (decrease), property, plant and equipment</t>
  </si>
  <si>
    <t>RevaluationIncreaseDecreasePropertyPlantAndEquipment</t>
  </si>
  <si>
    <t>Increase (decrease) through transfers and other changes, property, plant and equipment [Abstract]</t>
  </si>
  <si>
    <t>Increase (decrease) through other changes, property, plant and equipment</t>
  </si>
  <si>
    <t>IncreaseDecreaseThroughOtherChangesPropertyPlantAndEquipment</t>
  </si>
  <si>
    <t>Total increase (decrease) through transfers and other changes, property, plant and equipment</t>
  </si>
  <si>
    <t>IncreaseDecreaseThroughTransfersAndOtherChangesPropertyPlantAndEquipment</t>
  </si>
  <si>
    <t>Disposals and retirements, property, plant and equipment [Abstract]</t>
  </si>
  <si>
    <t>Disposals, property, plant and equipment</t>
  </si>
  <si>
    <t>DisposalsPropertyPlantAndEquipment</t>
  </si>
  <si>
    <t>Total disposals and retirements, property, plant and equipment</t>
  </si>
  <si>
    <t>DisposalsAndRetirementsPropertyPlantAndEquipment</t>
  </si>
  <si>
    <t>Decrease through classified as held for sale, property, plant and equipment</t>
  </si>
  <si>
    <t>DecreaseThroughClassifiedAsHeldForSalePropertyPlantAndEquipment</t>
  </si>
  <si>
    <t>Decrease through loss of control of subsidiary, property, plant and equipment</t>
  </si>
  <si>
    <t>DecreaseThroughLossOfControlOfSubsidiaryPropertyPlantAndEquipment</t>
  </si>
  <si>
    <t>Total increase (decrease) in property, plant and equipment</t>
  </si>
  <si>
    <t>ChangesInPropertyPlantAndEquipment</t>
  </si>
  <si>
    <t>Notes to Balance Sheet: Subclassification And Notes On Liabilities And Assets</t>
  </si>
  <si>
    <t>Subclassification and notes on liabilities and assets [Abstract]</t>
  </si>
  <si>
    <t>Disclosure of notes on trade receivables [Abstract]</t>
  </si>
  <si>
    <t>Subclassification of trade receivables [Abstract]</t>
  </si>
  <si>
    <t>Subclassification of trade receivables [Line items]</t>
  </si>
  <si>
    <t>Breakup of trade receivables [Abstract]</t>
  </si>
  <si>
    <t>Trade receivables, gross</t>
  </si>
  <si>
    <t>TradeReceivablesGross</t>
  </si>
  <si>
    <t>Allowance for bad and doubtful debts</t>
  </si>
  <si>
    <t>AllowanceForBadAndDoubtfulDebts</t>
  </si>
  <si>
    <t>Total trade receivables</t>
  </si>
  <si>
    <t>TradeReceivables</t>
  </si>
  <si>
    <t>Details of trade receivables ageing schedule [Abstract]</t>
  </si>
  <si>
    <t>Details of trade receivables ageing schedule [Line Items]</t>
  </si>
  <si>
    <t>Other non-current financial assets notes [Abstract]</t>
  </si>
  <si>
    <t>Other non-current financial assets [Abstract]</t>
  </si>
  <si>
    <t>Other non-current financial assets, others</t>
  </si>
  <si>
    <t>OtherNoncurrentFinancialAssetsOthers</t>
  </si>
  <si>
    <t>Other non-current financial assets, others [Abstract]</t>
  </si>
  <si>
    <t>Other non-current financial assets, others [Line items]</t>
  </si>
  <si>
    <t>Other non-current assets notes [Abstract]</t>
  </si>
  <si>
    <t>Other non-current assets [Abstract]</t>
  </si>
  <si>
    <t>Advances, non-current</t>
  </si>
  <si>
    <t>NoncurrentAdvances</t>
  </si>
  <si>
    <t>Inventories notes [Abstract]</t>
  </si>
  <si>
    <t>Classification of inventories [Abstract]</t>
  </si>
  <si>
    <t>Classification of inventories [Line items]</t>
  </si>
  <si>
    <t>Cash and bank balances notes [Abstract]</t>
  </si>
  <si>
    <t>Cash and bank balances [Abstract]</t>
  </si>
  <si>
    <t>Classification of cash and bank balances [Abstract]</t>
  </si>
  <si>
    <t>Cash and cash equivalents [Abstract]</t>
  </si>
  <si>
    <t>Balance with banks [Abstract]</t>
  </si>
  <si>
    <t>Fixed deposits with banks</t>
  </si>
  <si>
    <t>FixedDepositsWithBanks</t>
  </si>
  <si>
    <t>Other deposits with banks</t>
  </si>
  <si>
    <t>OtherDepositsWithBanks</t>
  </si>
  <si>
    <t>Other balances with banks</t>
  </si>
  <si>
    <t>OtherBalancesWithBanks</t>
  </si>
  <si>
    <t>Total balance with banks</t>
  </si>
  <si>
    <t>BalanceWithBanks</t>
  </si>
  <si>
    <t>Cheques, drafts on hand</t>
  </si>
  <si>
    <t>ChequesDraftsOnHand</t>
  </si>
  <si>
    <t>Cash on hand</t>
  </si>
  <si>
    <t>CashOnHand</t>
  </si>
  <si>
    <t>Others</t>
  </si>
  <si>
    <t>Total cash and bank balances</t>
  </si>
  <si>
    <t>CashAndBankBalances</t>
  </si>
  <si>
    <t>Other current financial assets [Abstract]</t>
  </si>
  <si>
    <t>Security deposits</t>
  </si>
  <si>
    <t>SecurityDeposits</t>
  </si>
  <si>
    <t>Other current financial assets others</t>
  </si>
  <si>
    <t>OtherCurrentFinancialAssetsOthers</t>
  </si>
  <si>
    <t>Other current financial assets others [Abstract]</t>
  </si>
  <si>
    <t>Other current financial assets others [Line items]</t>
  </si>
  <si>
    <t>Other current assets notes [Abstract]</t>
  </si>
  <si>
    <t>Other current assets [Abstract]</t>
  </si>
  <si>
    <t>Advances, current</t>
  </si>
  <si>
    <t>CurrentAdvances</t>
  </si>
  <si>
    <t>Disclosure of other non-current financial liabilities notes [Abstract]</t>
  </si>
  <si>
    <t>Other non-current financial liabilities [Abstract]</t>
  </si>
  <si>
    <t>Other non-current financial liabilities, others</t>
  </si>
  <si>
    <t>OtherNoncurrentFinancialLiabilitiesOthers</t>
  </si>
  <si>
    <t>Other non-current financial liabilities others [Abstract]</t>
  </si>
  <si>
    <t>Other non-current financial liabilities others [Line items]</t>
  </si>
  <si>
    <t>Other non-current liabilities [Abstract]</t>
  </si>
  <si>
    <t>Advances received</t>
  </si>
  <si>
    <t>AdvancesReceivedNoncurrentLiabilities</t>
  </si>
  <si>
    <t>Other non-current liabilities others</t>
  </si>
  <si>
    <t>OtherNoncurrentLiabilitiesOthers</t>
  </si>
  <si>
    <t>Other non-current liabilities others [Abstract]</t>
  </si>
  <si>
    <t>Other non-current liabilities others [Line items]</t>
  </si>
  <si>
    <t>Disclosure of other current financial liabilities notes [Abstract]</t>
  </si>
  <si>
    <t>Other current financial liabilities [Abstract]</t>
  </si>
  <si>
    <t>Interest accrued on borrowings</t>
  </si>
  <si>
    <t>InterestAccruedOnBorrowings</t>
  </si>
  <si>
    <t>Other current financial liabilities, others</t>
  </si>
  <si>
    <t>OtherCurrentFinancialLiabilitiesOthers</t>
  </si>
  <si>
    <t>Other current financial liabilities, others [Abstract]</t>
  </si>
  <si>
    <t>Other current financial liabilities, others [Line items]</t>
  </si>
  <si>
    <t>Disclosure of other current liabilities notes [Abstract]</t>
  </si>
  <si>
    <t>Other current liabilities [Abstract]</t>
  </si>
  <si>
    <t>Other advance [Abstract]</t>
  </si>
  <si>
    <t>Advance received from customers</t>
  </si>
  <si>
    <t>AdvanceReceivedFromCustomers</t>
  </si>
  <si>
    <t>Total other advance</t>
  </si>
  <si>
    <t>OtherAdvance</t>
  </si>
  <si>
    <t>Other payables, current [Abstract]</t>
  </si>
  <si>
    <t>Gross amount due to customers for contract work, current</t>
  </si>
  <si>
    <t>GrossAmountDueToCustomersForContractWorkCurrent</t>
  </si>
  <si>
    <t>Total other payables, current</t>
  </si>
  <si>
    <t>OtherPayablesCurrent</t>
  </si>
  <si>
    <t>Other current liabilities, others</t>
  </si>
  <si>
    <t>OtherCurrentLiabilitiesOthers</t>
  </si>
  <si>
    <t>Other current liabilities, others [Abstract]</t>
  </si>
  <si>
    <t>Other current liabilities, others [Line items]</t>
  </si>
  <si>
    <t>Notes to Statement of Cash Flows: Cash Flow Statement</t>
  </si>
  <si>
    <t>Cash and cash equivalents if different from Balance Sheet [Abstract]</t>
  </si>
  <si>
    <t>CashAndCashEquivalentsCashFlowStatement</t>
  </si>
  <si>
    <t>Income taxes paid (refund) [Abstract]</t>
  </si>
  <si>
    <t>Total income taxes paid (refund)</t>
  </si>
  <si>
    <t>IncomeTaxesPaidRefund</t>
  </si>
  <si>
    <t>Notes to Statement of Cash Flows: Effects Of Changes In Foreign Exchange Rates</t>
  </si>
  <si>
    <t>Net foreign exchange gain</t>
  </si>
  <si>
    <t>NetForeignExchangeGain</t>
  </si>
  <si>
    <t>Net foreign exchange loss</t>
  </si>
  <si>
    <t>NetForeignExchangeLoss</t>
  </si>
  <si>
    <t>General / Cross-Statement Notes</t>
  </si>
  <si>
    <t>Notes to General: First Time Adoption</t>
  </si>
  <si>
    <t>Disclosure of reconciliation of equity from previous GAAP to Ind AS [Abstract]</t>
  </si>
  <si>
    <t>Equity as per Indian GAAP</t>
  </si>
  <si>
    <t>EquityAsPerIndianGaap</t>
  </si>
  <si>
    <t>Equity as per Ind AS</t>
  </si>
  <si>
    <t>EquityAsPerIndAs</t>
  </si>
  <si>
    <t>Disclosure of reconciliation of comprehensive income from previous GAAP to Ind AS [Abstract]</t>
  </si>
  <si>
    <t>Comprehensive income as per Indian GAAP</t>
  </si>
  <si>
    <t>ComprehensiveIncomeAsPerIndianGaap</t>
  </si>
  <si>
    <t>Comprehensive income as per Ind AS</t>
  </si>
  <si>
    <t>ComprehensiveIncomeAsPerIndAs</t>
  </si>
  <si>
    <t>Disclosure of reconciliation of profit (loss) for the period from previous GAAP to Ind AS [Abstract]</t>
  </si>
  <si>
    <t>Profit (loss) for the period as per Indian GAAP</t>
  </si>
  <si>
    <t>ProfitLossForThePeriodAsPerIndianGaap</t>
  </si>
  <si>
    <t>Profit (loss) for the period as per Ind AS</t>
  </si>
  <si>
    <t>ProfitLossForThePeriodAsPerIndAs</t>
  </si>
  <si>
    <t>Notes to General: Non Current Asset Held For Sale And Discontinued Operations</t>
  </si>
  <si>
    <t>Cash flows from continuing and discontinued operations [Abstract]</t>
  </si>
  <si>
    <t>Net cash flows from (used in) operating activities, continuing operations</t>
  </si>
  <si>
    <t>CashFlowsFromUsedInOperatingActivitiesContinuingOperations</t>
  </si>
  <si>
    <t>Net cash flows from (used in) investing activities, continuing operations</t>
  </si>
  <si>
    <t>CashFlowsFromUsedInInvestingActivitiesContinuingOperations</t>
  </si>
  <si>
    <t>Net cash flows from (used in) financing activities, continuing operations</t>
  </si>
  <si>
    <t>CashFlowsFromUsedInFinancingActivitiesContinuingOperations</t>
  </si>
  <si>
    <t>Notes to General: Share Based Payment Arrangements</t>
  </si>
  <si>
    <t>Number of share options outstanding in share-based payment arrangement at end of period</t>
  </si>
  <si>
    <t>NumberOfOutstandingShareOptions</t>
  </si>
  <si>
    <t>Number of share options outstanding in share based payment arrangement [Abstract]</t>
  </si>
  <si>
    <t>Number of share options granted in share-based payment arrangement</t>
  </si>
  <si>
    <t>NumberOfShareOptionsGrantedInSharebasedPaymentArrangement</t>
  </si>
  <si>
    <t>Number of share options forfeited in share-based payment arrangement</t>
  </si>
  <si>
    <t>NumberOfShareOptionsForfeitedInSharebasedPaymentArrangement</t>
  </si>
  <si>
    <t>Number of share options exercised in share-based payment arrangement</t>
  </si>
  <si>
    <t>NumberOfShareOptionsExercisedInSharebasedPaymentArrangement</t>
  </si>
  <si>
    <t>Number of share options expired in share-based payment arrangement</t>
  </si>
  <si>
    <t>NumberOfShareOptionsExpiredInSharebasedPaymentArrangement</t>
  </si>
  <si>
    <t>Total changes of number of share options outstanding in share based payment arrangement</t>
  </si>
  <si>
    <t>ChangesOfNumberOfShareOptionsOutstandingInShareBasedPaymentArrangement</t>
  </si>
  <si>
    <t>Number of share options exercisable in share-based payment arrangement</t>
  </si>
  <si>
    <t>NumberOfShareOptionsExercisableInSharebasedPaymentArrangement</t>
  </si>
  <si>
    <t>Weighted average exercise price of share options outstanding in share-based payment arrangement at end of period</t>
  </si>
  <si>
    <t>WeightedAverageExercisePriceOfShareOptionsOutstandingInSharebasedPaymentArrangement</t>
  </si>
  <si>
    <t>Weighted average exercise price of share options outstanding in share based payment arrangement [Abstract]</t>
  </si>
  <si>
    <t>Weighted average exercise price of share options granted in share-based payment arrangement</t>
  </si>
  <si>
    <t>WeightedAverageExercisePriceOfShareOptionsGrantedInSharebasedPaymentArrangement</t>
  </si>
  <si>
    <t>Total changes of weighted average exercise price of share options outstanding in share-based payment arrangement</t>
  </si>
  <si>
    <t>ChangesOfWeightedAverageExercisePriceOfShareOptionsOutstandingInSharebasedPaymentArrangement</t>
  </si>
  <si>
    <t>Weighted average share price</t>
  </si>
  <si>
    <t>WeightedAverageSharePrice</t>
  </si>
  <si>
    <t>Weighted average share price, share options granted</t>
  </si>
  <si>
    <t>WeightedAverageSharePriceShareOptionsGranted</t>
  </si>
  <si>
    <t>Expected volatility, share options granted</t>
  </si>
  <si>
    <t>DescriptionOfExpectedVolatilityShareOptionsGranted</t>
  </si>
  <si>
    <t>Option life, share options granted</t>
  </si>
  <si>
    <t>DescriptionOfOptionLifeShareOptionsGranted</t>
  </si>
  <si>
    <t>Risk free interest rate, share options granted</t>
  </si>
  <si>
    <t>DescriptionOfRiskFreeInterestRateShareOptionsGranted</t>
  </si>
  <si>
    <t>Expense from share-based payment transactions in which goods or services received did not qualify for recognition as assets [Abstract]</t>
  </si>
  <si>
    <t>Expense from equity-settled share-based payment transactions</t>
  </si>
  <si>
    <t>ExpenseFromEquitysettledSharebasedPaymentTransactionsInWhichGoodsOrServicesReceivedDidNotQualifyForRecognitionAsAssets</t>
  </si>
  <si>
    <t>Total expense from share-based payment transactions in which goods or services received did not qualify for recognition as assets</t>
  </si>
  <si>
    <t>ExpenseFromSharebasedPaymentTransactionsInWhichGoodsOrServicesReceivedDidNotQualifyForRecognitionAsAssets</t>
  </si>
  <si>
    <t>Expense from share-based payment transactions, alternative [abstract]</t>
  </si>
  <si>
    <t>Other Comprehensive income, attributable to owners of parent</t>
  </si>
  <si>
    <t>OtherComprehensiveIncomeAttributableToOwnersOfParent</t>
  </si>
  <si>
    <t>AdjustmentsForDecreaseIncreaseInOtherNoncurrentAssets</t>
  </si>
  <si>
    <t>InterestPaidClassifiedAsOperatingActivities</t>
  </si>
  <si>
    <t>CashFlowsFromLosingControlOfSubsidiariesOrOtherBusinessesClassifiedAsInvestingActivities</t>
  </si>
  <si>
    <t>ProceedsFromSalesOfOtherLongTermAssetsClassifiedAsInvestingActivities</t>
  </si>
  <si>
    <t>CashAdvancesAndLoansMadeToOtherPartiesClassifiedAsInvestingActivities</t>
  </si>
  <si>
    <t>CashReceiptsFromRepaymentOfAdvancesAndLoansMadeToOtherPartiesClassifiedAsInvestingActivities</t>
  </si>
  <si>
    <t>ProceedsFromExerciseOfStockOptions</t>
  </si>
  <si>
    <t>Miscellaneous other comprehensive income [Abstract]</t>
  </si>
  <si>
    <t>Dilutive effect of convertible instruments on number of ordinary shares</t>
  </si>
  <si>
    <t>DilutiveEffectOfConvertibleInstrumentsOnNumberOfOrdinaryShares</t>
  </si>
  <si>
    <t>Dilutive effect of share options on number of ordinary shares</t>
  </si>
  <si>
    <t>DilutiveEffectOfShareOptionsOnNumberOfOrdinaryShares</t>
  </si>
  <si>
    <t>Interest on income tax refund</t>
  </si>
  <si>
    <t>InterestOnIncomeTaxRefund</t>
  </si>
  <si>
    <t>Interest expense deposits</t>
  </si>
  <si>
    <t>InterestExpenseDeposits</t>
  </si>
  <si>
    <t>Safety security expenses</t>
  </si>
  <si>
    <t>SafetySecurityExpenses</t>
  </si>
  <si>
    <t>Transportation distribution expenses</t>
  </si>
  <si>
    <t>TransportationDistributionExpenses</t>
  </si>
  <si>
    <t>Cost repairs maintenance other assets</t>
  </si>
  <si>
    <t>CostRepairsMaintenanceOtherAssets</t>
  </si>
  <si>
    <t>Cost transportation [Abstract]</t>
  </si>
  <si>
    <t>Cost freight</t>
  </si>
  <si>
    <t>CostFreight</t>
  </si>
  <si>
    <t>Total cost transportation</t>
  </si>
  <si>
    <t>CostTransportation</t>
  </si>
  <si>
    <t>Impairment loss on financial assets [Abstract]</t>
  </si>
  <si>
    <t>Impairment loss on financial assets trade receivables</t>
  </si>
  <si>
    <t>ImpairmentLossOnFinancialAssetsTradeReceivables</t>
  </si>
  <si>
    <t>Total impairment loss on financial assets</t>
  </si>
  <si>
    <t>ImpairmentLossOnFinancialAssets</t>
  </si>
  <si>
    <t>Net provisions charged [Abstract]</t>
  </si>
  <si>
    <t>Other provisions created</t>
  </si>
  <si>
    <t>OtherProvisionsCreated</t>
  </si>
  <si>
    <t>Total net provisions charged</t>
  </si>
  <si>
    <t>NetProvisionsCharged</t>
  </si>
  <si>
    <t>Payment for taxation matters</t>
  </si>
  <si>
    <t>PaymentForTaxationMatters</t>
  </si>
  <si>
    <t>Payment for other services</t>
  </si>
  <si>
    <t>PaymentForOtherServices</t>
  </si>
  <si>
    <t>Payment for reimbursement of expenses</t>
  </si>
  <si>
    <t>PaymentForReimbursementOfExpenses</t>
  </si>
  <si>
    <t>Design technical assistance apportioned contracts</t>
  </si>
  <si>
    <t>DesignTechnicalAssistanceApportionedContracts</t>
  </si>
  <si>
    <t>Other overheads apportioned contracts</t>
  </si>
  <si>
    <t>OtherOverheadsApportionedContracts</t>
  </si>
  <si>
    <t>Total overhead costs apportioned contracts</t>
  </si>
  <si>
    <t>OverheadCostsApportionedContracts</t>
  </si>
  <si>
    <t>Uncalled liability on shares and other investments partly paid</t>
  </si>
  <si>
    <t>UncalledLiabilityOnSharesAndOtherInvestmentsPartlyPaid</t>
  </si>
  <si>
    <t>Aggregate provision for diminution in value of non-current investments</t>
  </si>
  <si>
    <t>AggregateProvisionForDiminutionInValueOfNoncurrentInvestments</t>
  </si>
  <si>
    <t>Goods in transit</t>
  </si>
  <si>
    <t>GoodsInTransit</t>
  </si>
  <si>
    <t>Revenue received in advance</t>
  </si>
  <si>
    <t>RevenueReceivedInAdvance</t>
  </si>
  <si>
    <t>Taxes payable other tax</t>
  </si>
  <si>
    <t>TaxesPayableOtherTax</t>
  </si>
  <si>
    <t>Accrued expenses payable</t>
  </si>
  <si>
    <t>AccruedExpensesPayable</t>
  </si>
  <si>
    <t>Damodaran Data -- downloaded live each run</t>
  </si>
  <si>
    <t>1. Country ERP/CRP/Default Spread</t>
  </si>
  <si>
    <t>Region</t>
  </si>
  <si>
    <t>Rating</t>
  </si>
  <si>
    <t>Default Spread</t>
  </si>
  <si>
    <t>Total ERP</t>
  </si>
  <si>
    <t>Country Risk Premium</t>
  </si>
  <si>
    <t>Abu Dhabi</t>
  </si>
  <si>
    <t>Middle East</t>
  </si>
  <si>
    <t>Aa2</t>
  </si>
  <si>
    <t>Albania</t>
  </si>
  <si>
    <t>Eastern Europe &amp; Russia</t>
  </si>
  <si>
    <t>Ba3</t>
  </si>
  <si>
    <t>Andorra (Principality of)</t>
  </si>
  <si>
    <t>Western Europe</t>
  </si>
  <si>
    <t>Baa1</t>
  </si>
  <si>
    <t>Angola</t>
  </si>
  <si>
    <t>Africa</t>
  </si>
  <si>
    <t>B3</t>
  </si>
  <si>
    <t>Argentina</t>
  </si>
  <si>
    <t>Central and South America</t>
  </si>
  <si>
    <t>Caa1</t>
  </si>
  <si>
    <t>Armenia</t>
  </si>
  <si>
    <t>Aruba</t>
  </si>
  <si>
    <t>Caribbean</t>
  </si>
  <si>
    <t>Baa3</t>
  </si>
  <si>
    <t>Australia</t>
  </si>
  <si>
    <t>Australia &amp; New Zealand</t>
  </si>
  <si>
    <t>Aaa</t>
  </si>
  <si>
    <t>Austria</t>
  </si>
  <si>
    <t>Aa1</t>
  </si>
  <si>
    <t>Azerbaijan</t>
  </si>
  <si>
    <t>Bahamas</t>
  </si>
  <si>
    <t>B1</t>
  </si>
  <si>
    <t>Bahrain</t>
  </si>
  <si>
    <t>B2</t>
  </si>
  <si>
    <t>Bangladesh</t>
  </si>
  <si>
    <t>Asia</t>
  </si>
  <si>
    <t>Barbados</t>
  </si>
  <si>
    <t>Belarus</t>
  </si>
  <si>
    <t>C</t>
  </si>
  <si>
    <t>Belgium</t>
  </si>
  <si>
    <t>Aa3</t>
  </si>
  <si>
    <t>Belize</t>
  </si>
  <si>
    <t>Benin</t>
  </si>
  <si>
    <t>Bermuda</t>
  </si>
  <si>
    <t>A2</t>
  </si>
  <si>
    <t>Bolivia</t>
  </si>
  <si>
    <t>Ca</t>
  </si>
  <si>
    <t>Bosnia and Herzegovina</t>
  </si>
  <si>
    <t>Botswana</t>
  </si>
  <si>
    <t>Brazil</t>
  </si>
  <si>
    <t>Ba1</t>
  </si>
  <si>
    <t>Bulgaria</t>
  </si>
  <si>
    <t>Burkina Faso</t>
  </si>
  <si>
    <t>Cambodia</t>
  </si>
  <si>
    <t>Cameroon</t>
  </si>
  <si>
    <t>Canada</t>
  </si>
  <si>
    <t>North America</t>
  </si>
  <si>
    <t>Cape Verde</t>
  </si>
  <si>
    <t>Cayman Islands</t>
  </si>
  <si>
    <t>Chile</t>
  </si>
  <si>
    <t>China</t>
  </si>
  <si>
    <t>A1</t>
  </si>
  <si>
    <t>Colombia</t>
  </si>
  <si>
    <t>Congo (Democratic Republic of)</t>
  </si>
  <si>
    <t>Congo (Republic of)</t>
  </si>
  <si>
    <t>Caa2</t>
  </si>
  <si>
    <t>Cook Islands</t>
  </si>
  <si>
    <t>Costa Rica</t>
  </si>
  <si>
    <t>Ba2</t>
  </si>
  <si>
    <t>Côte d'Ivoire</t>
  </si>
  <si>
    <t>Croatia</t>
  </si>
  <si>
    <t>A3</t>
  </si>
  <si>
    <t>Cuba</t>
  </si>
  <si>
    <t>Curacao</t>
  </si>
  <si>
    <t>Cyprus</t>
  </si>
  <si>
    <t>Czech Republic</t>
  </si>
  <si>
    <t>Denmark</t>
  </si>
  <si>
    <t>Dominican Republic</t>
  </si>
  <si>
    <t>Ecuador</t>
  </si>
  <si>
    <t>Caa3</t>
  </si>
  <si>
    <t>Egypt</t>
  </si>
  <si>
    <t>El Salvador</t>
  </si>
  <si>
    <t>Estonia</t>
  </si>
  <si>
    <t>Ethiopia</t>
  </si>
  <si>
    <t>Fiji</t>
  </si>
  <si>
    <t>Finland</t>
  </si>
  <si>
    <t>France</t>
  </si>
  <si>
    <t>Gabon</t>
  </si>
  <si>
    <t>Georgia</t>
  </si>
  <si>
    <t>Germany</t>
  </si>
  <si>
    <t>Ghana</t>
  </si>
  <si>
    <t>Greece</t>
  </si>
  <si>
    <t>Guatemala</t>
  </si>
  <si>
    <t>Guernsey (States of)</t>
  </si>
  <si>
    <t>Honduras</t>
  </si>
  <si>
    <t>Hong Kong</t>
  </si>
  <si>
    <t>Hungary</t>
  </si>
  <si>
    <t>Baa2</t>
  </si>
  <si>
    <t>Iceland</t>
  </si>
  <si>
    <t>Indonesia</t>
  </si>
  <si>
    <t>Iraq</t>
  </si>
  <si>
    <t>Ireland</t>
  </si>
  <si>
    <t>Isle of Man</t>
  </si>
  <si>
    <t>Israel</t>
  </si>
  <si>
    <t>Italy</t>
  </si>
  <si>
    <t>Jamaica</t>
  </si>
  <si>
    <t>Japan</t>
  </si>
  <si>
    <t>Jersey (States of)</t>
  </si>
  <si>
    <t>Jordan</t>
  </si>
  <si>
    <t>Kazakhstan</t>
  </si>
  <si>
    <t>Kenya</t>
  </si>
  <si>
    <t>Korea</t>
  </si>
  <si>
    <t>Kuwait</t>
  </si>
  <si>
    <t>Kyrgyzstan</t>
  </si>
  <si>
    <t>Laos</t>
  </si>
  <si>
    <t>Latvia</t>
  </si>
  <si>
    <t>Lebanon</t>
  </si>
  <si>
    <t>Liechtenstein</t>
  </si>
  <si>
    <t>Lithuania</t>
  </si>
  <si>
    <t>Luxembourg</t>
  </si>
  <si>
    <t>Macao</t>
  </si>
  <si>
    <t>Macedonia</t>
  </si>
  <si>
    <t>Malaysia</t>
  </si>
  <si>
    <t>Maldives</t>
  </si>
  <si>
    <t>Mali</t>
  </si>
  <si>
    <t>Malta</t>
  </si>
  <si>
    <t>Mauritius</t>
  </si>
  <si>
    <t>Mexico</t>
  </si>
  <si>
    <t>Moldova</t>
  </si>
  <si>
    <t>Mongolia</t>
  </si>
  <si>
    <t>Montenegro</t>
  </si>
  <si>
    <t>Montserrat</t>
  </si>
  <si>
    <t>Morocco</t>
  </si>
  <si>
    <t>Mozambique</t>
  </si>
  <si>
    <t>Namibia</t>
  </si>
  <si>
    <t>Nepal</t>
  </si>
  <si>
    <t>Netherlands</t>
  </si>
  <si>
    <t>New Zealand</t>
  </si>
  <si>
    <t>Nicaragua</t>
  </si>
  <si>
    <t>Niger</t>
  </si>
  <si>
    <t>Nigeria</t>
  </si>
  <si>
    <t>Norway</t>
  </si>
  <si>
    <t>Oman</t>
  </si>
  <si>
    <t>Pakistan</t>
  </si>
  <si>
    <t>Panama</t>
  </si>
  <si>
    <t>Papua New Guinea</t>
  </si>
  <si>
    <t>Paraguay</t>
  </si>
  <si>
    <t>Peru</t>
  </si>
  <si>
    <t>Philippines</t>
  </si>
  <si>
    <t>Poland</t>
  </si>
  <si>
    <t>Portugal</t>
  </si>
  <si>
    <t>Qatar</t>
  </si>
  <si>
    <t>Ras Al Khaimah (Emirate of)</t>
  </si>
  <si>
    <t>Romania</t>
  </si>
  <si>
    <t>Rwanda</t>
  </si>
  <si>
    <t>Saudi Arabia</t>
  </si>
  <si>
    <t>Senegal</t>
  </si>
  <si>
    <t>Serbia</t>
  </si>
  <si>
    <t>Sharjah</t>
  </si>
  <si>
    <t>Singapore</t>
  </si>
  <si>
    <t>Slovakia</t>
  </si>
  <si>
    <t>Slovenia</t>
  </si>
  <si>
    <t>Solomon Islands</t>
  </si>
  <si>
    <t>South Africa</t>
  </si>
  <si>
    <t>Spain</t>
  </si>
  <si>
    <t>Sri Lanka</t>
  </si>
  <si>
    <t>St. Maarten</t>
  </si>
  <si>
    <t>St. Vincent &amp; the Grenadines</t>
  </si>
  <si>
    <t>Suriname</t>
  </si>
  <si>
    <t>Swaziland</t>
  </si>
  <si>
    <t>Sweden</t>
  </si>
  <si>
    <t>Switzerland</t>
  </si>
  <si>
    <t>Taiwan</t>
  </si>
  <si>
    <t>Tajikistan</t>
  </si>
  <si>
    <t>Tanzania</t>
  </si>
  <si>
    <t>Thailand</t>
  </si>
  <si>
    <t>Togo</t>
  </si>
  <si>
    <t>Trinidad and Tobago</t>
  </si>
  <si>
    <t>Tunisia</t>
  </si>
  <si>
    <t>Turkey</t>
  </si>
  <si>
    <t>Turks and Caicos Islands</t>
  </si>
  <si>
    <t>Uganda</t>
  </si>
  <si>
    <t>Ukraine</t>
  </si>
  <si>
    <t>United Arab Emirates</t>
  </si>
  <si>
    <t>United Kingdom</t>
  </si>
  <si>
    <t>United States</t>
  </si>
  <si>
    <t>Uruguay</t>
  </si>
  <si>
    <t>Uzbekistan</t>
  </si>
  <si>
    <t>Venezuela</t>
  </si>
  <si>
    <t>Vietnam</t>
  </si>
  <si>
    <t>Zambia</t>
  </si>
  <si>
    <t>Frontier Markets (no sovereign ratings)</t>
  </si>
  <si>
    <t>PRS Composite Risk Score</t>
  </si>
  <si>
    <t>ERP</t>
  </si>
  <si>
    <t>CRP</t>
  </si>
  <si>
    <t>Algeria</t>
  </si>
  <si>
    <t>Brunei</t>
  </si>
  <si>
    <t>Gambia</t>
  </si>
  <si>
    <t>Guinea</t>
  </si>
  <si>
    <t>Guinea-Bissau</t>
  </si>
  <si>
    <t>Guyana</t>
  </si>
  <si>
    <t>Haiti</t>
  </si>
  <si>
    <t>Iran</t>
  </si>
  <si>
    <t>Korea, D.P.R.</t>
  </si>
  <si>
    <t>Liberia</t>
  </si>
  <si>
    <t>Libya</t>
  </si>
  <si>
    <t>Madagascar</t>
  </si>
  <si>
    <t>Malawi</t>
  </si>
  <si>
    <t>Myanmar</t>
  </si>
  <si>
    <t>Russia</t>
  </si>
  <si>
    <t>Sierra Leone</t>
  </si>
  <si>
    <t>Somalia</t>
  </si>
  <si>
    <t>Sudan</t>
  </si>
  <si>
    <t>Syria</t>
  </si>
  <si>
    <t>Yemen, Republic</t>
  </si>
  <si>
    <t>Zimbabwe</t>
  </si>
  <si>
    <t>2. Industry Beta -- one block per Beta Source</t>
  </si>
  <si>
    <t>Beta Source: Global</t>
  </si>
  <si>
    <t>Industry</t>
  </si>
  <si>
    <t>N Firms</t>
  </si>
  <si>
    <t>Levered Beta</t>
  </si>
  <si>
    <t>D/E</t>
  </si>
  <si>
    <t>Eff. Tax</t>
  </si>
  <si>
    <t>Unlevered Beta</t>
  </si>
  <si>
    <t>Cash/Firm Value</t>
  </si>
  <si>
    <t>Unlevered Beta (cash-adj)</t>
  </si>
  <si>
    <t>Advertising</t>
  </si>
  <si>
    <t>Aerospace/Defense</t>
  </si>
  <si>
    <t>Air Transport</t>
  </si>
  <si>
    <t>Apparel</t>
  </si>
  <si>
    <t>Auto &amp; Truck</t>
  </si>
  <si>
    <t>Auto Parts</t>
  </si>
  <si>
    <t>Bank (Money Center)</t>
  </si>
  <si>
    <t>Banks (Regional)</t>
  </si>
  <si>
    <t>Beverage (Alcoholic)</t>
  </si>
  <si>
    <t>Beverage (Soft)</t>
  </si>
  <si>
    <t>Broadcasting</t>
  </si>
  <si>
    <t>Brokerage &amp; Investment Banking</t>
  </si>
  <si>
    <t>Building Materials</t>
  </si>
  <si>
    <t>Business &amp; Consumer Services</t>
  </si>
  <si>
    <t>Cable TV</t>
  </si>
  <si>
    <t>Chemical (Basic)</t>
  </si>
  <si>
    <t>Chemical (Diversified)</t>
  </si>
  <si>
    <t>Chemical (Specialty)</t>
  </si>
  <si>
    <t>Coal &amp; Related Energy</t>
  </si>
  <si>
    <t>Computer Services</t>
  </si>
  <si>
    <t>Computers/Peripherals</t>
  </si>
  <si>
    <t>Construction Supplies</t>
  </si>
  <si>
    <t>Diversified</t>
  </si>
  <si>
    <t>Drugs (Biotechnology)</t>
  </si>
  <si>
    <t>Drugs (Pharmaceutical)</t>
  </si>
  <si>
    <t>Education</t>
  </si>
  <si>
    <t>Electrical Equipment</t>
  </si>
  <si>
    <t>Electronics (Consumer &amp; Office)</t>
  </si>
  <si>
    <t>Electronics (General)</t>
  </si>
  <si>
    <t>Engineering/Construction</t>
  </si>
  <si>
    <t>Entertainment</t>
  </si>
  <si>
    <t>Environmental &amp; Waste Services</t>
  </si>
  <si>
    <t>Farming/Agriculture</t>
  </si>
  <si>
    <t>Financial Svcs. (Non-bank &amp; Insurance)</t>
  </si>
  <si>
    <t>Food Processing</t>
  </si>
  <si>
    <t>Food Wholesalers</t>
  </si>
  <si>
    <t>Furn/Home Furnishings</t>
  </si>
  <si>
    <t>Green &amp; Renewable Energy</t>
  </si>
  <si>
    <t>Healthcare Products</t>
  </si>
  <si>
    <t>Healthcare Support Services</t>
  </si>
  <si>
    <t>Heathcare Information and Technology</t>
  </si>
  <si>
    <t>Homebuilding</t>
  </si>
  <si>
    <t>Hospitals/Healthcare Facilities</t>
  </si>
  <si>
    <t>Hotel/Gaming</t>
  </si>
  <si>
    <t>Household Products</t>
  </si>
  <si>
    <t>Information Services</t>
  </si>
  <si>
    <t>Insurance (General)</t>
  </si>
  <si>
    <t>Insurance (Life)</t>
  </si>
  <si>
    <t>Insurance (Prop/Cas.)</t>
  </si>
  <si>
    <t>Investments &amp; Asset Management</t>
  </si>
  <si>
    <t>Machinery</t>
  </si>
  <si>
    <t>Metals &amp; Mining</t>
  </si>
  <si>
    <t>Office Equipment &amp; Services</t>
  </si>
  <si>
    <t>Oil/Gas (Integrated)</t>
  </si>
  <si>
    <t>Oil/Gas (Production and Exploration)</t>
  </si>
  <si>
    <t>Oil/Gas Distribution</t>
  </si>
  <si>
    <t>Oilfield Svcs/Equip.</t>
  </si>
  <si>
    <t>Packaging &amp; Container</t>
  </si>
  <si>
    <t>Paper/Forest Products</t>
  </si>
  <si>
    <t>Precious Metals</t>
  </si>
  <si>
    <t>Publishing &amp; Newspapers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</si>
  <si>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</si>
  <si>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</si>
  <si>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</si>
  <si>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</si>
  <si>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</si>
  <si>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</si>
  <si>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</si>
  <si>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</si>
  <si>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</si>
  <si>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</si>
  <si>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(General)</t>
  </si>
  <si>
    <t>Retail (Grocery and Food)</t>
  </si>
  <si>
    <t>Retail (REITs)</t>
  </si>
  <si>
    <t>Retail (Special Lines)</t>
  </si>
  <si>
    <t>Rubber&amp; Tires</t>
  </si>
  <si>
    <t>Semiconductor</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</si>
  <si>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</si>
  <si>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</si>
  <si>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</si>
  <si>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</si>
  <si>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</si>
  <si>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</si>
  <si>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</si>
  <si>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</si>
  <si>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</si>
  <si>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</si>
  <si>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</si>
  <si>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t>
  </si>
  <si>
    <t>Transportation (Railroads)</t>
  </si>
  <si>
    <t>Trucking</t>
  </si>
  <si>
    <t>Utility (General)</t>
  </si>
  <si>
    <t>Utility (Water)</t>
  </si>
  <si>
    <t>Total Market</t>
  </si>
  <si>
    <t>Total Market (without financials)</t>
  </si>
  <si>
    <t>Beta Source: India</t>
  </si>
  <si>
    <t>NA</t>
  </si>
  <si>
    <t>Beta Source: Emerging Markets</t>
  </si>
  <si>
    <t>3. Interest Coverage -&gt; Rating -&gt; Spread (large firms)</t>
  </si>
  <si>
    <t>IC Greater Than</t>
  </si>
  <si>
    <t>IC Less Than</t>
  </si>
  <si>
    <t>Spread</t>
  </si>
  <si>
    <t>D2/D</t>
  </si>
  <si>
    <t>C2/C</t>
  </si>
  <si>
    <t>Ca2/CC</t>
  </si>
  <si>
    <t>Caa/CCC</t>
  </si>
  <si>
    <t>B3/B-</t>
  </si>
  <si>
    <t>B2/B</t>
  </si>
  <si>
    <t>B1/B+</t>
  </si>
  <si>
    <t>Ba2/BB</t>
  </si>
  <si>
    <t>Ba1/BB+</t>
  </si>
  <si>
    <t>Baa2/BBB</t>
  </si>
  <si>
    <t>A3/A-</t>
  </si>
  <si>
    <t>A2/A</t>
  </si>
  <si>
    <t>A1/A+</t>
  </si>
  <si>
    <t>Aa2/AA</t>
  </si>
  <si>
    <t>Aaa/AAA</t>
  </si>
  <si>
    <t>Anand Rathi re-initiation-of-coverage note, dated 8-Jul-2025 (pre-dates the 26-Sep-2025 valuation date -- genuinely knowable when priced): WTG segment revenue CAGR FY25-27E = 48.5%. Buy rating, target price Rs 81, valued at 40x FY27E P/E.</t>
  </si>
  <si>
    <t>India wind installed capacity: 50.04 GW as of 31-Mar-2025 (MNRE) growing to ~122 GW by FY2031-32 per the National Electricity Plan -- implied 7yr CAGR = 13.6%. This is total SECTOR capacity growth, not Suzlon-specific -- a genuine independent anchor, not company guidance.</t>
  </si>
  <si>
    <t>Suzlon order book Rs 20,000 crore as of FY25 year-end (~Mar-2025), against FY25 revenue of Rs 10,851 crore (~1.84x). Order book itself is sourced/reported; the INR figure captures total contracted-not-yet-executed value (broader than a strict Ind-AS 115 remaining-performance-obligations note, which Suzlon does not separately disclose in a form this pipeline extracts).</t>
  </si>
  <si>
    <t>DERIVED, not company-disclosed: 1 / (backlog / FY25 revenue) = 1/1.84 = 54.3%, i.e. assumes the order book converts to revenue at roughly the current annual run-rate. Suzlon does not publish an explicit X% within 12 months split -- flagging this as an estimate, not a sourced fact.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</si>
</sst>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00\);\-"/>
    <numFmt numFmtId="165" formatCode="0.0%;\(0.0%\);\-"/>
    <numFmt numFmtId="166" formatCode="0.00\x;\(0.00\x\);\-"/>
    <numFmt numFmtId="167" formatCode="#,##0.0;\(#,##0.0\);\-"/>
    <numFmt numFmtId="168" formatCode="0.000000;\(0.000000\);\-"/>
    <numFmt numFmtId="169" formatCode="0.0"/>
    <numFmt numFmtId="170" formatCode="0.0%"/>
    <numFmt numFmtId="171" formatCode="0.0000"/>
    <numFmt numFmtId="172" formatCode="0.000"/>
    <numFmt numFmtId="173" formatCode="#,##0;\(#,##0\)"/>
  </numFmts>
  <fonts count="50">
    <font>
      <sz val="11"/>
      <color theme="1"/>
      <name val="Calibri"/>
      <family val="2"/>
      <scheme val="minor"/>
    </font>
    <font>
      <b/>
      <sz val="14"/>
      <color rgb="FFFFFFFF"/>
      <name val="Calibri"/>
    </font>
    <font>
      <i/>
      <sz val="9"/>
      <color rgb="FF808080"/>
      <name val="Calibri"/>
    </font>
    <font>
      <b/>
      <sz val="11"/>
      <color rgb="FFFFFFFF"/>
      <name val="Calibri"/>
    </font>
    <font>
      <b/>
      <sz val="12"/>
      <color rgb="FFFFFFFF"/>
      <name val="Calibri"/>
    </font>
    <font>
      <b/>
      <sz val="11"/>
      <name val="Calibri"/>
    </font>
    <font>
      <sz val="11"/>
      <name val="Calibri"/>
    </font>
    <font>
      <sz val="11"/>
      <color rgb="FF008000"/>
      <name val="Calibri"/>
    </font>
    <font>
      <b/>
      <sz val="11"/>
      <color rgb="FF000000"/>
      <name val="Calibri"/>
    </font>
    <font>
      <b/>
      <i/>
      <sz val="11"/>
      <name val="Calibri"/>
    </font>
    <font>
      <b/>
      <sz val="11"/>
      <name val="Calibri"/>
    </font>
    <font>
      <b/>
      <sz val="11"/>
      <color rgb="FF1F4E79"/>
      <name val="Calibri"/>
    </font>
    <font>
      <b/>
      <sz val="12"/>
      <color rgb="FF1F4E79"/>
      <name val="Calibri"/>
    </font>
    <font>
      <sz val="11"/>
      <color rgb="FF000000"/>
      <name val="Calibri"/>
    </font>
    <font>
      <i/>
      <sz val="11"/>
      <color rgb="FF808080"/>
      <name val="Calibri"/>
    </font>
    <font>
      <b/>
      <sz val="13"/>
      <name val="Calibri"/>
    </font>
    <font>
      <b/>
      <sz val="9"/>
      <name val="Calibri"/>
    </font>
    <font>
      <sz val="7"/>
      <color rgb="FF808080"/>
      <name val="Calibri"/>
    </font>
    <font>
      <sz val="9"/>
      <color rgb="FF008000"/>
      <name val="Calibri"/>
    </font>
    <font>
      <b/>
      <sz val="12"/>
      <name val="Calibri"/>
    </font>
    <font>
      <b/>
      <sz val="18"/>
      <color rgb="FFFFFFFF"/>
      <name val="Calibri"/>
    </font>
    <font>
      <b/>
      <sz val="14"/>
      <name val="Calibri"/>
    </font>
    <font>
      <b/>
      <sz val="8"/>
      <color rgb="FF808080"/>
      <name val="Calibri"/>
    </font>
    <font>
      <sz val="8"/>
      <color rgb="FF808080"/>
      <name val="Calibri"/>
    </font>
    <font>
      <b/>
      <sz val="16"/>
      <name val="Calibri"/>
    </font>
    <font>
      <i/>
      <sz val="8"/>
      <color rgb="FF808080"/>
      <name val="Calibri"/>
    </font>
    <font>
      <b/>
      <sz val="10"/>
      <color rgb="FF000000"/>
      <name val="Calibri"/>
    </font>
    <font>
      <sz val="10"/>
      <color rgb="FF000000"/>
      <name val="Calibri"/>
    </font>
    <font>
      <sz val="11"/>
      <color rgb="FF0000FF"/>
      <name val="Calibri"/>
    </font>
    <font>
      <i/>
      <sz val="9"/>
      <color rgb="FF000000"/>
      <name val="Calibri"/>
    </font>
    <font>
      <b/>
      <sz val="11"/>
      <color rgb="FF008000"/>
      <name val="Calibri"/>
    </font>
    <font>
      <b/>
      <sz val="11"/>
      <color rgb="FFFFFFFF"/>
      <name val="Calibri"/>
    </font>
    <font>
      <b/>
      <sz val="14"/>
      <color rgb="FF00978D"/>
      <name val="Calibri"/>
    </font>
    <font>
      <i/>
      <sz val="9"/>
      <name val="Calibri"/>
    </font>
    <font>
      <b/>
      <sz val="10"/>
      <color rgb="FFC00000"/>
      <name val="Calibri"/>
    </font>
    <font>
      <b/>
      <sz val="16"/>
      <color rgb="FF00978D"/>
      <name val="Calibri"/>
    </font>
    <font>
      <b/>
      <sz val="11"/>
      <color rgb="FF000000"/>
      <name val="Calibri"/>
    </font>
    <font>
      <b/>
      <sz val="12"/>
      <color rgb="FF00978D"/>
      <name val="Calibri"/>
    </font>
    <font>
      <b/>
      <sz val="11"/>
      <color rgb="FF00978D"/>
      <name val="Calibri"/>
    </font>
    <font>
      <b/>
      <i/>
      <sz val="10"/>
      <color rgb="FF00978D"/>
      <name val="Calibri"/>
    </font>
    <font>
      <b/>
      <sz val="11"/>
      <color rgb="FF00978D"/>
      <name val="Calibri"/>
    </font>
    <font>
      <b/>
      <sz val="13"/>
      <color rgb="FF00978D"/>
      <name val="Calibri"/>
    </font>
    <font>
      <b/>
      <i/>
      <sz val="9"/>
      <name val="Calibri"/>
    </font>
    <font>
      <b/>
      <sz val="11"/>
      <color rgb="FF0000FF"/>
      <name val="Calibri"/>
    </font>
    <font>
      <b/>
      <sz val="26"/>
      <color rgb="FF00978D"/>
      <name val="Calibri"/>
    </font>
    <font>
      <sz val="13"/>
      <color rgb="FF808080"/>
      <name val="Calibri"/>
    </font>
    <font>
      <i/>
      <sz val="11"/>
      <color rgb="FF808080"/>
      <name val="Calibri"/>
    </font>
    <font>
      <b/>
      <sz val="13"/>
      <color rgb="FFFFFFFF"/>
      <name val="Calibri"/>
    </font>
    <font>
      <sz val="11"/>
      <name val="Calibri"/>
    </font>
    <font>
      <u/>
      <sz val="11"/>
      <color rgb="FF00978D"/>
      <name val="Calibri"/>
    </font>
  </fonts>
  <fills count="7">
    <fill>
      <patternFill patternType="none"/>
    </fill>
    <fill>
      <patternFill patternType="gray125"/>
    </fill>
    <fill>
      <patternFill patternType="solid">
        <fgColor rgb="FF00978D"/>
      </patternFill>
    </fill>
    <fill>
      <patternFill patternType="solid">
        <fgColor rgb="FFD9EFEC"/>
      </patternFill>
    </fill>
    <fill>
      <patternFill patternType="solid">
        <fgColor rgb="FFD9E1F2"/>
      </patternFill>
    </fill>
    <fill>
      <patternFill patternType="solid"/>
    </fill>
    <fill>
      <patternFill patternType="solid">
        <fgColor rgb="FFFFF2CC"/>
      </patternFill>
    </fill>
  </fills>
  <borders count="17">
    <border>
      <left/>
      <right/>
      <top/>
      <bottom/>
      <diagonal/>
    </border>
    <border>
      <left/>
      <right/>
      <top style="thin">
        <color auto="1"/>
      </top>
      <bottom/>
      <diagonal/>
    </border>
    <border>
      <left/>
      <right/>
      <top style="thin">
        <color auto="1"/>
      </top>
      <bottom style="double">
        <color auto="1"/>
      </bottom>
      <diagonal/>
    </border>
    <border>
      <left/>
      <right/>
      <top/>
      <bottom style="thin">
        <color auto="1"/>
      </bottom>
      <diagonal/>
    </border>
    <border>
      <left style="hair">
        <color auto="1"/>
      </left>
      <right/>
      <top/>
      <bottom/>
      <diagonal/>
    </border>
    <border>
      <left style="hair">
        <color auto="1"/>
      </left>
      <right/>
      <top/>
      <bottom style="hair">
        <color auto="1"/>
      </bottom>
      <diagonal/>
    </border>
    <border>
      <left/>
      <right/>
      <top style="hair">
        <color auto="1"/>
      </top>
      <bottom/>
      <diagonal/>
    </border>
    <border>
      <left/>
      <right/>
      <top/>
      <bottom/>
      <diagonal/>
    </border>
    <border>
      <left/>
      <right/>
      <top/>
      <bottom style="hair">
        <color auto="1"/>
      </bottom>
      <diagonal/>
    </border>
    <border>
      <left/>
      <right style="hair">
        <color auto="1"/>
      </right>
      <top/>
      <bottom/>
      <diagonal/>
    </border>
    <border>
      <left/>
      <right style="hair">
        <color auto="1"/>
      </right>
      <top/>
      <bottom style="hair">
        <color auto="1"/>
      </bottom>
      <diagonal/>
    </border>
    <border>
      <left/>
      <right/>
      <top style="dotted">
        <color auto="1"/>
      </top>
      <bottom/>
      <diagonal/>
    </border>
    <border>
      <left style="dotted">
        <color auto="1"/>
      </left>
      <right/>
      <top/>
      <bottom/>
      <diagonal/>
    </border>
    <border>
      <left/>
      <right/>
      <top style="hair">
        <color auto="1"/>
      </top>
      <bottom style="hair">
        <color auto="1"/>
      </bottom>
      <diagonal/>
    </border>
    <border>
      <left/>
      <right/>
      <top style="hair">
        <color auto="1"/>
      </top>
      <bottom/>
      <diagonal/>
    </border>
    <border>
      <left/>
      <right style="hair">
        <color auto="1"/>
      </right>
      <top style="hair">
        <color auto="1"/>
      </top>
      <bottom/>
      <diagonal/>
    </border>
    <border>
      <left style="hair">
        <color auto="1"/>
      </left>
      <right style="hair">
        <color auto="1"/>
      </right>
      <top style="hair">
        <color auto="1"/>
      </top>
      <bottom/>
      <diagonal/>
    </border>
  </borders>
  <cellStyleXfs count="1">
    <xf numFmtId="0" fontId="0" fillId="0" borderId="0"/>
  </cellStyleXfs>
  <cellXfs count="178">
    <xf numFmtId="0" fontId="0" fillId="0" borderId="0" xfId="0"/>
    <xf numFmtId="0" fontId="2" fillId="0" borderId="0" xfId="0" applyFont="1"/>
    <xf numFmtId="0" fontId="0" fillId="2" borderId="0" xfId="0" applyFill="1"/>
    <xf numFmtId="0" fontId="4" fillId="2" borderId="0" xfId="0" applyFont="1" applyFill="1"/>
    <xf numFmtId="0" fontId="3" fillId="2" borderId="0" xfId="0" applyFont="1" applyFill="1"/>
    <xf numFmtId="0" fontId="0" fillId="3" borderId="0" xfId="0" applyFill="1"/>
    <xf numFmtId="0" fontId="5" fillId="3" borderId="0" xfId="0" applyFont="1" applyFill="1"/>
    <xf numFmtId="0" fontId="6" fillId="0" borderId="0" xfId="0" applyFont="1"/>
    <xf numFmtId="164" fontId="7" fillId="0" borderId="0" xfId="0" applyNumberFormat="1" applyFont="1"/>
    <xf numFmtId="0" fontId="0" fillId="0" borderId="1" xfId="0" applyBorder="1"/>
    <xf numFmtId="0" fontId="5" fillId="0" borderId="1" xfId="0" applyFont="1" applyBorder="1"/>
    <xf numFmtId="164" fontId="8" fillId="0" borderId="1" xfId="0" applyNumberFormat="1" applyFont="1" applyBorder="1"/>
    <xf numFmtId="0" fontId="0" fillId="0" borderId="2" xfId="0" applyBorder="1"/>
    <xf numFmtId="0" fontId="5" fillId="0" borderId="2" xfId="0" applyFont="1" applyBorder="1"/>
    <xf numFmtId="164" fontId="8" fillId="0" borderId="2" xfId="0" applyNumberFormat="1" applyFont="1" applyBorder="1"/>
    <xf numFmtId="0" fontId="9" fillId="0" borderId="0" xfId="0" applyFont="1"/>
    <xf numFmtId="164" fontId="8" fillId="0" borderId="0" xfId="0" applyNumberFormat="1" applyFont="1"/>
    <xf numFmtId="0" fontId="0" fillId="4" borderId="0" xfId="0" applyFill="1"/>
    <xf numFmtId="0" fontId="10" fillId="4" borderId="0" xfId="0" applyFont="1" applyFill="1"/>
    <xf numFmtId="0" fontId="11" fillId="4" borderId="0" xfId="0" applyFont="1" applyFill="1"/>
    <xf numFmtId="0" fontId="12" fillId="4" borderId="0" xfId="0" applyFont="1" applyFill="1"/>
    <xf numFmtId="0" fontId="5" fillId="0" borderId="3" xfId="0" applyFont="1" applyBorder="1"/>
    <xf numFmtId="0" fontId="6" fillId="0" borderId="3" xfId="0" applyFont="1" applyBorder="1"/>
    <xf numFmtId="164" fontId="7" fillId="0" borderId="3" xfId="0" applyNumberFormat="1" applyFont="1" applyBorder="1"/>
    <xf numFmtId="0" fontId="5" fillId="0" borderId="0" xfId="0" applyFont="1"/>
    <xf numFmtId="165" fontId="8" fillId="0" borderId="0" xfId="0" applyNumberFormat="1" applyFont="1"/>
    <xf numFmtId="164" fontId="13" fillId="0" borderId="3" xfId="0" applyNumberFormat="1" applyFont="1" applyBorder="1"/>
    <xf numFmtId="164" fontId="13" fillId="0" borderId="0" xfId="0" applyNumberFormat="1" applyFont="1"/>
    <xf numFmtId="0" fontId="8" fillId="0" borderId="0" xfId="0" applyFont="1"/>
    <xf numFmtId="166" fontId="8" fillId="0" borderId="0" xfId="0" applyNumberFormat="1" applyFont="1"/>
    <xf numFmtId="1" fontId="13" fillId="0" borderId="3" xfId="0" applyNumberFormat="1" applyFont="1" applyBorder="1"/>
    <xf numFmtId="167" fontId="8" fillId="0" borderId="0" xfId="0" applyNumberFormat="1" applyFont="1"/>
    <xf numFmtId="166" fontId="13" fillId="0" borderId="0" xfId="0" applyNumberFormat="1" applyFont="1"/>
    <xf numFmtId="165" fontId="14" fillId="0" borderId="0" xfId="0" applyNumberFormat="1" applyFont="1"/>
    <xf numFmtId="0" fontId="10" fillId="3" borderId="0" xfId="0" applyFont="1" applyFill="1"/>
    <xf numFmtId="0" fontId="6" fillId="0" borderId="0" xfId="0" applyFont="1" applyAlignment="1">
      <alignment vertical="center" wrapText="1"/>
    </xf>
    <xf numFmtId="0" fontId="5" fillId="0" borderId="0" xfId="0" applyFont="1" applyAlignment="1">
      <alignment vertical="center" wrapText="1"/>
    </xf>
    <xf numFmtId="0" fontId="5" fillId="0" borderId="1" xfId="0" applyFont="1" applyBorder="1" applyAlignment="1">
      <alignment vertical="center" wrapText="1"/>
    </xf>
    <xf numFmtId="165" fontId="8" fillId="0" borderId="1" xfId="0" applyNumberFormat="1" applyFont="1" applyBorder="1"/>
    <xf numFmtId="168" fontId="8" fillId="0" borderId="0" xfId="0" applyNumberFormat="1" applyFont="1"/>
    <xf numFmtId="0" fontId="15" fillId="4" borderId="0" xfId="0" applyFont="1" applyFill="1"/>
    <xf numFmtId="0" fontId="0" fillId="0" borderId="6" xfId="0" applyBorder="1"/>
    <xf numFmtId="0" fontId="19" fillId="0" borderId="0" xfId="0" applyFont="1"/>
    <xf numFmtId="0" fontId="17" fillId="0" borderId="4" xfId="0" applyFont="1" applyBorder="1" applyAlignment="1">
      <alignment horizontal="center"/>
    </xf>
    <xf numFmtId="0" fontId="17" fillId="0" borderId="7" xfId="0" applyFont="1" applyBorder="1" applyAlignment="1">
      <alignment horizontal="center"/>
    </xf>
    <xf numFmtId="0" fontId="17" fillId="0" borderId="9" xfId="0" applyFont="1" applyBorder="1" applyAlignment="1">
      <alignment horizontal="center"/>
    </xf>
    <xf numFmtId="165" fontId="18" fillId="0" borderId="5" xfId="0" applyNumberFormat="1" applyFont="1" applyBorder="1" applyAlignment="1">
      <alignment horizontal="center"/>
    </xf>
    <xf numFmtId="165" fontId="18" fillId="0" borderId="8" xfId="0" applyNumberFormat="1" applyFont="1" applyBorder="1" applyAlignment="1">
      <alignment horizontal="center"/>
    </xf>
    <xf numFmtId="165" fontId="18" fillId="0" borderId="10" xfId="0" applyNumberFormat="1" applyFont="1" applyBorder="1" applyAlignment="1">
      <alignment horizontal="center"/>
    </xf>
    <xf numFmtId="0" fontId="0" fillId="0" borderId="8" xfId="0" applyBorder="1"/>
    <xf numFmtId="0" fontId="0" fillId="0" borderId="13" xfId="0" applyBorder="1"/>
    <xf numFmtId="167" fontId="18" fillId="0" borderId="5" xfId="0" applyNumberFormat="1" applyFont="1" applyBorder="1" applyAlignment="1">
      <alignment horizontal="center"/>
    </xf>
    <xf numFmtId="167" fontId="18" fillId="0" borderId="8" xfId="0" applyNumberFormat="1" applyFont="1" applyBorder="1" applyAlignment="1">
      <alignment horizontal="center"/>
    </xf>
    <xf numFmtId="167" fontId="18" fillId="0" borderId="10" xfId="0" applyNumberFormat="1" applyFont="1" applyBorder="1" applyAlignment="1">
      <alignment horizontal="center"/>
    </xf>
    <xf numFmtId="0" fontId="0" fillId="0" borderId="11" xfId="0" applyBorder="1"/>
    <xf numFmtId="166" fontId="18" fillId="0" borderId="5" xfId="0" applyNumberFormat="1" applyFont="1" applyBorder="1" applyAlignment="1">
      <alignment horizontal="center"/>
    </xf>
    <xf numFmtId="166" fontId="18" fillId="0" borderId="8" xfId="0" applyNumberFormat="1" applyFont="1" applyBorder="1" applyAlignment="1">
      <alignment horizontal="center"/>
    </xf>
    <xf numFmtId="166" fontId="18" fillId="0" borderId="10" xfId="0" applyNumberFormat="1" applyFont="1" applyBorder="1" applyAlignment="1">
      <alignment horizontal="center"/>
    </xf>
    <xf numFmtId="0" fontId="0" fillId="0" borderId="12" xfId="0" applyBorder="1"/>
    <xf numFmtId="0" fontId="0" fillId="5" borderId="0" xfId="0" applyFill="1"/>
    <xf numFmtId="0" fontId="20" fillId="5" borderId="0" xfId="0" applyFont="1" applyFill="1"/>
    <xf numFmtId="0" fontId="21" fillId="0" borderId="0" xfId="0" applyFont="1"/>
    <xf numFmtId="0" fontId="22" fillId="0" borderId="0" xfId="0" applyFont="1"/>
    <xf numFmtId="0" fontId="6" fillId="0" borderId="0" xfId="0" applyFont="1" applyAlignment="1">
      <alignment indent="1"/>
    </xf>
    <xf numFmtId="0" fontId="23" fillId="0" borderId="0" xfId="0" applyFont="1"/>
    <xf numFmtId="164" fontId="6" fillId="0" borderId="0" xfId="0" applyNumberFormat="1" applyFont="1"/>
    <xf numFmtId="0" fontId="5" fillId="0" borderId="1" xfId="0" applyFont="1" applyBorder="1" applyAlignment="1">
      <alignment indent="1"/>
    </xf>
    <xf numFmtId="164" fontId="5" fillId="0" borderId="1" xfId="0" applyNumberFormat="1" applyFont="1" applyBorder="1"/>
    <xf numFmtId="0" fontId="9" fillId="0" borderId="0" xfId="0" applyFont="1" applyAlignment="1">
      <alignment indent="1"/>
    </xf>
    <xf numFmtId="0" fontId="6" fillId="0" borderId="0" xfId="0" applyFont="1" applyAlignment="1">
      <alignment indent="2"/>
    </xf>
    <xf numFmtId="0" fontId="9" fillId="0" borderId="0" xfId="0" applyFont="1" applyAlignment="1">
      <alignment indent="2"/>
    </xf>
    <xf numFmtId="0" fontId="6" fillId="0" borderId="0" xfId="0" applyFont="1" applyAlignment="1">
      <alignment indent="3"/>
    </xf>
    <xf numFmtId="0" fontId="9" fillId="0" borderId="0" xfId="0" applyFont="1" applyAlignment="1">
      <alignment indent="3"/>
    </xf>
    <xf numFmtId="0" fontId="6" fillId="0" borderId="0" xfId="0" applyFont="1" applyAlignment="1">
      <alignment indent="4"/>
    </xf>
    <xf numFmtId="0" fontId="5" fillId="0" borderId="1" xfId="0" applyFont="1" applyBorder="1" applyAlignment="1">
      <alignment indent="3"/>
    </xf>
    <xf numFmtId="0" fontId="5" fillId="0" borderId="1" xfId="0" applyFont="1" applyBorder="1" applyAlignment="1">
      <alignment indent="4"/>
    </xf>
    <xf numFmtId="0" fontId="5" fillId="0" borderId="1" xfId="0" applyFont="1" applyBorder="1" applyAlignment="1">
      <alignment indent="2"/>
    </xf>
    <xf numFmtId="0" fontId="9" fillId="0" borderId="0" xfId="0" applyFont="1" applyAlignment="1">
      <alignment indent="4"/>
    </xf>
    <xf numFmtId="0" fontId="5" fillId="0" borderId="1" xfId="0" applyFont="1" applyBorder="1" applyAlignment="1">
      <alignment indent="5"/>
    </xf>
    <xf numFmtId="0" fontId="24" fillId="0" borderId="0" xfId="0" applyFont="1"/>
    <xf numFmtId="0" fontId="6" fillId="0" borderId="0" xfId="0" applyFont="1" applyAlignment="1">
      <alignment indent="5"/>
    </xf>
    <xf numFmtId="0" fontId="9" fillId="0" borderId="0" xfId="0" applyFont="1" applyAlignment="1">
      <alignment indent="5"/>
    </xf>
    <xf numFmtId="0" fontId="6" fillId="0" borderId="0" xfId="0" applyFont="1" applyAlignment="1">
      <alignment indent="6"/>
    </xf>
    <xf numFmtId="0" fontId="5" fillId="0" borderId="1" xfId="0" applyFont="1" applyBorder="1" applyAlignment="1">
      <alignment indent="6"/>
    </xf>
    <xf numFmtId="0" fontId="9" fillId="0" borderId="0" xfId="0" applyFont="1" applyAlignment="1">
      <alignment indent="6"/>
    </xf>
    <xf numFmtId="0" fontId="6" fillId="0" borderId="0" xfId="0" applyFont="1" applyAlignment="1">
      <alignment indent="7"/>
    </xf>
    <xf numFmtId="0" fontId="5" fillId="0" borderId="1" xfId="0" applyFont="1" applyBorder="1" applyAlignment="1">
      <alignment indent="7"/>
    </xf>
    <xf numFmtId="0" fontId="1" fillId="2" borderId="0" xfId="0" applyFont="1" applyFill="1"/>
    <xf numFmtId="0" fontId="25" fillId="0" borderId="0" xfId="0" applyFont="1"/>
    <xf numFmtId="0" fontId="16" fillId="3" borderId="0" xfId="0" applyFont="1" applyFill="1" applyAlignment="1">
      <alignment horizontal="center"/>
    </xf>
    <xf numFmtId="0" fontId="26" fillId="0" borderId="0" xfId="0" applyFont="1"/>
    <xf numFmtId="3" fontId="7" fillId="0" borderId="0" xfId="0" applyNumberFormat="1" applyFont="1"/>
    <xf numFmtId="0" fontId="27" fillId="0" borderId="0" xfId="0" applyFont="1"/>
    <xf numFmtId="169" fontId="13" fillId="0" borderId="0" xfId="0" applyNumberFormat="1" applyFont="1"/>
    <xf numFmtId="3" fontId="13" fillId="0" borderId="0" xfId="0" applyNumberFormat="1" applyFont="1"/>
    <xf numFmtId="169" fontId="8" fillId="0" borderId="0" xfId="0" applyNumberFormat="1" applyFont="1"/>
    <xf numFmtId="170" fontId="28" fillId="0" borderId="0" xfId="0" applyNumberFormat="1" applyFont="1"/>
    <xf numFmtId="3" fontId="8" fillId="0" borderId="0" xfId="0" applyNumberFormat="1" applyFont="1"/>
    <xf numFmtId="169" fontId="7" fillId="0" borderId="0" xfId="0" applyNumberFormat="1" applyFont="1"/>
    <xf numFmtId="0" fontId="29" fillId="0" borderId="0" xfId="0" applyFont="1"/>
    <xf numFmtId="3" fontId="30" fillId="0" borderId="0" xfId="0" applyNumberFormat="1" applyFont="1"/>
    <xf numFmtId="3" fontId="2" fillId="0" borderId="0" xfId="0" applyNumberFormat="1" applyFont="1"/>
    <xf numFmtId="1" fontId="28" fillId="0" borderId="0" xfId="0" applyNumberFormat="1" applyFont="1"/>
    <xf numFmtId="170" fontId="13" fillId="0" borderId="0" xfId="0" applyNumberFormat="1" applyFont="1"/>
    <xf numFmtId="170" fontId="2" fillId="0" borderId="0" xfId="0" applyNumberFormat="1" applyFont="1"/>
    <xf numFmtId="0" fontId="44" fillId="0" borderId="0" xfId="0" applyFont="1"/>
    <xf numFmtId="0" fontId="45" fillId="0" borderId="0" xfId="0" applyFont="1"/>
    <xf numFmtId="0" fontId="46" fillId="0" borderId="0" xfId="0" applyFont="1"/>
    <xf numFmtId="0" fontId="47" fillId="2" borderId="0" xfId="0" applyFont="1" applyFill="1"/>
    <xf numFmtId="0" fontId="48" fillId="0" borderId="0" xfId="0" applyFont="1"/>
    <xf numFmtId="2" fontId="37" fillId="0" borderId="0" xfId="0" applyNumberFormat="1" applyFont="1"/>
    <xf numFmtId="10" fontId="37" fillId="0" borderId="0" xfId="0" applyNumberFormat="1" applyFont="1"/>
    <xf numFmtId="0" fontId="37" fillId="0" borderId="0" xfId="0" applyFont="1"/>
    <xf numFmtId="0" fontId="49" fillId="0" borderId="0" xfId="0" applyFont="1"/>
    <xf numFmtId="0" fontId="2" fillId="0" borderId="0" xfId="0" applyFont="1" applyAlignment="1">
      <alignment vertical="top" wrapText="1"/>
    </xf>
    <xf numFmtId="0" fontId="31" fillId="2" borderId="0" xfId="0" applyFont="1" applyFill="1"/>
    <xf numFmtId="0" fontId="10" fillId="0" borderId="0" xfId="0" applyFont="1"/>
    <xf numFmtId="173" fontId="0" fillId="0" borderId="0" xfId="0" applyNumberFormat="1"/>
    <xf numFmtId="0" fontId="28" fillId="6" borderId="0" xfId="0" applyFont="1" applyFill="1"/>
    <xf numFmtId="10" fontId="0" fillId="0" borderId="0" xfId="0" applyNumberFormat="1"/>
    <xf numFmtId="10" fontId="28" fillId="6" borderId="0" xfId="0" applyNumberFormat="1" applyFont="1" applyFill="1"/>
    <xf numFmtId="169" fontId="0" fillId="0" borderId="0" xfId="0" applyNumberFormat="1"/>
    <xf numFmtId="169" fontId="28" fillId="6" borderId="0" xfId="0" applyNumberFormat="1" applyFont="1" applyFill="1"/>
    <xf numFmtId="170" fontId="0" fillId="0" borderId="0" xfId="0" applyNumberFormat="1"/>
    <xf numFmtId="170" fontId="28" fillId="6" borderId="0" xfId="0" applyNumberFormat="1" applyFont="1" applyFill="1"/>
    <xf numFmtId="2" fontId="0" fillId="0" borderId="0" xfId="0" applyNumberFormat="1"/>
    <xf numFmtId="2" fontId="28" fillId="6" borderId="0" xfId="0" applyNumberFormat="1" applyFont="1" applyFill="1"/>
    <xf numFmtId="0" fontId="32" fillId="0" borderId="0" xfId="0" applyFont="1"/>
    <xf numFmtId="173" fontId="7" fillId="0" borderId="0" xfId="0" applyNumberFormat="1" applyFont="1"/>
    <xf numFmtId="173" fontId="13" fillId="0" borderId="0" xfId="0" applyNumberFormat="1" applyFont="1"/>
    <xf numFmtId="173" fontId="5" fillId="0" borderId="0" xfId="0" applyNumberFormat="1" applyFont="1"/>
    <xf numFmtId="173" fontId="33" fillId="0" borderId="0" xfId="0" applyNumberFormat="1" applyFont="1"/>
    <xf numFmtId="173" fontId="2" fillId="0" borderId="0" xfId="0" applyNumberFormat="1" applyFont="1"/>
    <xf numFmtId="0" fontId="34" fillId="0" borderId="0" xfId="0" applyFont="1" applyAlignment="1">
      <alignment wrapText="1"/>
    </xf>
    <xf numFmtId="10" fontId="2" fillId="0" borderId="0" xfId="0" applyNumberFormat="1" applyFont="1"/>
    <xf numFmtId="173" fontId="6" fillId="0" borderId="0" xfId="0" applyNumberFormat="1" applyFont="1"/>
    <xf numFmtId="173" fontId="30" fillId="0" borderId="0" xfId="0" applyNumberFormat="1" applyFont="1"/>
    <xf numFmtId="0" fontId="35" fillId="0" borderId="0" xfId="0" applyFont="1"/>
    <xf numFmtId="0" fontId="36" fillId="0" borderId="0" xfId="0" applyFont="1"/>
    <xf numFmtId="173" fontId="38" fillId="0" borderId="0" xfId="0" applyNumberFormat="1" applyFont="1"/>
    <xf numFmtId="0" fontId="28" fillId="0" borderId="0" xfId="0" applyFont="1"/>
    <xf numFmtId="173" fontId="28" fillId="6" borderId="0" xfId="0" applyNumberFormat="1" applyFont="1" applyFill="1"/>
    <xf numFmtId="3" fontId="5" fillId="0" borderId="0" xfId="0" applyNumberFormat="1" applyFont="1"/>
    <xf numFmtId="171" fontId="0" fillId="0" borderId="0" xfId="0" applyNumberFormat="1"/>
    <xf numFmtId="172" fontId="5" fillId="0" borderId="0" xfId="0" applyNumberFormat="1" applyFont="1"/>
    <xf numFmtId="10" fontId="5" fillId="0" borderId="0" xfId="0" applyNumberFormat="1" applyFont="1"/>
    <xf numFmtId="0" fontId="40" fillId="0" borderId="0" xfId="0" applyFont="1"/>
    <xf numFmtId="10" fontId="40" fillId="0" borderId="0" xfId="0" applyNumberFormat="1" applyFont="1"/>
    <xf numFmtId="2" fontId="5" fillId="0" borderId="0" xfId="0" applyNumberFormat="1" applyFont="1"/>
    <xf numFmtId="3" fontId="0" fillId="0" borderId="0" xfId="0" applyNumberFormat="1"/>
    <xf numFmtId="0" fontId="41" fillId="0" borderId="0" xfId="0" applyFont="1"/>
    <xf numFmtId="10" fontId="41" fillId="0" borderId="0" xfId="0" applyNumberFormat="1" applyFont="1"/>
    <xf numFmtId="0" fontId="33" fillId="0" borderId="0" xfId="0" applyFont="1"/>
    <xf numFmtId="171" fontId="33" fillId="0" borderId="0" xfId="0" applyNumberFormat="1" applyFont="1"/>
    <xf numFmtId="173" fontId="40" fillId="0" borderId="0" xfId="0" applyNumberFormat="1" applyFont="1"/>
    <xf numFmtId="10" fontId="7" fillId="0" borderId="0" xfId="0" applyNumberFormat="1" applyFont="1"/>
    <xf numFmtId="170" fontId="33" fillId="0" borderId="0" xfId="0" applyNumberFormat="1" applyFont="1"/>
    <xf numFmtId="3" fontId="40" fillId="0" borderId="0" xfId="0" applyNumberFormat="1" applyFont="1"/>
    <xf numFmtId="3" fontId="37" fillId="0" borderId="0" xfId="0" applyNumberFormat="1" applyFont="1"/>
    <xf numFmtId="2" fontId="41" fillId="0" borderId="0" xfId="0" applyNumberFormat="1" applyFont="1"/>
    <xf numFmtId="170" fontId="5" fillId="0" borderId="0" xfId="0" applyNumberFormat="1" applyFont="1"/>
    <xf numFmtId="0" fontId="42" fillId="0" borderId="0" xfId="0" applyFont="1"/>
    <xf numFmtId="10" fontId="31" fillId="2" borderId="0" xfId="0" applyNumberFormat="1" applyFont="1" applyFill="1" applyAlignment="1">
      <alignment horizontal="center"/>
    </xf>
    <xf numFmtId="2" fontId="6" fillId="0" borderId="0" xfId="0" applyNumberFormat="1" applyFont="1"/>
    <xf numFmtId="170" fontId="7" fillId="0" borderId="0" xfId="0" applyNumberFormat="1" applyFont="1"/>
    <xf numFmtId="10" fontId="30" fillId="0" borderId="0" xfId="0" applyNumberFormat="1" applyFont="1"/>
    <xf numFmtId="3" fontId="28" fillId="6" borderId="0" xfId="0" applyNumberFormat="1" applyFont="1" applyFill="1"/>
    <xf numFmtId="2" fontId="7" fillId="0" borderId="0" xfId="0" applyNumberFormat="1" applyFont="1"/>
    <xf numFmtId="2" fontId="33" fillId="0" borderId="0" xfId="0" applyNumberFormat="1" applyFont="1"/>
    <xf numFmtId="10" fontId="43" fillId="6" borderId="0" xfId="0" applyNumberFormat="1" applyFont="1" applyFill="1"/>
    <xf numFmtId="0" fontId="39" fillId="0" borderId="0" xfId="0" applyFont="1"/>
    <xf numFmtId="0" fontId="2" fillId="0" borderId="0" xfId="0" applyFont="1" applyAlignment="1">
      <alignment vertical="top" wrapText="1"/>
    </xf>
    <xf numFmtId="0" fontId="0" fillId="0" borderId="0" xfId="0"/>
    <xf numFmtId="0" fontId="2" fillId="0" borderId="0" xfId="0" applyFont="1"/>
    <xf numFmtId="0" fontId="1" fillId="2" borderId="0" xfId="0" applyFont="1" applyFill="1" applyAlignment="1">
      <alignment vertical="center"/>
    </xf>
    <xf numFmtId="0" fontId="16" fillId="0" borderId="16" xfId="0" applyFont="1" applyBorder="1" applyAlignment="1">
      <alignment horizontal="center" vertical="center" wrapText="1"/>
    </xf>
    <xf numFmtId="0" fontId="0" fillId="0" borderId="14" xfId="0" applyBorder="1"/>
    <xf numFmtId="0" fontId="0" fillId="0" borderId="15" xfId="0" applyBorder="1"/>
  </cellXfs>
  <cellStyles count="1">
    <cellStyle name="Normal" xfId="0" builtinId="0"/>
  </cellStyles>
  <dxfs count="14">
    <dxf>
      <font>
        <b/>
        <color rgb="FF9C0006"/>
        <name val="Calibri"/>
      </font>
      <fill>
        <patternFill patternType="solid">
          <fgColor rgb="FFFFC7CE"/>
        </patternFill>
      </fill>
    </dxf>
    <dxf>
      <font>
        <b/>
        <color rgb="FF006100"/>
        <name val="Calibri"/>
      </font>
      <fill>
        <patternFill patternType="solid">
          <fgColor rgb="FFC6EFCE"/>
        </patternFill>
      </fill>
    </dxf>
    <dxf>
      <font>
        <b/>
        <color rgb="FF006100"/>
        <name val="Calibri"/>
      </font>
      <fill>
        <patternFill patternType="solid">
          <fgColor rgb="FFC6EFCE"/>
        </patternFill>
      </fill>
    </dxf>
    <dxf>
      <font>
        <b/>
        <color rgb="FF9C0006"/>
        <name val="Calibri"/>
      </font>
      <fill>
        <patternFill patternType="solid">
          <fgColor rgb="FFFFC7CE"/>
        </patternFill>
      </fill>
    </dxf>
    <dxf>
      <font>
        <b/>
        <color rgb="FF006100"/>
        <name val="Calibri"/>
      </font>
      <fill>
        <patternFill patternType="solid">
          <fgColor rgb="FFC6EFCE"/>
        </patternFill>
      </fill>
    </dxf>
    <dxf>
      <font>
        <b/>
        <color rgb="FF9C0006"/>
        <name val="Calibri"/>
      </font>
      <fill>
        <patternFill patternType="solid">
          <fgColor rgb="FFFFC7CE"/>
        </patternFill>
      </fill>
    </dxf>
    <dxf>
      <font>
        <b/>
        <color rgb="FF006100"/>
        <name val="Calibri"/>
      </font>
      <fill>
        <patternFill patternType="solid">
          <fgColor rgb="FFC6EFCE"/>
        </patternFill>
      </fill>
    </dxf>
    <dxf>
      <font>
        <b/>
        <color rgb="FF9C0006"/>
        <name val="Calibri"/>
      </font>
      <fill>
        <patternFill patternType="solid">
          <fgColor rgb="FFFFC7CE"/>
        </patternFill>
      </fill>
    </dxf>
    <dxf>
      <font>
        <b/>
        <color rgb="FF006100"/>
        <name val="Calibri"/>
      </font>
      <fill>
        <patternFill patternType="solid">
          <fgColor rgb="FFC6EFCE"/>
        </patternFill>
      </fill>
    </dxf>
    <dxf>
      <font>
        <b/>
        <color rgb="FF9C0006"/>
        <name val="Calibri"/>
      </font>
      <fill>
        <patternFill patternType="solid">
          <fgColor rgb="FFFFC7CE"/>
        </patternFill>
      </fill>
    </dxf>
    <dxf>
      <font>
        <b/>
        <color rgb="FF006100"/>
        <name val="Calibri"/>
      </font>
      <fill>
        <patternFill patternType="solid">
          <fgColor rgb="FFC6EFCE"/>
        </patternFill>
      </fill>
    </dxf>
    <dxf>
      <font>
        <b/>
        <color rgb="FF9C0006"/>
        <name val="Calibri"/>
      </font>
      <fill>
        <patternFill patternType="solid">
          <fgColor rgb="FFFFC7CE"/>
        </patternFill>
      </fill>
    </dxf>
    <dxf>
      <font>
        <b/>
        <color rgb="FF006100"/>
        <name val="Calibri"/>
      </font>
      <fill>
        <patternFill patternType="solid">
          <fgColor rgb="FFC6EFCE"/>
        </patternFill>
      </fill>
    </dxf>
    <dxf>
      <font>
        <b/>
        <color rgb="FF9C0006"/>
        <name val="Calibri"/>
      </font>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34"/>
  <sheetViews>
    <sheetView showGridLines="0" tabSelected="1" workbookViewId="0"/>
  </sheetViews>
  <sheetFormatPr defaultRowHeight="14.5"/>
  <cols>
    <col min="1" max="1" width="3.453125" customWidth="1"/>
    <col min="2" max="2" width="40" customWidth="1"/>
    <col min="3" max="3" width="24" customWidth="1"/>
    <col min="4" max="4" width="40" customWidth="1"/>
  </cols>
  <sheetData>
    <row r="2" spans="2:3" ht="33.5">
      <c r="B2" s="105" t="s">
        <v>0</v>
      </c>
    </row>
    <row r="3" spans="2:3" ht="17">
      <c r="B3" s="106" t="s">
        <v>1</v>
      </c>
    </row>
    <row r="4" spans="2:3">
      <c r="B4" s="107" t="s">
        <v>2</v>
      </c>
    </row>
    <row r="7" spans="2:3" ht="17">
      <c r="B7" s="108" t="s">
        <v>3</v>
      </c>
      <c r="C7" s="2"/>
    </row>
    <row r="8" spans="2:3" ht="15.5">
      <c r="B8" s="109" t="s">
        <v>4</v>
      </c>
      <c r="C8" s="110">
        <f>DCF!C33</f>
        <v>56.048728192752996</v>
      </c>
    </row>
    <row r="9" spans="2:3" ht="15.5">
      <c r="B9" s="109" t="s">
        <v>5</v>
      </c>
      <c r="C9" s="110">
        <f>'WACC Schedule'!$C6</f>
        <v>56.04</v>
      </c>
    </row>
    <row r="10" spans="2:3" ht="15.5">
      <c r="B10" s="109" t="s">
        <v>6</v>
      </c>
      <c r="C10" s="111">
        <f>'WACC Schedule'!$C39</f>
        <v>7.8867217951476595E-2</v>
      </c>
    </row>
    <row r="11" spans="2:3" ht="15.5">
      <c r="B11" s="109" t="s">
        <v>7</v>
      </c>
      <c r="C11" s="111">
        <f>DCF!C22</f>
        <v>5.0099999999999999E-2</v>
      </c>
    </row>
    <row r="12" spans="2:3" ht="15.5">
      <c r="B12" s="109" t="s">
        <v>8</v>
      </c>
      <c r="C12" s="112" t="str">
        <f>"10 years ("&amp;DCF!C5&amp;"-"&amp;DCF!L5&amp;")"</f>
        <v>10 years (FY2026E-FY2035E)</v>
      </c>
    </row>
    <row r="15" spans="2:3" ht="17">
      <c r="B15" s="108" t="s">
        <v>9</v>
      </c>
      <c r="C15" s="2"/>
    </row>
    <row r="16" spans="2:3">
      <c r="B16" s="113" t="s">
        <v>10</v>
      </c>
    </row>
    <row r="17" spans="2:2">
      <c r="B17" s="113" t="s">
        <v>11</v>
      </c>
    </row>
    <row r="18" spans="2:2">
      <c r="B18" s="113" t="s">
        <v>12</v>
      </c>
    </row>
    <row r="19" spans="2:2">
      <c r="B19" s="113" t="s">
        <v>13</v>
      </c>
    </row>
    <row r="20" spans="2:2">
      <c r="B20" s="113" t="s">
        <v>14</v>
      </c>
    </row>
    <row r="21" spans="2:2">
      <c r="B21" s="113" t="s">
        <v>15</v>
      </c>
    </row>
    <row r="22" spans="2:2">
      <c r="B22" s="113" t="s">
        <v>16</v>
      </c>
    </row>
    <row r="23" spans="2:2">
      <c r="B23" s="113" t="s">
        <v>17</v>
      </c>
    </row>
    <row r="24" spans="2:2">
      <c r="B24" s="113" t="s">
        <v>18</v>
      </c>
    </row>
    <row r="25" spans="2:2">
      <c r="B25" s="113" t="s">
        <v>19</v>
      </c>
    </row>
    <row r="26" spans="2:2">
      <c r="B26" s="113" t="s">
        <v>20</v>
      </c>
    </row>
    <row r="27" spans="2:2">
      <c r="B27" s="113" t="s">
        <v>21</v>
      </c>
    </row>
    <row r="28" spans="2:2">
      <c r="B28" s="113" t="s">
        <v>22</v>
      </c>
    </row>
    <row r="29" spans="2:2">
      <c r="B29" s="113" t="s">
        <v>23</v>
      </c>
    </row>
    <row r="30" spans="2:2">
      <c r="B30" s="113" t="s">
        <v>24</v>
      </c>
    </row>
    <row r="31" spans="2:2">
      <c r="B31" s="113" t="s">
        <v>25</v>
      </c>
    </row>
    <row r="34" spans="2:4" ht="30" customHeight="1">
      <c r="B34" s="171" t="s">
        <v>26</v>
      </c>
      <c r="C34" s="172"/>
      <c r="D34" s="172"/>
    </row>
  </sheetData>
  <mergeCells count="1">
    <mergeCell ref="B34:D34"/>
  </mergeCells>
  <hyperlinks>
    <hyperlink ref="B16" location="'Inputs &amp; Assumptions'!A1" display="Inputs &amp; Assumptions" xr:uid="{00000000-0004-0000-0000-000000000000}"/>
    <hyperlink ref="B17" location="'HIST_CON'!A1" display="HIST_CON" xr:uid="{00000000-0004-0000-0000-000001000000}"/>
    <hyperlink ref="B18" location="'HIST_STAND'!A1" display="HIST_STAND" xr:uid="{00000000-0004-0000-0000-000002000000}"/>
    <hyperlink ref="B19" location="'RATIO_ANALYSIS'!A1" display="RATIO_ANALYSIS" xr:uid="{00000000-0004-0000-0000-000003000000}"/>
    <hyperlink ref="B20" location="'DUPONT_ANALYSIS'!A1" display="DUPONT_ANALYSIS" xr:uid="{00000000-0004-0000-0000-000004000000}"/>
    <hyperlink ref="B21" location="'Schedules'!A1" display="Schedules" xr:uid="{00000000-0004-0000-0000-000005000000}"/>
    <hyperlink ref="B22" location="'WC_SCHEDULE'!A1" display="WC_SCHEDULE" xr:uid="{00000000-0004-0000-0000-000006000000}"/>
    <hyperlink ref="B23" location="'P&amp;L Schedule'!A1" display="P&amp;L Schedule" xr:uid="{00000000-0004-0000-0000-000007000000}"/>
    <hyperlink ref="B24" location="'WACC Schedule'!A1" display="WACC Schedule" xr:uid="{00000000-0004-0000-0000-000008000000}"/>
    <hyperlink ref="B25" location="'DCF'!A1" display="DCF" xr:uid="{00000000-0004-0000-0000-000009000000}"/>
    <hyperlink ref="B26" location="'Sensitivity Tables'!A1" display="Sensitivity Tables" xr:uid="{00000000-0004-0000-0000-00000A000000}"/>
    <hyperlink ref="B27" location="'Growth Rate Methods'!A1" display="Growth Rate Methods" xr:uid="{00000000-0004-0000-0000-00000B000000}"/>
    <hyperlink ref="B28" location="'RAW_DATA'!A1" display="RAW_DATA" xr:uid="{00000000-0004-0000-0000-00000C000000}"/>
    <hyperlink ref="B29" location="'HS_CONSOLIDATED'!A1" display="HS_CONSOLIDATED" xr:uid="{00000000-0004-0000-0000-00000D000000}"/>
    <hyperlink ref="B30" location="'HS_STANDALONE'!A1" display="HS_STANDALONE" xr:uid="{00000000-0004-0000-0000-00000E000000}"/>
    <hyperlink ref="B31" location="'Damodaran Data'!A1" display="Damodaran Data" xr:uid="{00000000-0004-0000-0000-00000F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99"/>
  <sheetViews>
    <sheetView showGridLines="0" workbookViewId="0">
      <pane xSplit="2" ySplit="3" topLeftCell="C4" activePane="bottomRight" state="frozen"/>
      <selection pane="topRight"/>
      <selection pane="bottomLeft"/>
      <selection pane="bottomRight"/>
    </sheetView>
  </sheetViews>
  <sheetFormatPr defaultRowHeight="14.5"/>
  <cols>
    <col min="1" max="1" width="3.453125" customWidth="1"/>
    <col min="2" max="2" width="65" customWidth="1"/>
    <col min="3" max="23" width="17" customWidth="1"/>
  </cols>
  <sheetData>
    <row r="1" spans="1:22">
      <c r="A1" t="s">
        <v>27</v>
      </c>
      <c r="B1" t="s">
        <v>28</v>
      </c>
    </row>
    <row r="3" spans="1:22">
      <c r="B3" s="115" t="s">
        <v>29</v>
      </c>
      <c r="C3" s="115" t="s">
        <v>30</v>
      </c>
      <c r="D3" s="115" t="s">
        <v>31</v>
      </c>
      <c r="E3" s="115" t="s">
        <v>32</v>
      </c>
      <c r="F3" s="115" t="s">
        <v>33</v>
      </c>
      <c r="G3" s="115" t="s">
        <v>34</v>
      </c>
      <c r="H3" s="115" t="s">
        <v>35</v>
      </c>
      <c r="I3" s="115" t="s">
        <v>36</v>
      </c>
      <c r="J3" s="115" t="s">
        <v>37</v>
      </c>
      <c r="K3" s="115" t="s">
        <v>38</v>
      </c>
      <c r="L3" s="115" t="s">
        <v>39</v>
      </c>
      <c r="M3" s="115" t="s">
        <v>40</v>
      </c>
      <c r="N3" s="115" t="s">
        <v>41</v>
      </c>
      <c r="O3" s="115" t="s">
        <v>42</v>
      </c>
      <c r="P3" s="115" t="s">
        <v>43</v>
      </c>
      <c r="Q3" s="115" t="s">
        <v>44</v>
      </c>
      <c r="R3" s="115" t="s">
        <v>45</v>
      </c>
      <c r="S3" s="115" t="s">
        <v>46</v>
      </c>
      <c r="T3" s="115" t="s">
        <v>47</v>
      </c>
      <c r="U3" s="115" t="s">
        <v>48</v>
      </c>
      <c r="V3" s="115" t="s">
        <v>49</v>
      </c>
    </row>
    <row r="5" spans="1:22">
      <c r="A5" t="s">
        <v>27</v>
      </c>
      <c r="B5" s="116" t="s">
        <v>50</v>
      </c>
    </row>
    <row r="7" spans="1:22">
      <c r="B7" t="s">
        <v>51</v>
      </c>
      <c r="C7" s="117">
        <v>1</v>
      </c>
    </row>
    <row r="8" spans="1:22">
      <c r="B8" t="s">
        <v>52</v>
      </c>
      <c r="C8" s="118"/>
    </row>
    <row r="10" spans="1:22">
      <c r="A10" t="s">
        <v>27</v>
      </c>
      <c r="B10" s="116" t="s">
        <v>53</v>
      </c>
    </row>
    <row r="12" spans="1:22">
      <c r="B12" t="s">
        <v>54</v>
      </c>
      <c r="C12" s="104">
        <f>MIN(SLOPE(Schedules!C18:L18,Schedules!C12:L12),'WACC Schedule'!$C$21)</f>
        <v>4.7222045912601443E-2</v>
      </c>
      <c r="D12" s="104">
        <f t="shared" ref="D12:L12" si="0">$C$12</f>
        <v>4.7222045912601443E-2</v>
      </c>
      <c r="E12" s="104">
        <f t="shared" si="0"/>
        <v>4.7222045912601443E-2</v>
      </c>
      <c r="F12" s="104">
        <f t="shared" si="0"/>
        <v>4.7222045912601443E-2</v>
      </c>
      <c r="G12" s="104">
        <f t="shared" si="0"/>
        <v>4.7222045912601443E-2</v>
      </c>
      <c r="H12" s="104">
        <f t="shared" si="0"/>
        <v>4.7222045912601443E-2</v>
      </c>
      <c r="I12" s="104">
        <f t="shared" si="0"/>
        <v>4.7222045912601443E-2</v>
      </c>
      <c r="J12" s="104">
        <f t="shared" si="0"/>
        <v>4.7222045912601443E-2</v>
      </c>
      <c r="K12" s="104">
        <f t="shared" si="0"/>
        <v>4.7222045912601443E-2</v>
      </c>
      <c r="L12" s="104">
        <f t="shared" si="0"/>
        <v>4.7222045912601443E-2</v>
      </c>
    </row>
    <row r="13" spans="1:22">
      <c r="B13" t="s">
        <v>55</v>
      </c>
      <c r="C13" s="118">
        <v>5.0099999999999999E-2</v>
      </c>
      <c r="D13" s="118"/>
      <c r="E13" s="118"/>
      <c r="F13" s="118"/>
      <c r="G13" s="118"/>
      <c r="H13" s="118"/>
      <c r="I13" s="118"/>
      <c r="J13" s="118"/>
      <c r="K13" s="118"/>
      <c r="L13" s="118"/>
    </row>
    <row r="15" spans="1:22">
      <c r="B15" t="s">
        <v>56</v>
      </c>
      <c r="C15" s="117">
        <v>6</v>
      </c>
    </row>
    <row r="16" spans="1:22">
      <c r="B16" t="s">
        <v>57</v>
      </c>
      <c r="C16" s="118"/>
    </row>
    <row r="18" spans="1:12">
      <c r="B18" t="s">
        <v>58</v>
      </c>
      <c r="C18" s="104">
        <f>IFERROR(IF('Inputs &amp; Assumptions'!$C$13="",'Inputs &amp; Assumptions'!$C$12,'Inputs &amp; Assumptions'!$C$13)+(IF('Inputs &amp; Assumptions'!$C$19="",SLOPE(Schedules!J13:L13,Schedules!J12:L12),'Inputs &amp; Assumptions'!$C$19)-(IF('Inputs &amp; Assumptions'!$C$13="",'Inputs &amp; Assumptions'!$C$12,'Inputs &amp; Assumptions'!$C$13)))*0.5^(1/(IF('Inputs &amp; Assumptions'!$C$16="",'Inputs &amp; Assumptions'!$C$15,'Inputs &amp; Assumptions'!$C$16))),IF('Inputs &amp; Assumptions'!$C$13="",'Inputs &amp; Assumptions'!$C$12,'Inputs &amp; Assumptions'!$C$13))</f>
        <v>0.33402942147132614</v>
      </c>
      <c r="D18" s="104">
        <f>IFERROR(IF('Inputs &amp; Assumptions'!$C$13="",'Inputs &amp; Assumptions'!$C$12,'Inputs &amp; Assumptions'!$C$13)+(IF('Inputs &amp; Assumptions'!$C$19="",SLOPE(Schedules!J13:L13,Schedules!J12:L12),'Inputs &amp; Assumptions'!$C$19)-(IF('Inputs &amp; Assumptions'!$C$13="",'Inputs &amp; Assumptions'!$C$12,'Inputs &amp; Assumptions'!$C$13)))*0.5^(2/(IF('Inputs &amp; Assumptions'!$C$16="",'Inputs &amp; Assumptions'!$C$15,'Inputs &amp; Assumptions'!$C$16))),IF('Inputs &amp; Assumptions'!$C$13="",'Inputs &amp; Assumptions'!$C$12,'Inputs &amp; Assumptions'!$C$13))</f>
        <v>0.30305235763113259</v>
      </c>
      <c r="E18" s="104">
        <f>IFERROR(IF('Inputs &amp; Assumptions'!$C$13="",'Inputs &amp; Assumptions'!$C$12,'Inputs &amp; Assumptions'!$C$13)+(IF('Inputs &amp; Assumptions'!$C$19="",SLOPE(Schedules!J13:L13,Schedules!J12:L12),'Inputs &amp; Assumptions'!$C$19)-(IF('Inputs &amp; Assumptions'!$C$13="",'Inputs &amp; Assumptions'!$C$12,'Inputs &amp; Assumptions'!$C$13)))*0.5^(3/(IF('Inputs &amp; Assumptions'!$C$16="",'Inputs &amp; Assumptions'!$C$15,'Inputs &amp; Assumptions'!$C$16))),IF('Inputs &amp; Assumptions'!$C$13="",'Inputs &amp; Assumptions'!$C$12,'Inputs &amp; Assumptions'!$C$13))</f>
        <v>0.27545493116415271</v>
      </c>
      <c r="F18" s="104">
        <f>IFERROR(IF('Inputs &amp; Assumptions'!$C$13="",'Inputs &amp; Assumptions'!$C$12,'Inputs &amp; Assumptions'!$C$13)+(IF('Inputs &amp; Assumptions'!$C$19="",SLOPE(Schedules!J13:L13,Schedules!J12:L12),'Inputs &amp; Assumptions'!$C$19)-(IF('Inputs &amp; Assumptions'!$C$13="",'Inputs &amp; Assumptions'!$C$12,'Inputs &amp; Assumptions'!$C$13)))*0.5^(4/(IF('Inputs &amp; Assumptions'!$C$16="",'Inputs &amp; Assumptions'!$C$15,'Inputs &amp; Assumptions'!$C$16))),IF('Inputs &amp; Assumptions'!$C$13="",'Inputs &amp; Assumptions'!$C$12,'Inputs &amp; Assumptions'!$C$13))</f>
        <v>0.25086841930074805</v>
      </c>
      <c r="G18" s="104">
        <f>IFERROR(IF('Inputs &amp; Assumptions'!$C$13="",'Inputs &amp; Assumptions'!$C$12,'Inputs &amp; Assumptions'!$C$13)+(IF('Inputs &amp; Assumptions'!$C$19="",SLOPE(Schedules!J13:L13,Schedules!J12:L12),'Inputs &amp; Assumptions'!$C$19)-(IF('Inputs &amp; Assumptions'!$C$13="",'Inputs &amp; Assumptions'!$C$12,'Inputs &amp; Assumptions'!$C$13)))*0.5^(5/(IF('Inputs &amp; Assumptions'!$C$16="",'Inputs &amp; Assumptions'!$C$15,'Inputs &amp; Assumptions'!$C$16))),IF('Inputs &amp; Assumptions'!$C$13="",'Inputs &amp; Assumptions'!$C$12,'Inputs &amp; Assumptions'!$C$13))</f>
        <v>0.2289643273980986</v>
      </c>
      <c r="H18" s="104">
        <f>IFERROR(IF('Inputs &amp; Assumptions'!$C$13="",'Inputs &amp; Assumptions'!$C$12,'Inputs &amp; Assumptions'!$C$13)+(IF('Inputs &amp; Assumptions'!$C$19="",SLOPE(Schedules!J13:L13,Schedules!J12:L12),'Inputs &amp; Assumptions'!$C$19)-(IF('Inputs &amp; Assumptions'!$C$13="",'Inputs &amp; Assumptions'!$C$12,'Inputs &amp; Assumptions'!$C$13)))*0.5^(6/(IF('Inputs &amp; Assumptions'!$C$16="",'Inputs &amp; Assumptions'!$C$15,'Inputs &amp; Assumptions'!$C$16))),IF('Inputs &amp; Assumptions'!$C$13="",'Inputs &amp; Assumptions'!$C$12,'Inputs &amp; Assumptions'!$C$13))</f>
        <v>0.20945000000000003</v>
      </c>
      <c r="I18" s="104">
        <f>IFERROR(IF('Inputs &amp; Assumptions'!$C$13="",'Inputs &amp; Assumptions'!$C$12,'Inputs &amp; Assumptions'!$C$13)+(IF('Inputs &amp; Assumptions'!$C$19="",SLOPE(Schedules!J13:L13,Schedules!J12:L12),'Inputs &amp; Assumptions'!$C$19)-(IF('Inputs &amp; Assumptions'!$C$13="",'Inputs &amp; Assumptions'!$C$12,'Inputs &amp; Assumptions'!$C$13)))*0.5^(7/(IF('Inputs &amp; Assumptions'!$C$16="",'Inputs &amp; Assumptions'!$C$15,'Inputs &amp; Assumptions'!$C$16))),IF('Inputs &amp; Assumptions'!$C$13="",'Inputs &amp; Assumptions'!$C$12,'Inputs &amp; Assumptions'!$C$13))</f>
        <v>0.19206471073566309</v>
      </c>
      <c r="J18" s="104">
        <f>IFERROR(IF('Inputs &amp; Assumptions'!$C$13="",'Inputs &amp; Assumptions'!$C$12,'Inputs &amp; Assumptions'!$C$13)+(IF('Inputs &amp; Assumptions'!$C$19="",SLOPE(Schedules!J13:L13,Schedules!J12:L12),'Inputs &amp; Assumptions'!$C$19)-(IF('Inputs &amp; Assumptions'!$C$13="",'Inputs &amp; Assumptions'!$C$12,'Inputs &amp; Assumptions'!$C$13)))*0.5^(8/(IF('Inputs &amp; Assumptions'!$C$16="",'Inputs &amp; Assumptions'!$C$15,'Inputs &amp; Assumptions'!$C$16))),IF('Inputs &amp; Assumptions'!$C$13="",'Inputs &amp; Assumptions'!$C$12,'Inputs &amp; Assumptions'!$C$13))</f>
        <v>0.17657617881556631</v>
      </c>
      <c r="K18" s="104">
        <f>IFERROR(IF('Inputs &amp; Assumptions'!$C$13="",'Inputs &amp; Assumptions'!$C$12,'Inputs &amp; Assumptions'!$C$13)+(IF('Inputs &amp; Assumptions'!$C$19="",SLOPE(Schedules!J13:L13,Schedules!J12:L12),'Inputs &amp; Assumptions'!$C$19)-(IF('Inputs &amp; Assumptions'!$C$13="",'Inputs &amp; Assumptions'!$C$12,'Inputs &amp; Assumptions'!$C$13)))*0.5^(9/(IF('Inputs &amp; Assumptions'!$C$16="",'Inputs &amp; Assumptions'!$C$15,'Inputs &amp; Assumptions'!$C$16))),IF('Inputs &amp; Assumptions'!$C$13="",'Inputs &amp; Assumptions'!$C$12,'Inputs &amp; Assumptions'!$C$13))</f>
        <v>0.16277746558207637</v>
      </c>
      <c r="L18" s="104">
        <f>IFERROR(IF('Inputs &amp; Assumptions'!$C$13="",'Inputs &amp; Assumptions'!$C$12,'Inputs &amp; Assumptions'!$C$13)+(IF('Inputs &amp; Assumptions'!$C$19="",SLOPE(Schedules!J13:L13,Schedules!J12:L12),'Inputs &amp; Assumptions'!$C$19)-(IF('Inputs &amp; Assumptions'!$C$13="",'Inputs &amp; Assumptions'!$C$12,'Inputs &amp; Assumptions'!$C$13)))*0.5^(10/(IF('Inputs &amp; Assumptions'!$C$16="",'Inputs &amp; Assumptions'!$C$15,'Inputs &amp; Assumptions'!$C$16))),IF('Inputs &amp; Assumptions'!$C$13="",'Inputs &amp; Assumptions'!$C$12,'Inputs &amp; Assumptions'!$C$13))</f>
        <v>0.15048420965037404</v>
      </c>
    </row>
    <row r="19" spans="1:12">
      <c r="B19" t="s">
        <v>59</v>
      </c>
      <c r="C19" s="118">
        <v>0.36880000000000002</v>
      </c>
      <c r="D19" s="118"/>
      <c r="E19" s="118"/>
      <c r="F19" s="118"/>
      <c r="G19" s="118"/>
      <c r="H19" s="118"/>
      <c r="I19" s="118"/>
      <c r="J19" s="118"/>
      <c r="K19" s="118"/>
      <c r="L19" s="118"/>
    </row>
    <row r="21" spans="1:12">
      <c r="A21" t="s">
        <v>27</v>
      </c>
      <c r="B21" s="116" t="s">
        <v>60</v>
      </c>
    </row>
    <row r="23" spans="1:12">
      <c r="B23" t="s">
        <v>61</v>
      </c>
      <c r="C23" s="119">
        <f>AVERAGE(Schedules!J24:L24)</f>
        <v>4.1451153776011366E-3</v>
      </c>
      <c r="D23" s="119">
        <f t="shared" ref="D23:L23" si="1">$C$23</f>
        <v>4.1451153776011366E-3</v>
      </c>
      <c r="E23" s="119">
        <f t="shared" si="1"/>
        <v>4.1451153776011366E-3</v>
      </c>
      <c r="F23" s="119">
        <f t="shared" si="1"/>
        <v>4.1451153776011366E-3</v>
      </c>
      <c r="G23" s="119">
        <f t="shared" si="1"/>
        <v>4.1451153776011366E-3</v>
      </c>
      <c r="H23" s="119">
        <f t="shared" si="1"/>
        <v>4.1451153776011366E-3</v>
      </c>
      <c r="I23" s="119">
        <f t="shared" si="1"/>
        <v>4.1451153776011366E-3</v>
      </c>
      <c r="J23" s="119">
        <f t="shared" si="1"/>
        <v>4.1451153776011366E-3</v>
      </c>
      <c r="K23" s="119">
        <f t="shared" si="1"/>
        <v>4.1451153776011366E-3</v>
      </c>
      <c r="L23" s="119">
        <f t="shared" si="1"/>
        <v>4.1451153776011366E-3</v>
      </c>
    </row>
    <row r="24" spans="1:12">
      <c r="B24" t="s">
        <v>62</v>
      </c>
      <c r="C24" s="120"/>
      <c r="D24" s="120"/>
      <c r="E24" s="120"/>
      <c r="F24" s="120"/>
      <c r="G24" s="120"/>
      <c r="H24" s="120"/>
      <c r="I24" s="120"/>
      <c r="J24" s="120"/>
      <c r="K24" s="120"/>
      <c r="L24" s="120"/>
    </row>
    <row r="26" spans="1:12">
      <c r="B26" t="s">
        <v>63</v>
      </c>
      <c r="C26" s="104">
        <f>IFERROR(IF('Inputs &amp; Assumptions'!$C$13="",'Inputs &amp; Assumptions'!$C$12,'Inputs &amp; Assumptions'!$C$13)+(IF('Inputs &amp; Assumptions'!$C$27="",SLOPE(Schedules!J25:L25,Schedules!J12:L12),'Inputs &amp; Assumptions'!$C$27)-(IF('Inputs &amp; Assumptions'!$C$13="",'Inputs &amp; Assumptions'!$C$12,'Inputs &amp; Assumptions'!$C$13)))*0.5^(1/(IF('Inputs &amp; Assumptions'!$C$16="",'Inputs &amp; Assumptions'!$C$15,'Inputs &amp; Assumptions'!$C$16))),IF('Inputs &amp; Assumptions'!$C$13="",'Inputs &amp; Assumptions'!$C$12,'Inputs &amp; Assumptions'!$C$13))</f>
        <v>0.33402942147132614</v>
      </c>
      <c r="D26" s="104">
        <f>IFERROR(IF('Inputs &amp; Assumptions'!$C$13="",'Inputs &amp; Assumptions'!$C$12,'Inputs &amp; Assumptions'!$C$13)+(IF('Inputs &amp; Assumptions'!$C$27="",SLOPE(Schedules!J25:L25,Schedules!J12:L12),'Inputs &amp; Assumptions'!$C$27)-(IF('Inputs &amp; Assumptions'!$C$13="",'Inputs &amp; Assumptions'!$C$12,'Inputs &amp; Assumptions'!$C$13)))*0.5^(2/(IF('Inputs &amp; Assumptions'!$C$16="",'Inputs &amp; Assumptions'!$C$15,'Inputs &amp; Assumptions'!$C$16))),IF('Inputs &amp; Assumptions'!$C$13="",'Inputs &amp; Assumptions'!$C$12,'Inputs &amp; Assumptions'!$C$13))</f>
        <v>0.30305235763113259</v>
      </c>
      <c r="E26" s="104">
        <f>IFERROR(IF('Inputs &amp; Assumptions'!$C$13="",'Inputs &amp; Assumptions'!$C$12,'Inputs &amp; Assumptions'!$C$13)+(IF('Inputs &amp; Assumptions'!$C$27="",SLOPE(Schedules!J25:L25,Schedules!J12:L12),'Inputs &amp; Assumptions'!$C$27)-(IF('Inputs &amp; Assumptions'!$C$13="",'Inputs &amp; Assumptions'!$C$12,'Inputs &amp; Assumptions'!$C$13)))*0.5^(3/(IF('Inputs &amp; Assumptions'!$C$16="",'Inputs &amp; Assumptions'!$C$15,'Inputs &amp; Assumptions'!$C$16))),IF('Inputs &amp; Assumptions'!$C$13="",'Inputs &amp; Assumptions'!$C$12,'Inputs &amp; Assumptions'!$C$13))</f>
        <v>0.27545493116415271</v>
      </c>
      <c r="F26" s="104">
        <f>IFERROR(IF('Inputs &amp; Assumptions'!$C$13="",'Inputs &amp; Assumptions'!$C$12,'Inputs &amp; Assumptions'!$C$13)+(IF('Inputs &amp; Assumptions'!$C$27="",SLOPE(Schedules!J25:L25,Schedules!J12:L12),'Inputs &amp; Assumptions'!$C$27)-(IF('Inputs &amp; Assumptions'!$C$13="",'Inputs &amp; Assumptions'!$C$12,'Inputs &amp; Assumptions'!$C$13)))*0.5^(4/(IF('Inputs &amp; Assumptions'!$C$16="",'Inputs &amp; Assumptions'!$C$15,'Inputs &amp; Assumptions'!$C$16))),IF('Inputs &amp; Assumptions'!$C$13="",'Inputs &amp; Assumptions'!$C$12,'Inputs &amp; Assumptions'!$C$13))</f>
        <v>0.25086841930074805</v>
      </c>
      <c r="G26" s="104">
        <f>IFERROR(IF('Inputs &amp; Assumptions'!$C$13="",'Inputs &amp; Assumptions'!$C$12,'Inputs &amp; Assumptions'!$C$13)+(IF('Inputs &amp; Assumptions'!$C$27="",SLOPE(Schedules!J25:L25,Schedules!J12:L12),'Inputs &amp; Assumptions'!$C$27)-(IF('Inputs &amp; Assumptions'!$C$13="",'Inputs &amp; Assumptions'!$C$12,'Inputs &amp; Assumptions'!$C$13)))*0.5^(5/(IF('Inputs &amp; Assumptions'!$C$16="",'Inputs &amp; Assumptions'!$C$15,'Inputs &amp; Assumptions'!$C$16))),IF('Inputs &amp; Assumptions'!$C$13="",'Inputs &amp; Assumptions'!$C$12,'Inputs &amp; Assumptions'!$C$13))</f>
        <v>0.2289643273980986</v>
      </c>
      <c r="H26" s="104">
        <f>IFERROR(IF('Inputs &amp; Assumptions'!$C$13="",'Inputs &amp; Assumptions'!$C$12,'Inputs &amp; Assumptions'!$C$13)+(IF('Inputs &amp; Assumptions'!$C$27="",SLOPE(Schedules!J25:L25,Schedules!J12:L12),'Inputs &amp; Assumptions'!$C$27)-(IF('Inputs &amp; Assumptions'!$C$13="",'Inputs &amp; Assumptions'!$C$12,'Inputs &amp; Assumptions'!$C$13)))*0.5^(6/(IF('Inputs &amp; Assumptions'!$C$16="",'Inputs &amp; Assumptions'!$C$15,'Inputs &amp; Assumptions'!$C$16))),IF('Inputs &amp; Assumptions'!$C$13="",'Inputs &amp; Assumptions'!$C$12,'Inputs &amp; Assumptions'!$C$13))</f>
        <v>0.20945000000000003</v>
      </c>
      <c r="I26" s="104">
        <f>IFERROR(IF('Inputs &amp; Assumptions'!$C$13="",'Inputs &amp; Assumptions'!$C$12,'Inputs &amp; Assumptions'!$C$13)+(IF('Inputs &amp; Assumptions'!$C$27="",SLOPE(Schedules!J25:L25,Schedules!J12:L12),'Inputs &amp; Assumptions'!$C$27)-(IF('Inputs &amp; Assumptions'!$C$13="",'Inputs &amp; Assumptions'!$C$12,'Inputs &amp; Assumptions'!$C$13)))*0.5^(7/(IF('Inputs &amp; Assumptions'!$C$16="",'Inputs &amp; Assumptions'!$C$15,'Inputs &amp; Assumptions'!$C$16))),IF('Inputs &amp; Assumptions'!$C$13="",'Inputs &amp; Assumptions'!$C$12,'Inputs &amp; Assumptions'!$C$13))</f>
        <v>0.19206471073566309</v>
      </c>
      <c r="J26" s="104">
        <f>IFERROR(IF('Inputs &amp; Assumptions'!$C$13="",'Inputs &amp; Assumptions'!$C$12,'Inputs &amp; Assumptions'!$C$13)+(IF('Inputs &amp; Assumptions'!$C$27="",SLOPE(Schedules!J25:L25,Schedules!J12:L12),'Inputs &amp; Assumptions'!$C$27)-(IF('Inputs &amp; Assumptions'!$C$13="",'Inputs &amp; Assumptions'!$C$12,'Inputs &amp; Assumptions'!$C$13)))*0.5^(8/(IF('Inputs &amp; Assumptions'!$C$16="",'Inputs &amp; Assumptions'!$C$15,'Inputs &amp; Assumptions'!$C$16))),IF('Inputs &amp; Assumptions'!$C$13="",'Inputs &amp; Assumptions'!$C$12,'Inputs &amp; Assumptions'!$C$13))</f>
        <v>0.17657617881556631</v>
      </c>
      <c r="K26" s="104">
        <f>IFERROR(IF('Inputs &amp; Assumptions'!$C$13="",'Inputs &amp; Assumptions'!$C$12,'Inputs &amp; Assumptions'!$C$13)+(IF('Inputs &amp; Assumptions'!$C$27="",SLOPE(Schedules!J25:L25,Schedules!J12:L12),'Inputs &amp; Assumptions'!$C$27)-(IF('Inputs &amp; Assumptions'!$C$13="",'Inputs &amp; Assumptions'!$C$12,'Inputs &amp; Assumptions'!$C$13)))*0.5^(9/(IF('Inputs &amp; Assumptions'!$C$16="",'Inputs &amp; Assumptions'!$C$15,'Inputs &amp; Assumptions'!$C$16))),IF('Inputs &amp; Assumptions'!$C$13="",'Inputs &amp; Assumptions'!$C$12,'Inputs &amp; Assumptions'!$C$13))</f>
        <v>0.16277746558207637</v>
      </c>
      <c r="L26" s="104">
        <f>IFERROR(IF('Inputs &amp; Assumptions'!$C$13="",'Inputs &amp; Assumptions'!$C$12,'Inputs &amp; Assumptions'!$C$13)+(IF('Inputs &amp; Assumptions'!$C$27="",SLOPE(Schedules!J25:L25,Schedules!J12:L12),'Inputs &amp; Assumptions'!$C$27)-(IF('Inputs &amp; Assumptions'!$C$13="",'Inputs &amp; Assumptions'!$C$12,'Inputs &amp; Assumptions'!$C$13)))*0.5^(10/(IF('Inputs &amp; Assumptions'!$C$16="",'Inputs &amp; Assumptions'!$C$15,'Inputs &amp; Assumptions'!$C$16))),IF('Inputs &amp; Assumptions'!$C$13="",'Inputs &amp; Assumptions'!$C$12,'Inputs &amp; Assumptions'!$C$13))</f>
        <v>0.15048420965037404</v>
      </c>
    </row>
    <row r="27" spans="1:12">
      <c r="B27" t="s">
        <v>64</v>
      </c>
      <c r="C27" s="118">
        <v>0.36880000000000002</v>
      </c>
      <c r="D27" s="118"/>
      <c r="E27" s="118"/>
      <c r="F27" s="118"/>
      <c r="G27" s="118"/>
      <c r="H27" s="118"/>
      <c r="I27" s="118"/>
      <c r="J27" s="118"/>
      <c r="K27" s="118"/>
      <c r="L27" s="118"/>
    </row>
    <row r="29" spans="1:12">
      <c r="A29" t="s">
        <v>27</v>
      </c>
      <c r="B29" s="116" t="s">
        <v>65</v>
      </c>
    </row>
    <row r="31" spans="1:12">
      <c r="B31" t="s">
        <v>66</v>
      </c>
      <c r="C31" s="119">
        <f>AVERAGE(Schedules!J33:L33)</f>
        <v>-0.62528479790444391</v>
      </c>
      <c r="D31" s="119">
        <f t="shared" ref="D31:L31" si="2">$C$31</f>
        <v>-0.62528479790444391</v>
      </c>
      <c r="E31" s="119">
        <f t="shared" si="2"/>
        <v>-0.62528479790444391</v>
      </c>
      <c r="F31" s="119">
        <f t="shared" si="2"/>
        <v>-0.62528479790444391</v>
      </c>
      <c r="G31" s="119">
        <f t="shared" si="2"/>
        <v>-0.62528479790444391</v>
      </c>
      <c r="H31" s="119">
        <f t="shared" si="2"/>
        <v>-0.62528479790444391</v>
      </c>
      <c r="I31" s="119">
        <f t="shared" si="2"/>
        <v>-0.62528479790444391</v>
      </c>
      <c r="J31" s="119">
        <f t="shared" si="2"/>
        <v>-0.62528479790444391</v>
      </c>
      <c r="K31" s="119">
        <f t="shared" si="2"/>
        <v>-0.62528479790444391</v>
      </c>
      <c r="L31" s="119">
        <f t="shared" si="2"/>
        <v>-0.62528479790444391</v>
      </c>
    </row>
    <row r="32" spans="1:12">
      <c r="B32" t="s">
        <v>67</v>
      </c>
      <c r="C32" s="120"/>
      <c r="D32" s="120"/>
      <c r="E32" s="120"/>
      <c r="F32" s="120"/>
      <c r="G32" s="120"/>
      <c r="H32" s="120"/>
      <c r="I32" s="120"/>
      <c r="J32" s="120"/>
      <c r="K32" s="120"/>
      <c r="L32" s="120"/>
    </row>
    <row r="34" spans="1:12">
      <c r="B34" t="s">
        <v>68</v>
      </c>
      <c r="C34" s="121">
        <f>AVERAGE(Schedules!J40:L40)</f>
        <v>101.14164118880187</v>
      </c>
      <c r="D34" s="121">
        <f t="shared" ref="D34:L34" si="3">$C$34</f>
        <v>101.14164118880187</v>
      </c>
      <c r="E34" s="121">
        <f t="shared" si="3"/>
        <v>101.14164118880187</v>
      </c>
      <c r="F34" s="121">
        <f t="shared" si="3"/>
        <v>101.14164118880187</v>
      </c>
      <c r="G34" s="121">
        <f t="shared" si="3"/>
        <v>101.14164118880187</v>
      </c>
      <c r="H34" s="121">
        <f t="shared" si="3"/>
        <v>101.14164118880187</v>
      </c>
      <c r="I34" s="121">
        <f t="shared" si="3"/>
        <v>101.14164118880187</v>
      </c>
      <c r="J34" s="121">
        <f t="shared" si="3"/>
        <v>101.14164118880187</v>
      </c>
      <c r="K34" s="121">
        <f t="shared" si="3"/>
        <v>101.14164118880187</v>
      </c>
      <c r="L34" s="121">
        <f t="shared" si="3"/>
        <v>101.14164118880187</v>
      </c>
    </row>
    <row r="35" spans="1:12">
      <c r="B35" t="s">
        <v>69</v>
      </c>
      <c r="C35" s="122"/>
      <c r="D35" s="122"/>
      <c r="E35" s="122"/>
      <c r="F35" s="122"/>
      <c r="G35" s="122"/>
      <c r="H35" s="122"/>
      <c r="I35" s="122"/>
      <c r="J35" s="122"/>
      <c r="K35" s="122"/>
      <c r="L35" s="122"/>
    </row>
    <row r="37" spans="1:12">
      <c r="B37" t="s">
        <v>70</v>
      </c>
      <c r="C37" s="121">
        <f>AVERAGE(Schedules!J41:L41)</f>
        <v>185.93274060753086</v>
      </c>
      <c r="D37" s="121">
        <f t="shared" ref="D37:L37" si="4">$C$37</f>
        <v>185.93274060753086</v>
      </c>
      <c r="E37" s="121">
        <f t="shared" si="4"/>
        <v>185.93274060753086</v>
      </c>
      <c r="F37" s="121">
        <f t="shared" si="4"/>
        <v>185.93274060753086</v>
      </c>
      <c r="G37" s="121">
        <f t="shared" si="4"/>
        <v>185.93274060753086</v>
      </c>
      <c r="H37" s="121">
        <f t="shared" si="4"/>
        <v>185.93274060753086</v>
      </c>
      <c r="I37" s="121">
        <f t="shared" si="4"/>
        <v>185.93274060753086</v>
      </c>
      <c r="J37" s="121">
        <f t="shared" si="4"/>
        <v>185.93274060753086</v>
      </c>
      <c r="K37" s="121">
        <f t="shared" si="4"/>
        <v>185.93274060753086</v>
      </c>
      <c r="L37" s="121">
        <f t="shared" si="4"/>
        <v>185.93274060753086</v>
      </c>
    </row>
    <row r="38" spans="1:12">
      <c r="B38" t="s">
        <v>71</v>
      </c>
      <c r="C38" s="122"/>
      <c r="D38" s="122"/>
      <c r="E38" s="122"/>
      <c r="F38" s="122"/>
      <c r="G38" s="122"/>
      <c r="H38" s="122"/>
      <c r="I38" s="122"/>
      <c r="J38" s="122"/>
      <c r="K38" s="122"/>
      <c r="L38" s="122"/>
    </row>
    <row r="40" spans="1:12">
      <c r="B40" t="s">
        <v>72</v>
      </c>
      <c r="C40" s="121">
        <f>AVERAGE(Schedules!J42:L42)</f>
        <v>135.49783053598091</v>
      </c>
      <c r="D40" s="121">
        <f t="shared" ref="D40:L40" si="5">$C$40</f>
        <v>135.49783053598091</v>
      </c>
      <c r="E40" s="121">
        <f t="shared" si="5"/>
        <v>135.49783053598091</v>
      </c>
      <c r="F40" s="121">
        <f t="shared" si="5"/>
        <v>135.49783053598091</v>
      </c>
      <c r="G40" s="121">
        <f t="shared" si="5"/>
        <v>135.49783053598091</v>
      </c>
      <c r="H40" s="121">
        <f t="shared" si="5"/>
        <v>135.49783053598091</v>
      </c>
      <c r="I40" s="121">
        <f t="shared" si="5"/>
        <v>135.49783053598091</v>
      </c>
      <c r="J40" s="121">
        <f t="shared" si="5"/>
        <v>135.49783053598091</v>
      </c>
      <c r="K40" s="121">
        <f t="shared" si="5"/>
        <v>135.49783053598091</v>
      </c>
      <c r="L40" s="121">
        <f t="shared" si="5"/>
        <v>135.49783053598091</v>
      </c>
    </row>
    <row r="41" spans="1:12">
      <c r="B41" t="s">
        <v>73</v>
      </c>
      <c r="C41" s="122"/>
      <c r="D41" s="122"/>
      <c r="E41" s="122"/>
      <c r="F41" s="122"/>
      <c r="G41" s="122"/>
      <c r="H41" s="122"/>
      <c r="I41" s="122"/>
      <c r="J41" s="122"/>
      <c r="K41" s="122"/>
      <c r="L41" s="122"/>
    </row>
    <row r="43" spans="1:12">
      <c r="A43" t="s">
        <v>27</v>
      </c>
      <c r="B43" s="116" t="s">
        <v>74</v>
      </c>
    </row>
    <row r="45" spans="1:12">
      <c r="B45" t="s">
        <v>75</v>
      </c>
      <c r="C45" s="104">
        <f>(IF('Inputs &amp; Assumptions'!$C$13="",'Inputs &amp; Assumptions'!$C$12,'Inputs &amp; Assumptions'!$C$13)+(IF('Inputs &amp; Assumptions'!$C$46="",MIN(SLOPE(Schedules!J74:L74,Schedules!J70:L70),'WACC Schedule'!$C$21),'Inputs &amp; Assumptions'!$C$46)-(IF('Inputs &amp; Assumptions'!$C$13="",'Inputs &amp; Assumptions'!$C$12,'Inputs &amp; Assumptions'!$C$13)))*0.5^(1/(IF('Inputs &amp; Assumptions'!$C$16="",'Inputs &amp; Assumptions'!$C$15,'Inputs &amp; Assumptions'!$C$16))))</f>
        <v>4.7536034392669874E-2</v>
      </c>
      <c r="D45" s="104">
        <f>(IF('Inputs &amp; Assumptions'!$C$13="",'Inputs &amp; Assumptions'!$C$12,'Inputs &amp; Assumptions'!$C$13)+(IF('Inputs &amp; Assumptions'!$C$46="",MIN(SLOPE(Schedules!J74:L74,Schedules!J70:L70),'WACC Schedule'!$C$21),'Inputs &amp; Assumptions'!$C$46)-(IF('Inputs &amp; Assumptions'!$C$13="",'Inputs &amp; Assumptions'!$C$12,'Inputs &amp; Assumptions'!$C$13)))*0.5^(2/(IF('Inputs &amp; Assumptions'!$C$16="",'Inputs &amp; Assumptions'!$C$15,'Inputs &amp; Assumptions'!$C$16))))</f>
        <v>4.7815766327073676E-2</v>
      </c>
      <c r="E45" s="104">
        <f>(IF('Inputs &amp; Assumptions'!$C$13="",'Inputs &amp; Assumptions'!$C$12,'Inputs &amp; Assumptions'!$C$13)+(IF('Inputs &amp; Assumptions'!$C$46="",MIN(SLOPE(Schedules!J74:L74,Schedules!J70:L70),'WACC Schedule'!$C$21),'Inputs &amp; Assumptions'!$C$46)-(IF('Inputs &amp; Assumptions'!$C$13="",'Inputs &amp; Assumptions'!$C$12,'Inputs &amp; Assumptions'!$C$13)))*0.5^(3/(IF('Inputs &amp; Assumptions'!$C$16="",'Inputs &amp; Assumptions'!$C$15,'Inputs &amp; Assumptions'!$C$16))))</f>
        <v>4.8064979148856934E-2</v>
      </c>
      <c r="F45" s="104">
        <f>(IF('Inputs &amp; Assumptions'!$C$13="",'Inputs &amp; Assumptions'!$C$12,'Inputs &amp; Assumptions'!$C$13)+(IF('Inputs &amp; Assumptions'!$C$46="",MIN(SLOPE(Schedules!J74:L74,Schedules!J70:L70),'WACC Schedule'!$C$21),'Inputs &amp; Assumptions'!$C$46)-(IF('Inputs &amp; Assumptions'!$C$13="",'Inputs &amp; Assumptions'!$C$12,'Inputs &amp; Assumptions'!$C$13)))*0.5^(4/(IF('Inputs &amp; Assumptions'!$C$16="",'Inputs &amp; Assumptions'!$C$15,'Inputs &amp; Assumptions'!$C$16))))</f>
        <v>4.8287002532327782E-2</v>
      </c>
      <c r="G45" s="104">
        <f>(IF('Inputs &amp; Assumptions'!$C$13="",'Inputs &amp; Assumptions'!$C$12,'Inputs &amp; Assumptions'!$C$13)+(IF('Inputs &amp; Assumptions'!$C$46="",MIN(SLOPE(Schedules!J74:L74,Schedules!J70:L70),'WACC Schedule'!$C$21),'Inputs &amp; Assumptions'!$C$46)-(IF('Inputs &amp; Assumptions'!$C$13="",'Inputs &amp; Assumptions'!$C$12,'Inputs &amp; Assumptions'!$C$13)))*0.5^(5/(IF('Inputs &amp; Assumptions'!$C$16="",'Inputs &amp; Assumptions'!$C$15,'Inputs &amp; Assumptions'!$C$16))))</f>
        <v>4.8484802880059144E-2</v>
      </c>
      <c r="H45" s="104">
        <f>(IF('Inputs &amp; Assumptions'!$C$13="",'Inputs &amp; Assumptions'!$C$12,'Inputs &amp; Assumptions'!$C$13)+(IF('Inputs &amp; Assumptions'!$C$46="",MIN(SLOPE(Schedules!J74:L74,Schedules!J70:L70),'WACC Schedule'!$C$21),'Inputs &amp; Assumptions'!$C$46)-(IF('Inputs &amp; Assumptions'!$C$13="",'Inputs &amp; Assumptions'!$C$12,'Inputs &amp; Assumptions'!$C$13)))*0.5^(6/(IF('Inputs &amp; Assumptions'!$C$16="",'Inputs &amp; Assumptions'!$C$15,'Inputs &amp; Assumptions'!$C$16))))</f>
        <v>4.8661022956300717E-2</v>
      </c>
      <c r="I45" s="104">
        <f>(IF('Inputs &amp; Assumptions'!$C$13="",'Inputs &amp; Assumptions'!$C$12,'Inputs &amp; Assumptions'!$C$13)+(IF('Inputs &amp; Assumptions'!$C$46="",MIN(SLOPE(Schedules!J74:L74,Schedules!J70:L70),'WACC Schedule'!$C$21),'Inputs &amp; Assumptions'!$C$46)-(IF('Inputs &amp; Assumptions'!$C$13="",'Inputs &amp; Assumptions'!$C$12,'Inputs &amp; Assumptions'!$C$13)))*0.5^(7/(IF('Inputs &amp; Assumptions'!$C$16="",'Inputs &amp; Assumptions'!$C$15,'Inputs &amp; Assumptions'!$C$16))))</f>
        <v>4.881801719633494E-2</v>
      </c>
      <c r="J45" s="104">
        <f>(IF('Inputs &amp; Assumptions'!$C$13="",'Inputs &amp; Assumptions'!$C$12,'Inputs &amp; Assumptions'!$C$13)+(IF('Inputs &amp; Assumptions'!$C$46="",MIN(SLOPE(Schedules!J74:L74,Schedules!J70:L70),'WACC Schedule'!$C$21),'Inputs &amp; Assumptions'!$C$46)-(IF('Inputs &amp; Assumptions'!$C$13="",'Inputs &amp; Assumptions'!$C$12,'Inputs &amp; Assumptions'!$C$13)))*0.5^(8/(IF('Inputs &amp; Assumptions'!$C$16="",'Inputs &amp; Assumptions'!$C$15,'Inputs &amp; Assumptions'!$C$16))))</f>
        <v>4.8957883163536838E-2</v>
      </c>
      <c r="K45" s="104">
        <f>(IF('Inputs &amp; Assumptions'!$C$13="",'Inputs &amp; Assumptions'!$C$12,'Inputs &amp; Assumptions'!$C$13)+(IF('Inputs &amp; Assumptions'!$C$46="",MIN(SLOPE(Schedules!J74:L74,Schedules!J70:L70),'WACC Schedule'!$C$21),'Inputs &amp; Assumptions'!$C$46)-(IF('Inputs &amp; Assumptions'!$C$13="",'Inputs &amp; Assumptions'!$C$12,'Inputs &amp; Assumptions'!$C$13)))*0.5^(9/(IF('Inputs &amp; Assumptions'!$C$16="",'Inputs &amp; Assumptions'!$C$15,'Inputs &amp; Assumptions'!$C$16))))</f>
        <v>4.908248957442847E-2</v>
      </c>
      <c r="L45" s="104">
        <f>(IF('Inputs &amp; Assumptions'!$C$13="",'Inputs &amp; Assumptions'!$C$12,'Inputs &amp; Assumptions'!$C$13)+(IF('Inputs &amp; Assumptions'!$C$46="",MIN(SLOPE(Schedules!J74:L74,Schedules!J70:L70),'WACC Schedule'!$C$21),'Inputs &amp; Assumptions'!$C$46)-(IF('Inputs &amp; Assumptions'!$C$13="",'Inputs &amp; Assumptions'!$C$12,'Inputs &amp; Assumptions'!$C$13)))*0.5^(10/(IF('Inputs &amp; Assumptions'!$C$16="",'Inputs &amp; Assumptions'!$C$15,'Inputs &amp; Assumptions'!$C$16))))</f>
        <v>4.919350126616389E-2</v>
      </c>
    </row>
    <row r="46" spans="1:12">
      <c r="B46" t="s">
        <v>76</v>
      </c>
      <c r="C46" s="118"/>
      <c r="D46" s="118"/>
      <c r="E46" s="118"/>
      <c r="F46" s="118"/>
      <c r="G46" s="118"/>
      <c r="H46" s="118"/>
      <c r="I46" s="118"/>
      <c r="J46" s="118"/>
      <c r="K46" s="118"/>
      <c r="L46" s="118"/>
    </row>
    <row r="48" spans="1:12">
      <c r="B48" t="s">
        <v>77</v>
      </c>
      <c r="C48" s="117">
        <v>15</v>
      </c>
    </row>
    <row r="49" spans="1:12">
      <c r="B49" t="s">
        <v>78</v>
      </c>
      <c r="C49" s="118"/>
    </row>
    <row r="51" spans="1:12">
      <c r="B51" t="s">
        <v>79</v>
      </c>
      <c r="C51" s="119">
        <f>AVERAGE(Schedules!J77:L77)</f>
        <v>0</v>
      </c>
      <c r="D51" s="119">
        <f t="shared" ref="D51:L51" si="6">$C$51</f>
        <v>0</v>
      </c>
      <c r="E51" s="119">
        <f t="shared" si="6"/>
        <v>0</v>
      </c>
      <c r="F51" s="119">
        <f t="shared" si="6"/>
        <v>0</v>
      </c>
      <c r="G51" s="119">
        <f t="shared" si="6"/>
        <v>0</v>
      </c>
      <c r="H51" s="119">
        <f t="shared" si="6"/>
        <v>0</v>
      </c>
      <c r="I51" s="119">
        <f t="shared" si="6"/>
        <v>0</v>
      </c>
      <c r="J51" s="119">
        <f t="shared" si="6"/>
        <v>0</v>
      </c>
      <c r="K51" s="119">
        <f t="shared" si="6"/>
        <v>0</v>
      </c>
      <c r="L51" s="119">
        <f t="shared" si="6"/>
        <v>0</v>
      </c>
    </row>
    <row r="52" spans="1:12">
      <c r="B52" t="s">
        <v>80</v>
      </c>
      <c r="C52" s="120"/>
      <c r="D52" s="120"/>
      <c r="E52" s="120"/>
      <c r="F52" s="120"/>
      <c r="G52" s="120"/>
      <c r="H52" s="120"/>
      <c r="I52" s="120"/>
      <c r="J52" s="120"/>
      <c r="K52" s="120"/>
      <c r="L52" s="120"/>
    </row>
    <row r="54" spans="1:12">
      <c r="B54" t="s">
        <v>81</v>
      </c>
      <c r="C54" s="119">
        <f>AVERAGE(Schedules!J78:L78)</f>
        <v>0</v>
      </c>
      <c r="D54" s="119">
        <f t="shared" ref="D54:L54" si="7">$C$54</f>
        <v>0</v>
      </c>
      <c r="E54" s="119">
        <f t="shared" si="7"/>
        <v>0</v>
      </c>
      <c r="F54" s="119">
        <f t="shared" si="7"/>
        <v>0</v>
      </c>
      <c r="G54" s="119">
        <f t="shared" si="7"/>
        <v>0</v>
      </c>
      <c r="H54" s="119">
        <f t="shared" si="7"/>
        <v>0</v>
      </c>
      <c r="I54" s="119">
        <f t="shared" si="7"/>
        <v>0</v>
      </c>
      <c r="J54" s="119">
        <f t="shared" si="7"/>
        <v>0</v>
      </c>
      <c r="K54" s="119">
        <f t="shared" si="7"/>
        <v>0</v>
      </c>
      <c r="L54" s="119">
        <f t="shared" si="7"/>
        <v>0</v>
      </c>
    </row>
    <row r="55" spans="1:12">
      <c r="B55" t="s">
        <v>82</v>
      </c>
      <c r="C55" s="120"/>
      <c r="D55" s="120"/>
      <c r="E55" s="120"/>
      <c r="F55" s="120"/>
      <c r="G55" s="120"/>
      <c r="H55" s="120"/>
      <c r="I55" s="120"/>
      <c r="J55" s="120"/>
      <c r="K55" s="120"/>
      <c r="L55" s="120"/>
    </row>
    <row r="57" spans="1:12">
      <c r="B57" t="s">
        <v>83</v>
      </c>
      <c r="C57" s="119">
        <f>AVERAGE(Schedules!J79:L79)</f>
        <v>0</v>
      </c>
      <c r="D57" s="119">
        <f t="shared" ref="D57:L57" si="8">$C$57</f>
        <v>0</v>
      </c>
      <c r="E57" s="119">
        <f t="shared" si="8"/>
        <v>0</v>
      </c>
      <c r="F57" s="119">
        <f t="shared" si="8"/>
        <v>0</v>
      </c>
      <c r="G57" s="119">
        <f t="shared" si="8"/>
        <v>0</v>
      </c>
      <c r="H57" s="119">
        <f t="shared" si="8"/>
        <v>0</v>
      </c>
      <c r="I57" s="119">
        <f t="shared" si="8"/>
        <v>0</v>
      </c>
      <c r="J57" s="119">
        <f t="shared" si="8"/>
        <v>0</v>
      </c>
      <c r="K57" s="119">
        <f t="shared" si="8"/>
        <v>0</v>
      </c>
      <c r="L57" s="119">
        <f t="shared" si="8"/>
        <v>0</v>
      </c>
    </row>
    <row r="58" spans="1:12">
      <c r="B58" t="s">
        <v>84</v>
      </c>
      <c r="C58" s="120"/>
      <c r="D58" s="120"/>
      <c r="E58" s="120"/>
      <c r="F58" s="120"/>
      <c r="G58" s="120"/>
      <c r="H58" s="120"/>
      <c r="I58" s="120"/>
      <c r="J58" s="120"/>
      <c r="K58" s="120"/>
      <c r="L58" s="120"/>
    </row>
    <row r="60" spans="1:12">
      <c r="A60" t="s">
        <v>27</v>
      </c>
      <c r="B60" s="116" t="s">
        <v>85</v>
      </c>
    </row>
    <row r="62" spans="1:12">
      <c r="B62" t="s">
        <v>86</v>
      </c>
      <c r="C62" s="117">
        <v>0</v>
      </c>
    </row>
    <row r="63" spans="1:12">
      <c r="B63" t="s">
        <v>87</v>
      </c>
      <c r="C63" s="118"/>
    </row>
    <row r="65" spans="1:12">
      <c r="B65" t="s">
        <v>88</v>
      </c>
      <c r="C65" s="119">
        <f>SUM(Schedules!J98:L98)/SUM(Schedules!J96:L96)</f>
        <v>0.11104726936390263</v>
      </c>
      <c r="D65" s="119">
        <f t="shared" ref="D65:L65" si="9">$C$65</f>
        <v>0.11104726936390263</v>
      </c>
      <c r="E65" s="119">
        <f t="shared" si="9"/>
        <v>0.11104726936390263</v>
      </c>
      <c r="F65" s="119">
        <f t="shared" si="9"/>
        <v>0.11104726936390263</v>
      </c>
      <c r="G65" s="119">
        <f t="shared" si="9"/>
        <v>0.11104726936390263</v>
      </c>
      <c r="H65" s="119">
        <f t="shared" si="9"/>
        <v>0.11104726936390263</v>
      </c>
      <c r="I65" s="119">
        <f t="shared" si="9"/>
        <v>0.11104726936390263</v>
      </c>
      <c r="J65" s="119">
        <f t="shared" si="9"/>
        <v>0.11104726936390263</v>
      </c>
      <c r="K65" s="119">
        <f t="shared" si="9"/>
        <v>0.11104726936390263</v>
      </c>
      <c r="L65" s="119">
        <f t="shared" si="9"/>
        <v>0.11104726936390263</v>
      </c>
    </row>
    <row r="66" spans="1:12">
      <c r="B66" t="s">
        <v>89</v>
      </c>
      <c r="C66" s="120"/>
      <c r="D66" s="120"/>
      <c r="E66" s="120"/>
      <c r="F66" s="120"/>
      <c r="G66" s="120"/>
      <c r="H66" s="120"/>
      <c r="I66" s="120"/>
      <c r="J66" s="120"/>
      <c r="K66" s="120"/>
      <c r="L66" s="120"/>
    </row>
    <row r="68" spans="1:12">
      <c r="B68" t="s">
        <v>90</v>
      </c>
      <c r="C68" s="119">
        <f>MAX(0,MIN(0.95,(Schedules!L93/(Schedules!L93+(Schedules!L132+Schedules!L140)))))</f>
        <v>4.4346186052699542E-2</v>
      </c>
      <c r="D68" s="119">
        <f t="shared" ref="D68:L68" si="10">$C$68</f>
        <v>4.4346186052699542E-2</v>
      </c>
      <c r="E68" s="119">
        <f t="shared" si="10"/>
        <v>4.4346186052699542E-2</v>
      </c>
      <c r="F68" s="119">
        <f t="shared" si="10"/>
        <v>4.4346186052699542E-2</v>
      </c>
      <c r="G68" s="119">
        <f t="shared" si="10"/>
        <v>4.4346186052699542E-2</v>
      </c>
      <c r="H68" s="119">
        <f t="shared" si="10"/>
        <v>4.4346186052699542E-2</v>
      </c>
      <c r="I68" s="119">
        <f t="shared" si="10"/>
        <v>4.4346186052699542E-2</v>
      </c>
      <c r="J68" s="119">
        <f t="shared" si="10"/>
        <v>4.4346186052699542E-2</v>
      </c>
      <c r="K68" s="119">
        <f t="shared" si="10"/>
        <v>4.4346186052699542E-2</v>
      </c>
      <c r="L68" s="119">
        <f t="shared" si="10"/>
        <v>4.4346186052699542E-2</v>
      </c>
    </row>
    <row r="69" spans="1:12">
      <c r="B69" t="s">
        <v>91</v>
      </c>
      <c r="C69" s="120"/>
      <c r="D69" s="120"/>
      <c r="E69" s="120"/>
      <c r="F69" s="120"/>
      <c r="G69" s="120"/>
      <c r="H69" s="120"/>
      <c r="I69" s="120"/>
      <c r="J69" s="120"/>
      <c r="K69" s="120"/>
      <c r="L69" s="120"/>
    </row>
    <row r="71" spans="1:12">
      <c r="A71" t="s">
        <v>27</v>
      </c>
      <c r="B71" s="116" t="s">
        <v>92</v>
      </c>
    </row>
    <row r="73" spans="1:12">
      <c r="B73" t="s">
        <v>93</v>
      </c>
      <c r="C73" s="119">
        <v>0.25169999999999998</v>
      </c>
    </row>
    <row r="74" spans="1:12">
      <c r="B74" t="s">
        <v>94</v>
      </c>
      <c r="C74" s="120"/>
    </row>
    <row r="76" spans="1:12">
      <c r="B76" t="s">
        <v>95</v>
      </c>
      <c r="C76" s="119">
        <f>IFERROR(AVERAGEIFS(Schedules!J120:L120,Schedules!J119:L119,1),IFERROR(AVERAGEIFS(Schedules!C120:L120,Schedules!C119:L119,1),0))</f>
        <v>5.3198481126528899E-3</v>
      </c>
      <c r="D76" s="119">
        <f t="shared" ref="D76:L76" si="11">$C$76</f>
        <v>5.3198481126528899E-3</v>
      </c>
      <c r="E76" s="119">
        <f t="shared" si="11"/>
        <v>5.3198481126528899E-3</v>
      </c>
      <c r="F76" s="119">
        <f t="shared" si="11"/>
        <v>5.3198481126528899E-3</v>
      </c>
      <c r="G76" s="119">
        <f t="shared" si="11"/>
        <v>5.3198481126528899E-3</v>
      </c>
      <c r="H76" s="119">
        <f t="shared" si="11"/>
        <v>5.3198481126528899E-3</v>
      </c>
      <c r="I76" s="119">
        <f t="shared" si="11"/>
        <v>5.3198481126528899E-3</v>
      </c>
      <c r="J76" s="119">
        <f t="shared" si="11"/>
        <v>5.3198481126528899E-3</v>
      </c>
      <c r="K76" s="119">
        <f t="shared" si="11"/>
        <v>5.3198481126528899E-3</v>
      </c>
      <c r="L76" s="119">
        <f t="shared" si="11"/>
        <v>5.3198481126528899E-3</v>
      </c>
    </row>
    <row r="77" spans="1:12">
      <c r="B77" t="s">
        <v>96</v>
      </c>
      <c r="C77" s="120"/>
      <c r="D77" s="120"/>
      <c r="E77" s="120"/>
      <c r="F77" s="120"/>
      <c r="G77" s="120"/>
      <c r="H77" s="120"/>
      <c r="I77" s="120"/>
      <c r="J77" s="120"/>
      <c r="K77" s="120"/>
      <c r="L77" s="120"/>
    </row>
    <row r="79" spans="1:12">
      <c r="A79" t="s">
        <v>27</v>
      </c>
      <c r="B79" s="116" t="s">
        <v>97</v>
      </c>
    </row>
    <row r="81" spans="1:12">
      <c r="B81" t="s">
        <v>98</v>
      </c>
      <c r="C81" s="123">
        <f>AVERAGE(Schedules!J142:L142)</f>
        <v>0</v>
      </c>
      <c r="D81" s="123">
        <f t="shared" ref="D81:L81" si="12">$C$81</f>
        <v>0</v>
      </c>
      <c r="E81" s="123">
        <f t="shared" si="12"/>
        <v>0</v>
      </c>
      <c r="F81" s="123">
        <f t="shared" si="12"/>
        <v>0</v>
      </c>
      <c r="G81" s="123">
        <f t="shared" si="12"/>
        <v>0</v>
      </c>
      <c r="H81" s="123">
        <f t="shared" si="12"/>
        <v>0</v>
      </c>
      <c r="I81" s="123">
        <f t="shared" si="12"/>
        <v>0</v>
      </c>
      <c r="J81" s="123">
        <f t="shared" si="12"/>
        <v>0</v>
      </c>
      <c r="K81" s="123">
        <f t="shared" si="12"/>
        <v>0</v>
      </c>
      <c r="L81" s="123">
        <f t="shared" si="12"/>
        <v>0</v>
      </c>
    </row>
    <row r="82" spans="1:12">
      <c r="B82" t="s">
        <v>99</v>
      </c>
      <c r="C82" s="124"/>
      <c r="D82" s="124"/>
      <c r="E82" s="124"/>
      <c r="F82" s="124"/>
      <c r="G82" s="124"/>
      <c r="H82" s="124"/>
      <c r="I82" s="124"/>
      <c r="J82" s="124"/>
      <c r="K82" s="124"/>
      <c r="L82" s="124"/>
    </row>
    <row r="84" spans="1:12">
      <c r="A84" t="s">
        <v>27</v>
      </c>
      <c r="B84" s="116" t="s">
        <v>100</v>
      </c>
    </row>
    <row r="86" spans="1:12">
      <c r="B86" t="s">
        <v>101</v>
      </c>
      <c r="C86" s="119">
        <f>-AVERAGE('P&amp;L Schedule'!J9:L9)/AVERAGE('P&amp;L Schedule'!J7:L7)</f>
        <v>9.635364114281024E-2</v>
      </c>
      <c r="D86" s="119">
        <f t="shared" ref="D86:L86" si="13">$C$86</f>
        <v>9.635364114281024E-2</v>
      </c>
      <c r="E86" s="119">
        <f t="shared" si="13"/>
        <v>9.635364114281024E-2</v>
      </c>
      <c r="F86" s="119">
        <f t="shared" si="13"/>
        <v>9.635364114281024E-2</v>
      </c>
      <c r="G86" s="119">
        <f t="shared" si="13"/>
        <v>9.635364114281024E-2</v>
      </c>
      <c r="H86" s="119">
        <f t="shared" si="13"/>
        <v>9.635364114281024E-2</v>
      </c>
      <c r="I86" s="119">
        <f t="shared" si="13"/>
        <v>9.635364114281024E-2</v>
      </c>
      <c r="J86" s="119">
        <f t="shared" si="13"/>
        <v>9.635364114281024E-2</v>
      </c>
      <c r="K86" s="119">
        <f t="shared" si="13"/>
        <v>9.635364114281024E-2</v>
      </c>
      <c r="L86" s="119">
        <f t="shared" si="13"/>
        <v>9.635364114281024E-2</v>
      </c>
    </row>
    <row r="87" spans="1:12">
      <c r="B87" t="s">
        <v>102</v>
      </c>
      <c r="C87" s="120"/>
      <c r="D87" s="120"/>
      <c r="E87" s="120"/>
      <c r="F87" s="120"/>
      <c r="G87" s="120"/>
      <c r="H87" s="120"/>
      <c r="I87" s="120"/>
      <c r="J87" s="120"/>
      <c r="K87" s="120"/>
      <c r="L87" s="120"/>
    </row>
    <row r="89" spans="1:12">
      <c r="B89" t="s">
        <v>103</v>
      </c>
      <c r="C89" s="119">
        <f>-AVERAGE('P&amp;L Schedule'!J10:L10)/AVERAGE('P&amp;L Schedule'!J7:L7)</f>
        <v>0.11827129942845807</v>
      </c>
      <c r="D89" s="119">
        <f t="shared" ref="D89:L89" si="14">$C$89</f>
        <v>0.11827129942845807</v>
      </c>
      <c r="E89" s="119">
        <f t="shared" si="14"/>
        <v>0.11827129942845807</v>
      </c>
      <c r="F89" s="119">
        <f t="shared" si="14"/>
        <v>0.11827129942845807</v>
      </c>
      <c r="G89" s="119">
        <f t="shared" si="14"/>
        <v>0.11827129942845807</v>
      </c>
      <c r="H89" s="119">
        <f t="shared" si="14"/>
        <v>0.11827129942845807</v>
      </c>
      <c r="I89" s="119">
        <f t="shared" si="14"/>
        <v>0.11827129942845807</v>
      </c>
      <c r="J89" s="119">
        <f t="shared" si="14"/>
        <v>0.11827129942845807</v>
      </c>
      <c r="K89" s="119">
        <f t="shared" si="14"/>
        <v>0.11827129942845807</v>
      </c>
      <c r="L89" s="119">
        <f t="shared" si="14"/>
        <v>0.11827129942845807</v>
      </c>
    </row>
    <row r="90" spans="1:12">
      <c r="B90" t="s">
        <v>104</v>
      </c>
      <c r="C90" s="120"/>
      <c r="D90" s="120"/>
      <c r="E90" s="120"/>
      <c r="F90" s="120"/>
      <c r="G90" s="120"/>
      <c r="H90" s="120"/>
      <c r="I90" s="120"/>
      <c r="J90" s="120"/>
      <c r="K90" s="120"/>
      <c r="L90" s="120"/>
    </row>
    <row r="92" spans="1:12">
      <c r="B92" t="s">
        <v>105</v>
      </c>
      <c r="C92" s="119">
        <f>AVERAGE('P&amp;L Schedule'!J16:L16)/AVERAGE('P&amp;L Schedule'!J7:L7)</f>
        <v>6.9022837734764881E-3</v>
      </c>
      <c r="D92" s="119">
        <f t="shared" ref="D92:L92" si="15">$C$92</f>
        <v>6.9022837734764881E-3</v>
      </c>
      <c r="E92" s="119">
        <f t="shared" si="15"/>
        <v>6.9022837734764881E-3</v>
      </c>
      <c r="F92" s="119">
        <f t="shared" si="15"/>
        <v>6.9022837734764881E-3</v>
      </c>
      <c r="G92" s="119">
        <f t="shared" si="15"/>
        <v>6.9022837734764881E-3</v>
      </c>
      <c r="H92" s="119">
        <f t="shared" si="15"/>
        <v>6.9022837734764881E-3</v>
      </c>
      <c r="I92" s="119">
        <f t="shared" si="15"/>
        <v>6.9022837734764881E-3</v>
      </c>
      <c r="J92" s="119">
        <f t="shared" si="15"/>
        <v>6.9022837734764881E-3</v>
      </c>
      <c r="K92" s="119">
        <f t="shared" si="15"/>
        <v>6.9022837734764881E-3</v>
      </c>
      <c r="L92" s="119">
        <f t="shared" si="15"/>
        <v>6.9022837734764881E-3</v>
      </c>
    </row>
    <row r="93" spans="1:12">
      <c r="B93" t="s">
        <v>106</v>
      </c>
      <c r="C93" s="120"/>
      <c r="D93" s="120"/>
      <c r="E93" s="120"/>
      <c r="F93" s="120"/>
      <c r="G93" s="120"/>
      <c r="H93" s="120"/>
      <c r="I93" s="120"/>
      <c r="J93" s="120"/>
      <c r="K93" s="120"/>
      <c r="L93" s="120"/>
    </row>
    <row r="95" spans="1:12">
      <c r="B95" t="s">
        <v>107</v>
      </c>
      <c r="C95" s="125">
        <f>AVERAGE('P&amp;L Schedule'!J30:L30)</f>
        <v>1.5247754805669462</v>
      </c>
      <c r="D95" s="125">
        <f t="shared" ref="D95:L95" si="16">$C$95</f>
        <v>1.5247754805669462</v>
      </c>
      <c r="E95" s="125">
        <f t="shared" si="16"/>
        <v>1.5247754805669462</v>
      </c>
      <c r="F95" s="125">
        <f t="shared" si="16"/>
        <v>1.5247754805669462</v>
      </c>
      <c r="G95" s="125">
        <f t="shared" si="16"/>
        <v>1.5247754805669462</v>
      </c>
      <c r="H95" s="125">
        <f t="shared" si="16"/>
        <v>1.5247754805669462</v>
      </c>
      <c r="I95" s="125">
        <f t="shared" si="16"/>
        <v>1.5247754805669462</v>
      </c>
      <c r="J95" s="125">
        <f t="shared" si="16"/>
        <v>1.5247754805669462</v>
      </c>
      <c r="K95" s="125">
        <f t="shared" si="16"/>
        <v>1.5247754805669462</v>
      </c>
      <c r="L95" s="125">
        <f t="shared" si="16"/>
        <v>1.5247754805669462</v>
      </c>
    </row>
    <row r="96" spans="1:12">
      <c r="B96" t="s">
        <v>108</v>
      </c>
      <c r="C96" s="126"/>
      <c r="D96" s="126"/>
      <c r="E96" s="126"/>
      <c r="F96" s="126"/>
      <c r="G96" s="126"/>
      <c r="H96" s="126"/>
      <c r="I96" s="126"/>
      <c r="J96" s="126"/>
      <c r="K96" s="126"/>
      <c r="L96" s="126"/>
    </row>
    <row r="98" spans="2:12">
      <c r="B98" t="s">
        <v>109</v>
      </c>
      <c r="C98" s="125">
        <f>AVERAGE('P&amp;L Schedule'!J32:L32)</f>
        <v>1.6883508510979583</v>
      </c>
      <c r="D98" s="125">
        <f t="shared" ref="D98:L98" si="17">$C$98</f>
        <v>1.6883508510979583</v>
      </c>
      <c r="E98" s="125">
        <f t="shared" si="17"/>
        <v>1.6883508510979583</v>
      </c>
      <c r="F98" s="125">
        <f t="shared" si="17"/>
        <v>1.6883508510979583</v>
      </c>
      <c r="G98" s="125">
        <f t="shared" si="17"/>
        <v>1.6883508510979583</v>
      </c>
      <c r="H98" s="125">
        <f t="shared" si="17"/>
        <v>1.6883508510979583</v>
      </c>
      <c r="I98" s="125">
        <f t="shared" si="17"/>
        <v>1.6883508510979583</v>
      </c>
      <c r="J98" s="125">
        <f t="shared" si="17"/>
        <v>1.6883508510979583</v>
      </c>
      <c r="K98" s="125">
        <f t="shared" si="17"/>
        <v>1.6883508510979583</v>
      </c>
      <c r="L98" s="125">
        <f t="shared" si="17"/>
        <v>1.6883508510979583</v>
      </c>
    </row>
    <row r="99" spans="2:12">
      <c r="B99" t="s">
        <v>110</v>
      </c>
      <c r="C99" s="126"/>
      <c r="D99" s="126"/>
      <c r="E99" s="126"/>
      <c r="F99" s="126"/>
      <c r="G99" s="126"/>
      <c r="H99" s="126"/>
      <c r="I99" s="126"/>
      <c r="J99" s="126"/>
      <c r="K99" s="126"/>
      <c r="L99" s="12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8"/>
  <sheetViews>
    <sheetView showGridLines="0" workbookViewId="0">
      <pane xSplit="4" ySplit="5" topLeftCell="E6" activePane="bottomRight" state="frozen"/>
      <selection pane="topRight"/>
      <selection pane="bottomLeft"/>
      <selection pane="bottomRight"/>
    </sheetView>
  </sheetViews>
  <sheetFormatPr defaultRowHeight="14.5"/>
  <cols>
    <col min="1" max="3" width="1.1796875" customWidth="1"/>
    <col min="4" max="4" width="55" customWidth="1"/>
    <col min="5" max="14" width="20" customWidth="1"/>
  </cols>
  <sheetData>
    <row r="1" spans="1:14" ht="24" customHeight="1">
      <c r="A1" s="174" t="s">
        <v>111</v>
      </c>
      <c r="B1" s="172"/>
      <c r="C1" s="172"/>
      <c r="D1" s="172"/>
      <c r="E1" s="172"/>
      <c r="F1" s="172"/>
      <c r="G1" s="172"/>
      <c r="H1" s="172"/>
      <c r="I1" s="172"/>
      <c r="J1" s="172"/>
      <c r="K1" s="172"/>
      <c r="L1" s="172"/>
      <c r="M1" s="172"/>
      <c r="N1" s="172"/>
    </row>
    <row r="2" spans="1:14">
      <c r="A2" s="173" t="s">
        <v>112</v>
      </c>
      <c r="B2" s="172"/>
      <c r="C2" s="172"/>
      <c r="D2" s="172"/>
      <c r="E2" s="172"/>
      <c r="F2" s="172"/>
      <c r="G2" s="172"/>
      <c r="H2" s="172"/>
      <c r="I2" s="172"/>
      <c r="J2" s="172"/>
      <c r="K2" s="172"/>
      <c r="L2" s="172"/>
      <c r="M2" s="172"/>
      <c r="N2" s="172"/>
    </row>
    <row r="5" spans="1:14" ht="15.5">
      <c r="A5" s="2" t="s">
        <v>27</v>
      </c>
      <c r="B5" s="3" t="s">
        <v>113</v>
      </c>
      <c r="C5" s="2"/>
      <c r="D5" s="2"/>
      <c r="E5" s="4" t="s">
        <v>30</v>
      </c>
      <c r="F5" s="4" t="s">
        <v>31</v>
      </c>
      <c r="G5" s="4" t="s">
        <v>32</v>
      </c>
      <c r="H5" s="4" t="s">
        <v>33</v>
      </c>
      <c r="I5" s="4" t="s">
        <v>34</v>
      </c>
      <c r="J5" s="4" t="s">
        <v>35</v>
      </c>
      <c r="K5" s="4" t="s">
        <v>36</v>
      </c>
      <c r="L5" s="4" t="s">
        <v>37</v>
      </c>
      <c r="M5" s="4" t="s">
        <v>38</v>
      </c>
      <c r="N5" s="4" t="s">
        <v>39</v>
      </c>
    </row>
    <row r="6" spans="1:14">
      <c r="A6" s="5"/>
      <c r="B6" s="6" t="s">
        <v>114</v>
      </c>
      <c r="C6" s="5"/>
      <c r="D6" s="5"/>
      <c r="E6" s="5"/>
      <c r="F6" s="5"/>
      <c r="G6" s="5"/>
      <c r="H6" s="5"/>
      <c r="I6" s="5"/>
      <c r="J6" s="5"/>
      <c r="K6" s="5"/>
      <c r="L6" s="5"/>
      <c r="M6" s="5"/>
      <c r="N6" s="5"/>
    </row>
    <row r="7" spans="1:14">
      <c r="C7" s="7" t="s">
        <v>115</v>
      </c>
      <c r="E7" s="8">
        <f>_xlfn.XLOOKUP("RevenueFromOperations",HS_CONSOLIDATED!$C:$C,HS_CONSOLIDATED!D:D,0,0,1)</f>
        <v>0</v>
      </c>
      <c r="F7" s="8">
        <f>_xlfn.XLOOKUP("RevenueFromOperations",HS_CONSOLIDATED!$C:$C,HS_CONSOLIDATED!E:E,0,0,1)</f>
        <v>127143700000</v>
      </c>
      <c r="G7" s="8">
        <f>_xlfn.XLOOKUP("RevenueFromOperations",HS_CONSOLIDATED!$C:$C,HS_CONSOLIDATED!F:F,0,0,1)</f>
        <v>83338400000</v>
      </c>
      <c r="H7" s="8">
        <f>_xlfn.XLOOKUP("RevenueFromOperations",HS_CONSOLIDATED!$C:$C,HS_CONSOLIDATED!G:G,0,0,1)</f>
        <v>50246900000</v>
      </c>
      <c r="I7" s="8">
        <f>_xlfn.XLOOKUP("RevenueFromOperations",HS_CONSOLIDATED!$C:$C,HS_CONSOLIDATED!H:H,0,0,1)</f>
        <v>29728500000</v>
      </c>
      <c r="J7" s="8">
        <f>_xlfn.XLOOKUP("RevenueFromOperations",HS_CONSOLIDATED!$C:$C,HS_CONSOLIDATED!I:I,0,0,1)</f>
        <v>33457200000</v>
      </c>
      <c r="K7" s="8">
        <f>_xlfn.XLOOKUP("RevenueFromOperations",HS_CONSOLIDATED!$C:$C,HS_CONSOLIDATED!J:J,0,0,1)</f>
        <v>65817800000</v>
      </c>
      <c r="L7" s="8">
        <f>_xlfn.XLOOKUP("RevenueFromOperations",HS_CONSOLIDATED!$C:$C,HS_CONSOLIDATED!K:K,0,0,1)</f>
        <v>59705300000</v>
      </c>
      <c r="M7" s="8">
        <f>_xlfn.XLOOKUP("RevenueFromOperations",HS_CONSOLIDATED!$C:$C,HS_CONSOLIDATED!L:L,0,0,1)</f>
        <v>65290900000</v>
      </c>
      <c r="N7" s="8">
        <f>_xlfn.XLOOKUP("RevenueFromOperations",HS_CONSOLIDATED!$C:$C,HS_CONSOLIDATED!M:M,0,0,1)</f>
        <v>108897400000</v>
      </c>
    </row>
    <row r="8" spans="1:14">
      <c r="C8" s="7" t="s">
        <v>116</v>
      </c>
      <c r="E8" s="8">
        <f>_xlfn.XLOOKUP("OtherIncome",HS_CONSOLIDATED!$C:$C,HS_CONSOLIDATED!D:D,0,0,1)</f>
        <v>0</v>
      </c>
      <c r="F8" s="8">
        <f>_xlfn.XLOOKUP("OtherIncome",HS_CONSOLIDATED!$C:$C,HS_CONSOLIDATED!E:E,0,0,1)</f>
        <v>888200000</v>
      </c>
      <c r="G8" s="8">
        <f>_xlfn.XLOOKUP("OtherIncome",HS_CONSOLIDATED!$C:$C,HS_CONSOLIDATED!F:F,0,0,1)</f>
        <v>791700000</v>
      </c>
      <c r="H8" s="8">
        <f>_xlfn.XLOOKUP("OtherIncome",HS_CONSOLIDATED!$C:$C,HS_CONSOLIDATED!G:G,0,0,1)</f>
        <v>499500000</v>
      </c>
      <c r="I8" s="8">
        <f>_xlfn.XLOOKUP("OtherIncome",HS_CONSOLIDATED!$C:$C,HS_CONSOLIDATED!H:H,0,0,1)</f>
        <v>275700000</v>
      </c>
      <c r="J8" s="8">
        <f>_xlfn.XLOOKUP("OtherIncome",HS_CONSOLIDATED!$C:$C,HS_CONSOLIDATED!I:I,0,0,1)</f>
        <v>198700000</v>
      </c>
      <c r="K8" s="8">
        <f>_xlfn.XLOOKUP("OtherIncome",HS_CONSOLIDATED!$C:$C,HS_CONSOLIDATED!J:J,0,0,1)</f>
        <v>221900000</v>
      </c>
      <c r="L8" s="8">
        <f>_xlfn.XLOOKUP("OtherIncome",HS_CONSOLIDATED!$C:$C,HS_CONSOLIDATED!K:K,0,0,1)</f>
        <v>196300000</v>
      </c>
      <c r="M8" s="8">
        <f>_xlfn.XLOOKUP("OtherIncome",HS_CONSOLIDATED!$C:$C,HS_CONSOLIDATED!L:L,0,0,1)</f>
        <v>384200000</v>
      </c>
      <c r="N8" s="8">
        <f>_xlfn.XLOOKUP("OtherIncome",HS_CONSOLIDATED!$C:$C,HS_CONSOLIDATED!M:M,0,0,1)</f>
        <v>1033900000</v>
      </c>
    </row>
    <row r="9" spans="1:14">
      <c r="A9" s="9"/>
      <c r="B9" s="9"/>
      <c r="C9" s="10" t="s">
        <v>117</v>
      </c>
      <c r="D9" s="9"/>
      <c r="E9" s="11">
        <f t="shared" ref="E9:N9" si="0">IFERROR(SUM(E7:E8),0)</f>
        <v>0</v>
      </c>
      <c r="F9" s="11">
        <f t="shared" si="0"/>
        <v>128031900000</v>
      </c>
      <c r="G9" s="11">
        <f t="shared" si="0"/>
        <v>84130100000</v>
      </c>
      <c r="H9" s="11">
        <f t="shared" si="0"/>
        <v>50746400000</v>
      </c>
      <c r="I9" s="11">
        <f t="shared" si="0"/>
        <v>30004200000</v>
      </c>
      <c r="J9" s="11">
        <f t="shared" si="0"/>
        <v>33655900000</v>
      </c>
      <c r="K9" s="11">
        <f t="shared" si="0"/>
        <v>66039700000</v>
      </c>
      <c r="L9" s="11">
        <f t="shared" si="0"/>
        <v>59901600000</v>
      </c>
      <c r="M9" s="11">
        <f t="shared" si="0"/>
        <v>65675100000</v>
      </c>
      <c r="N9" s="11">
        <f t="shared" si="0"/>
        <v>109931300000</v>
      </c>
    </row>
    <row r="10" spans="1:14">
      <c r="A10" s="5"/>
      <c r="B10" s="6" t="s">
        <v>118</v>
      </c>
      <c r="C10" s="5"/>
      <c r="D10" s="5"/>
      <c r="E10" s="5"/>
      <c r="F10" s="5"/>
      <c r="G10" s="5"/>
      <c r="H10" s="5"/>
      <c r="I10" s="5"/>
      <c r="J10" s="5"/>
      <c r="K10" s="5"/>
      <c r="L10" s="5"/>
      <c r="M10" s="5"/>
      <c r="N10" s="5"/>
    </row>
    <row r="11" spans="1:14">
      <c r="C11" s="7" t="s">
        <v>119</v>
      </c>
      <c r="E11" s="8">
        <f>-_xlfn.XLOOKUP("CostOfMaterialsConsumed",HS_CONSOLIDATED!$C:$C,HS_CONSOLIDATED!D:D,0,0,1)</f>
        <v>0</v>
      </c>
      <c r="F11" s="8">
        <f>-_xlfn.XLOOKUP("CostOfMaterialsConsumed",HS_CONSOLIDATED!$C:$C,HS_CONSOLIDATED!E:E,0,0,1)</f>
        <v>-82914400000</v>
      </c>
      <c r="G11" s="8">
        <f>-_xlfn.XLOOKUP("CostOfMaterialsConsumed",HS_CONSOLIDATED!$C:$C,HS_CONSOLIDATED!F:F,0,0,1)</f>
        <v>-40319900000</v>
      </c>
      <c r="H11" s="8">
        <f>-_xlfn.XLOOKUP("CostOfMaterialsConsumed",HS_CONSOLIDATED!$C:$C,HS_CONSOLIDATED!G:G,0,0,1)</f>
        <v>-29565000000</v>
      </c>
      <c r="I11" s="8">
        <f>-_xlfn.XLOOKUP("CostOfMaterialsConsumed",HS_CONSOLIDATED!$C:$C,HS_CONSOLIDATED!H:H,0,0,1)</f>
        <v>-14044100000</v>
      </c>
      <c r="J11" s="8">
        <f>-_xlfn.XLOOKUP("CostOfMaterialsConsumed",HS_CONSOLIDATED!$C:$C,HS_CONSOLIDATED!I:I,0,0,1)</f>
        <v>-16107500000</v>
      </c>
      <c r="K11" s="8">
        <f>-_xlfn.XLOOKUP("CostOfMaterialsConsumed",HS_CONSOLIDATED!$C:$C,HS_CONSOLIDATED!J:J,0,0,1)</f>
        <v>-40919500000</v>
      </c>
      <c r="L11" s="8">
        <f>-_xlfn.XLOOKUP("CostOfMaterialsConsumed",HS_CONSOLIDATED!$C:$C,HS_CONSOLIDATED!K:K,0,0,1)</f>
        <v>-36267600000</v>
      </c>
      <c r="M11" s="8">
        <f>-_xlfn.XLOOKUP("CostOfMaterialsConsumed",HS_CONSOLIDATED!$C:$C,HS_CONSOLIDATED!L:L,0,0,1)</f>
        <v>-40186500000</v>
      </c>
      <c r="N11" s="8">
        <f>-_xlfn.XLOOKUP("CostOfMaterialsConsumed",HS_CONSOLIDATED!$C:$C,HS_CONSOLIDATED!M:M,0,0,1)</f>
        <v>-71391700000</v>
      </c>
    </row>
    <row r="12" spans="1:14">
      <c r="C12" s="7" t="s">
        <v>120</v>
      </c>
      <c r="E12" s="8">
        <f>-_xlfn.XLOOKUP("PurchasesOfStockInTrade",HS_CONSOLIDATED!$C:$C,HS_CONSOLIDATED!D:D,0,0,1)</f>
        <v>0</v>
      </c>
      <c r="F12" s="8">
        <f>-_xlfn.XLOOKUP("PurchasesOfStockInTrade",HS_CONSOLIDATED!$C:$C,HS_CONSOLIDATED!E:E,0,0,1)</f>
        <v>0</v>
      </c>
      <c r="G12" s="8">
        <f>-_xlfn.XLOOKUP("PurchasesOfStockInTrade",HS_CONSOLIDATED!$C:$C,HS_CONSOLIDATED!F:F,0,0,1)</f>
        <v>-9879500000</v>
      </c>
      <c r="H12" s="8">
        <f>-_xlfn.XLOOKUP("PurchasesOfStockInTrade",HS_CONSOLIDATED!$C:$C,HS_CONSOLIDATED!G:G,0,0,1)</f>
        <v>0</v>
      </c>
      <c r="I12" s="8">
        <f>-_xlfn.XLOOKUP("PurchasesOfStockInTrade",HS_CONSOLIDATED!$C:$C,HS_CONSOLIDATED!H:H,0,0,1)</f>
        <v>0</v>
      </c>
      <c r="J12" s="8">
        <f>-_xlfn.XLOOKUP("PurchasesOfStockInTrade",HS_CONSOLIDATED!$C:$C,HS_CONSOLIDATED!I:I,0,0,1)</f>
        <v>0</v>
      </c>
      <c r="K12" s="8">
        <f>-_xlfn.XLOOKUP("PurchasesOfStockInTrade",HS_CONSOLIDATED!$C:$C,HS_CONSOLIDATED!J:J,0,0,1)</f>
        <v>0</v>
      </c>
      <c r="L12" s="8">
        <f>-_xlfn.XLOOKUP("PurchasesOfStockInTrade",HS_CONSOLIDATED!$C:$C,HS_CONSOLIDATED!K:K,0,0,1)</f>
        <v>0</v>
      </c>
      <c r="M12" s="8">
        <f>-_xlfn.XLOOKUP("PurchasesOfStockInTrade",HS_CONSOLIDATED!$C:$C,HS_CONSOLIDATED!L:L,0,0,1)</f>
        <v>0</v>
      </c>
      <c r="N12" s="8">
        <f>-_xlfn.XLOOKUP("PurchasesOfStockInTrade",HS_CONSOLIDATED!$C:$C,HS_CONSOLIDATED!M:M,0,0,1)</f>
        <v>0</v>
      </c>
    </row>
    <row r="13" spans="1:14">
      <c r="C13" s="7" t="s">
        <v>121</v>
      </c>
      <c r="E13" s="8">
        <f>-_xlfn.XLOOKUP("ChangesInInventoriesOfFinishedGoodsWorkInProgressAndStockInTrade",HS_CONSOLIDATED!$C:$C,HS_CONSOLIDATED!D:D,0,0,1)</f>
        <v>0</v>
      </c>
      <c r="F13" s="8">
        <f>-_xlfn.XLOOKUP("ChangesInInventoriesOfFinishedGoodsWorkInProgressAndStockInTrade",HS_CONSOLIDATED!$C:$C,HS_CONSOLIDATED!E:E,0,0,1)</f>
        <v>7485500000</v>
      </c>
      <c r="G13" s="8">
        <f>-_xlfn.XLOOKUP("ChangesInInventoriesOfFinishedGoodsWorkInProgressAndStockInTrade",HS_CONSOLIDATED!$C:$C,HS_CONSOLIDATED!F:F,0,0,1)</f>
        <v>-957700000</v>
      </c>
      <c r="H13" s="8">
        <f>-_xlfn.XLOOKUP("ChangesInInventoriesOfFinishedGoodsWorkInProgressAndStockInTrade",HS_CONSOLIDATED!$C:$C,HS_CONSOLIDATED!G:G,0,0,1)</f>
        <v>-418500000</v>
      </c>
      <c r="I13" s="8">
        <f>-_xlfn.XLOOKUP("ChangesInInventoriesOfFinishedGoodsWorkInProgressAndStockInTrade",HS_CONSOLIDATED!$C:$C,HS_CONSOLIDATED!H:H,0,0,1)</f>
        <v>-4691000000</v>
      </c>
      <c r="J13" s="8">
        <f>-_xlfn.XLOOKUP("ChangesInInventoriesOfFinishedGoodsWorkInProgressAndStockInTrade",HS_CONSOLIDATED!$C:$C,HS_CONSOLIDATED!I:I,0,0,1)</f>
        <v>334800000</v>
      </c>
      <c r="K13" s="8">
        <f>-_xlfn.XLOOKUP("ChangesInInventoriesOfFinishedGoodsWorkInProgressAndStockInTrade",HS_CONSOLIDATED!$C:$C,HS_CONSOLIDATED!J:J,0,0,1)</f>
        <v>-2396100000</v>
      </c>
      <c r="L13" s="8">
        <f>-_xlfn.XLOOKUP("ChangesInInventoriesOfFinishedGoodsWorkInProgressAndStockInTrade",HS_CONSOLIDATED!$C:$C,HS_CONSOLIDATED!K:K,0,0,1)</f>
        <v>-1559000000</v>
      </c>
      <c r="M13" s="8">
        <f>-_xlfn.XLOOKUP("ChangesInInventoriesOfFinishedGoodsWorkInProgressAndStockInTrade",HS_CONSOLIDATED!$C:$C,HS_CONSOLIDATED!L:L,0,0,1)</f>
        <v>365200000</v>
      </c>
      <c r="N13" s="8">
        <f>-_xlfn.XLOOKUP("ChangesInInventoriesOfFinishedGoodsWorkInProgressAndStockInTrade",HS_CONSOLIDATED!$C:$C,HS_CONSOLIDATED!M:M,0,0,1)</f>
        <v>2525700000</v>
      </c>
    </row>
    <row r="14" spans="1:14">
      <c r="A14" s="12"/>
      <c r="B14" s="13" t="s">
        <v>122</v>
      </c>
      <c r="C14" s="12"/>
      <c r="D14" s="12"/>
      <c r="E14" s="14">
        <f t="shared" ref="E14:N14" si="1">IFERROR(E9+SUM(E11:E13),0)</f>
        <v>0</v>
      </c>
      <c r="F14" s="14">
        <f t="shared" si="1"/>
        <v>52603000000</v>
      </c>
      <c r="G14" s="14">
        <f t="shared" si="1"/>
        <v>32973000000</v>
      </c>
      <c r="H14" s="14">
        <f t="shared" si="1"/>
        <v>20762900000</v>
      </c>
      <c r="I14" s="14">
        <f t="shared" si="1"/>
        <v>11269100000</v>
      </c>
      <c r="J14" s="14">
        <f t="shared" si="1"/>
        <v>17883200000</v>
      </c>
      <c r="K14" s="14">
        <f t="shared" si="1"/>
        <v>22724100000</v>
      </c>
      <c r="L14" s="14">
        <f t="shared" si="1"/>
        <v>22075000000</v>
      </c>
      <c r="M14" s="14">
        <f t="shared" si="1"/>
        <v>25853800000</v>
      </c>
      <c r="N14" s="14">
        <f t="shared" si="1"/>
        <v>41065300000</v>
      </c>
    </row>
    <row r="15" spans="1:14">
      <c r="C15" s="7" t="s">
        <v>123</v>
      </c>
      <c r="E15" s="8">
        <f>-_xlfn.XLOOKUP("EmployeeBenefitExpense",HS_CONSOLIDATED!$C:$C,HS_CONSOLIDATED!D:D,0,0,1)-_xlfn.XLOOKUP("ExpenditureOnProductionTransportationAndOtherExpenditurePertainingToExplorationAndProductionActivities",HS_CONSOLIDATED!$C:$C,HS_CONSOLIDATED!D:D,0,0,1)</f>
        <v>0</v>
      </c>
      <c r="F15" s="8">
        <f>-_xlfn.XLOOKUP("EmployeeBenefitExpense",HS_CONSOLIDATED!$C:$C,HS_CONSOLIDATED!E:E,0,0,1)-_xlfn.XLOOKUP("ExpenditureOnProductionTransportationAndOtherExpenditurePertainingToExplorationAndProductionActivities",HS_CONSOLIDATED!$C:$C,HS_CONSOLIDATED!E:E,0,0,1)</f>
        <v>-10464800000</v>
      </c>
      <c r="G15" s="8">
        <f>-_xlfn.XLOOKUP("EmployeeBenefitExpense",HS_CONSOLIDATED!$C:$C,HS_CONSOLIDATED!F:F,0,0,1)-_xlfn.XLOOKUP("ExpenditureOnProductionTransportationAndOtherExpenditurePertainingToExplorationAndProductionActivities",HS_CONSOLIDATED!$C:$C,HS_CONSOLIDATED!F:F,0,0,1)</f>
        <v>-8046800000</v>
      </c>
      <c r="H15" s="8">
        <f>-_xlfn.XLOOKUP("EmployeeBenefitExpense",HS_CONSOLIDATED!$C:$C,HS_CONSOLIDATED!G:G,0,0,1)-_xlfn.XLOOKUP("ExpenditureOnProductionTransportationAndOtherExpenditurePertainingToExplorationAndProductionActivities",HS_CONSOLIDATED!$C:$C,HS_CONSOLIDATED!G:G,0,0,1)</f>
        <v>-8741600000</v>
      </c>
      <c r="I15" s="8">
        <f>-_xlfn.XLOOKUP("EmployeeBenefitExpense",HS_CONSOLIDATED!$C:$C,HS_CONSOLIDATED!H:H,0,0,1)-_xlfn.XLOOKUP("ExpenditureOnProductionTransportationAndOtherExpenditurePertainingToExplorationAndProductionActivities",HS_CONSOLIDATED!$C:$C,HS_CONSOLIDATED!H:H,0,0,1)</f>
        <v>-7962500000</v>
      </c>
      <c r="J15" s="8">
        <f>-_xlfn.XLOOKUP("EmployeeBenefitExpense",HS_CONSOLIDATED!$C:$C,HS_CONSOLIDATED!I:I,0,0,1)-_xlfn.XLOOKUP("ExpenditureOnProductionTransportationAndOtherExpenditurePertainingToExplorationAndProductionActivities",HS_CONSOLIDATED!$C:$C,HS_CONSOLIDATED!I:I,0,0,1)</f>
        <v>-5532100000</v>
      </c>
      <c r="K15" s="8">
        <f>-_xlfn.XLOOKUP("EmployeeBenefitExpense",HS_CONSOLIDATED!$C:$C,HS_CONSOLIDATED!J:J,0,0,1)-_xlfn.XLOOKUP("ExpenditureOnProductionTransportationAndOtherExpenditurePertainingToExplorationAndProductionActivities",HS_CONSOLIDATED!$C:$C,HS_CONSOLIDATED!J:J,0,0,1)</f>
        <v>-5453600000</v>
      </c>
      <c r="L15" s="8">
        <f>-_xlfn.XLOOKUP("EmployeeBenefitExpense",HS_CONSOLIDATED!$C:$C,HS_CONSOLIDATED!K:K,0,0,1)-_xlfn.XLOOKUP("ExpenditureOnProductionTransportationAndOtherExpenditurePertainingToExplorationAndProductionActivities",HS_CONSOLIDATED!$C:$C,HS_CONSOLIDATED!K:K,0,0,1)</f>
        <v>-6092200000</v>
      </c>
      <c r="M15" s="8">
        <f>-_xlfn.XLOOKUP("EmployeeBenefitExpense",HS_CONSOLIDATED!$C:$C,HS_CONSOLIDATED!L:L,0,0,1)-_xlfn.XLOOKUP("ExpenditureOnProductionTransportationAndOtherExpenditurePertainingToExplorationAndProductionActivities",HS_CONSOLIDATED!$C:$C,HS_CONSOLIDATED!L:L,0,0,1)</f>
        <v>-7029000000</v>
      </c>
      <c r="N15" s="8">
        <f>-_xlfn.XLOOKUP("EmployeeBenefitExpense",HS_CONSOLIDATED!$C:$C,HS_CONSOLIDATED!M:M,0,0,1)-_xlfn.XLOOKUP("ExpenditureOnProductionTransportationAndOtherExpenditurePertainingToExplorationAndProductionActivities",HS_CONSOLIDATED!$C:$C,HS_CONSOLIDATED!M:M,0,0,1)</f>
        <v>-9415300000</v>
      </c>
    </row>
    <row r="16" spans="1:14">
      <c r="C16" s="7" t="s">
        <v>124</v>
      </c>
      <c r="E16" s="8">
        <f>-_xlfn.XLOOKUP("OtherExpenses",HS_CONSOLIDATED!$C:$C,HS_CONSOLIDATED!D:D,0,0,1)</f>
        <v>0</v>
      </c>
      <c r="F16" s="8">
        <f>-_xlfn.XLOOKUP("OtherExpenses",HS_CONSOLIDATED!$C:$C,HS_CONSOLIDATED!E:E,0,0,1)</f>
        <v>-16256100000</v>
      </c>
      <c r="G16" s="8">
        <f>-_xlfn.XLOOKUP("OtherExpenses",HS_CONSOLIDATED!$C:$C,HS_CONSOLIDATED!F:F,0,0,1)</f>
        <v>-14103900000</v>
      </c>
      <c r="H16" s="8">
        <f>-_xlfn.XLOOKUP("OtherExpenses",HS_CONSOLIDATED!$C:$C,HS_CONSOLIDATED!G:G,0,0,1)</f>
        <v>-11609300000</v>
      </c>
      <c r="I16" s="8">
        <f>-_xlfn.XLOOKUP("OtherExpenses",HS_CONSOLIDATED!$C:$C,HS_CONSOLIDATED!H:H,0,0,1)</f>
        <v>-11628200000</v>
      </c>
      <c r="J16" s="8">
        <f>-_xlfn.XLOOKUP("OtherExpenses",HS_CONSOLIDATED!$C:$C,HS_CONSOLIDATED!I:I,0,0,1)</f>
        <v>-6809600000</v>
      </c>
      <c r="K16" s="8">
        <f>-_xlfn.XLOOKUP("OtherExpenses",HS_CONSOLIDATED!$C:$C,HS_CONSOLIDATED!J:J,0,0,1)</f>
        <v>-8154100000</v>
      </c>
      <c r="L16" s="8">
        <f>-_xlfn.XLOOKUP("OtherExpenses",HS_CONSOLIDATED!$C:$C,HS_CONSOLIDATED!K:K,0,0,1)</f>
        <v>-7467300000</v>
      </c>
      <c r="M16" s="8">
        <f>-_xlfn.XLOOKUP("OtherExpenses",HS_CONSOLIDATED!$C:$C,HS_CONSOLIDATED!L:L,0,0,1)</f>
        <v>-8151800000</v>
      </c>
      <c r="N16" s="8">
        <f>-_xlfn.XLOOKUP("OtherExpenses",HS_CONSOLIDATED!$C:$C,HS_CONSOLIDATED!M:M,0,0,1)</f>
        <v>-12043800000</v>
      </c>
    </row>
    <row r="17" spans="1:14">
      <c r="A17" s="12"/>
      <c r="B17" s="13" t="s">
        <v>125</v>
      </c>
      <c r="C17" s="12"/>
      <c r="D17" s="12"/>
      <c r="E17" s="14">
        <f t="shared" ref="E17:N17" si="2">IFERROR(SUM(E14:E16),0)</f>
        <v>0</v>
      </c>
      <c r="F17" s="14">
        <f t="shared" si="2"/>
        <v>25882100000</v>
      </c>
      <c r="G17" s="14">
        <f t="shared" si="2"/>
        <v>10822300000</v>
      </c>
      <c r="H17" s="14">
        <f t="shared" si="2"/>
        <v>412000000</v>
      </c>
      <c r="I17" s="14">
        <f t="shared" si="2"/>
        <v>-8321600000</v>
      </c>
      <c r="J17" s="14">
        <f t="shared" si="2"/>
        <v>5541500000</v>
      </c>
      <c r="K17" s="14">
        <f t="shared" si="2"/>
        <v>9116400000</v>
      </c>
      <c r="L17" s="14">
        <f t="shared" si="2"/>
        <v>8515500000</v>
      </c>
      <c r="M17" s="14">
        <f t="shared" si="2"/>
        <v>10673000000</v>
      </c>
      <c r="N17" s="14">
        <f t="shared" si="2"/>
        <v>19606200000</v>
      </c>
    </row>
    <row r="18" spans="1:14">
      <c r="C18" s="7" t="s">
        <v>126</v>
      </c>
      <c r="E18" s="8">
        <f>-_xlfn.XLOOKUP("DepreciationDepletionAndAmortisationExpense",HS_CONSOLIDATED!$C:$C,HS_CONSOLIDATED!D:D,0,0,1)</f>
        <v>0</v>
      </c>
      <c r="F18" s="8">
        <f>-_xlfn.XLOOKUP("DepreciationDepletionAndAmortisationExpense",HS_CONSOLIDATED!$C:$C,HS_CONSOLIDATED!E:E,0,0,1)</f>
        <v>-3890300000</v>
      </c>
      <c r="G18" s="8">
        <f>-_xlfn.XLOOKUP("DepreciationDepletionAndAmortisationExpense",HS_CONSOLIDATED!$C:$C,HS_CONSOLIDATED!F:F,0,0,1)</f>
        <v>-3416100000</v>
      </c>
      <c r="H18" s="8">
        <f>-_xlfn.XLOOKUP("DepreciationDepletionAndAmortisationExpense",HS_CONSOLIDATED!$C:$C,HS_CONSOLIDATED!G:G,0,0,1)</f>
        <v>-3418500000</v>
      </c>
      <c r="I18" s="8">
        <f>-_xlfn.XLOOKUP("DepreciationDepletionAndAmortisationExpense",HS_CONSOLIDATED!$C:$C,HS_CONSOLIDATED!H:H,0,0,1)</f>
        <v>-4186100000</v>
      </c>
      <c r="J18" s="8">
        <f>-_xlfn.XLOOKUP("DepreciationDepletionAndAmortisationExpense",HS_CONSOLIDATED!$C:$C,HS_CONSOLIDATED!I:I,0,0,1)</f>
        <v>-2583800000</v>
      </c>
      <c r="K18" s="8">
        <f>-_xlfn.XLOOKUP("DepreciationDepletionAndAmortisationExpense",HS_CONSOLIDATED!$C:$C,HS_CONSOLIDATED!J:J,0,0,1)</f>
        <v>-2598400000</v>
      </c>
      <c r="L18" s="8">
        <f>-_xlfn.XLOOKUP("DepreciationDepletionAndAmortisationExpense",HS_CONSOLIDATED!$C:$C,HS_CONSOLIDATED!K:K,0,0,1)</f>
        <v>-2596800000</v>
      </c>
      <c r="M18" s="8">
        <f>-_xlfn.XLOOKUP("DepreciationDepletionAndAmortisationExpense",HS_CONSOLIDATED!$C:$C,HS_CONSOLIDATED!L:L,0,0,1)</f>
        <v>-1896000000</v>
      </c>
      <c r="N18" s="8">
        <f>-_xlfn.XLOOKUP("DepreciationDepletionAndAmortisationExpense",HS_CONSOLIDATED!$C:$C,HS_CONSOLIDATED!M:M,0,0,1)</f>
        <v>-2591900000</v>
      </c>
    </row>
    <row r="19" spans="1:14">
      <c r="A19" s="12"/>
      <c r="B19" s="13" t="s">
        <v>127</v>
      </c>
      <c r="C19" s="12"/>
      <c r="D19" s="12"/>
      <c r="E19" s="14">
        <f t="shared" ref="E19:N19" si="3">IFERROR(SUM(E17:E18),0)</f>
        <v>0</v>
      </c>
      <c r="F19" s="14">
        <f t="shared" si="3"/>
        <v>21991800000</v>
      </c>
      <c r="G19" s="14">
        <f t="shared" si="3"/>
        <v>7406200000</v>
      </c>
      <c r="H19" s="14">
        <f t="shared" si="3"/>
        <v>-3006500000</v>
      </c>
      <c r="I19" s="14">
        <f t="shared" si="3"/>
        <v>-12507700000</v>
      </c>
      <c r="J19" s="14">
        <f t="shared" si="3"/>
        <v>2957700000</v>
      </c>
      <c r="K19" s="14">
        <f t="shared" si="3"/>
        <v>6518000000</v>
      </c>
      <c r="L19" s="14">
        <f t="shared" si="3"/>
        <v>5918700000</v>
      </c>
      <c r="M19" s="14">
        <f t="shared" si="3"/>
        <v>8777000000</v>
      </c>
      <c r="N19" s="14">
        <f t="shared" si="3"/>
        <v>17014300000</v>
      </c>
    </row>
    <row r="20" spans="1:14">
      <c r="C20" s="7" t="s">
        <v>128</v>
      </c>
      <c r="E20" s="8">
        <f>-_xlfn.XLOOKUP("FinanceCosts",HS_CONSOLIDATED!$C:$C,HS_CONSOLIDATED!D:D,0,0,1)</f>
        <v>0</v>
      </c>
      <c r="F20" s="8">
        <f>-_xlfn.XLOOKUP("FinanceCosts",HS_CONSOLIDATED!$C:$C,HS_CONSOLIDATED!E:E,0,0,1)</f>
        <v>-12875900000</v>
      </c>
      <c r="G20" s="8">
        <f>-_xlfn.XLOOKUP("FinanceCosts",HS_CONSOLIDATED!$C:$C,HS_CONSOLIDATED!F:F,0,0,1)</f>
        <v>-15809800000</v>
      </c>
      <c r="H20" s="8">
        <f>-_xlfn.XLOOKUP("FinanceCosts",HS_CONSOLIDATED!$C:$C,HS_CONSOLIDATED!G:G,0,0,1)</f>
        <v>-12699100000</v>
      </c>
      <c r="I20" s="8">
        <f>-_xlfn.XLOOKUP("FinanceCosts",HS_CONSOLIDATED!$C:$C,HS_CONSOLIDATED!H:H,0,0,1)</f>
        <v>-13672900000</v>
      </c>
      <c r="J20" s="8">
        <f>-_xlfn.XLOOKUP("FinanceCosts",HS_CONSOLIDATED!$C:$C,HS_CONSOLIDATED!I:I,0,0,1)</f>
        <v>-9962600000</v>
      </c>
      <c r="K20" s="8">
        <f>-_xlfn.XLOOKUP("FinanceCosts",HS_CONSOLIDATED!$C:$C,HS_CONSOLIDATED!J:J,0,0,1)</f>
        <v>-7345200000</v>
      </c>
      <c r="L20" s="8">
        <f>-_xlfn.XLOOKUP("FinanceCosts",HS_CONSOLIDATED!$C:$C,HS_CONSOLIDATED!K:K,0,0,1)</f>
        <v>-4207600000</v>
      </c>
      <c r="M20" s="8">
        <f>-_xlfn.XLOOKUP("FinanceCosts",HS_CONSOLIDATED!$C:$C,HS_CONSOLIDATED!L:L,0,0,1)</f>
        <v>-1643200000</v>
      </c>
      <c r="N20" s="8">
        <f>-_xlfn.XLOOKUP("FinanceCosts",HS_CONSOLIDATED!$C:$C,HS_CONSOLIDATED!M:M,0,0,1)</f>
        <v>-2548000000</v>
      </c>
    </row>
    <row r="21" spans="1:14">
      <c r="C21" s="7" t="s">
        <v>129</v>
      </c>
      <c r="E21" s="8">
        <f>_xlfn.XLOOKUP("ExceptionalItemsBeforeTax",HS_CONSOLIDATED!$C:$C,HS_CONSOLIDATED!D:D,0,0,1)</f>
        <v>0</v>
      </c>
      <c r="F21" s="8">
        <f>_xlfn.XLOOKUP("ExceptionalItemsBeforeTax",HS_CONSOLIDATED!$C:$C,HS_CONSOLIDATED!E:E,0,0,1)</f>
        <v>0</v>
      </c>
      <c r="G21" s="8">
        <f>_xlfn.XLOOKUP("ExceptionalItemsBeforeTax",HS_CONSOLIDATED!$C:$C,HS_CONSOLIDATED!F:F,0,0,1)</f>
        <v>4496200000</v>
      </c>
      <c r="H21" s="8">
        <f>_xlfn.XLOOKUP("ExceptionalItemsBeforeTax",HS_CONSOLIDATED!$C:$C,HS_CONSOLIDATED!G:G,0,0,1)</f>
        <v>275700000</v>
      </c>
      <c r="I21" s="8">
        <f>_xlfn.XLOOKUP("ExceptionalItemsBeforeTax",HS_CONSOLIDATED!$C:$C,HS_CONSOLIDATED!H:H,0,0,1)</f>
        <v>-658900000</v>
      </c>
      <c r="J21" s="8">
        <f>_xlfn.XLOOKUP("ExceptionalItemsBeforeTax",HS_CONSOLIDATED!$C:$C,HS_CONSOLIDATED!I:I,0,0,1)</f>
        <v>8054600000</v>
      </c>
      <c r="K21" s="8">
        <f>_xlfn.XLOOKUP("ExceptionalItemsBeforeTax",HS_CONSOLIDATED!$C:$C,HS_CONSOLIDATED!J:J,0,0,1)</f>
        <v>831200000</v>
      </c>
      <c r="L21" s="8">
        <f>_xlfn.XLOOKUP("ExceptionalItemsBeforeTax",HS_CONSOLIDATED!$C:$C,HS_CONSOLIDATED!K:K,0,0,1)</f>
        <v>27206000000</v>
      </c>
      <c r="M21" s="8">
        <f>_xlfn.XLOOKUP("ExceptionalItemsBeforeTax",HS_CONSOLIDATED!$C:$C,HS_CONSOLIDATED!L:L,0,0,1)</f>
        <v>-538900000</v>
      </c>
      <c r="N21" s="8">
        <f>_xlfn.XLOOKUP("ExceptionalItemsBeforeTax",HS_CONSOLIDATED!$C:$C,HS_CONSOLIDATED!M:M,0,0,1)</f>
        <v>0</v>
      </c>
    </row>
    <row r="22" spans="1:14">
      <c r="A22" s="12"/>
      <c r="B22" s="13" t="s">
        <v>130</v>
      </c>
      <c r="C22" s="12"/>
      <c r="D22" s="12"/>
      <c r="E22" s="14">
        <f t="shared" ref="E22:N22" si="4">IFERROR(SUM(E19:E21),0)</f>
        <v>0</v>
      </c>
      <c r="F22" s="14">
        <f t="shared" si="4"/>
        <v>9115900000</v>
      </c>
      <c r="G22" s="14">
        <f t="shared" si="4"/>
        <v>-3907400000</v>
      </c>
      <c r="H22" s="14">
        <f t="shared" si="4"/>
        <v>-15429900000</v>
      </c>
      <c r="I22" s="14">
        <f t="shared" si="4"/>
        <v>-26839500000</v>
      </c>
      <c r="J22" s="14">
        <f t="shared" si="4"/>
        <v>1049700000</v>
      </c>
      <c r="K22" s="14">
        <f t="shared" si="4"/>
        <v>4000000</v>
      </c>
      <c r="L22" s="14">
        <f t="shared" si="4"/>
        <v>28917100000</v>
      </c>
      <c r="M22" s="14">
        <f t="shared" si="4"/>
        <v>6594900000</v>
      </c>
      <c r="N22" s="14">
        <f t="shared" si="4"/>
        <v>14466300000</v>
      </c>
    </row>
    <row r="23" spans="1:14">
      <c r="C23" s="7" t="s">
        <v>131</v>
      </c>
      <c r="E23" s="8">
        <f>-_xlfn.XLOOKUP("CurrentTax",HS_CONSOLIDATED!$C:$C,HS_CONSOLIDATED!D:D,0,0,1)</f>
        <v>0</v>
      </c>
      <c r="F23" s="8">
        <f>-_xlfn.XLOOKUP("CurrentTax",HS_CONSOLIDATED!$C:$C,HS_CONSOLIDATED!E:E,0,0,1)</f>
        <v>-117000000</v>
      </c>
      <c r="G23" s="8">
        <f>-_xlfn.XLOOKUP("CurrentTax",HS_CONSOLIDATED!$C:$C,HS_CONSOLIDATED!F:F,0,0,1)</f>
        <v>15600000</v>
      </c>
      <c r="H23" s="8">
        <f>-_xlfn.XLOOKUP("CurrentTax",HS_CONSOLIDATED!$C:$C,HS_CONSOLIDATED!G:G,0,0,1)</f>
        <v>-30900000</v>
      </c>
      <c r="I23" s="8">
        <f>-_xlfn.XLOOKUP("CurrentTax",HS_CONSOLIDATED!$C:$C,HS_CONSOLIDATED!H:H,0,0,1)</f>
        <v>-74400000</v>
      </c>
      <c r="J23" s="8">
        <f>-_xlfn.XLOOKUP("CurrentTax",HS_CONSOLIDATED!$C:$C,HS_CONSOLIDATED!I:I,0,0,1)</f>
        <v>-46300000</v>
      </c>
      <c r="K23" s="8">
        <f>-_xlfn.XLOOKUP("CurrentTax",HS_CONSOLIDATED!$C:$C,HS_CONSOLIDATED!J:J,0,0,1)</f>
        <v>-1840700000</v>
      </c>
      <c r="L23" s="8">
        <f>-_xlfn.XLOOKUP("CurrentTax",HS_CONSOLIDATED!$C:$C,HS_CONSOLIDATED!K:K,0,0,1)</f>
        <v>-46100000</v>
      </c>
      <c r="M23" s="8">
        <f>-_xlfn.XLOOKUP("CurrentTax",HS_CONSOLIDATED!$C:$C,HS_CONSOLIDATED!L:L,0,0,1)</f>
        <v>-29000000</v>
      </c>
      <c r="N23" s="8">
        <f>-_xlfn.XLOOKUP("CurrentTax",HS_CONSOLIDATED!$C:$C,HS_CONSOLIDATED!M:M,0,0,1)</f>
        <v>-144200000</v>
      </c>
    </row>
    <row r="24" spans="1:14">
      <c r="C24" s="7" t="s">
        <v>132</v>
      </c>
      <c r="E24" s="8">
        <f>-_xlfn.XLOOKUP("DeferredTax",HS_CONSOLIDATED!$C:$C,HS_CONSOLIDATED!D:D,0,0,1)</f>
        <v>0</v>
      </c>
      <c r="F24" s="8">
        <f>-_xlfn.XLOOKUP("DeferredTax",HS_CONSOLIDATED!$C:$C,HS_CONSOLIDATED!E:E,0,0,1)</f>
        <v>0</v>
      </c>
      <c r="G24" s="8">
        <f>-_xlfn.XLOOKUP("DeferredTax",HS_CONSOLIDATED!$C:$C,HS_CONSOLIDATED!F:F,0,0,1)</f>
        <v>0</v>
      </c>
      <c r="H24" s="8">
        <f>-_xlfn.XLOOKUP("DeferredTax",HS_CONSOLIDATED!$C:$C,HS_CONSOLIDATED!G:G,0,0,1)</f>
        <v>149900000</v>
      </c>
      <c r="I24" s="8">
        <f>-_xlfn.XLOOKUP("DeferredTax",HS_CONSOLIDATED!$C:$C,HS_CONSOLIDATED!H:H,0,0,1)</f>
        <v>0</v>
      </c>
      <c r="J24" s="8">
        <f>-_xlfn.XLOOKUP("DeferredTax",HS_CONSOLIDATED!$C:$C,HS_CONSOLIDATED!I:I,0,0,1)</f>
        <v>0</v>
      </c>
      <c r="K24" s="8">
        <f>-_xlfn.XLOOKUP("DeferredTax",HS_CONSOLIDATED!$C:$C,HS_CONSOLIDATED!J:J,0,0,1)</f>
        <v>174800000</v>
      </c>
      <c r="L24" s="8">
        <f>-_xlfn.XLOOKUP("DeferredTax",HS_CONSOLIDATED!$C:$C,HS_CONSOLIDATED!K:K,0,0,1)</f>
        <v>1900000</v>
      </c>
      <c r="M24" s="8">
        <f>-_xlfn.XLOOKUP("DeferredTax",HS_CONSOLIDATED!$C:$C,HS_CONSOLIDATED!L:L,0,0,1)</f>
        <v>37600000</v>
      </c>
      <c r="N24" s="8">
        <f>-_xlfn.XLOOKUP("DeferredTax",HS_CONSOLIDATED!$C:$C,HS_CONSOLIDATED!M:M,0,0,1)</f>
        <v>6394200000</v>
      </c>
    </row>
    <row r="25" spans="1:14">
      <c r="A25" s="9"/>
      <c r="B25" s="9"/>
      <c r="C25" s="10" t="s">
        <v>133</v>
      </c>
      <c r="D25" s="9"/>
      <c r="E25" s="11">
        <f t="shared" ref="E25:N25" si="5">IFERROR(SUM(E23:E24),0)</f>
        <v>0</v>
      </c>
      <c r="F25" s="11">
        <f t="shared" si="5"/>
        <v>-117000000</v>
      </c>
      <c r="G25" s="11">
        <f t="shared" si="5"/>
        <v>15600000</v>
      </c>
      <c r="H25" s="11">
        <f t="shared" si="5"/>
        <v>119000000</v>
      </c>
      <c r="I25" s="11">
        <f t="shared" si="5"/>
        <v>-74400000</v>
      </c>
      <c r="J25" s="11">
        <f t="shared" si="5"/>
        <v>-46300000</v>
      </c>
      <c r="K25" s="11">
        <f t="shared" si="5"/>
        <v>-1665900000</v>
      </c>
      <c r="L25" s="11">
        <f t="shared" si="5"/>
        <v>-44200000</v>
      </c>
      <c r="M25" s="11">
        <f t="shared" si="5"/>
        <v>8600000</v>
      </c>
      <c r="N25" s="11">
        <f t="shared" si="5"/>
        <v>6250000000</v>
      </c>
    </row>
    <row r="26" spans="1:14">
      <c r="A26" s="12"/>
      <c r="B26" s="13" t="s">
        <v>134</v>
      </c>
      <c r="C26" s="12"/>
      <c r="D26" s="12"/>
      <c r="E26" s="14">
        <f t="shared" ref="E26:N26" si="6">IFERROR(E25+E22,0)</f>
        <v>0</v>
      </c>
      <c r="F26" s="14">
        <f t="shared" si="6"/>
        <v>8998900000</v>
      </c>
      <c r="G26" s="14">
        <f t="shared" si="6"/>
        <v>-3891800000</v>
      </c>
      <c r="H26" s="14">
        <f t="shared" si="6"/>
        <v>-15310900000</v>
      </c>
      <c r="I26" s="14">
        <f t="shared" si="6"/>
        <v>-26913900000</v>
      </c>
      <c r="J26" s="14">
        <f t="shared" si="6"/>
        <v>1003400000</v>
      </c>
      <c r="K26" s="14">
        <f t="shared" si="6"/>
        <v>-1661900000</v>
      </c>
      <c r="L26" s="14">
        <f t="shared" si="6"/>
        <v>28872900000</v>
      </c>
      <c r="M26" s="14">
        <f t="shared" si="6"/>
        <v>6603500000</v>
      </c>
      <c r="N26" s="14">
        <f t="shared" si="6"/>
        <v>20716300000</v>
      </c>
    </row>
    <row r="27" spans="1:14" ht="15.5">
      <c r="A27" s="2" t="s">
        <v>27</v>
      </c>
      <c r="B27" s="3" t="s">
        <v>135</v>
      </c>
      <c r="C27" s="2"/>
      <c r="D27" s="2"/>
      <c r="E27" s="2"/>
      <c r="F27" s="2"/>
      <c r="G27" s="2"/>
      <c r="H27" s="2"/>
      <c r="I27" s="2"/>
      <c r="J27" s="2"/>
      <c r="K27" s="2"/>
      <c r="L27" s="2"/>
      <c r="M27" s="2"/>
      <c r="N27" s="2"/>
    </row>
    <row r="28" spans="1:14">
      <c r="A28" s="5"/>
      <c r="B28" s="6" t="s">
        <v>136</v>
      </c>
      <c r="C28" s="5"/>
      <c r="D28" s="5"/>
      <c r="E28" s="5"/>
      <c r="F28" s="5"/>
      <c r="G28" s="5"/>
      <c r="H28" s="5"/>
      <c r="I28" s="5"/>
      <c r="J28" s="5"/>
      <c r="K28" s="5"/>
      <c r="L28" s="5"/>
      <c r="M28" s="5"/>
      <c r="N28" s="5"/>
    </row>
    <row r="29" spans="1:14">
      <c r="A29" s="5"/>
      <c r="B29" s="6" t="s">
        <v>137</v>
      </c>
      <c r="C29" s="5"/>
      <c r="D29" s="5"/>
      <c r="E29" s="5"/>
      <c r="F29" s="5"/>
      <c r="G29" s="5"/>
      <c r="H29" s="5"/>
      <c r="I29" s="5"/>
      <c r="J29" s="5"/>
      <c r="K29" s="5"/>
      <c r="L29" s="5"/>
      <c r="M29" s="5"/>
      <c r="N29" s="5"/>
    </row>
    <row r="30" spans="1:14">
      <c r="A30" s="5"/>
      <c r="B30" s="5"/>
      <c r="C30" s="6" t="s">
        <v>138</v>
      </c>
      <c r="D30" s="5"/>
      <c r="E30" s="5"/>
      <c r="F30" s="5"/>
      <c r="G30" s="5"/>
      <c r="H30" s="5"/>
      <c r="I30" s="5"/>
      <c r="J30" s="5"/>
      <c r="K30" s="5"/>
      <c r="L30" s="5"/>
      <c r="M30" s="5"/>
      <c r="N30" s="5"/>
    </row>
    <row r="31" spans="1:14">
      <c r="D31" s="7" t="s">
        <v>139</v>
      </c>
      <c r="E31" s="8">
        <f>_xlfn.XLOOKUP("PropertyPlantAndEquipment",HS_CONSOLIDATED!$C:$C,HS_CONSOLIDATED!D:D,0,0,1)</f>
        <v>0</v>
      </c>
      <c r="F31" s="8">
        <f>_xlfn.XLOOKUP("PropertyPlantAndEquipment",HS_CONSOLIDATED!$C:$C,HS_CONSOLIDATED!E:E,0,0,1)</f>
        <v>14201800000</v>
      </c>
      <c r="G31" s="8">
        <f>_xlfn.XLOOKUP("PropertyPlantAndEquipment",HS_CONSOLIDATED!$C:$C,HS_CONSOLIDATED!F:F,0,0,1)</f>
        <v>12673200000</v>
      </c>
      <c r="H31" s="8">
        <f>_xlfn.XLOOKUP("PropertyPlantAndEquipment",HS_CONSOLIDATED!$C:$C,HS_CONSOLIDATED!G:G,0,0,1)</f>
        <v>11473200000</v>
      </c>
      <c r="I31" s="8">
        <f>_xlfn.XLOOKUP("PropertyPlantAndEquipment",HS_CONSOLIDATED!$C:$C,HS_CONSOLIDATED!H:H,0,0,1)</f>
        <v>10484300000</v>
      </c>
      <c r="J31" s="8">
        <f>_xlfn.XLOOKUP("PropertyPlantAndEquipment",HS_CONSOLIDATED!$C:$C,HS_CONSOLIDATED!I:I,0,0,1)</f>
        <v>9353100000</v>
      </c>
      <c r="K31" s="8">
        <f>_xlfn.XLOOKUP("PropertyPlantAndEquipment",HS_CONSOLIDATED!$C:$C,HS_CONSOLIDATED!J:J,0,0,1)</f>
        <v>9073300000</v>
      </c>
      <c r="L31" s="8">
        <f>_xlfn.XLOOKUP("PropertyPlantAndEquipment",HS_CONSOLIDATED!$C:$C,HS_CONSOLIDATED!K:K,0,0,1)</f>
        <v>7784500000</v>
      </c>
      <c r="M31" s="8">
        <f>_xlfn.XLOOKUP("PropertyPlantAndEquipment",HS_CONSOLIDATED!$C:$C,HS_CONSOLIDATED!L:L,0,0,1)</f>
        <v>8095100000</v>
      </c>
      <c r="N31" s="8">
        <f>_xlfn.XLOOKUP("PropertyPlantAndEquipment",HS_CONSOLIDATED!$C:$C,HS_CONSOLIDATED!M:M,0,0,1)</f>
        <v>8220600000</v>
      </c>
    </row>
    <row r="32" spans="1:14">
      <c r="D32" s="7" t="s">
        <v>140</v>
      </c>
      <c r="E32" s="8">
        <f>_xlfn.XLOOKUP("CapitalWorkInProgress",HS_CONSOLIDATED!$C:$C,HS_CONSOLIDATED!D:D,0,0,1)</f>
        <v>0</v>
      </c>
      <c r="F32" s="8">
        <f>_xlfn.XLOOKUP("CapitalWorkInProgress",HS_CONSOLIDATED!$C:$C,HS_CONSOLIDATED!E:E,0,0,1)</f>
        <v>1185600000</v>
      </c>
      <c r="G32" s="8">
        <f>_xlfn.XLOOKUP("CapitalWorkInProgress",HS_CONSOLIDATED!$C:$C,HS_CONSOLIDATED!F:F,0,0,1)</f>
        <v>1734200000</v>
      </c>
      <c r="H32" s="8">
        <f>_xlfn.XLOOKUP("CapitalWorkInProgress",HS_CONSOLIDATED!$C:$C,HS_CONSOLIDATED!G:G,0,0,1)</f>
        <v>2183300000</v>
      </c>
      <c r="I32" s="8">
        <f>_xlfn.XLOOKUP("CapitalWorkInProgress",HS_CONSOLIDATED!$C:$C,HS_CONSOLIDATED!H:H,0,0,1)</f>
        <v>1100800000</v>
      </c>
      <c r="J32" s="8">
        <f>_xlfn.XLOOKUP("CapitalWorkInProgress",HS_CONSOLIDATED!$C:$C,HS_CONSOLIDATED!I:I,0,0,1)</f>
        <v>1039300000</v>
      </c>
      <c r="K32" s="8">
        <f>_xlfn.XLOOKUP("CapitalWorkInProgress",HS_CONSOLIDATED!$C:$C,HS_CONSOLIDATED!J:J,0,0,1)</f>
        <v>152100000</v>
      </c>
      <c r="L32" s="8">
        <f>_xlfn.XLOOKUP("CapitalWorkInProgress",HS_CONSOLIDATED!$C:$C,HS_CONSOLIDATED!K:K,0,0,1)</f>
        <v>25700000</v>
      </c>
      <c r="M32" s="8">
        <f>_xlfn.XLOOKUP("CapitalWorkInProgress",HS_CONSOLIDATED!$C:$C,HS_CONSOLIDATED!L:L,0,0,1)</f>
        <v>162100000</v>
      </c>
      <c r="N32" s="8">
        <f>_xlfn.XLOOKUP("CapitalWorkInProgress",HS_CONSOLIDATED!$C:$C,HS_CONSOLIDATED!M:M,0,0,1)</f>
        <v>886700000</v>
      </c>
    </row>
    <row r="33" spans="1:14">
      <c r="D33" s="7" t="s">
        <v>141</v>
      </c>
      <c r="E33" s="8">
        <f>_xlfn.XLOOKUP("Goodwill",HS_CONSOLIDATED!$C:$C,HS_CONSOLIDATED!D:D,0,0,1)</f>
        <v>0</v>
      </c>
      <c r="F33" s="8">
        <f>_xlfn.XLOOKUP("Goodwill",HS_CONSOLIDATED!$C:$C,HS_CONSOLIDATED!E:E,0,0,1)</f>
        <v>76200000</v>
      </c>
      <c r="G33" s="8">
        <f>_xlfn.XLOOKUP("Goodwill",HS_CONSOLIDATED!$C:$C,HS_CONSOLIDATED!F:F,0,0,1)</f>
        <v>76300000</v>
      </c>
      <c r="H33" s="8">
        <f>_xlfn.XLOOKUP("Goodwill",HS_CONSOLIDATED!$C:$C,HS_CONSOLIDATED!G:G,0,0,1)</f>
        <v>76300000</v>
      </c>
      <c r="I33" s="8">
        <f>_xlfn.XLOOKUP("Goodwill",HS_CONSOLIDATED!$C:$C,HS_CONSOLIDATED!H:H,0,0,1)</f>
        <v>76300000</v>
      </c>
      <c r="J33" s="8">
        <f>_xlfn.XLOOKUP("Goodwill",HS_CONSOLIDATED!$C:$C,HS_CONSOLIDATED!I:I,0,0,1)</f>
        <v>76300000</v>
      </c>
      <c r="K33" s="8">
        <f>_xlfn.XLOOKUP("Goodwill",HS_CONSOLIDATED!$C:$C,HS_CONSOLIDATED!J:J,0,0,1)</f>
        <v>0</v>
      </c>
      <c r="L33" s="8">
        <f>_xlfn.XLOOKUP("Goodwill",HS_CONSOLIDATED!$C:$C,HS_CONSOLIDATED!K:K,0,0,1)</f>
        <v>0</v>
      </c>
      <c r="M33" s="8">
        <f>_xlfn.XLOOKUP("Goodwill",HS_CONSOLIDATED!$C:$C,HS_CONSOLIDATED!L:L,0,0,1)</f>
        <v>0</v>
      </c>
      <c r="N33" s="8">
        <f>_xlfn.XLOOKUP("Goodwill",HS_CONSOLIDATED!$C:$C,HS_CONSOLIDATED!M:M,0,0,1)</f>
        <v>4798300000</v>
      </c>
    </row>
    <row r="34" spans="1:14">
      <c r="D34" s="7" t="s">
        <v>142</v>
      </c>
      <c r="E34" s="8">
        <f>_xlfn.XLOOKUP("OtherIntangibleAssets",HS_CONSOLIDATED!$C:$C,HS_CONSOLIDATED!D:D,0,0,1)</f>
        <v>0</v>
      </c>
      <c r="F34" s="8">
        <f>_xlfn.XLOOKUP("OtherIntangibleAssets",HS_CONSOLIDATED!$C:$C,HS_CONSOLIDATED!E:E,0,0,1)</f>
        <v>2033500000</v>
      </c>
      <c r="G34" s="8">
        <f>_xlfn.XLOOKUP("OtherIntangibleAssets",HS_CONSOLIDATED!$C:$C,HS_CONSOLIDATED!F:F,0,0,1)</f>
        <v>1471200000</v>
      </c>
      <c r="H34" s="8">
        <f>_xlfn.XLOOKUP("OtherIntangibleAssets",HS_CONSOLIDATED!$C:$C,HS_CONSOLIDATED!G:G,0,0,1)</f>
        <v>3274400000</v>
      </c>
      <c r="I34" s="8">
        <f>_xlfn.XLOOKUP("OtherIntangibleAssets",HS_CONSOLIDATED!$C:$C,HS_CONSOLIDATED!H:H,0,0,1)</f>
        <v>2675000000</v>
      </c>
      <c r="J34" s="8">
        <f>_xlfn.XLOOKUP("OtherIntangibleAssets",HS_CONSOLIDATED!$C:$C,HS_CONSOLIDATED!I:I,0,0,1)</f>
        <v>1904600000</v>
      </c>
      <c r="K34" s="8">
        <f>_xlfn.XLOOKUP("OtherIntangibleAssets",HS_CONSOLIDATED!$C:$C,HS_CONSOLIDATED!J:J,0,0,1)</f>
        <v>1211100000</v>
      </c>
      <c r="L34" s="8">
        <f>_xlfn.XLOOKUP("OtherIntangibleAssets",HS_CONSOLIDATED!$C:$C,HS_CONSOLIDATED!K:K,0,0,1)</f>
        <v>584800000</v>
      </c>
      <c r="M34" s="8">
        <f>_xlfn.XLOOKUP("OtherIntangibleAssets",HS_CONSOLIDATED!$C:$C,HS_CONSOLIDATED!L:L,0,0,1)</f>
        <v>499400000</v>
      </c>
      <c r="N34" s="8">
        <f>_xlfn.XLOOKUP("OtherIntangibleAssets",HS_CONSOLIDATED!$C:$C,HS_CONSOLIDATED!M:M,0,0,1)</f>
        <v>4519200000</v>
      </c>
    </row>
    <row r="35" spans="1:14">
      <c r="D35" s="7" t="s">
        <v>143</v>
      </c>
      <c r="E35" s="8">
        <f>_xlfn.XLOOKUP("IntangibleAssetsUnderDevelopment",HS_CONSOLIDATED!$C:$C,HS_CONSOLIDATED!D:D,0,0,1)</f>
        <v>0</v>
      </c>
      <c r="F35" s="8">
        <f>_xlfn.XLOOKUP("IntangibleAssetsUnderDevelopment",HS_CONSOLIDATED!$C:$C,HS_CONSOLIDATED!E:E,0,0,1)</f>
        <v>874300000</v>
      </c>
      <c r="G35" s="8">
        <f>_xlfn.XLOOKUP("IntangibleAssetsUnderDevelopment",HS_CONSOLIDATED!$C:$C,HS_CONSOLIDATED!F:F,0,0,1)</f>
        <v>1798200000</v>
      </c>
      <c r="H35" s="8">
        <f>_xlfn.XLOOKUP("IntangibleAssetsUnderDevelopment",HS_CONSOLIDATED!$C:$C,HS_CONSOLIDATED!G:G,0,0,1)</f>
        <v>104100000</v>
      </c>
      <c r="I35" s="8">
        <f>_xlfn.XLOOKUP("IntangibleAssetsUnderDevelopment",HS_CONSOLIDATED!$C:$C,HS_CONSOLIDATED!H:H,0,0,1)</f>
        <v>123000000</v>
      </c>
      <c r="J35" s="8">
        <f>_xlfn.XLOOKUP("IntangibleAssetsUnderDevelopment",HS_CONSOLIDATED!$C:$C,HS_CONSOLIDATED!I:I,0,0,1)</f>
        <v>35200000</v>
      </c>
      <c r="K35" s="8">
        <f>_xlfn.XLOOKUP("IntangibleAssetsUnderDevelopment",HS_CONSOLIDATED!$C:$C,HS_CONSOLIDATED!J:J,0,0,1)</f>
        <v>44200000</v>
      </c>
      <c r="L35" s="8">
        <f>_xlfn.XLOOKUP("IntangibleAssetsUnderDevelopment",HS_CONSOLIDATED!$C:$C,HS_CONSOLIDATED!K:K,0,0,1)</f>
        <v>34300000</v>
      </c>
      <c r="M35" s="8">
        <f>_xlfn.XLOOKUP("IntangibleAssetsUnderDevelopment",HS_CONSOLIDATED!$C:$C,HS_CONSOLIDATED!L:L,0,0,1)</f>
        <v>35100000</v>
      </c>
      <c r="N35" s="8">
        <f>_xlfn.XLOOKUP("IntangibleAssetsUnderDevelopment",HS_CONSOLIDATED!$C:$C,HS_CONSOLIDATED!M:M,0,0,1)</f>
        <v>164300000</v>
      </c>
    </row>
    <row r="36" spans="1:14">
      <c r="D36" s="7" t="s">
        <v>144</v>
      </c>
      <c r="E36" s="8">
        <f>_xlfn.XLOOKUP("TradeReceivablesNoncurrent",HS_CONSOLIDATED!$C:$C,HS_CONSOLIDATED!D:D,0,0,1)</f>
        <v>0</v>
      </c>
      <c r="F36" s="8">
        <f>_xlfn.XLOOKUP("TradeReceivablesNoncurrent",HS_CONSOLIDATED!$C:$C,HS_CONSOLIDATED!E:E,0,0,1)</f>
        <v>457700000</v>
      </c>
      <c r="G36" s="8">
        <f>_xlfn.XLOOKUP("TradeReceivablesNoncurrent",HS_CONSOLIDATED!$C:$C,HS_CONSOLIDATED!F:F,0,0,1)</f>
        <v>48400000</v>
      </c>
      <c r="H36" s="8">
        <f>_xlfn.XLOOKUP("TradeReceivablesNoncurrent",HS_CONSOLIDATED!$C:$C,HS_CONSOLIDATED!G:G,0,0,1)</f>
        <v>0</v>
      </c>
      <c r="I36" s="8">
        <f>_xlfn.XLOOKUP("TradeReceivablesNoncurrent",HS_CONSOLIDATED!$C:$C,HS_CONSOLIDATED!H:H,0,0,1)</f>
        <v>0</v>
      </c>
      <c r="J36" s="8">
        <f>_xlfn.XLOOKUP("TradeReceivablesNoncurrent",HS_CONSOLIDATED!$C:$C,HS_CONSOLIDATED!I:I,0,0,1)</f>
        <v>0</v>
      </c>
      <c r="K36" s="8">
        <f>_xlfn.XLOOKUP("TradeReceivablesNoncurrent",HS_CONSOLIDATED!$C:$C,HS_CONSOLIDATED!J:J,0,0,1)</f>
        <v>0</v>
      </c>
      <c r="L36" s="8">
        <f>_xlfn.XLOOKUP("TradeReceivablesNoncurrent",HS_CONSOLIDATED!$C:$C,HS_CONSOLIDATED!K:K,0,0,1)</f>
        <v>0</v>
      </c>
      <c r="M36" s="8">
        <f>_xlfn.XLOOKUP("TradeReceivablesNoncurrent",HS_CONSOLIDATED!$C:$C,HS_CONSOLIDATED!L:L,0,0,1)</f>
        <v>0</v>
      </c>
      <c r="N36" s="8">
        <f>_xlfn.XLOOKUP("TradeReceivablesNoncurrent",HS_CONSOLIDATED!$C:$C,HS_CONSOLIDATED!M:M,0,0,1)</f>
        <v>0</v>
      </c>
    </row>
    <row r="37" spans="1:14">
      <c r="D37" s="7" t="s">
        <v>145</v>
      </c>
      <c r="E37" s="8">
        <f>_xlfn.XLOOKUP("OtherNoncurrentAssets",HS_CONSOLIDATED!$C:$C,HS_CONSOLIDATED!D:D,0,0,1)</f>
        <v>0</v>
      </c>
      <c r="F37" s="8">
        <f>_xlfn.XLOOKUP("OtherNoncurrentAssets",HS_CONSOLIDATED!$C:$C,HS_CONSOLIDATED!E:E,0,0,1)</f>
        <v>1661600000</v>
      </c>
      <c r="G37" s="8">
        <f>_xlfn.XLOOKUP("OtherNoncurrentAssets",HS_CONSOLIDATED!$C:$C,HS_CONSOLIDATED!F:F,0,0,1)</f>
        <v>1393800000</v>
      </c>
      <c r="H37" s="8">
        <f>_xlfn.XLOOKUP("OtherNoncurrentAssets",HS_CONSOLIDATED!$C:$C,HS_CONSOLIDATED!G:G,0,0,1)</f>
        <v>1038400000</v>
      </c>
      <c r="I37" s="8">
        <f>_xlfn.XLOOKUP("OtherNoncurrentAssets",HS_CONSOLIDATED!$C:$C,HS_CONSOLIDATED!H:H,0,0,1)</f>
        <v>510500000</v>
      </c>
      <c r="J37" s="8">
        <f>_xlfn.XLOOKUP("OtherNoncurrentAssets",HS_CONSOLIDATED!$C:$C,HS_CONSOLIDATED!I:I,0,0,1)</f>
        <v>544600000</v>
      </c>
      <c r="K37" s="8">
        <f>_xlfn.XLOOKUP("OtherNoncurrentAssets",HS_CONSOLIDATED!$C:$C,HS_CONSOLIDATED!J:J,0,0,1)</f>
        <v>292400000</v>
      </c>
      <c r="L37" s="8">
        <f>_xlfn.XLOOKUP("OtherNoncurrentAssets",HS_CONSOLIDATED!$C:$C,HS_CONSOLIDATED!K:K,0,0,1)</f>
        <v>402200000</v>
      </c>
      <c r="M37" s="8">
        <f>_xlfn.XLOOKUP("OtherNoncurrentAssets",HS_CONSOLIDATED!$C:$C,HS_CONSOLIDATED!L:L,0,0,1)</f>
        <v>784300000</v>
      </c>
      <c r="N37" s="8">
        <f>_xlfn.XLOOKUP("OtherNoncurrentAssets",HS_CONSOLIDATED!$C:$C,HS_CONSOLIDATED!M:M,0,0,1)</f>
        <v>751400000</v>
      </c>
    </row>
    <row r="38" spans="1:14">
      <c r="A38" s="9"/>
      <c r="B38" s="9"/>
      <c r="C38" s="10" t="s">
        <v>146</v>
      </c>
      <c r="D38" s="9"/>
      <c r="E38" s="11">
        <f t="shared" ref="E38:N38" si="7">IFERROR(SUM(E31:E37),0)</f>
        <v>0</v>
      </c>
      <c r="F38" s="11">
        <f t="shared" si="7"/>
        <v>20490700000</v>
      </c>
      <c r="G38" s="11">
        <f t="shared" si="7"/>
        <v>19195300000</v>
      </c>
      <c r="H38" s="11">
        <f t="shared" si="7"/>
        <v>18149700000</v>
      </c>
      <c r="I38" s="11">
        <f t="shared" si="7"/>
        <v>14969900000</v>
      </c>
      <c r="J38" s="11">
        <f t="shared" si="7"/>
        <v>12953100000</v>
      </c>
      <c r="K38" s="11">
        <f t="shared" si="7"/>
        <v>10773100000</v>
      </c>
      <c r="L38" s="11">
        <f t="shared" si="7"/>
        <v>8831500000</v>
      </c>
      <c r="M38" s="11">
        <f t="shared" si="7"/>
        <v>9576000000</v>
      </c>
      <c r="N38" s="11">
        <f t="shared" si="7"/>
        <v>19340500000</v>
      </c>
    </row>
    <row r="39" spans="1:14">
      <c r="A39" s="5"/>
      <c r="B39" s="5"/>
      <c r="C39" s="6" t="s">
        <v>147</v>
      </c>
      <c r="D39" s="5"/>
      <c r="E39" s="5"/>
      <c r="F39" s="5"/>
      <c r="G39" s="5"/>
      <c r="H39" s="5"/>
      <c r="I39" s="5"/>
      <c r="J39" s="5"/>
      <c r="K39" s="5"/>
      <c r="L39" s="5"/>
      <c r="M39" s="5"/>
      <c r="N39" s="5"/>
    </row>
    <row r="40" spans="1:14">
      <c r="D40" s="7" t="s">
        <v>148</v>
      </c>
      <c r="E40" s="8">
        <f>_xlfn.XLOOKUP("InvestmentProperty",HS_CONSOLIDATED!$C:$C,HS_CONSOLIDATED!D:D,0,0,1)</f>
        <v>0</v>
      </c>
      <c r="F40" s="8">
        <f>_xlfn.XLOOKUP("InvestmentProperty",HS_CONSOLIDATED!$C:$C,HS_CONSOLIDATED!E:E,0,0,1)</f>
        <v>341400000</v>
      </c>
      <c r="G40" s="8">
        <f>_xlfn.XLOOKUP("InvestmentProperty",HS_CONSOLIDATED!$C:$C,HS_CONSOLIDATED!F:F,0,0,1)</f>
        <v>407900000</v>
      </c>
      <c r="H40" s="8">
        <f>_xlfn.XLOOKUP("InvestmentProperty",HS_CONSOLIDATED!$C:$C,HS_CONSOLIDATED!G:G,0,0,1)</f>
        <v>373600000</v>
      </c>
      <c r="I40" s="8">
        <f>_xlfn.XLOOKUP("InvestmentProperty",HS_CONSOLIDATED!$C:$C,HS_CONSOLIDATED!H:H,0,0,1)</f>
        <v>346700000</v>
      </c>
      <c r="J40" s="8">
        <f>_xlfn.XLOOKUP("InvestmentProperty",HS_CONSOLIDATED!$C:$C,HS_CONSOLIDATED!I:I,0,0,1)</f>
        <v>326400000</v>
      </c>
      <c r="K40" s="8">
        <f>_xlfn.XLOOKUP("InvestmentProperty",HS_CONSOLIDATED!$C:$C,HS_CONSOLIDATED!J:J,0,0,1)</f>
        <v>308600000</v>
      </c>
      <c r="L40" s="8">
        <f>_xlfn.XLOOKUP("InvestmentProperty",HS_CONSOLIDATED!$C:$C,HS_CONSOLIDATED!K:K,0,0,1)</f>
        <v>292100000</v>
      </c>
      <c r="M40" s="8">
        <f>_xlfn.XLOOKUP("InvestmentProperty",HS_CONSOLIDATED!$C:$C,HS_CONSOLIDATED!L:L,0,0,1)</f>
        <v>270100000</v>
      </c>
      <c r="N40" s="8">
        <f>_xlfn.XLOOKUP("InvestmentProperty",HS_CONSOLIDATED!$C:$C,HS_CONSOLIDATED!M:M,0,0,1)</f>
        <v>257500000</v>
      </c>
    </row>
    <row r="41" spans="1:14">
      <c r="D41" s="7" t="s">
        <v>149</v>
      </c>
      <c r="E41" s="8">
        <f>_xlfn.XLOOKUP("InvestmentsAccountedForUsingEquityMethod",HS_CONSOLIDATED!$C:$C,HS_CONSOLIDATED!D:D,0,0,1)</f>
        <v>0</v>
      </c>
      <c r="F41" s="8">
        <f>_xlfn.XLOOKUP("InvestmentsAccountedForUsingEquityMethod",HS_CONSOLIDATED!$C:$C,HS_CONSOLIDATED!E:E,0,0,1)</f>
        <v>0</v>
      </c>
      <c r="G41" s="8">
        <f>_xlfn.XLOOKUP("InvestmentsAccountedForUsingEquityMethod",HS_CONSOLIDATED!$C:$C,HS_CONSOLIDATED!F:F,0,0,1)</f>
        <v>668600000</v>
      </c>
      <c r="H41" s="8">
        <f>_xlfn.XLOOKUP("InvestmentsAccountedForUsingEquityMethod",HS_CONSOLIDATED!$C:$C,HS_CONSOLIDATED!G:G,0,0,1)</f>
        <v>203000000</v>
      </c>
      <c r="I41" s="8">
        <f>_xlfn.XLOOKUP("InvestmentsAccountedForUsingEquityMethod",HS_CONSOLIDATED!$C:$C,HS_CONSOLIDATED!H:H,0,0,1)</f>
        <v>197100000</v>
      </c>
      <c r="J41" s="8">
        <f>_xlfn.XLOOKUP("InvestmentsAccountedForUsingEquityMethod",HS_CONSOLIDATED!$C:$C,HS_CONSOLIDATED!I:I,0,0,1)</f>
        <v>229700000</v>
      </c>
      <c r="K41" s="8">
        <f>_xlfn.XLOOKUP("InvestmentsAccountedForUsingEquityMethod",HS_CONSOLIDATED!$C:$C,HS_CONSOLIDATED!J:J,0,0,1)</f>
        <v>0</v>
      </c>
      <c r="L41" s="8">
        <f>_xlfn.XLOOKUP("InvestmentsAccountedForUsingEquityMethod",HS_CONSOLIDATED!$C:$C,HS_CONSOLIDATED!K:K,0,0,1)</f>
        <v>0</v>
      </c>
      <c r="M41" s="8">
        <f>_xlfn.XLOOKUP("InvestmentsAccountedForUsingEquityMethod",HS_CONSOLIDATED!$C:$C,HS_CONSOLIDATED!L:L,0,0,1)</f>
        <v>0</v>
      </c>
      <c r="N41" s="8">
        <f>_xlfn.XLOOKUP("InvestmentsAccountedForUsingEquityMethod",HS_CONSOLIDATED!$C:$C,HS_CONSOLIDATED!M:M,0,0,1)</f>
        <v>0</v>
      </c>
    </row>
    <row r="42" spans="1:14">
      <c r="D42" s="7" t="s">
        <v>150</v>
      </c>
      <c r="E42" s="8">
        <f>_xlfn.XLOOKUP("NoncurrentInvestments",HS_CONSOLIDATED!$C:$C,HS_CONSOLIDATED!D:D,0,0,1)</f>
        <v>0</v>
      </c>
      <c r="F42" s="8">
        <f>_xlfn.XLOOKUP("NoncurrentInvestments",HS_CONSOLIDATED!$C:$C,HS_CONSOLIDATED!E:E,0,0,1)</f>
        <v>1885500000</v>
      </c>
      <c r="G42" s="8">
        <f>_xlfn.XLOOKUP("NoncurrentInvestments",HS_CONSOLIDATED!$C:$C,HS_CONSOLIDATED!F:F,0,0,1)</f>
        <v>1300000</v>
      </c>
      <c r="H42" s="8">
        <f>_xlfn.XLOOKUP("NoncurrentInvestments",HS_CONSOLIDATED!$C:$C,HS_CONSOLIDATED!G:G,0,0,1)</f>
        <v>1300000</v>
      </c>
      <c r="I42" s="8">
        <f>_xlfn.XLOOKUP("NoncurrentInvestments",HS_CONSOLIDATED!$C:$C,HS_CONSOLIDATED!H:H,0,0,1)</f>
        <v>300000</v>
      </c>
      <c r="J42" s="8">
        <f>_xlfn.XLOOKUP("NoncurrentInvestments",HS_CONSOLIDATED!$C:$C,HS_CONSOLIDATED!I:I,0,0,1)</f>
        <v>300000</v>
      </c>
      <c r="K42" s="8">
        <f>_xlfn.XLOOKUP("NoncurrentInvestments",HS_CONSOLIDATED!$C:$C,HS_CONSOLIDATED!J:J,0,0,1)</f>
        <v>300000</v>
      </c>
      <c r="L42" s="8">
        <f>_xlfn.XLOOKUP("NoncurrentInvestments",HS_CONSOLIDATED!$C:$C,HS_CONSOLIDATED!K:K,0,0,1)</f>
        <v>300000</v>
      </c>
      <c r="M42" s="8">
        <f>_xlfn.XLOOKUP("NoncurrentInvestments",HS_CONSOLIDATED!$C:$C,HS_CONSOLIDATED!L:L,0,0,1)</f>
        <v>300000</v>
      </c>
      <c r="N42" s="8">
        <f>_xlfn.XLOOKUP("NoncurrentInvestments",HS_CONSOLIDATED!$C:$C,HS_CONSOLIDATED!M:M,0,0,1)</f>
        <v>300000</v>
      </c>
    </row>
    <row r="43" spans="1:14">
      <c r="D43" s="7" t="s">
        <v>151</v>
      </c>
      <c r="E43" s="8">
        <f>_xlfn.XLOOKUP("LoansNoncurrent",HS_CONSOLIDATED!$C:$C,HS_CONSOLIDATED!D:D,0,0,1)</f>
        <v>0</v>
      </c>
      <c r="F43" s="8">
        <f>_xlfn.XLOOKUP("LoansNoncurrent",HS_CONSOLIDATED!$C:$C,HS_CONSOLIDATED!E:E,0,0,1)</f>
        <v>59600000</v>
      </c>
      <c r="G43" s="8">
        <f>_xlfn.XLOOKUP("LoansNoncurrent",HS_CONSOLIDATED!$C:$C,HS_CONSOLIDATED!F:F,0,0,1)</f>
        <v>11200000</v>
      </c>
      <c r="H43" s="8">
        <f>_xlfn.XLOOKUP("LoansNoncurrent",HS_CONSOLIDATED!$C:$C,HS_CONSOLIDATED!G:G,0,0,1)</f>
        <v>0</v>
      </c>
      <c r="I43" s="8">
        <f>_xlfn.XLOOKUP("LoansNoncurrent",HS_CONSOLIDATED!$C:$C,HS_CONSOLIDATED!H:H,0,0,1)</f>
        <v>0</v>
      </c>
      <c r="J43" s="8">
        <f>_xlfn.XLOOKUP("LoansNoncurrent",HS_CONSOLIDATED!$C:$C,HS_CONSOLIDATED!I:I,0,0,1)</f>
        <v>0</v>
      </c>
      <c r="K43" s="8">
        <f>_xlfn.XLOOKUP("LoansNoncurrent",HS_CONSOLIDATED!$C:$C,HS_CONSOLIDATED!J:J,0,0,1)</f>
        <v>0</v>
      </c>
      <c r="L43" s="8">
        <f>_xlfn.XLOOKUP("LoansNoncurrent",HS_CONSOLIDATED!$C:$C,HS_CONSOLIDATED!K:K,0,0,1)</f>
        <v>0</v>
      </c>
      <c r="M43" s="8">
        <f>_xlfn.XLOOKUP("LoansNoncurrent",HS_CONSOLIDATED!$C:$C,HS_CONSOLIDATED!L:L,0,0,1)</f>
        <v>0</v>
      </c>
      <c r="N43" s="8">
        <f>_xlfn.XLOOKUP("LoansNoncurrent",HS_CONSOLIDATED!$C:$C,HS_CONSOLIDATED!M:M,0,0,1)</f>
        <v>0</v>
      </c>
    </row>
    <row r="44" spans="1:14">
      <c r="D44" s="7" t="s">
        <v>152</v>
      </c>
      <c r="E44" s="8">
        <f>_xlfn.XLOOKUP("OtherNoncurrentFinancialAssets",HS_CONSOLIDATED!$C:$C,HS_CONSOLIDATED!D:D,0,0,1)</f>
        <v>0</v>
      </c>
      <c r="F44" s="8">
        <f>_xlfn.XLOOKUP("OtherNoncurrentFinancialAssets",HS_CONSOLIDATED!$C:$C,HS_CONSOLIDATED!E:E,0,0,1)</f>
        <v>7118400000</v>
      </c>
      <c r="G44" s="8">
        <f>_xlfn.XLOOKUP("OtherNoncurrentFinancialAssets",HS_CONSOLIDATED!$C:$C,HS_CONSOLIDATED!F:F,0,0,1)</f>
        <v>5811500000</v>
      </c>
      <c r="H44" s="8">
        <f>_xlfn.XLOOKUP("OtherNoncurrentFinancialAssets",HS_CONSOLIDATED!$C:$C,HS_CONSOLIDATED!G:G,0,0,1)</f>
        <v>4838100000</v>
      </c>
      <c r="I44" s="8">
        <f>_xlfn.XLOOKUP("OtherNoncurrentFinancialAssets",HS_CONSOLIDATED!$C:$C,HS_CONSOLIDATED!H:H,0,0,1)</f>
        <v>2844000000</v>
      </c>
      <c r="J44" s="8">
        <f>_xlfn.XLOOKUP("OtherNoncurrentFinancialAssets",HS_CONSOLIDATED!$C:$C,HS_CONSOLIDATED!I:I,0,0,1)</f>
        <v>4026300000</v>
      </c>
      <c r="K44" s="8">
        <f>_xlfn.XLOOKUP("OtherNoncurrentFinancialAssets",HS_CONSOLIDATED!$C:$C,HS_CONSOLIDATED!J:J,0,0,1)</f>
        <v>2643100000</v>
      </c>
      <c r="L44" s="8">
        <f>_xlfn.XLOOKUP("OtherNoncurrentFinancialAssets",HS_CONSOLIDATED!$C:$C,HS_CONSOLIDATED!K:K,0,0,1)</f>
        <v>4331400000</v>
      </c>
      <c r="M44" s="8">
        <f>_xlfn.XLOOKUP("OtherNoncurrentFinancialAssets",HS_CONSOLIDATED!$C:$C,HS_CONSOLIDATED!L:L,0,0,1)</f>
        <v>9029200000</v>
      </c>
      <c r="N44" s="8">
        <f>_xlfn.XLOOKUP("OtherNoncurrentFinancialAssets",HS_CONSOLIDATED!$C:$C,HS_CONSOLIDATED!M:M,0,0,1)</f>
        <v>11035000000</v>
      </c>
    </row>
    <row r="45" spans="1:14">
      <c r="D45" s="7" t="s">
        <v>153</v>
      </c>
      <c r="E45" s="8">
        <f>_xlfn.XLOOKUP("DeferredTaxAssetsNet",HS_CONSOLIDATED!$C:$C,HS_CONSOLIDATED!D:D,0,0,1)</f>
        <v>0</v>
      </c>
      <c r="F45" s="8">
        <f>_xlfn.XLOOKUP("DeferredTaxAssetsNet",HS_CONSOLIDATED!$C:$C,HS_CONSOLIDATED!E:E,0,0,1)</f>
        <v>0</v>
      </c>
      <c r="G45" s="8">
        <f>_xlfn.XLOOKUP("DeferredTaxAssetsNet",HS_CONSOLIDATED!$C:$C,HS_CONSOLIDATED!F:F,0,0,1)</f>
        <v>0</v>
      </c>
      <c r="H45" s="8">
        <f>_xlfn.XLOOKUP("DeferredTaxAssetsNet",HS_CONSOLIDATED!$C:$C,HS_CONSOLIDATED!G:G,0,0,1)</f>
        <v>0</v>
      </c>
      <c r="I45" s="8">
        <f>_xlfn.XLOOKUP("DeferredTaxAssetsNet",HS_CONSOLIDATED!$C:$C,HS_CONSOLIDATED!H:H,0,0,1)</f>
        <v>0</v>
      </c>
      <c r="J45" s="8">
        <f>_xlfn.XLOOKUP("DeferredTaxAssetsNet",HS_CONSOLIDATED!$C:$C,HS_CONSOLIDATED!I:I,0,0,1)</f>
        <v>0</v>
      </c>
      <c r="K45" s="8">
        <f>_xlfn.XLOOKUP("DeferredTaxAssetsNet",HS_CONSOLIDATED!$C:$C,HS_CONSOLIDATED!J:J,0,0,1)</f>
        <v>174800000</v>
      </c>
      <c r="L45" s="8">
        <f>_xlfn.XLOOKUP("DeferredTaxAssetsNet",HS_CONSOLIDATED!$C:$C,HS_CONSOLIDATED!K:K,0,0,1)</f>
        <v>2000000</v>
      </c>
      <c r="M45" s="8">
        <f>_xlfn.XLOOKUP("DeferredTaxAssetsNet",HS_CONSOLIDATED!$C:$C,HS_CONSOLIDATED!L:L,0,0,1)</f>
        <v>37700000</v>
      </c>
      <c r="N45" s="8">
        <f>_xlfn.XLOOKUP("DeferredTaxAssetsNet",HS_CONSOLIDATED!$C:$C,HS_CONSOLIDATED!M:M,0,0,1)</f>
        <v>6445500000</v>
      </c>
    </row>
    <row r="46" spans="1:14">
      <c r="A46" s="9"/>
      <c r="B46" s="9"/>
      <c r="C46" s="10" t="s">
        <v>154</v>
      </c>
      <c r="D46" s="9"/>
      <c r="E46" s="11">
        <f t="shared" ref="E46:N46" si="8">IFERROR(SUM(E40:E45),0)</f>
        <v>0</v>
      </c>
      <c r="F46" s="11">
        <f t="shared" si="8"/>
        <v>9404900000</v>
      </c>
      <c r="G46" s="11">
        <f t="shared" si="8"/>
        <v>6900500000</v>
      </c>
      <c r="H46" s="11">
        <f t="shared" si="8"/>
        <v>5416000000</v>
      </c>
      <c r="I46" s="11">
        <f t="shared" si="8"/>
        <v>3388100000</v>
      </c>
      <c r="J46" s="11">
        <f t="shared" si="8"/>
        <v>4582700000</v>
      </c>
      <c r="K46" s="11">
        <f t="shared" si="8"/>
        <v>3126800000</v>
      </c>
      <c r="L46" s="11">
        <f t="shared" si="8"/>
        <v>4625800000</v>
      </c>
      <c r="M46" s="11">
        <f t="shared" si="8"/>
        <v>9337300000</v>
      </c>
      <c r="N46" s="11">
        <f t="shared" si="8"/>
        <v>17738300000</v>
      </c>
    </row>
    <row r="47" spans="1:14">
      <c r="C47" s="7" t="s">
        <v>155</v>
      </c>
      <c r="E47" s="8">
        <f>_xlfn.XLOOKUP("NoncurrentFinancialAssets",HS_CONSOLIDATED!$C:$C,HS_CONSOLIDATED!D:D,0,0,1)</f>
        <v>0</v>
      </c>
      <c r="F47" s="8">
        <f>_xlfn.XLOOKUP("NoncurrentFinancialAssets",HS_CONSOLIDATED!$C:$C,HS_CONSOLIDATED!E:E,0,0,1)</f>
        <v>9521200000</v>
      </c>
      <c r="G47" s="8">
        <f>_xlfn.XLOOKUP("NoncurrentFinancialAssets",HS_CONSOLIDATED!$C:$C,HS_CONSOLIDATED!F:F,0,0,1)</f>
        <v>5872400000</v>
      </c>
      <c r="H47" s="8">
        <f>_xlfn.XLOOKUP("NoncurrentFinancialAssets",HS_CONSOLIDATED!$C:$C,HS_CONSOLIDATED!G:G,0,0,1)</f>
        <v>4839400000</v>
      </c>
      <c r="I47" s="8">
        <f>_xlfn.XLOOKUP("NoncurrentFinancialAssets",HS_CONSOLIDATED!$C:$C,HS_CONSOLIDATED!H:H,0,0,1)</f>
        <v>2844300000</v>
      </c>
      <c r="J47" s="8">
        <f>_xlfn.XLOOKUP("NoncurrentFinancialAssets",HS_CONSOLIDATED!$C:$C,HS_CONSOLIDATED!I:I,0,0,1)</f>
        <v>4026600000</v>
      </c>
      <c r="K47" s="8">
        <f>_xlfn.XLOOKUP("NoncurrentFinancialAssets",HS_CONSOLIDATED!$C:$C,HS_CONSOLIDATED!J:J,0,0,1)</f>
        <v>2643400000</v>
      </c>
      <c r="L47" s="8">
        <f>_xlfn.XLOOKUP("NoncurrentFinancialAssets",HS_CONSOLIDATED!$C:$C,HS_CONSOLIDATED!K:K,0,0,1)</f>
        <v>4331700000</v>
      </c>
      <c r="M47" s="8">
        <f>_xlfn.XLOOKUP("NoncurrentFinancialAssets",HS_CONSOLIDATED!$C:$C,HS_CONSOLIDATED!L:L,0,0,1)</f>
        <v>9029500000</v>
      </c>
      <c r="N47" s="8">
        <f>_xlfn.XLOOKUP("NoncurrentFinancialAssets",HS_CONSOLIDATED!$C:$C,HS_CONSOLIDATED!M:M,0,0,1)</f>
        <v>11035300000</v>
      </c>
    </row>
    <row r="48" spans="1:14">
      <c r="A48" s="12"/>
      <c r="B48" s="13" t="s">
        <v>156</v>
      </c>
      <c r="C48" s="12"/>
      <c r="D48" s="12"/>
      <c r="E48" s="14">
        <f t="shared" ref="E48:N48" si="9">IFERROR(E46+E38,0)</f>
        <v>0</v>
      </c>
      <c r="F48" s="14">
        <f t="shared" si="9"/>
        <v>29895600000</v>
      </c>
      <c r="G48" s="14">
        <f t="shared" si="9"/>
        <v>26095800000</v>
      </c>
      <c r="H48" s="14">
        <f t="shared" si="9"/>
        <v>23565700000</v>
      </c>
      <c r="I48" s="14">
        <f t="shared" si="9"/>
        <v>18358000000</v>
      </c>
      <c r="J48" s="14">
        <f t="shared" si="9"/>
        <v>17535800000</v>
      </c>
      <c r="K48" s="14">
        <f t="shared" si="9"/>
        <v>13899900000</v>
      </c>
      <c r="L48" s="14">
        <f t="shared" si="9"/>
        <v>13457300000</v>
      </c>
      <c r="M48" s="14">
        <f t="shared" si="9"/>
        <v>18913300000</v>
      </c>
      <c r="N48" s="14">
        <f t="shared" si="9"/>
        <v>37078800000</v>
      </c>
    </row>
    <row r="49" spans="1:14">
      <c r="A49" s="5"/>
      <c r="B49" s="6" t="s">
        <v>157</v>
      </c>
      <c r="C49" s="5"/>
      <c r="D49" s="5"/>
      <c r="E49" s="5"/>
      <c r="F49" s="5"/>
      <c r="G49" s="5"/>
      <c r="H49" s="5"/>
      <c r="I49" s="5"/>
      <c r="J49" s="5"/>
      <c r="K49" s="5"/>
      <c r="L49" s="5"/>
      <c r="M49" s="5"/>
      <c r="N49" s="5"/>
    </row>
    <row r="50" spans="1:14">
      <c r="A50" s="5"/>
      <c r="B50" s="5"/>
      <c r="C50" s="6" t="s">
        <v>138</v>
      </c>
      <c r="D50" s="5"/>
      <c r="E50" s="5"/>
      <c r="F50" s="5"/>
      <c r="G50" s="5"/>
      <c r="H50" s="5"/>
      <c r="I50" s="5"/>
      <c r="J50" s="5"/>
      <c r="K50" s="5"/>
      <c r="L50" s="5"/>
      <c r="M50" s="5"/>
      <c r="N50" s="5"/>
    </row>
    <row r="51" spans="1:14">
      <c r="D51" s="7" t="s">
        <v>158</v>
      </c>
      <c r="E51" s="8">
        <f>_xlfn.XLOOKUP("Inventories",HS_CONSOLIDATED!$C:$C,HS_CONSOLIDATED!D:D,0,0,1)</f>
        <v>0</v>
      </c>
      <c r="F51" s="8">
        <f>_xlfn.XLOOKUP("Inventories",HS_CONSOLIDATED!$C:$C,HS_CONSOLIDATED!E:E,0,0,1)</f>
        <v>34688400000</v>
      </c>
      <c r="G51" s="8">
        <f>_xlfn.XLOOKUP("Inventories",HS_CONSOLIDATED!$C:$C,HS_CONSOLIDATED!F:F,0,0,1)</f>
        <v>30263700000</v>
      </c>
      <c r="H51" s="8">
        <f>_xlfn.XLOOKUP("Inventories",HS_CONSOLIDATED!$C:$C,HS_CONSOLIDATED!G:G,0,0,1)</f>
        <v>29139300000</v>
      </c>
      <c r="I51" s="8">
        <f>_xlfn.XLOOKUP("Inventories",HS_CONSOLIDATED!$C:$C,HS_CONSOLIDATED!H:H,0,0,1)</f>
        <v>20555900000</v>
      </c>
      <c r="J51" s="8">
        <f>_xlfn.XLOOKUP("Inventories",HS_CONSOLIDATED!$C:$C,HS_CONSOLIDATED!I:I,0,0,1)</f>
        <v>21727600000</v>
      </c>
      <c r="K51" s="8">
        <f>_xlfn.XLOOKUP("Inventories",HS_CONSOLIDATED!$C:$C,HS_CONSOLIDATED!J:J,0,0,1)</f>
        <v>22079000000</v>
      </c>
      <c r="L51" s="8">
        <f>_xlfn.XLOOKUP("Inventories",HS_CONSOLIDATED!$C:$C,HS_CONSOLIDATED!K:K,0,0,1)</f>
        <v>18271300000</v>
      </c>
      <c r="M51" s="8">
        <f>_xlfn.XLOOKUP("Inventories",HS_CONSOLIDATED!$C:$C,HS_CONSOLIDATED!L:L,0,0,1)</f>
        <v>22922900000</v>
      </c>
      <c r="N51" s="8">
        <f>_xlfn.XLOOKUP("Inventories",HS_CONSOLIDATED!$C:$C,HS_CONSOLIDATED!M:M,0,0,1)</f>
        <v>32335500000</v>
      </c>
    </row>
    <row r="52" spans="1:14">
      <c r="D52" s="7" t="s">
        <v>159</v>
      </c>
      <c r="E52" s="8">
        <f>_xlfn.XLOOKUP("TradeReceivablesCurrent",HS_CONSOLIDATED!$C:$C,HS_CONSOLIDATED!D:D,0,0,1)</f>
        <v>0</v>
      </c>
      <c r="F52" s="8">
        <f>_xlfn.XLOOKUP("TradeReceivablesCurrent",HS_CONSOLIDATED!$C:$C,HS_CONSOLIDATED!E:E,0,0,1)</f>
        <v>36275300000</v>
      </c>
      <c r="G52" s="8">
        <f>_xlfn.XLOOKUP("TradeReceivablesCurrent",HS_CONSOLIDATED!$C:$C,HS_CONSOLIDATED!F:F,0,0,1)</f>
        <v>29851500000</v>
      </c>
      <c r="H52" s="8">
        <f>_xlfn.XLOOKUP("TradeReceivablesCurrent",HS_CONSOLIDATED!$C:$C,HS_CONSOLIDATED!G:G,0,0,1)</f>
        <v>18805900000</v>
      </c>
      <c r="I52" s="8">
        <f>_xlfn.XLOOKUP("TradeReceivablesCurrent",HS_CONSOLIDATED!$C:$C,HS_CONSOLIDATED!H:H,0,0,1)</f>
        <v>13645400000</v>
      </c>
      <c r="J52" s="8">
        <f>_xlfn.XLOOKUP("TradeReceivablesCurrent",HS_CONSOLIDATED!$C:$C,HS_CONSOLIDATED!I:I,0,0,1)</f>
        <v>11897200000</v>
      </c>
      <c r="K52" s="8">
        <f>_xlfn.XLOOKUP("TradeReceivablesCurrent",HS_CONSOLIDATED!$C:$C,HS_CONSOLIDATED!J:J,0,0,1)</f>
        <v>13769500000</v>
      </c>
      <c r="L52" s="8">
        <f>_xlfn.XLOOKUP("TradeReceivablesCurrent",HS_CONSOLIDATED!$C:$C,HS_CONSOLIDATED!K:K,0,0,1)</f>
        <v>11704400000</v>
      </c>
      <c r="M52" s="8">
        <f>_xlfn.XLOOKUP("TradeReceivablesCurrent",HS_CONSOLIDATED!$C:$C,HS_CONSOLIDATED!L:L,0,0,1)</f>
        <v>18295800000</v>
      </c>
      <c r="N52" s="8">
        <f>_xlfn.XLOOKUP("TradeReceivablesCurrent",HS_CONSOLIDATED!$C:$C,HS_CONSOLIDATED!M:M,0,0,1)</f>
        <v>38663500000</v>
      </c>
    </row>
    <row r="53" spans="1:14">
      <c r="D53" s="7" t="s">
        <v>160</v>
      </c>
      <c r="E53" s="8">
        <f>_xlfn.XLOOKUP("OtherCurrentAssets",HS_CONSOLIDATED!$C:$C,HS_CONSOLIDATED!D:D,0,0,1)</f>
        <v>0</v>
      </c>
      <c r="F53" s="8">
        <f>_xlfn.XLOOKUP("OtherCurrentAssets",HS_CONSOLIDATED!$C:$C,HS_CONSOLIDATED!E:E,0,0,1)</f>
        <v>10137600000</v>
      </c>
      <c r="G53" s="8">
        <f>_xlfn.XLOOKUP("OtherCurrentAssets",HS_CONSOLIDATED!$C:$C,HS_CONSOLIDATED!F:F,0,0,1)</f>
        <v>9306100000</v>
      </c>
      <c r="H53" s="8">
        <f>_xlfn.XLOOKUP("OtherCurrentAssets",HS_CONSOLIDATED!$C:$C,HS_CONSOLIDATED!G:G,0,0,1)</f>
        <v>12119300000</v>
      </c>
      <c r="I53" s="8">
        <f>_xlfn.XLOOKUP("OtherCurrentAssets",HS_CONSOLIDATED!$C:$C,HS_CONSOLIDATED!H:H,0,0,1)</f>
        <v>9894700000</v>
      </c>
      <c r="J53" s="8">
        <f>_xlfn.XLOOKUP("OtherCurrentAssets",HS_CONSOLIDATED!$C:$C,HS_CONSOLIDATED!I:I,0,0,1)</f>
        <v>9695800000</v>
      </c>
      <c r="K53" s="8">
        <f>_xlfn.XLOOKUP("OtherCurrentAssets",HS_CONSOLIDATED!$C:$C,HS_CONSOLIDATED!J:J,0,0,1)</f>
        <v>8112600000</v>
      </c>
      <c r="L53" s="8">
        <f>_xlfn.XLOOKUP("OtherCurrentAssets",HS_CONSOLIDATED!$C:$C,HS_CONSOLIDATED!K:K,0,0,1)</f>
        <v>6271000000</v>
      </c>
      <c r="M53" s="8">
        <f>_xlfn.XLOOKUP("OtherCurrentAssets",HS_CONSOLIDATED!$C:$C,HS_CONSOLIDATED!L:L,0,0,1)</f>
        <v>5942400000</v>
      </c>
      <c r="N53" s="8">
        <f>_xlfn.XLOOKUP("OtherCurrentAssets",HS_CONSOLIDATED!$C:$C,HS_CONSOLIDATED!M:M,0,0,1)</f>
        <v>7570400000</v>
      </c>
    </row>
    <row r="54" spans="1:14">
      <c r="A54" s="9"/>
      <c r="B54" s="9"/>
      <c r="C54" s="10" t="s">
        <v>146</v>
      </c>
      <c r="D54" s="9"/>
      <c r="E54" s="11">
        <f t="shared" ref="E54:N54" si="10">IFERROR(SUM(E51:E53),0)</f>
        <v>0</v>
      </c>
      <c r="F54" s="11">
        <f t="shared" si="10"/>
        <v>81101300000</v>
      </c>
      <c r="G54" s="11">
        <f t="shared" si="10"/>
        <v>69421300000</v>
      </c>
      <c r="H54" s="11">
        <f t="shared" si="10"/>
        <v>60064500000</v>
      </c>
      <c r="I54" s="11">
        <f t="shared" si="10"/>
        <v>44096000000</v>
      </c>
      <c r="J54" s="11">
        <f t="shared" si="10"/>
        <v>43320600000</v>
      </c>
      <c r="K54" s="11">
        <f t="shared" si="10"/>
        <v>43961100000</v>
      </c>
      <c r="L54" s="11">
        <f t="shared" si="10"/>
        <v>36246700000</v>
      </c>
      <c r="M54" s="11">
        <f t="shared" si="10"/>
        <v>47161100000</v>
      </c>
      <c r="N54" s="11">
        <f t="shared" si="10"/>
        <v>78569400000</v>
      </c>
    </row>
    <row r="55" spans="1:14">
      <c r="A55" s="5"/>
      <c r="B55" s="5"/>
      <c r="C55" s="6" t="s">
        <v>147</v>
      </c>
      <c r="D55" s="5"/>
      <c r="E55" s="5"/>
      <c r="F55" s="5"/>
      <c r="G55" s="5"/>
      <c r="H55" s="5"/>
      <c r="I55" s="5"/>
      <c r="J55" s="5"/>
      <c r="K55" s="5"/>
      <c r="L55" s="5"/>
      <c r="M55" s="5"/>
      <c r="N55" s="5"/>
    </row>
    <row r="56" spans="1:14">
      <c r="D56" s="7" t="s">
        <v>161</v>
      </c>
      <c r="E56" s="8">
        <f>_xlfn.XLOOKUP("CurrentInvestments",HS_CONSOLIDATED!$C:$C,HS_CONSOLIDATED!D:D,0,0,1)</f>
        <v>0</v>
      </c>
      <c r="F56" s="8">
        <f>_xlfn.XLOOKUP("CurrentInvestments",HS_CONSOLIDATED!$C:$C,HS_CONSOLIDATED!E:E,0,0,1)</f>
        <v>4811000000</v>
      </c>
      <c r="G56" s="8">
        <f>_xlfn.XLOOKUP("CurrentInvestments",HS_CONSOLIDATED!$C:$C,HS_CONSOLIDATED!F:F,0,0,1)</f>
        <v>0</v>
      </c>
      <c r="H56" s="8">
        <f>_xlfn.XLOOKUP("CurrentInvestments",HS_CONSOLIDATED!$C:$C,HS_CONSOLIDATED!G:G,0,0,1)</f>
        <v>0</v>
      </c>
      <c r="I56" s="8">
        <f>_xlfn.XLOOKUP("CurrentInvestments",HS_CONSOLIDATED!$C:$C,HS_CONSOLIDATED!H:H,0,0,1)</f>
        <v>0</v>
      </c>
      <c r="J56" s="8">
        <f>_xlfn.XLOOKUP("CurrentInvestments",HS_CONSOLIDATED!$C:$C,HS_CONSOLIDATED!I:I,0,0,1)</f>
        <v>0</v>
      </c>
      <c r="K56" s="8">
        <f>_xlfn.XLOOKUP("CurrentInvestments",HS_CONSOLIDATED!$C:$C,HS_CONSOLIDATED!J:J,0,0,1)</f>
        <v>0</v>
      </c>
      <c r="L56" s="8">
        <f>_xlfn.XLOOKUP("CurrentInvestments",HS_CONSOLIDATED!$C:$C,HS_CONSOLIDATED!K:K,0,0,1)</f>
        <v>0</v>
      </c>
      <c r="M56" s="8">
        <f>_xlfn.XLOOKUP("CurrentInvestments",HS_CONSOLIDATED!$C:$C,HS_CONSOLIDATED!L:L,0,0,1)</f>
        <v>83500000</v>
      </c>
      <c r="N56" s="8">
        <f>_xlfn.XLOOKUP("CurrentInvestments",HS_CONSOLIDATED!$C:$C,HS_CONSOLIDATED!M:M,0,0,1)</f>
        <v>429100000</v>
      </c>
    </row>
    <row r="57" spans="1:14">
      <c r="D57" s="7" t="s">
        <v>162</v>
      </c>
      <c r="E57" s="8">
        <f>_xlfn.XLOOKUP("CashAndCashEquivalents",HS_CONSOLIDATED!$C:$C,HS_CONSOLIDATED!D:D,0,0,1)</f>
        <v>0</v>
      </c>
      <c r="F57" s="8">
        <f>_xlfn.XLOOKUP("CashAndCashEquivalents",HS_CONSOLIDATED!$C:$C,HS_CONSOLIDATED!E:E,0,0,1)</f>
        <v>3361200000</v>
      </c>
      <c r="G57" s="8">
        <f>_xlfn.XLOOKUP("CashAndCashEquivalents",HS_CONSOLIDATED!$C:$C,HS_CONSOLIDATED!F:F,0,0,1)</f>
        <v>5810700000</v>
      </c>
      <c r="H57" s="8">
        <f>_xlfn.XLOOKUP("CashAndCashEquivalents",HS_CONSOLIDATED!$C:$C,HS_CONSOLIDATED!G:G,0,0,1)</f>
        <v>746200000</v>
      </c>
      <c r="I57" s="8">
        <f>_xlfn.XLOOKUP("CashAndCashEquivalents",HS_CONSOLIDATED!$C:$C,HS_CONSOLIDATED!H:H,0,0,1)</f>
        <v>823300000</v>
      </c>
      <c r="J57" s="8">
        <f>_xlfn.XLOOKUP("CashAndCashEquivalents",HS_CONSOLIDATED!$C:$C,HS_CONSOLIDATED!I:I,0,0,1)</f>
        <v>2625000000</v>
      </c>
      <c r="K57" s="8">
        <f>_xlfn.XLOOKUP("CashAndCashEquivalents",HS_CONSOLIDATED!$C:$C,HS_CONSOLIDATED!J:J,0,0,1)</f>
        <v>5004300000</v>
      </c>
      <c r="L57" s="8">
        <f>_xlfn.XLOOKUP("CashAndCashEquivalents",HS_CONSOLIDATED!$C:$C,HS_CONSOLIDATED!K:K,0,0,1)</f>
        <v>3673100000</v>
      </c>
      <c r="M57" s="8">
        <f>_xlfn.XLOOKUP("CashAndCashEquivalents",HS_CONSOLIDATED!$C:$C,HS_CONSOLIDATED!L:L,0,0,1)</f>
        <v>4268400000</v>
      </c>
      <c r="N57" s="8">
        <f>_xlfn.XLOOKUP("CashAndCashEquivalents",HS_CONSOLIDATED!$C:$C,HS_CONSOLIDATED!M:M,0,0,1)</f>
        <v>11128300000</v>
      </c>
    </row>
    <row r="58" spans="1:14">
      <c r="D58" s="7" t="s">
        <v>163</v>
      </c>
      <c r="E58" s="8">
        <f>_xlfn.XLOOKUP("LoansCurrent",HS_CONSOLIDATED!$C:$C,HS_CONSOLIDATED!D:D,0,0,1)</f>
        <v>0</v>
      </c>
      <c r="F58" s="8">
        <f>_xlfn.XLOOKUP("LoansCurrent",HS_CONSOLIDATED!$C:$C,HS_CONSOLIDATED!E:E,0,0,1)</f>
        <v>494000000</v>
      </c>
      <c r="G58" s="8">
        <f>_xlfn.XLOOKUP("LoansCurrent",HS_CONSOLIDATED!$C:$C,HS_CONSOLIDATED!F:F,0,0,1)</f>
        <v>499300000</v>
      </c>
      <c r="H58" s="8">
        <f>_xlfn.XLOOKUP("LoansCurrent",HS_CONSOLIDATED!$C:$C,HS_CONSOLIDATED!G:G,0,0,1)</f>
        <v>115200000</v>
      </c>
      <c r="I58" s="8">
        <f>_xlfn.XLOOKUP("LoansCurrent",HS_CONSOLIDATED!$C:$C,HS_CONSOLIDATED!H:H,0,0,1)</f>
        <v>224500000</v>
      </c>
      <c r="J58" s="8">
        <f>_xlfn.XLOOKUP("LoansCurrent",HS_CONSOLIDATED!$C:$C,HS_CONSOLIDATED!I:I,0,0,1)</f>
        <v>212700000</v>
      </c>
      <c r="K58" s="8">
        <f>_xlfn.XLOOKUP("LoansCurrent",HS_CONSOLIDATED!$C:$C,HS_CONSOLIDATED!J:J,0,0,1)</f>
        <v>9600000</v>
      </c>
      <c r="L58" s="8">
        <f>_xlfn.XLOOKUP("LoansCurrent",HS_CONSOLIDATED!$C:$C,HS_CONSOLIDATED!K:K,0,0,1)</f>
        <v>6100000</v>
      </c>
      <c r="M58" s="8">
        <f>_xlfn.XLOOKUP("LoansCurrent",HS_CONSOLIDATED!$C:$C,HS_CONSOLIDATED!L:L,0,0,1)</f>
        <v>2600000</v>
      </c>
      <c r="N58" s="8">
        <f>_xlfn.XLOOKUP("LoansCurrent",HS_CONSOLIDATED!$C:$C,HS_CONSOLIDATED!M:M,0,0,1)</f>
        <v>2700000</v>
      </c>
    </row>
    <row r="59" spans="1:14">
      <c r="D59" s="7" t="s">
        <v>164</v>
      </c>
      <c r="E59" s="8">
        <f>_xlfn.XLOOKUP("OtherCurrentFinancialAssets",HS_CONSOLIDATED!$C:$C,HS_CONSOLIDATED!D:D,0,0,1)</f>
        <v>0</v>
      </c>
      <c r="F59" s="8">
        <f>_xlfn.XLOOKUP("OtherCurrentFinancialAssets",HS_CONSOLIDATED!$C:$C,HS_CONSOLIDATED!E:E,0,0,1)</f>
        <v>1486000000</v>
      </c>
      <c r="G59" s="8">
        <f>_xlfn.XLOOKUP("OtherCurrentFinancialAssets",HS_CONSOLIDATED!$C:$C,HS_CONSOLIDATED!F:F,0,0,1)</f>
        <v>2663600000</v>
      </c>
      <c r="H59" s="8">
        <f>_xlfn.XLOOKUP("OtherCurrentFinancialAssets",HS_CONSOLIDATED!$C:$C,HS_CONSOLIDATED!G:G,0,0,1)</f>
        <v>3163100000</v>
      </c>
      <c r="I59" s="8">
        <f>_xlfn.XLOOKUP("OtherCurrentFinancialAssets",HS_CONSOLIDATED!$C:$C,HS_CONSOLIDATED!H:H,0,0,1)</f>
        <v>1087100000</v>
      </c>
      <c r="J59" s="8">
        <f>_xlfn.XLOOKUP("OtherCurrentFinancialAssets",HS_CONSOLIDATED!$C:$C,HS_CONSOLIDATED!I:I,0,0,1)</f>
        <v>1759700000</v>
      </c>
      <c r="K59" s="8">
        <f>_xlfn.XLOOKUP("OtherCurrentFinancialAssets",HS_CONSOLIDATED!$C:$C,HS_CONSOLIDATED!J:J,0,0,1)</f>
        <v>1205000000</v>
      </c>
      <c r="L59" s="8">
        <f>_xlfn.XLOOKUP("OtherCurrentFinancialAssets",HS_CONSOLIDATED!$C:$C,HS_CONSOLIDATED!K:K,0,0,1)</f>
        <v>1490500000</v>
      </c>
      <c r="M59" s="8">
        <f>_xlfn.XLOOKUP("OtherCurrentFinancialAssets",HS_CONSOLIDATED!$C:$C,HS_CONSOLIDATED!L:L,0,0,1)</f>
        <v>1349800000</v>
      </c>
      <c r="N59" s="8">
        <f>_xlfn.XLOOKUP("OtherCurrentFinancialAssets",HS_CONSOLIDATED!$C:$C,HS_CONSOLIDATED!M:M,0,0,1)</f>
        <v>1883800000</v>
      </c>
    </row>
    <row r="60" spans="1:14">
      <c r="D60" s="7" t="s">
        <v>165</v>
      </c>
      <c r="E60" s="8">
        <f>_xlfn.XLOOKUP("CurrentTaxAssetsCurrent",HS_CONSOLIDATED!$C:$C,HS_CONSOLIDATED!D:D,0,0,1)</f>
        <v>0</v>
      </c>
      <c r="F60" s="8">
        <f>_xlfn.XLOOKUP("CurrentTaxAssetsCurrent",HS_CONSOLIDATED!$C:$C,HS_CONSOLIDATED!E:E,0,0,1)</f>
        <v>451900000</v>
      </c>
      <c r="G60" s="8">
        <f>_xlfn.XLOOKUP("CurrentTaxAssetsCurrent",HS_CONSOLIDATED!$C:$C,HS_CONSOLIDATED!F:F,0,0,1)</f>
        <v>93300000</v>
      </c>
      <c r="H60" s="8">
        <f>_xlfn.XLOOKUP("CurrentTaxAssetsCurrent",HS_CONSOLIDATED!$C:$C,HS_CONSOLIDATED!G:G,0,0,1)</f>
        <v>160800000</v>
      </c>
      <c r="I60" s="8">
        <f>_xlfn.XLOOKUP("CurrentTaxAssetsCurrent",HS_CONSOLIDATED!$C:$C,HS_CONSOLIDATED!H:H,0,0,1)</f>
        <v>204600000</v>
      </c>
      <c r="J60" s="8">
        <f>_xlfn.XLOOKUP("CurrentTaxAssetsCurrent",HS_CONSOLIDATED!$C:$C,HS_CONSOLIDATED!I:I,0,0,1)</f>
        <v>61200000</v>
      </c>
      <c r="K60" s="8">
        <f>_xlfn.XLOOKUP("CurrentTaxAssetsCurrent",HS_CONSOLIDATED!$C:$C,HS_CONSOLIDATED!J:J,0,0,1)</f>
        <v>11100000</v>
      </c>
      <c r="L60" s="8">
        <f>_xlfn.XLOOKUP("CurrentTaxAssetsCurrent",HS_CONSOLIDATED!$C:$C,HS_CONSOLIDATED!K:K,0,0,1)</f>
        <v>5400000</v>
      </c>
      <c r="M60" s="8">
        <f>_xlfn.XLOOKUP("CurrentTaxAssetsCurrent",HS_CONSOLIDATED!$C:$C,HS_CONSOLIDATED!L:L,0,0,1)</f>
        <v>11500000</v>
      </c>
      <c r="N60" s="8">
        <f>_xlfn.XLOOKUP("CurrentTaxAssetsCurrent",HS_CONSOLIDATED!$C:$C,HS_CONSOLIDATED!M:M,0,0,1)</f>
        <v>503800000</v>
      </c>
    </row>
    <row r="61" spans="1:14">
      <c r="A61" s="9"/>
      <c r="B61" s="9"/>
      <c r="C61" s="10" t="s">
        <v>154</v>
      </c>
      <c r="D61" s="9"/>
      <c r="E61" s="11">
        <f t="shared" ref="E61:N61" si="11">IFERROR(SUM(E56:E60),0)</f>
        <v>0</v>
      </c>
      <c r="F61" s="11">
        <f t="shared" si="11"/>
        <v>10604100000</v>
      </c>
      <c r="G61" s="11">
        <f t="shared" si="11"/>
        <v>9066900000</v>
      </c>
      <c r="H61" s="11">
        <f t="shared" si="11"/>
        <v>4185300000</v>
      </c>
      <c r="I61" s="11">
        <f t="shared" si="11"/>
        <v>2339500000</v>
      </c>
      <c r="J61" s="11">
        <f t="shared" si="11"/>
        <v>4658600000</v>
      </c>
      <c r="K61" s="11">
        <f t="shared" si="11"/>
        <v>6230000000</v>
      </c>
      <c r="L61" s="11">
        <f t="shared" si="11"/>
        <v>5175100000</v>
      </c>
      <c r="M61" s="11">
        <f t="shared" si="11"/>
        <v>5715800000</v>
      </c>
      <c r="N61" s="11">
        <f t="shared" si="11"/>
        <v>13947700000</v>
      </c>
    </row>
    <row r="62" spans="1:14">
      <c r="C62" s="7" t="s">
        <v>166</v>
      </c>
      <c r="E62" s="8">
        <f>_xlfn.XLOOKUP("CurrentFinancialAssets",HS_CONSOLIDATED!$C:$C,HS_CONSOLIDATED!D:D,0,0,1)</f>
        <v>0</v>
      </c>
      <c r="F62" s="8">
        <f>_xlfn.XLOOKUP("CurrentFinancialAssets",HS_CONSOLIDATED!$C:$C,HS_CONSOLIDATED!E:E,0,0,1)</f>
        <v>46427500000</v>
      </c>
      <c r="G62" s="8">
        <f>_xlfn.XLOOKUP("CurrentFinancialAssets",HS_CONSOLIDATED!$C:$C,HS_CONSOLIDATED!F:F,0,0,1)</f>
        <v>38825100000</v>
      </c>
      <c r="H62" s="8">
        <f>_xlfn.XLOOKUP("CurrentFinancialAssets",HS_CONSOLIDATED!$C:$C,HS_CONSOLIDATED!G:G,0,0,1)</f>
        <v>22830400000</v>
      </c>
      <c r="I62" s="8">
        <f>_xlfn.XLOOKUP("CurrentFinancialAssets",HS_CONSOLIDATED!$C:$C,HS_CONSOLIDATED!H:H,0,0,1)</f>
        <v>15780300000</v>
      </c>
      <c r="J62" s="8">
        <f>_xlfn.XLOOKUP("CurrentFinancialAssets",HS_CONSOLIDATED!$C:$C,HS_CONSOLIDATED!I:I,0,0,1)</f>
        <v>16494600000</v>
      </c>
      <c r="K62" s="8">
        <f>_xlfn.XLOOKUP("CurrentFinancialAssets",HS_CONSOLIDATED!$C:$C,HS_CONSOLIDATED!J:J,0,0,1)</f>
        <v>19988400000</v>
      </c>
      <c r="L62" s="8">
        <f>_xlfn.XLOOKUP("CurrentFinancialAssets",HS_CONSOLIDATED!$C:$C,HS_CONSOLIDATED!K:K,0,0,1)</f>
        <v>16874100000</v>
      </c>
      <c r="M62" s="8">
        <f>_xlfn.XLOOKUP("CurrentFinancialAssets",HS_CONSOLIDATED!$C:$C,HS_CONSOLIDATED!L:L,0,0,1)</f>
        <v>24000100000</v>
      </c>
      <c r="N62" s="8">
        <f>_xlfn.XLOOKUP("CurrentFinancialAssets",HS_CONSOLIDATED!$C:$C,HS_CONSOLIDATED!M:M,0,0,1)</f>
        <v>52107400000</v>
      </c>
    </row>
    <row r="63" spans="1:14">
      <c r="A63" s="12"/>
      <c r="B63" s="13" t="s">
        <v>167</v>
      </c>
      <c r="C63" s="12"/>
      <c r="D63" s="12"/>
      <c r="E63" s="14">
        <f t="shared" ref="E63:N63" si="12">IFERROR(E61+E54,0)</f>
        <v>0</v>
      </c>
      <c r="F63" s="14">
        <f t="shared" si="12"/>
        <v>91705400000</v>
      </c>
      <c r="G63" s="14">
        <f t="shared" si="12"/>
        <v>78488200000</v>
      </c>
      <c r="H63" s="14">
        <f t="shared" si="12"/>
        <v>64249800000</v>
      </c>
      <c r="I63" s="14">
        <f t="shared" si="12"/>
        <v>46435500000</v>
      </c>
      <c r="J63" s="14">
        <f t="shared" si="12"/>
        <v>47979200000</v>
      </c>
      <c r="K63" s="14">
        <f t="shared" si="12"/>
        <v>50191100000</v>
      </c>
      <c r="L63" s="14">
        <f t="shared" si="12"/>
        <v>41421800000</v>
      </c>
      <c r="M63" s="14">
        <f t="shared" si="12"/>
        <v>52876900000</v>
      </c>
      <c r="N63" s="14">
        <f t="shared" si="12"/>
        <v>92517100000</v>
      </c>
    </row>
    <row r="64" spans="1:14">
      <c r="C64" s="7" t="s">
        <v>168</v>
      </c>
      <c r="E64" s="8">
        <f>_xlfn.XLOOKUP("NoncurrentAssetsOrDisposalGroupsClassifiedAsHeldForSaleOrAsHeldForDistributionToOwners",HS_CONSOLIDATED!$C:$C,HS_CONSOLIDATED!D:D,0,0,1)</f>
        <v>0</v>
      </c>
      <c r="F64" s="8">
        <f>_xlfn.XLOOKUP("NoncurrentAssetsOrDisposalGroupsClassifiedAsHeldForSaleOrAsHeldForDistributionToOwners",HS_CONSOLIDATED!$C:$C,HS_CONSOLIDATED!E:E,0,0,1)</f>
        <v>0</v>
      </c>
      <c r="G64" s="8">
        <f>_xlfn.XLOOKUP("NoncurrentAssetsOrDisposalGroupsClassifiedAsHeldForSaleOrAsHeldForDistributionToOwners",HS_CONSOLIDATED!$C:$C,HS_CONSOLIDATED!F:F,0,0,1)</f>
        <v>6621700000</v>
      </c>
      <c r="H64" s="8">
        <f>_xlfn.XLOOKUP("NoncurrentAssetsOrDisposalGroupsClassifiedAsHeldForSaleOrAsHeldForDistributionToOwners",HS_CONSOLIDATED!$C:$C,HS_CONSOLIDATED!G:G,0,0,1)</f>
        <v>893600000</v>
      </c>
      <c r="I64" s="8">
        <f>_xlfn.XLOOKUP("NoncurrentAssetsOrDisposalGroupsClassifiedAsHeldForSaleOrAsHeldForDistributionToOwners",HS_CONSOLIDATED!$C:$C,HS_CONSOLIDATED!H:H,0,0,1)</f>
        <v>510000000</v>
      </c>
      <c r="J64" s="8">
        <f>_xlfn.XLOOKUP("NoncurrentAssetsOrDisposalGroupsClassifiedAsHeldForSaleOrAsHeldForDistributionToOwners",HS_CONSOLIDATED!$C:$C,HS_CONSOLIDATED!I:I,0,0,1)</f>
        <v>495900000</v>
      </c>
      <c r="K64" s="8">
        <f>_xlfn.XLOOKUP("NoncurrentAssetsOrDisposalGroupsClassifiedAsHeldForSaleOrAsHeldForDistributionToOwners",HS_CONSOLIDATED!$C:$C,HS_CONSOLIDATED!J:J,0,0,1)</f>
        <v>657600000</v>
      </c>
      <c r="L64" s="8">
        <f>_xlfn.XLOOKUP("NoncurrentAssetsOrDisposalGroupsClassifiedAsHeldForSaleOrAsHeldForDistributionToOwners",HS_CONSOLIDATED!$C:$C,HS_CONSOLIDATED!K:K,0,0,1)</f>
        <v>354700000</v>
      </c>
      <c r="M64" s="8">
        <f>_xlfn.XLOOKUP("NoncurrentAssetsOrDisposalGroupsClassifiedAsHeldForSaleOrAsHeldForDistributionToOwners",HS_CONSOLIDATED!$C:$C,HS_CONSOLIDATED!L:L,0,0,1)</f>
        <v>0</v>
      </c>
      <c r="N64" s="8">
        <f>_xlfn.XLOOKUP("NoncurrentAssetsOrDisposalGroupsClassifiedAsHeldForSaleOrAsHeldForDistributionToOwners",HS_CONSOLIDATED!$C:$C,HS_CONSOLIDATED!M:M,0,0,1)</f>
        <v>0</v>
      </c>
    </row>
    <row r="65" spans="1:14">
      <c r="A65" s="12"/>
      <c r="B65" s="13" t="s">
        <v>169</v>
      </c>
      <c r="C65" s="12"/>
      <c r="D65" s="12"/>
      <c r="E65" s="14">
        <f t="shared" ref="E65:N65" si="13">IFERROR(SUM(E63:E64)+E48,0)</f>
        <v>0</v>
      </c>
      <c r="F65" s="14">
        <f t="shared" si="13"/>
        <v>121601000000</v>
      </c>
      <c r="G65" s="14">
        <f t="shared" si="13"/>
        <v>111205700000</v>
      </c>
      <c r="H65" s="14">
        <f t="shared" si="13"/>
        <v>88709100000</v>
      </c>
      <c r="I65" s="14">
        <f t="shared" si="13"/>
        <v>65303500000</v>
      </c>
      <c r="J65" s="14">
        <f t="shared" si="13"/>
        <v>66010900000</v>
      </c>
      <c r="K65" s="14">
        <f t="shared" si="13"/>
        <v>64748600000</v>
      </c>
      <c r="L65" s="14">
        <f t="shared" si="13"/>
        <v>55233800000</v>
      </c>
      <c r="M65" s="14">
        <f t="shared" si="13"/>
        <v>71790200000</v>
      </c>
      <c r="N65" s="14">
        <f t="shared" si="13"/>
        <v>129595900000</v>
      </c>
    </row>
    <row r="66" spans="1:14">
      <c r="A66" s="5"/>
      <c r="B66" s="6" t="s">
        <v>170</v>
      </c>
      <c r="C66" s="5"/>
      <c r="D66" s="5"/>
      <c r="E66" s="5"/>
      <c r="F66" s="5"/>
      <c r="G66" s="5"/>
      <c r="H66" s="5"/>
      <c r="I66" s="5"/>
      <c r="J66" s="5"/>
      <c r="K66" s="5"/>
      <c r="L66" s="5"/>
      <c r="M66" s="5"/>
      <c r="N66" s="5"/>
    </row>
    <row r="67" spans="1:14">
      <c r="A67" s="5"/>
      <c r="B67" s="6" t="s">
        <v>171</v>
      </c>
      <c r="C67" s="5"/>
      <c r="D67" s="5"/>
      <c r="E67" s="5"/>
      <c r="F67" s="5"/>
      <c r="G67" s="5"/>
      <c r="H67" s="5"/>
      <c r="I67" s="5"/>
      <c r="J67" s="5"/>
      <c r="K67" s="5"/>
      <c r="L67" s="5"/>
      <c r="M67" s="5"/>
      <c r="N67" s="5"/>
    </row>
    <row r="68" spans="1:14">
      <c r="C68" s="7" t="s">
        <v>172</v>
      </c>
      <c r="E68" s="8">
        <f>_xlfn.XLOOKUP("EquityShareCapital",HS_CONSOLIDATED!$C:$C,HS_CONSOLIDATED!D:D,0,0,1)</f>
        <v>0</v>
      </c>
      <c r="F68" s="8">
        <f>_xlfn.XLOOKUP("EquityShareCapital",HS_CONSOLIDATED!$C:$C,HS_CONSOLIDATED!E:E,0,0,1)</f>
        <v>10048800000</v>
      </c>
      <c r="G68" s="8">
        <f>_xlfn.XLOOKUP("EquityShareCapital",HS_CONSOLIDATED!$C:$C,HS_CONSOLIDATED!F:F,0,0,1)</f>
        <v>10639500000</v>
      </c>
      <c r="H68" s="8">
        <f>_xlfn.XLOOKUP("EquityShareCapital",HS_CONSOLIDATED!$C:$C,HS_CONSOLIDATED!G:G,0,0,1)</f>
        <v>10639500000</v>
      </c>
      <c r="I68" s="8">
        <f>_xlfn.XLOOKUP("EquityShareCapital",HS_CONSOLIDATED!$C:$C,HS_CONSOLIDATED!H:H,0,0,1)</f>
        <v>10639500000</v>
      </c>
      <c r="J68" s="8">
        <f>_xlfn.XLOOKUP("EquityShareCapital",HS_CONSOLIDATED!$C:$C,HS_CONSOLIDATED!I:I,0,0,1)</f>
        <v>17016000000</v>
      </c>
      <c r="K68" s="8">
        <f>_xlfn.XLOOKUP("EquityShareCapital",HS_CONSOLIDATED!$C:$C,HS_CONSOLIDATED!J:J,0,0,1)</f>
        <v>18434900000</v>
      </c>
      <c r="L68" s="8">
        <f>_xlfn.XLOOKUP("EquityShareCapital",HS_CONSOLIDATED!$C:$C,HS_CONSOLIDATED!K:K,0,0,1)</f>
        <v>24544000000</v>
      </c>
      <c r="M68" s="8">
        <f>_xlfn.XLOOKUP("EquityShareCapital",HS_CONSOLIDATED!$C:$C,HS_CONSOLIDATED!L:L,0,0,1)</f>
        <v>27217200000</v>
      </c>
      <c r="N68" s="8">
        <f>_xlfn.XLOOKUP("EquityShareCapital",HS_CONSOLIDATED!$C:$C,HS_CONSOLIDATED!M:M,0,0,1)</f>
        <v>27317900000</v>
      </c>
    </row>
    <row r="69" spans="1:14">
      <c r="C69" s="7" t="s">
        <v>173</v>
      </c>
      <c r="E69" s="8">
        <f>_xlfn.XLOOKUP("OtherEquity",HS_CONSOLIDATED!$C:$C,HS_CONSOLIDATED!D:D,0,0,1)</f>
        <v>0</v>
      </c>
      <c r="F69" s="8">
        <f>_xlfn.XLOOKUP("OtherEquity",HS_CONSOLIDATED!$C:$C,HS_CONSOLIDATED!E:E,0,0,1)</f>
        <v>-78462100000</v>
      </c>
      <c r="G69" s="8">
        <f>_xlfn.XLOOKUP("OtherEquity",HS_CONSOLIDATED!$C:$C,HS_CONSOLIDATED!F:F,0,0,1)</f>
        <v>-80308000000</v>
      </c>
      <c r="H69" s="8">
        <f>_xlfn.XLOOKUP("OtherEquity",HS_CONSOLIDATED!$C:$C,HS_CONSOLIDATED!G:G,0,0,1)</f>
        <v>-95615600000</v>
      </c>
      <c r="I69" s="8">
        <f>_xlfn.XLOOKUP("OtherEquity",HS_CONSOLIDATED!$C:$C,HS_CONSOLIDATED!H:H,0,0,1)</f>
        <v>-120468900000</v>
      </c>
      <c r="J69" s="8">
        <f>_xlfn.XLOOKUP("OtherEquity",HS_CONSOLIDATED!$C:$C,HS_CONSOLIDATED!I:I,0,0,1)</f>
        <v>-50446300000</v>
      </c>
      <c r="K69" s="8">
        <f>_xlfn.XLOOKUP("OtherEquity",HS_CONSOLIDATED!$C:$C,HS_CONSOLIDATED!J:J,0,0,1)</f>
        <v>-53692200000</v>
      </c>
      <c r="L69" s="8">
        <f>_xlfn.XLOOKUP("OtherEquity",HS_CONSOLIDATED!$C:$C,HS_CONSOLIDATED!K:K,0,0,1)</f>
        <v>-13552600000</v>
      </c>
      <c r="M69" s="8">
        <f>_xlfn.XLOOKUP("OtherEquity",HS_CONSOLIDATED!$C:$C,HS_CONSOLIDATED!L:L,0,0,1)</f>
        <v>11985900000</v>
      </c>
      <c r="N69" s="8">
        <f>_xlfn.XLOOKUP("OtherEquity",HS_CONSOLIDATED!$C:$C,HS_CONSOLIDATED!M:M,0,0,1)</f>
        <v>33739300000</v>
      </c>
    </row>
    <row r="70" spans="1:14">
      <c r="A70" s="12"/>
      <c r="B70" s="13" t="s">
        <v>174</v>
      </c>
      <c r="C70" s="12"/>
      <c r="D70" s="12"/>
      <c r="E70" s="14">
        <f t="shared" ref="E70:N70" si="14">IFERROR(SUM(E68:E69),0)</f>
        <v>0</v>
      </c>
      <c r="F70" s="14">
        <f t="shared" si="14"/>
        <v>-68413300000</v>
      </c>
      <c r="G70" s="14">
        <f t="shared" si="14"/>
        <v>-69668500000</v>
      </c>
      <c r="H70" s="14">
        <f t="shared" si="14"/>
        <v>-84976100000</v>
      </c>
      <c r="I70" s="14">
        <f t="shared" si="14"/>
        <v>-109829400000</v>
      </c>
      <c r="J70" s="14">
        <f t="shared" si="14"/>
        <v>-33430300000</v>
      </c>
      <c r="K70" s="14">
        <f t="shared" si="14"/>
        <v>-35257300000</v>
      </c>
      <c r="L70" s="14">
        <f t="shared" si="14"/>
        <v>10991400000</v>
      </c>
      <c r="M70" s="14">
        <f t="shared" si="14"/>
        <v>39203100000</v>
      </c>
      <c r="N70" s="14">
        <f t="shared" si="14"/>
        <v>61057200000</v>
      </c>
    </row>
    <row r="71" spans="1:14">
      <c r="C71" s="7" t="s">
        <v>175</v>
      </c>
      <c r="E71" s="8">
        <f>_xlfn.XLOOKUP("NonControllingInterest",HS_CONSOLIDATED!$C:$C,HS_CONSOLIDATED!D:D,0,0,1)</f>
        <v>0</v>
      </c>
      <c r="F71" s="8">
        <f>_xlfn.XLOOKUP("NonControllingInterest",HS_CONSOLIDATED!$C:$C,HS_CONSOLIDATED!E:E,0,0,1)</f>
        <v>86800000</v>
      </c>
      <c r="G71" s="8">
        <f>_xlfn.XLOOKUP("NonControllingInterest",HS_CONSOLIDATED!$C:$C,HS_CONSOLIDATED!F:F,0,0,1)</f>
        <v>101900000</v>
      </c>
      <c r="H71" s="8">
        <f>_xlfn.XLOOKUP("NonControllingInterest",HS_CONSOLIDATED!$C:$C,HS_CONSOLIDATED!G:G,0,0,1)</f>
        <v>-54800000</v>
      </c>
      <c r="I71" s="8">
        <f>_xlfn.XLOOKUP("NonControllingInterest",HS_CONSOLIDATED!$C:$C,HS_CONSOLIDATED!H:H,0,0,1)</f>
        <v>-589000000</v>
      </c>
      <c r="J71" s="8">
        <f>_xlfn.XLOOKUP("NonControllingInterest",HS_CONSOLIDATED!$C:$C,HS_CONSOLIDATED!I:I,0,0,1)</f>
        <v>-576800000</v>
      </c>
      <c r="K71" s="8">
        <f>_xlfn.XLOOKUP("NonControllingInterest",HS_CONSOLIDATED!$C:$C,HS_CONSOLIDATED!J:J,0,0,1)</f>
        <v>-360800000</v>
      </c>
      <c r="L71" s="8">
        <f>_xlfn.XLOOKUP("NonControllingInterest",HS_CONSOLIDATED!$C:$C,HS_CONSOLIDATED!K:K,0,0,1)</f>
        <v>0</v>
      </c>
      <c r="M71" s="8">
        <f>_xlfn.XLOOKUP("NonControllingInterest",HS_CONSOLIDATED!$C:$C,HS_CONSOLIDATED!L:L,0,0,1)</f>
        <v>0</v>
      </c>
      <c r="N71" s="8">
        <f>_xlfn.XLOOKUP("NonControllingInterest",HS_CONSOLIDATED!$C:$C,HS_CONSOLIDATED!M:M,0,0,1)</f>
        <v>0</v>
      </c>
    </row>
    <row r="72" spans="1:14">
      <c r="A72" s="12"/>
      <c r="B72" s="13" t="s">
        <v>176</v>
      </c>
      <c r="C72" s="12"/>
      <c r="D72" s="12"/>
      <c r="E72" s="14">
        <f t="shared" ref="E72:N72" si="15">IFERROR(SUM(E70:E71),0)</f>
        <v>0</v>
      </c>
      <c r="F72" s="14">
        <f t="shared" si="15"/>
        <v>-68326500000</v>
      </c>
      <c r="G72" s="14">
        <f t="shared" si="15"/>
        <v>-69566600000</v>
      </c>
      <c r="H72" s="14">
        <f t="shared" si="15"/>
        <v>-85030900000</v>
      </c>
      <c r="I72" s="14">
        <f t="shared" si="15"/>
        <v>-110418400000</v>
      </c>
      <c r="J72" s="14">
        <f t="shared" si="15"/>
        <v>-34007100000</v>
      </c>
      <c r="K72" s="14">
        <f t="shared" si="15"/>
        <v>-35618100000</v>
      </c>
      <c r="L72" s="14">
        <f t="shared" si="15"/>
        <v>10991400000</v>
      </c>
      <c r="M72" s="14">
        <f t="shared" si="15"/>
        <v>39203100000</v>
      </c>
      <c r="N72" s="14">
        <f t="shared" si="15"/>
        <v>61057200000</v>
      </c>
    </row>
    <row r="73" spans="1:14">
      <c r="A73" s="5"/>
      <c r="B73" s="6" t="s">
        <v>177</v>
      </c>
      <c r="C73" s="5"/>
      <c r="D73" s="5"/>
      <c r="E73" s="5"/>
      <c r="F73" s="5"/>
      <c r="G73" s="5"/>
      <c r="H73" s="5"/>
      <c r="I73" s="5"/>
      <c r="J73" s="5"/>
      <c r="K73" s="5"/>
      <c r="L73" s="5"/>
      <c r="M73" s="5"/>
      <c r="N73" s="5"/>
    </row>
    <row r="74" spans="1:14">
      <c r="A74" s="5"/>
      <c r="B74" s="6" t="s">
        <v>178</v>
      </c>
      <c r="C74" s="5"/>
      <c r="D74" s="5"/>
      <c r="E74" s="5"/>
      <c r="F74" s="5"/>
      <c r="G74" s="5"/>
      <c r="H74" s="5"/>
      <c r="I74" s="5"/>
      <c r="J74" s="5"/>
      <c r="K74" s="5"/>
      <c r="L74" s="5"/>
      <c r="M74" s="5"/>
      <c r="N74" s="5"/>
    </row>
    <row r="75" spans="1:14">
      <c r="A75" s="5"/>
      <c r="B75" s="6" t="s">
        <v>179</v>
      </c>
      <c r="C75" s="5"/>
      <c r="D75" s="5"/>
      <c r="E75" s="5"/>
      <c r="F75" s="5"/>
      <c r="G75" s="5"/>
      <c r="H75" s="5"/>
      <c r="I75" s="5"/>
      <c r="J75" s="5"/>
      <c r="K75" s="5"/>
      <c r="L75" s="5"/>
      <c r="M75" s="5"/>
      <c r="N75" s="5"/>
    </row>
    <row r="76" spans="1:14">
      <c r="C76" s="7" t="s">
        <v>180</v>
      </c>
      <c r="E76" s="8">
        <f>_xlfn.XLOOKUP("BorrowingsNoncurrent",HS_CONSOLIDATED!$C:$C,HS_CONSOLIDATED!D:D,0,0,1)</f>
        <v>0</v>
      </c>
      <c r="F76" s="8">
        <f>_xlfn.XLOOKUP("BorrowingsNoncurrent",HS_CONSOLIDATED!$C:$C,HS_CONSOLIDATED!E:E,0,0,1)</f>
        <v>48409800000</v>
      </c>
      <c r="G76" s="8">
        <f>_xlfn.XLOOKUP("BorrowingsNoncurrent",HS_CONSOLIDATED!$C:$C,HS_CONSOLIDATED!F:F,0,0,1)</f>
        <v>77157100000</v>
      </c>
      <c r="H76" s="8">
        <f>_xlfn.XLOOKUP("BorrowingsNoncurrent",HS_CONSOLIDATED!$C:$C,HS_CONSOLIDATED!G:G,0,0,1)</f>
        <v>62441400000</v>
      </c>
      <c r="I76" s="8">
        <f>_xlfn.XLOOKUP("BorrowingsNoncurrent",HS_CONSOLIDATED!$C:$C,HS_CONSOLIDATED!H:H,0,0,1)</f>
        <v>8417700000</v>
      </c>
      <c r="J76" s="8">
        <f>_xlfn.XLOOKUP("BorrowingsNoncurrent",HS_CONSOLIDATED!$C:$C,HS_CONSOLIDATED!I:I,0,0,1)</f>
        <v>60272000000</v>
      </c>
      <c r="K76" s="8">
        <f>_xlfn.XLOOKUP("BorrowingsNoncurrent",HS_CONSOLIDATED!$C:$C,HS_CONSOLIDATED!J:J,0,0,1)</f>
        <v>55924400000</v>
      </c>
      <c r="L76" s="8">
        <f>_xlfn.XLOOKUP("BorrowingsNoncurrent",HS_CONSOLIDATED!$C:$C,HS_CONSOLIDATED!K:K,0,0,1)</f>
        <v>15172700000</v>
      </c>
      <c r="M76" s="8">
        <f>_xlfn.XLOOKUP("BorrowingsNoncurrent",HS_CONSOLIDATED!$C:$C,HS_CONSOLIDATED!L:L,0,0,1)</f>
        <v>498700000</v>
      </c>
      <c r="N76" s="8">
        <f>_xlfn.XLOOKUP("BorrowingsNoncurrent",HS_CONSOLIDATED!$C:$C,HS_CONSOLIDATED!M:M,0,0,1)</f>
        <v>1291900000</v>
      </c>
    </row>
    <row r="77" spans="1:14">
      <c r="A77" s="5"/>
      <c r="B77" s="5"/>
      <c r="C77" s="6" t="s">
        <v>181</v>
      </c>
      <c r="D77" s="5"/>
      <c r="E77" s="5"/>
      <c r="F77" s="5"/>
      <c r="G77" s="5"/>
      <c r="H77" s="5"/>
      <c r="I77" s="5"/>
      <c r="J77" s="5"/>
      <c r="K77" s="5"/>
      <c r="L77" s="5"/>
      <c r="M77" s="5"/>
      <c r="N77" s="5"/>
    </row>
    <row r="78" spans="1:14">
      <c r="C78" s="7" t="s">
        <v>182</v>
      </c>
      <c r="E78" s="8">
        <f>_xlfn.XLOOKUP("OtherNoncurrentFinancialLiabilities",HS_CONSOLIDATED!$C:$C,HS_CONSOLIDATED!D:D,0,0,1)</f>
        <v>0</v>
      </c>
      <c r="F78" s="8">
        <f>_xlfn.XLOOKUP("OtherNoncurrentFinancialLiabilities",HS_CONSOLIDATED!$C:$C,HS_CONSOLIDATED!E:E,0,0,1)</f>
        <v>2254600000</v>
      </c>
      <c r="G78" s="8">
        <f>_xlfn.XLOOKUP("OtherNoncurrentFinancialLiabilities",HS_CONSOLIDATED!$C:$C,HS_CONSOLIDATED!F:F,0,0,1)</f>
        <v>553300000</v>
      </c>
      <c r="H78" s="8">
        <f>_xlfn.XLOOKUP("OtherNoncurrentFinancialLiabilities",HS_CONSOLIDATED!$C:$C,HS_CONSOLIDATED!G:G,0,0,1)</f>
        <v>504900000</v>
      </c>
      <c r="I78" s="8">
        <f>_xlfn.XLOOKUP("OtherNoncurrentFinancialLiabilities",HS_CONSOLIDATED!$C:$C,HS_CONSOLIDATED!H:H,0,0,1)</f>
        <v>910900000</v>
      </c>
      <c r="J78" s="8">
        <f>_xlfn.XLOOKUP("OtherNoncurrentFinancialLiabilities",HS_CONSOLIDATED!$C:$C,HS_CONSOLIDATED!I:I,0,0,1)</f>
        <v>775400000</v>
      </c>
      <c r="K78" s="8">
        <f>_xlfn.XLOOKUP("OtherNoncurrentFinancialLiabilities",HS_CONSOLIDATED!$C:$C,HS_CONSOLIDATED!J:J,0,0,1)</f>
        <v>792100000</v>
      </c>
      <c r="L78" s="8">
        <f>_xlfn.XLOOKUP("OtherNoncurrentFinancialLiabilities",HS_CONSOLIDATED!$C:$C,HS_CONSOLIDATED!K:K,0,0,1)</f>
        <v>375200000</v>
      </c>
      <c r="M78" s="8">
        <f>_xlfn.XLOOKUP("OtherNoncurrentFinancialLiabilities",HS_CONSOLIDATED!$C:$C,HS_CONSOLIDATED!L:L,0,0,1)</f>
        <v>341300000</v>
      </c>
      <c r="N78" s="8">
        <f>_xlfn.XLOOKUP("OtherNoncurrentFinancialLiabilities",HS_CONSOLIDATED!$C:$C,HS_CONSOLIDATED!M:M,0,0,1)</f>
        <v>6546100000</v>
      </c>
    </row>
    <row r="79" spans="1:14">
      <c r="C79" s="7" t="s">
        <v>183</v>
      </c>
      <c r="E79" s="8">
        <f>_xlfn.XLOOKUP("NoncurrentFinancialLiabilities",HS_CONSOLIDATED!$C:$C,HS_CONSOLIDATED!D:D,0,0,1)</f>
        <v>0</v>
      </c>
      <c r="F79" s="8">
        <f>_xlfn.XLOOKUP("NoncurrentFinancialLiabilities",HS_CONSOLIDATED!$C:$C,HS_CONSOLIDATED!E:E,0,0,1)</f>
        <v>50664400000</v>
      </c>
      <c r="G79" s="8">
        <f>_xlfn.XLOOKUP("NoncurrentFinancialLiabilities",HS_CONSOLIDATED!$C:$C,HS_CONSOLIDATED!F:F,0,0,1)</f>
        <v>77710400000</v>
      </c>
      <c r="H79" s="8">
        <f>_xlfn.XLOOKUP("NoncurrentFinancialLiabilities",HS_CONSOLIDATED!$C:$C,HS_CONSOLIDATED!G:G,0,0,1)</f>
        <v>62946300000</v>
      </c>
      <c r="I79" s="8">
        <f>_xlfn.XLOOKUP("NoncurrentFinancialLiabilities",HS_CONSOLIDATED!$C:$C,HS_CONSOLIDATED!H:H,0,0,1)</f>
        <v>9328600000</v>
      </c>
      <c r="J79" s="8">
        <f>_xlfn.XLOOKUP("NoncurrentFinancialLiabilities",HS_CONSOLIDATED!$C:$C,HS_CONSOLIDATED!I:I,0,0,1)</f>
        <v>61047400000</v>
      </c>
      <c r="K79" s="8">
        <f>_xlfn.XLOOKUP("NoncurrentFinancialLiabilities",HS_CONSOLIDATED!$C:$C,HS_CONSOLIDATED!J:J,0,0,1)</f>
        <v>56716500000</v>
      </c>
      <c r="L79" s="8">
        <f>_xlfn.XLOOKUP("NoncurrentFinancialLiabilities",HS_CONSOLIDATED!$C:$C,HS_CONSOLIDATED!K:K,0,0,1)</f>
        <v>15547900000</v>
      </c>
      <c r="M79" s="8">
        <f>_xlfn.XLOOKUP("NoncurrentFinancialLiabilities",HS_CONSOLIDATED!$C:$C,HS_CONSOLIDATED!L:L,0,0,1)</f>
        <v>840000000</v>
      </c>
      <c r="N79" s="8">
        <f>_xlfn.XLOOKUP("NoncurrentFinancialLiabilities",HS_CONSOLIDATED!$C:$C,HS_CONSOLIDATED!M:M,0,0,1)</f>
        <v>7838000000</v>
      </c>
    </row>
    <row r="80" spans="1:14">
      <c r="D80" s="7" t="s">
        <v>184</v>
      </c>
      <c r="E80" s="8">
        <f>_xlfn.XLOOKUP("ProvisionsNoncurrent",HS_CONSOLIDATED!$C:$C,HS_CONSOLIDATED!D:D,0,0,1)</f>
        <v>0</v>
      </c>
      <c r="F80" s="8">
        <f>_xlfn.XLOOKUP("ProvisionsNoncurrent",HS_CONSOLIDATED!$C:$C,HS_CONSOLIDATED!E:E,0,0,1)</f>
        <v>1272000000</v>
      </c>
      <c r="G80" s="8">
        <f>_xlfn.XLOOKUP("ProvisionsNoncurrent",HS_CONSOLIDATED!$C:$C,HS_CONSOLIDATED!F:F,0,0,1)</f>
        <v>1204300000</v>
      </c>
      <c r="H80" s="8">
        <f>_xlfn.XLOOKUP("ProvisionsNoncurrent",HS_CONSOLIDATED!$C:$C,HS_CONSOLIDATED!G:G,0,0,1)</f>
        <v>1184600000</v>
      </c>
      <c r="I80" s="8">
        <f>_xlfn.XLOOKUP("ProvisionsNoncurrent",HS_CONSOLIDATED!$C:$C,HS_CONSOLIDATED!H:H,0,0,1)</f>
        <v>932700000</v>
      </c>
      <c r="J80" s="8">
        <f>_xlfn.XLOOKUP("ProvisionsNoncurrent",HS_CONSOLIDATED!$C:$C,HS_CONSOLIDATED!I:I,0,0,1)</f>
        <v>825100000</v>
      </c>
      <c r="K80" s="8">
        <f>_xlfn.XLOOKUP("ProvisionsNoncurrent",HS_CONSOLIDATED!$C:$C,HS_CONSOLIDATED!J:J,0,0,1)</f>
        <v>1304300000</v>
      </c>
      <c r="L80" s="8">
        <f>_xlfn.XLOOKUP("ProvisionsNoncurrent",HS_CONSOLIDATED!$C:$C,HS_CONSOLIDATED!K:K,0,0,1)</f>
        <v>1681800000</v>
      </c>
      <c r="M80" s="8">
        <f>_xlfn.XLOOKUP("ProvisionsNoncurrent",HS_CONSOLIDATED!$C:$C,HS_CONSOLIDATED!L:L,0,0,1)</f>
        <v>1653800000</v>
      </c>
      <c r="N80" s="8">
        <f>_xlfn.XLOOKUP("ProvisionsNoncurrent",HS_CONSOLIDATED!$C:$C,HS_CONSOLIDATED!M:M,0,0,1)</f>
        <v>1549800000</v>
      </c>
    </row>
    <row r="81" spans="1:14">
      <c r="D81" s="7" t="s">
        <v>185</v>
      </c>
      <c r="E81" s="8">
        <f>_xlfn.XLOOKUP("OtherNoncurrentLiabilities",HS_CONSOLIDATED!$C:$C,HS_CONSOLIDATED!D:D,0,0,1)</f>
        <v>0</v>
      </c>
      <c r="F81" s="8">
        <f>_xlfn.XLOOKUP("OtherNoncurrentLiabilities",HS_CONSOLIDATED!$C:$C,HS_CONSOLIDATED!E:E,0,0,1)</f>
        <v>400200000</v>
      </c>
      <c r="G81" s="8">
        <f>_xlfn.XLOOKUP("OtherNoncurrentLiabilities",HS_CONSOLIDATED!$C:$C,HS_CONSOLIDATED!F:F,0,0,1)</f>
        <v>299800000</v>
      </c>
      <c r="H81" s="8">
        <f>_xlfn.XLOOKUP("OtherNoncurrentLiabilities",HS_CONSOLIDATED!$C:$C,HS_CONSOLIDATED!G:G,0,0,1)</f>
        <v>117000000</v>
      </c>
      <c r="I81" s="8">
        <f>_xlfn.XLOOKUP("OtherNoncurrentLiabilities",HS_CONSOLIDATED!$C:$C,HS_CONSOLIDATED!H:H,0,0,1)</f>
        <v>8900000</v>
      </c>
      <c r="J81" s="8">
        <f>_xlfn.XLOOKUP("OtherNoncurrentLiabilities",HS_CONSOLIDATED!$C:$C,HS_CONSOLIDATED!I:I,0,0,1)</f>
        <v>7700000</v>
      </c>
      <c r="K81" s="8">
        <f>_xlfn.XLOOKUP("OtherNoncurrentLiabilities",HS_CONSOLIDATED!$C:$C,HS_CONSOLIDATED!J:J,0,0,1)</f>
        <v>1900000</v>
      </c>
      <c r="L81" s="8">
        <f>_xlfn.XLOOKUP("OtherNoncurrentLiabilities",HS_CONSOLIDATED!$C:$C,HS_CONSOLIDATED!K:K,0,0,1)</f>
        <v>4800000</v>
      </c>
      <c r="M81" s="8">
        <f>_xlfn.XLOOKUP("OtherNoncurrentLiabilities",HS_CONSOLIDATED!$C:$C,HS_CONSOLIDATED!L:L,0,0,1)</f>
        <v>4800000</v>
      </c>
      <c r="N81" s="8">
        <f>_xlfn.XLOOKUP("OtherNoncurrentLiabilities",HS_CONSOLIDATED!$C:$C,HS_CONSOLIDATED!M:M,0,0,1)</f>
        <v>4500000</v>
      </c>
    </row>
    <row r="82" spans="1:14">
      <c r="A82" s="12"/>
      <c r="B82" s="13" t="s">
        <v>186</v>
      </c>
      <c r="C82" s="12"/>
      <c r="D82" s="12"/>
      <c r="E82" s="14">
        <f t="shared" ref="E82:N82" si="16">IFERROR(SUM(E76:E76)+SUM(E78:E78)+SUM(E80:E81),0)</f>
        <v>0</v>
      </c>
      <c r="F82" s="14">
        <f t="shared" si="16"/>
        <v>52336600000</v>
      </c>
      <c r="G82" s="14">
        <f t="shared" si="16"/>
        <v>79214500000</v>
      </c>
      <c r="H82" s="14">
        <f t="shared" si="16"/>
        <v>64247900000</v>
      </c>
      <c r="I82" s="14">
        <f t="shared" si="16"/>
        <v>10270200000</v>
      </c>
      <c r="J82" s="14">
        <f t="shared" si="16"/>
        <v>61880200000</v>
      </c>
      <c r="K82" s="14">
        <f t="shared" si="16"/>
        <v>58022700000</v>
      </c>
      <c r="L82" s="14">
        <f t="shared" si="16"/>
        <v>17234500000</v>
      </c>
      <c r="M82" s="14">
        <f t="shared" si="16"/>
        <v>2498600000</v>
      </c>
      <c r="N82" s="14">
        <f t="shared" si="16"/>
        <v>9392300000</v>
      </c>
    </row>
    <row r="83" spans="1:14">
      <c r="A83" s="5"/>
      <c r="B83" s="6" t="s">
        <v>187</v>
      </c>
      <c r="C83" s="5"/>
      <c r="D83" s="5"/>
      <c r="E83" s="5"/>
      <c r="F83" s="5"/>
      <c r="G83" s="5"/>
      <c r="H83" s="5"/>
      <c r="I83" s="5"/>
      <c r="J83" s="5"/>
      <c r="K83" s="5"/>
      <c r="L83" s="5"/>
      <c r="M83" s="5"/>
      <c r="N83" s="5"/>
    </row>
    <row r="84" spans="1:14">
      <c r="A84" s="5"/>
      <c r="B84" s="6" t="s">
        <v>188</v>
      </c>
      <c r="C84" s="5"/>
      <c r="D84" s="5"/>
      <c r="E84" s="5"/>
      <c r="F84" s="5"/>
      <c r="G84" s="5"/>
      <c r="H84" s="5"/>
      <c r="I84" s="5"/>
      <c r="J84" s="5"/>
      <c r="K84" s="5"/>
      <c r="L84" s="5"/>
      <c r="M84" s="5"/>
      <c r="N84" s="5"/>
    </row>
    <row r="85" spans="1:14">
      <c r="C85" s="7" t="s">
        <v>189</v>
      </c>
      <c r="E85" s="8">
        <f>_xlfn.XLOOKUP("BorrowingsCurrent",HS_CONSOLIDATED!$C:$C,HS_CONSOLIDATED!D:D,0,0,1)</f>
        <v>0</v>
      </c>
      <c r="F85" s="8">
        <f>_xlfn.XLOOKUP("BorrowingsCurrent",HS_CONSOLIDATED!$C:$C,HS_CONSOLIDATED!E:E,0,0,1)</f>
        <v>20763800000</v>
      </c>
      <c r="G85" s="8">
        <f>_xlfn.XLOOKUP("BorrowingsCurrent",HS_CONSOLIDATED!$C:$C,HS_CONSOLIDATED!F:F,0,0,1)</f>
        <v>38894500000</v>
      </c>
      <c r="H85" s="8">
        <f>_xlfn.XLOOKUP("BorrowingsCurrent",HS_CONSOLIDATED!$C:$C,HS_CONSOLIDATED!G:G,0,0,1)</f>
        <v>33797900000</v>
      </c>
      <c r="I85" s="8">
        <f>_xlfn.XLOOKUP("BorrowingsCurrent",HS_CONSOLIDATED!$C:$C,HS_CONSOLIDATED!H:H,0,0,1)</f>
        <v>88438500000</v>
      </c>
      <c r="J85" s="8">
        <f>_xlfn.XLOOKUP("BorrowingsCurrent",HS_CONSOLIDATED!$C:$C,HS_CONSOLIDATED!I:I,0,0,1)</f>
        <v>1753400000</v>
      </c>
      <c r="K85" s="8">
        <f>_xlfn.XLOOKUP("BorrowingsCurrent",HS_CONSOLIDATED!$C:$C,HS_CONSOLIDATED!J:J,0,0,1)</f>
        <v>7981200000</v>
      </c>
      <c r="L85" s="8">
        <f>_xlfn.XLOOKUP("BorrowingsCurrent",HS_CONSOLIDATED!$C:$C,HS_CONSOLIDATED!K:K,0,0,1)</f>
        <v>3876100000</v>
      </c>
      <c r="M85" s="8">
        <f>_xlfn.XLOOKUP("BorrowingsCurrent",HS_CONSOLIDATED!$C:$C,HS_CONSOLIDATED!L:L,0,0,1)</f>
        <v>600800000</v>
      </c>
      <c r="N85" s="8">
        <f>_xlfn.XLOOKUP("BorrowingsCurrent",HS_CONSOLIDATED!$C:$C,HS_CONSOLIDATED!M:M,0,0,1)</f>
        <v>1541400000</v>
      </c>
    </row>
    <row r="86" spans="1:14">
      <c r="A86" s="5"/>
      <c r="B86" s="5"/>
      <c r="C86" s="6" t="s">
        <v>190</v>
      </c>
      <c r="D86" s="5"/>
      <c r="E86" s="5"/>
      <c r="F86" s="5"/>
      <c r="G86" s="5"/>
      <c r="H86" s="5"/>
      <c r="I86" s="5"/>
      <c r="J86" s="5"/>
      <c r="K86" s="5"/>
      <c r="L86" s="5"/>
      <c r="M86" s="5"/>
      <c r="N86" s="5"/>
    </row>
    <row r="87" spans="1:14">
      <c r="D87" s="7" t="s">
        <v>191</v>
      </c>
      <c r="E87" s="8">
        <f>_xlfn.XLOOKUP("TradePayablesCurrent",HS_CONSOLIDATED!$C:$C,HS_CONSOLIDATED!D:D,0,0,1)</f>
        <v>0</v>
      </c>
      <c r="F87" s="8">
        <f>_xlfn.XLOOKUP("TradePayablesCurrent",HS_CONSOLIDATED!$C:$C,HS_CONSOLIDATED!E:E,0,0,1)</f>
        <v>48122500000</v>
      </c>
      <c r="G87" s="8">
        <f>_xlfn.XLOOKUP("TradePayablesCurrent",HS_CONSOLIDATED!$C:$C,HS_CONSOLIDATED!F:F,0,0,1)</f>
        <v>25266000000</v>
      </c>
      <c r="H87" s="8">
        <f>_xlfn.XLOOKUP("TradePayablesCurrent",HS_CONSOLIDATED!$C:$C,HS_CONSOLIDATED!G:G,0,0,1)</f>
        <v>21751900000</v>
      </c>
      <c r="I87" s="8">
        <f>_xlfn.XLOOKUP("TradePayablesCurrent",HS_CONSOLIDATED!$C:$C,HS_CONSOLIDATED!H:H,0,0,1)</f>
        <v>12981800000</v>
      </c>
      <c r="J87" s="8">
        <f>_xlfn.XLOOKUP("TradePayablesCurrent",HS_CONSOLIDATED!$C:$C,HS_CONSOLIDATED!I:I,0,0,1)</f>
        <v>15819900000</v>
      </c>
      <c r="K87" s="8">
        <f>_xlfn.XLOOKUP("TradePayablesCurrent",HS_CONSOLIDATED!$C:$C,HS_CONSOLIDATED!J:J,0,0,1)</f>
        <v>18404900000</v>
      </c>
      <c r="L87" s="8">
        <f>_xlfn.XLOOKUP("TradePayablesCurrent",HS_CONSOLIDATED!$C:$C,HS_CONSOLIDATED!K:K,0,0,1)</f>
        <v>8946400000</v>
      </c>
      <c r="M87" s="8">
        <f>_xlfn.XLOOKUP("TradePayablesCurrent",HS_CONSOLIDATED!$C:$C,HS_CONSOLIDATED!L:L,0,0,1)</f>
        <v>17957800000</v>
      </c>
      <c r="N87" s="8">
        <f>_xlfn.XLOOKUP("TradePayablesCurrent",HS_CONSOLIDATED!$C:$C,HS_CONSOLIDATED!M:M,0,0,1)</f>
        <v>29351400000</v>
      </c>
    </row>
    <row r="88" spans="1:14">
      <c r="C88" s="7" t="s">
        <v>192</v>
      </c>
      <c r="E88" s="8">
        <f>_xlfn.XLOOKUP("OtherCurrentFinancialLiabilities",HS_CONSOLIDATED!$C:$C,HS_CONSOLIDATED!D:D,0,0,1)</f>
        <v>0</v>
      </c>
      <c r="F88" s="8">
        <f>_xlfn.XLOOKUP("OtherCurrentFinancialLiabilities",HS_CONSOLIDATED!$C:$C,HS_CONSOLIDATED!E:E,0,0,1)</f>
        <v>49265400000</v>
      </c>
      <c r="G88" s="8">
        <f>_xlfn.XLOOKUP("OtherCurrentFinancialLiabilities",HS_CONSOLIDATED!$C:$C,HS_CONSOLIDATED!F:F,0,0,1)</f>
        <v>15979300000</v>
      </c>
      <c r="H88" s="8">
        <f>_xlfn.XLOOKUP("OtherCurrentFinancialLiabilities",HS_CONSOLIDATED!$C:$C,HS_CONSOLIDATED!G:G,0,0,1)</f>
        <v>30606500000</v>
      </c>
      <c r="I88" s="8">
        <f>_xlfn.XLOOKUP("OtherCurrentFinancialLiabilities",HS_CONSOLIDATED!$C:$C,HS_CONSOLIDATED!H:H,0,0,1)</f>
        <v>53105400000</v>
      </c>
      <c r="J88" s="8">
        <f>_xlfn.XLOOKUP("OtherCurrentFinancialLiabilities",HS_CONSOLIDATED!$C:$C,HS_CONSOLIDATED!I:I,0,0,1)</f>
        <v>10241800000</v>
      </c>
      <c r="K88" s="8">
        <f>_xlfn.XLOOKUP("OtherCurrentFinancialLiabilities",HS_CONSOLIDATED!$C:$C,HS_CONSOLIDATED!J:J,0,0,1)</f>
        <v>3803800000</v>
      </c>
      <c r="L88" s="8">
        <f>_xlfn.XLOOKUP("OtherCurrentFinancialLiabilities",HS_CONSOLIDATED!$C:$C,HS_CONSOLIDATED!K:K,0,0,1)</f>
        <v>2165300000</v>
      </c>
      <c r="M88" s="8">
        <f>_xlfn.XLOOKUP("OtherCurrentFinancialLiabilities",HS_CONSOLIDATED!$C:$C,HS_CONSOLIDATED!L:L,0,0,1)</f>
        <v>1889300000</v>
      </c>
      <c r="N88" s="8">
        <f>_xlfn.XLOOKUP("OtherCurrentFinancialLiabilities",HS_CONSOLIDATED!$C:$C,HS_CONSOLIDATED!M:M,0,0,1)</f>
        <v>4140400000</v>
      </c>
    </row>
    <row r="89" spans="1:14">
      <c r="B89" s="7" t="s">
        <v>193</v>
      </c>
      <c r="E89" s="8">
        <f>_xlfn.XLOOKUP("CurrentFinancialLiabilities",HS_CONSOLIDATED!$C:$C,HS_CONSOLIDATED!D:D,0,0,1)</f>
        <v>0</v>
      </c>
      <c r="F89" s="8">
        <f>_xlfn.XLOOKUP("CurrentFinancialLiabilities",HS_CONSOLIDATED!$C:$C,HS_CONSOLIDATED!E:E,0,0,1)</f>
        <v>118151700000</v>
      </c>
      <c r="G89" s="8">
        <f>_xlfn.XLOOKUP("CurrentFinancialLiabilities",HS_CONSOLIDATED!$C:$C,HS_CONSOLIDATED!F:F,0,0,1)</f>
        <v>80139800000</v>
      </c>
      <c r="H89" s="8">
        <f>_xlfn.XLOOKUP("CurrentFinancialLiabilities",HS_CONSOLIDATED!$C:$C,HS_CONSOLIDATED!G:G,0,0,1)</f>
        <v>86156300000</v>
      </c>
      <c r="I89" s="8">
        <f>_xlfn.XLOOKUP("CurrentFinancialLiabilities",HS_CONSOLIDATED!$C:$C,HS_CONSOLIDATED!H:H,0,0,1)</f>
        <v>154525700000</v>
      </c>
      <c r="J89" s="8">
        <f>_xlfn.XLOOKUP("CurrentFinancialLiabilities",HS_CONSOLIDATED!$C:$C,HS_CONSOLIDATED!I:I,0,0,1)</f>
        <v>27815100000</v>
      </c>
      <c r="K89" s="8">
        <f>_xlfn.XLOOKUP("CurrentFinancialLiabilities",HS_CONSOLIDATED!$C:$C,HS_CONSOLIDATED!J:J,0,0,1)</f>
        <v>30189900000</v>
      </c>
      <c r="L89" s="8">
        <f>_xlfn.XLOOKUP("CurrentFinancialLiabilities",HS_CONSOLIDATED!$C:$C,HS_CONSOLIDATED!K:K,0,0,1)</f>
        <v>14987800000</v>
      </c>
      <c r="M89" s="8">
        <f>_xlfn.XLOOKUP("CurrentFinancialLiabilities",HS_CONSOLIDATED!$C:$C,HS_CONSOLIDATED!L:L,0,0,1)</f>
        <v>20447900000</v>
      </c>
      <c r="N89" s="8">
        <f>_xlfn.XLOOKUP("CurrentFinancialLiabilities",HS_CONSOLIDATED!$C:$C,HS_CONSOLIDATED!M:M,0,0,1)</f>
        <v>35033200000</v>
      </c>
    </row>
    <row r="90" spans="1:14">
      <c r="C90" s="7" t="s">
        <v>194</v>
      </c>
      <c r="E90" s="8">
        <f>_xlfn.XLOOKUP("OtherCurrentLiabilities",HS_CONSOLIDATED!$C:$C,HS_CONSOLIDATED!D:D,0,0,1)</f>
        <v>0</v>
      </c>
      <c r="F90" s="8">
        <f>_xlfn.XLOOKUP("OtherCurrentLiabilities",HS_CONSOLIDATED!$C:$C,HS_CONSOLIDATED!E:E,0,0,1)</f>
        <v>11221300000</v>
      </c>
      <c r="G90" s="8">
        <f>_xlfn.XLOOKUP("OtherCurrentLiabilities",HS_CONSOLIDATED!$C:$C,HS_CONSOLIDATED!F:F,0,0,1)</f>
        <v>10363800000</v>
      </c>
      <c r="H90" s="8">
        <f>_xlfn.XLOOKUP("OtherCurrentLiabilities",HS_CONSOLIDATED!$C:$C,HS_CONSOLIDATED!G:G,0,0,1)</f>
        <v>15940600000</v>
      </c>
      <c r="I90" s="8">
        <f>_xlfn.XLOOKUP("OtherCurrentLiabilities",HS_CONSOLIDATED!$C:$C,HS_CONSOLIDATED!H:H,0,0,1)</f>
        <v>3869400000</v>
      </c>
      <c r="J90" s="8">
        <f>_xlfn.XLOOKUP("OtherCurrentLiabilities",HS_CONSOLIDATED!$C:$C,HS_CONSOLIDATED!I:I,0,0,1)</f>
        <v>4931300000</v>
      </c>
      <c r="K90" s="8">
        <f>_xlfn.XLOOKUP("OtherCurrentLiabilities",HS_CONSOLIDATED!$C:$C,HS_CONSOLIDATED!J:J,0,0,1)</f>
        <v>5582900000</v>
      </c>
      <c r="L90" s="8">
        <f>_xlfn.XLOOKUP("OtherCurrentLiabilities",HS_CONSOLIDATED!$C:$C,HS_CONSOLIDATED!K:K,0,0,1)</f>
        <v>6311700000</v>
      </c>
      <c r="M90" s="8">
        <f>_xlfn.XLOOKUP("OtherCurrentLiabilities",HS_CONSOLIDATED!$C:$C,HS_CONSOLIDATED!L:L,0,0,1)</f>
        <v>4105200000</v>
      </c>
      <c r="N90" s="8">
        <f>_xlfn.XLOOKUP("OtherCurrentLiabilities",HS_CONSOLIDATED!$C:$C,HS_CONSOLIDATED!M:M,0,0,1)</f>
        <v>18391200000</v>
      </c>
    </row>
    <row r="91" spans="1:14">
      <c r="C91" s="7" t="s">
        <v>195</v>
      </c>
      <c r="E91" s="8">
        <f>_xlfn.XLOOKUP("ProvisionsCurrent",HS_CONSOLIDATED!$C:$C,HS_CONSOLIDATED!D:D,0,0,1)</f>
        <v>0</v>
      </c>
      <c r="F91" s="8">
        <f>_xlfn.XLOOKUP("ProvisionsCurrent",HS_CONSOLIDATED!$C:$C,HS_CONSOLIDATED!E:E,0,0,1)</f>
        <v>8217900000</v>
      </c>
      <c r="G91" s="8">
        <f>_xlfn.XLOOKUP("ProvisionsCurrent",HS_CONSOLIDATED!$C:$C,HS_CONSOLIDATED!F:F,0,0,1)</f>
        <v>8185800000</v>
      </c>
      <c r="H91" s="8">
        <f>_xlfn.XLOOKUP("ProvisionsCurrent",HS_CONSOLIDATED!$C:$C,HS_CONSOLIDATED!G:G,0,0,1)</f>
        <v>7395200000</v>
      </c>
      <c r="I91" s="8">
        <f>_xlfn.XLOOKUP("ProvisionsCurrent",HS_CONSOLIDATED!$C:$C,HS_CONSOLIDATED!H:H,0,0,1)</f>
        <v>7056600000</v>
      </c>
      <c r="J91" s="8">
        <f>_xlfn.XLOOKUP("ProvisionsCurrent",HS_CONSOLIDATED!$C:$C,HS_CONSOLIDATED!I:I,0,0,1)</f>
        <v>5391400000</v>
      </c>
      <c r="K91" s="8">
        <f>_xlfn.XLOOKUP("ProvisionsCurrent",HS_CONSOLIDATED!$C:$C,HS_CONSOLIDATED!J:J,0,0,1)</f>
        <v>6571200000</v>
      </c>
      <c r="L91" s="8">
        <f>_xlfn.XLOOKUP("ProvisionsCurrent",HS_CONSOLIDATED!$C:$C,HS_CONSOLIDATED!K:K,0,0,1)</f>
        <v>5708400000</v>
      </c>
      <c r="M91" s="8">
        <f>_xlfn.XLOOKUP("ProvisionsCurrent",HS_CONSOLIDATED!$C:$C,HS_CONSOLIDATED!L:L,0,0,1)</f>
        <v>5515800000</v>
      </c>
      <c r="N91" s="8">
        <f>_xlfn.XLOOKUP("ProvisionsCurrent",HS_CONSOLIDATED!$C:$C,HS_CONSOLIDATED!M:M,0,0,1)</f>
        <v>5637300000</v>
      </c>
    </row>
    <row r="92" spans="1:14">
      <c r="C92" s="7" t="s">
        <v>196</v>
      </c>
      <c r="E92" s="8">
        <f>_xlfn.XLOOKUP("CurrentTaxLiabilities",HS_CONSOLIDATED!$C:$C,HS_CONSOLIDATED!D:D,0,0,1)</f>
        <v>0</v>
      </c>
      <c r="F92" s="8">
        <f>_xlfn.XLOOKUP("CurrentTaxLiabilities",HS_CONSOLIDATED!$C:$C,HS_CONSOLIDATED!E:E,0,0,1)</f>
        <v>0</v>
      </c>
      <c r="G92" s="8">
        <f>_xlfn.XLOOKUP("CurrentTaxLiabilities",HS_CONSOLIDATED!$C:$C,HS_CONSOLIDATED!F:F,0,0,1)</f>
        <v>0</v>
      </c>
      <c r="H92" s="8">
        <f>_xlfn.XLOOKUP("CurrentTaxLiabilities",HS_CONSOLIDATED!$C:$C,HS_CONSOLIDATED!G:G,0,0,1)</f>
        <v>0</v>
      </c>
      <c r="I92" s="8">
        <f>_xlfn.XLOOKUP("CurrentTaxLiabilities",HS_CONSOLIDATED!$C:$C,HS_CONSOLIDATED!H:H,0,0,1)</f>
        <v>0</v>
      </c>
      <c r="J92" s="8">
        <f>_xlfn.XLOOKUP("CurrentTaxLiabilities",HS_CONSOLIDATED!$C:$C,HS_CONSOLIDATED!I:I,0,0,1)</f>
        <v>0</v>
      </c>
      <c r="K92" s="8">
        <f>_xlfn.XLOOKUP("CurrentTaxLiabilities",HS_CONSOLIDATED!$C:$C,HS_CONSOLIDATED!J:J,0,0,1)</f>
        <v>0</v>
      </c>
      <c r="L92" s="8">
        <f>_xlfn.XLOOKUP("CurrentTaxLiabilities",HS_CONSOLIDATED!$C:$C,HS_CONSOLIDATED!K:K,0,0,1)</f>
        <v>0</v>
      </c>
      <c r="M92" s="8">
        <f>_xlfn.XLOOKUP("CurrentTaxLiabilities",HS_CONSOLIDATED!$C:$C,HS_CONSOLIDATED!L:L,0,0,1)</f>
        <v>19600000</v>
      </c>
      <c r="N92" s="8">
        <f>_xlfn.XLOOKUP("CurrentTaxLiabilities",HS_CONSOLIDATED!$C:$C,HS_CONSOLIDATED!M:M,0,0,1)</f>
        <v>84700000</v>
      </c>
    </row>
    <row r="93" spans="1:14">
      <c r="A93" s="12"/>
      <c r="B93" s="13" t="s">
        <v>197</v>
      </c>
      <c r="C93" s="12"/>
      <c r="D93" s="12"/>
      <c r="E93" s="14">
        <f t="shared" ref="E93:N93" si="17">IFERROR(SUM(E85:E85)+SUM(E87:E88)+SUM(E90:E92),0)</f>
        <v>0</v>
      </c>
      <c r="F93" s="14">
        <f t="shared" si="17"/>
        <v>137590900000</v>
      </c>
      <c r="G93" s="14">
        <f t="shared" si="17"/>
        <v>98689400000</v>
      </c>
      <c r="H93" s="14">
        <f t="shared" si="17"/>
        <v>109492100000</v>
      </c>
      <c r="I93" s="14">
        <f t="shared" si="17"/>
        <v>165451700000</v>
      </c>
      <c r="J93" s="14">
        <f t="shared" si="17"/>
        <v>38137800000</v>
      </c>
      <c r="K93" s="14">
        <f t="shared" si="17"/>
        <v>42344000000</v>
      </c>
      <c r="L93" s="14">
        <f t="shared" si="17"/>
        <v>27007900000</v>
      </c>
      <c r="M93" s="14">
        <f t="shared" si="17"/>
        <v>30088500000</v>
      </c>
      <c r="N93" s="14">
        <f t="shared" si="17"/>
        <v>59146400000</v>
      </c>
    </row>
    <row r="94" spans="1:14">
      <c r="C94" s="7" t="s">
        <v>198</v>
      </c>
      <c r="E94" s="8">
        <f>_xlfn.XLOOKUP("LiabilitiesDirectlyAssociatedWithAssetsInDisposalGroupClassifiedAsHeldForSale",HS_CONSOLIDATED!$C:$C,HS_CONSOLIDATED!D:D,0,0,1)</f>
        <v>0</v>
      </c>
      <c r="F94" s="8">
        <f>_xlfn.XLOOKUP("LiabilitiesDirectlyAssociatedWithAssetsInDisposalGroupClassifiedAsHeldForSale",HS_CONSOLIDATED!$C:$C,HS_CONSOLIDATED!E:E,0,0,1)</f>
        <v>0</v>
      </c>
      <c r="G94" s="8">
        <f>_xlfn.XLOOKUP("LiabilitiesDirectlyAssociatedWithAssetsInDisposalGroupClassifiedAsHeldForSale",HS_CONSOLIDATED!$C:$C,HS_CONSOLIDATED!F:F,0,0,1)</f>
        <v>2868400000</v>
      </c>
      <c r="H94" s="8">
        <f>_xlfn.XLOOKUP("LiabilitiesDirectlyAssociatedWithAssetsInDisposalGroupClassifiedAsHeldForSale",HS_CONSOLIDATED!$C:$C,HS_CONSOLIDATED!G:G,0,0,1)</f>
        <v>0</v>
      </c>
      <c r="I94" s="8">
        <f>_xlfn.XLOOKUP("LiabilitiesDirectlyAssociatedWithAssetsInDisposalGroupClassifiedAsHeldForSale",HS_CONSOLIDATED!$C:$C,HS_CONSOLIDATED!H:H,0,0,1)</f>
        <v>0</v>
      </c>
      <c r="J94" s="8">
        <f>_xlfn.XLOOKUP("LiabilitiesDirectlyAssociatedWithAssetsInDisposalGroupClassifiedAsHeldForSale",HS_CONSOLIDATED!$C:$C,HS_CONSOLIDATED!I:I,0,0,1)</f>
        <v>0</v>
      </c>
      <c r="K94" s="8">
        <f>_xlfn.XLOOKUP("LiabilitiesDirectlyAssociatedWithAssetsInDisposalGroupClassifiedAsHeldForSale",HS_CONSOLIDATED!$C:$C,HS_CONSOLIDATED!J:J,0,0,1)</f>
        <v>0</v>
      </c>
      <c r="L94" s="8">
        <f>_xlfn.XLOOKUP("LiabilitiesDirectlyAssociatedWithAssetsInDisposalGroupClassifiedAsHeldForSale",HS_CONSOLIDATED!$C:$C,HS_CONSOLIDATED!K:K,0,0,1)</f>
        <v>0</v>
      </c>
      <c r="M94" s="8">
        <f>_xlfn.XLOOKUP("LiabilitiesDirectlyAssociatedWithAssetsInDisposalGroupClassifiedAsHeldForSale",HS_CONSOLIDATED!$C:$C,HS_CONSOLIDATED!L:L,0,0,1)</f>
        <v>0</v>
      </c>
      <c r="N94" s="8">
        <f>_xlfn.XLOOKUP("LiabilitiesDirectlyAssociatedWithAssetsInDisposalGroupClassifiedAsHeldForSale",HS_CONSOLIDATED!$C:$C,HS_CONSOLIDATED!M:M,0,0,1)</f>
        <v>0</v>
      </c>
    </row>
    <row r="95" spans="1:14">
      <c r="A95" s="12"/>
      <c r="B95" s="13" t="s">
        <v>177</v>
      </c>
      <c r="C95" s="12"/>
      <c r="D95" s="12"/>
      <c r="E95" s="14">
        <f t="shared" ref="E95:N95" si="18">IFERROR(SUM(E93:E94)+E82,0)</f>
        <v>0</v>
      </c>
      <c r="F95" s="14">
        <f t="shared" si="18"/>
        <v>189927500000</v>
      </c>
      <c r="G95" s="14">
        <f t="shared" si="18"/>
        <v>180772300000</v>
      </c>
      <c r="H95" s="14">
        <f t="shared" si="18"/>
        <v>173740000000</v>
      </c>
      <c r="I95" s="14">
        <f t="shared" si="18"/>
        <v>175721900000</v>
      </c>
      <c r="J95" s="14">
        <f t="shared" si="18"/>
        <v>100018000000</v>
      </c>
      <c r="K95" s="14">
        <f t="shared" si="18"/>
        <v>100366700000</v>
      </c>
      <c r="L95" s="14">
        <f t="shared" si="18"/>
        <v>44242400000</v>
      </c>
      <c r="M95" s="14">
        <f t="shared" si="18"/>
        <v>32587100000</v>
      </c>
      <c r="N95" s="14">
        <f t="shared" si="18"/>
        <v>68538700000</v>
      </c>
    </row>
    <row r="96" spans="1:14">
      <c r="A96" s="12"/>
      <c r="B96" s="13" t="s">
        <v>199</v>
      </c>
      <c r="C96" s="12"/>
      <c r="D96" s="12"/>
      <c r="E96" s="14">
        <f t="shared" ref="E96:N96" si="19">IFERROR(E72+E95,0)</f>
        <v>0</v>
      </c>
      <c r="F96" s="14">
        <f t="shared" si="19"/>
        <v>121601000000</v>
      </c>
      <c r="G96" s="14">
        <f t="shared" si="19"/>
        <v>111205700000</v>
      </c>
      <c r="H96" s="14">
        <f t="shared" si="19"/>
        <v>88709100000</v>
      </c>
      <c r="I96" s="14">
        <f t="shared" si="19"/>
        <v>65303500000</v>
      </c>
      <c r="J96" s="14">
        <f t="shared" si="19"/>
        <v>66010900000</v>
      </c>
      <c r="K96" s="14">
        <f t="shared" si="19"/>
        <v>64748600000</v>
      </c>
      <c r="L96" s="14">
        <f t="shared" si="19"/>
        <v>55233800000</v>
      </c>
      <c r="M96" s="14">
        <f t="shared" si="19"/>
        <v>71790200000</v>
      </c>
      <c r="N96" s="14">
        <f t="shared" si="19"/>
        <v>129595900000</v>
      </c>
    </row>
    <row r="97" spans="1:14">
      <c r="B97" s="15" t="s">
        <v>200</v>
      </c>
      <c r="E97" s="16">
        <f t="shared" ref="E97:N97" si="20">E65-E96</f>
        <v>0</v>
      </c>
      <c r="F97" s="16">
        <f t="shared" si="20"/>
        <v>0</v>
      </c>
      <c r="G97" s="16">
        <f t="shared" si="20"/>
        <v>0</v>
      </c>
      <c r="H97" s="16">
        <f t="shared" si="20"/>
        <v>0</v>
      </c>
      <c r="I97" s="16">
        <f t="shared" si="20"/>
        <v>0</v>
      </c>
      <c r="J97" s="16">
        <f t="shared" si="20"/>
        <v>0</v>
      </c>
      <c r="K97" s="16">
        <f t="shared" si="20"/>
        <v>0</v>
      </c>
      <c r="L97" s="16">
        <f t="shared" si="20"/>
        <v>0</v>
      </c>
      <c r="M97" s="16">
        <f t="shared" si="20"/>
        <v>0</v>
      </c>
      <c r="N97" s="16">
        <f t="shared" si="20"/>
        <v>0</v>
      </c>
    </row>
    <row r="98" spans="1:14" ht="15.5">
      <c r="A98" s="2" t="s">
        <v>27</v>
      </c>
      <c r="B98" s="3" t="s">
        <v>201</v>
      </c>
      <c r="C98" s="2"/>
      <c r="D98" s="2"/>
      <c r="E98" s="2"/>
      <c r="F98" s="2"/>
      <c r="G98" s="2"/>
      <c r="H98" s="2"/>
      <c r="I98" s="2"/>
      <c r="J98" s="2"/>
      <c r="K98" s="2"/>
      <c r="L98" s="2"/>
      <c r="M98" s="2"/>
      <c r="N98" s="2"/>
    </row>
    <row r="99" spans="1:14">
      <c r="A99" s="5"/>
      <c r="B99" s="6" t="s">
        <v>202</v>
      </c>
      <c r="C99" s="5"/>
      <c r="D99" s="5"/>
      <c r="E99" s="5"/>
      <c r="F99" s="5"/>
      <c r="G99" s="5"/>
      <c r="H99" s="5"/>
      <c r="I99" s="5"/>
      <c r="J99" s="5"/>
      <c r="K99" s="5"/>
      <c r="L99" s="5"/>
      <c r="M99" s="5"/>
      <c r="N99" s="5"/>
    </row>
    <row r="100" spans="1:14">
      <c r="C100" s="7" t="s">
        <v>203</v>
      </c>
      <c r="E100" s="8">
        <f>_xlfn.XLOOKUP("ProfitBeforeTax",HS_CONSOLIDATED!$C:$C,HS_CONSOLIDATED!D:D,0,0,1)</f>
        <v>0</v>
      </c>
      <c r="F100" s="8">
        <f>_xlfn.XLOOKUP("ProfitBeforeTax",HS_CONSOLIDATED!$C:$C,HS_CONSOLIDATED!E:E,0,0,1)</f>
        <v>9115900000</v>
      </c>
      <c r="G100" s="8">
        <f>_xlfn.XLOOKUP("ProfitBeforeTax",HS_CONSOLIDATED!$C:$C,HS_CONSOLIDATED!F:F,0,0,1)</f>
        <v>-3907400000</v>
      </c>
      <c r="H100" s="8">
        <f>_xlfn.XLOOKUP("ProfitBeforeTax",HS_CONSOLIDATED!$C:$C,HS_CONSOLIDATED!G:G,0,0,1)</f>
        <v>-15429900000</v>
      </c>
      <c r="I100" s="8">
        <f>_xlfn.XLOOKUP("ProfitBeforeTax",HS_CONSOLIDATED!$C:$C,HS_CONSOLIDATED!H:H,0,0,1)</f>
        <v>-26839500000</v>
      </c>
      <c r="J100" s="8">
        <f>_xlfn.XLOOKUP("ProfitBeforeTax",HS_CONSOLIDATED!$C:$C,HS_CONSOLIDATED!I:I,0,0,1)</f>
        <v>1049700000</v>
      </c>
      <c r="K100" s="8">
        <f>_xlfn.XLOOKUP("ProfitBeforeTax",HS_CONSOLIDATED!$C:$C,HS_CONSOLIDATED!J:J,0,0,1)</f>
        <v>4000000</v>
      </c>
      <c r="L100" s="8">
        <f>_xlfn.XLOOKUP("ProfitBeforeTax",HS_CONSOLIDATED!$C:$C,HS_CONSOLIDATED!K:K,0,0,1)</f>
        <v>28917100000</v>
      </c>
      <c r="M100" s="8">
        <f>_xlfn.XLOOKUP("ProfitBeforeTax",HS_CONSOLIDATED!$C:$C,HS_CONSOLIDATED!L:L,0,0,1)</f>
        <v>6594900000</v>
      </c>
      <c r="N100" s="8">
        <f>_xlfn.XLOOKUP("ProfitBeforeTax",HS_CONSOLIDATED!$C:$C,HS_CONSOLIDATED!M:M,0,0,1)</f>
        <v>14466300000</v>
      </c>
    </row>
    <row r="101" spans="1:14">
      <c r="A101" s="5"/>
      <c r="B101" s="5"/>
      <c r="C101" s="6" t="s">
        <v>204</v>
      </c>
      <c r="D101" s="5"/>
      <c r="E101" s="5"/>
      <c r="F101" s="5"/>
      <c r="G101" s="5"/>
      <c r="H101" s="5"/>
      <c r="I101" s="5"/>
      <c r="J101" s="5"/>
      <c r="K101" s="5"/>
      <c r="L101" s="5"/>
      <c r="M101" s="5"/>
      <c r="N101" s="5"/>
    </row>
    <row r="102" spans="1:14">
      <c r="D102" s="7" t="s">
        <v>205</v>
      </c>
      <c r="E102" s="8">
        <f>_xlfn.XLOOKUP("AdjustmentsForFinanceCosts",HS_CONSOLIDATED!$C:$C,HS_CONSOLIDATED!D:D,0,0,1)</f>
        <v>0</v>
      </c>
      <c r="F102" s="8">
        <f>_xlfn.XLOOKUP("AdjustmentsForFinanceCosts",HS_CONSOLIDATED!$C:$C,HS_CONSOLIDATED!E:E,0,0,1)</f>
        <v>11485000000</v>
      </c>
      <c r="G102" s="8">
        <f>_xlfn.XLOOKUP("AdjustmentsForFinanceCosts",HS_CONSOLIDATED!$C:$C,HS_CONSOLIDATED!F:F,0,0,1)</f>
        <v>14012500000</v>
      </c>
      <c r="H102" s="8">
        <f>_xlfn.XLOOKUP("AdjustmentsForFinanceCosts",HS_CONSOLIDATED!$C:$C,HS_CONSOLIDATED!G:G,0,0,1)</f>
        <v>11795000000</v>
      </c>
      <c r="I102" s="8">
        <f>_xlfn.XLOOKUP("AdjustmentsForFinanceCosts",HS_CONSOLIDATED!$C:$C,HS_CONSOLIDATED!H:H,0,0,1)</f>
        <v>12901200000</v>
      </c>
      <c r="J102" s="8">
        <f>_xlfn.XLOOKUP("AdjustmentsForFinanceCosts",HS_CONSOLIDATED!$C:$C,HS_CONSOLIDATED!I:I,0,0,1)</f>
        <v>9573700000</v>
      </c>
      <c r="K102" s="8">
        <f>_xlfn.XLOOKUP("AdjustmentsForFinanceCosts",HS_CONSOLIDATED!$C:$C,HS_CONSOLIDATED!J:J,0,0,1)</f>
        <v>7025700000</v>
      </c>
      <c r="L102" s="8">
        <f>_xlfn.XLOOKUP("AdjustmentsForFinanceCosts",HS_CONSOLIDATED!$C:$C,HS_CONSOLIDATED!K:K,0,0,1)</f>
        <v>3829700000</v>
      </c>
      <c r="M102" s="8">
        <f>_xlfn.XLOOKUP("AdjustmentsForFinanceCosts",HS_CONSOLIDATED!$C:$C,HS_CONSOLIDATED!L:L,0,0,1)</f>
        <v>1056500000</v>
      </c>
      <c r="N102" s="8">
        <f>_xlfn.XLOOKUP("AdjustmentsForFinanceCosts",HS_CONSOLIDATED!$C:$C,HS_CONSOLIDATED!M:M,0,0,1)</f>
        <v>1056800000</v>
      </c>
    </row>
    <row r="103" spans="1:14">
      <c r="D103" s="7" t="s">
        <v>206</v>
      </c>
      <c r="E103" s="8">
        <f>_xlfn.XLOOKUP("AdjustmentsForDecreaseIncreaseInInventories",HS_CONSOLIDATED!$C:$C,HS_CONSOLIDATED!D:D,0,0,1)</f>
        <v>0</v>
      </c>
      <c r="F103" s="8">
        <f>_xlfn.XLOOKUP("AdjustmentsForDecreaseIncreaseInInventories",HS_CONSOLIDATED!$C:$C,HS_CONSOLIDATED!E:E,0,0,1)</f>
        <v>-9441900000</v>
      </c>
      <c r="G103" s="8">
        <f>_xlfn.XLOOKUP("AdjustmentsForDecreaseIncreaseInInventories",HS_CONSOLIDATED!$C:$C,HS_CONSOLIDATED!F:F,0,0,1)</f>
        <v>4008300000</v>
      </c>
      <c r="H103" s="8">
        <f>_xlfn.XLOOKUP("AdjustmentsForDecreaseIncreaseInInventories",HS_CONSOLIDATED!$C:$C,HS_CONSOLIDATED!G:G,0,0,1)</f>
        <v>1124400000</v>
      </c>
      <c r="I103" s="8">
        <f>_xlfn.XLOOKUP("AdjustmentsForDecreaseIncreaseInInventories",HS_CONSOLIDATED!$C:$C,HS_CONSOLIDATED!H:H,0,0,1)</f>
        <v>8583400000</v>
      </c>
      <c r="J103" s="8">
        <f>_xlfn.XLOOKUP("AdjustmentsForDecreaseIncreaseInInventories",HS_CONSOLIDATED!$C:$C,HS_CONSOLIDATED!I:I,0,0,1)</f>
        <v>-1171700000</v>
      </c>
      <c r="K103" s="8">
        <f>_xlfn.XLOOKUP("AdjustmentsForDecreaseIncreaseInInventories",HS_CONSOLIDATED!$C:$C,HS_CONSOLIDATED!J:J,0,0,1)</f>
        <v>-485200000</v>
      </c>
      <c r="L103" s="8">
        <f>_xlfn.XLOOKUP("AdjustmentsForDecreaseIncreaseInInventories",HS_CONSOLIDATED!$C:$C,HS_CONSOLIDATED!K:K,0,0,1)</f>
        <v>3807700000</v>
      </c>
      <c r="M103" s="8">
        <f>_xlfn.XLOOKUP("AdjustmentsForDecreaseIncreaseInInventories",HS_CONSOLIDATED!$C:$C,HS_CONSOLIDATED!L:L,0,0,1)</f>
        <v>-4651600000</v>
      </c>
      <c r="N103" s="8">
        <f>_xlfn.XLOOKUP("AdjustmentsForDecreaseIncreaseInInventories",HS_CONSOLIDATED!$C:$C,HS_CONSOLIDATED!M:M,0,0,1)</f>
        <v>-8187300000</v>
      </c>
    </row>
    <row r="104" spans="1:14">
      <c r="D104" s="7" t="s">
        <v>207</v>
      </c>
      <c r="E104" s="8">
        <f>_xlfn.XLOOKUP("AdjustmentsForDecreaseIncreaseInTradeReceivablesCurrent",HS_CONSOLIDATED!$C:$C,HS_CONSOLIDATED!D:D,0,0,1)</f>
        <v>0</v>
      </c>
      <c r="F104" s="8">
        <f>_xlfn.XLOOKUP("AdjustmentsForDecreaseIncreaseInTradeReceivablesCurrent",HS_CONSOLIDATED!$C:$C,HS_CONSOLIDATED!E:E,0,0,1)</f>
        <v>-10467400000</v>
      </c>
      <c r="G104" s="8">
        <f>_xlfn.XLOOKUP("AdjustmentsForDecreaseIncreaseInTradeReceivablesCurrent",HS_CONSOLIDATED!$C:$C,HS_CONSOLIDATED!F:F,0,0,1)</f>
        <v>6875000000</v>
      </c>
      <c r="H104" s="8">
        <f>_xlfn.XLOOKUP("AdjustmentsForDecreaseIncreaseInTradeReceivablesCurrent",HS_CONSOLIDATED!$C:$C,HS_CONSOLIDATED!G:G,0,0,1)</f>
        <v>10066900000</v>
      </c>
      <c r="I104" s="8">
        <f>_xlfn.XLOOKUP("AdjustmentsForDecreaseIncreaseInTradeReceivablesCurrent",HS_CONSOLIDATED!$C:$C,HS_CONSOLIDATED!H:H,0,0,1)</f>
        <v>1889100000</v>
      </c>
      <c r="J104" s="8">
        <f>_xlfn.XLOOKUP("AdjustmentsForDecreaseIncreaseInTradeReceivablesCurrent",HS_CONSOLIDATED!$C:$C,HS_CONSOLIDATED!I:I,0,0,1)</f>
        <v>677600000</v>
      </c>
      <c r="K104" s="8">
        <f>_xlfn.XLOOKUP("AdjustmentsForDecreaseIncreaseInTradeReceivablesCurrent",HS_CONSOLIDATED!$C:$C,HS_CONSOLIDATED!J:J,0,0,1)</f>
        <v>-2304900000</v>
      </c>
      <c r="L104" s="8">
        <f>_xlfn.XLOOKUP("AdjustmentsForDecreaseIncreaseInTradeReceivablesCurrent",HS_CONSOLIDATED!$C:$C,HS_CONSOLIDATED!K:K,0,0,1)</f>
        <v>1930800000</v>
      </c>
      <c r="M104" s="8">
        <f>_xlfn.XLOOKUP("AdjustmentsForDecreaseIncreaseInTradeReceivablesCurrent",HS_CONSOLIDATED!$C:$C,HS_CONSOLIDATED!L:L,0,0,1)</f>
        <v>-6769100000</v>
      </c>
      <c r="N104" s="8">
        <f>_xlfn.XLOOKUP("AdjustmentsForDecreaseIncreaseInTradeReceivablesCurrent",HS_CONSOLIDATED!$C:$C,HS_CONSOLIDATED!M:M,0,0,1)</f>
        <v>-20068300000</v>
      </c>
    </row>
    <row r="105" spans="1:14">
      <c r="D105" s="7" t="s">
        <v>208</v>
      </c>
      <c r="E105" s="8">
        <f>_xlfn.XLOOKUP("AdjustmentsForDecreaseIncreaseInOtherCurrentAssets",HS_CONSOLIDATED!$C:$C,HS_CONSOLIDATED!D:D,0,0,1)</f>
        <v>0</v>
      </c>
      <c r="F105" s="8">
        <f>_xlfn.XLOOKUP("AdjustmentsForDecreaseIncreaseInOtherCurrentAssets",HS_CONSOLIDATED!$C:$C,HS_CONSOLIDATED!E:E,0,0,1)</f>
        <v>-3151500000</v>
      </c>
      <c r="G105" s="8">
        <f>_xlfn.XLOOKUP("AdjustmentsForDecreaseIncreaseInOtherCurrentAssets",HS_CONSOLIDATED!$C:$C,HS_CONSOLIDATED!F:F,0,0,1)</f>
        <v>4300000</v>
      </c>
      <c r="H105" s="8">
        <f>_xlfn.XLOOKUP("AdjustmentsForDecreaseIncreaseInOtherCurrentAssets",HS_CONSOLIDATED!$C:$C,HS_CONSOLIDATED!G:G,0,0,1)</f>
        <v>-1817300000</v>
      </c>
      <c r="I105" s="8">
        <f>_xlfn.XLOOKUP("AdjustmentsForDecreaseIncreaseInOtherCurrentAssets",HS_CONSOLIDATED!$C:$C,HS_CONSOLIDATED!H:H,0,0,1)</f>
        <v>5910200000</v>
      </c>
      <c r="J105" s="8">
        <f>_xlfn.XLOOKUP("AdjustmentsForDecreaseIncreaseInOtherCurrentAssets",HS_CONSOLIDATED!$C:$C,HS_CONSOLIDATED!I:I,0,0,1)</f>
        <v>-1640500000</v>
      </c>
      <c r="K105" s="8">
        <f>_xlfn.XLOOKUP("AdjustmentsForDecreaseIncreaseInOtherCurrentAssets",HS_CONSOLIDATED!$C:$C,HS_CONSOLIDATED!J:J,0,0,1)</f>
        <v>3534800000</v>
      </c>
      <c r="L105" s="8">
        <f>_xlfn.XLOOKUP("AdjustmentsForDecreaseIncreaseInOtherCurrentAssets",HS_CONSOLIDATED!$C:$C,HS_CONSOLIDATED!K:K,0,0,1)</f>
        <v>5900000</v>
      </c>
      <c r="M105" s="8">
        <f>_xlfn.XLOOKUP("AdjustmentsForDecreaseIncreaseInOtherCurrentAssets",HS_CONSOLIDATED!$C:$C,HS_CONSOLIDATED!L:L,0,0,1)</f>
        <v>0</v>
      </c>
      <c r="N105" s="8">
        <f>_xlfn.XLOOKUP("AdjustmentsForDecreaseIncreaseInOtherCurrentAssets",HS_CONSOLIDATED!$C:$C,HS_CONSOLIDATED!M:M,0,0,1)</f>
        <v>0</v>
      </c>
    </row>
    <row r="106" spans="1:14">
      <c r="D106" s="7" t="s">
        <v>209</v>
      </c>
      <c r="E106" s="8">
        <f>_xlfn.XLOOKUP("AdjustmentsForOtherFinancialAssetsNoncurrent",HS_CONSOLIDATED!$C:$C,HS_CONSOLIDATED!D:D,0,0,1)</f>
        <v>0</v>
      </c>
      <c r="F106" s="8">
        <f>_xlfn.XLOOKUP("AdjustmentsForOtherFinancialAssetsNoncurrent",HS_CONSOLIDATED!$C:$C,HS_CONSOLIDATED!E:E,0,0,1)</f>
        <v>0</v>
      </c>
      <c r="G106" s="8">
        <f>_xlfn.XLOOKUP("AdjustmentsForOtherFinancialAssetsNoncurrent",HS_CONSOLIDATED!$C:$C,HS_CONSOLIDATED!F:F,0,0,1)</f>
        <v>0</v>
      </c>
      <c r="H106" s="8">
        <f>_xlfn.XLOOKUP("AdjustmentsForOtherFinancialAssetsNoncurrent",HS_CONSOLIDATED!$C:$C,HS_CONSOLIDATED!G:G,0,0,1)</f>
        <v>0</v>
      </c>
      <c r="I106" s="8">
        <f>_xlfn.XLOOKUP("AdjustmentsForOtherFinancialAssetsNoncurrent",HS_CONSOLIDATED!$C:$C,HS_CONSOLIDATED!H:H,0,0,1)</f>
        <v>0</v>
      </c>
      <c r="J106" s="8">
        <f>_xlfn.XLOOKUP("AdjustmentsForOtherFinancialAssetsNoncurrent",HS_CONSOLIDATED!$C:$C,HS_CONSOLIDATED!I:I,0,0,1)</f>
        <v>0</v>
      </c>
      <c r="K106" s="8">
        <f>_xlfn.XLOOKUP("AdjustmentsForOtherFinancialAssetsNoncurrent",HS_CONSOLIDATED!$C:$C,HS_CONSOLIDATED!J:J,0,0,1)</f>
        <v>0</v>
      </c>
      <c r="L106" s="8">
        <f>_xlfn.XLOOKUP("AdjustmentsForOtherFinancialAssetsNoncurrent",HS_CONSOLIDATED!$C:$C,HS_CONSOLIDATED!K:K,0,0,1)</f>
        <v>0</v>
      </c>
      <c r="M106" s="8">
        <f>_xlfn.XLOOKUP("AdjustmentsForOtherFinancialAssetsNoncurrent",HS_CONSOLIDATED!$C:$C,HS_CONSOLIDATED!L:L,0,0,1)</f>
        <v>-3996900000</v>
      </c>
      <c r="N106" s="8">
        <f>_xlfn.XLOOKUP("AdjustmentsForOtherFinancialAssetsNoncurrent",HS_CONSOLIDATED!$C:$C,HS_CONSOLIDATED!M:M,0,0,1)</f>
        <v>-3687400000</v>
      </c>
    </row>
    <row r="107" spans="1:14">
      <c r="D107" s="7" t="s">
        <v>210</v>
      </c>
      <c r="E107" s="8">
        <f>_xlfn.XLOOKUP("AdjustmentsForIncreaseDecreaseInOtherCurrentLiabilities",HS_CONSOLIDATED!$C:$C,HS_CONSOLIDATED!D:D,0,0,1)</f>
        <v>0</v>
      </c>
      <c r="F107" s="8">
        <f>_xlfn.XLOOKUP("AdjustmentsForIncreaseDecreaseInOtherCurrentLiabilities",HS_CONSOLIDATED!$C:$C,HS_CONSOLIDATED!E:E,0,0,1)</f>
        <v>15067900000</v>
      </c>
      <c r="G107" s="8">
        <f>_xlfn.XLOOKUP("AdjustmentsForIncreaseDecreaseInOtherCurrentLiabilities",HS_CONSOLIDATED!$C:$C,HS_CONSOLIDATED!F:F,0,0,1)</f>
        <v>-23565000000</v>
      </c>
      <c r="H107" s="8">
        <f>_xlfn.XLOOKUP("AdjustmentsForIncreaseDecreaseInOtherCurrentLiabilities",HS_CONSOLIDATED!$C:$C,HS_CONSOLIDATED!G:G,0,0,1)</f>
        <v>-433900000</v>
      </c>
      <c r="I107" s="8">
        <f>_xlfn.XLOOKUP("AdjustmentsForIncreaseDecreaseInOtherCurrentLiabilities",HS_CONSOLIDATED!$C:$C,HS_CONSOLIDATED!H:H,0,0,1)</f>
        <v>-22331600000</v>
      </c>
      <c r="J107" s="8">
        <f>_xlfn.XLOOKUP("AdjustmentsForIncreaseDecreaseInOtherCurrentLiabilities",HS_CONSOLIDATED!$C:$C,HS_CONSOLIDATED!I:I,0,0,1)</f>
        <v>540500000</v>
      </c>
      <c r="K107" s="8">
        <f>_xlfn.XLOOKUP("AdjustmentsForIncreaseDecreaseInOtherCurrentLiabilities",HS_CONSOLIDATED!$C:$C,HS_CONSOLIDATED!J:J,0,0,1)</f>
        <v>825400000</v>
      </c>
      <c r="L107" s="8">
        <f>_xlfn.XLOOKUP("AdjustmentsForIncreaseDecreaseInOtherCurrentLiabilities",HS_CONSOLIDATED!$C:$C,HS_CONSOLIDATED!K:K,0,0,1)</f>
        <v>-11176600000</v>
      </c>
      <c r="M107" s="8">
        <f>_xlfn.XLOOKUP("AdjustmentsForIncreaseDecreaseInOtherCurrentLiabilities",HS_CONSOLIDATED!$C:$C,HS_CONSOLIDATED!L:L,0,0,1)</f>
        <v>0</v>
      </c>
      <c r="N107" s="8">
        <f>_xlfn.XLOOKUP("AdjustmentsForIncreaseDecreaseInOtherCurrentLiabilities",HS_CONSOLIDATED!$C:$C,HS_CONSOLIDATED!M:M,0,0,1)</f>
        <v>0</v>
      </c>
    </row>
    <row r="108" spans="1:14">
      <c r="D108" s="7" t="s">
        <v>211</v>
      </c>
      <c r="E108" s="8">
        <f>_xlfn.XLOOKUP("AdjustmentsForDepreciationAndAmortisationExpense",HS_CONSOLIDATED!$C:$C,HS_CONSOLIDATED!D:D,0,0,1)</f>
        <v>0</v>
      </c>
      <c r="F108" s="8">
        <f>_xlfn.XLOOKUP("AdjustmentsForDepreciationAndAmortisationExpense",HS_CONSOLIDATED!$C:$C,HS_CONSOLIDATED!E:E,0,0,1)</f>
        <v>3890300000</v>
      </c>
      <c r="G108" s="8">
        <f>_xlfn.XLOOKUP("AdjustmentsForDepreciationAndAmortisationExpense",HS_CONSOLIDATED!$C:$C,HS_CONSOLIDATED!F:F,0,0,1)</f>
        <v>3416100000</v>
      </c>
      <c r="H108" s="8">
        <f>_xlfn.XLOOKUP("AdjustmentsForDepreciationAndAmortisationExpense",HS_CONSOLIDATED!$C:$C,HS_CONSOLIDATED!G:G,0,0,1)</f>
        <v>3418500000</v>
      </c>
      <c r="I108" s="8">
        <f>_xlfn.XLOOKUP("AdjustmentsForDepreciationAndAmortisationExpense",HS_CONSOLIDATED!$C:$C,HS_CONSOLIDATED!H:H,0,0,1)</f>
        <v>4186100000</v>
      </c>
      <c r="J108" s="8">
        <f>_xlfn.XLOOKUP("AdjustmentsForDepreciationAndAmortisationExpense",HS_CONSOLIDATED!$C:$C,HS_CONSOLIDATED!I:I,0,0,1)</f>
        <v>2583800000</v>
      </c>
      <c r="K108" s="8">
        <f>_xlfn.XLOOKUP("AdjustmentsForDepreciationAndAmortisationExpense",HS_CONSOLIDATED!$C:$C,HS_CONSOLIDATED!J:J,0,0,1)</f>
        <v>2598400000</v>
      </c>
      <c r="L108" s="8">
        <f>_xlfn.XLOOKUP("AdjustmentsForDepreciationAndAmortisationExpense",HS_CONSOLIDATED!$C:$C,HS_CONSOLIDATED!K:K,0,0,1)</f>
        <v>2596800000</v>
      </c>
      <c r="M108" s="8">
        <f>_xlfn.XLOOKUP("AdjustmentsForDepreciationAndAmortisationExpense",HS_CONSOLIDATED!$C:$C,HS_CONSOLIDATED!L:L,0,0,1)</f>
        <v>1896000000</v>
      </c>
      <c r="N108" s="8">
        <f>_xlfn.XLOOKUP("AdjustmentsForDepreciationAndAmortisationExpense",HS_CONSOLIDATED!$C:$C,HS_CONSOLIDATED!M:M,0,0,1)</f>
        <v>2591900000</v>
      </c>
    </row>
    <row r="109" spans="1:14">
      <c r="D109" s="7" t="s">
        <v>212</v>
      </c>
      <c r="E109" s="8">
        <f>_xlfn.XLOOKUP("AdjustmentsForImpairmentLossReversalOfImpairmentLossRecognisedInProfitOrLoss",HS_CONSOLIDATED!$C:$C,HS_CONSOLIDATED!D:D,0,0,1)</f>
        <v>0</v>
      </c>
      <c r="F109" s="8">
        <f>_xlfn.XLOOKUP("AdjustmentsForImpairmentLossReversalOfImpairmentLossRecognisedInProfitOrLoss",HS_CONSOLIDATED!$C:$C,HS_CONSOLIDATED!E:E,0,0,1)</f>
        <v>0</v>
      </c>
      <c r="G109" s="8">
        <f>_xlfn.XLOOKUP("AdjustmentsForImpairmentLossReversalOfImpairmentLossRecognisedInProfitOrLoss",HS_CONSOLIDATED!$C:$C,HS_CONSOLIDATED!F:F,0,0,1)</f>
        <v>-219300000</v>
      </c>
      <c r="H109" s="8">
        <f>_xlfn.XLOOKUP("AdjustmentsForImpairmentLossReversalOfImpairmentLossRecognisedInProfitOrLoss",HS_CONSOLIDATED!$C:$C,HS_CONSOLIDATED!G:G,0,0,1)</f>
        <v>-114500000</v>
      </c>
      <c r="I109" s="8">
        <f>_xlfn.XLOOKUP("AdjustmentsForImpairmentLossReversalOfImpairmentLossRecognisedInProfitOrLoss",HS_CONSOLIDATED!$C:$C,HS_CONSOLIDATED!H:H,0,0,1)</f>
        <v>-52500000</v>
      </c>
      <c r="J109" s="8">
        <f>_xlfn.XLOOKUP("AdjustmentsForImpairmentLossReversalOfImpairmentLossRecognisedInProfitOrLoss",HS_CONSOLIDATED!$C:$C,HS_CONSOLIDATED!I:I,0,0,1)</f>
        <v>24300000</v>
      </c>
      <c r="K109" s="8">
        <f>_xlfn.XLOOKUP("AdjustmentsForImpairmentLossReversalOfImpairmentLossRecognisedInProfitOrLoss",HS_CONSOLIDATED!$C:$C,HS_CONSOLIDATED!J:J,0,0,1)</f>
        <v>12400000</v>
      </c>
      <c r="L109" s="8">
        <f>_xlfn.XLOOKUP("AdjustmentsForImpairmentLossReversalOfImpairmentLossRecognisedInProfitOrLoss",HS_CONSOLIDATED!$C:$C,HS_CONSOLIDATED!K:K,0,0,1)</f>
        <v>-32300000</v>
      </c>
      <c r="M109" s="8">
        <f>_xlfn.XLOOKUP("AdjustmentsForImpairmentLossReversalOfImpairmentLossRecognisedInProfitOrLoss",HS_CONSOLIDATED!$C:$C,HS_CONSOLIDATED!L:L,0,0,1)</f>
        <v>54800000</v>
      </c>
      <c r="N109" s="8">
        <f>_xlfn.XLOOKUP("AdjustmentsForImpairmentLossReversalOfImpairmentLossRecognisedInProfitOrLoss",HS_CONSOLIDATED!$C:$C,HS_CONSOLIDATED!M:M,0,0,1)</f>
        <v>195200000</v>
      </c>
    </row>
    <row r="110" spans="1:14">
      <c r="D110" s="7" t="s">
        <v>213</v>
      </c>
      <c r="E110" s="8">
        <f>_xlfn.XLOOKUP("AdjustmentsForOtherFinancialLiabilitiesNoncurrent",HS_CONSOLIDATED!$C:$C,HS_CONSOLIDATED!D:D,0,0,1)</f>
        <v>0</v>
      </c>
      <c r="F110" s="8">
        <f>_xlfn.XLOOKUP("AdjustmentsForOtherFinancialLiabilitiesNoncurrent",HS_CONSOLIDATED!$C:$C,HS_CONSOLIDATED!E:E,0,0,1)</f>
        <v>0</v>
      </c>
      <c r="G110" s="8">
        <f>_xlfn.XLOOKUP("AdjustmentsForOtherFinancialLiabilitiesNoncurrent",HS_CONSOLIDATED!$C:$C,HS_CONSOLIDATED!F:F,0,0,1)</f>
        <v>0</v>
      </c>
      <c r="H110" s="8">
        <f>_xlfn.XLOOKUP("AdjustmentsForOtherFinancialLiabilitiesNoncurrent",HS_CONSOLIDATED!$C:$C,HS_CONSOLIDATED!G:G,0,0,1)</f>
        <v>0</v>
      </c>
      <c r="I110" s="8">
        <f>_xlfn.XLOOKUP("AdjustmentsForOtherFinancialLiabilitiesNoncurrent",HS_CONSOLIDATED!$C:$C,HS_CONSOLIDATED!H:H,0,0,1)</f>
        <v>0</v>
      </c>
      <c r="J110" s="8">
        <f>_xlfn.XLOOKUP("AdjustmentsForOtherFinancialLiabilitiesNoncurrent",HS_CONSOLIDATED!$C:$C,HS_CONSOLIDATED!I:I,0,0,1)</f>
        <v>0</v>
      </c>
      <c r="K110" s="8">
        <f>_xlfn.XLOOKUP("AdjustmentsForOtherFinancialLiabilitiesNoncurrent",HS_CONSOLIDATED!$C:$C,HS_CONSOLIDATED!J:J,0,0,1)</f>
        <v>0</v>
      </c>
      <c r="L110" s="8">
        <f>_xlfn.XLOOKUP("AdjustmentsForOtherFinancialLiabilitiesNoncurrent",HS_CONSOLIDATED!$C:$C,HS_CONSOLIDATED!K:K,0,0,1)</f>
        <v>0</v>
      </c>
      <c r="M110" s="8">
        <f>_xlfn.XLOOKUP("AdjustmentsForOtherFinancialLiabilitiesNoncurrent",HS_CONSOLIDATED!$C:$C,HS_CONSOLIDATED!L:L,0,0,1)</f>
        <v>4807200000</v>
      </c>
      <c r="N110" s="8">
        <f>_xlfn.XLOOKUP("AdjustmentsForOtherFinancialLiabilitiesNoncurrent",HS_CONSOLIDATED!$C:$C,HS_CONSOLIDATED!M:M,0,0,1)</f>
        <v>23040800000</v>
      </c>
    </row>
    <row r="111" spans="1:14">
      <c r="D111" s="7" t="s">
        <v>214</v>
      </c>
      <c r="E111" s="8">
        <f>_xlfn.XLOOKUP("AdjustmentsForUnrealisedForeignExchangeLossesGains",HS_CONSOLIDATED!$C:$C,HS_CONSOLIDATED!D:D,0,0,1)</f>
        <v>0</v>
      </c>
      <c r="F111" s="8">
        <f>_xlfn.XLOOKUP("AdjustmentsForUnrealisedForeignExchangeLossesGains",HS_CONSOLIDATED!$C:$C,HS_CONSOLIDATED!E:E,0,0,1)</f>
        <v>-1215600000</v>
      </c>
      <c r="G111" s="8">
        <f>_xlfn.XLOOKUP("AdjustmentsForUnrealisedForeignExchangeLossesGains",HS_CONSOLIDATED!$C:$C,HS_CONSOLIDATED!F:F,0,0,1)</f>
        <v>514700000</v>
      </c>
      <c r="H111" s="8">
        <f>_xlfn.XLOOKUP("AdjustmentsForUnrealisedForeignExchangeLossesGains",HS_CONSOLIDATED!$C:$C,HS_CONSOLIDATED!G:G,0,0,1)</f>
        <v>2403600000</v>
      </c>
      <c r="I111" s="8">
        <f>_xlfn.XLOOKUP("AdjustmentsForUnrealisedForeignExchangeLossesGains",HS_CONSOLIDATED!$C:$C,HS_CONSOLIDATED!H:H,0,0,1)</f>
        <v>4976300000</v>
      </c>
      <c r="J111" s="8">
        <f>_xlfn.XLOOKUP("AdjustmentsForUnrealisedForeignExchangeLossesGains",HS_CONSOLIDATED!$C:$C,HS_CONSOLIDATED!I:I,0,0,1)</f>
        <v>455200000</v>
      </c>
      <c r="K111" s="8">
        <f>_xlfn.XLOOKUP("AdjustmentsForUnrealisedForeignExchangeLossesGains",HS_CONSOLIDATED!$C:$C,HS_CONSOLIDATED!J:J,0,0,1)</f>
        <v>322700000</v>
      </c>
      <c r="L111" s="8">
        <f>_xlfn.XLOOKUP("AdjustmentsForUnrealisedForeignExchangeLossesGains",HS_CONSOLIDATED!$C:$C,HS_CONSOLIDATED!K:K,0,0,1)</f>
        <v>111100000</v>
      </c>
      <c r="M111" s="8">
        <f>_xlfn.XLOOKUP("AdjustmentsForUnrealisedForeignExchangeLossesGains",HS_CONSOLIDATED!$C:$C,HS_CONSOLIDATED!L:L,0,0,1)</f>
        <v>0</v>
      </c>
      <c r="N111" s="8">
        <f>_xlfn.XLOOKUP("AdjustmentsForUnrealisedForeignExchangeLossesGains",HS_CONSOLIDATED!$C:$C,HS_CONSOLIDATED!M:M,0,0,1)</f>
        <v>0</v>
      </c>
    </row>
    <row r="112" spans="1:14">
      <c r="D112" s="7" t="s">
        <v>215</v>
      </c>
      <c r="E112" s="8">
        <f>_xlfn.XLOOKUP("AdjustmentsForInterestIncome",HS_CONSOLIDATED!$C:$C,HS_CONSOLIDATED!D:D,0,0,1)</f>
        <v>0</v>
      </c>
      <c r="F112" s="8">
        <f>_xlfn.XLOOKUP("AdjustmentsForInterestIncome",HS_CONSOLIDATED!$C:$C,HS_CONSOLIDATED!E:E,0,0,1)</f>
        <v>0</v>
      </c>
      <c r="G112" s="8">
        <f>_xlfn.XLOOKUP("AdjustmentsForInterestIncome",HS_CONSOLIDATED!$C:$C,HS_CONSOLIDATED!F:F,0,0,1)</f>
        <v>0</v>
      </c>
      <c r="H112" s="8">
        <f>_xlfn.XLOOKUP("AdjustmentsForInterestIncome",HS_CONSOLIDATED!$C:$C,HS_CONSOLIDATED!G:G,0,0,1)</f>
        <v>0</v>
      </c>
      <c r="I112" s="8">
        <f>_xlfn.XLOOKUP("AdjustmentsForInterestIncome",HS_CONSOLIDATED!$C:$C,HS_CONSOLIDATED!H:H,0,0,1)</f>
        <v>0</v>
      </c>
      <c r="J112" s="8">
        <f>_xlfn.XLOOKUP("AdjustmentsForInterestIncome",HS_CONSOLIDATED!$C:$C,HS_CONSOLIDATED!I:I,0,0,1)</f>
        <v>0</v>
      </c>
      <c r="K112" s="8">
        <f>_xlfn.XLOOKUP("AdjustmentsForInterestIncome",HS_CONSOLIDATED!$C:$C,HS_CONSOLIDATED!J:J,0,0,1)</f>
        <v>0</v>
      </c>
      <c r="L112" s="8">
        <f>_xlfn.XLOOKUP("AdjustmentsForInterestIncome",HS_CONSOLIDATED!$C:$C,HS_CONSOLIDATED!K:K,0,0,1)</f>
        <v>0</v>
      </c>
      <c r="M112" s="8">
        <f>_xlfn.XLOOKUP("AdjustmentsForInterestIncome",HS_CONSOLIDATED!$C:$C,HS_CONSOLIDATED!L:L,0,0,1)</f>
        <v>383000000</v>
      </c>
      <c r="N112" s="8">
        <f>_xlfn.XLOOKUP("AdjustmentsForInterestIncome",HS_CONSOLIDATED!$C:$C,HS_CONSOLIDATED!M:M,0,0,1)</f>
        <v>1029800000</v>
      </c>
    </row>
    <row r="113" spans="1:14">
      <c r="D113" s="7" t="s">
        <v>216</v>
      </c>
      <c r="E113" s="8">
        <f>_xlfn.XLOOKUP("AdjustmentsForSharebasedPayments",HS_CONSOLIDATED!$C:$C,HS_CONSOLIDATED!D:D,0,0,1)</f>
        <v>0</v>
      </c>
      <c r="F113" s="8">
        <f>_xlfn.XLOOKUP("AdjustmentsForSharebasedPayments",HS_CONSOLIDATED!$C:$C,HS_CONSOLIDATED!E:E,0,0,1)</f>
        <v>192800000</v>
      </c>
      <c r="G113" s="8">
        <f>_xlfn.XLOOKUP("AdjustmentsForSharebasedPayments",HS_CONSOLIDATED!$C:$C,HS_CONSOLIDATED!F:F,0,0,1)</f>
        <v>0</v>
      </c>
      <c r="H113" s="8">
        <f>_xlfn.XLOOKUP("AdjustmentsForSharebasedPayments",HS_CONSOLIDATED!$C:$C,HS_CONSOLIDATED!G:G,0,0,1)</f>
        <v>0</v>
      </c>
      <c r="I113" s="8">
        <f>_xlfn.XLOOKUP("AdjustmentsForSharebasedPayments",HS_CONSOLIDATED!$C:$C,HS_CONSOLIDATED!H:H,0,0,1)</f>
        <v>0</v>
      </c>
      <c r="J113" s="8">
        <f>_xlfn.XLOOKUP("AdjustmentsForSharebasedPayments",HS_CONSOLIDATED!$C:$C,HS_CONSOLIDATED!I:I,0,0,1)</f>
        <v>0</v>
      </c>
      <c r="K113" s="8">
        <f>_xlfn.XLOOKUP("AdjustmentsForSharebasedPayments",HS_CONSOLIDATED!$C:$C,HS_CONSOLIDATED!J:J,0,0,1)</f>
        <v>0</v>
      </c>
      <c r="L113" s="8">
        <f>_xlfn.XLOOKUP("AdjustmentsForSharebasedPayments",HS_CONSOLIDATED!$C:$C,HS_CONSOLIDATED!K:K,0,0,1)</f>
        <v>0</v>
      </c>
      <c r="M113" s="8">
        <f>_xlfn.XLOOKUP("AdjustmentsForSharebasedPayments",HS_CONSOLIDATED!$C:$C,HS_CONSOLIDATED!L:L,0,0,1)</f>
        <v>291400000</v>
      </c>
      <c r="N113" s="8">
        <f>_xlfn.XLOOKUP("AdjustmentsForSharebasedPayments",HS_CONSOLIDATED!$C:$C,HS_CONSOLIDATED!M:M,0,0,1)</f>
        <v>1149500000</v>
      </c>
    </row>
    <row r="114" spans="1:14">
      <c r="D114" s="7" t="s">
        <v>217</v>
      </c>
      <c r="E114" s="8">
        <f>_xlfn.XLOOKUP("OtherAdjustmentsForWhichCashEffectsAreInvestingOrFinancingCashFlow",HS_CONSOLIDATED!$C:$C,HS_CONSOLIDATED!D:D,0,0,1)</f>
        <v>0</v>
      </c>
      <c r="F114" s="8">
        <f>_xlfn.XLOOKUP("OtherAdjustmentsForWhichCashEffectsAreInvestingOrFinancingCashFlow",HS_CONSOLIDATED!$C:$C,HS_CONSOLIDATED!E:E,0,0,1)</f>
        <v>-417800000</v>
      </c>
      <c r="G114" s="8">
        <f>_xlfn.XLOOKUP("OtherAdjustmentsForWhichCashEffectsAreInvestingOrFinancingCashFlow",HS_CONSOLIDATED!$C:$C,HS_CONSOLIDATED!F:F,0,0,1)</f>
        <v>-405500000</v>
      </c>
      <c r="H114" s="8">
        <f>_xlfn.XLOOKUP("OtherAdjustmentsForWhichCashEffectsAreInvestingOrFinancingCashFlow",HS_CONSOLIDATED!$C:$C,HS_CONSOLIDATED!G:G,0,0,1)</f>
        <v>-149900000</v>
      </c>
      <c r="I114" s="8">
        <f>_xlfn.XLOOKUP("OtherAdjustmentsForWhichCashEffectsAreInvestingOrFinancingCashFlow",HS_CONSOLIDATED!$C:$C,HS_CONSOLIDATED!H:H,0,0,1)</f>
        <v>39700000</v>
      </c>
      <c r="J114" s="8">
        <f>_xlfn.XLOOKUP("OtherAdjustmentsForWhichCashEffectsAreInvestingOrFinancingCashFlow",HS_CONSOLIDATED!$C:$C,HS_CONSOLIDATED!I:I,0,0,1)</f>
        <v>0</v>
      </c>
      <c r="K114" s="8">
        <f>_xlfn.XLOOKUP("OtherAdjustmentsForWhichCashEffectsAreInvestingOrFinancingCashFlow",HS_CONSOLIDATED!$C:$C,HS_CONSOLIDATED!J:J,0,0,1)</f>
        <v>0</v>
      </c>
      <c r="L114" s="8">
        <f>_xlfn.XLOOKUP("OtherAdjustmentsForWhichCashEffectsAreInvestingOrFinancingCashFlow",HS_CONSOLIDATED!$C:$C,HS_CONSOLIDATED!K:K,0,0,1)</f>
        <v>0</v>
      </c>
      <c r="M114" s="8">
        <f>_xlfn.XLOOKUP("OtherAdjustmentsForWhichCashEffectsAreInvestingOrFinancingCashFlow",HS_CONSOLIDATED!$C:$C,HS_CONSOLIDATED!L:L,0,0,1)</f>
        <v>0</v>
      </c>
      <c r="N114" s="8">
        <f>_xlfn.XLOOKUP("OtherAdjustmentsForWhichCashEffectsAreInvestingOrFinancingCashFlow",HS_CONSOLIDATED!$C:$C,HS_CONSOLIDATED!M:M,0,0,1)</f>
        <v>0</v>
      </c>
    </row>
    <row r="115" spans="1:14">
      <c r="D115" s="7" t="s">
        <v>218</v>
      </c>
      <c r="E115" s="8">
        <f>_xlfn.XLOOKUP("OtherAdjustmentsToReconcileProfitLoss",HS_CONSOLIDATED!$C:$C,HS_CONSOLIDATED!D:D,0,0,1)</f>
        <v>0</v>
      </c>
      <c r="F115" s="8">
        <f>_xlfn.XLOOKUP("OtherAdjustmentsToReconcileProfitLoss",HS_CONSOLIDATED!$C:$C,HS_CONSOLIDATED!E:E,0,0,1)</f>
        <v>3634300000</v>
      </c>
      <c r="G115" s="8">
        <f>_xlfn.XLOOKUP("OtherAdjustmentsToReconcileProfitLoss",HS_CONSOLIDATED!$C:$C,HS_CONSOLIDATED!F:F,0,0,1)</f>
        <v>1729200000</v>
      </c>
      <c r="H115" s="8">
        <f>_xlfn.XLOOKUP("OtherAdjustmentsToReconcileProfitLoss",HS_CONSOLIDATED!$C:$C,HS_CONSOLIDATED!G:G,0,0,1)</f>
        <v>1268500000</v>
      </c>
      <c r="I115" s="8">
        <f>_xlfn.XLOOKUP("OtherAdjustmentsToReconcileProfitLoss",HS_CONSOLIDATED!$C:$C,HS_CONSOLIDATED!H:H,0,0,1)</f>
        <v>1816000000</v>
      </c>
      <c r="J115" s="8">
        <f>_xlfn.XLOOKUP("OtherAdjustmentsToReconcileProfitLoss",HS_CONSOLIDATED!$C:$C,HS_CONSOLIDATED!I:I,0,0,1)</f>
        <v>309500000</v>
      </c>
      <c r="K115" s="8">
        <f>_xlfn.XLOOKUP("OtherAdjustmentsToReconcileProfitLoss",HS_CONSOLIDATED!$C:$C,HS_CONSOLIDATED!J:J,0,0,1)</f>
        <v>2586000000</v>
      </c>
      <c r="L115" s="8">
        <f>_xlfn.XLOOKUP("OtherAdjustmentsToReconcileProfitLoss",HS_CONSOLIDATED!$C:$C,HS_CONSOLIDATED!K:K,0,0,1)</f>
        <v>2031600000</v>
      </c>
      <c r="M115" s="8">
        <f>_xlfn.XLOOKUP("OtherAdjustmentsToReconcileProfitLoss",HS_CONSOLIDATED!$C:$C,HS_CONSOLIDATED!L:L,0,0,1)</f>
        <v>2098200000</v>
      </c>
      <c r="N115" s="8">
        <f>_xlfn.XLOOKUP("OtherAdjustmentsToReconcileProfitLoss",HS_CONSOLIDATED!$C:$C,HS_CONSOLIDATED!M:M,0,0,1)</f>
        <v>1407300000</v>
      </c>
    </row>
    <row r="116" spans="1:14">
      <c r="D116" s="7" t="s">
        <v>219</v>
      </c>
      <c r="E116" s="8">
        <f>_xlfn.XLOOKUP("OtherAdjustmentsForNoncashItems",HS_CONSOLIDATED!$C:$C,HS_CONSOLIDATED!D:D,0,0,1)</f>
        <v>0</v>
      </c>
      <c r="F116" s="8">
        <f>_xlfn.XLOOKUP("OtherAdjustmentsForNoncashItems",HS_CONSOLIDATED!$C:$C,HS_CONSOLIDATED!E:E,0,0,1)</f>
        <v>-1987800000</v>
      </c>
      <c r="G116" s="8">
        <f>_xlfn.XLOOKUP("OtherAdjustmentsForNoncashItems",HS_CONSOLIDATED!$C:$C,HS_CONSOLIDATED!F:F,0,0,1)</f>
        <v>-4151100000</v>
      </c>
      <c r="H116" s="8">
        <f>_xlfn.XLOOKUP("OtherAdjustmentsForNoncashItems",HS_CONSOLIDATED!$C:$C,HS_CONSOLIDATED!G:G,0,0,1)</f>
        <v>439000000</v>
      </c>
      <c r="I116" s="8">
        <f>_xlfn.XLOOKUP("OtherAdjustmentsForNoncashItems",HS_CONSOLIDATED!$C:$C,HS_CONSOLIDATED!H:H,0,0,1)</f>
        <v>-292800000</v>
      </c>
      <c r="J116" s="8">
        <f>_xlfn.XLOOKUP("OtherAdjustmentsForNoncashItems",HS_CONSOLIDATED!$C:$C,HS_CONSOLIDATED!I:I,0,0,1)</f>
        <v>-7231000000</v>
      </c>
      <c r="K116" s="8">
        <f>_xlfn.XLOOKUP("OtherAdjustmentsForNoncashItems",HS_CONSOLIDATED!$C:$C,HS_CONSOLIDATED!J:J,0,0,1)</f>
        <v>-1194600000</v>
      </c>
      <c r="L116" s="8">
        <f>_xlfn.XLOOKUP("OtherAdjustmentsForNoncashItems",HS_CONSOLIDATED!$C:$C,HS_CONSOLIDATED!K:K,0,0,1)</f>
        <v>-27205900000</v>
      </c>
      <c r="M116" s="8">
        <f>_xlfn.XLOOKUP("OtherAdjustmentsForNoncashItems",HS_CONSOLIDATED!$C:$C,HS_CONSOLIDATED!L:L,0,0,1)</f>
        <v>0</v>
      </c>
      <c r="N116" s="8">
        <f>_xlfn.XLOOKUP("OtherAdjustmentsForNoncashItems",HS_CONSOLIDATED!$C:$C,HS_CONSOLIDATED!M:M,0,0,1)</f>
        <v>0</v>
      </c>
    </row>
    <row r="117" spans="1:14">
      <c r="D117" s="7" t="s">
        <v>220</v>
      </c>
      <c r="E117" s="8">
        <f>_xlfn.XLOOKUP("AdjustmentsForReconcileProfitLoss",HS_CONSOLIDATED!$C:$C,HS_CONSOLIDATED!D:D,0,0,1)</f>
        <v>0</v>
      </c>
      <c r="F117" s="8">
        <f>_xlfn.XLOOKUP("AdjustmentsForReconcileProfitLoss",HS_CONSOLIDATED!$C:$C,HS_CONSOLIDATED!E:E,0,0,1)</f>
        <v>7588300000</v>
      </c>
      <c r="G117" s="8">
        <f>_xlfn.XLOOKUP("AdjustmentsForReconcileProfitLoss",HS_CONSOLIDATED!$C:$C,HS_CONSOLIDATED!F:F,0,0,1)</f>
        <v>2219200000</v>
      </c>
      <c r="H117" s="8">
        <f>_xlfn.XLOOKUP("AdjustmentsForReconcileProfitLoss",HS_CONSOLIDATED!$C:$C,HS_CONSOLIDATED!G:G,0,0,1)</f>
        <v>28000300000</v>
      </c>
      <c r="I117" s="8">
        <f>_xlfn.XLOOKUP("AdjustmentsForReconcileProfitLoss",HS_CONSOLIDATED!$C:$C,HS_CONSOLIDATED!H:H,0,0,1)</f>
        <v>17625100000</v>
      </c>
      <c r="J117" s="8">
        <f>_xlfn.XLOOKUP("AdjustmentsForReconcileProfitLoss",HS_CONSOLIDATED!$C:$C,HS_CONSOLIDATED!I:I,0,0,1)</f>
        <v>4121400000</v>
      </c>
      <c r="K117" s="8">
        <f>_xlfn.XLOOKUP("AdjustmentsForReconcileProfitLoss",HS_CONSOLIDATED!$C:$C,HS_CONSOLIDATED!J:J,0,0,1)</f>
        <v>12920700000</v>
      </c>
      <c r="L117" s="8">
        <f>_xlfn.XLOOKUP("AdjustmentsForReconcileProfitLoss",HS_CONSOLIDATED!$C:$C,HS_CONSOLIDATED!K:K,0,0,1)</f>
        <v>-24101200000</v>
      </c>
      <c r="M117" s="8">
        <f>_xlfn.XLOOKUP("AdjustmentsForReconcileProfitLoss",HS_CONSOLIDATED!$C:$C,HS_CONSOLIDATED!L:L,0,0,1)</f>
        <v>-5596500000</v>
      </c>
      <c r="N117" s="8">
        <f>_xlfn.XLOOKUP("AdjustmentsForReconcileProfitLoss",HS_CONSOLIDATED!$C:$C,HS_CONSOLIDATED!M:M,0,0,1)</f>
        <v>-3531300000</v>
      </c>
    </row>
    <row r="118" spans="1:14">
      <c r="A118" s="9"/>
      <c r="B118" s="9"/>
      <c r="C118" s="10" t="s">
        <v>221</v>
      </c>
      <c r="D118" s="9"/>
      <c r="E118" s="11">
        <f t="shared" ref="E118:N118" si="21">IFERROR(E117+E100,0)</f>
        <v>0</v>
      </c>
      <c r="F118" s="11">
        <f t="shared" si="21"/>
        <v>16704200000</v>
      </c>
      <c r="G118" s="11">
        <f t="shared" si="21"/>
        <v>-1688200000</v>
      </c>
      <c r="H118" s="11">
        <f t="shared" si="21"/>
        <v>12570400000</v>
      </c>
      <c r="I118" s="11">
        <f t="shared" si="21"/>
        <v>-9214400000</v>
      </c>
      <c r="J118" s="11">
        <f t="shared" si="21"/>
        <v>5171100000</v>
      </c>
      <c r="K118" s="11">
        <f t="shared" si="21"/>
        <v>12924700000</v>
      </c>
      <c r="L118" s="11">
        <f t="shared" si="21"/>
        <v>4815900000</v>
      </c>
      <c r="M118" s="11">
        <f t="shared" si="21"/>
        <v>998400000</v>
      </c>
      <c r="N118" s="11">
        <f t="shared" si="21"/>
        <v>10935000000</v>
      </c>
    </row>
    <row r="119" spans="1:14">
      <c r="C119" s="7" t="s">
        <v>222</v>
      </c>
      <c r="E119" s="8">
        <f>-_xlfn.XLOOKUP("IncomeTaxesPaidRefundClassifiedAsOperatingActivities",HS_CONSOLIDATED!$C:$C,HS_CONSOLIDATED!D:D,0,0,1)</f>
        <v>0</v>
      </c>
      <c r="F119" s="8">
        <f>-_xlfn.XLOOKUP("IncomeTaxesPaidRefundClassifiedAsOperatingActivities",HS_CONSOLIDATED!$C:$C,HS_CONSOLIDATED!E:E,0,0,1)</f>
        <v>-615900000</v>
      </c>
      <c r="G119" s="8">
        <f>-_xlfn.XLOOKUP("IncomeTaxesPaidRefundClassifiedAsOperatingActivities",HS_CONSOLIDATED!$C:$C,HS_CONSOLIDATED!F:F,0,0,1)</f>
        <v>593800000</v>
      </c>
      <c r="H119" s="8">
        <f>-_xlfn.XLOOKUP("IncomeTaxesPaidRefundClassifiedAsOperatingActivities",HS_CONSOLIDATED!$C:$C,HS_CONSOLIDATED!G:G,0,0,1)</f>
        <v>97000000</v>
      </c>
      <c r="I119" s="8">
        <f>-_xlfn.XLOOKUP("IncomeTaxesPaidRefundClassifiedAsOperatingActivities",HS_CONSOLIDATED!$C:$C,HS_CONSOLIDATED!H:H,0,0,1)</f>
        <v>-76000000</v>
      </c>
      <c r="J119" s="8">
        <f>-_xlfn.XLOOKUP("IncomeTaxesPaidRefundClassifiedAsOperatingActivities",HS_CONSOLIDATED!$C:$C,HS_CONSOLIDATED!I:I,0,0,1)</f>
        <v>133900000</v>
      </c>
      <c r="K119" s="8">
        <f>-_xlfn.XLOOKUP("IncomeTaxesPaidRefundClassifiedAsOperatingActivities",HS_CONSOLIDATED!$C:$C,HS_CONSOLIDATED!J:J,0,0,1)</f>
        <v>94300000</v>
      </c>
      <c r="L119" s="8">
        <f>-_xlfn.XLOOKUP("IncomeTaxesPaidRefundClassifiedAsOperatingActivities",HS_CONSOLIDATED!$C:$C,HS_CONSOLIDATED!K:K,0,0,1)</f>
        <v>-149300000</v>
      </c>
      <c r="M119" s="8">
        <f>-_xlfn.XLOOKUP("IncomeTaxesPaidRefundClassifiedAsOperatingActivities",HS_CONSOLIDATED!$C:$C,HS_CONSOLIDATED!L:L,0,0,1)</f>
        <v>-203100000</v>
      </c>
      <c r="N119" s="8">
        <f>-_xlfn.XLOOKUP("IncomeTaxesPaidRefundClassifiedAsOperatingActivities",HS_CONSOLIDATED!$C:$C,HS_CONSOLIDATED!M:M,0,0,1)</f>
        <v>-15400000</v>
      </c>
    </row>
    <row r="120" spans="1:14">
      <c r="A120" s="9"/>
      <c r="B120" s="9"/>
      <c r="C120" s="10" t="s">
        <v>223</v>
      </c>
      <c r="D120" s="9"/>
      <c r="E120" s="11">
        <f t="shared" ref="E120:N120" si="22">IFERROR(SUM(E118:E119),0)</f>
        <v>0</v>
      </c>
      <c r="F120" s="11">
        <f t="shared" si="22"/>
        <v>16088300000</v>
      </c>
      <c r="G120" s="11">
        <f t="shared" si="22"/>
        <v>-1094400000</v>
      </c>
      <c r="H120" s="11">
        <f t="shared" si="22"/>
        <v>12667400000</v>
      </c>
      <c r="I120" s="11">
        <f t="shared" si="22"/>
        <v>-9290400000</v>
      </c>
      <c r="J120" s="11">
        <f t="shared" si="22"/>
        <v>5305000000</v>
      </c>
      <c r="K120" s="11">
        <f t="shared" si="22"/>
        <v>13019000000</v>
      </c>
      <c r="L120" s="11">
        <f t="shared" si="22"/>
        <v>4666600000</v>
      </c>
      <c r="M120" s="11">
        <f t="shared" si="22"/>
        <v>795300000</v>
      </c>
      <c r="N120" s="11">
        <f t="shared" si="22"/>
        <v>10919600000</v>
      </c>
    </row>
    <row r="121" spans="1:14">
      <c r="A121" s="5"/>
      <c r="B121" s="5"/>
      <c r="C121" s="6" t="s">
        <v>224</v>
      </c>
      <c r="D121" s="5"/>
      <c r="E121" s="5"/>
      <c r="F121" s="5"/>
      <c r="G121" s="5"/>
      <c r="H121" s="5"/>
      <c r="I121" s="5"/>
      <c r="J121" s="5"/>
      <c r="K121" s="5"/>
      <c r="L121" s="5"/>
      <c r="M121" s="5"/>
      <c r="N121" s="5"/>
    </row>
    <row r="122" spans="1:14">
      <c r="D122" s="7" t="s">
        <v>225</v>
      </c>
      <c r="E122" s="8">
        <f>-_xlfn.XLOOKUP("CashFlowsUsedInObtainingControlOfSubsidiariesOrOtherBusinessesClassifiedAsInvestingActivities",HS_CONSOLIDATED!$C:$C,HS_CONSOLIDATED!D:D,0,0,1)</f>
        <v>0</v>
      </c>
      <c r="F122" s="8">
        <f>-_xlfn.XLOOKUP("CashFlowsUsedInObtainingControlOfSubsidiariesOrOtherBusinessesClassifiedAsInvestingActivities",HS_CONSOLIDATED!$C:$C,HS_CONSOLIDATED!E:E,0,0,1)</f>
        <v>0</v>
      </c>
      <c r="G122" s="8">
        <f>-_xlfn.XLOOKUP("CashFlowsUsedInObtainingControlOfSubsidiariesOrOtherBusinessesClassifiedAsInvestingActivities",HS_CONSOLIDATED!$C:$C,HS_CONSOLIDATED!F:F,0,0,1)</f>
        <v>0</v>
      </c>
      <c r="H122" s="8">
        <f>-_xlfn.XLOOKUP("CashFlowsUsedInObtainingControlOfSubsidiariesOrOtherBusinessesClassifiedAsInvestingActivities",HS_CONSOLIDATED!$C:$C,HS_CONSOLIDATED!G:G,0,0,1)</f>
        <v>0</v>
      </c>
      <c r="I122" s="8">
        <f>-_xlfn.XLOOKUP("CashFlowsUsedInObtainingControlOfSubsidiariesOrOtherBusinessesClassifiedAsInvestingActivities",HS_CONSOLIDATED!$C:$C,HS_CONSOLIDATED!H:H,0,0,1)</f>
        <v>0</v>
      </c>
      <c r="J122" s="8">
        <f>-_xlfn.XLOOKUP("CashFlowsUsedInObtainingControlOfSubsidiariesOrOtherBusinessesClassifiedAsInvestingActivities",HS_CONSOLIDATED!$C:$C,HS_CONSOLIDATED!I:I,0,0,1)</f>
        <v>0</v>
      </c>
      <c r="K122" s="8">
        <f>-_xlfn.XLOOKUP("CashFlowsUsedInObtainingControlOfSubsidiariesOrOtherBusinessesClassifiedAsInvestingActivities",HS_CONSOLIDATED!$C:$C,HS_CONSOLIDATED!J:J,0,0,1)</f>
        <v>0</v>
      </c>
      <c r="L122" s="8">
        <f>-_xlfn.XLOOKUP("CashFlowsUsedInObtainingControlOfSubsidiariesOrOtherBusinessesClassifiedAsInvestingActivities",HS_CONSOLIDATED!$C:$C,HS_CONSOLIDATED!K:K,0,0,1)</f>
        <v>0</v>
      </c>
      <c r="M122" s="8">
        <f>-_xlfn.XLOOKUP("CashFlowsUsedInObtainingControlOfSubsidiariesOrOtherBusinessesClassifiedAsInvestingActivities",HS_CONSOLIDATED!$C:$C,HS_CONSOLIDATED!L:L,0,0,1)</f>
        <v>0</v>
      </c>
      <c r="N122" s="8">
        <f>-_xlfn.XLOOKUP("CashFlowsUsedInObtainingControlOfSubsidiariesOrOtherBusinessesClassifiedAsInvestingActivities",HS_CONSOLIDATED!$C:$C,HS_CONSOLIDATED!M:M,0,0,1)</f>
        <v>-4413300000</v>
      </c>
    </row>
    <row r="123" spans="1:14">
      <c r="D123" s="7" t="s">
        <v>226</v>
      </c>
      <c r="E123" s="8">
        <f>_xlfn.XLOOKUP("OtherCashReceiptsFromSalesOfEquityOrDebtInstrumentsOfOtherEntitiesClassifiedAsInvestingActivities",HS_CONSOLIDATED!$C:$C,HS_CONSOLIDATED!D:D,0,0,1)</f>
        <v>0</v>
      </c>
      <c r="F123" s="8">
        <f>_xlfn.XLOOKUP("OtherCashReceiptsFromSalesOfEquityOrDebtInstrumentsOfOtherEntitiesClassifiedAsInvestingActivities",HS_CONSOLIDATED!$C:$C,HS_CONSOLIDATED!E:E,0,0,1)</f>
        <v>85500000</v>
      </c>
      <c r="G123" s="8">
        <f>_xlfn.XLOOKUP("OtherCashReceiptsFromSalesOfEquityOrDebtInstrumentsOfOtherEntitiesClassifiedAsInvestingActivities",HS_CONSOLIDATED!$C:$C,HS_CONSOLIDATED!F:F,0,0,1)</f>
        <v>800000</v>
      </c>
      <c r="H123" s="8">
        <f>_xlfn.XLOOKUP("OtherCashReceiptsFromSalesOfEquityOrDebtInstrumentsOfOtherEntitiesClassifiedAsInvestingActivities",HS_CONSOLIDATED!$C:$C,HS_CONSOLIDATED!G:G,0,0,1)</f>
        <v>2855300000</v>
      </c>
      <c r="I123" s="8">
        <f>_xlfn.XLOOKUP("OtherCashReceiptsFromSalesOfEquityOrDebtInstrumentsOfOtherEntitiesClassifiedAsInvestingActivities",HS_CONSOLIDATED!$C:$C,HS_CONSOLIDATED!H:H,0,0,1)</f>
        <v>305100000</v>
      </c>
      <c r="J123" s="8">
        <f>_xlfn.XLOOKUP("OtherCashReceiptsFromSalesOfEquityOrDebtInstrumentsOfOtherEntitiesClassifiedAsInvestingActivities",HS_CONSOLIDATED!$C:$C,HS_CONSOLIDATED!I:I,0,0,1)</f>
        <v>0</v>
      </c>
      <c r="K123" s="8">
        <f>_xlfn.XLOOKUP("OtherCashReceiptsFromSalesOfEquityOrDebtInstrumentsOfOtherEntitiesClassifiedAsInvestingActivities",HS_CONSOLIDATED!$C:$C,HS_CONSOLIDATED!J:J,0,0,1)</f>
        <v>0</v>
      </c>
      <c r="L123" s="8">
        <f>_xlfn.XLOOKUP("OtherCashReceiptsFromSalesOfEquityOrDebtInstrumentsOfOtherEntitiesClassifiedAsInvestingActivities",HS_CONSOLIDATED!$C:$C,HS_CONSOLIDATED!K:K,0,0,1)</f>
        <v>0</v>
      </c>
      <c r="M123" s="8">
        <f>_xlfn.XLOOKUP("OtherCashReceiptsFromSalesOfEquityOrDebtInstrumentsOfOtherEntitiesClassifiedAsInvestingActivities",HS_CONSOLIDATED!$C:$C,HS_CONSOLIDATED!L:L,0,0,1)</f>
        <v>0</v>
      </c>
      <c r="N123" s="8">
        <f>_xlfn.XLOOKUP("OtherCashReceiptsFromSalesOfEquityOrDebtInstrumentsOfOtherEntitiesClassifiedAsInvestingActivities",HS_CONSOLIDATED!$C:$C,HS_CONSOLIDATED!M:M,0,0,1)</f>
        <v>0</v>
      </c>
    </row>
    <row r="124" spans="1:14">
      <c r="D124" s="7" t="s">
        <v>227</v>
      </c>
      <c r="E124" s="8">
        <f>-_xlfn.XLOOKUP("OtherCashPaymentsToAcquireEquityOrDebtInstrumentsOfOtherEntitiesClassifiedAsInvestingActivities",HS_CONSOLIDATED!$C:$C,HS_CONSOLIDATED!D:D,0,0,1)</f>
        <v>0</v>
      </c>
      <c r="F124" s="8">
        <f>-_xlfn.XLOOKUP("OtherCashPaymentsToAcquireEquityOrDebtInstrumentsOfOtherEntitiesClassifiedAsInvestingActivities",HS_CONSOLIDATED!$C:$C,HS_CONSOLIDATED!E:E,0,0,1)</f>
        <v>-1525600000</v>
      </c>
      <c r="G124" s="8">
        <f>-_xlfn.XLOOKUP("OtherCashPaymentsToAcquireEquityOrDebtInstrumentsOfOtherEntitiesClassifiedAsInvestingActivities",HS_CONSOLIDATED!$C:$C,HS_CONSOLIDATED!F:F,0,0,1)</f>
        <v>-307200000</v>
      </c>
      <c r="H124" s="8">
        <f>-_xlfn.XLOOKUP("OtherCashPaymentsToAcquireEquityOrDebtInstrumentsOfOtherEntitiesClassifiedAsInvestingActivities",HS_CONSOLIDATED!$C:$C,HS_CONSOLIDATED!G:G,0,0,1)</f>
        <v>-68100000</v>
      </c>
      <c r="I124" s="8">
        <f>-_xlfn.XLOOKUP("OtherCashPaymentsToAcquireEquityOrDebtInstrumentsOfOtherEntitiesClassifiedAsInvestingActivities",HS_CONSOLIDATED!$C:$C,HS_CONSOLIDATED!H:H,0,0,1)</f>
        <v>0</v>
      </c>
      <c r="J124" s="8">
        <f>-_xlfn.XLOOKUP("OtherCashPaymentsToAcquireEquityOrDebtInstrumentsOfOtherEntitiesClassifiedAsInvestingActivities",HS_CONSOLIDATED!$C:$C,HS_CONSOLIDATED!I:I,0,0,1)</f>
        <v>0</v>
      </c>
      <c r="K124" s="8">
        <f>-_xlfn.XLOOKUP("OtherCashPaymentsToAcquireEquityOrDebtInstrumentsOfOtherEntitiesClassifiedAsInvestingActivities",HS_CONSOLIDATED!$C:$C,HS_CONSOLIDATED!J:J,0,0,1)</f>
        <v>0</v>
      </c>
      <c r="L124" s="8">
        <f>-_xlfn.XLOOKUP("OtherCashPaymentsToAcquireEquityOrDebtInstrumentsOfOtherEntitiesClassifiedAsInvestingActivities",HS_CONSOLIDATED!$C:$C,HS_CONSOLIDATED!K:K,0,0,1)</f>
        <v>0</v>
      </c>
      <c r="M124" s="8">
        <f>-_xlfn.XLOOKUP("OtherCashPaymentsToAcquireEquityOrDebtInstrumentsOfOtherEntitiesClassifiedAsInvestingActivities",HS_CONSOLIDATED!$C:$C,HS_CONSOLIDATED!L:L,0,0,1)</f>
        <v>0</v>
      </c>
      <c r="N124" s="8">
        <f>-_xlfn.XLOOKUP("OtherCashPaymentsToAcquireEquityOrDebtInstrumentsOfOtherEntitiesClassifiedAsInvestingActivities",HS_CONSOLIDATED!$C:$C,HS_CONSOLIDATED!M:M,0,0,1)</f>
        <v>0</v>
      </c>
    </row>
    <row r="125" spans="1:14">
      <c r="D125" s="7" t="s">
        <v>228</v>
      </c>
      <c r="E125" s="8">
        <f>_xlfn.XLOOKUP("OtherCashReceiptsFromSalesOfInterestsInJointVenturesClassifiedAsInvestingActivities",HS_CONSOLIDATED!$C:$C,HS_CONSOLIDATED!D:D,0,0,1)</f>
        <v>0</v>
      </c>
      <c r="F125" s="8">
        <f>_xlfn.XLOOKUP("OtherCashReceiptsFromSalesOfInterestsInJointVenturesClassifiedAsInvestingActivities",HS_CONSOLIDATED!$C:$C,HS_CONSOLIDATED!E:E,0,0,1)</f>
        <v>0</v>
      </c>
      <c r="G125" s="8">
        <f>_xlfn.XLOOKUP("OtherCashReceiptsFromSalesOfInterestsInJointVenturesClassifiedAsInvestingActivities",HS_CONSOLIDATED!$C:$C,HS_CONSOLIDATED!F:F,0,0,1)</f>
        <v>0</v>
      </c>
      <c r="H125" s="8">
        <f>_xlfn.XLOOKUP("OtherCashReceiptsFromSalesOfInterestsInJointVenturesClassifiedAsInvestingActivities",HS_CONSOLIDATED!$C:$C,HS_CONSOLIDATED!G:G,0,0,1)</f>
        <v>0</v>
      </c>
      <c r="I125" s="8">
        <f>_xlfn.XLOOKUP("OtherCashReceiptsFromSalesOfInterestsInJointVenturesClassifiedAsInvestingActivities",HS_CONSOLIDATED!$C:$C,HS_CONSOLIDATED!H:H,0,0,1)</f>
        <v>0</v>
      </c>
      <c r="J125" s="8">
        <f>_xlfn.XLOOKUP("OtherCashReceiptsFromSalesOfInterestsInJointVenturesClassifiedAsInvestingActivities",HS_CONSOLIDATED!$C:$C,HS_CONSOLIDATED!I:I,0,0,1)</f>
        <v>0</v>
      </c>
      <c r="K125" s="8">
        <f>_xlfn.XLOOKUP("OtherCashReceiptsFromSalesOfInterestsInJointVenturesClassifiedAsInvestingActivities",HS_CONSOLIDATED!$C:$C,HS_CONSOLIDATED!J:J,0,0,1)</f>
        <v>106700000</v>
      </c>
      <c r="L125" s="8">
        <f>_xlfn.XLOOKUP("OtherCashReceiptsFromSalesOfInterestsInJointVenturesClassifiedAsInvestingActivities",HS_CONSOLIDATED!$C:$C,HS_CONSOLIDATED!K:K,0,0,1)</f>
        <v>769600000</v>
      </c>
      <c r="M125" s="8">
        <f>_xlfn.XLOOKUP("OtherCashReceiptsFromSalesOfInterestsInJointVenturesClassifiedAsInvestingActivities",HS_CONSOLIDATED!$C:$C,HS_CONSOLIDATED!L:L,0,0,1)</f>
        <v>436800000</v>
      </c>
      <c r="N125" s="8">
        <f>_xlfn.XLOOKUP("OtherCashReceiptsFromSalesOfInterestsInJointVenturesClassifiedAsInvestingActivities",HS_CONSOLIDATED!$C:$C,HS_CONSOLIDATED!M:M,0,0,1)</f>
        <v>0</v>
      </c>
    </row>
    <row r="126" spans="1:14">
      <c r="D126" s="7" t="s">
        <v>229</v>
      </c>
      <c r="E126" s="8">
        <f>_xlfn.XLOOKUP("ProceedsFromSalesOfPropertyPlantAndEquipmentClassifiedAsInvestingActivities",HS_CONSOLIDATED!$C:$C,HS_CONSOLIDATED!D:D,0,0,1)</f>
        <v>0</v>
      </c>
      <c r="F126" s="8">
        <f>_xlfn.XLOOKUP("ProceedsFromSalesOfPropertyPlantAndEquipmentClassifiedAsInvestingActivities",HS_CONSOLIDATED!$C:$C,HS_CONSOLIDATED!E:E,0,0,1)</f>
        <v>226800000</v>
      </c>
      <c r="G126" s="8">
        <f>_xlfn.XLOOKUP("ProceedsFromSalesOfPropertyPlantAndEquipmentClassifiedAsInvestingActivities",HS_CONSOLIDATED!$C:$C,HS_CONSOLIDATED!F:F,0,0,1)</f>
        <v>552200000</v>
      </c>
      <c r="H126" s="8">
        <f>_xlfn.XLOOKUP("ProceedsFromSalesOfPropertyPlantAndEquipmentClassifiedAsInvestingActivities",HS_CONSOLIDATED!$C:$C,HS_CONSOLIDATED!G:G,0,0,1)</f>
        <v>356300000</v>
      </c>
      <c r="I126" s="8">
        <f>_xlfn.XLOOKUP("ProceedsFromSalesOfPropertyPlantAndEquipmentClassifiedAsInvestingActivities",HS_CONSOLIDATED!$C:$C,HS_CONSOLIDATED!H:H,0,0,1)</f>
        <v>6800000</v>
      </c>
      <c r="J126" s="8">
        <f>_xlfn.XLOOKUP("ProceedsFromSalesOfPropertyPlantAndEquipmentClassifiedAsInvestingActivities",HS_CONSOLIDATED!$C:$C,HS_CONSOLIDATED!I:I,0,0,1)</f>
        <v>29500000</v>
      </c>
      <c r="K126" s="8">
        <f>_xlfn.XLOOKUP("ProceedsFromSalesOfPropertyPlantAndEquipmentClassifiedAsInvestingActivities",HS_CONSOLIDATED!$C:$C,HS_CONSOLIDATED!J:J,0,0,1)</f>
        <v>9000000</v>
      </c>
      <c r="L126" s="8">
        <f>_xlfn.XLOOKUP("ProceedsFromSalesOfPropertyPlantAndEquipmentClassifiedAsInvestingActivities",HS_CONSOLIDATED!$C:$C,HS_CONSOLIDATED!K:K,0,0,1)</f>
        <v>864800000</v>
      </c>
      <c r="M126" s="8">
        <f>_xlfn.XLOOKUP("ProceedsFromSalesOfPropertyPlantAndEquipmentClassifiedAsInvestingActivities",HS_CONSOLIDATED!$C:$C,HS_CONSOLIDATED!L:L,0,0,1)</f>
        <v>9700000</v>
      </c>
      <c r="N126" s="8">
        <f>_xlfn.XLOOKUP("ProceedsFromSalesOfPropertyPlantAndEquipmentClassifiedAsInvestingActivities",HS_CONSOLIDATED!$C:$C,HS_CONSOLIDATED!M:M,0,0,1)</f>
        <v>21900000</v>
      </c>
    </row>
    <row r="127" spans="1:14">
      <c r="D127" s="7" t="s">
        <v>230</v>
      </c>
      <c r="E127" s="8">
        <f>-_xlfn.XLOOKUP("PurchaseOfPropertyPlantAndEquipmentClassifiedAsInvestingActivities",HS_CONSOLIDATED!$C:$C,HS_CONSOLIDATED!D:D,0,0,1)</f>
        <v>0</v>
      </c>
      <c r="F127" s="8">
        <f>-_xlfn.XLOOKUP("PurchaseOfPropertyPlantAndEquipmentClassifiedAsInvestingActivities",HS_CONSOLIDATED!$C:$C,HS_CONSOLIDATED!E:E,0,0,1)</f>
        <v>-4139600000</v>
      </c>
      <c r="G127" s="8">
        <f>-_xlfn.XLOOKUP("PurchaseOfPropertyPlantAndEquipmentClassifiedAsInvestingActivities",HS_CONSOLIDATED!$C:$C,HS_CONSOLIDATED!F:F,0,0,1)</f>
        <v>-7095500000</v>
      </c>
      <c r="H127" s="8">
        <f>-_xlfn.XLOOKUP("PurchaseOfPropertyPlantAndEquipmentClassifiedAsInvestingActivities",HS_CONSOLIDATED!$C:$C,HS_CONSOLIDATED!G:G,0,0,1)</f>
        <v>-2825700000</v>
      </c>
      <c r="I127" s="8">
        <f>-_xlfn.XLOOKUP("PurchaseOfPropertyPlantAndEquipmentClassifiedAsInvestingActivities",HS_CONSOLIDATED!$C:$C,HS_CONSOLIDATED!H:H,0,0,1)</f>
        <v>-1004900000</v>
      </c>
      <c r="J127" s="8">
        <f>-_xlfn.XLOOKUP("PurchaseOfPropertyPlantAndEquipmentClassifiedAsInvestingActivities",HS_CONSOLIDATED!$C:$C,HS_CONSOLIDATED!I:I,0,0,1)</f>
        <v>-519300000</v>
      </c>
      <c r="K127" s="8">
        <f>-_xlfn.XLOOKUP("PurchaseOfPropertyPlantAndEquipmentClassifiedAsInvestingActivities",HS_CONSOLIDATED!$C:$C,HS_CONSOLIDATED!J:J,0,0,1)</f>
        <v>-767200000</v>
      </c>
      <c r="L127" s="8">
        <f>-_xlfn.XLOOKUP("PurchaseOfPropertyPlantAndEquipmentClassifiedAsInvestingActivities",HS_CONSOLIDATED!$C:$C,HS_CONSOLIDATED!K:K,0,0,1)</f>
        <v>-1006800000</v>
      </c>
      <c r="M127" s="8">
        <f>-_xlfn.XLOOKUP("PurchaseOfPropertyPlantAndEquipmentClassifiedAsInvestingActivities",HS_CONSOLIDATED!$C:$C,HS_CONSOLIDATED!L:L,0,0,1)</f>
        <v>-2273600000</v>
      </c>
      <c r="N127" s="8">
        <f>-_xlfn.XLOOKUP("PurchaseOfPropertyPlantAndEquipmentClassifiedAsInvestingActivities",HS_CONSOLIDATED!$C:$C,HS_CONSOLIDATED!M:M,0,0,1)</f>
        <v>-3706100000</v>
      </c>
    </row>
    <row r="128" spans="1:14">
      <c r="D128" s="7" t="s">
        <v>231</v>
      </c>
      <c r="E128" s="8">
        <f>_xlfn.XLOOKUP("ProceedsFromSalesOfInvestmentPropertyClassifiedAsInvestingActivities",HS_CONSOLIDATED!$C:$C,HS_CONSOLIDATED!D:D,0,0,1)</f>
        <v>0</v>
      </c>
      <c r="F128" s="8">
        <f>_xlfn.XLOOKUP("ProceedsFromSalesOfInvestmentPropertyClassifiedAsInvestingActivities",HS_CONSOLIDATED!$C:$C,HS_CONSOLIDATED!E:E,0,0,1)</f>
        <v>0</v>
      </c>
      <c r="G128" s="8">
        <f>_xlfn.XLOOKUP("ProceedsFromSalesOfInvestmentPropertyClassifiedAsInvestingActivities",HS_CONSOLIDATED!$C:$C,HS_CONSOLIDATED!F:F,0,0,1)</f>
        <v>0</v>
      </c>
      <c r="H128" s="8">
        <f>_xlfn.XLOOKUP("ProceedsFromSalesOfInvestmentPropertyClassifiedAsInvestingActivities",HS_CONSOLIDATED!$C:$C,HS_CONSOLIDATED!G:G,0,0,1)</f>
        <v>497300000</v>
      </c>
      <c r="I128" s="8">
        <f>_xlfn.XLOOKUP("ProceedsFromSalesOfInvestmentPropertyClassifiedAsInvestingActivities",HS_CONSOLIDATED!$C:$C,HS_CONSOLIDATED!H:H,0,0,1)</f>
        <v>254200000</v>
      </c>
      <c r="J128" s="8">
        <f>_xlfn.XLOOKUP("ProceedsFromSalesOfInvestmentPropertyClassifiedAsInvestingActivities",HS_CONSOLIDATED!$C:$C,HS_CONSOLIDATED!I:I,0,0,1)</f>
        <v>133300000</v>
      </c>
      <c r="K128" s="8">
        <f>_xlfn.XLOOKUP("ProceedsFromSalesOfInvestmentPropertyClassifiedAsInvestingActivities",HS_CONSOLIDATED!$C:$C,HS_CONSOLIDATED!J:J,0,0,1)</f>
        <v>99300000</v>
      </c>
      <c r="L128" s="8">
        <f>_xlfn.XLOOKUP("ProceedsFromSalesOfInvestmentPropertyClassifiedAsInvestingActivities",HS_CONSOLIDATED!$C:$C,HS_CONSOLIDATED!K:K,0,0,1)</f>
        <v>101700000</v>
      </c>
      <c r="M128" s="8">
        <f>_xlfn.XLOOKUP("ProceedsFromSalesOfInvestmentPropertyClassifiedAsInvestingActivities",HS_CONSOLIDATED!$C:$C,HS_CONSOLIDATED!L:L,0,0,1)</f>
        <v>142100000</v>
      </c>
      <c r="N128" s="8">
        <f>_xlfn.XLOOKUP("ProceedsFromSalesOfInvestmentPropertyClassifiedAsInvestingActivities",HS_CONSOLIDATED!$C:$C,HS_CONSOLIDATED!M:M,0,0,1)</f>
        <v>148700000</v>
      </c>
    </row>
    <row r="129" spans="1:14">
      <c r="D129" s="7" t="s">
        <v>232</v>
      </c>
      <c r="E129" s="8">
        <f>-_xlfn.XLOOKUP("PurchaseOfInvestmentPropertyClassifiedAsInvestingActivities",HS_CONSOLIDATED!$C:$C,HS_CONSOLIDATED!D:D,0,0,1)</f>
        <v>0</v>
      </c>
      <c r="F129" s="8">
        <f>-_xlfn.XLOOKUP("PurchaseOfInvestmentPropertyClassifiedAsInvestingActivities",HS_CONSOLIDATED!$C:$C,HS_CONSOLIDATED!E:E,0,0,1)</f>
        <v>0</v>
      </c>
      <c r="G129" s="8">
        <f>-_xlfn.XLOOKUP("PurchaseOfInvestmentPropertyClassifiedAsInvestingActivities",HS_CONSOLIDATED!$C:$C,HS_CONSOLIDATED!F:F,0,0,1)</f>
        <v>0</v>
      </c>
      <c r="H129" s="8">
        <f>-_xlfn.XLOOKUP("PurchaseOfInvestmentPropertyClassifiedAsInvestingActivities",HS_CONSOLIDATED!$C:$C,HS_CONSOLIDATED!G:G,0,0,1)</f>
        <v>-294000000</v>
      </c>
      <c r="I129" s="8">
        <f>-_xlfn.XLOOKUP("PurchaseOfInvestmentPropertyClassifiedAsInvestingActivities",HS_CONSOLIDATED!$C:$C,HS_CONSOLIDATED!H:H,0,0,1)</f>
        <v>0</v>
      </c>
      <c r="J129" s="8">
        <f>-_xlfn.XLOOKUP("PurchaseOfInvestmentPropertyClassifiedAsInvestingActivities",HS_CONSOLIDATED!$C:$C,HS_CONSOLIDATED!I:I,0,0,1)</f>
        <v>0</v>
      </c>
      <c r="K129" s="8">
        <f>-_xlfn.XLOOKUP("PurchaseOfInvestmentPropertyClassifiedAsInvestingActivities",HS_CONSOLIDATED!$C:$C,HS_CONSOLIDATED!J:J,0,0,1)</f>
        <v>0</v>
      </c>
      <c r="L129" s="8">
        <f>-_xlfn.XLOOKUP("PurchaseOfInvestmentPropertyClassifiedAsInvestingActivities",HS_CONSOLIDATED!$C:$C,HS_CONSOLIDATED!K:K,0,0,1)</f>
        <v>0</v>
      </c>
      <c r="M129" s="8">
        <f>-_xlfn.XLOOKUP("PurchaseOfInvestmentPropertyClassifiedAsInvestingActivities",HS_CONSOLIDATED!$C:$C,HS_CONSOLIDATED!L:L,0,0,1)</f>
        <v>0</v>
      </c>
      <c r="N129" s="8">
        <f>-_xlfn.XLOOKUP("PurchaseOfInvestmentPropertyClassifiedAsInvestingActivities",HS_CONSOLIDATED!$C:$C,HS_CONSOLIDATED!M:M,0,0,1)</f>
        <v>0</v>
      </c>
    </row>
    <row r="130" spans="1:14">
      <c r="D130" s="7" t="s">
        <v>233</v>
      </c>
      <c r="E130" s="8">
        <f>_xlfn.XLOOKUP("InterestReceivedClassifiedAsInvestingActivities",HS_CONSOLIDATED!$C:$C,HS_CONSOLIDATED!D:D,0,0,1)</f>
        <v>0</v>
      </c>
      <c r="F130" s="8">
        <f>_xlfn.XLOOKUP("InterestReceivedClassifiedAsInvestingActivities",HS_CONSOLIDATED!$C:$C,HS_CONSOLIDATED!E:E,0,0,1)</f>
        <v>343400000</v>
      </c>
      <c r="G130" s="8">
        <f>_xlfn.XLOOKUP("InterestReceivedClassifiedAsInvestingActivities",HS_CONSOLIDATED!$C:$C,HS_CONSOLIDATED!F:F,0,0,1)</f>
        <v>368500000</v>
      </c>
      <c r="H130" s="8">
        <f>_xlfn.XLOOKUP("InterestReceivedClassifiedAsInvestingActivities",HS_CONSOLIDATED!$C:$C,HS_CONSOLIDATED!G:G,0,0,1)</f>
        <v>335100000</v>
      </c>
      <c r="I130" s="8">
        <f>_xlfn.XLOOKUP("InterestReceivedClassifiedAsInvestingActivities",HS_CONSOLIDATED!$C:$C,HS_CONSOLIDATED!H:H,0,0,1)</f>
        <v>265000000</v>
      </c>
      <c r="J130" s="8">
        <f>_xlfn.XLOOKUP("InterestReceivedClassifiedAsInvestingActivities",HS_CONSOLIDATED!$C:$C,HS_CONSOLIDATED!I:I,0,0,1)</f>
        <v>87200000</v>
      </c>
      <c r="K130" s="8">
        <f>_xlfn.XLOOKUP("InterestReceivedClassifiedAsInvestingActivities",HS_CONSOLIDATED!$C:$C,HS_CONSOLIDATED!J:J,0,0,1)</f>
        <v>164800000</v>
      </c>
      <c r="L130" s="8">
        <f>_xlfn.XLOOKUP("InterestReceivedClassifiedAsInvestingActivities",HS_CONSOLIDATED!$C:$C,HS_CONSOLIDATED!K:K,0,0,1)</f>
        <v>119800000</v>
      </c>
      <c r="M130" s="8">
        <f>_xlfn.XLOOKUP("InterestReceivedClassifiedAsInvestingActivities",HS_CONSOLIDATED!$C:$C,HS_CONSOLIDATED!L:L,0,0,1)</f>
        <v>251800000</v>
      </c>
      <c r="N130" s="8">
        <f>_xlfn.XLOOKUP("InterestReceivedClassifiedAsInvestingActivities",HS_CONSOLIDATED!$C:$C,HS_CONSOLIDATED!M:M,0,0,1)</f>
        <v>772800000</v>
      </c>
    </row>
    <row r="131" spans="1:14">
      <c r="D131" s="7" t="s">
        <v>234</v>
      </c>
      <c r="E131" s="8">
        <f>_xlfn.XLOOKUP("OtherInflowsOutflowsOfCashClassifiedAsInvestingActivities",HS_CONSOLIDATED!$C:$C,HS_CONSOLIDATED!D:D,0,0,1)</f>
        <v>0</v>
      </c>
      <c r="F131" s="8">
        <f>_xlfn.XLOOKUP("OtherInflowsOutflowsOfCashClassifiedAsInvestingActivities",HS_CONSOLIDATED!$C:$C,HS_CONSOLIDATED!E:E,0,0,1)</f>
        <v>-1493200000</v>
      </c>
      <c r="G131" s="8">
        <f>_xlfn.XLOOKUP("OtherInflowsOutflowsOfCashClassifiedAsInvestingActivities",HS_CONSOLIDATED!$C:$C,HS_CONSOLIDATED!F:F,0,0,1)</f>
        <v>5146600000</v>
      </c>
      <c r="H131" s="8">
        <f>_xlfn.XLOOKUP("OtherInflowsOutflowsOfCashClassifiedAsInvestingActivities",HS_CONSOLIDATED!$C:$C,HS_CONSOLIDATED!G:G,0,0,1)</f>
        <v>395300000</v>
      </c>
      <c r="I131" s="8">
        <f>_xlfn.XLOOKUP("OtherInflowsOutflowsOfCashClassifiedAsInvestingActivities",HS_CONSOLIDATED!$C:$C,HS_CONSOLIDATED!H:H,0,0,1)</f>
        <v>-150800000</v>
      </c>
      <c r="J131" s="8">
        <f>_xlfn.XLOOKUP("OtherInflowsOutflowsOfCashClassifiedAsInvestingActivities",HS_CONSOLIDATED!$C:$C,HS_CONSOLIDATED!I:I,0,0,1)</f>
        <v>32000000</v>
      </c>
      <c r="K131" s="8">
        <f>_xlfn.XLOOKUP("OtherInflowsOutflowsOfCashClassifiedAsInvestingActivities",HS_CONSOLIDATED!$C:$C,HS_CONSOLIDATED!J:J,0,0,1)</f>
        <v>203100000</v>
      </c>
      <c r="L131" s="8">
        <f>_xlfn.XLOOKUP("OtherInflowsOutflowsOfCashClassifiedAsInvestingActivities",HS_CONSOLIDATED!$C:$C,HS_CONSOLIDATED!K:K,0,0,1)</f>
        <v>0</v>
      </c>
      <c r="M131" s="8">
        <f>_xlfn.XLOOKUP("OtherInflowsOutflowsOfCashClassifiedAsInvestingActivities",HS_CONSOLIDATED!$C:$C,HS_CONSOLIDATED!L:L,0,0,1)</f>
        <v>-82300000</v>
      </c>
      <c r="N131" s="8">
        <f>_xlfn.XLOOKUP("OtherInflowsOutflowsOfCashClassifiedAsInvestingActivities",HS_CONSOLIDATED!$C:$C,HS_CONSOLIDATED!M:M,0,0,1)</f>
        <v>-341400000</v>
      </c>
    </row>
    <row r="132" spans="1:14">
      <c r="A132" s="9"/>
      <c r="B132" s="9"/>
      <c r="C132" s="9"/>
      <c r="D132" s="10" t="s">
        <v>235</v>
      </c>
      <c r="E132" s="11">
        <f t="shared" ref="E132:N132" si="23">IFERROR(SUM(E122:E131),0)</f>
        <v>0</v>
      </c>
      <c r="F132" s="11">
        <f t="shared" si="23"/>
        <v>-6502700000</v>
      </c>
      <c r="G132" s="11">
        <f t="shared" si="23"/>
        <v>-1334600000</v>
      </c>
      <c r="H132" s="11">
        <f t="shared" si="23"/>
        <v>1251500000</v>
      </c>
      <c r="I132" s="11">
        <f t="shared" si="23"/>
        <v>-324600000</v>
      </c>
      <c r="J132" s="11">
        <f t="shared" si="23"/>
        <v>-237300000</v>
      </c>
      <c r="K132" s="11">
        <f t="shared" si="23"/>
        <v>-184300000</v>
      </c>
      <c r="L132" s="11">
        <f t="shared" si="23"/>
        <v>849100000</v>
      </c>
      <c r="M132" s="11">
        <f t="shared" si="23"/>
        <v>-1515500000</v>
      </c>
      <c r="N132" s="11">
        <f t="shared" si="23"/>
        <v>-7517400000</v>
      </c>
    </row>
    <row r="133" spans="1:14">
      <c r="A133" s="5"/>
      <c r="B133" s="5"/>
      <c r="C133" s="6" t="s">
        <v>236</v>
      </c>
      <c r="D133" s="5"/>
      <c r="E133" s="5"/>
      <c r="F133" s="5"/>
      <c r="G133" s="5"/>
      <c r="H133" s="5"/>
      <c r="I133" s="5"/>
      <c r="J133" s="5"/>
      <c r="K133" s="5"/>
      <c r="L133" s="5"/>
      <c r="M133" s="5"/>
      <c r="N133" s="5"/>
    </row>
    <row r="134" spans="1:14">
      <c r="D134" s="7" t="s">
        <v>237</v>
      </c>
      <c r="E134" s="8">
        <f>_xlfn.XLOOKUP("ProceedsFromIssuingSharesClassifiedAsFinancingActivities",HS_CONSOLIDATED!$C:$C,HS_CONSOLIDATED!D:D,0,0,1)</f>
        <v>0</v>
      </c>
      <c r="F134" s="8">
        <f>_xlfn.XLOOKUP("ProceedsFromIssuingSharesClassifiedAsFinancingActivities",HS_CONSOLIDATED!$C:$C,HS_CONSOLIDATED!E:E,0,0,1)</f>
        <v>0</v>
      </c>
      <c r="G134" s="8">
        <f>_xlfn.XLOOKUP("ProceedsFromIssuingSharesClassifiedAsFinancingActivities",HS_CONSOLIDATED!$C:$C,HS_CONSOLIDATED!F:F,0,0,1)</f>
        <v>0</v>
      </c>
      <c r="H134" s="8">
        <f>_xlfn.XLOOKUP("ProceedsFromIssuingSharesClassifiedAsFinancingActivities",HS_CONSOLIDATED!$C:$C,HS_CONSOLIDATED!G:G,0,0,1)</f>
        <v>0</v>
      </c>
      <c r="I134" s="8">
        <f>_xlfn.XLOOKUP("ProceedsFromIssuingSharesClassifiedAsFinancingActivities",HS_CONSOLIDATED!$C:$C,HS_CONSOLIDATED!H:H,0,0,1)</f>
        <v>0</v>
      </c>
      <c r="J134" s="8">
        <f>_xlfn.XLOOKUP("ProceedsFromIssuingSharesClassifiedAsFinancingActivities",HS_CONSOLIDATED!$C:$C,HS_CONSOLIDATED!I:I,0,0,1)</f>
        <v>3421600000</v>
      </c>
      <c r="K134" s="8">
        <f>_xlfn.XLOOKUP("ProceedsFromIssuingSharesClassifiedAsFinancingActivities",HS_CONSOLIDATED!$C:$C,HS_CONSOLIDATED!J:J,0,0,1)</f>
        <v>0</v>
      </c>
      <c r="L134" s="8">
        <f>_xlfn.XLOOKUP("ProceedsFromIssuingSharesClassifiedAsFinancingActivities",HS_CONSOLIDATED!$C:$C,HS_CONSOLIDATED!K:K,0,0,1)</f>
        <v>0</v>
      </c>
      <c r="M134" s="8">
        <f>_xlfn.XLOOKUP("ProceedsFromIssuingSharesClassifiedAsFinancingActivities",HS_CONSOLIDATED!$C:$C,HS_CONSOLIDATED!L:L,0,0,1)</f>
        <v>20652100000</v>
      </c>
      <c r="N134" s="8">
        <f>_xlfn.XLOOKUP("ProceedsFromIssuingSharesClassifiedAsFinancingActivities",HS_CONSOLIDATED!$C:$C,HS_CONSOLIDATED!M:M,0,0,1)</f>
        <v>221600000</v>
      </c>
    </row>
    <row r="135" spans="1:14">
      <c r="D135" s="7" t="s">
        <v>238</v>
      </c>
      <c r="E135" s="8">
        <f>_xlfn.XLOOKUP("ProceedsFromIssuingOtherEquityInstruments",HS_CONSOLIDATED!$C:$C,HS_CONSOLIDATED!D:D,0,0,1)</f>
        <v>0</v>
      </c>
      <c r="F135" s="8">
        <f>_xlfn.XLOOKUP("ProceedsFromIssuingOtherEquityInstruments",HS_CONSOLIDATED!$C:$C,HS_CONSOLIDATED!E:E,0,0,1)</f>
        <v>0</v>
      </c>
      <c r="G135" s="8">
        <f>_xlfn.XLOOKUP("ProceedsFromIssuingOtherEquityInstruments",HS_CONSOLIDATED!$C:$C,HS_CONSOLIDATED!F:F,0,0,1)</f>
        <v>0</v>
      </c>
      <c r="H135" s="8">
        <f>_xlfn.XLOOKUP("ProceedsFromIssuingOtherEquityInstruments",HS_CONSOLIDATED!$C:$C,HS_CONSOLIDATED!G:G,0,0,1)</f>
        <v>0</v>
      </c>
      <c r="I135" s="8">
        <f>_xlfn.XLOOKUP("ProceedsFromIssuingOtherEquityInstruments",HS_CONSOLIDATED!$C:$C,HS_CONSOLIDATED!H:H,0,0,1)</f>
        <v>0</v>
      </c>
      <c r="J135" s="8">
        <f>_xlfn.XLOOKUP("ProceedsFromIssuingOtherEquityInstruments",HS_CONSOLIDATED!$C:$C,HS_CONSOLIDATED!I:I,0,0,1)</f>
        <v>0</v>
      </c>
      <c r="K135" s="8">
        <f>_xlfn.XLOOKUP("ProceedsFromIssuingOtherEquityInstruments",HS_CONSOLIDATED!$C:$C,HS_CONSOLIDATED!J:J,0,0,1)</f>
        <v>0</v>
      </c>
      <c r="L135" s="8">
        <f>_xlfn.XLOOKUP("ProceedsFromIssuingOtherEquityInstruments",HS_CONSOLIDATED!$C:$C,HS_CONSOLIDATED!K:K,0,0,1)</f>
        <v>10796700000</v>
      </c>
      <c r="M135" s="8">
        <f>_xlfn.XLOOKUP("ProceedsFromIssuingOtherEquityInstruments",HS_CONSOLIDATED!$C:$C,HS_CONSOLIDATED!L:L,0,0,1)</f>
        <v>0</v>
      </c>
      <c r="N135" s="8">
        <f>_xlfn.XLOOKUP("ProceedsFromIssuingOtherEquityInstruments",HS_CONSOLIDATED!$C:$C,HS_CONSOLIDATED!M:M,0,0,1)</f>
        <v>0</v>
      </c>
    </row>
    <row r="136" spans="1:14">
      <c r="D136" s="7" t="s">
        <v>239</v>
      </c>
      <c r="E136" s="8">
        <f>_xlfn.XLOOKUP("ProceedsFromIssuingDebenturesNotesBondsEtc",HS_CONSOLIDATED!$C:$C,HS_CONSOLIDATED!D:D,0,0,1)</f>
        <v>0</v>
      </c>
      <c r="F136" s="8">
        <f>_xlfn.XLOOKUP("ProceedsFromIssuingDebenturesNotesBondsEtc",HS_CONSOLIDATED!$C:$C,HS_CONSOLIDATED!E:E,0,0,1)</f>
        <v>0</v>
      </c>
      <c r="G136" s="8">
        <f>_xlfn.XLOOKUP("ProceedsFromIssuingDebenturesNotesBondsEtc",HS_CONSOLIDATED!$C:$C,HS_CONSOLIDATED!F:F,0,0,1)</f>
        <v>0</v>
      </c>
      <c r="H136" s="8">
        <f>_xlfn.XLOOKUP("ProceedsFromIssuingDebenturesNotesBondsEtc",HS_CONSOLIDATED!$C:$C,HS_CONSOLIDATED!G:G,0,0,1)</f>
        <v>0</v>
      </c>
      <c r="I136" s="8">
        <f>_xlfn.XLOOKUP("ProceedsFromIssuingDebenturesNotesBondsEtc",HS_CONSOLIDATED!$C:$C,HS_CONSOLIDATED!H:H,0,0,1)</f>
        <v>0</v>
      </c>
      <c r="J136" s="8">
        <f>_xlfn.XLOOKUP("ProceedsFromIssuingDebenturesNotesBondsEtc",HS_CONSOLIDATED!$C:$C,HS_CONSOLIDATED!I:I,0,0,1)</f>
        <v>499800000</v>
      </c>
      <c r="K136" s="8">
        <f>_xlfn.XLOOKUP("ProceedsFromIssuingDebenturesNotesBondsEtc",HS_CONSOLIDATED!$C:$C,HS_CONSOLIDATED!J:J,0,0,1)</f>
        <v>0</v>
      </c>
      <c r="L136" s="8">
        <f>_xlfn.XLOOKUP("ProceedsFromIssuingDebenturesNotesBondsEtc",HS_CONSOLIDATED!$C:$C,HS_CONSOLIDATED!K:K,0,0,1)</f>
        <v>0</v>
      </c>
      <c r="M136" s="8">
        <f>_xlfn.XLOOKUP("ProceedsFromIssuingDebenturesNotesBondsEtc",HS_CONSOLIDATED!$C:$C,HS_CONSOLIDATED!L:L,0,0,1)</f>
        <v>0</v>
      </c>
      <c r="N136" s="8">
        <f>_xlfn.XLOOKUP("ProceedsFromIssuingDebenturesNotesBondsEtc",HS_CONSOLIDATED!$C:$C,HS_CONSOLIDATED!M:M,0,0,1)</f>
        <v>0</v>
      </c>
    </row>
    <row r="137" spans="1:14">
      <c r="D137" s="7" t="s">
        <v>240</v>
      </c>
      <c r="E137" s="8">
        <f>_xlfn.XLOOKUP("ProceedsFromBorrowingsClassifiedAsFinancingActivities",HS_CONSOLIDATED!$C:$C,HS_CONSOLIDATED!D:D,0,0,1)</f>
        <v>0</v>
      </c>
      <c r="F137" s="8">
        <f>_xlfn.XLOOKUP("ProceedsFromBorrowingsClassifiedAsFinancingActivities",HS_CONSOLIDATED!$C:$C,HS_CONSOLIDATED!E:E,0,0,1)</f>
        <v>4760100000</v>
      </c>
      <c r="G137" s="8">
        <f>_xlfn.XLOOKUP("ProceedsFromBorrowingsClassifiedAsFinancingActivities",HS_CONSOLIDATED!$C:$C,HS_CONSOLIDATED!F:F,0,0,1)</f>
        <v>20617300000</v>
      </c>
      <c r="H137" s="8">
        <f>_xlfn.XLOOKUP("ProceedsFromBorrowingsClassifiedAsFinancingActivities",HS_CONSOLIDATED!$C:$C,HS_CONSOLIDATED!G:G,0,0,1)</f>
        <v>-4922000000</v>
      </c>
      <c r="I137" s="8">
        <f>_xlfn.XLOOKUP("ProceedsFromBorrowingsClassifiedAsFinancingActivities",HS_CONSOLIDATED!$C:$C,HS_CONSOLIDATED!H:H,0,0,1)</f>
        <v>55872200000</v>
      </c>
      <c r="J137" s="8">
        <f>_xlfn.XLOOKUP("ProceedsFromBorrowingsClassifiedAsFinancingActivities",HS_CONSOLIDATED!$C:$C,HS_CONSOLIDATED!I:I,0,0,1)</f>
        <v>-1184800000</v>
      </c>
      <c r="K137" s="8">
        <f>_xlfn.XLOOKUP("ProceedsFromBorrowingsClassifiedAsFinancingActivities",HS_CONSOLIDATED!$C:$C,HS_CONSOLIDATED!J:J,0,0,1)</f>
        <v>-1485500000</v>
      </c>
      <c r="L137" s="8">
        <f>_xlfn.XLOOKUP("ProceedsFromBorrowingsClassifiedAsFinancingActivities",HS_CONSOLIDATED!$C:$C,HS_CONSOLIDATED!K:K,0,0,1)</f>
        <v>30447000000</v>
      </c>
      <c r="M137" s="8">
        <f>_xlfn.XLOOKUP("ProceedsFromBorrowingsClassifiedAsFinancingActivities",HS_CONSOLIDATED!$C:$C,HS_CONSOLIDATED!L:L,0,0,1)</f>
        <v>0</v>
      </c>
      <c r="N137" s="8">
        <f>_xlfn.XLOOKUP("ProceedsFromBorrowingsClassifiedAsFinancingActivities",HS_CONSOLIDATED!$C:$C,HS_CONSOLIDATED!M:M,0,0,1)</f>
        <v>0</v>
      </c>
    </row>
    <row r="138" spans="1:14">
      <c r="D138" s="7" t="s">
        <v>241</v>
      </c>
      <c r="E138" s="8">
        <f>-_xlfn.XLOOKUP("RepaymentsOfBorrowingsClassifiedAsFinancingActivities",HS_CONSOLIDATED!$C:$C,HS_CONSOLIDATED!D:D,0,0,1)</f>
        <v>0</v>
      </c>
      <c r="F138" s="8">
        <f>-_xlfn.XLOOKUP("RepaymentsOfBorrowingsClassifiedAsFinancingActivities",HS_CONSOLIDATED!$C:$C,HS_CONSOLIDATED!E:E,0,0,1)</f>
        <v>-6970000000</v>
      </c>
      <c r="G138" s="8">
        <f>-_xlfn.XLOOKUP("RepaymentsOfBorrowingsClassifiedAsFinancingActivities",HS_CONSOLIDATED!$C:$C,HS_CONSOLIDATED!F:F,0,0,1)</f>
        <v>-5216100000</v>
      </c>
      <c r="H138" s="8">
        <f>-_xlfn.XLOOKUP("RepaymentsOfBorrowingsClassifiedAsFinancingActivities",HS_CONSOLIDATED!$C:$C,HS_CONSOLIDATED!G:G,0,0,1)</f>
        <v>-3035700000</v>
      </c>
      <c r="I138" s="8">
        <f>-_xlfn.XLOOKUP("RepaymentsOfBorrowingsClassifiedAsFinancingActivities",HS_CONSOLIDATED!$C:$C,HS_CONSOLIDATED!H:H,0,0,1)</f>
        <v>-41745300000</v>
      </c>
      <c r="J138" s="8">
        <f>-_xlfn.XLOOKUP("RepaymentsOfBorrowingsClassifiedAsFinancingActivities",HS_CONSOLIDATED!$C:$C,HS_CONSOLIDATED!I:I,0,0,1)</f>
        <v>-1914200000</v>
      </c>
      <c r="K138" s="8">
        <f>-_xlfn.XLOOKUP("RepaymentsOfBorrowingsClassifiedAsFinancingActivities",HS_CONSOLIDATED!$C:$C,HS_CONSOLIDATED!J:J,0,0,1)</f>
        <v>-5748100000</v>
      </c>
      <c r="L138" s="8">
        <f>-_xlfn.XLOOKUP("RepaymentsOfBorrowingsClassifiedAsFinancingActivities",HS_CONSOLIDATED!$C:$C,HS_CONSOLIDATED!K:K,0,0,1)</f>
        <v>-43835300000</v>
      </c>
      <c r="M138" s="8">
        <f>-_xlfn.XLOOKUP("RepaymentsOfBorrowingsClassifiedAsFinancingActivities",HS_CONSOLIDATED!$C:$C,HS_CONSOLIDATED!L:L,0,0,1)</f>
        <v>-18033600000</v>
      </c>
      <c r="N138" s="8">
        <f>-_xlfn.XLOOKUP("RepaymentsOfBorrowingsClassifiedAsFinancingActivities",HS_CONSOLIDATED!$C:$C,HS_CONSOLIDATED!M:M,0,0,1)</f>
        <v>4194600000</v>
      </c>
    </row>
    <row r="139" spans="1:14">
      <c r="D139" s="7" t="s">
        <v>242</v>
      </c>
      <c r="E139" s="8">
        <f>-_xlfn.XLOOKUP("PaymentsOfLeaseLiabilitiesClassifiedAsFinancingActivities",HS_CONSOLIDATED!$C:$C,HS_CONSOLIDATED!D:D,0,0,1)</f>
        <v>0</v>
      </c>
      <c r="F139" s="8">
        <f>-_xlfn.XLOOKUP("PaymentsOfLeaseLiabilitiesClassifiedAsFinancingActivities",HS_CONSOLIDATED!$C:$C,HS_CONSOLIDATED!E:E,0,0,1)</f>
        <v>0</v>
      </c>
      <c r="G139" s="8">
        <f>-_xlfn.XLOOKUP("PaymentsOfLeaseLiabilitiesClassifiedAsFinancingActivities",HS_CONSOLIDATED!$C:$C,HS_CONSOLIDATED!F:F,0,0,1)</f>
        <v>0</v>
      </c>
      <c r="H139" s="8">
        <f>-_xlfn.XLOOKUP("PaymentsOfLeaseLiabilitiesClassifiedAsFinancingActivities",HS_CONSOLIDATED!$C:$C,HS_CONSOLIDATED!G:G,0,0,1)</f>
        <v>0</v>
      </c>
      <c r="I139" s="8">
        <f>-_xlfn.XLOOKUP("PaymentsOfLeaseLiabilitiesClassifiedAsFinancingActivities",HS_CONSOLIDATED!$C:$C,HS_CONSOLIDATED!H:H,0,0,1)</f>
        <v>0</v>
      </c>
      <c r="J139" s="8">
        <f>-_xlfn.XLOOKUP("PaymentsOfLeaseLiabilitiesClassifiedAsFinancingActivities",HS_CONSOLIDATED!$C:$C,HS_CONSOLIDATED!I:I,0,0,1)</f>
        <v>0</v>
      </c>
      <c r="K139" s="8">
        <f>-_xlfn.XLOOKUP("PaymentsOfLeaseLiabilitiesClassifiedAsFinancingActivities",HS_CONSOLIDATED!$C:$C,HS_CONSOLIDATED!J:J,0,0,1)</f>
        <v>0</v>
      </c>
      <c r="L139" s="8">
        <f>-_xlfn.XLOOKUP("PaymentsOfLeaseLiabilitiesClassifiedAsFinancingActivities",HS_CONSOLIDATED!$C:$C,HS_CONSOLIDATED!K:K,0,0,1)</f>
        <v>0</v>
      </c>
      <c r="M139" s="8">
        <f>-_xlfn.XLOOKUP("PaymentsOfLeaseLiabilitiesClassifiedAsFinancingActivities",HS_CONSOLIDATED!$C:$C,HS_CONSOLIDATED!L:L,0,0,1)</f>
        <v>-231600000</v>
      </c>
      <c r="N139" s="8">
        <f>-_xlfn.XLOOKUP("PaymentsOfLeaseLiabilitiesClassifiedAsFinancingActivities",HS_CONSOLIDATED!$C:$C,HS_CONSOLIDATED!M:M,0,0,1)</f>
        <v>-283700000</v>
      </c>
    </row>
    <row r="140" spans="1:14">
      <c r="D140" s="7" t="s">
        <v>243</v>
      </c>
      <c r="E140" s="8">
        <f>-_xlfn.XLOOKUP("InterestPaidClassifiedAsFinancingActivities",HS_CONSOLIDATED!$C:$C,HS_CONSOLIDATED!D:D,0,0,1)</f>
        <v>0</v>
      </c>
      <c r="F140" s="8">
        <f>-_xlfn.XLOOKUP("InterestPaidClassifiedAsFinancingActivities",HS_CONSOLIDATED!$C:$C,HS_CONSOLIDATED!E:E,0,0,1)</f>
        <v>-10280300000</v>
      </c>
      <c r="G140" s="8">
        <f>-_xlfn.XLOOKUP("InterestPaidClassifiedAsFinancingActivities",HS_CONSOLIDATED!$C:$C,HS_CONSOLIDATED!F:F,0,0,1)</f>
        <v>-10477400000</v>
      </c>
      <c r="H140" s="8">
        <f>-_xlfn.XLOOKUP("InterestPaidClassifiedAsFinancingActivities",HS_CONSOLIDATED!$C:$C,HS_CONSOLIDATED!G:G,0,0,1)</f>
        <v>-11025700000</v>
      </c>
      <c r="I140" s="8">
        <f>-_xlfn.XLOOKUP("InterestPaidClassifiedAsFinancingActivities",HS_CONSOLIDATED!$C:$C,HS_CONSOLIDATED!H:H,0,0,1)</f>
        <v>-4434500000</v>
      </c>
      <c r="J140" s="8">
        <f>-_xlfn.XLOOKUP("InterestPaidClassifiedAsFinancingActivities",HS_CONSOLIDATED!$C:$C,HS_CONSOLIDATED!I:I,0,0,1)</f>
        <v>-4088400000</v>
      </c>
      <c r="K140" s="8">
        <f>-_xlfn.XLOOKUP("InterestPaidClassifiedAsFinancingActivities",HS_CONSOLIDATED!$C:$C,HS_CONSOLIDATED!J:J,0,0,1)</f>
        <v>-3215900000</v>
      </c>
      <c r="L140" s="8">
        <f>-_xlfn.XLOOKUP("InterestPaidClassifiedAsFinancingActivities",HS_CONSOLIDATED!$C:$C,HS_CONSOLIDATED!K:K,0,0,1)</f>
        <v>-4253300000</v>
      </c>
      <c r="M140" s="8">
        <f>-_xlfn.XLOOKUP("InterestPaidClassifiedAsFinancingActivities",HS_CONSOLIDATED!$C:$C,HS_CONSOLIDATED!L:L,0,0,1)</f>
        <v>0</v>
      </c>
      <c r="N140" s="8">
        <f>-_xlfn.XLOOKUP("InterestPaidClassifiedAsFinancingActivities",HS_CONSOLIDATED!$C:$C,HS_CONSOLIDATED!M:M,0,0,1)</f>
        <v>0</v>
      </c>
    </row>
    <row r="141" spans="1:14">
      <c r="D141" s="7" t="s">
        <v>234</v>
      </c>
      <c r="E141" s="8">
        <f>_xlfn.XLOOKUP("OtherInflowsOutflowsOfCashClassifiedAsFinancingActivities",HS_CONSOLIDATED!$C:$C,HS_CONSOLIDATED!D:D,0,0,1)</f>
        <v>0</v>
      </c>
      <c r="F141" s="8">
        <f>_xlfn.XLOOKUP("OtherInflowsOutflowsOfCashClassifiedAsFinancingActivities",HS_CONSOLIDATED!$C:$C,HS_CONSOLIDATED!E:E,0,0,1)</f>
        <v>0</v>
      </c>
      <c r="G141" s="8">
        <f>_xlfn.XLOOKUP("OtherInflowsOutflowsOfCashClassifiedAsFinancingActivities",HS_CONSOLIDATED!$C:$C,HS_CONSOLIDATED!F:F,0,0,1)</f>
        <v>0</v>
      </c>
      <c r="H141" s="8">
        <f>_xlfn.XLOOKUP("OtherInflowsOutflowsOfCashClassifiedAsFinancingActivities",HS_CONSOLIDATED!$C:$C,HS_CONSOLIDATED!G:G,0,0,1)</f>
        <v>0</v>
      </c>
      <c r="I141" s="8">
        <f>_xlfn.XLOOKUP("OtherInflowsOutflowsOfCashClassifiedAsFinancingActivities",HS_CONSOLIDATED!$C:$C,HS_CONSOLIDATED!H:H,0,0,1)</f>
        <v>0</v>
      </c>
      <c r="J141" s="8">
        <f>_xlfn.XLOOKUP("OtherInflowsOutflowsOfCashClassifiedAsFinancingActivities",HS_CONSOLIDATED!$C:$C,HS_CONSOLIDATED!I:I,0,0,1)</f>
        <v>0</v>
      </c>
      <c r="K141" s="8">
        <f>_xlfn.XLOOKUP("OtherInflowsOutflowsOfCashClassifiedAsFinancingActivities",HS_CONSOLIDATED!$C:$C,HS_CONSOLIDATED!J:J,0,0,1)</f>
        <v>0</v>
      </c>
      <c r="L141" s="8">
        <f>_xlfn.XLOOKUP("OtherInflowsOutflowsOfCashClassifiedAsFinancingActivities",HS_CONSOLIDATED!$C:$C,HS_CONSOLIDATED!K:K,0,0,1)</f>
        <v>0</v>
      </c>
      <c r="M141" s="8">
        <f>_xlfn.XLOOKUP("OtherInflowsOutflowsOfCashClassifiedAsFinancingActivities",HS_CONSOLIDATED!$C:$C,HS_CONSOLIDATED!L:L,0,0,1)</f>
        <v>-1070600000</v>
      </c>
      <c r="N141" s="8">
        <f>_xlfn.XLOOKUP("OtherInflowsOutflowsOfCashClassifiedAsFinancingActivities",HS_CONSOLIDATED!$C:$C,HS_CONSOLIDATED!M:M,0,0,1)</f>
        <v>-702400000</v>
      </c>
    </row>
    <row r="142" spans="1:14">
      <c r="A142" s="9"/>
      <c r="B142" s="9"/>
      <c r="C142" s="9"/>
      <c r="D142" s="10" t="s">
        <v>244</v>
      </c>
      <c r="E142" s="11">
        <f t="shared" ref="E142:N142" si="24">IFERROR(SUM(E134:E141),0)</f>
        <v>0</v>
      </c>
      <c r="F142" s="11">
        <f t="shared" si="24"/>
        <v>-12490200000</v>
      </c>
      <c r="G142" s="11">
        <f t="shared" si="24"/>
        <v>4923800000</v>
      </c>
      <c r="H142" s="11">
        <f t="shared" si="24"/>
        <v>-18983400000</v>
      </c>
      <c r="I142" s="11">
        <f t="shared" si="24"/>
        <v>9692400000</v>
      </c>
      <c r="J142" s="11">
        <f t="shared" si="24"/>
        <v>-3266000000</v>
      </c>
      <c r="K142" s="11">
        <f t="shared" si="24"/>
        <v>-10449500000</v>
      </c>
      <c r="L142" s="11">
        <f t="shared" si="24"/>
        <v>-6844900000</v>
      </c>
      <c r="M142" s="11">
        <f t="shared" si="24"/>
        <v>1316300000</v>
      </c>
      <c r="N142" s="11">
        <f t="shared" si="24"/>
        <v>3430100000</v>
      </c>
    </row>
    <row r="143" spans="1:14">
      <c r="A143" s="9"/>
      <c r="B143" s="9"/>
      <c r="C143" s="9"/>
      <c r="D143" s="10" t="s">
        <v>245</v>
      </c>
      <c r="E143" s="11">
        <f t="shared" ref="E143:N143" si="25">IFERROR(E120+E132+E142,0)</f>
        <v>0</v>
      </c>
      <c r="F143" s="11">
        <f t="shared" si="25"/>
        <v>-2904600000</v>
      </c>
      <c r="G143" s="11">
        <f t="shared" si="25"/>
        <v>2494800000</v>
      </c>
      <c r="H143" s="11">
        <f t="shared" si="25"/>
        <v>-5064500000</v>
      </c>
      <c r="I143" s="11">
        <f t="shared" si="25"/>
        <v>77400000</v>
      </c>
      <c r="J143" s="11">
        <f t="shared" si="25"/>
        <v>1801700000</v>
      </c>
      <c r="K143" s="11">
        <f t="shared" si="25"/>
        <v>2385200000</v>
      </c>
      <c r="L143" s="11">
        <f t="shared" si="25"/>
        <v>-1329200000</v>
      </c>
      <c r="M143" s="11">
        <f t="shared" si="25"/>
        <v>596100000</v>
      </c>
      <c r="N143" s="11">
        <f t="shared" si="25"/>
        <v>6832300000</v>
      </c>
    </row>
    <row r="144" spans="1:14">
      <c r="A144" s="5"/>
      <c r="B144" s="5"/>
      <c r="C144" s="6" t="s">
        <v>246</v>
      </c>
      <c r="D144" s="5"/>
      <c r="E144" s="5"/>
      <c r="F144" s="5"/>
      <c r="G144" s="5"/>
      <c r="H144" s="5"/>
      <c r="I144" s="5"/>
      <c r="J144" s="5"/>
      <c r="K144" s="5"/>
      <c r="L144" s="5"/>
      <c r="M144" s="5"/>
      <c r="N144" s="5"/>
    </row>
    <row r="145" spans="1:14">
      <c r="D145" s="7" t="s">
        <v>246</v>
      </c>
      <c r="E145" s="8">
        <f>_xlfn.XLOOKUP("EffectOfExchangeRateChangesOnCashAndCashEquivalents",HS_CONSOLIDATED!$C:$C,HS_CONSOLIDATED!D:D,0,0,1)</f>
        <v>0</v>
      </c>
      <c r="F145" s="8">
        <f>_xlfn.XLOOKUP("EffectOfExchangeRateChangesOnCashAndCashEquivalents",HS_CONSOLIDATED!$C:$C,HS_CONSOLIDATED!E:E,0,0,1)</f>
        <v>0</v>
      </c>
      <c r="G145" s="8">
        <f>_xlfn.XLOOKUP("EffectOfExchangeRateChangesOnCashAndCashEquivalents",HS_CONSOLIDATED!$C:$C,HS_CONSOLIDATED!F:F,0,0,1)</f>
        <v>-45300000</v>
      </c>
      <c r="H145" s="8">
        <f>_xlfn.XLOOKUP("EffectOfExchangeRateChangesOnCashAndCashEquivalents",HS_CONSOLIDATED!$C:$C,HS_CONSOLIDATED!G:G,0,0,1)</f>
        <v>0</v>
      </c>
      <c r="I145" s="8">
        <f>_xlfn.XLOOKUP("EffectOfExchangeRateChangesOnCashAndCashEquivalents",HS_CONSOLIDATED!$C:$C,HS_CONSOLIDATED!H:H,0,0,1)</f>
        <v>-300000</v>
      </c>
      <c r="J145" s="8">
        <f>_xlfn.XLOOKUP("EffectOfExchangeRateChangesOnCashAndCashEquivalents",HS_CONSOLIDATED!$C:$C,HS_CONSOLIDATED!I:I,0,0,1)</f>
        <v>0</v>
      </c>
      <c r="K145" s="8">
        <f>_xlfn.XLOOKUP("EffectOfExchangeRateChangesOnCashAndCashEquivalents",HS_CONSOLIDATED!$C:$C,HS_CONSOLIDATED!J:J,0,0,1)</f>
        <v>-5900000</v>
      </c>
      <c r="L145" s="8">
        <f>_xlfn.XLOOKUP("EffectOfExchangeRateChangesOnCashAndCashEquivalents",HS_CONSOLIDATED!$C:$C,HS_CONSOLIDATED!K:K,0,0,1)</f>
        <v>-2000000</v>
      </c>
      <c r="M145" s="8">
        <f>_xlfn.XLOOKUP("EffectOfExchangeRateChangesOnCashAndCashEquivalents",HS_CONSOLIDATED!$C:$C,HS_CONSOLIDATED!L:L,0,0,1)</f>
        <v>-800000</v>
      </c>
      <c r="N145" s="8">
        <f>_xlfn.XLOOKUP("EffectOfExchangeRateChangesOnCashAndCashEquivalents",HS_CONSOLIDATED!$C:$C,HS_CONSOLIDATED!M:M,0,0,1)</f>
        <v>27600000</v>
      </c>
    </row>
    <row r="146" spans="1:14">
      <c r="A146" s="9"/>
      <c r="B146" s="9"/>
      <c r="C146" s="9"/>
      <c r="D146" s="10" t="s">
        <v>247</v>
      </c>
      <c r="E146" s="11">
        <f t="shared" ref="E146:N146" si="26">IFERROR(E143+E145,0)</f>
        <v>0</v>
      </c>
      <c r="F146" s="11">
        <f t="shared" si="26"/>
        <v>-2904600000</v>
      </c>
      <c r="G146" s="11">
        <f t="shared" si="26"/>
        <v>2449500000</v>
      </c>
      <c r="H146" s="11">
        <f t="shared" si="26"/>
        <v>-5064500000</v>
      </c>
      <c r="I146" s="11">
        <f t="shared" si="26"/>
        <v>77100000</v>
      </c>
      <c r="J146" s="11">
        <f t="shared" si="26"/>
        <v>1801700000</v>
      </c>
      <c r="K146" s="11">
        <f t="shared" si="26"/>
        <v>2379300000</v>
      </c>
      <c r="L146" s="11">
        <f t="shared" si="26"/>
        <v>-1331200000</v>
      </c>
      <c r="M146" s="11">
        <f t="shared" si="26"/>
        <v>595300000</v>
      </c>
      <c r="N146" s="11">
        <f t="shared" si="26"/>
        <v>6859900000</v>
      </c>
    </row>
    <row r="147" spans="1:14">
      <c r="A147" s="9"/>
      <c r="B147" s="9"/>
      <c r="C147" s="9"/>
      <c r="D147" s="10" t="s">
        <v>248</v>
      </c>
      <c r="E147" s="11">
        <f t="shared" ref="E147:N147" si="27">IFERROR(E148-E146,0)</f>
        <v>0</v>
      </c>
      <c r="F147" s="11">
        <f t="shared" si="27"/>
        <v>6265800000</v>
      </c>
      <c r="G147" s="11">
        <f t="shared" si="27"/>
        <v>3361200000</v>
      </c>
      <c r="H147" s="11">
        <f t="shared" si="27"/>
        <v>5810700000</v>
      </c>
      <c r="I147" s="11">
        <f t="shared" si="27"/>
        <v>746200000</v>
      </c>
      <c r="J147" s="11">
        <f t="shared" si="27"/>
        <v>823300000</v>
      </c>
      <c r="K147" s="11">
        <f t="shared" si="27"/>
        <v>2625000000</v>
      </c>
      <c r="L147" s="11">
        <f t="shared" si="27"/>
        <v>5004300000</v>
      </c>
      <c r="M147" s="11">
        <f t="shared" si="27"/>
        <v>3673100000</v>
      </c>
      <c r="N147" s="11">
        <f t="shared" si="27"/>
        <v>4268400000</v>
      </c>
    </row>
    <row r="148" spans="1:14">
      <c r="D148" s="7" t="s">
        <v>249</v>
      </c>
      <c r="E148" s="8">
        <f>_xlfn.XLOOKUP("CashAndCashEquivalentsCashFlowStatement",HS_CONSOLIDATED!$C:$C,HS_CONSOLIDATED!D:D,0,0,1)</f>
        <v>0</v>
      </c>
      <c r="F148" s="8">
        <f>_xlfn.XLOOKUP("CashAndCashEquivalentsCashFlowStatement",HS_CONSOLIDATED!$C:$C,HS_CONSOLIDATED!E:E,0,0,1)</f>
        <v>3361200000</v>
      </c>
      <c r="G148" s="8">
        <f>_xlfn.XLOOKUP("CashAndCashEquivalentsCashFlowStatement",HS_CONSOLIDATED!$C:$C,HS_CONSOLIDATED!F:F,0,0,1)</f>
        <v>5810700000</v>
      </c>
      <c r="H148" s="8">
        <f>_xlfn.XLOOKUP("CashAndCashEquivalentsCashFlowStatement",HS_CONSOLIDATED!$C:$C,HS_CONSOLIDATED!G:G,0,0,1)</f>
        <v>746200000</v>
      </c>
      <c r="I148" s="8">
        <f>_xlfn.XLOOKUP("CashAndCashEquivalentsCashFlowStatement",HS_CONSOLIDATED!$C:$C,HS_CONSOLIDATED!H:H,0,0,1)</f>
        <v>823300000</v>
      </c>
      <c r="J148" s="8">
        <f>_xlfn.XLOOKUP("CashAndCashEquivalentsCashFlowStatement",HS_CONSOLIDATED!$C:$C,HS_CONSOLIDATED!I:I,0,0,1)</f>
        <v>2625000000</v>
      </c>
      <c r="K148" s="8">
        <f>_xlfn.XLOOKUP("CashAndCashEquivalentsCashFlowStatement",HS_CONSOLIDATED!$C:$C,HS_CONSOLIDATED!J:J,0,0,1)</f>
        <v>5004300000</v>
      </c>
      <c r="L148" s="8">
        <f>_xlfn.XLOOKUP("CashAndCashEquivalentsCashFlowStatement",HS_CONSOLIDATED!$C:$C,HS_CONSOLIDATED!K:K,0,0,1)</f>
        <v>3673100000</v>
      </c>
      <c r="M148" s="8">
        <f>_xlfn.XLOOKUP("CashAndCashEquivalentsCashFlowStatement",HS_CONSOLIDATED!$C:$C,HS_CONSOLIDATED!L:L,0,0,1)</f>
        <v>4268400000</v>
      </c>
      <c r="N148" s="8">
        <f>_xlfn.XLOOKUP("CashAndCashEquivalentsCashFlowStatement",HS_CONSOLIDATED!$C:$C,HS_CONSOLIDATED!M:M,0,0,1)</f>
        <v>11128300000</v>
      </c>
    </row>
  </sheetData>
  <mergeCells count="2">
    <mergeCell ref="A2:N2"/>
    <mergeCell ref="A1:N1"/>
  </mergeCells>
  <conditionalFormatting sqref="E97:N97">
    <cfRule type="cellIs" dxfId="13" priority="1" operator="notEqual">
      <formula>0</formula>
    </cfRule>
    <cfRule type="cellIs" dxfId="12" priority="2" operator="equal">
      <formula>0</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45"/>
  <sheetViews>
    <sheetView showGridLines="0" workbookViewId="0">
      <pane xSplit="4" ySplit="5" topLeftCell="E6" activePane="bottomRight" state="frozen"/>
      <selection pane="topRight"/>
      <selection pane="bottomLeft"/>
      <selection pane="bottomRight"/>
    </sheetView>
  </sheetViews>
  <sheetFormatPr defaultRowHeight="14.5"/>
  <cols>
    <col min="1" max="3" width="1.1796875" customWidth="1"/>
    <col min="4" max="4" width="55" customWidth="1"/>
    <col min="5" max="14" width="20" customWidth="1"/>
  </cols>
  <sheetData>
    <row r="1" spans="1:14" ht="24" customHeight="1">
      <c r="A1" s="174" t="s">
        <v>111</v>
      </c>
      <c r="B1" s="172"/>
      <c r="C1" s="172"/>
      <c r="D1" s="172"/>
      <c r="E1" s="172"/>
      <c r="F1" s="172"/>
      <c r="G1" s="172"/>
      <c r="H1" s="172"/>
      <c r="I1" s="172"/>
      <c r="J1" s="172"/>
      <c r="K1" s="172"/>
      <c r="L1" s="172"/>
      <c r="M1" s="172"/>
      <c r="N1" s="172"/>
    </row>
    <row r="2" spans="1:14">
      <c r="A2" s="173" t="s">
        <v>112</v>
      </c>
      <c r="B2" s="172"/>
      <c r="C2" s="172"/>
      <c r="D2" s="172"/>
      <c r="E2" s="172"/>
      <c r="F2" s="172"/>
      <c r="G2" s="172"/>
      <c r="H2" s="172"/>
      <c r="I2" s="172"/>
      <c r="J2" s="172"/>
      <c r="K2" s="172"/>
      <c r="L2" s="172"/>
      <c r="M2" s="172"/>
      <c r="N2" s="172"/>
    </row>
    <row r="5" spans="1:14" ht="15.5">
      <c r="A5" s="2" t="s">
        <v>27</v>
      </c>
      <c r="B5" s="3" t="s">
        <v>113</v>
      </c>
      <c r="C5" s="2"/>
      <c r="D5" s="2"/>
      <c r="E5" s="4" t="s">
        <v>30</v>
      </c>
      <c r="F5" s="4" t="s">
        <v>31</v>
      </c>
      <c r="G5" s="4" t="s">
        <v>32</v>
      </c>
      <c r="H5" s="4" t="s">
        <v>33</v>
      </c>
      <c r="I5" s="4" t="s">
        <v>34</v>
      </c>
      <c r="J5" s="4" t="s">
        <v>35</v>
      </c>
      <c r="K5" s="4" t="s">
        <v>36</v>
      </c>
      <c r="L5" s="4" t="s">
        <v>37</v>
      </c>
      <c r="M5" s="4" t="s">
        <v>38</v>
      </c>
      <c r="N5" s="4" t="s">
        <v>39</v>
      </c>
    </row>
    <row r="6" spans="1:14">
      <c r="A6" s="5"/>
      <c r="B6" s="6" t="s">
        <v>114</v>
      </c>
      <c r="C6" s="5"/>
      <c r="D6" s="5"/>
      <c r="E6" s="5"/>
      <c r="F6" s="5"/>
      <c r="G6" s="5"/>
      <c r="H6" s="5"/>
      <c r="I6" s="5"/>
      <c r="J6" s="5"/>
      <c r="K6" s="5"/>
      <c r="L6" s="5"/>
      <c r="M6" s="5"/>
      <c r="N6" s="5"/>
    </row>
    <row r="7" spans="1:14">
      <c r="C7" s="7" t="s">
        <v>115</v>
      </c>
      <c r="E7" s="8">
        <f>_xlfn.XLOOKUP("RevenueFromOperations",HS_STANDALONE!$C:$C,HS_STANDALONE!D:D,0,0,1)</f>
        <v>0</v>
      </c>
      <c r="F7" s="8">
        <f>_xlfn.XLOOKUP("RevenueFromOperations",HS_STANDALONE!$C:$C,HS_STANDALONE!E:E,0,0,1)</f>
        <v>92456800000</v>
      </c>
      <c r="G7" s="8">
        <f>_xlfn.XLOOKUP("RevenueFromOperations",HS_STANDALONE!$C:$C,HS_STANDALONE!F:F,0,0,1)</f>
        <v>61664800000</v>
      </c>
      <c r="H7" s="8">
        <f>_xlfn.XLOOKUP("RevenueFromOperations",HS_STANDALONE!$C:$C,HS_STANDALONE!G:G,0,0,1)</f>
        <v>25435000000</v>
      </c>
      <c r="I7" s="8">
        <f>_xlfn.XLOOKUP("RevenueFromOperations",HS_STANDALONE!$C:$C,HS_STANDALONE!H:H,0,0,1)</f>
        <v>3759500000</v>
      </c>
      <c r="J7" s="8">
        <f>_xlfn.XLOOKUP("RevenueFromOperations",HS_STANDALONE!$C:$C,HS_STANDALONE!I:I,0,0,1)</f>
        <v>12473100000</v>
      </c>
      <c r="K7" s="8">
        <f>_xlfn.XLOOKUP("RevenueFromOperations",HS_STANDALONE!$C:$C,HS_STANDALONE!J:J,0,0,1)</f>
        <v>40400400000</v>
      </c>
      <c r="L7" s="8">
        <f>_xlfn.XLOOKUP("RevenueFromOperations",HS_STANDALONE!$C:$C,HS_STANDALONE!K:K,0,0,1)</f>
        <v>35904400000</v>
      </c>
      <c r="M7" s="8">
        <f>_xlfn.XLOOKUP("RevenueFromOperations",HS_STANDALONE!$C:$C,HS_STANDALONE!L:L,0,0,1)</f>
        <v>38602500000</v>
      </c>
      <c r="N7" s="8">
        <f>_xlfn.XLOOKUP("RevenueFromOperations",HS_STANDALONE!$C:$C,HS_STANDALONE!M:M,0,0,1)</f>
        <v>101977200000</v>
      </c>
    </row>
    <row r="8" spans="1:14">
      <c r="C8" s="7" t="s">
        <v>116</v>
      </c>
      <c r="E8" s="8">
        <f>_xlfn.XLOOKUP("OtherIncome",HS_STANDALONE!$C:$C,HS_STANDALONE!D:D,0,0,1)</f>
        <v>0</v>
      </c>
      <c r="F8" s="8">
        <f>_xlfn.XLOOKUP("OtherIncome",HS_STANDALONE!$C:$C,HS_STANDALONE!E:E,0,0,1)</f>
        <v>4009700000</v>
      </c>
      <c r="G8" s="8">
        <f>_xlfn.XLOOKUP("OtherIncome",HS_STANDALONE!$C:$C,HS_STANDALONE!F:F,0,0,1)</f>
        <v>3691600000</v>
      </c>
      <c r="H8" s="8">
        <f>_xlfn.XLOOKUP("OtherIncome",HS_STANDALONE!$C:$C,HS_STANDALONE!G:G,0,0,1)</f>
        <v>4359800000</v>
      </c>
      <c r="I8" s="8">
        <f>_xlfn.XLOOKUP("OtherIncome",HS_STANDALONE!$C:$C,HS_STANDALONE!H:H,0,0,1)</f>
        <v>2361800000</v>
      </c>
      <c r="J8" s="8">
        <f>_xlfn.XLOOKUP("OtherIncome",HS_STANDALONE!$C:$C,HS_STANDALONE!I:I,0,0,1)</f>
        <v>697500000</v>
      </c>
      <c r="K8" s="8">
        <f>_xlfn.XLOOKUP("OtherIncome",HS_STANDALONE!$C:$C,HS_STANDALONE!J:J,0,0,1)</f>
        <v>630200000</v>
      </c>
      <c r="L8" s="8">
        <f>_xlfn.XLOOKUP("OtherIncome",HS_STANDALONE!$C:$C,HS_STANDALONE!K:K,0,0,1)</f>
        <v>1922200000</v>
      </c>
      <c r="M8" s="8">
        <f>_xlfn.XLOOKUP("OtherIncome",HS_STANDALONE!$C:$C,HS_STANDALONE!L:L,0,0,1)</f>
        <v>1928800000</v>
      </c>
      <c r="N8" s="8">
        <f>_xlfn.XLOOKUP("OtherIncome",HS_STANDALONE!$C:$C,HS_STANDALONE!M:M,0,0,1)</f>
        <v>1023100000</v>
      </c>
    </row>
    <row r="9" spans="1:14">
      <c r="A9" s="9"/>
      <c r="B9" s="9"/>
      <c r="C9" s="10" t="s">
        <v>117</v>
      </c>
      <c r="D9" s="9"/>
      <c r="E9" s="11">
        <f t="shared" ref="E9:N9" si="0">IFERROR(SUM(E7:E8),0)</f>
        <v>0</v>
      </c>
      <c r="F9" s="11">
        <f t="shared" si="0"/>
        <v>96466500000</v>
      </c>
      <c r="G9" s="11">
        <f t="shared" si="0"/>
        <v>65356400000</v>
      </c>
      <c r="H9" s="11">
        <f t="shared" si="0"/>
        <v>29794800000</v>
      </c>
      <c r="I9" s="11">
        <f t="shared" si="0"/>
        <v>6121300000</v>
      </c>
      <c r="J9" s="11">
        <f t="shared" si="0"/>
        <v>13170600000</v>
      </c>
      <c r="K9" s="11">
        <f t="shared" si="0"/>
        <v>41030600000</v>
      </c>
      <c r="L9" s="11">
        <f t="shared" si="0"/>
        <v>37826600000</v>
      </c>
      <c r="M9" s="11">
        <f t="shared" si="0"/>
        <v>40531300000</v>
      </c>
      <c r="N9" s="11">
        <f t="shared" si="0"/>
        <v>103000300000</v>
      </c>
    </row>
    <row r="10" spans="1:14">
      <c r="A10" s="5"/>
      <c r="B10" s="6" t="s">
        <v>118</v>
      </c>
      <c r="C10" s="5"/>
      <c r="D10" s="5"/>
      <c r="E10" s="5"/>
      <c r="F10" s="5"/>
      <c r="G10" s="5"/>
      <c r="H10" s="5"/>
      <c r="I10" s="5"/>
      <c r="J10" s="5"/>
      <c r="K10" s="5"/>
      <c r="L10" s="5"/>
      <c r="M10" s="5"/>
      <c r="N10" s="5"/>
    </row>
    <row r="11" spans="1:14">
      <c r="C11" s="7" t="s">
        <v>119</v>
      </c>
      <c r="E11" s="8">
        <f>-_xlfn.XLOOKUP("CostOfMaterialsConsumed",HS_STANDALONE!$C:$C,HS_STANDALONE!D:D,0,0,1)</f>
        <v>0</v>
      </c>
      <c r="F11" s="8">
        <f>-_xlfn.XLOOKUP("CostOfMaterialsConsumed",HS_STANDALONE!$C:$C,HS_STANDALONE!E:E,0,0,1)</f>
        <v>-58734400000</v>
      </c>
      <c r="G11" s="8">
        <f>-_xlfn.XLOOKUP("CostOfMaterialsConsumed",HS_STANDALONE!$C:$C,HS_STANDALONE!F:F,0,0,1)</f>
        <v>-27451000000</v>
      </c>
      <c r="H11" s="8">
        <f>-_xlfn.XLOOKUP("CostOfMaterialsConsumed",HS_STANDALONE!$C:$C,HS_STANDALONE!G:G,0,0,1)</f>
        <v>-15179200000</v>
      </c>
      <c r="I11" s="8">
        <f>-_xlfn.XLOOKUP("CostOfMaterialsConsumed",HS_STANDALONE!$C:$C,HS_STANDALONE!H:H,0,0,1)</f>
        <v>-2730600000</v>
      </c>
      <c r="J11" s="8">
        <f>-_xlfn.XLOOKUP("CostOfMaterialsConsumed",HS_STANDALONE!$C:$C,HS_STANDALONE!I:I,0,0,1)</f>
        <v>-6855100000</v>
      </c>
      <c r="K11" s="8">
        <f>-_xlfn.XLOOKUP("CostOfMaterialsConsumed",HS_STANDALONE!$C:$C,HS_STANDALONE!J:J,0,0,1)</f>
        <v>-30843300000</v>
      </c>
      <c r="L11" s="8">
        <f>-_xlfn.XLOOKUP("CostOfMaterialsConsumed",HS_STANDALONE!$C:$C,HS_STANDALONE!K:K,0,0,1)</f>
        <v>-26629700000</v>
      </c>
      <c r="M11" s="8">
        <f>-_xlfn.XLOOKUP("CostOfMaterialsConsumed",HS_STANDALONE!$C:$C,HS_STANDALONE!L:L,0,0,1)</f>
        <v>-28531300000</v>
      </c>
      <c r="N11" s="8">
        <f>-_xlfn.XLOOKUP("CostOfMaterialsConsumed",HS_STANDALONE!$C:$C,HS_STANDALONE!M:M,0,0,1)</f>
        <v>-69868900000</v>
      </c>
    </row>
    <row r="12" spans="1:14">
      <c r="C12" s="7" t="s">
        <v>120</v>
      </c>
      <c r="E12" s="8">
        <f>-_xlfn.XLOOKUP("PurchasesOfStockInTrade",HS_STANDALONE!$C:$C,HS_STANDALONE!D:D,0,0,1)</f>
        <v>0</v>
      </c>
      <c r="F12" s="8">
        <f>-_xlfn.XLOOKUP("PurchasesOfStockInTrade",HS_STANDALONE!$C:$C,HS_STANDALONE!E:E,0,0,1)</f>
        <v>-4919900000</v>
      </c>
      <c r="G12" s="8">
        <f>-_xlfn.XLOOKUP("PurchasesOfStockInTrade",HS_STANDALONE!$C:$C,HS_STANDALONE!F:F,0,0,1)</f>
        <v>-9879500000</v>
      </c>
      <c r="H12" s="8">
        <f>-_xlfn.XLOOKUP("PurchasesOfStockInTrade",HS_STANDALONE!$C:$C,HS_STANDALONE!G:G,0,0,1)</f>
        <v>-58100000</v>
      </c>
      <c r="I12" s="8">
        <f>-_xlfn.XLOOKUP("PurchasesOfStockInTrade",HS_STANDALONE!$C:$C,HS_STANDALONE!H:H,0,0,1)</f>
        <v>0</v>
      </c>
      <c r="J12" s="8">
        <f>-_xlfn.XLOOKUP("PurchasesOfStockInTrade",HS_STANDALONE!$C:$C,HS_STANDALONE!I:I,0,0,1)</f>
        <v>0</v>
      </c>
      <c r="K12" s="8">
        <f>-_xlfn.XLOOKUP("PurchasesOfStockInTrade",HS_STANDALONE!$C:$C,HS_STANDALONE!J:J,0,0,1)</f>
        <v>0</v>
      </c>
      <c r="L12" s="8">
        <f>-_xlfn.XLOOKUP("PurchasesOfStockInTrade",HS_STANDALONE!$C:$C,HS_STANDALONE!K:K,0,0,1)</f>
        <v>0</v>
      </c>
      <c r="M12" s="8">
        <f>-_xlfn.XLOOKUP("PurchasesOfStockInTrade",HS_STANDALONE!$C:$C,HS_STANDALONE!L:L,0,0,1)</f>
        <v>0</v>
      </c>
      <c r="N12" s="8">
        <f>-_xlfn.XLOOKUP("PurchasesOfStockInTrade",HS_STANDALONE!$C:$C,HS_STANDALONE!M:M,0,0,1)</f>
        <v>0</v>
      </c>
    </row>
    <row r="13" spans="1:14">
      <c r="C13" s="7" t="s">
        <v>121</v>
      </c>
      <c r="E13" s="8">
        <f>-_xlfn.XLOOKUP("ChangesInInventoriesOfFinishedGoodsWorkInProgressAndStockInTrade",HS_STANDALONE!$C:$C,HS_STANDALONE!D:D,0,0,1)</f>
        <v>0</v>
      </c>
      <c r="F13" s="8">
        <f>-_xlfn.XLOOKUP("ChangesInInventoriesOfFinishedGoodsWorkInProgressAndStockInTrade",HS_STANDALONE!$C:$C,HS_STANDALONE!E:E,0,0,1)</f>
        <v>8235700000</v>
      </c>
      <c r="G13" s="8">
        <f>-_xlfn.XLOOKUP("ChangesInInventoriesOfFinishedGoodsWorkInProgressAndStockInTrade",HS_STANDALONE!$C:$C,HS_STANDALONE!F:F,0,0,1)</f>
        <v>-3853000000</v>
      </c>
      <c r="H13" s="8">
        <f>-_xlfn.XLOOKUP("ChangesInInventoriesOfFinishedGoodsWorkInProgressAndStockInTrade",HS_STANDALONE!$C:$C,HS_STANDALONE!G:G,0,0,1)</f>
        <v>-1960000000</v>
      </c>
      <c r="I13" s="8">
        <f>-_xlfn.XLOOKUP("ChangesInInventoriesOfFinishedGoodsWorkInProgressAndStockInTrade",HS_STANDALONE!$C:$C,HS_STANDALONE!H:H,0,0,1)</f>
        <v>-1083100000</v>
      </c>
      <c r="J13" s="8">
        <f>-_xlfn.XLOOKUP("ChangesInInventoriesOfFinishedGoodsWorkInProgressAndStockInTrade",HS_STANDALONE!$C:$C,HS_STANDALONE!I:I,0,0,1)</f>
        <v>-630100000</v>
      </c>
      <c r="K13" s="8">
        <f>-_xlfn.XLOOKUP("ChangesInInventoriesOfFinishedGoodsWorkInProgressAndStockInTrade",HS_STANDALONE!$C:$C,HS_STANDALONE!J:J,0,0,1)</f>
        <v>-96700000</v>
      </c>
      <c r="L13" s="8">
        <f>-_xlfn.XLOOKUP("ChangesInInventoriesOfFinishedGoodsWorkInProgressAndStockInTrade",HS_STANDALONE!$C:$C,HS_STANDALONE!K:K,0,0,1)</f>
        <v>-775300000</v>
      </c>
      <c r="M13" s="8">
        <f>-_xlfn.XLOOKUP("ChangesInInventoriesOfFinishedGoodsWorkInProgressAndStockInTrade",HS_STANDALONE!$C:$C,HS_STANDALONE!L:L,0,0,1)</f>
        <v>452900000</v>
      </c>
      <c r="N13" s="8">
        <f>-_xlfn.XLOOKUP("ChangesInInventoriesOfFinishedGoodsWorkInProgressAndStockInTrade",HS_STANDALONE!$C:$C,HS_STANDALONE!M:M,0,0,1)</f>
        <v>2691700000</v>
      </c>
    </row>
    <row r="14" spans="1:14">
      <c r="A14" s="12"/>
      <c r="B14" s="13" t="s">
        <v>122</v>
      </c>
      <c r="C14" s="12"/>
      <c r="D14" s="12"/>
      <c r="E14" s="14">
        <f t="shared" ref="E14:N14" si="1">IFERROR(E9+SUM(E11:E13),0)</f>
        <v>0</v>
      </c>
      <c r="F14" s="14">
        <f t="shared" si="1"/>
        <v>41047900000</v>
      </c>
      <c r="G14" s="14">
        <f t="shared" si="1"/>
        <v>24172900000</v>
      </c>
      <c r="H14" s="14">
        <f t="shared" si="1"/>
        <v>12597500000</v>
      </c>
      <c r="I14" s="14">
        <f t="shared" si="1"/>
        <v>2307600000</v>
      </c>
      <c r="J14" s="14">
        <f t="shared" si="1"/>
        <v>5685400000</v>
      </c>
      <c r="K14" s="14">
        <f t="shared" si="1"/>
        <v>10090600000</v>
      </c>
      <c r="L14" s="14">
        <f t="shared" si="1"/>
        <v>10421600000</v>
      </c>
      <c r="M14" s="14">
        <f t="shared" si="1"/>
        <v>12452900000</v>
      </c>
      <c r="N14" s="14">
        <f t="shared" si="1"/>
        <v>35823100000</v>
      </c>
    </row>
    <row r="15" spans="1:14">
      <c r="C15" s="7" t="s">
        <v>123</v>
      </c>
      <c r="E15" s="8">
        <f>-_xlfn.XLOOKUP("EmployeeBenefitExpense",HS_STANDALONE!$C:$C,HS_STANDALONE!D:D,0,0,1)-_xlfn.XLOOKUP("ExpenditureOnProductionTransportationAndOtherExpenditurePertainingToExplorationAndProductionActivities",HS_STANDALONE!$C:$C,HS_STANDALONE!D:D,0,0,1)</f>
        <v>0</v>
      </c>
      <c r="F15" s="8">
        <f>-_xlfn.XLOOKUP("EmployeeBenefitExpense",HS_STANDALONE!$C:$C,HS_STANDALONE!E:E,0,0,1)-_xlfn.XLOOKUP("ExpenditureOnProductionTransportationAndOtherExpenditurePertainingToExplorationAndProductionActivities",HS_STANDALONE!$C:$C,HS_STANDALONE!E:E,0,0,1)</f>
        <v>-4151900000</v>
      </c>
      <c r="G15" s="8">
        <f>-_xlfn.XLOOKUP("EmployeeBenefitExpense",HS_STANDALONE!$C:$C,HS_STANDALONE!F:F,0,0,1)-_xlfn.XLOOKUP("ExpenditureOnProductionTransportationAndOtherExpenditurePertainingToExplorationAndProductionActivities",HS_STANDALONE!$C:$C,HS_STANDALONE!F:F,0,0,1)</f>
        <v>-2784800000</v>
      </c>
      <c r="H15" s="8">
        <f>-_xlfn.XLOOKUP("EmployeeBenefitExpense",HS_STANDALONE!$C:$C,HS_STANDALONE!G:G,0,0,1)-_xlfn.XLOOKUP("ExpenditureOnProductionTransportationAndOtherExpenditurePertainingToExplorationAndProductionActivities",HS_STANDALONE!$C:$C,HS_STANDALONE!G:G,0,0,1)</f>
        <v>-3265400000</v>
      </c>
      <c r="I15" s="8">
        <f>-_xlfn.XLOOKUP("EmployeeBenefitExpense",HS_STANDALONE!$C:$C,HS_STANDALONE!H:H,0,0,1)-_xlfn.XLOOKUP("ExpenditureOnProductionTransportationAndOtherExpenditurePertainingToExplorationAndProductionActivities",HS_STANDALONE!$C:$C,HS_STANDALONE!H:H,0,0,1)</f>
        <v>-2714800000</v>
      </c>
      <c r="J15" s="8">
        <f>-_xlfn.XLOOKUP("EmployeeBenefitExpense",HS_STANDALONE!$C:$C,HS_STANDALONE!I:I,0,0,1)-_xlfn.XLOOKUP("ExpenditureOnProductionTransportationAndOtherExpenditurePertainingToExplorationAndProductionActivities",HS_STANDALONE!$C:$C,HS_STANDALONE!I:I,0,0,1)</f>
        <v>-1829700000</v>
      </c>
      <c r="K15" s="8">
        <f>-_xlfn.XLOOKUP("EmployeeBenefitExpense",HS_STANDALONE!$C:$C,HS_STANDALONE!J:J,0,0,1)-_xlfn.XLOOKUP("ExpenditureOnProductionTransportationAndOtherExpenditurePertainingToExplorationAndProductionActivities",HS_STANDALONE!$C:$C,HS_STANDALONE!J:J,0,0,1)</f>
        <v>-2256200000</v>
      </c>
      <c r="L15" s="8">
        <f>-_xlfn.XLOOKUP("EmployeeBenefitExpense",HS_STANDALONE!$C:$C,HS_STANDALONE!K:K,0,0,1)-_xlfn.XLOOKUP("ExpenditureOnProductionTransportationAndOtherExpenditurePertainingToExplorationAndProductionActivities",HS_STANDALONE!$C:$C,HS_STANDALONE!K:K,0,0,1)</f>
        <v>-2525100000</v>
      </c>
      <c r="M15" s="8">
        <f>-_xlfn.XLOOKUP("EmployeeBenefitExpense",HS_STANDALONE!$C:$C,HS_STANDALONE!L:L,0,0,1)-_xlfn.XLOOKUP("ExpenditureOnProductionTransportationAndOtherExpenditurePertainingToExplorationAndProductionActivities",HS_STANDALONE!$C:$C,HS_STANDALONE!L:L,0,0,1)</f>
        <v>-3123600000</v>
      </c>
      <c r="N15" s="8">
        <f>-_xlfn.XLOOKUP("EmployeeBenefitExpense",HS_STANDALONE!$C:$C,HS_STANDALONE!M:M,0,0,1)-_xlfn.XLOOKUP("ExpenditureOnProductionTransportationAndOtherExpenditurePertainingToExplorationAndProductionActivities",HS_STANDALONE!$C:$C,HS_STANDALONE!M:M,0,0,1)</f>
        <v>-7917500000</v>
      </c>
    </row>
    <row r="16" spans="1:14">
      <c r="C16" s="7" t="s">
        <v>124</v>
      </c>
      <c r="E16" s="8">
        <f>-_xlfn.XLOOKUP("OtherExpenses",HS_STANDALONE!$C:$C,HS_STANDALONE!D:D,0,0,1)</f>
        <v>0</v>
      </c>
      <c r="F16" s="8">
        <f>-_xlfn.XLOOKUP("OtherExpenses",HS_STANDALONE!$C:$C,HS_STANDALONE!E:E,0,0,1)</f>
        <v>-14534700000</v>
      </c>
      <c r="G16" s="8">
        <f>-_xlfn.XLOOKUP("OtherExpenses",HS_STANDALONE!$C:$C,HS_STANDALONE!F:F,0,0,1)</f>
        <v>-11054300000</v>
      </c>
      <c r="H16" s="8">
        <f>-_xlfn.XLOOKUP("OtherExpenses",HS_STANDALONE!$C:$C,HS_STANDALONE!G:G,0,0,1)</f>
        <v>-6812500000</v>
      </c>
      <c r="I16" s="8">
        <f>-_xlfn.XLOOKUP("OtherExpenses",HS_STANDALONE!$C:$C,HS_STANDALONE!H:H,0,0,1)</f>
        <v>-6204900000</v>
      </c>
      <c r="J16" s="8">
        <f>-_xlfn.XLOOKUP("OtherExpenses",HS_STANDALONE!$C:$C,HS_STANDALONE!I:I,0,0,1)</f>
        <v>-4159900000</v>
      </c>
      <c r="K16" s="8">
        <f>-_xlfn.XLOOKUP("OtherExpenses",HS_STANDALONE!$C:$C,HS_STANDALONE!J:J,0,0,1)</f>
        <v>-6510200000</v>
      </c>
      <c r="L16" s="8">
        <f>-_xlfn.XLOOKUP("OtherExpenses",HS_STANDALONE!$C:$C,HS_STANDALONE!K:K,0,0,1)</f>
        <v>-5373700000</v>
      </c>
      <c r="M16" s="8">
        <f>-_xlfn.XLOOKUP("OtherExpenses",HS_STANDALONE!$C:$C,HS_STANDALONE!L:L,0,0,1)</f>
        <v>-5194000000</v>
      </c>
      <c r="N16" s="8">
        <f>-_xlfn.XLOOKUP("OtherExpenses",HS_STANDALONE!$C:$C,HS_STANDALONE!M:M,0,0,1)</f>
        <v>-10239900000</v>
      </c>
    </row>
    <row r="17" spans="1:14">
      <c r="A17" s="12"/>
      <c r="B17" s="13" t="s">
        <v>125</v>
      </c>
      <c r="C17" s="12"/>
      <c r="D17" s="12"/>
      <c r="E17" s="14">
        <f t="shared" ref="E17:N17" si="2">IFERROR(SUM(E14:E16),0)</f>
        <v>0</v>
      </c>
      <c r="F17" s="14">
        <f t="shared" si="2"/>
        <v>22361300000</v>
      </c>
      <c r="G17" s="14">
        <f t="shared" si="2"/>
        <v>10333800000</v>
      </c>
      <c r="H17" s="14">
        <f t="shared" si="2"/>
        <v>2519600000</v>
      </c>
      <c r="I17" s="14">
        <f t="shared" si="2"/>
        <v>-6612100000</v>
      </c>
      <c r="J17" s="14">
        <f t="shared" si="2"/>
        <v>-304200000</v>
      </c>
      <c r="K17" s="14">
        <f t="shared" si="2"/>
        <v>1324200000</v>
      </c>
      <c r="L17" s="14">
        <f t="shared" si="2"/>
        <v>2522800000</v>
      </c>
      <c r="M17" s="14">
        <f t="shared" si="2"/>
        <v>4135300000</v>
      </c>
      <c r="N17" s="14">
        <f t="shared" si="2"/>
        <v>17665700000</v>
      </c>
    </row>
    <row r="18" spans="1:14">
      <c r="C18" s="7" t="s">
        <v>126</v>
      </c>
      <c r="E18" s="8">
        <f>-_xlfn.XLOOKUP("DepreciationDepletionAndAmortisationExpense",HS_STANDALONE!$C:$C,HS_STANDALONE!D:D,0,0,1)</f>
        <v>0</v>
      </c>
      <c r="F18" s="8">
        <f>-_xlfn.XLOOKUP("DepreciationDepletionAndAmortisationExpense",HS_STANDALONE!$C:$C,HS_STANDALONE!E:E,0,0,1)</f>
        <v>-4139900000</v>
      </c>
      <c r="G18" s="8">
        <f>-_xlfn.XLOOKUP("DepreciationDepletionAndAmortisationExpense",HS_STANDALONE!$C:$C,HS_STANDALONE!F:F,0,0,1)</f>
        <v>-4192800000</v>
      </c>
      <c r="H18" s="8">
        <f>-_xlfn.XLOOKUP("DepreciationDepletionAndAmortisationExpense",HS_STANDALONE!$C:$C,HS_STANDALONE!G:G,0,0,1)</f>
        <v>-4389100000</v>
      </c>
      <c r="I18" s="8">
        <f>-_xlfn.XLOOKUP("DepreciationDepletionAndAmortisationExpense",HS_STANDALONE!$C:$C,HS_STANDALONE!H:H,0,0,1)</f>
        <v>-6821500000</v>
      </c>
      <c r="J18" s="8">
        <f>-_xlfn.XLOOKUP("DepreciationDepletionAndAmortisationExpense",HS_STANDALONE!$C:$C,HS_STANDALONE!I:I,0,0,1)</f>
        <v>-1865000000</v>
      </c>
      <c r="K18" s="8">
        <f>-_xlfn.XLOOKUP("DepreciationDepletionAndAmortisationExpense",HS_STANDALONE!$C:$C,HS_STANDALONE!J:J,0,0,1)</f>
        <v>-1851300000</v>
      </c>
      <c r="L18" s="8">
        <f>-_xlfn.XLOOKUP("DepreciationDepletionAndAmortisationExpense",HS_STANDALONE!$C:$C,HS_STANDALONE!K:K,0,0,1)</f>
        <v>-1900400000</v>
      </c>
      <c r="M18" s="8">
        <f>-_xlfn.XLOOKUP("DepreciationDepletionAndAmortisationExpense",HS_STANDALONE!$C:$C,HS_STANDALONE!L:L,0,0,1)</f>
        <v>-1195700000</v>
      </c>
      <c r="N18" s="8">
        <f>-_xlfn.XLOOKUP("DepreciationDepletionAndAmortisationExpense",HS_STANDALONE!$C:$C,HS_STANDALONE!M:M,0,0,1)</f>
        <v>-1668500000</v>
      </c>
    </row>
    <row r="19" spans="1:14">
      <c r="A19" s="12"/>
      <c r="B19" s="13" t="s">
        <v>127</v>
      </c>
      <c r="C19" s="12"/>
      <c r="D19" s="12"/>
      <c r="E19" s="14">
        <f t="shared" ref="E19:N19" si="3">IFERROR(SUM(E17:E18),0)</f>
        <v>0</v>
      </c>
      <c r="F19" s="14">
        <f t="shared" si="3"/>
        <v>18221400000</v>
      </c>
      <c r="G19" s="14">
        <f t="shared" si="3"/>
        <v>6141000000</v>
      </c>
      <c r="H19" s="14">
        <f t="shared" si="3"/>
        <v>-1869500000</v>
      </c>
      <c r="I19" s="14">
        <f t="shared" si="3"/>
        <v>-13433600000</v>
      </c>
      <c r="J19" s="14">
        <f t="shared" si="3"/>
        <v>-2169200000</v>
      </c>
      <c r="K19" s="14">
        <f t="shared" si="3"/>
        <v>-527100000</v>
      </c>
      <c r="L19" s="14">
        <f t="shared" si="3"/>
        <v>622400000</v>
      </c>
      <c r="M19" s="14">
        <f t="shared" si="3"/>
        <v>2939600000</v>
      </c>
      <c r="N19" s="14">
        <f t="shared" si="3"/>
        <v>15997200000</v>
      </c>
    </row>
    <row r="20" spans="1:14">
      <c r="C20" s="7" t="s">
        <v>128</v>
      </c>
      <c r="E20" s="8">
        <f>-_xlfn.XLOOKUP("FinanceCosts",HS_STANDALONE!$C:$C,HS_STANDALONE!D:D,0,0,1)</f>
        <v>0</v>
      </c>
      <c r="F20" s="8">
        <f>-_xlfn.XLOOKUP("FinanceCosts",HS_STANDALONE!$C:$C,HS_STANDALONE!E:E,0,0,1)</f>
        <v>-9307100000</v>
      </c>
      <c r="G20" s="8">
        <f>-_xlfn.XLOOKUP("FinanceCosts",HS_STANDALONE!$C:$C,HS_STANDALONE!F:F,0,0,1)</f>
        <v>-12228400000</v>
      </c>
      <c r="H20" s="8">
        <f>-_xlfn.XLOOKUP("FinanceCosts",HS_STANDALONE!$C:$C,HS_STANDALONE!G:G,0,0,1)</f>
        <v>-9436500000</v>
      </c>
      <c r="I20" s="8">
        <f>-_xlfn.XLOOKUP("FinanceCosts",HS_STANDALONE!$C:$C,HS_STANDALONE!H:H,0,0,1)</f>
        <v>-11405700000</v>
      </c>
      <c r="J20" s="8">
        <f>-_xlfn.XLOOKUP("FinanceCosts",HS_STANDALONE!$C:$C,HS_STANDALONE!I:I,0,0,1)</f>
        <v>-9830700000</v>
      </c>
      <c r="K20" s="8">
        <f>-_xlfn.XLOOKUP("FinanceCosts",HS_STANDALONE!$C:$C,HS_STANDALONE!J:J,0,0,1)</f>
        <v>-7770800000</v>
      </c>
      <c r="L20" s="8">
        <f>-_xlfn.XLOOKUP("FinanceCosts",HS_STANDALONE!$C:$C,HS_STANDALONE!K:K,0,0,1)</f>
        <v>-4415600000</v>
      </c>
      <c r="M20" s="8">
        <f>-_xlfn.XLOOKUP("FinanceCosts",HS_STANDALONE!$C:$C,HS_STANDALONE!L:L,0,0,1)</f>
        <v>-2256700000</v>
      </c>
      <c r="N20" s="8">
        <f>-_xlfn.XLOOKUP("FinanceCosts",HS_STANDALONE!$C:$C,HS_STANDALONE!M:M,0,0,1)</f>
        <v>-2288600000</v>
      </c>
    </row>
    <row r="21" spans="1:14">
      <c r="C21" s="7" t="s">
        <v>129</v>
      </c>
      <c r="E21" s="8">
        <f>_xlfn.XLOOKUP("ExceptionalItemsBeforeTax",HS_STANDALONE!$C:$C,HS_STANDALONE!D:D,0,0,1)</f>
        <v>0</v>
      </c>
      <c r="F21" s="8">
        <f>_xlfn.XLOOKUP("ExceptionalItemsBeforeTax",HS_STANDALONE!$C:$C,HS_STANDALONE!E:E,0,0,1)</f>
        <v>-5357800000</v>
      </c>
      <c r="G21" s="8">
        <f>_xlfn.XLOOKUP("ExceptionalItemsBeforeTax",HS_STANDALONE!$C:$C,HS_STANDALONE!F:F,0,0,1)</f>
        <v>-5460000000</v>
      </c>
      <c r="H21" s="8">
        <f>_xlfn.XLOOKUP("ExceptionalItemsBeforeTax",HS_STANDALONE!$C:$C,HS_STANDALONE!G:G,0,0,1)</f>
        <v>-62813800000</v>
      </c>
      <c r="I21" s="8">
        <f>_xlfn.XLOOKUP("ExceptionalItemsBeforeTax",HS_STANDALONE!$C:$C,HS_STANDALONE!H:H,0,0,1)</f>
        <v>-7920500000</v>
      </c>
      <c r="J21" s="8">
        <f>_xlfn.XLOOKUP("ExceptionalItemsBeforeTax",HS_STANDALONE!$C:$C,HS_STANDALONE!I:I,0,0,1)</f>
        <v>8015900000</v>
      </c>
      <c r="K21" s="8">
        <f>_xlfn.XLOOKUP("ExceptionalItemsBeforeTax",HS_STANDALONE!$C:$C,HS_STANDALONE!J:J,0,0,1)</f>
        <v>-828700000</v>
      </c>
      <c r="L21" s="8">
        <f>_xlfn.XLOOKUP("ExceptionalItemsBeforeTax",HS_STANDALONE!$C:$C,HS_STANDALONE!K:K,0,0,1)</f>
        <v>25420800000</v>
      </c>
      <c r="M21" s="8">
        <f>_xlfn.XLOOKUP("ExceptionalItemsBeforeTax",HS_STANDALONE!$C:$C,HS_STANDALONE!L:L,0,0,1)</f>
        <v>251400000</v>
      </c>
      <c r="N21" s="8">
        <f>_xlfn.XLOOKUP("ExceptionalItemsBeforeTax",HS_STANDALONE!$C:$C,HS_STANDALONE!M:M,0,0,1)</f>
        <v>1028600000</v>
      </c>
    </row>
    <row r="22" spans="1:14">
      <c r="A22" s="12"/>
      <c r="B22" s="13" t="s">
        <v>130</v>
      </c>
      <c r="C22" s="12"/>
      <c r="D22" s="12"/>
      <c r="E22" s="14">
        <f t="shared" ref="E22:N22" si="4">IFERROR(SUM(E19:E21),0)</f>
        <v>0</v>
      </c>
      <c r="F22" s="14">
        <f t="shared" si="4"/>
        <v>3556500000</v>
      </c>
      <c r="G22" s="14">
        <f t="shared" si="4"/>
        <v>-11547400000</v>
      </c>
      <c r="H22" s="14">
        <f t="shared" si="4"/>
        <v>-74119800000</v>
      </c>
      <c r="I22" s="14">
        <f t="shared" si="4"/>
        <v>-32759800000</v>
      </c>
      <c r="J22" s="14">
        <f t="shared" si="4"/>
        <v>-3984000000</v>
      </c>
      <c r="K22" s="14">
        <f t="shared" si="4"/>
        <v>-9126600000</v>
      </c>
      <c r="L22" s="14">
        <f t="shared" si="4"/>
        <v>21627600000</v>
      </c>
      <c r="M22" s="14">
        <f t="shared" si="4"/>
        <v>934300000</v>
      </c>
      <c r="N22" s="14">
        <f t="shared" si="4"/>
        <v>14737200000</v>
      </c>
    </row>
    <row r="23" spans="1:14">
      <c r="C23" s="7" t="s">
        <v>131</v>
      </c>
      <c r="E23" s="8">
        <f>-_xlfn.XLOOKUP("CurrentTax",HS_STANDALONE!$C:$C,HS_STANDALONE!D:D,0,0,1)</f>
        <v>0</v>
      </c>
      <c r="F23" s="8">
        <f>-_xlfn.XLOOKUP("CurrentTax",HS_STANDALONE!$C:$C,HS_STANDALONE!E:E,0,0,1)</f>
        <v>500000</v>
      </c>
      <c r="G23" s="8">
        <f>-_xlfn.XLOOKUP("CurrentTax",HS_STANDALONE!$C:$C,HS_STANDALONE!F:F,0,0,1)</f>
        <v>-14000000</v>
      </c>
      <c r="H23" s="8">
        <f>-_xlfn.XLOOKUP("CurrentTax",HS_STANDALONE!$C:$C,HS_STANDALONE!G:G,0,0,1)</f>
        <v>-13500000</v>
      </c>
      <c r="I23" s="8">
        <f>-_xlfn.XLOOKUP("CurrentTax",HS_STANDALONE!$C:$C,HS_STANDALONE!H:H,0,0,1)</f>
        <v>-6500000</v>
      </c>
      <c r="J23" s="8">
        <f>-_xlfn.XLOOKUP("CurrentTax",HS_STANDALONE!$C:$C,HS_STANDALONE!I:I,0,0,1)</f>
        <v>0</v>
      </c>
      <c r="K23" s="8">
        <f>-_xlfn.XLOOKUP("CurrentTax",HS_STANDALONE!$C:$C,HS_STANDALONE!J:J,0,0,1)</f>
        <v>0</v>
      </c>
      <c r="L23" s="8">
        <f>-_xlfn.XLOOKUP("CurrentTax",HS_STANDALONE!$C:$C,HS_STANDALONE!K:K,0,0,1)</f>
        <v>0</v>
      </c>
      <c r="M23" s="8">
        <f>-_xlfn.XLOOKUP("CurrentTax",HS_STANDALONE!$C:$C,HS_STANDALONE!L:L,0,0,1)</f>
        <v>0</v>
      </c>
      <c r="N23" s="8">
        <f>-_xlfn.XLOOKUP("CurrentTax",HS_STANDALONE!$C:$C,HS_STANDALONE!M:M,0,0,1)</f>
        <v>-70500000</v>
      </c>
    </row>
    <row r="24" spans="1:14">
      <c r="C24" s="7" t="s">
        <v>132</v>
      </c>
      <c r="E24" s="8">
        <f>-_xlfn.XLOOKUP("DeferredTax",HS_STANDALONE!$C:$C,HS_STANDALONE!D:D,0,0,1)</f>
        <v>0</v>
      </c>
      <c r="F24" s="8">
        <f>-_xlfn.XLOOKUP("DeferredTax",HS_STANDALONE!$C:$C,HS_STANDALONE!E:E,0,0,1)</f>
        <v>0</v>
      </c>
      <c r="G24" s="8">
        <f>-_xlfn.XLOOKUP("DeferredTax",HS_STANDALONE!$C:$C,HS_STANDALONE!F:F,0,0,1)</f>
        <v>0</v>
      </c>
      <c r="H24" s="8">
        <f>-_xlfn.XLOOKUP("DeferredTax",HS_STANDALONE!$C:$C,HS_STANDALONE!G:G,0,0,1)</f>
        <v>0</v>
      </c>
      <c r="I24" s="8">
        <f>-_xlfn.XLOOKUP("DeferredTax",HS_STANDALONE!$C:$C,HS_STANDALONE!H:H,0,0,1)</f>
        <v>0</v>
      </c>
      <c r="J24" s="8">
        <f>-_xlfn.XLOOKUP("DeferredTax",HS_STANDALONE!$C:$C,HS_STANDALONE!I:I,0,0,1)</f>
        <v>0</v>
      </c>
      <c r="K24" s="8">
        <f>-_xlfn.XLOOKUP("DeferredTax",HS_STANDALONE!$C:$C,HS_STANDALONE!J:J,0,0,1)</f>
        <v>0</v>
      </c>
      <c r="L24" s="8">
        <f>-_xlfn.XLOOKUP("DeferredTax",HS_STANDALONE!$C:$C,HS_STANDALONE!K:K,0,0,1)</f>
        <v>0</v>
      </c>
      <c r="M24" s="8">
        <f>-_xlfn.XLOOKUP("DeferredTax",HS_STANDALONE!$C:$C,HS_STANDALONE!L:L,0,0,1)</f>
        <v>0</v>
      </c>
      <c r="N24" s="8">
        <f>-_xlfn.XLOOKUP("DeferredTax",HS_STANDALONE!$C:$C,HS_STANDALONE!M:M,0,0,1)</f>
        <v>6380500000</v>
      </c>
    </row>
    <row r="25" spans="1:14">
      <c r="A25" s="9"/>
      <c r="B25" s="9"/>
      <c r="C25" s="10" t="s">
        <v>133</v>
      </c>
      <c r="D25" s="9"/>
      <c r="E25" s="11">
        <f t="shared" ref="E25:N25" si="5">IFERROR(SUM(E23:E24),0)</f>
        <v>0</v>
      </c>
      <c r="F25" s="11">
        <f t="shared" si="5"/>
        <v>500000</v>
      </c>
      <c r="G25" s="11">
        <f t="shared" si="5"/>
        <v>-14000000</v>
      </c>
      <c r="H25" s="11">
        <f t="shared" si="5"/>
        <v>-13500000</v>
      </c>
      <c r="I25" s="11">
        <f t="shared" si="5"/>
        <v>-6500000</v>
      </c>
      <c r="J25" s="11">
        <f t="shared" si="5"/>
        <v>0</v>
      </c>
      <c r="K25" s="11">
        <f t="shared" si="5"/>
        <v>0</v>
      </c>
      <c r="L25" s="11">
        <f t="shared" si="5"/>
        <v>0</v>
      </c>
      <c r="M25" s="11">
        <f t="shared" si="5"/>
        <v>0</v>
      </c>
      <c r="N25" s="11">
        <f t="shared" si="5"/>
        <v>6310000000</v>
      </c>
    </row>
    <row r="26" spans="1:14">
      <c r="A26" s="12"/>
      <c r="B26" s="13" t="s">
        <v>134</v>
      </c>
      <c r="C26" s="12"/>
      <c r="D26" s="12"/>
      <c r="E26" s="14">
        <f t="shared" ref="E26:N26" si="6">IFERROR(E25+E22,0)</f>
        <v>0</v>
      </c>
      <c r="F26" s="14">
        <f t="shared" si="6"/>
        <v>3557000000</v>
      </c>
      <c r="G26" s="14">
        <f t="shared" si="6"/>
        <v>-11561400000</v>
      </c>
      <c r="H26" s="14">
        <f t="shared" si="6"/>
        <v>-74133300000</v>
      </c>
      <c r="I26" s="14">
        <f t="shared" si="6"/>
        <v>-32766300000</v>
      </c>
      <c r="J26" s="14">
        <f t="shared" si="6"/>
        <v>-3984000000</v>
      </c>
      <c r="K26" s="14">
        <f t="shared" si="6"/>
        <v>-9126600000</v>
      </c>
      <c r="L26" s="14">
        <f t="shared" si="6"/>
        <v>21627600000</v>
      </c>
      <c r="M26" s="14">
        <f t="shared" si="6"/>
        <v>934300000</v>
      </c>
      <c r="N26" s="14">
        <f t="shared" si="6"/>
        <v>21047200000</v>
      </c>
    </row>
    <row r="27" spans="1:14" ht="15.5">
      <c r="A27" s="2" t="s">
        <v>27</v>
      </c>
      <c r="B27" s="3" t="s">
        <v>135</v>
      </c>
      <c r="C27" s="2"/>
      <c r="D27" s="2"/>
      <c r="E27" s="2"/>
      <c r="F27" s="2"/>
      <c r="G27" s="2"/>
      <c r="H27" s="2"/>
      <c r="I27" s="2"/>
      <c r="J27" s="2"/>
      <c r="K27" s="2"/>
      <c r="L27" s="2"/>
      <c r="M27" s="2"/>
      <c r="N27" s="2"/>
    </row>
    <row r="28" spans="1:14">
      <c r="A28" s="5"/>
      <c r="B28" s="6" t="s">
        <v>136</v>
      </c>
      <c r="C28" s="5"/>
      <c r="D28" s="5"/>
      <c r="E28" s="5"/>
      <c r="F28" s="5"/>
      <c r="G28" s="5"/>
      <c r="H28" s="5"/>
      <c r="I28" s="5"/>
      <c r="J28" s="5"/>
      <c r="K28" s="5"/>
      <c r="L28" s="5"/>
      <c r="M28" s="5"/>
      <c r="N28" s="5"/>
    </row>
    <row r="29" spans="1:14">
      <c r="A29" s="5"/>
      <c r="B29" s="6" t="s">
        <v>137</v>
      </c>
      <c r="C29" s="5"/>
      <c r="D29" s="5"/>
      <c r="E29" s="5"/>
      <c r="F29" s="5"/>
      <c r="G29" s="5"/>
      <c r="H29" s="5"/>
      <c r="I29" s="5"/>
      <c r="J29" s="5"/>
      <c r="K29" s="5"/>
      <c r="L29" s="5"/>
      <c r="M29" s="5"/>
      <c r="N29" s="5"/>
    </row>
    <row r="30" spans="1:14">
      <c r="A30" s="5"/>
      <c r="B30" s="5"/>
      <c r="C30" s="6" t="s">
        <v>138</v>
      </c>
      <c r="D30" s="5"/>
      <c r="E30" s="5"/>
      <c r="F30" s="5"/>
      <c r="G30" s="5"/>
      <c r="H30" s="5"/>
      <c r="I30" s="5"/>
      <c r="J30" s="5"/>
      <c r="K30" s="5"/>
      <c r="L30" s="5"/>
      <c r="M30" s="5"/>
      <c r="N30" s="5"/>
    </row>
    <row r="31" spans="1:14">
      <c r="D31" s="7" t="s">
        <v>139</v>
      </c>
      <c r="E31" s="8">
        <f>_xlfn.XLOOKUP("PropertyPlantAndEquipment",HS_STANDALONE!$C:$C,HS_STANDALONE!D:D,0,0,1)</f>
        <v>0</v>
      </c>
      <c r="F31" s="8">
        <f>_xlfn.XLOOKUP("PropertyPlantAndEquipment",HS_STANDALONE!$C:$C,HS_STANDALONE!E:E,0,0,1)</f>
        <v>9261500000</v>
      </c>
      <c r="G31" s="8">
        <f>_xlfn.XLOOKUP("PropertyPlantAndEquipment",HS_STANDALONE!$C:$C,HS_STANDALONE!F:F,0,0,1)</f>
        <v>8097900000</v>
      </c>
      <c r="H31" s="8">
        <f>_xlfn.XLOOKUP("PropertyPlantAndEquipment",HS_STANDALONE!$C:$C,HS_STANDALONE!G:G,0,0,1)</f>
        <v>7369100000</v>
      </c>
      <c r="I31" s="8">
        <f>_xlfn.XLOOKUP("PropertyPlantAndEquipment",HS_STANDALONE!$C:$C,HS_STANDALONE!H:H,0,0,1)</f>
        <v>5872900000</v>
      </c>
      <c r="J31" s="8">
        <f>_xlfn.XLOOKUP("PropertyPlantAndEquipment",HS_STANDALONE!$C:$C,HS_STANDALONE!I:I,0,0,1)</f>
        <v>5309000000</v>
      </c>
      <c r="K31" s="8">
        <f>_xlfn.XLOOKUP("PropertyPlantAndEquipment",HS_STANDALONE!$C:$C,HS_STANDALONE!J:J,0,0,1)</f>
        <v>5257400000</v>
      </c>
      <c r="L31" s="8">
        <f>_xlfn.XLOOKUP("PropertyPlantAndEquipment",HS_STANDALONE!$C:$C,HS_STANDALONE!K:K,0,0,1)</f>
        <v>4342600000</v>
      </c>
      <c r="M31" s="8">
        <f>_xlfn.XLOOKUP("PropertyPlantAndEquipment",HS_STANDALONE!$C:$C,HS_STANDALONE!L:L,0,0,1)</f>
        <v>5079500000</v>
      </c>
      <c r="N31" s="8">
        <f>_xlfn.XLOOKUP("PropertyPlantAndEquipment",HS_STANDALONE!$C:$C,HS_STANDALONE!M:M,0,0,1)</f>
        <v>6153700000</v>
      </c>
    </row>
    <row r="32" spans="1:14">
      <c r="D32" s="7" t="s">
        <v>140</v>
      </c>
      <c r="E32" s="8">
        <f>_xlfn.XLOOKUP("CapitalWorkInProgress",HS_STANDALONE!$C:$C,HS_STANDALONE!D:D,0,0,1)</f>
        <v>0</v>
      </c>
      <c r="F32" s="8">
        <f>_xlfn.XLOOKUP("CapitalWorkInProgress",HS_STANDALONE!$C:$C,HS_STANDALONE!E:E,0,0,1)</f>
        <v>727300000</v>
      </c>
      <c r="G32" s="8">
        <f>_xlfn.XLOOKUP("CapitalWorkInProgress",HS_STANDALONE!$C:$C,HS_STANDALONE!F:F,0,0,1)</f>
        <v>1120600000</v>
      </c>
      <c r="H32" s="8">
        <f>_xlfn.XLOOKUP("CapitalWorkInProgress",HS_STANDALONE!$C:$C,HS_STANDALONE!G:G,0,0,1)</f>
        <v>1297400000</v>
      </c>
      <c r="I32" s="8">
        <f>_xlfn.XLOOKUP("CapitalWorkInProgress",HS_STANDALONE!$C:$C,HS_STANDALONE!H:H,0,0,1)</f>
        <v>1046000000</v>
      </c>
      <c r="J32" s="8">
        <f>_xlfn.XLOOKUP("CapitalWorkInProgress",HS_STANDALONE!$C:$C,HS_STANDALONE!I:I,0,0,1)</f>
        <v>963400000</v>
      </c>
      <c r="K32" s="8">
        <f>_xlfn.XLOOKUP("CapitalWorkInProgress",HS_STANDALONE!$C:$C,HS_STANDALONE!J:J,0,0,1)</f>
        <v>76300000</v>
      </c>
      <c r="L32" s="8">
        <f>_xlfn.XLOOKUP("CapitalWorkInProgress",HS_STANDALONE!$C:$C,HS_STANDALONE!K:K,0,0,1)</f>
        <v>8700000</v>
      </c>
      <c r="M32" s="8">
        <f>_xlfn.XLOOKUP("CapitalWorkInProgress",HS_STANDALONE!$C:$C,HS_STANDALONE!L:L,0,0,1)</f>
        <v>33700000</v>
      </c>
      <c r="N32" s="8">
        <f>_xlfn.XLOOKUP("CapitalWorkInProgress",HS_STANDALONE!$C:$C,HS_STANDALONE!M:M,0,0,1)</f>
        <v>596000000</v>
      </c>
    </row>
    <row r="33" spans="1:14">
      <c r="D33" s="7" t="s">
        <v>141</v>
      </c>
      <c r="E33" s="8">
        <f>_xlfn.XLOOKUP("Goodwill",HS_STANDALONE!$C:$C,HS_STANDALONE!D:D,0,0,1)</f>
        <v>0</v>
      </c>
      <c r="F33" s="8">
        <f>_xlfn.XLOOKUP("Goodwill",HS_STANDALONE!$C:$C,HS_STANDALONE!E:E,0,0,1)</f>
        <v>6433600000</v>
      </c>
      <c r="G33" s="8">
        <f>_xlfn.XLOOKUP("Goodwill",HS_STANDALONE!$C:$C,HS_STANDALONE!F:F,0,0,1)</f>
        <v>4718000000</v>
      </c>
      <c r="H33" s="8">
        <f>_xlfn.XLOOKUP("Goodwill",HS_STANDALONE!$C:$C,HS_STANDALONE!G:G,0,0,1)</f>
        <v>3002400000</v>
      </c>
      <c r="I33" s="8">
        <f>_xlfn.XLOOKUP("Goodwill",HS_STANDALONE!$C:$C,HS_STANDALONE!H:H,0,0,1)</f>
        <v>0</v>
      </c>
      <c r="J33" s="8">
        <f>_xlfn.XLOOKUP("Goodwill",HS_STANDALONE!$C:$C,HS_STANDALONE!I:I,0,0,1)</f>
        <v>0</v>
      </c>
      <c r="K33" s="8">
        <f>_xlfn.XLOOKUP("Goodwill",HS_STANDALONE!$C:$C,HS_STANDALONE!J:J,0,0,1)</f>
        <v>0</v>
      </c>
      <c r="L33" s="8">
        <f>_xlfn.XLOOKUP("Goodwill",HS_STANDALONE!$C:$C,HS_STANDALONE!K:K,0,0,1)</f>
        <v>0</v>
      </c>
      <c r="M33" s="8">
        <f>_xlfn.XLOOKUP("Goodwill",HS_STANDALONE!$C:$C,HS_STANDALONE!L:L,0,0,1)</f>
        <v>0</v>
      </c>
      <c r="N33" s="8">
        <f>_xlfn.XLOOKUP("Goodwill",HS_STANDALONE!$C:$C,HS_STANDALONE!M:M,0,0,1)</f>
        <v>0</v>
      </c>
    </row>
    <row r="34" spans="1:14">
      <c r="D34" s="7" t="s">
        <v>142</v>
      </c>
      <c r="E34" s="8">
        <f>_xlfn.XLOOKUP("OtherIntangibleAssets",HS_STANDALONE!$C:$C,HS_STANDALONE!D:D,0,0,1)</f>
        <v>0</v>
      </c>
      <c r="F34" s="8">
        <f>_xlfn.XLOOKUP("OtherIntangibleAssets",HS_STANDALONE!$C:$C,HS_STANDALONE!E:E,0,0,1)</f>
        <v>1858800000</v>
      </c>
      <c r="G34" s="8">
        <f>_xlfn.XLOOKUP("OtherIntangibleAssets",HS_STANDALONE!$C:$C,HS_STANDALONE!F:F,0,0,1)</f>
        <v>1476100000</v>
      </c>
      <c r="H34" s="8">
        <f>_xlfn.XLOOKUP("OtherIntangibleAssets",HS_STANDALONE!$C:$C,HS_STANDALONE!G:G,0,0,1)</f>
        <v>3297700000</v>
      </c>
      <c r="I34" s="8">
        <f>_xlfn.XLOOKUP("OtherIntangibleAssets",HS_STANDALONE!$C:$C,HS_STANDALONE!H:H,0,0,1)</f>
        <v>2705900000</v>
      </c>
      <c r="J34" s="8">
        <f>_xlfn.XLOOKUP("OtherIntangibleAssets",HS_STANDALONE!$C:$C,HS_STANDALONE!I:I,0,0,1)</f>
        <v>1942400000</v>
      </c>
      <c r="K34" s="8">
        <f>_xlfn.XLOOKUP("OtherIntangibleAssets",HS_STANDALONE!$C:$C,HS_STANDALONE!J:J,0,0,1)</f>
        <v>1247000000</v>
      </c>
      <c r="L34" s="8">
        <f>_xlfn.XLOOKUP("OtherIntangibleAssets",HS_STANDALONE!$C:$C,HS_STANDALONE!K:K,0,0,1)</f>
        <v>629000000</v>
      </c>
      <c r="M34" s="8">
        <f>_xlfn.XLOOKUP("OtherIntangibleAssets",HS_STANDALONE!$C:$C,HS_STANDALONE!L:L,0,0,1)</f>
        <v>536400000</v>
      </c>
      <c r="N34" s="8">
        <f>_xlfn.XLOOKUP("OtherIntangibleAssets",HS_STANDALONE!$C:$C,HS_STANDALONE!M:M,0,0,1)</f>
        <v>913500000</v>
      </c>
    </row>
    <row r="35" spans="1:14">
      <c r="D35" s="7" t="s">
        <v>143</v>
      </c>
      <c r="E35" s="8">
        <f>_xlfn.XLOOKUP("IntangibleAssetsUnderDevelopment",HS_STANDALONE!$C:$C,HS_STANDALONE!D:D,0,0,1)</f>
        <v>0</v>
      </c>
      <c r="F35" s="8">
        <f>_xlfn.XLOOKUP("IntangibleAssetsUnderDevelopment",HS_STANDALONE!$C:$C,HS_STANDALONE!E:E,0,0,1)</f>
        <v>555300000</v>
      </c>
      <c r="G35" s="8">
        <f>_xlfn.XLOOKUP("IntangibleAssetsUnderDevelopment",HS_STANDALONE!$C:$C,HS_STANDALONE!F:F,0,0,1)</f>
        <v>1798200000</v>
      </c>
      <c r="H35" s="8">
        <f>_xlfn.XLOOKUP("IntangibleAssetsUnderDevelopment",HS_STANDALONE!$C:$C,HS_STANDALONE!G:G,0,0,1)</f>
        <v>104100000</v>
      </c>
      <c r="I35" s="8">
        <f>_xlfn.XLOOKUP("IntangibleAssetsUnderDevelopment",HS_STANDALONE!$C:$C,HS_STANDALONE!H:H,0,0,1)</f>
        <v>123000000</v>
      </c>
      <c r="J35" s="8">
        <f>_xlfn.XLOOKUP("IntangibleAssetsUnderDevelopment",HS_STANDALONE!$C:$C,HS_STANDALONE!I:I,0,0,1)</f>
        <v>35200000</v>
      </c>
      <c r="K35" s="8">
        <f>_xlfn.XLOOKUP("IntangibleAssetsUnderDevelopment",HS_STANDALONE!$C:$C,HS_STANDALONE!J:J,0,0,1)</f>
        <v>44200000</v>
      </c>
      <c r="L35" s="8">
        <f>_xlfn.XLOOKUP("IntangibleAssetsUnderDevelopment",HS_STANDALONE!$C:$C,HS_STANDALONE!K:K,0,0,1)</f>
        <v>34300000</v>
      </c>
      <c r="M35" s="8">
        <f>_xlfn.XLOOKUP("IntangibleAssetsUnderDevelopment",HS_STANDALONE!$C:$C,HS_STANDALONE!L:L,0,0,1)</f>
        <v>35100000</v>
      </c>
      <c r="N35" s="8">
        <f>_xlfn.XLOOKUP("IntangibleAssetsUnderDevelopment",HS_STANDALONE!$C:$C,HS_STANDALONE!M:M,0,0,1)</f>
        <v>163500000</v>
      </c>
    </row>
    <row r="36" spans="1:14">
      <c r="D36" s="7" t="s">
        <v>144</v>
      </c>
      <c r="E36" s="8">
        <f>_xlfn.XLOOKUP("TradeReceivablesNoncurrent",HS_STANDALONE!$C:$C,HS_STANDALONE!D:D,0,0,1)</f>
        <v>0</v>
      </c>
      <c r="F36" s="8">
        <f>_xlfn.XLOOKUP("TradeReceivablesNoncurrent",HS_STANDALONE!$C:$C,HS_STANDALONE!E:E,0,0,1)</f>
        <v>346400000</v>
      </c>
      <c r="G36" s="8">
        <f>_xlfn.XLOOKUP("TradeReceivablesNoncurrent",HS_STANDALONE!$C:$C,HS_STANDALONE!F:F,0,0,1)</f>
        <v>48400000</v>
      </c>
      <c r="H36" s="8">
        <f>_xlfn.XLOOKUP("TradeReceivablesNoncurrent",HS_STANDALONE!$C:$C,HS_STANDALONE!G:G,0,0,1)</f>
        <v>0</v>
      </c>
      <c r="I36" s="8">
        <f>_xlfn.XLOOKUP("TradeReceivablesNoncurrent",HS_STANDALONE!$C:$C,HS_STANDALONE!H:H,0,0,1)</f>
        <v>0</v>
      </c>
      <c r="J36" s="8">
        <f>_xlfn.XLOOKUP("TradeReceivablesNoncurrent",HS_STANDALONE!$C:$C,HS_STANDALONE!I:I,0,0,1)</f>
        <v>0</v>
      </c>
      <c r="K36" s="8">
        <f>_xlfn.XLOOKUP("TradeReceivablesNoncurrent",HS_STANDALONE!$C:$C,HS_STANDALONE!J:J,0,0,1)</f>
        <v>0</v>
      </c>
      <c r="L36" s="8">
        <f>_xlfn.XLOOKUP("TradeReceivablesNoncurrent",HS_STANDALONE!$C:$C,HS_STANDALONE!K:K,0,0,1)</f>
        <v>0</v>
      </c>
      <c r="M36" s="8">
        <f>_xlfn.XLOOKUP("TradeReceivablesNoncurrent",HS_STANDALONE!$C:$C,HS_STANDALONE!L:L,0,0,1)</f>
        <v>0</v>
      </c>
      <c r="N36" s="8">
        <f>_xlfn.XLOOKUP("TradeReceivablesNoncurrent",HS_STANDALONE!$C:$C,HS_STANDALONE!M:M,0,0,1)</f>
        <v>0</v>
      </c>
    </row>
    <row r="37" spans="1:14">
      <c r="D37" s="7" t="s">
        <v>145</v>
      </c>
      <c r="E37" s="8">
        <f>_xlfn.XLOOKUP("OtherNoncurrentAssets",HS_STANDALONE!$C:$C,HS_STANDALONE!D:D,0,0,1)</f>
        <v>0</v>
      </c>
      <c r="F37" s="8">
        <f>_xlfn.XLOOKUP("OtherNoncurrentAssets",HS_STANDALONE!$C:$C,HS_STANDALONE!E:E,0,0,1)</f>
        <v>317100000</v>
      </c>
      <c r="G37" s="8">
        <f>_xlfn.XLOOKUP("OtherNoncurrentAssets",HS_STANDALONE!$C:$C,HS_STANDALONE!F:F,0,0,1)</f>
        <v>269600000</v>
      </c>
      <c r="H37" s="8">
        <f>_xlfn.XLOOKUP("OtherNoncurrentAssets",HS_STANDALONE!$C:$C,HS_STANDALONE!G:G,0,0,1)</f>
        <v>186700000</v>
      </c>
      <c r="I37" s="8">
        <f>_xlfn.XLOOKUP("OtherNoncurrentAssets",HS_STANDALONE!$C:$C,HS_STANDALONE!H:H,0,0,1)</f>
        <v>725800000</v>
      </c>
      <c r="J37" s="8">
        <f>_xlfn.XLOOKUP("OtherNoncurrentAssets",HS_STANDALONE!$C:$C,HS_STANDALONE!I:I,0,0,1)</f>
        <v>652200000</v>
      </c>
      <c r="K37" s="8">
        <f>_xlfn.XLOOKUP("OtherNoncurrentAssets",HS_STANDALONE!$C:$C,HS_STANDALONE!J:J,0,0,1)</f>
        <v>692900000</v>
      </c>
      <c r="L37" s="8">
        <f>_xlfn.XLOOKUP("OtherNoncurrentAssets",HS_STANDALONE!$C:$C,HS_STANDALONE!K:K,0,0,1)</f>
        <v>713100000</v>
      </c>
      <c r="M37" s="8">
        <f>_xlfn.XLOOKUP("OtherNoncurrentAssets",HS_STANDALONE!$C:$C,HS_STANDALONE!L:L,0,0,1)</f>
        <v>421200000</v>
      </c>
      <c r="N37" s="8">
        <f>_xlfn.XLOOKUP("OtherNoncurrentAssets",HS_STANDALONE!$C:$C,HS_STANDALONE!M:M,0,0,1)</f>
        <v>625400000</v>
      </c>
    </row>
    <row r="38" spans="1:14">
      <c r="A38" s="9"/>
      <c r="B38" s="9"/>
      <c r="C38" s="10" t="s">
        <v>146</v>
      </c>
      <c r="D38" s="9"/>
      <c r="E38" s="11">
        <f t="shared" ref="E38:N38" si="7">IFERROR(SUM(E31:E37),0)</f>
        <v>0</v>
      </c>
      <c r="F38" s="11">
        <f t="shared" si="7"/>
        <v>19500000000</v>
      </c>
      <c r="G38" s="11">
        <f t="shared" si="7"/>
        <v>17528800000</v>
      </c>
      <c r="H38" s="11">
        <f t="shared" si="7"/>
        <v>15257400000</v>
      </c>
      <c r="I38" s="11">
        <f t="shared" si="7"/>
        <v>10473600000</v>
      </c>
      <c r="J38" s="11">
        <f t="shared" si="7"/>
        <v>8902200000</v>
      </c>
      <c r="K38" s="11">
        <f t="shared" si="7"/>
        <v>7317800000</v>
      </c>
      <c r="L38" s="11">
        <f t="shared" si="7"/>
        <v>5727700000</v>
      </c>
      <c r="M38" s="11">
        <f t="shared" si="7"/>
        <v>6105900000</v>
      </c>
      <c r="N38" s="11">
        <f t="shared" si="7"/>
        <v>8452100000</v>
      </c>
    </row>
    <row r="39" spans="1:14">
      <c r="A39" s="5"/>
      <c r="B39" s="5"/>
      <c r="C39" s="6" t="s">
        <v>147</v>
      </c>
      <c r="D39" s="5"/>
      <c r="E39" s="5"/>
      <c r="F39" s="5"/>
      <c r="G39" s="5"/>
      <c r="H39" s="5"/>
      <c r="I39" s="5"/>
      <c r="J39" s="5"/>
      <c r="K39" s="5"/>
      <c r="L39" s="5"/>
      <c r="M39" s="5"/>
      <c r="N39" s="5"/>
    </row>
    <row r="40" spans="1:14">
      <c r="D40" s="7" t="s">
        <v>148</v>
      </c>
      <c r="E40" s="8">
        <f>_xlfn.XLOOKUP("InvestmentProperty",HS_STANDALONE!$C:$C,HS_STANDALONE!D:D,0,0,1)</f>
        <v>0</v>
      </c>
      <c r="F40" s="8">
        <f>_xlfn.XLOOKUP("InvestmentProperty",HS_STANDALONE!$C:$C,HS_STANDALONE!E:E,0,0,1)</f>
        <v>341400000</v>
      </c>
      <c r="G40" s="8">
        <f>_xlfn.XLOOKUP("InvestmentProperty",HS_STANDALONE!$C:$C,HS_STANDALONE!F:F,0,0,1)</f>
        <v>407900000</v>
      </c>
      <c r="H40" s="8">
        <f>_xlfn.XLOOKUP("InvestmentProperty",HS_STANDALONE!$C:$C,HS_STANDALONE!G:G,0,0,1)</f>
        <v>373600000</v>
      </c>
      <c r="I40" s="8">
        <f>_xlfn.XLOOKUP("InvestmentProperty",HS_STANDALONE!$C:$C,HS_STANDALONE!H:H,0,0,1)</f>
        <v>346700000</v>
      </c>
      <c r="J40" s="8">
        <f>_xlfn.XLOOKUP("InvestmentProperty",HS_STANDALONE!$C:$C,HS_STANDALONE!I:I,0,0,1)</f>
        <v>326400000</v>
      </c>
      <c r="K40" s="8">
        <f>_xlfn.XLOOKUP("InvestmentProperty",HS_STANDALONE!$C:$C,HS_STANDALONE!J:J,0,0,1)</f>
        <v>308600000</v>
      </c>
      <c r="L40" s="8">
        <f>_xlfn.XLOOKUP("InvestmentProperty",HS_STANDALONE!$C:$C,HS_STANDALONE!K:K,0,0,1)</f>
        <v>292100000</v>
      </c>
      <c r="M40" s="8">
        <f>_xlfn.XLOOKUP("InvestmentProperty",HS_STANDALONE!$C:$C,HS_STANDALONE!L:L,0,0,1)</f>
        <v>270100000</v>
      </c>
      <c r="N40" s="8">
        <f>_xlfn.XLOOKUP("InvestmentProperty",HS_STANDALONE!$C:$C,HS_STANDALONE!M:M,0,0,1)</f>
        <v>257500000</v>
      </c>
    </row>
    <row r="41" spans="1:14">
      <c r="D41" s="7" t="s">
        <v>149</v>
      </c>
      <c r="E41" s="8">
        <f>_xlfn.XLOOKUP("InvestmentsAccountedForUsingEquityMethod",HS_STANDALONE!$C:$C,HS_STANDALONE!D:D,0,0,1)</f>
        <v>0</v>
      </c>
      <c r="F41" s="8">
        <f>_xlfn.XLOOKUP("InvestmentsAccountedForUsingEquityMethod",HS_STANDALONE!$C:$C,HS_STANDALONE!E:E,0,0,1)</f>
        <v>0</v>
      </c>
      <c r="G41" s="8">
        <f>_xlfn.XLOOKUP("InvestmentsAccountedForUsingEquityMethod",HS_STANDALONE!$C:$C,HS_STANDALONE!F:F,0,0,1)</f>
        <v>1155400000</v>
      </c>
      <c r="H41" s="8">
        <f>_xlfn.XLOOKUP("InvestmentsAccountedForUsingEquityMethod",HS_STANDALONE!$C:$C,HS_STANDALONE!G:G,0,0,1)</f>
        <v>0</v>
      </c>
      <c r="I41" s="8">
        <f>_xlfn.XLOOKUP("InvestmentsAccountedForUsingEquityMethod",HS_STANDALONE!$C:$C,HS_STANDALONE!H:H,0,0,1)</f>
        <v>298000000</v>
      </c>
      <c r="J41" s="8">
        <f>_xlfn.XLOOKUP("InvestmentsAccountedForUsingEquityMethod",HS_STANDALONE!$C:$C,HS_STANDALONE!I:I,0,0,1)</f>
        <v>298000000</v>
      </c>
      <c r="K41" s="8">
        <f>_xlfn.XLOOKUP("InvestmentsAccountedForUsingEquityMethod",HS_STANDALONE!$C:$C,HS_STANDALONE!J:J,0,0,1)</f>
        <v>0</v>
      </c>
      <c r="L41" s="8">
        <f>_xlfn.XLOOKUP("InvestmentsAccountedForUsingEquityMethod",HS_STANDALONE!$C:$C,HS_STANDALONE!K:K,0,0,1)</f>
        <v>0</v>
      </c>
      <c r="M41" s="8">
        <f>_xlfn.XLOOKUP("InvestmentsAccountedForUsingEquityMethod",HS_STANDALONE!$C:$C,HS_STANDALONE!L:L,0,0,1)</f>
        <v>0</v>
      </c>
      <c r="N41" s="8">
        <f>_xlfn.XLOOKUP("InvestmentsAccountedForUsingEquityMethod",HS_STANDALONE!$C:$C,HS_STANDALONE!M:M,0,0,1)</f>
        <v>0</v>
      </c>
    </row>
    <row r="42" spans="1:14">
      <c r="D42" s="7" t="s">
        <v>150</v>
      </c>
      <c r="E42" s="8">
        <f>_xlfn.XLOOKUP("NoncurrentInvestments",HS_STANDALONE!$C:$C,HS_STANDALONE!D:D,0,0,1)</f>
        <v>0</v>
      </c>
      <c r="F42" s="8">
        <f>_xlfn.XLOOKUP("NoncurrentInvestments",HS_STANDALONE!$C:$C,HS_STANDALONE!E:E,0,0,1)</f>
        <v>31667700000</v>
      </c>
      <c r="G42" s="8">
        <f>_xlfn.XLOOKUP("NoncurrentInvestments",HS_STANDALONE!$C:$C,HS_STANDALONE!F:F,0,0,1)</f>
        <v>27629200000</v>
      </c>
      <c r="H42" s="8">
        <f>_xlfn.XLOOKUP("NoncurrentInvestments",HS_STANDALONE!$C:$C,HS_STANDALONE!G:G,0,0,1)</f>
        <v>20085800000</v>
      </c>
      <c r="I42" s="8">
        <f>_xlfn.XLOOKUP("NoncurrentInvestments",HS_STANDALONE!$C:$C,HS_STANDALONE!H:H,0,0,1)</f>
        <v>17521500000</v>
      </c>
      <c r="J42" s="8">
        <f>_xlfn.XLOOKUP("NoncurrentInvestments",HS_STANDALONE!$C:$C,HS_STANDALONE!I:I,0,0,1)</f>
        <v>17508400000</v>
      </c>
      <c r="K42" s="8">
        <f>_xlfn.XLOOKUP("NoncurrentInvestments",HS_STANDALONE!$C:$C,HS_STANDALONE!J:J,0,0,1)</f>
        <v>17519800000</v>
      </c>
      <c r="L42" s="8">
        <f>_xlfn.XLOOKUP("NoncurrentInvestments",HS_STANDALONE!$C:$C,HS_STANDALONE!K:K,0,0,1)</f>
        <v>17539000000</v>
      </c>
      <c r="M42" s="8">
        <f>_xlfn.XLOOKUP("NoncurrentInvestments",HS_STANDALONE!$C:$C,HS_STANDALONE!L:L,0,0,1)</f>
        <v>17564600000</v>
      </c>
      <c r="N42" s="8">
        <f>_xlfn.XLOOKUP("NoncurrentInvestments",HS_STANDALONE!$C:$C,HS_STANDALONE!M:M,0,0,1)</f>
        <v>12776900000</v>
      </c>
    </row>
    <row r="43" spans="1:14">
      <c r="D43" s="7" t="s">
        <v>151</v>
      </c>
      <c r="E43" s="8">
        <f>_xlfn.XLOOKUP("LoansNoncurrent",HS_STANDALONE!$C:$C,HS_STANDALONE!D:D,0,0,1)</f>
        <v>0</v>
      </c>
      <c r="F43" s="8">
        <f>_xlfn.XLOOKUP("LoansNoncurrent",HS_STANDALONE!$C:$C,HS_STANDALONE!E:E,0,0,1)</f>
        <v>11292400000</v>
      </c>
      <c r="G43" s="8">
        <f>_xlfn.XLOOKUP("LoansNoncurrent",HS_STANDALONE!$C:$C,HS_STANDALONE!F:F,0,0,1)</f>
        <v>9975300000</v>
      </c>
      <c r="H43" s="8">
        <f>_xlfn.XLOOKUP("LoansNoncurrent",HS_STANDALONE!$C:$C,HS_STANDALONE!G:G,0,0,1)</f>
        <v>6599200000</v>
      </c>
      <c r="I43" s="8">
        <f>_xlfn.XLOOKUP("LoansNoncurrent",HS_STANDALONE!$C:$C,HS_STANDALONE!H:H,0,0,1)</f>
        <v>4191600000</v>
      </c>
      <c r="J43" s="8">
        <f>_xlfn.XLOOKUP("LoansNoncurrent",HS_STANDALONE!$C:$C,HS_STANDALONE!I:I,0,0,1)</f>
        <v>2899700000</v>
      </c>
      <c r="K43" s="8">
        <f>_xlfn.XLOOKUP("LoansNoncurrent",HS_STANDALONE!$C:$C,HS_STANDALONE!J:J,0,0,1)</f>
        <v>525100000</v>
      </c>
      <c r="L43" s="8">
        <f>_xlfn.XLOOKUP("LoansNoncurrent",HS_STANDALONE!$C:$C,HS_STANDALONE!K:K,0,0,1)</f>
        <v>12444200000</v>
      </c>
      <c r="M43" s="8">
        <f>_xlfn.XLOOKUP("LoansNoncurrent",HS_STANDALONE!$C:$C,HS_STANDALONE!L:L,0,0,1)</f>
        <v>9790700000</v>
      </c>
      <c r="N43" s="8">
        <f>_xlfn.XLOOKUP("LoansNoncurrent",HS_STANDALONE!$C:$C,HS_STANDALONE!M:M,0,0,1)</f>
        <v>1390600000</v>
      </c>
    </row>
    <row r="44" spans="1:14">
      <c r="D44" s="7" t="s">
        <v>152</v>
      </c>
      <c r="E44" s="8">
        <f>_xlfn.XLOOKUP("OtherNoncurrentFinancialAssets",HS_STANDALONE!$C:$C,HS_STANDALONE!D:D,0,0,1)</f>
        <v>0</v>
      </c>
      <c r="F44" s="8">
        <f>_xlfn.XLOOKUP("OtherNoncurrentFinancialAssets",HS_STANDALONE!$C:$C,HS_STANDALONE!E:E,0,0,1)</f>
        <v>6204600000</v>
      </c>
      <c r="G44" s="8">
        <f>_xlfn.XLOOKUP("OtherNoncurrentFinancialAssets",HS_STANDALONE!$C:$C,HS_STANDALONE!F:F,0,0,1)</f>
        <v>4882200000</v>
      </c>
      <c r="H44" s="8">
        <f>_xlfn.XLOOKUP("OtherNoncurrentFinancialAssets",HS_STANDALONE!$C:$C,HS_STANDALONE!G:G,0,0,1)</f>
        <v>4176900000</v>
      </c>
      <c r="I44" s="8">
        <f>_xlfn.XLOOKUP("OtherNoncurrentFinancialAssets",HS_STANDALONE!$C:$C,HS_STANDALONE!H:H,0,0,1)</f>
        <v>2288300000</v>
      </c>
      <c r="J44" s="8">
        <f>_xlfn.XLOOKUP("OtherNoncurrentFinancialAssets",HS_STANDALONE!$C:$C,HS_STANDALONE!I:I,0,0,1)</f>
        <v>3453000000</v>
      </c>
      <c r="K44" s="8">
        <f>_xlfn.XLOOKUP("OtherNoncurrentFinancialAssets",HS_STANDALONE!$C:$C,HS_STANDALONE!J:J,0,0,1)</f>
        <v>2286700000</v>
      </c>
      <c r="L44" s="8">
        <f>_xlfn.XLOOKUP("OtherNoncurrentFinancialAssets",HS_STANDALONE!$C:$C,HS_STANDALONE!K:K,0,0,1)</f>
        <v>3833900000</v>
      </c>
      <c r="M44" s="8">
        <f>_xlfn.XLOOKUP("OtherNoncurrentFinancialAssets",HS_STANDALONE!$C:$C,HS_STANDALONE!L:L,0,0,1)</f>
        <v>8416700000</v>
      </c>
      <c r="N44" s="8">
        <f>_xlfn.XLOOKUP("OtherNoncurrentFinancialAssets",HS_STANDALONE!$C:$C,HS_STANDALONE!M:M,0,0,1)</f>
        <v>10626700000</v>
      </c>
    </row>
    <row r="45" spans="1:14">
      <c r="D45" s="7" t="s">
        <v>153</v>
      </c>
      <c r="E45" s="8">
        <f>_xlfn.XLOOKUP("DeferredTaxAssetsNet",HS_STANDALONE!$C:$C,HS_STANDALONE!D:D,0,0,1)</f>
        <v>0</v>
      </c>
      <c r="F45" s="8">
        <f>_xlfn.XLOOKUP("DeferredTaxAssetsNet",HS_STANDALONE!$C:$C,HS_STANDALONE!E:E,0,0,1)</f>
        <v>0</v>
      </c>
      <c r="G45" s="8">
        <f>_xlfn.XLOOKUP("DeferredTaxAssetsNet",HS_STANDALONE!$C:$C,HS_STANDALONE!F:F,0,0,1)</f>
        <v>0</v>
      </c>
      <c r="H45" s="8">
        <f>_xlfn.XLOOKUP("DeferredTaxAssetsNet",HS_STANDALONE!$C:$C,HS_STANDALONE!G:G,0,0,1)</f>
        <v>0</v>
      </c>
      <c r="I45" s="8">
        <f>_xlfn.XLOOKUP("DeferredTaxAssetsNet",HS_STANDALONE!$C:$C,HS_STANDALONE!H:H,0,0,1)</f>
        <v>0</v>
      </c>
      <c r="J45" s="8">
        <f>_xlfn.XLOOKUP("DeferredTaxAssetsNet",HS_STANDALONE!$C:$C,HS_STANDALONE!I:I,0,0,1)</f>
        <v>0</v>
      </c>
      <c r="K45" s="8">
        <f>_xlfn.XLOOKUP("DeferredTaxAssetsNet",HS_STANDALONE!$C:$C,HS_STANDALONE!J:J,0,0,1)</f>
        <v>0</v>
      </c>
      <c r="L45" s="8">
        <f>_xlfn.XLOOKUP("DeferredTaxAssetsNet",HS_STANDALONE!$C:$C,HS_STANDALONE!K:K,0,0,1)</f>
        <v>0</v>
      </c>
      <c r="M45" s="8">
        <f>_xlfn.XLOOKUP("DeferredTaxAssetsNet",HS_STANDALONE!$C:$C,HS_STANDALONE!L:L,0,0,1)</f>
        <v>0</v>
      </c>
      <c r="N45" s="8">
        <f>_xlfn.XLOOKUP("DeferredTaxAssetsNet",HS_STANDALONE!$C:$C,HS_STANDALONE!M:M,0,0,1)</f>
        <v>6380500000</v>
      </c>
    </row>
    <row r="46" spans="1:14">
      <c r="A46" s="9"/>
      <c r="B46" s="9"/>
      <c r="C46" s="10" t="s">
        <v>154</v>
      </c>
      <c r="D46" s="9"/>
      <c r="E46" s="11">
        <f t="shared" ref="E46:N46" si="8">IFERROR(SUM(E40:E45),0)</f>
        <v>0</v>
      </c>
      <c r="F46" s="11">
        <f t="shared" si="8"/>
        <v>49506100000</v>
      </c>
      <c r="G46" s="11">
        <f t="shared" si="8"/>
        <v>44050000000</v>
      </c>
      <c r="H46" s="11">
        <f t="shared" si="8"/>
        <v>31235500000</v>
      </c>
      <c r="I46" s="11">
        <f t="shared" si="8"/>
        <v>24646100000</v>
      </c>
      <c r="J46" s="11">
        <f t="shared" si="8"/>
        <v>24485500000</v>
      </c>
      <c r="K46" s="11">
        <f t="shared" si="8"/>
        <v>20640200000</v>
      </c>
      <c r="L46" s="11">
        <f t="shared" si="8"/>
        <v>34109200000</v>
      </c>
      <c r="M46" s="11">
        <f t="shared" si="8"/>
        <v>36042100000</v>
      </c>
      <c r="N46" s="11">
        <f t="shared" si="8"/>
        <v>31432200000</v>
      </c>
    </row>
    <row r="47" spans="1:14">
      <c r="C47" s="7" t="s">
        <v>155</v>
      </c>
      <c r="E47" s="8">
        <f>_xlfn.XLOOKUP("NoncurrentFinancialAssets",HS_STANDALONE!$C:$C,HS_STANDALONE!D:D,0,0,1)</f>
        <v>0</v>
      </c>
      <c r="F47" s="8">
        <f>_xlfn.XLOOKUP("NoncurrentFinancialAssets",HS_STANDALONE!$C:$C,HS_STANDALONE!E:E,0,0,1)</f>
        <v>49511100000</v>
      </c>
      <c r="G47" s="8">
        <f>_xlfn.XLOOKUP("NoncurrentFinancialAssets",HS_STANDALONE!$C:$C,HS_STANDALONE!F:F,0,0,1)</f>
        <v>42535100000</v>
      </c>
      <c r="H47" s="8">
        <f>_xlfn.XLOOKUP("NoncurrentFinancialAssets",HS_STANDALONE!$C:$C,HS_STANDALONE!G:G,0,0,1)</f>
        <v>30861900000</v>
      </c>
      <c r="I47" s="8">
        <f>_xlfn.XLOOKUP("NoncurrentFinancialAssets",HS_STANDALONE!$C:$C,HS_STANDALONE!H:H,0,0,1)</f>
        <v>24001400000</v>
      </c>
      <c r="J47" s="8">
        <f>_xlfn.XLOOKUP("NoncurrentFinancialAssets",HS_STANDALONE!$C:$C,HS_STANDALONE!I:I,0,0,1)</f>
        <v>23861100000</v>
      </c>
      <c r="K47" s="8">
        <f>_xlfn.XLOOKUP("NoncurrentFinancialAssets",HS_STANDALONE!$C:$C,HS_STANDALONE!J:J,0,0,1)</f>
        <v>20331600000</v>
      </c>
      <c r="L47" s="8">
        <f>_xlfn.XLOOKUP("NoncurrentFinancialAssets",HS_STANDALONE!$C:$C,HS_STANDALONE!K:K,0,0,1)</f>
        <v>33817100000</v>
      </c>
      <c r="M47" s="8">
        <f>_xlfn.XLOOKUP("NoncurrentFinancialAssets",HS_STANDALONE!$C:$C,HS_STANDALONE!L:L,0,0,1)</f>
        <v>35772000000</v>
      </c>
      <c r="N47" s="8">
        <f>_xlfn.XLOOKUP("NoncurrentFinancialAssets",HS_STANDALONE!$C:$C,HS_STANDALONE!M:M,0,0,1)</f>
        <v>24794200000</v>
      </c>
    </row>
    <row r="48" spans="1:14">
      <c r="A48" s="12"/>
      <c r="B48" s="13" t="s">
        <v>156</v>
      </c>
      <c r="C48" s="12"/>
      <c r="D48" s="12"/>
      <c r="E48" s="14">
        <f t="shared" ref="E48:N48" si="9">IFERROR(E46+E38,0)</f>
        <v>0</v>
      </c>
      <c r="F48" s="14">
        <f t="shared" si="9"/>
        <v>69006100000</v>
      </c>
      <c r="G48" s="14">
        <f t="shared" si="9"/>
        <v>61578800000</v>
      </c>
      <c r="H48" s="14">
        <f t="shared" si="9"/>
        <v>46492900000</v>
      </c>
      <c r="I48" s="14">
        <f t="shared" si="9"/>
        <v>35119700000</v>
      </c>
      <c r="J48" s="14">
        <f t="shared" si="9"/>
        <v>33387700000</v>
      </c>
      <c r="K48" s="14">
        <f t="shared" si="9"/>
        <v>27958000000</v>
      </c>
      <c r="L48" s="14">
        <f t="shared" si="9"/>
        <v>39836900000</v>
      </c>
      <c r="M48" s="14">
        <f t="shared" si="9"/>
        <v>42148000000</v>
      </c>
      <c r="N48" s="14">
        <f t="shared" si="9"/>
        <v>39884300000</v>
      </c>
    </row>
    <row r="49" spans="1:14">
      <c r="A49" s="5"/>
      <c r="B49" s="6" t="s">
        <v>157</v>
      </c>
      <c r="C49" s="5"/>
      <c r="D49" s="5"/>
      <c r="E49" s="5"/>
      <c r="F49" s="5"/>
      <c r="G49" s="5"/>
      <c r="H49" s="5"/>
      <c r="I49" s="5"/>
      <c r="J49" s="5"/>
      <c r="K49" s="5"/>
      <c r="L49" s="5"/>
      <c r="M49" s="5"/>
      <c r="N49" s="5"/>
    </row>
    <row r="50" spans="1:14">
      <c r="A50" s="5"/>
      <c r="B50" s="5"/>
      <c r="C50" s="6" t="s">
        <v>138</v>
      </c>
      <c r="D50" s="5"/>
      <c r="E50" s="5"/>
      <c r="F50" s="5"/>
      <c r="G50" s="5"/>
      <c r="H50" s="5"/>
      <c r="I50" s="5"/>
      <c r="J50" s="5"/>
      <c r="K50" s="5"/>
      <c r="L50" s="5"/>
      <c r="M50" s="5"/>
      <c r="N50" s="5"/>
    </row>
    <row r="51" spans="1:14">
      <c r="D51" s="7" t="s">
        <v>158</v>
      </c>
      <c r="E51" s="8">
        <f>_xlfn.XLOOKUP("Inventories",HS_STANDALONE!$C:$C,HS_STANDALONE!D:D,0,0,1)</f>
        <v>0</v>
      </c>
      <c r="F51" s="8">
        <f>_xlfn.XLOOKUP("Inventories",HS_STANDALONE!$C:$C,HS_STANDALONE!E:E,0,0,1)</f>
        <v>22758700000</v>
      </c>
      <c r="G51" s="8">
        <f>_xlfn.XLOOKUP("Inventories",HS_STANDALONE!$C:$C,HS_STANDALONE!F:F,0,0,1)</f>
        <v>15518100000</v>
      </c>
      <c r="H51" s="8">
        <f>_xlfn.XLOOKUP("Inventories",HS_STANDALONE!$C:$C,HS_STANDALONE!G:G,0,0,1)</f>
        <v>11803400000</v>
      </c>
      <c r="I51" s="8">
        <f>_xlfn.XLOOKUP("Inventories",HS_STANDALONE!$C:$C,HS_STANDALONE!H:H,0,0,1)</f>
        <v>8971400000</v>
      </c>
      <c r="J51" s="8">
        <f>_xlfn.XLOOKUP("Inventories",HS_STANDALONE!$C:$C,HS_STANDALONE!I:I,0,0,1)</f>
        <v>8619300000</v>
      </c>
      <c r="K51" s="8">
        <f>_xlfn.XLOOKUP("Inventories",HS_STANDALONE!$C:$C,HS_STANDALONE!J:J,0,0,1)</f>
        <v>11674700000</v>
      </c>
      <c r="L51" s="8">
        <f>_xlfn.XLOOKUP("Inventories",HS_STANDALONE!$C:$C,HS_STANDALONE!K:K,0,0,1)</f>
        <v>7604200000</v>
      </c>
      <c r="M51" s="8">
        <f>_xlfn.XLOOKUP("Inventories",HS_STANDALONE!$C:$C,HS_STANDALONE!L:L,0,0,1)</f>
        <v>11884500000</v>
      </c>
      <c r="N51" s="8">
        <f>_xlfn.XLOOKUP("Inventories",HS_STANDALONE!$C:$C,HS_STANDALONE!M:M,0,0,1)</f>
        <v>28571100000</v>
      </c>
    </row>
    <row r="52" spans="1:14">
      <c r="D52" s="7" t="s">
        <v>159</v>
      </c>
      <c r="E52" s="8">
        <f>_xlfn.XLOOKUP("TradeReceivablesCurrent",HS_STANDALONE!$C:$C,HS_STANDALONE!D:D,0,0,1)</f>
        <v>0</v>
      </c>
      <c r="F52" s="8">
        <f>_xlfn.XLOOKUP("TradeReceivablesCurrent",HS_STANDALONE!$C:$C,HS_STANDALONE!E:E,0,0,1)</f>
        <v>23068800000</v>
      </c>
      <c r="G52" s="8">
        <f>_xlfn.XLOOKUP("TradeReceivablesCurrent",HS_STANDALONE!$C:$C,HS_STANDALONE!F:F,0,0,1)</f>
        <v>18919300000</v>
      </c>
      <c r="H52" s="8">
        <f>_xlfn.XLOOKUP("TradeReceivablesCurrent",HS_STANDALONE!$C:$C,HS_STANDALONE!G:G,0,0,1)</f>
        <v>10906100000</v>
      </c>
      <c r="I52" s="8">
        <f>_xlfn.XLOOKUP("TradeReceivablesCurrent",HS_STANDALONE!$C:$C,HS_STANDALONE!H:H,0,0,1)</f>
        <v>4254000000</v>
      </c>
      <c r="J52" s="8">
        <f>_xlfn.XLOOKUP("TradeReceivablesCurrent",HS_STANDALONE!$C:$C,HS_STANDALONE!I:I,0,0,1)</f>
        <v>3793000000</v>
      </c>
      <c r="K52" s="8">
        <f>_xlfn.XLOOKUP("TradeReceivablesCurrent",HS_STANDALONE!$C:$C,HS_STANDALONE!J:J,0,0,1)</f>
        <v>6676300000</v>
      </c>
      <c r="L52" s="8">
        <f>_xlfn.XLOOKUP("TradeReceivablesCurrent",HS_STANDALONE!$C:$C,HS_STANDALONE!K:K,0,0,1)</f>
        <v>5463200000</v>
      </c>
      <c r="M52" s="8">
        <f>_xlfn.XLOOKUP("TradeReceivablesCurrent",HS_STANDALONE!$C:$C,HS_STANDALONE!L:L,0,0,1)</f>
        <v>11156300000</v>
      </c>
      <c r="N52" s="8">
        <f>_xlfn.XLOOKUP("TradeReceivablesCurrent",HS_STANDALONE!$C:$C,HS_STANDALONE!M:M,0,0,1)</f>
        <v>36829000000</v>
      </c>
    </row>
    <row r="53" spans="1:14">
      <c r="D53" s="7" t="s">
        <v>160</v>
      </c>
      <c r="E53" s="8">
        <f>_xlfn.XLOOKUP("OtherCurrentAssets",HS_STANDALONE!$C:$C,HS_STANDALONE!D:D,0,0,1)</f>
        <v>0</v>
      </c>
      <c r="F53" s="8">
        <f>_xlfn.XLOOKUP("OtherCurrentAssets",HS_STANDALONE!$C:$C,HS_STANDALONE!E:E,0,0,1)</f>
        <v>2029400000</v>
      </c>
      <c r="G53" s="8">
        <f>_xlfn.XLOOKUP("OtherCurrentAssets",HS_STANDALONE!$C:$C,HS_STANDALONE!F:F,0,0,1)</f>
        <v>2817600000</v>
      </c>
      <c r="H53" s="8">
        <f>_xlfn.XLOOKUP("OtherCurrentAssets",HS_STANDALONE!$C:$C,HS_STANDALONE!G:G,0,0,1)</f>
        <v>4995600000</v>
      </c>
      <c r="I53" s="8">
        <f>_xlfn.XLOOKUP("OtherCurrentAssets",HS_STANDALONE!$C:$C,HS_STANDALONE!H:H,0,0,1)</f>
        <v>3557200000</v>
      </c>
      <c r="J53" s="8">
        <f>_xlfn.XLOOKUP("OtherCurrentAssets",HS_STANDALONE!$C:$C,HS_STANDALONE!I:I,0,0,1)</f>
        <v>4367200000</v>
      </c>
      <c r="K53" s="8">
        <f>_xlfn.XLOOKUP("OtherCurrentAssets",HS_STANDALONE!$C:$C,HS_STANDALONE!J:J,0,0,1)</f>
        <v>4100300000</v>
      </c>
      <c r="L53" s="8">
        <f>_xlfn.XLOOKUP("OtherCurrentAssets",HS_STANDALONE!$C:$C,HS_STANDALONE!K:K,0,0,1)</f>
        <v>3630100000</v>
      </c>
      <c r="M53" s="8">
        <f>_xlfn.XLOOKUP("OtherCurrentAssets",HS_STANDALONE!$C:$C,HS_STANDALONE!L:L,0,0,1)</f>
        <v>3062500000</v>
      </c>
      <c r="N53" s="8">
        <f>_xlfn.XLOOKUP("OtherCurrentAssets",HS_STANDALONE!$C:$C,HS_STANDALONE!M:M,0,0,1)</f>
        <v>5836400000</v>
      </c>
    </row>
    <row r="54" spans="1:14">
      <c r="A54" s="9"/>
      <c r="B54" s="9"/>
      <c r="C54" s="10" t="s">
        <v>146</v>
      </c>
      <c r="D54" s="9"/>
      <c r="E54" s="11">
        <f t="shared" ref="E54:N54" si="10">IFERROR(SUM(E51:E53),0)</f>
        <v>0</v>
      </c>
      <c r="F54" s="11">
        <f t="shared" si="10"/>
        <v>47856900000</v>
      </c>
      <c r="G54" s="11">
        <f t="shared" si="10"/>
        <v>37255000000</v>
      </c>
      <c r="H54" s="11">
        <f t="shared" si="10"/>
        <v>27705100000</v>
      </c>
      <c r="I54" s="11">
        <f t="shared" si="10"/>
        <v>16782600000</v>
      </c>
      <c r="J54" s="11">
        <f t="shared" si="10"/>
        <v>16779500000</v>
      </c>
      <c r="K54" s="11">
        <f t="shared" si="10"/>
        <v>22451300000</v>
      </c>
      <c r="L54" s="11">
        <f t="shared" si="10"/>
        <v>16697500000</v>
      </c>
      <c r="M54" s="11">
        <f t="shared" si="10"/>
        <v>26103300000</v>
      </c>
      <c r="N54" s="11">
        <f t="shared" si="10"/>
        <v>71236500000</v>
      </c>
    </row>
    <row r="55" spans="1:14">
      <c r="A55" s="5"/>
      <c r="B55" s="5"/>
      <c r="C55" s="6" t="s">
        <v>147</v>
      </c>
      <c r="D55" s="5"/>
      <c r="E55" s="5"/>
      <c r="F55" s="5"/>
      <c r="G55" s="5"/>
      <c r="H55" s="5"/>
      <c r="I55" s="5"/>
      <c r="J55" s="5"/>
      <c r="K55" s="5"/>
      <c r="L55" s="5"/>
      <c r="M55" s="5"/>
      <c r="N55" s="5"/>
    </row>
    <row r="56" spans="1:14">
      <c r="D56" s="7" t="s">
        <v>161</v>
      </c>
      <c r="E56" s="8">
        <f>_xlfn.XLOOKUP("CurrentInvestments",HS_STANDALONE!$C:$C,HS_STANDALONE!D:D,0,0,1)</f>
        <v>0</v>
      </c>
      <c r="F56" s="8">
        <f>_xlfn.XLOOKUP("CurrentInvestments",HS_STANDALONE!$C:$C,HS_STANDALONE!E:E,0,0,1)</f>
        <v>4811000000</v>
      </c>
      <c r="G56" s="8">
        <f>_xlfn.XLOOKUP("CurrentInvestments",HS_STANDALONE!$C:$C,HS_STANDALONE!F:F,0,0,1)</f>
        <v>0</v>
      </c>
      <c r="H56" s="8">
        <f>_xlfn.XLOOKUP("CurrentInvestments",HS_STANDALONE!$C:$C,HS_STANDALONE!G:G,0,0,1)</f>
        <v>0</v>
      </c>
      <c r="I56" s="8">
        <f>_xlfn.XLOOKUP("CurrentInvestments",HS_STANDALONE!$C:$C,HS_STANDALONE!H:H,0,0,1)</f>
        <v>0</v>
      </c>
      <c r="J56" s="8">
        <f>_xlfn.XLOOKUP("CurrentInvestments",HS_STANDALONE!$C:$C,HS_STANDALONE!I:I,0,0,1)</f>
        <v>0</v>
      </c>
      <c r="K56" s="8">
        <f>_xlfn.XLOOKUP("CurrentInvestments",HS_STANDALONE!$C:$C,HS_STANDALONE!J:J,0,0,1)</f>
        <v>0</v>
      </c>
      <c r="L56" s="8">
        <f>_xlfn.XLOOKUP("CurrentInvestments",HS_STANDALONE!$C:$C,HS_STANDALONE!K:K,0,0,1)</f>
        <v>0</v>
      </c>
      <c r="M56" s="8">
        <f>_xlfn.XLOOKUP("CurrentInvestments",HS_STANDALONE!$C:$C,HS_STANDALONE!L:L,0,0,1)</f>
        <v>0</v>
      </c>
      <c r="N56" s="8">
        <f>_xlfn.XLOOKUP("CurrentInvestments",HS_STANDALONE!$C:$C,HS_STANDALONE!M:M,0,0,1)</f>
        <v>0</v>
      </c>
    </row>
    <row r="57" spans="1:14">
      <c r="D57" s="7" t="s">
        <v>162</v>
      </c>
      <c r="E57" s="8">
        <f>_xlfn.XLOOKUP("CashAndCashEquivalents",HS_STANDALONE!$C:$C,HS_STANDALONE!D:D,0,0,1)</f>
        <v>0</v>
      </c>
      <c r="F57" s="8">
        <f>_xlfn.XLOOKUP("CashAndCashEquivalents",HS_STANDALONE!$C:$C,HS_STANDALONE!E:E,0,0,1)</f>
        <v>1533800000</v>
      </c>
      <c r="G57" s="8">
        <f>_xlfn.XLOOKUP("CashAndCashEquivalents",HS_STANDALONE!$C:$C,HS_STANDALONE!F:F,0,0,1)</f>
        <v>4467000000</v>
      </c>
      <c r="H57" s="8">
        <f>_xlfn.XLOOKUP("CashAndCashEquivalents",HS_STANDALONE!$C:$C,HS_STANDALONE!G:G,0,0,1)</f>
        <v>162000000</v>
      </c>
      <c r="I57" s="8">
        <f>_xlfn.XLOOKUP("CashAndCashEquivalents",HS_STANDALONE!$C:$C,HS_STANDALONE!H:H,0,0,1)</f>
        <v>362800000</v>
      </c>
      <c r="J57" s="8">
        <f>_xlfn.XLOOKUP("CashAndCashEquivalents",HS_STANDALONE!$C:$C,HS_STANDALONE!I:I,0,0,1)</f>
        <v>1936500000</v>
      </c>
      <c r="K57" s="8">
        <f>_xlfn.XLOOKUP("CashAndCashEquivalents",HS_STANDALONE!$C:$C,HS_STANDALONE!J:J,0,0,1)</f>
        <v>4100200000</v>
      </c>
      <c r="L57" s="8">
        <f>_xlfn.XLOOKUP("CashAndCashEquivalents",HS_STANDALONE!$C:$C,HS_STANDALONE!K:K,0,0,1)</f>
        <v>2906300000</v>
      </c>
      <c r="M57" s="8">
        <f>_xlfn.XLOOKUP("CashAndCashEquivalents",HS_STANDALONE!$C:$C,HS_STANDALONE!L:L,0,0,1)</f>
        <v>2631300000</v>
      </c>
      <c r="N57" s="8">
        <f>_xlfn.XLOOKUP("CashAndCashEquivalents",HS_STANDALONE!$C:$C,HS_STANDALONE!M:M,0,0,1)</f>
        <v>9968000000</v>
      </c>
    </row>
    <row r="58" spans="1:14">
      <c r="D58" s="7" t="s">
        <v>163</v>
      </c>
      <c r="E58" s="8">
        <f>_xlfn.XLOOKUP("LoansCurrent",HS_STANDALONE!$C:$C,HS_STANDALONE!D:D,0,0,1)</f>
        <v>0</v>
      </c>
      <c r="F58" s="8">
        <f>_xlfn.XLOOKUP("LoansCurrent",HS_STANDALONE!$C:$C,HS_STANDALONE!E:E,0,0,1)</f>
        <v>17866300000</v>
      </c>
      <c r="G58" s="8">
        <f>_xlfn.XLOOKUP("LoansCurrent",HS_STANDALONE!$C:$C,HS_STANDALONE!F:F,0,0,1)</f>
        <v>19507300000</v>
      </c>
      <c r="H58" s="8">
        <f>_xlfn.XLOOKUP("LoansCurrent",HS_STANDALONE!$C:$C,HS_STANDALONE!G:G,0,0,1)</f>
        <v>7328600000</v>
      </c>
      <c r="I58" s="8">
        <f>_xlfn.XLOOKUP("LoansCurrent",HS_STANDALONE!$C:$C,HS_STANDALONE!H:H,0,0,1)</f>
        <v>3781400000</v>
      </c>
      <c r="J58" s="8">
        <f>_xlfn.XLOOKUP("LoansCurrent",HS_STANDALONE!$C:$C,HS_STANDALONE!I:I,0,0,1)</f>
        <v>212800000</v>
      </c>
      <c r="K58" s="8">
        <f>_xlfn.XLOOKUP("LoansCurrent",HS_STANDALONE!$C:$C,HS_STANDALONE!J:J,0,0,1)</f>
        <v>523500000</v>
      </c>
      <c r="L58" s="8">
        <f>_xlfn.XLOOKUP("LoansCurrent",HS_STANDALONE!$C:$C,HS_STANDALONE!K:K,0,0,1)</f>
        <v>6100000</v>
      </c>
      <c r="M58" s="8">
        <f>_xlfn.XLOOKUP("LoansCurrent",HS_STANDALONE!$C:$C,HS_STANDALONE!L:L,0,0,1)</f>
        <v>2500000</v>
      </c>
      <c r="N58" s="8">
        <f>_xlfn.XLOOKUP("LoansCurrent",HS_STANDALONE!$C:$C,HS_STANDALONE!M:M,0,0,1)</f>
        <v>2700000</v>
      </c>
    </row>
    <row r="59" spans="1:14">
      <c r="D59" s="7" t="s">
        <v>164</v>
      </c>
      <c r="E59" s="8">
        <f>_xlfn.XLOOKUP("OtherCurrentFinancialAssets",HS_STANDALONE!$C:$C,HS_STANDALONE!D:D,0,0,1)</f>
        <v>0</v>
      </c>
      <c r="F59" s="8">
        <f>_xlfn.XLOOKUP("OtherCurrentFinancialAssets",HS_STANDALONE!$C:$C,HS_STANDALONE!E:E,0,0,1)</f>
        <v>1032300000</v>
      </c>
      <c r="G59" s="8">
        <f>_xlfn.XLOOKUP("OtherCurrentFinancialAssets",HS_STANDALONE!$C:$C,HS_STANDALONE!F:F,0,0,1)</f>
        <v>1955400000</v>
      </c>
      <c r="H59" s="8">
        <f>_xlfn.XLOOKUP("OtherCurrentFinancialAssets",HS_STANDALONE!$C:$C,HS_STANDALONE!G:G,0,0,1)</f>
        <v>2758100000</v>
      </c>
      <c r="I59" s="8">
        <f>_xlfn.XLOOKUP("OtherCurrentFinancialAssets",HS_STANDALONE!$C:$C,HS_STANDALONE!H:H,0,0,1)</f>
        <v>708300000</v>
      </c>
      <c r="J59" s="8">
        <f>_xlfn.XLOOKUP("OtherCurrentFinancialAssets",HS_STANDALONE!$C:$C,HS_STANDALONE!I:I,0,0,1)</f>
        <v>838800000</v>
      </c>
      <c r="K59" s="8">
        <f>_xlfn.XLOOKUP("OtherCurrentFinancialAssets",HS_STANDALONE!$C:$C,HS_STANDALONE!J:J,0,0,1)</f>
        <v>763600000</v>
      </c>
      <c r="L59" s="8">
        <f>_xlfn.XLOOKUP("OtherCurrentFinancialAssets",HS_STANDALONE!$C:$C,HS_STANDALONE!K:K,0,0,1)</f>
        <v>755000000</v>
      </c>
      <c r="M59" s="8">
        <f>_xlfn.XLOOKUP("OtherCurrentFinancialAssets",HS_STANDALONE!$C:$C,HS_STANDALONE!L:L,0,0,1)</f>
        <v>761500000</v>
      </c>
      <c r="N59" s="8">
        <f>_xlfn.XLOOKUP("OtherCurrentFinancialAssets",HS_STANDALONE!$C:$C,HS_STANDALONE!M:M,0,0,1)</f>
        <v>1856300000</v>
      </c>
    </row>
    <row r="60" spans="1:14">
      <c r="D60" s="7" t="s">
        <v>165</v>
      </c>
      <c r="E60" s="8">
        <f>_xlfn.XLOOKUP("CurrentTaxAssetsCurrent",HS_STANDALONE!$C:$C,HS_STANDALONE!D:D,0,0,1)</f>
        <v>0</v>
      </c>
      <c r="F60" s="8">
        <f>_xlfn.XLOOKUP("CurrentTaxAssetsCurrent",HS_STANDALONE!$C:$C,HS_STANDALONE!E:E,0,0,1)</f>
        <v>153900000</v>
      </c>
      <c r="G60" s="8">
        <f>_xlfn.XLOOKUP("CurrentTaxAssetsCurrent",HS_STANDALONE!$C:$C,HS_STANDALONE!F:F,0,0,1)</f>
        <v>62700000</v>
      </c>
      <c r="H60" s="8">
        <f>_xlfn.XLOOKUP("CurrentTaxAssetsCurrent",HS_STANDALONE!$C:$C,HS_STANDALONE!G:G,0,0,1)</f>
        <v>42700000</v>
      </c>
      <c r="I60" s="8">
        <f>_xlfn.XLOOKUP("CurrentTaxAssetsCurrent",HS_STANDALONE!$C:$C,HS_STANDALONE!H:H,0,0,1)</f>
        <v>44800000</v>
      </c>
      <c r="J60" s="8">
        <f>_xlfn.XLOOKUP("CurrentTaxAssetsCurrent",HS_STANDALONE!$C:$C,HS_STANDALONE!I:I,0,0,1)</f>
        <v>44800000</v>
      </c>
      <c r="K60" s="8">
        <f>_xlfn.XLOOKUP("CurrentTaxAssetsCurrent",HS_STANDALONE!$C:$C,HS_STANDALONE!J:J,0,0,1)</f>
        <v>600000</v>
      </c>
      <c r="L60" s="8">
        <f>_xlfn.XLOOKUP("CurrentTaxAssetsCurrent",HS_STANDALONE!$C:$C,HS_STANDALONE!K:K,0,0,1)</f>
        <v>0</v>
      </c>
      <c r="M60" s="8">
        <f>_xlfn.XLOOKUP("CurrentTaxAssetsCurrent",HS_STANDALONE!$C:$C,HS_STANDALONE!L:L,0,0,1)</f>
        <v>0</v>
      </c>
      <c r="N60" s="8">
        <f>_xlfn.XLOOKUP("CurrentTaxAssetsCurrent",HS_STANDALONE!$C:$C,HS_STANDALONE!M:M,0,0,1)</f>
        <v>496800000</v>
      </c>
    </row>
    <row r="61" spans="1:14">
      <c r="A61" s="9"/>
      <c r="B61" s="9"/>
      <c r="C61" s="10" t="s">
        <v>154</v>
      </c>
      <c r="D61" s="9"/>
      <c r="E61" s="11">
        <f t="shared" ref="E61:N61" si="11">IFERROR(SUM(E56:E60),0)</f>
        <v>0</v>
      </c>
      <c r="F61" s="11">
        <f t="shared" si="11"/>
        <v>25397300000</v>
      </c>
      <c r="G61" s="11">
        <f t="shared" si="11"/>
        <v>25992400000</v>
      </c>
      <c r="H61" s="11">
        <f t="shared" si="11"/>
        <v>10291400000</v>
      </c>
      <c r="I61" s="11">
        <f t="shared" si="11"/>
        <v>4897300000</v>
      </c>
      <c r="J61" s="11">
        <f t="shared" si="11"/>
        <v>3032900000</v>
      </c>
      <c r="K61" s="11">
        <f t="shared" si="11"/>
        <v>5387900000</v>
      </c>
      <c r="L61" s="11">
        <f t="shared" si="11"/>
        <v>3667400000</v>
      </c>
      <c r="M61" s="11">
        <f t="shared" si="11"/>
        <v>3395300000</v>
      </c>
      <c r="N61" s="11">
        <f t="shared" si="11"/>
        <v>12323800000</v>
      </c>
    </row>
    <row r="62" spans="1:14">
      <c r="C62" s="7" t="s">
        <v>166</v>
      </c>
      <c r="E62" s="8">
        <f>_xlfn.XLOOKUP("CurrentFinancialAssets",HS_STANDALONE!$C:$C,HS_STANDALONE!D:D,0,0,1)</f>
        <v>0</v>
      </c>
      <c r="F62" s="8">
        <f>_xlfn.XLOOKUP("CurrentFinancialAssets",HS_STANDALONE!$C:$C,HS_STANDALONE!E:E,0,0,1)</f>
        <v>48312200000</v>
      </c>
      <c r="G62" s="8">
        <f>_xlfn.XLOOKUP("CurrentFinancialAssets",HS_STANDALONE!$C:$C,HS_STANDALONE!F:F,0,0,1)</f>
        <v>44849000000</v>
      </c>
      <c r="H62" s="8">
        <f>_xlfn.XLOOKUP("CurrentFinancialAssets",HS_STANDALONE!$C:$C,HS_STANDALONE!G:G,0,0,1)</f>
        <v>21154800000</v>
      </c>
      <c r="I62" s="8">
        <f>_xlfn.XLOOKUP("CurrentFinancialAssets",HS_STANDALONE!$C:$C,HS_STANDALONE!H:H,0,0,1)</f>
        <v>9106500000</v>
      </c>
      <c r="J62" s="8">
        <f>_xlfn.XLOOKUP("CurrentFinancialAssets",HS_STANDALONE!$C:$C,HS_STANDALONE!I:I,0,0,1)</f>
        <v>6781100000</v>
      </c>
      <c r="K62" s="8">
        <f>_xlfn.XLOOKUP("CurrentFinancialAssets",HS_STANDALONE!$C:$C,HS_STANDALONE!J:J,0,0,1)</f>
        <v>12063600000</v>
      </c>
      <c r="L62" s="8">
        <f>_xlfn.XLOOKUP("CurrentFinancialAssets",HS_STANDALONE!$C:$C,HS_STANDALONE!K:K,0,0,1)</f>
        <v>9130600000</v>
      </c>
      <c r="M62" s="8">
        <f>_xlfn.XLOOKUP("CurrentFinancialAssets",HS_STANDALONE!$C:$C,HS_STANDALONE!L:L,0,0,1)</f>
        <v>14551600000</v>
      </c>
      <c r="N62" s="8">
        <f>_xlfn.XLOOKUP("CurrentFinancialAssets",HS_STANDALONE!$C:$C,HS_STANDALONE!M:M,0,0,1)</f>
        <v>48656000000</v>
      </c>
    </row>
    <row r="63" spans="1:14">
      <c r="A63" s="12"/>
      <c r="B63" s="13" t="s">
        <v>167</v>
      </c>
      <c r="C63" s="12"/>
      <c r="D63" s="12"/>
      <c r="E63" s="14">
        <f t="shared" ref="E63:N63" si="12">IFERROR(E61+E54,0)</f>
        <v>0</v>
      </c>
      <c r="F63" s="14">
        <f t="shared" si="12"/>
        <v>73254200000</v>
      </c>
      <c r="G63" s="14">
        <f t="shared" si="12"/>
        <v>63247400000</v>
      </c>
      <c r="H63" s="14">
        <f t="shared" si="12"/>
        <v>37996500000</v>
      </c>
      <c r="I63" s="14">
        <f t="shared" si="12"/>
        <v>21679900000</v>
      </c>
      <c r="J63" s="14">
        <f t="shared" si="12"/>
        <v>19812400000</v>
      </c>
      <c r="K63" s="14">
        <f t="shared" si="12"/>
        <v>27839200000</v>
      </c>
      <c r="L63" s="14">
        <f t="shared" si="12"/>
        <v>20364900000</v>
      </c>
      <c r="M63" s="14">
        <f t="shared" si="12"/>
        <v>29498600000</v>
      </c>
      <c r="N63" s="14">
        <f t="shared" si="12"/>
        <v>83560300000</v>
      </c>
    </row>
    <row r="64" spans="1:14">
      <c r="C64" s="7" t="s">
        <v>168</v>
      </c>
      <c r="E64" s="8">
        <f>_xlfn.XLOOKUP("NoncurrentAssetsOrDisposalGroupsClassifiedAsHeldForSaleOrAsHeldForDistributionToOwners",HS_STANDALONE!$C:$C,HS_STANDALONE!D:D,0,0,1)</f>
        <v>0</v>
      </c>
      <c r="F64" s="8">
        <f>_xlfn.XLOOKUP("NoncurrentAssetsOrDisposalGroupsClassifiedAsHeldForSaleOrAsHeldForDistributionToOwners",HS_STANDALONE!$C:$C,HS_STANDALONE!E:E,0,0,1)</f>
        <v>0</v>
      </c>
      <c r="G64" s="8">
        <f>_xlfn.XLOOKUP("NoncurrentAssetsOrDisposalGroupsClassifiedAsHeldForSaleOrAsHeldForDistributionToOwners",HS_STANDALONE!$C:$C,HS_STANDALONE!F:F,0,0,1)</f>
        <v>3584000000</v>
      </c>
      <c r="H64" s="8">
        <f>_xlfn.XLOOKUP("NoncurrentAssetsOrDisposalGroupsClassifiedAsHeldForSaleOrAsHeldForDistributionToOwners",HS_STANDALONE!$C:$C,HS_STANDALONE!G:G,0,0,1)</f>
        <v>738300000</v>
      </c>
      <c r="I64" s="8">
        <f>_xlfn.XLOOKUP("NoncurrentAssetsOrDisposalGroupsClassifiedAsHeldForSaleOrAsHeldForDistributionToOwners",HS_STANDALONE!$C:$C,HS_STANDALONE!H:H,0,0,1)</f>
        <v>434400000</v>
      </c>
      <c r="J64" s="8">
        <f>_xlfn.XLOOKUP("NoncurrentAssetsOrDisposalGroupsClassifiedAsHeldForSaleOrAsHeldForDistributionToOwners",HS_STANDALONE!$C:$C,HS_STANDALONE!I:I,0,0,1)</f>
        <v>420300000</v>
      </c>
      <c r="K64" s="8">
        <f>_xlfn.XLOOKUP("NoncurrentAssetsOrDisposalGroupsClassifiedAsHeldForSaleOrAsHeldForDistributionToOwners",HS_STANDALONE!$C:$C,HS_STANDALONE!J:J,0,0,1)</f>
        <v>955400000</v>
      </c>
      <c r="L64" s="8">
        <f>_xlfn.XLOOKUP("NoncurrentAssetsOrDisposalGroupsClassifiedAsHeldForSaleOrAsHeldForDistributionToOwners",HS_STANDALONE!$C:$C,HS_STANDALONE!K:K,0,0,1)</f>
        <v>278100000</v>
      </c>
      <c r="M64" s="8">
        <f>_xlfn.XLOOKUP("NoncurrentAssetsOrDisposalGroupsClassifiedAsHeldForSaleOrAsHeldForDistributionToOwners",HS_STANDALONE!$C:$C,HS_STANDALONE!L:L,0,0,1)</f>
        <v>0</v>
      </c>
      <c r="N64" s="8">
        <f>_xlfn.XLOOKUP("NoncurrentAssetsOrDisposalGroupsClassifiedAsHeldForSaleOrAsHeldForDistributionToOwners",HS_STANDALONE!$C:$C,HS_STANDALONE!M:M,0,0,1)</f>
        <v>0</v>
      </c>
    </row>
    <row r="65" spans="1:14">
      <c r="A65" s="12"/>
      <c r="B65" s="13" t="s">
        <v>169</v>
      </c>
      <c r="C65" s="12"/>
      <c r="D65" s="12"/>
      <c r="E65" s="14">
        <f t="shared" ref="E65:N65" si="13">IFERROR(SUM(E63:E64)+E48,0)</f>
        <v>0</v>
      </c>
      <c r="F65" s="14">
        <f t="shared" si="13"/>
        <v>142260300000</v>
      </c>
      <c r="G65" s="14">
        <f t="shared" si="13"/>
        <v>128410200000</v>
      </c>
      <c r="H65" s="14">
        <f t="shared" si="13"/>
        <v>85227700000</v>
      </c>
      <c r="I65" s="14">
        <f t="shared" si="13"/>
        <v>57234000000</v>
      </c>
      <c r="J65" s="14">
        <f t="shared" si="13"/>
        <v>53620400000</v>
      </c>
      <c r="K65" s="14">
        <f t="shared" si="13"/>
        <v>56752600000</v>
      </c>
      <c r="L65" s="14">
        <f t="shared" si="13"/>
        <v>60479900000</v>
      </c>
      <c r="M65" s="14">
        <f t="shared" si="13"/>
        <v>71646600000</v>
      </c>
      <c r="N65" s="14">
        <f t="shared" si="13"/>
        <v>123444600000</v>
      </c>
    </row>
    <row r="66" spans="1:14">
      <c r="A66" s="5"/>
      <c r="B66" s="6" t="s">
        <v>170</v>
      </c>
      <c r="C66" s="5"/>
      <c r="D66" s="5"/>
      <c r="E66" s="5"/>
      <c r="F66" s="5"/>
      <c r="G66" s="5"/>
      <c r="H66" s="5"/>
      <c r="I66" s="5"/>
      <c r="J66" s="5"/>
      <c r="K66" s="5"/>
      <c r="L66" s="5"/>
      <c r="M66" s="5"/>
      <c r="N66" s="5"/>
    </row>
    <row r="67" spans="1:14">
      <c r="A67" s="5"/>
      <c r="B67" s="6" t="s">
        <v>171</v>
      </c>
      <c r="C67" s="5"/>
      <c r="D67" s="5"/>
      <c r="E67" s="5"/>
      <c r="F67" s="5"/>
      <c r="G67" s="5"/>
      <c r="H67" s="5"/>
      <c r="I67" s="5"/>
      <c r="J67" s="5"/>
      <c r="K67" s="5"/>
      <c r="L67" s="5"/>
      <c r="M67" s="5"/>
      <c r="N67" s="5"/>
    </row>
    <row r="68" spans="1:14">
      <c r="C68" s="7" t="s">
        <v>172</v>
      </c>
      <c r="E68" s="8">
        <f>_xlfn.XLOOKUP("EquityShareCapital",HS_STANDALONE!$C:$C,HS_STANDALONE!D:D,0,0,1)</f>
        <v>0</v>
      </c>
      <c r="F68" s="8">
        <f>_xlfn.XLOOKUP("EquityShareCapital",HS_STANDALONE!$C:$C,HS_STANDALONE!E:E,0,0,1)</f>
        <v>10048800000</v>
      </c>
      <c r="G68" s="8">
        <f>_xlfn.XLOOKUP("EquityShareCapital",HS_STANDALONE!$C:$C,HS_STANDALONE!F:F,0,0,1)</f>
        <v>10639500000</v>
      </c>
      <c r="H68" s="8">
        <f>_xlfn.XLOOKUP("EquityShareCapital",HS_STANDALONE!$C:$C,HS_STANDALONE!G:G,0,0,1)</f>
        <v>10639500000</v>
      </c>
      <c r="I68" s="8">
        <f>_xlfn.XLOOKUP("EquityShareCapital",HS_STANDALONE!$C:$C,HS_STANDALONE!H:H,0,0,1)</f>
        <v>10639500000</v>
      </c>
      <c r="J68" s="8">
        <f>_xlfn.XLOOKUP("EquityShareCapital",HS_STANDALONE!$C:$C,HS_STANDALONE!I:I,0,0,1)</f>
        <v>17016000000</v>
      </c>
      <c r="K68" s="8">
        <f>_xlfn.XLOOKUP("EquityShareCapital",HS_STANDALONE!$C:$C,HS_STANDALONE!J:J,0,0,1)</f>
        <v>18434900000</v>
      </c>
      <c r="L68" s="8">
        <f>_xlfn.XLOOKUP("EquityShareCapital",HS_STANDALONE!$C:$C,HS_STANDALONE!K:K,0,0,1)</f>
        <v>24544000000</v>
      </c>
      <c r="M68" s="8">
        <f>_xlfn.XLOOKUP("EquityShareCapital",HS_STANDALONE!$C:$C,HS_STANDALONE!L:L,0,0,1)</f>
        <v>27217200000</v>
      </c>
      <c r="N68" s="8">
        <f>_xlfn.XLOOKUP("EquityShareCapital",HS_STANDALONE!$C:$C,HS_STANDALONE!M:M,0,0,1)</f>
        <v>27317900000</v>
      </c>
    </row>
    <row r="69" spans="1:14">
      <c r="C69" s="7" t="s">
        <v>173</v>
      </c>
      <c r="E69" s="8">
        <f>_xlfn.XLOOKUP("OtherEquity",HS_STANDALONE!$C:$C,HS_STANDALONE!D:D,0,0,1)</f>
        <v>0</v>
      </c>
      <c r="F69" s="8">
        <f>_xlfn.XLOOKUP("OtherEquity",HS_STANDALONE!$C:$C,HS_STANDALONE!E:E,0,0,1)</f>
        <v>175900000</v>
      </c>
      <c r="G69" s="8">
        <f>_xlfn.XLOOKUP("OtherEquity",HS_STANDALONE!$C:$C,HS_STANDALONE!F:F,0,0,1)</f>
        <v>-7103400000</v>
      </c>
      <c r="H69" s="8">
        <f>_xlfn.XLOOKUP("OtherEquity",HS_STANDALONE!$C:$C,HS_STANDALONE!G:G,0,0,1)</f>
        <v>-80869300000</v>
      </c>
      <c r="I69" s="8">
        <f>_xlfn.XLOOKUP("OtherEquity",HS_STANDALONE!$C:$C,HS_STANDALONE!H:H,0,0,1)</f>
        <v>-113422400000</v>
      </c>
      <c r="J69" s="8">
        <f>_xlfn.XLOOKUP("OtherEquity",HS_STANDALONE!$C:$C,HS_STANDALONE!I:I,0,0,1)</f>
        <v>-56804300000</v>
      </c>
      <c r="K69" s="8">
        <f>_xlfn.XLOOKUP("OtherEquity",HS_STANDALONE!$C:$C,HS_STANDALONE!J:J,0,0,1)</f>
        <v>-57355800000</v>
      </c>
      <c r="L69" s="8">
        <f>_xlfn.XLOOKUP("OtherEquity",HS_STANDALONE!$C:$C,HS_STANDALONE!K:K,0,0,1)</f>
        <v>-10350100000</v>
      </c>
      <c r="M69" s="8">
        <f>_xlfn.XLOOKUP("OtherEquity",HS_STANDALONE!$C:$C,HS_STANDALONE!L:L,0,0,1)</f>
        <v>8851300000</v>
      </c>
      <c r="N69" s="8">
        <f>_xlfn.XLOOKUP("OtherEquity",HS_STANDALONE!$C:$C,HS_STANDALONE!M:M,0,0,1)</f>
        <v>27972100000</v>
      </c>
    </row>
    <row r="70" spans="1:14">
      <c r="A70" s="12"/>
      <c r="B70" s="13" t="s">
        <v>174</v>
      </c>
      <c r="C70" s="12"/>
      <c r="D70" s="12"/>
      <c r="E70" s="14">
        <f t="shared" ref="E70:N70" si="14">IFERROR(SUM(E68:E69),0)</f>
        <v>0</v>
      </c>
      <c r="F70" s="14">
        <f t="shared" si="14"/>
        <v>10224700000</v>
      </c>
      <c r="G70" s="14">
        <f t="shared" si="14"/>
        <v>3536100000</v>
      </c>
      <c r="H70" s="14">
        <f t="shared" si="14"/>
        <v>-70229800000</v>
      </c>
      <c r="I70" s="14">
        <f t="shared" si="14"/>
        <v>-102782900000</v>
      </c>
      <c r="J70" s="14">
        <f t="shared" si="14"/>
        <v>-39788300000</v>
      </c>
      <c r="K70" s="14">
        <f t="shared" si="14"/>
        <v>-38920900000</v>
      </c>
      <c r="L70" s="14">
        <f t="shared" si="14"/>
        <v>14193900000</v>
      </c>
      <c r="M70" s="14">
        <f t="shared" si="14"/>
        <v>36068500000</v>
      </c>
      <c r="N70" s="14">
        <f t="shared" si="14"/>
        <v>55290000000</v>
      </c>
    </row>
    <row r="71" spans="1:14">
      <c r="A71" s="12"/>
      <c r="B71" s="13" t="s">
        <v>176</v>
      </c>
      <c r="C71" s="12"/>
      <c r="D71" s="12"/>
      <c r="E71" s="14">
        <f t="shared" ref="E71:N71" si="15">IFERROR(SUM(E70:E70),0)</f>
        <v>0</v>
      </c>
      <c r="F71" s="14">
        <f t="shared" si="15"/>
        <v>10224700000</v>
      </c>
      <c r="G71" s="14">
        <f t="shared" si="15"/>
        <v>3536100000</v>
      </c>
      <c r="H71" s="14">
        <f t="shared" si="15"/>
        <v>-70229800000</v>
      </c>
      <c r="I71" s="14">
        <f t="shared" si="15"/>
        <v>-102782900000</v>
      </c>
      <c r="J71" s="14">
        <f t="shared" si="15"/>
        <v>-39788300000</v>
      </c>
      <c r="K71" s="14">
        <f t="shared" si="15"/>
        <v>-38920900000</v>
      </c>
      <c r="L71" s="14">
        <f t="shared" si="15"/>
        <v>14193900000</v>
      </c>
      <c r="M71" s="14">
        <f t="shared" si="15"/>
        <v>36068500000</v>
      </c>
      <c r="N71" s="14">
        <f t="shared" si="15"/>
        <v>55290000000</v>
      </c>
    </row>
    <row r="72" spans="1:14">
      <c r="A72" s="5"/>
      <c r="B72" s="6" t="s">
        <v>177</v>
      </c>
      <c r="C72" s="5"/>
      <c r="D72" s="5"/>
      <c r="E72" s="5"/>
      <c r="F72" s="5"/>
      <c r="G72" s="5"/>
      <c r="H72" s="5"/>
      <c r="I72" s="5"/>
      <c r="J72" s="5"/>
      <c r="K72" s="5"/>
      <c r="L72" s="5"/>
      <c r="M72" s="5"/>
      <c r="N72" s="5"/>
    </row>
    <row r="73" spans="1:14">
      <c r="A73" s="5"/>
      <c r="B73" s="6" t="s">
        <v>178</v>
      </c>
      <c r="C73" s="5"/>
      <c r="D73" s="5"/>
      <c r="E73" s="5"/>
      <c r="F73" s="5"/>
      <c r="G73" s="5"/>
      <c r="H73" s="5"/>
      <c r="I73" s="5"/>
      <c r="J73" s="5"/>
      <c r="K73" s="5"/>
      <c r="L73" s="5"/>
      <c r="M73" s="5"/>
      <c r="N73" s="5"/>
    </row>
    <row r="74" spans="1:14">
      <c r="A74" s="5"/>
      <c r="B74" s="6" t="s">
        <v>179</v>
      </c>
      <c r="C74" s="5"/>
      <c r="D74" s="5"/>
      <c r="E74" s="5"/>
      <c r="F74" s="5"/>
      <c r="G74" s="5"/>
      <c r="H74" s="5"/>
      <c r="I74" s="5"/>
      <c r="J74" s="5"/>
      <c r="K74" s="5"/>
      <c r="L74" s="5"/>
      <c r="M74" s="5"/>
      <c r="N74" s="5"/>
    </row>
    <row r="75" spans="1:14">
      <c r="C75" s="7" t="s">
        <v>180</v>
      </c>
      <c r="E75" s="8">
        <f>_xlfn.XLOOKUP("BorrowingsNoncurrent",HS_STANDALONE!$C:$C,HS_STANDALONE!D:D,0,0,1)</f>
        <v>0</v>
      </c>
      <c r="F75" s="8">
        <f>_xlfn.XLOOKUP("BorrowingsNoncurrent",HS_STANDALONE!$C:$C,HS_STANDALONE!E:E,0,0,1)</f>
        <v>40385400000</v>
      </c>
      <c r="G75" s="8">
        <f>_xlfn.XLOOKUP("BorrowingsNoncurrent",HS_STANDALONE!$C:$C,HS_STANDALONE!F:F,0,0,1)</f>
        <v>33629500000</v>
      </c>
      <c r="H75" s="8">
        <f>_xlfn.XLOOKUP("BorrowingsNoncurrent",HS_STANDALONE!$C:$C,HS_STANDALONE!G:G,0,0,1)</f>
        <v>18425300000</v>
      </c>
      <c r="I75" s="8">
        <f>_xlfn.XLOOKUP("BorrowingsNoncurrent",HS_STANDALONE!$C:$C,HS_STANDALONE!H:H,0,0,1)</f>
        <v>6536600000</v>
      </c>
      <c r="J75" s="8">
        <f>_xlfn.XLOOKUP("BorrowingsNoncurrent",HS_STANDALONE!$C:$C,HS_STANDALONE!I:I,0,0,1)</f>
        <v>42928800000</v>
      </c>
      <c r="K75" s="8">
        <f>_xlfn.XLOOKUP("BorrowingsNoncurrent",HS_STANDALONE!$C:$C,HS_STANDALONE!J:J,0,0,1)</f>
        <v>37746900000</v>
      </c>
      <c r="L75" s="8">
        <f>_xlfn.XLOOKUP("BorrowingsNoncurrent",HS_STANDALONE!$C:$C,HS_STANDALONE!K:K,0,0,1)</f>
        <v>20089800000</v>
      </c>
      <c r="M75" s="8">
        <f>_xlfn.XLOOKUP("BorrowingsNoncurrent",HS_STANDALONE!$C:$C,HS_STANDALONE!L:L,0,0,1)</f>
        <v>6361800000</v>
      </c>
      <c r="N75" s="8">
        <f>_xlfn.XLOOKUP("BorrowingsNoncurrent",HS_STANDALONE!$C:$C,HS_STANDALONE!M:M,0,0,1)</f>
        <v>0</v>
      </c>
    </row>
    <row r="76" spans="1:14">
      <c r="A76" s="5"/>
      <c r="B76" s="5"/>
      <c r="C76" s="6" t="s">
        <v>181</v>
      </c>
      <c r="D76" s="5"/>
      <c r="E76" s="5"/>
      <c r="F76" s="5"/>
      <c r="G76" s="5"/>
      <c r="H76" s="5"/>
      <c r="I76" s="5"/>
      <c r="J76" s="5"/>
      <c r="K76" s="5"/>
      <c r="L76" s="5"/>
      <c r="M76" s="5"/>
      <c r="N76" s="5"/>
    </row>
    <row r="77" spans="1:14">
      <c r="C77" s="7" t="s">
        <v>182</v>
      </c>
      <c r="E77" s="8">
        <f>_xlfn.XLOOKUP("OtherNoncurrentFinancialLiabilities",HS_STANDALONE!$C:$C,HS_STANDALONE!D:D,0,0,1)</f>
        <v>0</v>
      </c>
      <c r="F77" s="8">
        <f>_xlfn.XLOOKUP("OtherNoncurrentFinancialLiabilities",HS_STANDALONE!$C:$C,HS_STANDALONE!E:E,0,0,1)</f>
        <v>2015900000</v>
      </c>
      <c r="G77" s="8">
        <f>_xlfn.XLOOKUP("OtherNoncurrentFinancialLiabilities",HS_STANDALONE!$C:$C,HS_STANDALONE!F:F,0,0,1)</f>
        <v>94800000</v>
      </c>
      <c r="H77" s="8">
        <f>_xlfn.XLOOKUP("OtherNoncurrentFinancialLiabilities",HS_STANDALONE!$C:$C,HS_STANDALONE!G:G,0,0,1)</f>
        <v>64900000</v>
      </c>
      <c r="I77" s="8">
        <f>_xlfn.XLOOKUP("OtherNoncurrentFinancialLiabilities",HS_STANDALONE!$C:$C,HS_STANDALONE!H:H,0,0,1)</f>
        <v>678500000</v>
      </c>
      <c r="J77" s="8">
        <f>_xlfn.XLOOKUP("OtherNoncurrentFinancialLiabilities",HS_STANDALONE!$C:$C,HS_STANDALONE!I:I,0,0,1)</f>
        <v>21200300000</v>
      </c>
      <c r="K77" s="8">
        <f>_xlfn.XLOOKUP("OtherNoncurrentFinancialLiabilities",HS_STANDALONE!$C:$C,HS_STANDALONE!J:J,0,0,1)</f>
        <v>23948700000</v>
      </c>
      <c r="L77" s="8">
        <f>_xlfn.XLOOKUP("OtherNoncurrentFinancialLiabilities",HS_STANDALONE!$C:$C,HS_STANDALONE!K:K,0,0,1)</f>
        <v>83800000</v>
      </c>
      <c r="M77" s="8">
        <f>_xlfn.XLOOKUP("OtherNoncurrentFinancialLiabilities",HS_STANDALONE!$C:$C,HS_STANDALONE!L:L,0,0,1)</f>
        <v>190500000</v>
      </c>
      <c r="N77" s="8">
        <f>_xlfn.XLOOKUP("OtherNoncurrentFinancialLiabilities",HS_STANDALONE!$C:$C,HS_STANDALONE!M:M,0,0,1)</f>
        <v>6409100000</v>
      </c>
    </row>
    <row r="78" spans="1:14">
      <c r="C78" s="7" t="s">
        <v>183</v>
      </c>
      <c r="E78" s="8">
        <f>_xlfn.XLOOKUP("NoncurrentFinancialLiabilities",HS_STANDALONE!$C:$C,HS_STANDALONE!D:D,0,0,1)</f>
        <v>0</v>
      </c>
      <c r="F78" s="8">
        <f>_xlfn.XLOOKUP("NoncurrentFinancialLiabilities",HS_STANDALONE!$C:$C,HS_STANDALONE!E:E,0,0,1)</f>
        <v>42401300000</v>
      </c>
      <c r="G78" s="8">
        <f>_xlfn.XLOOKUP("NoncurrentFinancialLiabilities",HS_STANDALONE!$C:$C,HS_STANDALONE!F:F,0,0,1)</f>
        <v>33724300000</v>
      </c>
      <c r="H78" s="8">
        <f>_xlfn.XLOOKUP("NoncurrentFinancialLiabilities",HS_STANDALONE!$C:$C,HS_STANDALONE!G:G,0,0,1)</f>
        <v>18490200000</v>
      </c>
      <c r="I78" s="8">
        <f>_xlfn.XLOOKUP("NoncurrentFinancialLiabilities",HS_STANDALONE!$C:$C,HS_STANDALONE!H:H,0,0,1)</f>
        <v>7215100000</v>
      </c>
      <c r="J78" s="8">
        <f>_xlfn.XLOOKUP("NoncurrentFinancialLiabilities",HS_STANDALONE!$C:$C,HS_STANDALONE!I:I,0,0,1)</f>
        <v>64129100000</v>
      </c>
      <c r="K78" s="8">
        <f>_xlfn.XLOOKUP("NoncurrentFinancialLiabilities",HS_STANDALONE!$C:$C,HS_STANDALONE!J:J,0,0,1)</f>
        <v>61695600000</v>
      </c>
      <c r="L78" s="8">
        <f>_xlfn.XLOOKUP("NoncurrentFinancialLiabilities",HS_STANDALONE!$C:$C,HS_STANDALONE!K:K,0,0,1)</f>
        <v>20173600000</v>
      </c>
      <c r="M78" s="8">
        <f>_xlfn.XLOOKUP("NoncurrentFinancialLiabilities",HS_STANDALONE!$C:$C,HS_STANDALONE!L:L,0,0,1)</f>
        <v>6552300000</v>
      </c>
      <c r="N78" s="8">
        <f>_xlfn.XLOOKUP("NoncurrentFinancialLiabilities",HS_STANDALONE!$C:$C,HS_STANDALONE!M:M,0,0,1)</f>
        <v>6409100000</v>
      </c>
    </row>
    <row r="79" spans="1:14">
      <c r="D79" s="7" t="s">
        <v>184</v>
      </c>
      <c r="E79" s="8">
        <f>_xlfn.XLOOKUP("ProvisionsNoncurrent",HS_STANDALONE!$C:$C,HS_STANDALONE!D:D,0,0,1)</f>
        <v>0</v>
      </c>
      <c r="F79" s="8">
        <f>_xlfn.XLOOKUP("ProvisionsNoncurrent",HS_STANDALONE!$C:$C,HS_STANDALONE!E:E,0,0,1)</f>
        <v>582700000</v>
      </c>
      <c r="G79" s="8">
        <f>_xlfn.XLOOKUP("ProvisionsNoncurrent",HS_STANDALONE!$C:$C,HS_STANDALONE!F:F,0,0,1)</f>
        <v>876200000</v>
      </c>
      <c r="H79" s="8">
        <f>_xlfn.XLOOKUP("ProvisionsNoncurrent",HS_STANDALONE!$C:$C,HS_STANDALONE!G:G,0,0,1)</f>
        <v>40340600000</v>
      </c>
      <c r="I79" s="8">
        <f>_xlfn.XLOOKUP("ProvisionsNoncurrent",HS_STANDALONE!$C:$C,HS_STANDALONE!H:H,0,0,1)</f>
        <v>798800000</v>
      </c>
      <c r="J79" s="8">
        <f>_xlfn.XLOOKUP("ProvisionsNoncurrent",HS_STANDALONE!$C:$C,HS_STANDALONE!I:I,0,0,1)</f>
        <v>651700000</v>
      </c>
      <c r="K79" s="8">
        <f>_xlfn.XLOOKUP("ProvisionsNoncurrent",HS_STANDALONE!$C:$C,HS_STANDALONE!J:J,0,0,1)</f>
        <v>1129600000</v>
      </c>
      <c r="L79" s="8">
        <f>_xlfn.XLOOKUP("ProvisionsNoncurrent",HS_STANDALONE!$C:$C,HS_STANDALONE!K:K,0,0,1)</f>
        <v>1448300000</v>
      </c>
      <c r="M79" s="8">
        <f>_xlfn.XLOOKUP("ProvisionsNoncurrent",HS_STANDALONE!$C:$C,HS_STANDALONE!L:L,0,0,1)</f>
        <v>1441400000</v>
      </c>
      <c r="N79" s="8">
        <f>_xlfn.XLOOKUP("ProvisionsNoncurrent",HS_STANDALONE!$C:$C,HS_STANDALONE!M:M,0,0,1)</f>
        <v>1479600000</v>
      </c>
    </row>
    <row r="80" spans="1:14">
      <c r="D80" s="7" t="s">
        <v>185</v>
      </c>
      <c r="E80" s="8">
        <f>_xlfn.XLOOKUP("OtherNoncurrentLiabilities",HS_STANDALONE!$C:$C,HS_STANDALONE!D:D,0,0,1)</f>
        <v>0</v>
      </c>
      <c r="F80" s="8">
        <f>_xlfn.XLOOKUP("OtherNoncurrentLiabilities",HS_STANDALONE!$C:$C,HS_STANDALONE!E:E,0,0,1)</f>
        <v>400200000</v>
      </c>
      <c r="G80" s="8">
        <f>_xlfn.XLOOKUP("OtherNoncurrentLiabilities",HS_STANDALONE!$C:$C,HS_STANDALONE!F:F,0,0,1)</f>
        <v>299900000</v>
      </c>
      <c r="H80" s="8">
        <f>_xlfn.XLOOKUP("OtherNoncurrentLiabilities",HS_STANDALONE!$C:$C,HS_STANDALONE!G:G,0,0,1)</f>
        <v>117000000</v>
      </c>
      <c r="I80" s="8">
        <f>_xlfn.XLOOKUP("OtherNoncurrentLiabilities",HS_STANDALONE!$C:$C,HS_STANDALONE!H:H,0,0,1)</f>
        <v>8900000</v>
      </c>
      <c r="J80" s="8">
        <f>_xlfn.XLOOKUP("OtherNoncurrentLiabilities",HS_STANDALONE!$C:$C,HS_STANDALONE!I:I,0,0,1)</f>
        <v>7700000</v>
      </c>
      <c r="K80" s="8">
        <f>_xlfn.XLOOKUP("OtherNoncurrentLiabilities",HS_STANDALONE!$C:$C,HS_STANDALONE!J:J,0,0,1)</f>
        <v>1900000</v>
      </c>
      <c r="L80" s="8">
        <f>_xlfn.XLOOKUP("OtherNoncurrentLiabilities",HS_STANDALONE!$C:$C,HS_STANDALONE!K:K,0,0,1)</f>
        <v>4800000</v>
      </c>
      <c r="M80" s="8">
        <f>_xlfn.XLOOKUP("OtherNoncurrentLiabilities",HS_STANDALONE!$C:$C,HS_STANDALONE!L:L,0,0,1)</f>
        <v>4800000</v>
      </c>
      <c r="N80" s="8">
        <f>_xlfn.XLOOKUP("OtherNoncurrentLiabilities",HS_STANDALONE!$C:$C,HS_STANDALONE!M:M,0,0,1)</f>
        <v>4500000</v>
      </c>
    </row>
    <row r="81" spans="1:14">
      <c r="A81" s="12"/>
      <c r="B81" s="13" t="s">
        <v>186</v>
      </c>
      <c r="C81" s="12"/>
      <c r="D81" s="12"/>
      <c r="E81" s="14">
        <f t="shared" ref="E81:N81" si="16">IFERROR(SUM(E75:E75)+SUM(E77:E77)+SUM(E79:E80),0)</f>
        <v>0</v>
      </c>
      <c r="F81" s="14">
        <f t="shared" si="16"/>
        <v>43384200000</v>
      </c>
      <c r="G81" s="14">
        <f t="shared" si="16"/>
        <v>34900400000</v>
      </c>
      <c r="H81" s="14">
        <f t="shared" si="16"/>
        <v>58947800000</v>
      </c>
      <c r="I81" s="14">
        <f t="shared" si="16"/>
        <v>8022800000</v>
      </c>
      <c r="J81" s="14">
        <f t="shared" si="16"/>
        <v>64788500000</v>
      </c>
      <c r="K81" s="14">
        <f t="shared" si="16"/>
        <v>62827100000</v>
      </c>
      <c r="L81" s="14">
        <f t="shared" si="16"/>
        <v>21626700000</v>
      </c>
      <c r="M81" s="14">
        <f t="shared" si="16"/>
        <v>7998500000</v>
      </c>
      <c r="N81" s="14">
        <f t="shared" si="16"/>
        <v>7893200000</v>
      </c>
    </row>
    <row r="82" spans="1:14">
      <c r="A82" s="5"/>
      <c r="B82" s="6" t="s">
        <v>187</v>
      </c>
      <c r="C82" s="5"/>
      <c r="D82" s="5"/>
      <c r="E82" s="5"/>
      <c r="F82" s="5"/>
      <c r="G82" s="5"/>
      <c r="H82" s="5"/>
      <c r="I82" s="5"/>
      <c r="J82" s="5"/>
      <c r="K82" s="5"/>
      <c r="L82" s="5"/>
      <c r="M82" s="5"/>
      <c r="N82" s="5"/>
    </row>
    <row r="83" spans="1:14">
      <c r="A83" s="5"/>
      <c r="B83" s="6" t="s">
        <v>188</v>
      </c>
      <c r="C83" s="5"/>
      <c r="D83" s="5"/>
      <c r="E83" s="5"/>
      <c r="F83" s="5"/>
      <c r="G83" s="5"/>
      <c r="H83" s="5"/>
      <c r="I83" s="5"/>
      <c r="J83" s="5"/>
      <c r="K83" s="5"/>
      <c r="L83" s="5"/>
      <c r="M83" s="5"/>
      <c r="N83" s="5"/>
    </row>
    <row r="84" spans="1:14">
      <c r="C84" s="7" t="s">
        <v>189</v>
      </c>
      <c r="E84" s="8">
        <f>_xlfn.XLOOKUP("BorrowingsCurrent",HS_STANDALONE!$C:$C,HS_STANDALONE!D:D,0,0,1)</f>
        <v>0</v>
      </c>
      <c r="F84" s="8">
        <f>_xlfn.XLOOKUP("BorrowingsCurrent",HS_STANDALONE!$C:$C,HS_STANDALONE!E:E,0,0,1)</f>
        <v>19757000000</v>
      </c>
      <c r="G84" s="8">
        <f>_xlfn.XLOOKUP("BorrowingsCurrent",HS_STANDALONE!$C:$C,HS_STANDALONE!F:F,0,0,1)</f>
        <v>37667400000</v>
      </c>
      <c r="H84" s="8">
        <f>_xlfn.XLOOKUP("BorrowingsCurrent",HS_STANDALONE!$C:$C,HS_STANDALONE!G:G,0,0,1)</f>
        <v>32579800000</v>
      </c>
      <c r="I84" s="8">
        <f>_xlfn.XLOOKUP("BorrowingsCurrent",HS_STANDALONE!$C:$C,HS_STANDALONE!H:H,0,0,1)</f>
        <v>82606900000</v>
      </c>
      <c r="J84" s="8">
        <f>_xlfn.XLOOKUP("BorrowingsCurrent",HS_STANDALONE!$C:$C,HS_STANDALONE!I:I,0,0,1)</f>
        <v>2000000000</v>
      </c>
      <c r="K84" s="8">
        <f>_xlfn.XLOOKUP("BorrowingsCurrent",HS_STANDALONE!$C:$C,HS_STANDALONE!J:J,0,0,1)</f>
        <v>0</v>
      </c>
      <c r="L84" s="8">
        <f>_xlfn.XLOOKUP("BorrowingsCurrent",HS_STANDALONE!$C:$C,HS_STANDALONE!K:K,0,0,1)</f>
        <v>3230200000</v>
      </c>
      <c r="M84" s="8">
        <f>_xlfn.XLOOKUP("BorrowingsCurrent",HS_STANDALONE!$C:$C,HS_STANDALONE!L:L,0,0,1)</f>
        <v>0</v>
      </c>
      <c r="N84" s="8">
        <f>_xlfn.XLOOKUP("BorrowingsCurrent",HS_STANDALONE!$C:$C,HS_STANDALONE!M:M,0,0,1)</f>
        <v>0</v>
      </c>
    </row>
    <row r="85" spans="1:14">
      <c r="A85" s="5"/>
      <c r="B85" s="5"/>
      <c r="C85" s="6" t="s">
        <v>190</v>
      </c>
      <c r="D85" s="5"/>
      <c r="E85" s="5"/>
      <c r="F85" s="5"/>
      <c r="G85" s="5"/>
      <c r="H85" s="5"/>
      <c r="I85" s="5"/>
      <c r="J85" s="5"/>
      <c r="K85" s="5"/>
      <c r="L85" s="5"/>
      <c r="M85" s="5"/>
      <c r="N85" s="5"/>
    </row>
    <row r="86" spans="1:14">
      <c r="D86" s="7" t="s">
        <v>191</v>
      </c>
      <c r="E86" s="8">
        <f>_xlfn.XLOOKUP("TradePayablesCurrent",HS_STANDALONE!$C:$C,HS_STANDALONE!D:D,0,0,1)</f>
        <v>0</v>
      </c>
      <c r="F86" s="8">
        <f>_xlfn.XLOOKUP("TradePayablesCurrent",HS_STANDALONE!$C:$C,HS_STANDALONE!E:E,0,0,1)</f>
        <v>46546400000</v>
      </c>
      <c r="G86" s="8">
        <f>_xlfn.XLOOKUP("TradePayablesCurrent",HS_STANDALONE!$C:$C,HS_STANDALONE!F:F,0,0,1)</f>
        <v>24340800000</v>
      </c>
      <c r="H86" s="8">
        <f>_xlfn.XLOOKUP("TradePayablesCurrent",HS_STANDALONE!$C:$C,HS_STANDALONE!G:G,0,0,1)</f>
        <v>17933400000</v>
      </c>
      <c r="I86" s="8">
        <f>_xlfn.XLOOKUP("TradePayablesCurrent",HS_STANDALONE!$C:$C,HS_STANDALONE!H:H,0,0,1)</f>
        <v>11578600000</v>
      </c>
      <c r="J86" s="8">
        <f>_xlfn.XLOOKUP("TradePayablesCurrent",HS_STANDALONE!$C:$C,HS_STANDALONE!I:I,0,0,1)</f>
        <v>13724500000</v>
      </c>
      <c r="K86" s="8">
        <f>_xlfn.XLOOKUP("TradePayablesCurrent",HS_STANDALONE!$C:$C,HS_STANDALONE!J:J,0,0,1)</f>
        <v>18159400000</v>
      </c>
      <c r="L86" s="8">
        <f>_xlfn.XLOOKUP("TradePayablesCurrent",HS_STANDALONE!$C:$C,HS_STANDALONE!K:K,0,0,1)</f>
        <v>10620900000</v>
      </c>
      <c r="M86" s="8">
        <f>_xlfn.XLOOKUP("TradePayablesCurrent",HS_STANDALONE!$C:$C,HS_STANDALONE!L:L,0,0,1)</f>
        <v>19388100000</v>
      </c>
      <c r="N86" s="8">
        <f>_xlfn.XLOOKUP("TradePayablesCurrent",HS_STANDALONE!$C:$C,HS_STANDALONE!M:M,0,0,1)</f>
        <v>33332000000</v>
      </c>
    </row>
    <row r="87" spans="1:14">
      <c r="C87" s="7" t="s">
        <v>192</v>
      </c>
      <c r="E87" s="8">
        <f>_xlfn.XLOOKUP("OtherCurrentFinancialLiabilities",HS_STANDALONE!$C:$C,HS_STANDALONE!D:D,0,0,1)</f>
        <v>0</v>
      </c>
      <c r="F87" s="8">
        <f>_xlfn.XLOOKUP("OtherCurrentFinancialLiabilities",HS_STANDALONE!$C:$C,HS_STANDALONE!E:E,0,0,1)</f>
        <v>6787600000</v>
      </c>
      <c r="G87" s="8">
        <f>_xlfn.XLOOKUP("OtherCurrentFinancialLiabilities",HS_STANDALONE!$C:$C,HS_STANDALONE!F:F,0,0,1)</f>
        <v>13378300000</v>
      </c>
      <c r="H87" s="8">
        <f>_xlfn.XLOOKUP("OtherCurrentFinancialLiabilities",HS_STANDALONE!$C:$C,HS_STANDALONE!G:G,0,0,1)</f>
        <v>26912000000</v>
      </c>
      <c r="I87" s="8">
        <f>_xlfn.XLOOKUP("OtherCurrentFinancialLiabilities",HS_STANDALONE!$C:$C,HS_STANDALONE!H:H,0,0,1)</f>
        <v>49280000000</v>
      </c>
      <c r="J87" s="8">
        <f>_xlfn.XLOOKUP("OtherCurrentFinancialLiabilities",HS_STANDALONE!$C:$C,HS_STANDALONE!I:I,0,0,1)</f>
        <v>5282000000</v>
      </c>
      <c r="K87" s="8">
        <f>_xlfn.XLOOKUP("OtherCurrentFinancialLiabilities",HS_STANDALONE!$C:$C,HS_STANDALONE!J:J,0,0,1)</f>
        <v>7075000000</v>
      </c>
      <c r="L87" s="8">
        <f>_xlfn.XLOOKUP("OtherCurrentFinancialLiabilities",HS_STANDALONE!$C:$C,HS_STANDALONE!K:K,0,0,1)</f>
        <v>2262000000</v>
      </c>
      <c r="M87" s="8">
        <f>_xlfn.XLOOKUP("OtherCurrentFinancialLiabilities",HS_STANDALONE!$C:$C,HS_STANDALONE!L:L,0,0,1)</f>
        <v>1985300000</v>
      </c>
      <c r="N87" s="8">
        <f>_xlfn.XLOOKUP("OtherCurrentFinancialLiabilities",HS_STANDALONE!$C:$C,HS_STANDALONE!M:M,0,0,1)</f>
        <v>3819400000</v>
      </c>
    </row>
    <row r="88" spans="1:14">
      <c r="B88" s="7" t="s">
        <v>193</v>
      </c>
      <c r="E88" s="8">
        <f>_xlfn.XLOOKUP("CurrentFinancialLiabilities",HS_STANDALONE!$C:$C,HS_STANDALONE!D:D,0,0,1)</f>
        <v>0</v>
      </c>
      <c r="F88" s="8">
        <f>_xlfn.XLOOKUP("CurrentFinancialLiabilities",HS_STANDALONE!$C:$C,HS_STANDALONE!E:E,0,0,1)</f>
        <v>73091000000</v>
      </c>
      <c r="G88" s="8">
        <f>_xlfn.XLOOKUP("CurrentFinancialLiabilities",HS_STANDALONE!$C:$C,HS_STANDALONE!F:F,0,0,1)</f>
        <v>75386500000</v>
      </c>
      <c r="H88" s="8">
        <f>_xlfn.XLOOKUP("CurrentFinancialLiabilities",HS_STANDALONE!$C:$C,HS_STANDALONE!G:G,0,0,1)</f>
        <v>77425200000</v>
      </c>
      <c r="I88" s="8">
        <f>_xlfn.XLOOKUP("CurrentFinancialLiabilities",HS_STANDALONE!$C:$C,HS_STANDALONE!H:H,0,0,1)</f>
        <v>143465500000</v>
      </c>
      <c r="J88" s="8">
        <f>_xlfn.XLOOKUP("CurrentFinancialLiabilities",HS_STANDALONE!$C:$C,HS_STANDALONE!I:I,0,0,1)</f>
        <v>21006500000</v>
      </c>
      <c r="K88" s="8">
        <f>_xlfn.XLOOKUP("CurrentFinancialLiabilities",HS_STANDALONE!$C:$C,HS_STANDALONE!J:J,0,0,1)</f>
        <v>25234400000</v>
      </c>
      <c r="L88" s="8">
        <f>_xlfn.XLOOKUP("CurrentFinancialLiabilities",HS_STANDALONE!$C:$C,HS_STANDALONE!K:K,0,0,1)</f>
        <v>16113100000</v>
      </c>
      <c r="M88" s="8">
        <f>_xlfn.XLOOKUP("CurrentFinancialLiabilities",HS_STANDALONE!$C:$C,HS_STANDALONE!L:L,0,0,1)</f>
        <v>21373400000</v>
      </c>
      <c r="N88" s="8">
        <f>_xlfn.XLOOKUP("CurrentFinancialLiabilities",HS_STANDALONE!$C:$C,HS_STANDALONE!M:M,0,0,1)</f>
        <v>37151400000</v>
      </c>
    </row>
    <row r="89" spans="1:14">
      <c r="C89" s="7" t="s">
        <v>194</v>
      </c>
      <c r="E89" s="8">
        <f>_xlfn.XLOOKUP("OtherCurrentLiabilities",HS_STANDALONE!$C:$C,HS_STANDALONE!D:D,0,0,1)</f>
        <v>0</v>
      </c>
      <c r="F89" s="8">
        <f>_xlfn.XLOOKUP("OtherCurrentLiabilities",HS_STANDALONE!$C:$C,HS_STANDALONE!E:E,0,0,1)</f>
        <v>8691200000</v>
      </c>
      <c r="G89" s="8">
        <f>_xlfn.XLOOKUP("OtherCurrentLiabilities",HS_STANDALONE!$C:$C,HS_STANDALONE!F:F,0,0,1)</f>
        <v>7627900000</v>
      </c>
      <c r="H89" s="8">
        <f>_xlfn.XLOOKUP("OtherCurrentLiabilities",HS_STANDALONE!$C:$C,HS_STANDALONE!G:G,0,0,1)</f>
        <v>12749300000</v>
      </c>
      <c r="I89" s="8">
        <f>_xlfn.XLOOKUP("OtherCurrentLiabilities",HS_STANDALONE!$C:$C,HS_STANDALONE!H:H,0,0,1)</f>
        <v>2747000000</v>
      </c>
      <c r="J89" s="8">
        <f>_xlfn.XLOOKUP("OtherCurrentLiabilities",HS_STANDALONE!$C:$C,HS_STANDALONE!I:I,0,0,1)</f>
        <v>3222400000</v>
      </c>
      <c r="K89" s="8">
        <f>_xlfn.XLOOKUP("OtherCurrentLiabilities",HS_STANDALONE!$C:$C,HS_STANDALONE!J:J,0,0,1)</f>
        <v>3659400000</v>
      </c>
      <c r="L89" s="8">
        <f>_xlfn.XLOOKUP("OtherCurrentLiabilities",HS_STANDALONE!$C:$C,HS_STANDALONE!K:K,0,0,1)</f>
        <v>4034200000</v>
      </c>
      <c r="M89" s="8">
        <f>_xlfn.XLOOKUP("OtherCurrentLiabilities",HS_STANDALONE!$C:$C,HS_STANDALONE!L:L,0,0,1)</f>
        <v>1927900000</v>
      </c>
      <c r="N89" s="8">
        <f>_xlfn.XLOOKUP("OtherCurrentLiabilities",HS_STANDALONE!$C:$C,HS_STANDALONE!M:M,0,0,1)</f>
        <v>17537500000</v>
      </c>
    </row>
    <row r="90" spans="1:14">
      <c r="C90" s="7" t="s">
        <v>195</v>
      </c>
      <c r="E90" s="8">
        <f>_xlfn.XLOOKUP("ProvisionsCurrent",HS_STANDALONE!$C:$C,HS_STANDALONE!D:D,0,0,1)</f>
        <v>0</v>
      </c>
      <c r="F90" s="8">
        <f>_xlfn.XLOOKUP("ProvisionsCurrent",HS_STANDALONE!$C:$C,HS_STANDALONE!E:E,0,0,1)</f>
        <v>6869200000</v>
      </c>
      <c r="G90" s="8">
        <f>_xlfn.XLOOKUP("ProvisionsCurrent",HS_STANDALONE!$C:$C,HS_STANDALONE!F:F,0,0,1)</f>
        <v>6959300000</v>
      </c>
      <c r="H90" s="8">
        <f>_xlfn.XLOOKUP("ProvisionsCurrent",HS_STANDALONE!$C:$C,HS_STANDALONE!G:G,0,0,1)</f>
        <v>6335200000</v>
      </c>
      <c r="I90" s="8">
        <f>_xlfn.XLOOKUP("ProvisionsCurrent",HS_STANDALONE!$C:$C,HS_STANDALONE!H:H,0,0,1)</f>
        <v>5781600000</v>
      </c>
      <c r="J90" s="8">
        <f>_xlfn.XLOOKUP("ProvisionsCurrent",HS_STANDALONE!$C:$C,HS_STANDALONE!I:I,0,0,1)</f>
        <v>4391300000</v>
      </c>
      <c r="K90" s="8">
        <f>_xlfn.XLOOKUP("ProvisionsCurrent",HS_STANDALONE!$C:$C,HS_STANDALONE!J:J,0,0,1)</f>
        <v>3952600000</v>
      </c>
      <c r="L90" s="8">
        <f>_xlfn.XLOOKUP("ProvisionsCurrent",HS_STANDALONE!$C:$C,HS_STANDALONE!K:K,0,0,1)</f>
        <v>4512000000</v>
      </c>
      <c r="M90" s="8">
        <f>_xlfn.XLOOKUP("ProvisionsCurrent",HS_STANDALONE!$C:$C,HS_STANDALONE!L:L,0,0,1)</f>
        <v>4278300000</v>
      </c>
      <c r="N90" s="8">
        <f>_xlfn.XLOOKUP("ProvisionsCurrent",HS_STANDALONE!$C:$C,HS_STANDALONE!M:M,0,0,1)</f>
        <v>5502000000</v>
      </c>
    </row>
    <row r="91" spans="1:14">
      <c r="C91" s="7" t="s">
        <v>196</v>
      </c>
      <c r="E91" s="8">
        <f>_xlfn.XLOOKUP("CurrentTaxLiabilities",HS_STANDALONE!$C:$C,HS_STANDALONE!D:D,0,0,1)</f>
        <v>0</v>
      </c>
      <c r="F91" s="8">
        <f>_xlfn.XLOOKUP("CurrentTaxLiabilities",HS_STANDALONE!$C:$C,HS_STANDALONE!E:E,0,0,1)</f>
        <v>0</v>
      </c>
      <c r="G91" s="8">
        <f>_xlfn.XLOOKUP("CurrentTaxLiabilities",HS_STANDALONE!$C:$C,HS_STANDALONE!F:F,0,0,1)</f>
        <v>0</v>
      </c>
      <c r="H91" s="8">
        <f>_xlfn.XLOOKUP("CurrentTaxLiabilities",HS_STANDALONE!$C:$C,HS_STANDALONE!G:G,0,0,1)</f>
        <v>0</v>
      </c>
      <c r="I91" s="8">
        <f>_xlfn.XLOOKUP("CurrentTaxLiabilities",HS_STANDALONE!$C:$C,HS_STANDALONE!H:H,0,0,1)</f>
        <v>0</v>
      </c>
      <c r="J91" s="8">
        <f>_xlfn.XLOOKUP("CurrentTaxLiabilities",HS_STANDALONE!$C:$C,HS_STANDALONE!I:I,0,0,1)</f>
        <v>0</v>
      </c>
      <c r="K91" s="8">
        <f>_xlfn.XLOOKUP("CurrentTaxLiabilities",HS_STANDALONE!$C:$C,HS_STANDALONE!J:J,0,0,1)</f>
        <v>0</v>
      </c>
      <c r="L91" s="8">
        <f>_xlfn.XLOOKUP("CurrentTaxLiabilities",HS_STANDALONE!$C:$C,HS_STANDALONE!K:K,0,0,1)</f>
        <v>0</v>
      </c>
      <c r="M91" s="8">
        <f>_xlfn.XLOOKUP("CurrentTaxLiabilities",HS_STANDALONE!$C:$C,HS_STANDALONE!L:L,0,0,1)</f>
        <v>0</v>
      </c>
      <c r="N91" s="8">
        <f>_xlfn.XLOOKUP("CurrentTaxLiabilities",HS_STANDALONE!$C:$C,HS_STANDALONE!M:M,0,0,1)</f>
        <v>70500000</v>
      </c>
    </row>
    <row r="92" spans="1:14">
      <c r="A92" s="12"/>
      <c r="B92" s="13" t="s">
        <v>197</v>
      </c>
      <c r="C92" s="12"/>
      <c r="D92" s="12"/>
      <c r="E92" s="14">
        <f t="shared" ref="E92:N92" si="17">IFERROR(SUM(E84:E84)+SUM(E86:E87)+SUM(E89:E91),0)</f>
        <v>0</v>
      </c>
      <c r="F92" s="14">
        <f t="shared" si="17"/>
        <v>88651400000</v>
      </c>
      <c r="G92" s="14">
        <f t="shared" si="17"/>
        <v>89973700000</v>
      </c>
      <c r="H92" s="14">
        <f t="shared" si="17"/>
        <v>96509700000</v>
      </c>
      <c r="I92" s="14">
        <f t="shared" si="17"/>
        <v>151994100000</v>
      </c>
      <c r="J92" s="14">
        <f t="shared" si="17"/>
        <v>28620200000</v>
      </c>
      <c r="K92" s="14">
        <f t="shared" si="17"/>
        <v>32846400000</v>
      </c>
      <c r="L92" s="14">
        <f t="shared" si="17"/>
        <v>24659300000</v>
      </c>
      <c r="M92" s="14">
        <f t="shared" si="17"/>
        <v>27579600000</v>
      </c>
      <c r="N92" s="14">
        <f t="shared" si="17"/>
        <v>60261400000</v>
      </c>
    </row>
    <row r="93" spans="1:14">
      <c r="A93" s="12"/>
      <c r="B93" s="13" t="s">
        <v>177</v>
      </c>
      <c r="C93" s="12"/>
      <c r="D93" s="12"/>
      <c r="E93" s="14">
        <f t="shared" ref="E93:N93" si="18">IFERROR(SUM(E92:E92)+E81,0)</f>
        <v>0</v>
      </c>
      <c r="F93" s="14">
        <f t="shared" si="18"/>
        <v>132035600000</v>
      </c>
      <c r="G93" s="14">
        <f t="shared" si="18"/>
        <v>124874100000</v>
      </c>
      <c r="H93" s="14">
        <f t="shared" si="18"/>
        <v>155457500000</v>
      </c>
      <c r="I93" s="14">
        <f t="shared" si="18"/>
        <v>160016900000</v>
      </c>
      <c r="J93" s="14">
        <f t="shared" si="18"/>
        <v>93408700000</v>
      </c>
      <c r="K93" s="14">
        <f t="shared" si="18"/>
        <v>95673500000</v>
      </c>
      <c r="L93" s="14">
        <f t="shared" si="18"/>
        <v>46286000000</v>
      </c>
      <c r="M93" s="14">
        <f t="shared" si="18"/>
        <v>35578100000</v>
      </c>
      <c r="N93" s="14">
        <f t="shared" si="18"/>
        <v>68154600000</v>
      </c>
    </row>
    <row r="94" spans="1:14">
      <c r="A94" s="12"/>
      <c r="B94" s="13" t="s">
        <v>199</v>
      </c>
      <c r="C94" s="12"/>
      <c r="D94" s="12"/>
      <c r="E94" s="14">
        <f t="shared" ref="E94:N94" si="19">IFERROR(E71+E93,0)</f>
        <v>0</v>
      </c>
      <c r="F94" s="14">
        <f t="shared" si="19"/>
        <v>142260300000</v>
      </c>
      <c r="G94" s="14">
        <f t="shared" si="19"/>
        <v>128410200000</v>
      </c>
      <c r="H94" s="14">
        <f t="shared" si="19"/>
        <v>85227700000</v>
      </c>
      <c r="I94" s="14">
        <f t="shared" si="19"/>
        <v>57234000000</v>
      </c>
      <c r="J94" s="14">
        <f t="shared" si="19"/>
        <v>53620400000</v>
      </c>
      <c r="K94" s="14">
        <f t="shared" si="19"/>
        <v>56752600000</v>
      </c>
      <c r="L94" s="14">
        <f t="shared" si="19"/>
        <v>60479900000</v>
      </c>
      <c r="M94" s="14">
        <f t="shared" si="19"/>
        <v>71646600000</v>
      </c>
      <c r="N94" s="14">
        <f t="shared" si="19"/>
        <v>123444600000</v>
      </c>
    </row>
    <row r="95" spans="1:14">
      <c r="B95" s="15" t="s">
        <v>200</v>
      </c>
      <c r="E95" s="16">
        <f t="shared" ref="E95:N95" si="20">E65-E94</f>
        <v>0</v>
      </c>
      <c r="F95" s="16">
        <f t="shared" si="20"/>
        <v>0</v>
      </c>
      <c r="G95" s="16">
        <f t="shared" si="20"/>
        <v>0</v>
      </c>
      <c r="H95" s="16">
        <f t="shared" si="20"/>
        <v>0</v>
      </c>
      <c r="I95" s="16">
        <f t="shared" si="20"/>
        <v>0</v>
      </c>
      <c r="J95" s="16">
        <f t="shared" si="20"/>
        <v>0</v>
      </c>
      <c r="K95" s="16">
        <f t="shared" si="20"/>
        <v>0</v>
      </c>
      <c r="L95" s="16">
        <f t="shared" si="20"/>
        <v>0</v>
      </c>
      <c r="M95" s="16">
        <f t="shared" si="20"/>
        <v>0</v>
      </c>
      <c r="N95" s="16">
        <f t="shared" si="20"/>
        <v>0</v>
      </c>
    </row>
    <row r="96" spans="1:14" ht="15.5">
      <c r="A96" s="2" t="s">
        <v>27</v>
      </c>
      <c r="B96" s="3" t="s">
        <v>201</v>
      </c>
      <c r="C96" s="2"/>
      <c r="D96" s="2"/>
      <c r="E96" s="2"/>
      <c r="F96" s="2"/>
      <c r="G96" s="2"/>
      <c r="H96" s="2"/>
      <c r="I96" s="2"/>
      <c r="J96" s="2"/>
      <c r="K96" s="2"/>
      <c r="L96" s="2"/>
      <c r="M96" s="2"/>
      <c r="N96" s="2"/>
    </row>
    <row r="97" spans="1:14">
      <c r="A97" s="5"/>
      <c r="B97" s="6" t="s">
        <v>202</v>
      </c>
      <c r="C97" s="5"/>
      <c r="D97" s="5"/>
      <c r="E97" s="5"/>
      <c r="F97" s="5"/>
      <c r="G97" s="5"/>
      <c r="H97" s="5"/>
      <c r="I97" s="5"/>
      <c r="J97" s="5"/>
      <c r="K97" s="5"/>
      <c r="L97" s="5"/>
      <c r="M97" s="5"/>
      <c r="N97" s="5"/>
    </row>
    <row r="98" spans="1:14">
      <c r="C98" s="7" t="s">
        <v>203</v>
      </c>
      <c r="E98" s="8">
        <f>_xlfn.XLOOKUP("ProfitBeforeTax",HS_STANDALONE!$C:$C,HS_STANDALONE!D:D,0,0,1)</f>
        <v>0</v>
      </c>
      <c r="F98" s="8">
        <f>_xlfn.XLOOKUP("ProfitBeforeTax",HS_STANDALONE!$C:$C,HS_STANDALONE!E:E,0,0,1)</f>
        <v>3556500000</v>
      </c>
      <c r="G98" s="8">
        <f>_xlfn.XLOOKUP("ProfitBeforeTax",HS_STANDALONE!$C:$C,HS_STANDALONE!F:F,0,0,1)</f>
        <v>-11547400000</v>
      </c>
      <c r="H98" s="8">
        <f>_xlfn.XLOOKUP("ProfitBeforeTax",HS_STANDALONE!$C:$C,HS_STANDALONE!G:G,0,0,1)</f>
        <v>-74119800000</v>
      </c>
      <c r="I98" s="8">
        <f>_xlfn.XLOOKUP("ProfitBeforeTax",HS_STANDALONE!$C:$C,HS_STANDALONE!H:H,0,0,1)</f>
        <v>-32759800000</v>
      </c>
      <c r="J98" s="8">
        <f>_xlfn.XLOOKUP("ProfitBeforeTax",HS_STANDALONE!$C:$C,HS_STANDALONE!I:I,0,0,1)</f>
        <v>-3984000000</v>
      </c>
      <c r="K98" s="8">
        <f>_xlfn.XLOOKUP("ProfitBeforeTax",HS_STANDALONE!$C:$C,HS_STANDALONE!J:J,0,0,1)</f>
        <v>-9126600000</v>
      </c>
      <c r="L98" s="8">
        <f>_xlfn.XLOOKUP("ProfitBeforeTax",HS_STANDALONE!$C:$C,HS_STANDALONE!K:K,0,0,1)</f>
        <v>21627600000</v>
      </c>
      <c r="M98" s="8">
        <f>_xlfn.XLOOKUP("ProfitBeforeTax",HS_STANDALONE!$C:$C,HS_STANDALONE!L:L,0,0,1)</f>
        <v>934300000</v>
      </c>
      <c r="N98" s="8">
        <f>_xlfn.XLOOKUP("ProfitBeforeTax",HS_STANDALONE!$C:$C,HS_STANDALONE!M:M,0,0,1)</f>
        <v>14737200000</v>
      </c>
    </row>
    <row r="99" spans="1:14">
      <c r="A99" s="5"/>
      <c r="B99" s="5"/>
      <c r="C99" s="6" t="s">
        <v>204</v>
      </c>
      <c r="D99" s="5"/>
      <c r="E99" s="5"/>
      <c r="F99" s="5"/>
      <c r="G99" s="5"/>
      <c r="H99" s="5"/>
      <c r="I99" s="5"/>
      <c r="J99" s="5"/>
      <c r="K99" s="5"/>
      <c r="L99" s="5"/>
      <c r="M99" s="5"/>
      <c r="N99" s="5"/>
    </row>
    <row r="100" spans="1:14">
      <c r="D100" s="7" t="s">
        <v>205</v>
      </c>
      <c r="E100" s="8">
        <f>_xlfn.XLOOKUP("AdjustmentsForFinanceCosts",HS_STANDALONE!$C:$C,HS_STANDALONE!D:D,0,0,1)</f>
        <v>0</v>
      </c>
      <c r="F100" s="8">
        <f>_xlfn.XLOOKUP("AdjustmentsForFinanceCosts",HS_STANDALONE!$C:$C,HS_STANDALONE!E:E,0,0,1)</f>
        <v>8057100000</v>
      </c>
      <c r="G100" s="8">
        <f>_xlfn.XLOOKUP("AdjustmentsForFinanceCosts",HS_STANDALONE!$C:$C,HS_STANDALONE!F:F,0,0,1)</f>
        <v>0</v>
      </c>
      <c r="H100" s="8">
        <f>_xlfn.XLOOKUP("AdjustmentsForFinanceCosts",HS_STANDALONE!$C:$C,HS_STANDALONE!G:G,0,0,1)</f>
        <v>0</v>
      </c>
      <c r="I100" s="8">
        <f>_xlfn.XLOOKUP("AdjustmentsForFinanceCosts",HS_STANDALONE!$C:$C,HS_STANDALONE!H:H,0,0,1)</f>
        <v>0</v>
      </c>
      <c r="J100" s="8">
        <f>_xlfn.XLOOKUP("AdjustmentsForFinanceCosts",HS_STANDALONE!$C:$C,HS_STANDALONE!I:I,0,0,1)</f>
        <v>0</v>
      </c>
      <c r="K100" s="8">
        <f>_xlfn.XLOOKUP("AdjustmentsForFinanceCosts",HS_STANDALONE!$C:$C,HS_STANDALONE!J:J,0,0,1)</f>
        <v>0</v>
      </c>
      <c r="L100" s="8">
        <f>_xlfn.XLOOKUP("AdjustmentsForFinanceCosts",HS_STANDALONE!$C:$C,HS_STANDALONE!K:K,0,0,1)</f>
        <v>0</v>
      </c>
      <c r="M100" s="8">
        <f>_xlfn.XLOOKUP("AdjustmentsForFinanceCosts",HS_STANDALONE!$C:$C,HS_STANDALONE!L:L,0,0,1)</f>
        <v>0</v>
      </c>
      <c r="N100" s="8">
        <f>_xlfn.XLOOKUP("AdjustmentsForFinanceCosts",HS_STANDALONE!$C:$C,HS_STANDALONE!M:M,0,0,1)</f>
        <v>840100000</v>
      </c>
    </row>
    <row r="101" spans="1:14">
      <c r="D101" s="7" t="s">
        <v>206</v>
      </c>
      <c r="E101" s="8">
        <f>_xlfn.XLOOKUP("AdjustmentsForDecreaseIncreaseInInventories",HS_STANDALONE!$C:$C,HS_STANDALONE!D:D,0,0,1)</f>
        <v>0</v>
      </c>
      <c r="F101" s="8">
        <f>_xlfn.XLOOKUP("AdjustmentsForDecreaseIncreaseInInventories",HS_STANDALONE!$C:$C,HS_STANDALONE!E:E,0,0,1)</f>
        <v>-8747100000</v>
      </c>
      <c r="G101" s="8">
        <f>_xlfn.XLOOKUP("AdjustmentsForDecreaseIncreaseInInventories",HS_STANDALONE!$C:$C,HS_STANDALONE!F:F,0,0,1)</f>
        <v>7240600000</v>
      </c>
      <c r="H101" s="8">
        <f>_xlfn.XLOOKUP("AdjustmentsForDecreaseIncreaseInInventories",HS_STANDALONE!$C:$C,HS_STANDALONE!G:G,0,0,1)</f>
        <v>3714600000</v>
      </c>
      <c r="I101" s="8">
        <f>_xlfn.XLOOKUP("AdjustmentsForDecreaseIncreaseInInventories",HS_STANDALONE!$C:$C,HS_STANDALONE!H:H,0,0,1)</f>
        <v>2832000000</v>
      </c>
      <c r="J101" s="8">
        <f>_xlfn.XLOOKUP("AdjustmentsForDecreaseIncreaseInInventories",HS_STANDALONE!$C:$C,HS_STANDALONE!I:I,0,0,1)</f>
        <v>352000000</v>
      </c>
      <c r="K101" s="8">
        <f>_xlfn.XLOOKUP("AdjustmentsForDecreaseIncreaseInInventories",HS_STANDALONE!$C:$C,HS_STANDALONE!J:J,0,0,1)</f>
        <v>-3055300000</v>
      </c>
      <c r="L101" s="8">
        <f>_xlfn.XLOOKUP("AdjustmentsForDecreaseIncreaseInInventories",HS_STANDALONE!$C:$C,HS_STANDALONE!K:K,0,0,1)</f>
        <v>4070500000</v>
      </c>
      <c r="M101" s="8">
        <f>_xlfn.XLOOKUP("AdjustmentsForDecreaseIncreaseInInventories",HS_STANDALONE!$C:$C,HS_STANDALONE!L:L,0,0,1)</f>
        <v>-4280300000</v>
      </c>
      <c r="N101" s="8">
        <f>_xlfn.XLOOKUP("AdjustmentsForDecreaseIncreaseInInventories",HS_STANDALONE!$C:$C,HS_STANDALONE!M:M,0,0,1)</f>
        <v>-7910200000</v>
      </c>
    </row>
    <row r="102" spans="1:14">
      <c r="D102" s="7" t="s">
        <v>207</v>
      </c>
      <c r="E102" s="8">
        <f>_xlfn.XLOOKUP("AdjustmentsForDecreaseIncreaseInTradeReceivablesCurrent",HS_STANDALONE!$C:$C,HS_STANDALONE!D:D,0,0,1)</f>
        <v>0</v>
      </c>
      <c r="F102" s="8">
        <f>_xlfn.XLOOKUP("AdjustmentsForDecreaseIncreaseInTradeReceivablesCurrent",HS_STANDALONE!$C:$C,HS_STANDALONE!E:E,0,0,1)</f>
        <v>-4388400000</v>
      </c>
      <c r="G102" s="8">
        <f>_xlfn.XLOOKUP("AdjustmentsForDecreaseIncreaseInTradeReceivablesCurrent",HS_STANDALONE!$C:$C,HS_STANDALONE!F:F,0,0,1)</f>
        <v>4566500000</v>
      </c>
      <c r="H102" s="8">
        <f>_xlfn.XLOOKUP("AdjustmentsForDecreaseIncreaseInTradeReceivablesCurrent",HS_STANDALONE!$C:$C,HS_STANDALONE!G:G,0,0,1)</f>
        <v>8188900000</v>
      </c>
      <c r="I102" s="8">
        <f>_xlfn.XLOOKUP("AdjustmentsForDecreaseIncreaseInTradeReceivablesCurrent",HS_STANDALONE!$C:$C,HS_STANDALONE!H:H,0,0,1)</f>
        <v>4936500000</v>
      </c>
      <c r="J102" s="8">
        <f>_xlfn.XLOOKUP("AdjustmentsForDecreaseIncreaseInTradeReceivablesCurrent",HS_STANDALONE!$C:$C,HS_STANDALONE!I:I,0,0,1)</f>
        <v>220000000</v>
      </c>
      <c r="K102" s="8">
        <f>_xlfn.XLOOKUP("AdjustmentsForDecreaseIncreaseInTradeReceivablesCurrent",HS_STANDALONE!$C:$C,HS_STANDALONE!J:J,0,0,1)</f>
        <v>-3001900000</v>
      </c>
      <c r="L102" s="8">
        <f>_xlfn.XLOOKUP("AdjustmentsForDecreaseIncreaseInTradeReceivablesCurrent",HS_STANDALONE!$C:$C,HS_STANDALONE!K:K,0,0,1)</f>
        <v>1249900000</v>
      </c>
      <c r="M102" s="8">
        <f>_xlfn.XLOOKUP("AdjustmentsForDecreaseIncreaseInTradeReceivablesCurrent",HS_STANDALONE!$C:$C,HS_STANDALONE!L:L,0,0,1)</f>
        <v>-5686800000</v>
      </c>
      <c r="N102" s="8">
        <f>_xlfn.XLOOKUP("AdjustmentsForDecreaseIncreaseInTradeReceivablesCurrent",HS_STANDALONE!$C:$C,HS_STANDALONE!M:M,0,0,1)</f>
        <v>-20523900000</v>
      </c>
    </row>
    <row r="103" spans="1:14">
      <c r="D103" s="7" t="s">
        <v>208</v>
      </c>
      <c r="E103" s="8">
        <f>_xlfn.XLOOKUP("AdjustmentsForDecreaseIncreaseInOtherCurrentAssets",HS_STANDALONE!$C:$C,HS_STANDALONE!D:D,0,0,1)</f>
        <v>0</v>
      </c>
      <c r="F103" s="8">
        <f>_xlfn.XLOOKUP("AdjustmentsForDecreaseIncreaseInOtherCurrentAssets",HS_STANDALONE!$C:$C,HS_STANDALONE!E:E,0,0,1)</f>
        <v>7542700000</v>
      </c>
      <c r="G103" s="8">
        <f>_xlfn.XLOOKUP("AdjustmentsForDecreaseIncreaseInOtherCurrentAssets",HS_STANDALONE!$C:$C,HS_STANDALONE!F:F,0,0,1)</f>
        <v>0</v>
      </c>
      <c r="H103" s="8">
        <f>_xlfn.XLOOKUP("AdjustmentsForDecreaseIncreaseInOtherCurrentAssets",HS_STANDALONE!$C:$C,HS_STANDALONE!G:G,0,0,1)</f>
        <v>0</v>
      </c>
      <c r="I103" s="8">
        <f>_xlfn.XLOOKUP("AdjustmentsForDecreaseIncreaseInOtherCurrentAssets",HS_STANDALONE!$C:$C,HS_STANDALONE!H:H,0,0,1)</f>
        <v>0</v>
      </c>
      <c r="J103" s="8">
        <f>_xlfn.XLOOKUP("AdjustmentsForDecreaseIncreaseInOtherCurrentAssets",HS_STANDALONE!$C:$C,HS_STANDALONE!I:I,0,0,1)</f>
        <v>0</v>
      </c>
      <c r="K103" s="8">
        <f>_xlfn.XLOOKUP("AdjustmentsForDecreaseIncreaseInOtherCurrentAssets",HS_STANDALONE!$C:$C,HS_STANDALONE!J:J,0,0,1)</f>
        <v>0</v>
      </c>
      <c r="L103" s="8">
        <f>_xlfn.XLOOKUP("AdjustmentsForDecreaseIncreaseInOtherCurrentAssets",HS_STANDALONE!$C:$C,HS_STANDALONE!K:K,0,0,1)</f>
        <v>0</v>
      </c>
      <c r="M103" s="8">
        <f>_xlfn.XLOOKUP("AdjustmentsForDecreaseIncreaseInOtherCurrentAssets",HS_STANDALONE!$C:$C,HS_STANDALONE!L:L,0,0,1)</f>
        <v>0</v>
      </c>
      <c r="N103" s="8">
        <f>_xlfn.XLOOKUP("AdjustmentsForDecreaseIncreaseInOtherCurrentAssets",HS_STANDALONE!$C:$C,HS_STANDALONE!M:M,0,0,1)</f>
        <v>0</v>
      </c>
    </row>
    <row r="104" spans="1:14">
      <c r="D104" s="7" t="s">
        <v>250</v>
      </c>
      <c r="E104" s="8">
        <f>_xlfn.XLOOKUP("AdjustmentsForDecreaseIncreaseInOtherNoncurrentAssets",HS_STANDALONE!$C:$C,HS_STANDALONE!D:D,0,0,1)</f>
        <v>0</v>
      </c>
      <c r="F104" s="8">
        <f>_xlfn.XLOOKUP("AdjustmentsForDecreaseIncreaseInOtherNoncurrentAssets",HS_STANDALONE!$C:$C,HS_STANDALONE!E:E,0,0,1)</f>
        <v>0</v>
      </c>
      <c r="G104" s="8">
        <f>_xlfn.XLOOKUP("AdjustmentsForDecreaseIncreaseInOtherNoncurrentAssets",HS_STANDALONE!$C:$C,HS_STANDALONE!F:F,0,0,1)</f>
        <v>-1097400000</v>
      </c>
      <c r="H104" s="8">
        <f>_xlfn.XLOOKUP("AdjustmentsForDecreaseIncreaseInOtherNoncurrentAssets",HS_STANDALONE!$C:$C,HS_STANDALONE!G:G,0,0,1)</f>
        <v>-1777800000</v>
      </c>
      <c r="I104" s="8">
        <f>_xlfn.XLOOKUP("AdjustmentsForDecreaseIncreaseInOtherNoncurrentAssets",HS_STANDALONE!$C:$C,HS_STANDALONE!H:H,0,0,1)</f>
        <v>-36325700000</v>
      </c>
      <c r="J104" s="8">
        <f>_xlfn.XLOOKUP("AdjustmentsForDecreaseIncreaseInOtherNoncurrentAssets",HS_STANDALONE!$C:$C,HS_STANDALONE!I:I,0,0,1)</f>
        <v>-1555200000</v>
      </c>
      <c r="K104" s="8">
        <f>_xlfn.XLOOKUP("AdjustmentsForDecreaseIncreaseInOtherNoncurrentAssets",HS_STANDALONE!$C:$C,HS_STANDALONE!J:J,0,0,1)</f>
        <v>-149100000</v>
      </c>
      <c r="L104" s="8">
        <f>_xlfn.XLOOKUP("AdjustmentsForDecreaseIncreaseInOtherNoncurrentAssets",HS_STANDALONE!$C:$C,HS_STANDALONE!K:K,0,0,1)</f>
        <v>738700000</v>
      </c>
      <c r="M104" s="8">
        <f>_xlfn.XLOOKUP("AdjustmentsForDecreaseIncreaseInOtherNoncurrentAssets",HS_STANDALONE!$C:$C,HS_STANDALONE!L:L,0,0,1)</f>
        <v>-3893400000</v>
      </c>
      <c r="N104" s="8">
        <f>_xlfn.XLOOKUP("AdjustmentsForDecreaseIncreaseInOtherNoncurrentAssets",HS_STANDALONE!$C:$C,HS_STANDALONE!M:M,0,0,1)</f>
        <v>-3586600000</v>
      </c>
    </row>
    <row r="105" spans="1:14">
      <c r="D105" s="7" t="s">
        <v>210</v>
      </c>
      <c r="E105" s="8">
        <f>_xlfn.XLOOKUP("AdjustmentsForIncreaseDecreaseInOtherCurrentLiabilities",HS_STANDALONE!$C:$C,HS_STANDALONE!D:D,0,0,1)</f>
        <v>0</v>
      </c>
      <c r="F105" s="8">
        <f>_xlfn.XLOOKUP("AdjustmentsForIncreaseDecreaseInOtherCurrentLiabilities",HS_STANDALONE!$C:$C,HS_STANDALONE!E:E,0,0,1)</f>
        <v>11900400000</v>
      </c>
      <c r="G105" s="8">
        <f>_xlfn.XLOOKUP("AdjustmentsForIncreaseDecreaseInOtherCurrentLiabilities",HS_STANDALONE!$C:$C,HS_STANDALONE!F:F,0,0,1)</f>
        <v>-25580000000</v>
      </c>
      <c r="H105" s="8">
        <f>_xlfn.XLOOKUP("AdjustmentsForIncreaseDecreaseInOtherCurrentLiabilities",HS_STANDALONE!$C:$C,HS_STANDALONE!G:G,0,0,1)</f>
        <v>-5023600000</v>
      </c>
      <c r="I105" s="8">
        <f>_xlfn.XLOOKUP("AdjustmentsForIncreaseDecreaseInOtherCurrentLiabilities",HS_STANDALONE!$C:$C,HS_STANDALONE!H:H,0,0,1)</f>
        <v>23153000000</v>
      </c>
      <c r="J105" s="8">
        <f>_xlfn.XLOOKUP("AdjustmentsForIncreaseDecreaseInOtherCurrentLiabilities",HS_STANDALONE!$C:$C,HS_STANDALONE!I:I,0,0,1)</f>
        <v>110700000</v>
      </c>
      <c r="K105" s="8">
        <f>_xlfn.XLOOKUP("AdjustmentsForIncreaseDecreaseInOtherCurrentLiabilities",HS_STANDALONE!$C:$C,HS_STANDALONE!J:J,0,0,1)</f>
        <v>2615300000</v>
      </c>
      <c r="L105" s="8">
        <f>_xlfn.XLOOKUP("AdjustmentsForIncreaseDecreaseInOtherCurrentLiabilities",HS_STANDALONE!$C:$C,HS_STANDALONE!K:K,0,0,1)</f>
        <v>-7925600000</v>
      </c>
      <c r="M105" s="8">
        <f>_xlfn.XLOOKUP("AdjustmentsForIncreaseDecreaseInOtherCurrentLiabilities",HS_STANDALONE!$C:$C,HS_STANDALONE!L:L,0,0,1)</f>
        <v>5122400000</v>
      </c>
      <c r="N105" s="8">
        <f>_xlfn.XLOOKUP("AdjustmentsForIncreaseDecreaseInOtherCurrentLiabilities",HS_STANDALONE!$C:$C,HS_STANDALONE!M:M,0,0,1)</f>
        <v>22914200000</v>
      </c>
    </row>
    <row r="106" spans="1:14">
      <c r="D106" s="7" t="s">
        <v>211</v>
      </c>
      <c r="E106" s="8">
        <f>_xlfn.XLOOKUP("AdjustmentsForDepreciationAndAmortisationExpense",HS_STANDALONE!$C:$C,HS_STANDALONE!D:D,0,0,1)</f>
        <v>0</v>
      </c>
      <c r="F106" s="8">
        <f>_xlfn.XLOOKUP("AdjustmentsForDepreciationAndAmortisationExpense",HS_STANDALONE!$C:$C,HS_STANDALONE!E:E,0,0,1)</f>
        <v>4139900000</v>
      </c>
      <c r="G106" s="8">
        <f>_xlfn.XLOOKUP("AdjustmentsForDepreciationAndAmortisationExpense",HS_STANDALONE!$C:$C,HS_STANDALONE!F:F,0,0,1)</f>
        <v>4192800000</v>
      </c>
      <c r="H106" s="8">
        <f>_xlfn.XLOOKUP("AdjustmentsForDepreciationAndAmortisationExpense",HS_STANDALONE!$C:$C,HS_STANDALONE!G:G,0,0,1)</f>
        <v>4389100000</v>
      </c>
      <c r="I106" s="8">
        <f>_xlfn.XLOOKUP("AdjustmentsForDepreciationAndAmortisationExpense",HS_STANDALONE!$C:$C,HS_STANDALONE!H:H,0,0,1)</f>
        <v>6821500000</v>
      </c>
      <c r="J106" s="8">
        <f>_xlfn.XLOOKUP("AdjustmentsForDepreciationAndAmortisationExpense",HS_STANDALONE!$C:$C,HS_STANDALONE!I:I,0,0,1)</f>
        <v>1864900000</v>
      </c>
      <c r="K106" s="8">
        <f>_xlfn.XLOOKUP("AdjustmentsForDepreciationAndAmortisationExpense",HS_STANDALONE!$C:$C,HS_STANDALONE!J:J,0,0,1)</f>
        <v>1851300000</v>
      </c>
      <c r="L106" s="8">
        <f>_xlfn.XLOOKUP("AdjustmentsForDepreciationAndAmortisationExpense",HS_STANDALONE!$C:$C,HS_STANDALONE!K:K,0,0,1)</f>
        <v>1900400000</v>
      </c>
      <c r="M106" s="8">
        <f>_xlfn.XLOOKUP("AdjustmentsForDepreciationAndAmortisationExpense",HS_STANDALONE!$C:$C,HS_STANDALONE!L:L,0,0,1)</f>
        <v>1195700000</v>
      </c>
      <c r="N106" s="8">
        <f>_xlfn.XLOOKUP("AdjustmentsForDepreciationAndAmortisationExpense",HS_STANDALONE!$C:$C,HS_STANDALONE!M:M,0,0,1)</f>
        <v>1668500000</v>
      </c>
    </row>
    <row r="107" spans="1:14">
      <c r="D107" s="7" t="s">
        <v>212</v>
      </c>
      <c r="E107" s="8">
        <f>_xlfn.XLOOKUP("AdjustmentsForImpairmentLossReversalOfImpairmentLossRecognisedInProfitOrLoss",HS_STANDALONE!$C:$C,HS_STANDALONE!D:D,0,0,1)</f>
        <v>0</v>
      </c>
      <c r="F107" s="8">
        <f>_xlfn.XLOOKUP("AdjustmentsForImpairmentLossReversalOfImpairmentLossRecognisedInProfitOrLoss",HS_STANDALONE!$C:$C,HS_STANDALONE!E:E,0,0,1)</f>
        <v>0</v>
      </c>
      <c r="G107" s="8">
        <f>_xlfn.XLOOKUP("AdjustmentsForImpairmentLossReversalOfImpairmentLossRecognisedInProfitOrLoss",HS_STANDALONE!$C:$C,HS_STANDALONE!F:F,0,0,1)</f>
        <v>-44900000</v>
      </c>
      <c r="H107" s="8">
        <f>_xlfn.XLOOKUP("AdjustmentsForImpairmentLossReversalOfImpairmentLossRecognisedInProfitOrLoss",HS_STANDALONE!$C:$C,HS_STANDALONE!G:G,0,0,1)</f>
        <v>-81400000</v>
      </c>
      <c r="I107" s="8">
        <f>_xlfn.XLOOKUP("AdjustmentsForImpairmentLossReversalOfImpairmentLossRecognisedInProfitOrLoss",HS_STANDALONE!$C:$C,HS_STANDALONE!H:H,0,0,1)</f>
        <v>-67200000</v>
      </c>
      <c r="J107" s="8">
        <f>_xlfn.XLOOKUP("AdjustmentsForImpairmentLossReversalOfImpairmentLossRecognisedInProfitOrLoss",HS_STANDALONE!$C:$C,HS_STANDALONE!I:I,0,0,1)</f>
        <v>178900000</v>
      </c>
      <c r="K107" s="8">
        <f>_xlfn.XLOOKUP("AdjustmentsForImpairmentLossReversalOfImpairmentLossRecognisedInProfitOrLoss",HS_STANDALONE!$C:$C,HS_STANDALONE!J:J,0,0,1)</f>
        <v>-11100000</v>
      </c>
      <c r="L107" s="8">
        <f>_xlfn.XLOOKUP("AdjustmentsForImpairmentLossReversalOfImpairmentLossRecognisedInProfitOrLoss",HS_STANDALONE!$C:$C,HS_STANDALONE!K:K,0,0,1)</f>
        <v>-58900000</v>
      </c>
      <c r="M107" s="8">
        <f>_xlfn.XLOOKUP("AdjustmentsForImpairmentLossReversalOfImpairmentLossRecognisedInProfitOrLoss",HS_STANDALONE!$C:$C,HS_STANDALONE!L:L,0,0,1)</f>
        <v>57500000</v>
      </c>
      <c r="N107" s="8">
        <f>_xlfn.XLOOKUP("AdjustmentsForImpairmentLossReversalOfImpairmentLossRecognisedInProfitOrLoss",HS_STANDALONE!$C:$C,HS_STANDALONE!M:M,0,0,1)</f>
        <v>196200000</v>
      </c>
    </row>
    <row r="108" spans="1:14">
      <c r="D108" s="7" t="s">
        <v>214</v>
      </c>
      <c r="E108" s="8">
        <f>_xlfn.XLOOKUP("AdjustmentsForUnrealisedForeignExchangeLossesGains",HS_STANDALONE!$C:$C,HS_STANDALONE!D:D,0,0,1)</f>
        <v>0</v>
      </c>
      <c r="F108" s="8">
        <f>_xlfn.XLOOKUP("AdjustmentsForUnrealisedForeignExchangeLossesGains",HS_STANDALONE!$C:$C,HS_STANDALONE!E:E,0,0,1)</f>
        <v>458600000</v>
      </c>
      <c r="G108" s="8">
        <f>_xlfn.XLOOKUP("AdjustmentsForUnrealisedForeignExchangeLossesGains",HS_STANDALONE!$C:$C,HS_STANDALONE!F:F,0,0,1)</f>
        <v>-221300000</v>
      </c>
      <c r="H108" s="8">
        <f>_xlfn.XLOOKUP("AdjustmentsForUnrealisedForeignExchangeLossesGains",HS_STANDALONE!$C:$C,HS_STANDALONE!G:G,0,0,1)</f>
        <v>931600000</v>
      </c>
      <c r="I108" s="8">
        <f>_xlfn.XLOOKUP("AdjustmentsForUnrealisedForeignExchangeLossesGains",HS_STANDALONE!$C:$C,HS_STANDALONE!H:H,0,0,1)</f>
        <v>1307400000</v>
      </c>
      <c r="J108" s="8">
        <f>_xlfn.XLOOKUP("AdjustmentsForUnrealisedForeignExchangeLossesGains",HS_STANDALONE!$C:$C,HS_STANDALONE!I:I,0,0,1)</f>
        <v>-52000000</v>
      </c>
      <c r="K108" s="8">
        <f>_xlfn.XLOOKUP("AdjustmentsForUnrealisedForeignExchangeLossesGains",HS_STANDALONE!$C:$C,HS_STANDALONE!J:J,0,0,1)</f>
        <v>38800000</v>
      </c>
      <c r="L108" s="8">
        <f>_xlfn.XLOOKUP("AdjustmentsForUnrealisedForeignExchangeLossesGains",HS_STANDALONE!$C:$C,HS_STANDALONE!K:K,0,0,1)</f>
        <v>-8200000</v>
      </c>
      <c r="M108" s="8">
        <f>_xlfn.XLOOKUP("AdjustmentsForUnrealisedForeignExchangeLossesGains",HS_STANDALONE!$C:$C,HS_STANDALONE!L:L,0,0,1)</f>
        <v>-400000</v>
      </c>
      <c r="N108" s="8">
        <f>_xlfn.XLOOKUP("AdjustmentsForUnrealisedForeignExchangeLossesGains",HS_STANDALONE!$C:$C,HS_STANDALONE!M:M,0,0,1)</f>
        <v>-1000000</v>
      </c>
    </row>
    <row r="109" spans="1:14">
      <c r="D109" s="7" t="s">
        <v>215</v>
      </c>
      <c r="E109" s="8">
        <f>_xlfn.XLOOKUP("AdjustmentsForInterestIncome",HS_STANDALONE!$C:$C,HS_STANDALONE!D:D,0,0,1)</f>
        <v>0</v>
      </c>
      <c r="F109" s="8">
        <f>_xlfn.XLOOKUP("AdjustmentsForInterestIncome",HS_STANDALONE!$C:$C,HS_STANDALONE!E:E,0,0,1)</f>
        <v>3793100000</v>
      </c>
      <c r="G109" s="8">
        <f>_xlfn.XLOOKUP("AdjustmentsForInterestIncome",HS_STANDALONE!$C:$C,HS_STANDALONE!F:F,0,0,1)</f>
        <v>0</v>
      </c>
      <c r="H109" s="8">
        <f>_xlfn.XLOOKUP("AdjustmentsForInterestIncome",HS_STANDALONE!$C:$C,HS_STANDALONE!G:G,0,0,1)</f>
        <v>0</v>
      </c>
      <c r="I109" s="8">
        <f>_xlfn.XLOOKUP("AdjustmentsForInterestIncome",HS_STANDALONE!$C:$C,HS_STANDALONE!H:H,0,0,1)</f>
        <v>0</v>
      </c>
      <c r="J109" s="8">
        <f>_xlfn.XLOOKUP("AdjustmentsForInterestIncome",HS_STANDALONE!$C:$C,HS_STANDALONE!I:I,0,0,1)</f>
        <v>0</v>
      </c>
      <c r="K109" s="8">
        <f>_xlfn.XLOOKUP("AdjustmentsForInterestIncome",HS_STANDALONE!$C:$C,HS_STANDALONE!J:J,0,0,1)</f>
        <v>0</v>
      </c>
      <c r="L109" s="8">
        <f>_xlfn.XLOOKUP("AdjustmentsForInterestIncome",HS_STANDALONE!$C:$C,HS_STANDALONE!K:K,0,0,1)</f>
        <v>0</v>
      </c>
      <c r="M109" s="8">
        <f>_xlfn.XLOOKUP("AdjustmentsForInterestIncome",HS_STANDALONE!$C:$C,HS_STANDALONE!L:L,0,0,1)</f>
        <v>0</v>
      </c>
      <c r="N109" s="8">
        <f>_xlfn.XLOOKUP("AdjustmentsForInterestIncome",HS_STANDALONE!$C:$C,HS_STANDALONE!M:M,0,0,1)</f>
        <v>0</v>
      </c>
    </row>
    <row r="110" spans="1:14">
      <c r="D110" s="7" t="s">
        <v>216</v>
      </c>
      <c r="E110" s="8">
        <f>_xlfn.XLOOKUP("AdjustmentsForSharebasedPayments",HS_STANDALONE!$C:$C,HS_STANDALONE!D:D,0,0,1)</f>
        <v>0</v>
      </c>
      <c r="F110" s="8">
        <f>_xlfn.XLOOKUP("AdjustmentsForSharebasedPayments",HS_STANDALONE!$C:$C,HS_STANDALONE!E:E,0,0,1)</f>
        <v>22400000</v>
      </c>
      <c r="G110" s="8">
        <f>_xlfn.XLOOKUP("AdjustmentsForSharebasedPayments",HS_STANDALONE!$C:$C,HS_STANDALONE!F:F,0,0,1)</f>
        <v>0</v>
      </c>
      <c r="H110" s="8">
        <f>_xlfn.XLOOKUP("AdjustmentsForSharebasedPayments",HS_STANDALONE!$C:$C,HS_STANDALONE!G:G,0,0,1)</f>
        <v>0</v>
      </c>
      <c r="I110" s="8">
        <f>_xlfn.XLOOKUP("AdjustmentsForSharebasedPayments",HS_STANDALONE!$C:$C,HS_STANDALONE!H:H,0,0,1)</f>
        <v>0</v>
      </c>
      <c r="J110" s="8">
        <f>_xlfn.XLOOKUP("AdjustmentsForSharebasedPayments",HS_STANDALONE!$C:$C,HS_STANDALONE!I:I,0,0,1)</f>
        <v>0</v>
      </c>
      <c r="K110" s="8">
        <f>_xlfn.XLOOKUP("AdjustmentsForSharebasedPayments",HS_STANDALONE!$C:$C,HS_STANDALONE!J:J,0,0,1)</f>
        <v>0</v>
      </c>
      <c r="L110" s="8">
        <f>_xlfn.XLOOKUP("AdjustmentsForSharebasedPayments",HS_STANDALONE!$C:$C,HS_STANDALONE!K:K,0,0,1)</f>
        <v>0</v>
      </c>
      <c r="M110" s="8">
        <f>_xlfn.XLOOKUP("AdjustmentsForSharebasedPayments",HS_STANDALONE!$C:$C,HS_STANDALONE!L:L,0,0,1)</f>
        <v>220800000</v>
      </c>
      <c r="N110" s="8">
        <f>_xlfn.XLOOKUP("AdjustmentsForSharebasedPayments",HS_STANDALONE!$C:$C,HS_STANDALONE!M:M,0,0,1)</f>
        <v>1111900000</v>
      </c>
    </row>
    <row r="111" spans="1:14">
      <c r="D111" s="7" t="s">
        <v>217</v>
      </c>
      <c r="E111" s="8">
        <f>_xlfn.XLOOKUP("OtherAdjustmentsForWhichCashEffectsAreInvestingOrFinancingCashFlow",HS_STANDALONE!$C:$C,HS_STANDALONE!D:D,0,0,1)</f>
        <v>0</v>
      </c>
      <c r="F111" s="8">
        <f>_xlfn.XLOOKUP("OtherAdjustmentsForWhichCashEffectsAreInvestingOrFinancingCashFlow",HS_STANDALONE!$C:$C,HS_STANDALONE!E:E,0,0,1)</f>
        <v>-208700000</v>
      </c>
      <c r="G111" s="8">
        <f>_xlfn.XLOOKUP("OtherAdjustmentsForWhichCashEffectsAreInvestingOrFinancingCashFlow",HS_STANDALONE!$C:$C,HS_STANDALONE!F:F,0,0,1)</f>
        <v>-308300000</v>
      </c>
      <c r="H111" s="8">
        <f>_xlfn.XLOOKUP("OtherAdjustmentsForWhichCashEffectsAreInvestingOrFinancingCashFlow",HS_STANDALONE!$C:$C,HS_STANDALONE!G:G,0,0,1)</f>
        <v>-149900000</v>
      </c>
      <c r="I111" s="8">
        <f>_xlfn.XLOOKUP("OtherAdjustmentsForWhichCashEffectsAreInvestingOrFinancingCashFlow",HS_STANDALONE!$C:$C,HS_STANDALONE!H:H,0,0,1)</f>
        <v>33000000</v>
      </c>
      <c r="J111" s="8">
        <f>_xlfn.XLOOKUP("OtherAdjustmentsForWhichCashEffectsAreInvestingOrFinancingCashFlow",HS_STANDALONE!$C:$C,HS_STANDALONE!I:I,0,0,1)</f>
        <v>16800000</v>
      </c>
      <c r="K111" s="8">
        <f>_xlfn.XLOOKUP("OtherAdjustmentsForWhichCashEffectsAreInvestingOrFinancingCashFlow",HS_STANDALONE!$C:$C,HS_STANDALONE!J:J,0,0,1)</f>
        <v>66300000</v>
      </c>
      <c r="L111" s="8">
        <f>_xlfn.XLOOKUP("OtherAdjustmentsForWhichCashEffectsAreInvestingOrFinancingCashFlow",HS_STANDALONE!$C:$C,HS_STANDALONE!K:K,0,0,1)</f>
        <v>10500000</v>
      </c>
      <c r="M111" s="8">
        <f>_xlfn.XLOOKUP("OtherAdjustmentsForWhichCashEffectsAreInvestingOrFinancingCashFlow",HS_STANDALONE!$C:$C,HS_STANDALONE!L:L,0,0,1)</f>
        <v>74000000</v>
      </c>
      <c r="N111" s="8">
        <f>_xlfn.XLOOKUP("OtherAdjustmentsForWhichCashEffectsAreInvestingOrFinancingCashFlow",HS_STANDALONE!$C:$C,HS_STANDALONE!M:M,0,0,1)</f>
        <v>-1044400000</v>
      </c>
    </row>
    <row r="112" spans="1:14">
      <c r="D112" s="7" t="s">
        <v>218</v>
      </c>
      <c r="E112" s="8">
        <f>_xlfn.XLOOKUP("OtherAdjustmentsToReconcileProfitLoss",HS_STANDALONE!$C:$C,HS_STANDALONE!D:D,0,0,1)</f>
        <v>0</v>
      </c>
      <c r="F112" s="8">
        <f>_xlfn.XLOOKUP("OtherAdjustmentsToReconcileProfitLoss",HS_STANDALONE!$C:$C,HS_STANDALONE!E:E,0,0,1)</f>
        <v>4087000000</v>
      </c>
      <c r="G112" s="8">
        <f>_xlfn.XLOOKUP("OtherAdjustmentsToReconcileProfitLoss",HS_STANDALONE!$C:$C,HS_STANDALONE!F:F,0,0,1)</f>
        <v>4354000000</v>
      </c>
      <c r="H112" s="8">
        <f>_xlfn.XLOOKUP("OtherAdjustmentsToReconcileProfitLoss",HS_STANDALONE!$C:$C,HS_STANDALONE!G:G,0,0,1)</f>
        <v>60551700000</v>
      </c>
      <c r="I112" s="8">
        <f>_xlfn.XLOOKUP("OtherAdjustmentsToReconcileProfitLoss",HS_STANDALONE!$C:$C,HS_STANDALONE!H:H,0,0,1)</f>
        <v>6050600000</v>
      </c>
      <c r="J112" s="8">
        <f>_xlfn.XLOOKUP("OtherAdjustmentsToReconcileProfitLoss",HS_STANDALONE!$C:$C,HS_STANDALONE!I:I,0,0,1)</f>
        <v>-8600900000</v>
      </c>
      <c r="K112" s="8">
        <f>_xlfn.XLOOKUP("OtherAdjustmentsToReconcileProfitLoss",HS_STANDALONE!$C:$C,HS_STANDALONE!J:J,0,0,1)</f>
        <v>2131100000</v>
      </c>
      <c r="L112" s="8">
        <f>_xlfn.XLOOKUP("OtherAdjustmentsToReconcileProfitLoss",HS_STANDALONE!$C:$C,HS_STANDALONE!K:K,0,0,1)</f>
        <v>-25921300000</v>
      </c>
      <c r="M112" s="8">
        <f>_xlfn.XLOOKUP("OtherAdjustmentsToReconcileProfitLoss",HS_STANDALONE!$C:$C,HS_STANDALONE!L:L,0,0,1)</f>
        <v>-1285200000</v>
      </c>
      <c r="N112" s="8">
        <f>_xlfn.XLOOKUP("OtherAdjustmentsToReconcileProfitLoss",HS_STANDALONE!$C:$C,HS_STANDALONE!M:M,0,0,1)</f>
        <v>626400000</v>
      </c>
    </row>
    <row r="113" spans="1:14">
      <c r="D113" s="7" t="s">
        <v>219</v>
      </c>
      <c r="E113" s="8">
        <f>_xlfn.XLOOKUP("OtherAdjustmentsForNoncashItems",HS_STANDALONE!$C:$C,HS_STANDALONE!D:D,0,0,1)</f>
        <v>0</v>
      </c>
      <c r="F113" s="8">
        <f>_xlfn.XLOOKUP("OtherAdjustmentsForNoncashItems",HS_STANDALONE!$C:$C,HS_STANDALONE!E:E,0,0,1)</f>
        <v>5498600000</v>
      </c>
      <c r="G113" s="8">
        <f>_xlfn.XLOOKUP("OtherAdjustmentsForNoncashItems",HS_STANDALONE!$C:$C,HS_STANDALONE!F:F,0,0,1)</f>
        <v>-174500000</v>
      </c>
      <c r="H113" s="8">
        <f>_xlfn.XLOOKUP("OtherAdjustmentsForNoncashItems",HS_STANDALONE!$C:$C,HS_STANDALONE!G:G,0,0,1)</f>
        <v>-388800000</v>
      </c>
      <c r="I113" s="8">
        <f>_xlfn.XLOOKUP("OtherAdjustmentsForNoncashItems",HS_STANDALONE!$C:$C,HS_STANDALONE!H:H,0,0,1)</f>
        <v>724200000</v>
      </c>
      <c r="J113" s="8">
        <f>_xlfn.XLOOKUP("OtherAdjustmentsForNoncashItems",HS_STANDALONE!$C:$C,HS_STANDALONE!I:I,0,0,1)</f>
        <v>274500000</v>
      </c>
      <c r="K113" s="8">
        <f>_xlfn.XLOOKUP("OtherAdjustmentsForNoncashItems",HS_STANDALONE!$C:$C,HS_STANDALONE!J:J,0,0,1)</f>
        <v>382600000</v>
      </c>
      <c r="L113" s="8">
        <f>_xlfn.XLOOKUP("OtherAdjustmentsForNoncashItems",HS_STANDALONE!$C:$C,HS_STANDALONE!K:K,0,0,1)</f>
        <v>-55000000</v>
      </c>
      <c r="M113" s="8">
        <f>_xlfn.XLOOKUP("OtherAdjustmentsForNoncashItems",HS_STANDALONE!$C:$C,HS_STANDALONE!L:L,0,0,1)</f>
        <v>-65900000</v>
      </c>
      <c r="N113" s="8">
        <f>_xlfn.XLOOKUP("OtherAdjustmentsForNoncashItems",HS_STANDALONE!$C:$C,HS_STANDALONE!M:M,0,0,1)</f>
        <v>62100000</v>
      </c>
    </row>
    <row r="114" spans="1:14">
      <c r="D114" s="7" t="s">
        <v>220</v>
      </c>
      <c r="E114" s="8">
        <f>_xlfn.XLOOKUP("AdjustmentsForReconcileProfitLoss",HS_STANDALONE!$C:$C,HS_STANDALONE!D:D,0,0,1)</f>
        <v>0</v>
      </c>
      <c r="F114" s="8">
        <f>_xlfn.XLOOKUP("AdjustmentsForReconcileProfitLoss",HS_STANDALONE!$C:$C,HS_STANDALONE!E:E,0,0,1)</f>
        <v>24569400000</v>
      </c>
      <c r="G114" s="8">
        <f>_xlfn.XLOOKUP("AdjustmentsForReconcileProfitLoss",HS_STANDALONE!$C:$C,HS_STANDALONE!F:F,0,0,1)</f>
        <v>-7072500000</v>
      </c>
      <c r="H114" s="8">
        <f>_xlfn.XLOOKUP("AdjustmentsForReconcileProfitLoss",HS_STANDALONE!$C:$C,HS_STANDALONE!G:G,0,0,1)</f>
        <v>70354400000</v>
      </c>
      <c r="I114" s="8">
        <f>_xlfn.XLOOKUP("AdjustmentsForReconcileProfitLoss",HS_STANDALONE!$C:$C,HS_STANDALONE!H:H,0,0,1)</f>
        <v>9465300000</v>
      </c>
      <c r="J114" s="8">
        <f>_xlfn.XLOOKUP("AdjustmentsForReconcileProfitLoss",HS_STANDALONE!$C:$C,HS_STANDALONE!I:I,0,0,1)</f>
        <v>-7190300000</v>
      </c>
      <c r="K114" s="8">
        <f>_xlfn.XLOOKUP("AdjustmentsForReconcileProfitLoss",HS_STANDALONE!$C:$C,HS_STANDALONE!J:J,0,0,1)</f>
        <v>868000000</v>
      </c>
      <c r="L114" s="8">
        <f>_xlfn.XLOOKUP("AdjustmentsForReconcileProfitLoss",HS_STANDALONE!$C:$C,HS_STANDALONE!K:K,0,0,1)</f>
        <v>-25999000000</v>
      </c>
      <c r="M114" s="8">
        <f>_xlfn.XLOOKUP("AdjustmentsForReconcileProfitLoss",HS_STANDALONE!$C:$C,HS_STANDALONE!L:L,0,0,1)</f>
        <v>-8541600000</v>
      </c>
      <c r="N114" s="8">
        <f>_xlfn.XLOOKUP("AdjustmentsForReconcileProfitLoss",HS_STANDALONE!$C:$C,HS_STANDALONE!M:M,0,0,1)</f>
        <v>-5646700000</v>
      </c>
    </row>
    <row r="115" spans="1:14">
      <c r="A115" s="9"/>
      <c r="B115" s="9"/>
      <c r="C115" s="10" t="s">
        <v>221</v>
      </c>
      <c r="D115" s="9"/>
      <c r="E115" s="11">
        <f t="shared" ref="E115:N115" si="21">IFERROR(E114+E98,0)</f>
        <v>0</v>
      </c>
      <c r="F115" s="11">
        <f t="shared" si="21"/>
        <v>28125900000</v>
      </c>
      <c r="G115" s="11">
        <f t="shared" si="21"/>
        <v>-18619900000</v>
      </c>
      <c r="H115" s="11">
        <f t="shared" si="21"/>
        <v>-3765400000</v>
      </c>
      <c r="I115" s="11">
        <f t="shared" si="21"/>
        <v>-23294500000</v>
      </c>
      <c r="J115" s="11">
        <f t="shared" si="21"/>
        <v>-11174300000</v>
      </c>
      <c r="K115" s="11">
        <f t="shared" si="21"/>
        <v>-8258600000</v>
      </c>
      <c r="L115" s="11">
        <f t="shared" si="21"/>
        <v>-4371400000</v>
      </c>
      <c r="M115" s="11">
        <f t="shared" si="21"/>
        <v>-7607300000</v>
      </c>
      <c r="N115" s="11">
        <f t="shared" si="21"/>
        <v>9090500000</v>
      </c>
    </row>
    <row r="116" spans="1:14">
      <c r="C116" s="7" t="s">
        <v>243</v>
      </c>
      <c r="E116" s="8">
        <f>-_xlfn.XLOOKUP("InterestPaidClassifiedAsOperatingActivities",HS_STANDALONE!$C:$C,HS_STANDALONE!D:D,0,0,1)</f>
        <v>0</v>
      </c>
      <c r="F116" s="8">
        <f>-_xlfn.XLOOKUP("InterestPaidClassifiedAsOperatingActivities",HS_STANDALONE!$C:$C,HS_STANDALONE!E:E,0,0,1)</f>
        <v>0</v>
      </c>
      <c r="G116" s="8">
        <f>-_xlfn.XLOOKUP("InterestPaidClassifiedAsOperatingActivities",HS_STANDALONE!$C:$C,HS_STANDALONE!F:F,0,0,1)</f>
        <v>10598800000</v>
      </c>
      <c r="H116" s="8">
        <f>-_xlfn.XLOOKUP("InterestPaidClassifiedAsOperatingActivities",HS_STANDALONE!$C:$C,HS_STANDALONE!G:G,0,0,1)</f>
        <v>8250500000</v>
      </c>
      <c r="I116" s="8">
        <f>-_xlfn.XLOOKUP("InterestPaidClassifiedAsOperatingActivities",HS_STANDALONE!$C:$C,HS_STANDALONE!H:H,0,0,1)</f>
        <v>10743500000</v>
      </c>
      <c r="J116" s="8">
        <f>-_xlfn.XLOOKUP("InterestPaidClassifiedAsOperatingActivities",HS_STANDALONE!$C:$C,HS_STANDALONE!I:I,0,0,1)</f>
        <v>9526700000</v>
      </c>
      <c r="K116" s="8">
        <f>-_xlfn.XLOOKUP("InterestPaidClassifiedAsOperatingActivities",HS_STANDALONE!$C:$C,HS_STANDALONE!J:J,0,0,1)</f>
        <v>7509000000</v>
      </c>
      <c r="L116" s="8">
        <f>-_xlfn.XLOOKUP("InterestPaidClassifiedAsOperatingActivities",HS_STANDALONE!$C:$C,HS_STANDALONE!K:K,0,0,1)</f>
        <v>4081100000</v>
      </c>
      <c r="M116" s="8">
        <f>-_xlfn.XLOOKUP("InterestPaidClassifiedAsOperatingActivities",HS_STANDALONE!$C:$C,HS_STANDALONE!L:L,0,0,1)</f>
        <v>1654700000</v>
      </c>
      <c r="N116" s="8">
        <f>-_xlfn.XLOOKUP("InterestPaidClassifiedAsOperatingActivities",HS_STANDALONE!$C:$C,HS_STANDALONE!M:M,0,0,1)</f>
        <v>0</v>
      </c>
    </row>
    <row r="117" spans="1:14">
      <c r="C117" s="7" t="s">
        <v>222</v>
      </c>
      <c r="E117" s="8">
        <f>-_xlfn.XLOOKUP("IncomeTaxesPaidRefundClassifiedAsOperatingActivities",HS_STANDALONE!$C:$C,HS_STANDALONE!D:D,0,0,1)</f>
        <v>0</v>
      </c>
      <c r="F117" s="8">
        <f>-_xlfn.XLOOKUP("IncomeTaxesPaidRefundClassifiedAsOperatingActivities",HS_STANDALONE!$C:$C,HS_STANDALONE!E:E,0,0,1)</f>
        <v>-43200000</v>
      </c>
      <c r="G117" s="8">
        <f>-_xlfn.XLOOKUP("IncomeTaxesPaidRefundClassifiedAsOperatingActivities",HS_STANDALONE!$C:$C,HS_STANDALONE!F:F,0,0,1)</f>
        <v>59400000</v>
      </c>
      <c r="H117" s="8">
        <f>-_xlfn.XLOOKUP("IncomeTaxesPaidRefundClassifiedAsOperatingActivities",HS_STANDALONE!$C:$C,HS_STANDALONE!G:G,0,0,1)</f>
        <v>13500000</v>
      </c>
      <c r="I117" s="8">
        <f>-_xlfn.XLOOKUP("IncomeTaxesPaidRefundClassifiedAsOperatingActivities",HS_STANDALONE!$C:$C,HS_STANDALONE!H:H,0,0,1)</f>
        <v>-19500000</v>
      </c>
      <c r="J117" s="8">
        <f>-_xlfn.XLOOKUP("IncomeTaxesPaidRefundClassifiedAsOperatingActivities",HS_STANDALONE!$C:$C,HS_STANDALONE!I:I,0,0,1)</f>
        <v>33900000</v>
      </c>
      <c r="K117" s="8">
        <f>-_xlfn.XLOOKUP("IncomeTaxesPaidRefundClassifiedAsOperatingActivities",HS_STANDALONE!$C:$C,HS_STANDALONE!J:J,0,0,1)</f>
        <v>5000000</v>
      </c>
      <c r="L117" s="8">
        <f>-_xlfn.XLOOKUP("IncomeTaxesPaidRefundClassifiedAsOperatingActivities",HS_STANDALONE!$C:$C,HS_STANDALONE!K:K,0,0,1)</f>
        <v>-21200000</v>
      </c>
      <c r="M117" s="8">
        <f>-_xlfn.XLOOKUP("IncomeTaxesPaidRefundClassifiedAsOperatingActivities",HS_STANDALONE!$C:$C,HS_STANDALONE!L:L,0,0,1)</f>
        <v>-9300000</v>
      </c>
      <c r="N117" s="8">
        <f>-_xlfn.XLOOKUP("IncomeTaxesPaidRefundClassifiedAsOperatingActivities",HS_STANDALONE!$C:$C,HS_STANDALONE!M:M,0,0,1)</f>
        <v>64600000</v>
      </c>
    </row>
    <row r="118" spans="1:14">
      <c r="A118" s="9"/>
      <c r="B118" s="9"/>
      <c r="C118" s="10" t="s">
        <v>223</v>
      </c>
      <c r="D118" s="9"/>
      <c r="E118" s="11">
        <f t="shared" ref="E118:N118" si="22">IFERROR(SUM(E115:E117),0)</f>
        <v>0</v>
      </c>
      <c r="F118" s="11">
        <f t="shared" si="22"/>
        <v>28082700000</v>
      </c>
      <c r="G118" s="11">
        <f t="shared" si="22"/>
        <v>-7961700000</v>
      </c>
      <c r="H118" s="11">
        <f t="shared" si="22"/>
        <v>4498600000</v>
      </c>
      <c r="I118" s="11">
        <f t="shared" si="22"/>
        <v>-12570500000</v>
      </c>
      <c r="J118" s="11">
        <f t="shared" si="22"/>
        <v>-1613700000</v>
      </c>
      <c r="K118" s="11">
        <f t="shared" si="22"/>
        <v>-744600000</v>
      </c>
      <c r="L118" s="11">
        <f t="shared" si="22"/>
        <v>-311500000</v>
      </c>
      <c r="M118" s="11">
        <f t="shared" si="22"/>
        <v>-5961900000</v>
      </c>
      <c r="N118" s="11">
        <f t="shared" si="22"/>
        <v>9155100000</v>
      </c>
    </row>
    <row r="119" spans="1:14">
      <c r="A119" s="5"/>
      <c r="B119" s="5"/>
      <c r="C119" s="6" t="s">
        <v>224</v>
      </c>
      <c r="D119" s="5"/>
      <c r="E119" s="5"/>
      <c r="F119" s="5"/>
      <c r="G119" s="5"/>
      <c r="H119" s="5"/>
      <c r="I119" s="5"/>
      <c r="J119" s="5"/>
      <c r="K119" s="5"/>
      <c r="L119" s="5"/>
      <c r="M119" s="5"/>
      <c r="N119" s="5"/>
    </row>
    <row r="120" spans="1:14">
      <c r="D120" s="7" t="s">
        <v>251</v>
      </c>
      <c r="E120" s="8">
        <f>_xlfn.XLOOKUP("CashFlowsFromLosingControlOfSubsidiariesOrOtherBusinessesClassifiedAsInvestingActivities",HS_STANDALONE!$C:$C,HS_STANDALONE!D:D,0,0,1)</f>
        <v>0</v>
      </c>
      <c r="F120" s="8">
        <f>_xlfn.XLOOKUP("CashFlowsFromLosingControlOfSubsidiariesOrOtherBusinessesClassifiedAsInvestingActivities",HS_STANDALONE!$C:$C,HS_STANDALONE!E:E,0,0,1)</f>
        <v>85500000</v>
      </c>
      <c r="G120" s="8">
        <f>_xlfn.XLOOKUP("CashFlowsFromLosingControlOfSubsidiariesOrOtherBusinessesClassifiedAsInvestingActivities",HS_STANDALONE!$C:$C,HS_STANDALONE!F:F,0,0,1)</f>
        <v>800000</v>
      </c>
      <c r="H120" s="8">
        <f>_xlfn.XLOOKUP("CashFlowsFromLosingControlOfSubsidiariesOrOtherBusinessesClassifiedAsInvestingActivities",HS_STANDALONE!$C:$C,HS_STANDALONE!G:G,0,0,1)</f>
        <v>2855300000</v>
      </c>
      <c r="I120" s="8">
        <f>_xlfn.XLOOKUP("CashFlowsFromLosingControlOfSubsidiariesOrOtherBusinessesClassifiedAsInvestingActivities",HS_STANDALONE!$C:$C,HS_STANDALONE!H:H,0,0,1)</f>
        <v>303800000</v>
      </c>
      <c r="J120" s="8">
        <f>_xlfn.XLOOKUP("CashFlowsFromLosingControlOfSubsidiariesOrOtherBusinessesClassifiedAsInvestingActivities",HS_STANDALONE!$C:$C,HS_STANDALONE!I:I,0,0,1)</f>
        <v>0</v>
      </c>
      <c r="K120" s="8">
        <f>_xlfn.XLOOKUP("CashFlowsFromLosingControlOfSubsidiariesOrOtherBusinessesClassifiedAsInvestingActivities",HS_STANDALONE!$C:$C,HS_STANDALONE!J:J,0,0,1)</f>
        <v>0</v>
      </c>
      <c r="L120" s="8">
        <f>_xlfn.XLOOKUP("CashFlowsFromLosingControlOfSubsidiariesOrOtherBusinessesClassifiedAsInvestingActivities",HS_STANDALONE!$C:$C,HS_STANDALONE!K:K,0,0,1)</f>
        <v>0</v>
      </c>
      <c r="M120" s="8">
        <f>_xlfn.XLOOKUP("CashFlowsFromLosingControlOfSubsidiariesOrOtherBusinessesClassifiedAsInvestingActivities",HS_STANDALONE!$C:$C,HS_STANDALONE!L:L,0,0,1)</f>
        <v>0</v>
      </c>
      <c r="N120" s="8">
        <f>_xlfn.XLOOKUP("CashFlowsFromLosingControlOfSubsidiariesOrOtherBusinessesClassifiedAsInvestingActivities",HS_STANDALONE!$C:$C,HS_STANDALONE!M:M,0,0,1)</f>
        <v>0</v>
      </c>
    </row>
    <row r="121" spans="1:14">
      <c r="D121" s="7" t="s">
        <v>225</v>
      </c>
      <c r="E121" s="8">
        <f>-_xlfn.XLOOKUP("CashFlowsUsedInObtainingControlOfSubsidiariesOrOtherBusinessesClassifiedAsInvestingActivities",HS_STANDALONE!$C:$C,HS_STANDALONE!D:D,0,0,1)</f>
        <v>0</v>
      </c>
      <c r="F121" s="8">
        <f>-_xlfn.XLOOKUP("CashFlowsUsedInObtainingControlOfSubsidiariesOrOtherBusinessesClassifiedAsInvestingActivities",HS_STANDALONE!$C:$C,HS_STANDALONE!E:E,0,0,1)</f>
        <v>-7200300000</v>
      </c>
      <c r="G121" s="8">
        <f>-_xlfn.XLOOKUP("CashFlowsUsedInObtainingControlOfSubsidiariesOrOtherBusinessesClassifiedAsInvestingActivities",HS_STANDALONE!$C:$C,HS_STANDALONE!F:F,0,0,1)</f>
        <v>-5049800000</v>
      </c>
      <c r="H121" s="8">
        <f>-_xlfn.XLOOKUP("CashFlowsUsedInObtainingControlOfSubsidiariesOrOtherBusinessesClassifiedAsInvestingActivities",HS_STANDALONE!$C:$C,HS_STANDALONE!G:G,0,0,1)</f>
        <v>-403300000</v>
      </c>
      <c r="I121" s="8">
        <f>-_xlfn.XLOOKUP("CashFlowsUsedInObtainingControlOfSubsidiariesOrOtherBusinessesClassifiedAsInvestingActivities",HS_STANDALONE!$C:$C,HS_STANDALONE!H:H,0,0,1)</f>
        <v>0</v>
      </c>
      <c r="J121" s="8">
        <f>-_xlfn.XLOOKUP("CashFlowsUsedInObtainingControlOfSubsidiariesOrOtherBusinessesClassifiedAsInvestingActivities",HS_STANDALONE!$C:$C,HS_STANDALONE!I:I,0,0,1)</f>
        <v>0</v>
      </c>
      <c r="K121" s="8">
        <f>-_xlfn.XLOOKUP("CashFlowsUsedInObtainingControlOfSubsidiariesOrOtherBusinessesClassifiedAsInvestingActivities",HS_STANDALONE!$C:$C,HS_STANDALONE!J:J,0,0,1)</f>
        <v>0</v>
      </c>
      <c r="L121" s="8">
        <f>-_xlfn.XLOOKUP("CashFlowsUsedInObtainingControlOfSubsidiariesOrOtherBusinessesClassifiedAsInvestingActivities",HS_STANDALONE!$C:$C,HS_STANDALONE!K:K,0,0,1)</f>
        <v>0</v>
      </c>
      <c r="M121" s="8">
        <f>-_xlfn.XLOOKUP("CashFlowsUsedInObtainingControlOfSubsidiariesOrOtherBusinessesClassifiedAsInvestingActivities",HS_STANDALONE!$C:$C,HS_STANDALONE!L:L,0,0,1)</f>
        <v>0</v>
      </c>
      <c r="N121" s="8">
        <f>-_xlfn.XLOOKUP("CashFlowsUsedInObtainingControlOfSubsidiariesOrOtherBusinessesClassifiedAsInvestingActivities",HS_STANDALONE!$C:$C,HS_STANDALONE!M:M,0,0,1)</f>
        <v>-6413800000</v>
      </c>
    </row>
    <row r="122" spans="1:14">
      <c r="D122" s="7" t="s">
        <v>228</v>
      </c>
      <c r="E122" s="8">
        <f>_xlfn.XLOOKUP("OtherCashReceiptsFromSalesOfInterestsInJointVenturesClassifiedAsInvestingActivities",HS_STANDALONE!$C:$C,HS_STANDALONE!D:D,0,0,1)</f>
        <v>0</v>
      </c>
      <c r="F122" s="8">
        <f>_xlfn.XLOOKUP("OtherCashReceiptsFromSalesOfInterestsInJointVenturesClassifiedAsInvestingActivities",HS_STANDALONE!$C:$C,HS_STANDALONE!E:E,0,0,1)</f>
        <v>0</v>
      </c>
      <c r="G122" s="8">
        <f>_xlfn.XLOOKUP("OtherCashReceiptsFromSalesOfInterestsInJointVenturesClassifiedAsInvestingActivities",HS_STANDALONE!$C:$C,HS_STANDALONE!F:F,0,0,1)</f>
        <v>0</v>
      </c>
      <c r="H122" s="8">
        <f>_xlfn.XLOOKUP("OtherCashReceiptsFromSalesOfInterestsInJointVenturesClassifiedAsInvestingActivities",HS_STANDALONE!$C:$C,HS_STANDALONE!G:G,0,0,1)</f>
        <v>0</v>
      </c>
      <c r="I122" s="8">
        <f>_xlfn.XLOOKUP("OtherCashReceiptsFromSalesOfInterestsInJointVenturesClassifiedAsInvestingActivities",HS_STANDALONE!$C:$C,HS_STANDALONE!H:H,0,0,1)</f>
        <v>0</v>
      </c>
      <c r="J122" s="8">
        <f>_xlfn.XLOOKUP("OtherCashReceiptsFromSalesOfInterestsInJointVenturesClassifiedAsInvestingActivities",HS_STANDALONE!$C:$C,HS_STANDALONE!I:I,0,0,1)</f>
        <v>0</v>
      </c>
      <c r="K122" s="8">
        <f>_xlfn.XLOOKUP("OtherCashReceiptsFromSalesOfInterestsInJointVenturesClassifiedAsInvestingActivities",HS_STANDALONE!$C:$C,HS_STANDALONE!J:J,0,0,1)</f>
        <v>0</v>
      </c>
      <c r="L122" s="8">
        <f>_xlfn.XLOOKUP("OtherCashReceiptsFromSalesOfInterestsInJointVenturesClassifiedAsInvestingActivities",HS_STANDALONE!$C:$C,HS_STANDALONE!K:K,0,0,1)</f>
        <v>0</v>
      </c>
      <c r="M122" s="8">
        <f>_xlfn.XLOOKUP("OtherCashReceiptsFromSalesOfInterestsInJointVenturesClassifiedAsInvestingActivities",HS_STANDALONE!$C:$C,HS_STANDALONE!L:L,0,0,1)</f>
        <v>0</v>
      </c>
      <c r="N122" s="8">
        <f>_xlfn.XLOOKUP("OtherCashReceiptsFromSalesOfInterestsInJointVenturesClassifiedAsInvestingActivities",HS_STANDALONE!$C:$C,HS_STANDALONE!M:M,0,0,1)</f>
        <v>350000000</v>
      </c>
    </row>
    <row r="123" spans="1:14">
      <c r="D123" s="7" t="s">
        <v>229</v>
      </c>
      <c r="E123" s="8">
        <f>_xlfn.XLOOKUP("ProceedsFromSalesOfPropertyPlantAndEquipmentClassifiedAsInvestingActivities",HS_STANDALONE!$C:$C,HS_STANDALONE!D:D,0,0,1)</f>
        <v>0</v>
      </c>
      <c r="F123" s="8">
        <f>_xlfn.XLOOKUP("ProceedsFromSalesOfPropertyPlantAndEquipmentClassifiedAsInvestingActivities",HS_STANDALONE!$C:$C,HS_STANDALONE!E:E,0,0,1)</f>
        <v>13600000</v>
      </c>
      <c r="G123" s="8">
        <f>_xlfn.XLOOKUP("ProceedsFromSalesOfPropertyPlantAndEquipmentClassifiedAsInvestingActivities",HS_STANDALONE!$C:$C,HS_STANDALONE!F:F,0,0,1)</f>
        <v>612300000</v>
      </c>
      <c r="H123" s="8">
        <f>_xlfn.XLOOKUP("ProceedsFromSalesOfPropertyPlantAndEquipmentClassifiedAsInvestingActivities",HS_STANDALONE!$C:$C,HS_STANDALONE!G:G,0,0,1)</f>
        <v>338300000</v>
      </c>
      <c r="I123" s="8">
        <f>_xlfn.XLOOKUP("ProceedsFromSalesOfPropertyPlantAndEquipmentClassifiedAsInvestingActivities",HS_STANDALONE!$C:$C,HS_STANDALONE!H:H,0,0,1)</f>
        <v>3500000</v>
      </c>
      <c r="J123" s="8">
        <f>_xlfn.XLOOKUP("ProceedsFromSalesOfPropertyPlantAndEquipmentClassifiedAsInvestingActivities",HS_STANDALONE!$C:$C,HS_STANDALONE!I:I,0,0,1)</f>
        <v>17700000</v>
      </c>
      <c r="K123" s="8">
        <f>_xlfn.XLOOKUP("ProceedsFromSalesOfPropertyPlantAndEquipmentClassifiedAsInvestingActivities",HS_STANDALONE!$C:$C,HS_STANDALONE!J:J,0,0,1)</f>
        <v>6300000</v>
      </c>
      <c r="L123" s="8">
        <f>_xlfn.XLOOKUP("ProceedsFromSalesOfPropertyPlantAndEquipmentClassifiedAsInvestingActivities",HS_STANDALONE!$C:$C,HS_STANDALONE!K:K,0,0,1)</f>
        <v>855200000</v>
      </c>
      <c r="M123" s="8">
        <f>_xlfn.XLOOKUP("ProceedsFromSalesOfPropertyPlantAndEquipmentClassifiedAsInvestingActivities",HS_STANDALONE!$C:$C,HS_STANDALONE!L:L,0,0,1)</f>
        <v>9800000</v>
      </c>
      <c r="N123" s="8">
        <f>_xlfn.XLOOKUP("ProceedsFromSalesOfPropertyPlantAndEquipmentClassifiedAsInvestingActivities",HS_STANDALONE!$C:$C,HS_STANDALONE!M:M,0,0,1)</f>
        <v>4500000</v>
      </c>
    </row>
    <row r="124" spans="1:14">
      <c r="D124" s="7" t="s">
        <v>230</v>
      </c>
      <c r="E124" s="8">
        <f>-_xlfn.XLOOKUP("PurchaseOfPropertyPlantAndEquipmentClassifiedAsInvestingActivities",HS_STANDALONE!$C:$C,HS_STANDALONE!D:D,0,0,1)</f>
        <v>0</v>
      </c>
      <c r="F124" s="8">
        <f>-_xlfn.XLOOKUP("PurchaseOfPropertyPlantAndEquipmentClassifiedAsInvestingActivities",HS_STANDALONE!$C:$C,HS_STANDALONE!E:E,0,0,1)</f>
        <v>-3573600000</v>
      </c>
      <c r="G124" s="8">
        <f>-_xlfn.XLOOKUP("PurchaseOfPropertyPlantAndEquipmentClassifiedAsInvestingActivities",HS_STANDALONE!$C:$C,HS_STANDALONE!F:F,0,0,1)</f>
        <v>-2922000000</v>
      </c>
      <c r="H124" s="8">
        <f>-_xlfn.XLOOKUP("PurchaseOfPropertyPlantAndEquipmentClassifiedAsInvestingActivities",HS_STANDALONE!$C:$C,HS_STANDALONE!G:G,0,0,1)</f>
        <v>-2304700000</v>
      </c>
      <c r="I124" s="8">
        <f>-_xlfn.XLOOKUP("PurchaseOfPropertyPlantAndEquipmentClassifiedAsInvestingActivities",HS_STANDALONE!$C:$C,HS_STANDALONE!H:H,0,0,1)</f>
        <v>-975900000</v>
      </c>
      <c r="J124" s="8">
        <f>-_xlfn.XLOOKUP("PurchaseOfPropertyPlantAndEquipmentClassifiedAsInvestingActivities",HS_STANDALONE!$C:$C,HS_STANDALONE!I:I,0,0,1)</f>
        <v>-387300000</v>
      </c>
      <c r="K124" s="8">
        <f>-_xlfn.XLOOKUP("PurchaseOfPropertyPlantAndEquipmentClassifiedAsInvestingActivities",HS_STANDALONE!$C:$C,HS_STANDALONE!J:J,0,0,1)</f>
        <v>-521600000</v>
      </c>
      <c r="L124" s="8">
        <f>-_xlfn.XLOOKUP("PurchaseOfPropertyPlantAndEquipmentClassifiedAsInvestingActivities",HS_STANDALONE!$C:$C,HS_STANDALONE!K:K,0,0,1)</f>
        <v>-819800000</v>
      </c>
      <c r="M124" s="8">
        <f>-_xlfn.XLOOKUP("PurchaseOfPropertyPlantAndEquipmentClassifiedAsInvestingActivities",HS_STANDALONE!$C:$C,HS_STANDALONE!L:L,0,0,1)</f>
        <v>-1836500000</v>
      </c>
      <c r="N124" s="8">
        <f>-_xlfn.XLOOKUP("PurchaseOfPropertyPlantAndEquipmentClassifiedAsInvestingActivities",HS_STANDALONE!$C:$C,HS_STANDALONE!M:M,0,0,1)</f>
        <v>-3284600000</v>
      </c>
    </row>
    <row r="125" spans="1:14">
      <c r="D125" s="7" t="s">
        <v>252</v>
      </c>
      <c r="E125" s="8">
        <f>_xlfn.XLOOKUP("ProceedsFromSalesOfOtherLongTermAssetsClassifiedAsInvestingActivities",HS_STANDALONE!$C:$C,HS_STANDALONE!D:D,0,0,1)</f>
        <v>0</v>
      </c>
      <c r="F125" s="8">
        <f>_xlfn.XLOOKUP("ProceedsFromSalesOfOtherLongTermAssetsClassifiedAsInvestingActivities",HS_STANDALONE!$C:$C,HS_STANDALONE!E:E,0,0,1)</f>
        <v>0</v>
      </c>
      <c r="G125" s="8">
        <f>_xlfn.XLOOKUP("ProceedsFromSalesOfOtherLongTermAssetsClassifiedAsInvestingActivities",HS_STANDALONE!$C:$C,HS_STANDALONE!F:F,0,0,1)</f>
        <v>0</v>
      </c>
      <c r="H125" s="8">
        <f>_xlfn.XLOOKUP("ProceedsFromSalesOfOtherLongTermAssetsClassifiedAsInvestingActivities",HS_STANDALONE!$C:$C,HS_STANDALONE!G:G,0,0,1)</f>
        <v>0</v>
      </c>
      <c r="I125" s="8">
        <f>_xlfn.XLOOKUP("ProceedsFromSalesOfOtherLongTermAssetsClassifiedAsInvestingActivities",HS_STANDALONE!$C:$C,HS_STANDALONE!H:H,0,0,1)</f>
        <v>0</v>
      </c>
      <c r="J125" s="8">
        <f>_xlfn.XLOOKUP("ProceedsFromSalesOfOtherLongTermAssetsClassifiedAsInvestingActivities",HS_STANDALONE!$C:$C,HS_STANDALONE!I:I,0,0,1)</f>
        <v>0</v>
      </c>
      <c r="K125" s="8">
        <f>_xlfn.XLOOKUP("ProceedsFromSalesOfOtherLongTermAssetsClassifiedAsInvestingActivities",HS_STANDALONE!$C:$C,HS_STANDALONE!J:J,0,0,1)</f>
        <v>0</v>
      </c>
      <c r="L125" s="8">
        <f>_xlfn.XLOOKUP("ProceedsFromSalesOfOtherLongTermAssetsClassifiedAsInvestingActivities",HS_STANDALONE!$C:$C,HS_STANDALONE!K:K,0,0,1)</f>
        <v>642300000</v>
      </c>
      <c r="M125" s="8">
        <f>_xlfn.XLOOKUP("ProceedsFromSalesOfOtherLongTermAssetsClassifiedAsInvestingActivities",HS_STANDALONE!$C:$C,HS_STANDALONE!L:L,0,0,1)</f>
        <v>445300000</v>
      </c>
      <c r="N125" s="8">
        <f>_xlfn.XLOOKUP("ProceedsFromSalesOfOtherLongTermAssetsClassifiedAsInvestingActivities",HS_STANDALONE!$C:$C,HS_STANDALONE!M:M,0,0,1)</f>
        <v>0</v>
      </c>
    </row>
    <row r="126" spans="1:14">
      <c r="D126" s="7" t="s">
        <v>253</v>
      </c>
      <c r="E126" s="8">
        <f>-_xlfn.XLOOKUP("CashAdvancesAndLoansMadeToOtherPartiesClassifiedAsInvestingActivities",HS_STANDALONE!$C:$C,HS_STANDALONE!D:D,0,0,1)</f>
        <v>0</v>
      </c>
      <c r="F126" s="8">
        <f>-_xlfn.XLOOKUP("CashAdvancesAndLoansMadeToOtherPartiesClassifiedAsInvestingActivities",HS_STANDALONE!$C:$C,HS_STANDALONE!E:E,0,0,1)</f>
        <v>-10592600000</v>
      </c>
      <c r="G126" s="8">
        <f>-_xlfn.XLOOKUP("CashAdvancesAndLoansMadeToOtherPartiesClassifiedAsInvestingActivities",HS_STANDALONE!$C:$C,HS_STANDALONE!F:F,0,0,1)</f>
        <v>0</v>
      </c>
      <c r="H126" s="8">
        <f>-_xlfn.XLOOKUP("CashAdvancesAndLoansMadeToOtherPartiesClassifiedAsInvestingActivities",HS_STANDALONE!$C:$C,HS_STANDALONE!G:G,0,0,1)</f>
        <v>0</v>
      </c>
      <c r="I126" s="8">
        <f>-_xlfn.XLOOKUP("CashAdvancesAndLoansMadeToOtherPartiesClassifiedAsInvestingActivities",HS_STANDALONE!$C:$C,HS_STANDALONE!H:H,0,0,1)</f>
        <v>0</v>
      </c>
      <c r="J126" s="8">
        <f>-_xlfn.XLOOKUP("CashAdvancesAndLoansMadeToOtherPartiesClassifiedAsInvestingActivities",HS_STANDALONE!$C:$C,HS_STANDALONE!I:I,0,0,1)</f>
        <v>0</v>
      </c>
      <c r="K126" s="8">
        <f>-_xlfn.XLOOKUP("CashAdvancesAndLoansMadeToOtherPartiesClassifiedAsInvestingActivities",HS_STANDALONE!$C:$C,HS_STANDALONE!J:J,0,0,1)</f>
        <v>0</v>
      </c>
      <c r="L126" s="8">
        <f>-_xlfn.XLOOKUP("CashAdvancesAndLoansMadeToOtherPartiesClassifiedAsInvestingActivities",HS_STANDALONE!$C:$C,HS_STANDALONE!K:K,0,0,1)</f>
        <v>0</v>
      </c>
      <c r="M126" s="8">
        <f>-_xlfn.XLOOKUP("CashAdvancesAndLoansMadeToOtherPartiesClassifiedAsInvestingActivities",HS_STANDALONE!$C:$C,HS_STANDALONE!L:L,0,0,1)</f>
        <v>0</v>
      </c>
      <c r="N126" s="8">
        <f>-_xlfn.XLOOKUP("CashAdvancesAndLoansMadeToOtherPartiesClassifiedAsInvestingActivities",HS_STANDALONE!$C:$C,HS_STANDALONE!M:M,0,0,1)</f>
        <v>-575500000</v>
      </c>
    </row>
    <row r="127" spans="1:14">
      <c r="D127" s="7" t="s">
        <v>254</v>
      </c>
      <c r="E127" s="8">
        <f>_xlfn.XLOOKUP("CashReceiptsFromRepaymentOfAdvancesAndLoansMadeToOtherPartiesClassifiedAsInvestingActivities",HS_STANDALONE!$C:$C,HS_STANDALONE!D:D,0,0,1)</f>
        <v>0</v>
      </c>
      <c r="F127" s="8">
        <f>_xlfn.XLOOKUP("CashReceiptsFromRepaymentOfAdvancesAndLoansMadeToOtherPartiesClassifiedAsInvestingActivities",HS_STANDALONE!$C:$C,HS_STANDALONE!E:E,0,0,1)</f>
        <v>0</v>
      </c>
      <c r="G127" s="8">
        <f>_xlfn.XLOOKUP("CashReceiptsFromRepaymentOfAdvancesAndLoansMadeToOtherPartiesClassifiedAsInvestingActivities",HS_STANDALONE!$C:$C,HS_STANDALONE!F:F,0,0,1)</f>
        <v>2378400000</v>
      </c>
      <c r="H127" s="8">
        <f>_xlfn.XLOOKUP("CashReceiptsFromRepaymentOfAdvancesAndLoansMadeToOtherPartiesClassifiedAsInvestingActivities",HS_STANDALONE!$C:$C,HS_STANDALONE!G:G,0,0,1)</f>
        <v>4002800000</v>
      </c>
      <c r="I127" s="8">
        <f>_xlfn.XLOOKUP("CashReceiptsFromRepaymentOfAdvancesAndLoansMadeToOtherPartiesClassifiedAsInvestingActivities",HS_STANDALONE!$C:$C,HS_STANDALONE!H:H,0,0,1)</f>
        <v>-35152900000</v>
      </c>
      <c r="J127" s="8">
        <f>_xlfn.XLOOKUP("CashReceiptsFromRepaymentOfAdvancesAndLoansMadeToOtherPartiesClassifiedAsInvestingActivities",HS_STANDALONE!$C:$C,HS_STANDALONE!I:I,0,0,1)</f>
        <v>4880600000</v>
      </c>
      <c r="K127" s="8">
        <f>_xlfn.XLOOKUP("CashReceiptsFromRepaymentOfAdvancesAndLoansMadeToOtherPartiesClassifiedAsInvestingActivities",HS_STANDALONE!$C:$C,HS_STANDALONE!J:J,0,0,1)</f>
        <v>11709500000</v>
      </c>
      <c r="L127" s="8">
        <f>_xlfn.XLOOKUP("CashReceiptsFromRepaymentOfAdvancesAndLoansMadeToOtherPartiesClassifiedAsInvestingActivities",HS_STANDALONE!$C:$C,HS_STANDALONE!K:K,0,0,1)</f>
        <v>2848400000</v>
      </c>
      <c r="M127" s="8">
        <f>_xlfn.XLOOKUP("CashReceiptsFromRepaymentOfAdvancesAndLoansMadeToOtherPartiesClassifiedAsInvestingActivities",HS_STANDALONE!$C:$C,HS_STANDALONE!L:L,0,0,1)</f>
        <v>4403200000</v>
      </c>
      <c r="N127" s="8">
        <f>_xlfn.XLOOKUP("CashReceiptsFromRepaymentOfAdvancesAndLoansMadeToOtherPartiesClassifiedAsInvestingActivities",HS_STANDALONE!$C:$C,HS_STANDALONE!M:M,0,0,1)</f>
        <v>2919000000</v>
      </c>
    </row>
    <row r="128" spans="1:14">
      <c r="D128" s="7" t="s">
        <v>233</v>
      </c>
      <c r="E128" s="8">
        <f>_xlfn.XLOOKUP("InterestReceivedClassifiedAsInvestingActivities",HS_STANDALONE!$C:$C,HS_STANDALONE!D:D,0,0,1)</f>
        <v>0</v>
      </c>
      <c r="F128" s="8">
        <f>_xlfn.XLOOKUP("InterestReceivedClassifiedAsInvestingActivities",HS_STANDALONE!$C:$C,HS_STANDALONE!E:E,0,0,1)</f>
        <v>4650500000</v>
      </c>
      <c r="G128" s="8">
        <f>_xlfn.XLOOKUP("InterestReceivedClassifiedAsInvestingActivities",HS_STANDALONE!$C:$C,HS_STANDALONE!F:F,0,0,1)</f>
        <v>195500000</v>
      </c>
      <c r="H128" s="8">
        <f>_xlfn.XLOOKUP("InterestReceivedClassifiedAsInvestingActivities",HS_STANDALONE!$C:$C,HS_STANDALONE!G:G,0,0,1)</f>
        <v>0</v>
      </c>
      <c r="I128" s="8">
        <f>_xlfn.XLOOKUP("InterestReceivedClassifiedAsInvestingActivities",HS_STANDALONE!$C:$C,HS_STANDALONE!H:H,0,0,1)</f>
        <v>0</v>
      </c>
      <c r="J128" s="8">
        <f>_xlfn.XLOOKUP("InterestReceivedClassifiedAsInvestingActivities",HS_STANDALONE!$C:$C,HS_STANDALONE!I:I,0,0,1)</f>
        <v>0</v>
      </c>
      <c r="K128" s="8">
        <f>_xlfn.XLOOKUP("InterestReceivedClassifiedAsInvestingActivities",HS_STANDALONE!$C:$C,HS_STANDALONE!J:J,0,0,1)</f>
        <v>0</v>
      </c>
      <c r="L128" s="8">
        <f>_xlfn.XLOOKUP("InterestReceivedClassifiedAsInvestingActivities",HS_STANDALONE!$C:$C,HS_STANDALONE!K:K,0,0,1)</f>
        <v>0</v>
      </c>
      <c r="M128" s="8">
        <f>_xlfn.XLOOKUP("InterestReceivedClassifiedAsInvestingActivities",HS_STANDALONE!$C:$C,HS_STANDALONE!L:L,0,0,1)</f>
        <v>0</v>
      </c>
      <c r="N128" s="8">
        <f>_xlfn.XLOOKUP("InterestReceivedClassifiedAsInvestingActivities",HS_STANDALONE!$C:$C,HS_STANDALONE!M:M,0,0,1)</f>
        <v>647900000</v>
      </c>
    </row>
    <row r="129" spans="1:14">
      <c r="D129" s="7" t="s">
        <v>234</v>
      </c>
      <c r="E129" s="8">
        <f>_xlfn.XLOOKUP("OtherInflowsOutflowsOfCashClassifiedAsInvestingActivities",HS_STANDALONE!$C:$C,HS_STANDALONE!D:D,0,0,1)</f>
        <v>0</v>
      </c>
      <c r="F129" s="8">
        <f>_xlfn.XLOOKUP("OtherInflowsOutflowsOfCashClassifiedAsInvestingActivities",HS_STANDALONE!$C:$C,HS_STANDALONE!E:E,0,0,1)</f>
        <v>-1897000000</v>
      </c>
      <c r="G129" s="8">
        <f>_xlfn.XLOOKUP("OtherInflowsOutflowsOfCashClassifiedAsInvestingActivities",HS_STANDALONE!$C:$C,HS_STANDALONE!F:F,0,0,1)</f>
        <v>5104200000</v>
      </c>
      <c r="H129" s="8">
        <f>_xlfn.XLOOKUP("OtherInflowsOutflowsOfCashClassifiedAsInvestingActivities",HS_STANDALONE!$C:$C,HS_STANDALONE!G:G,0,0,1)</f>
        <v>850500000</v>
      </c>
      <c r="I129" s="8">
        <f>_xlfn.XLOOKUP("OtherInflowsOutflowsOfCashClassifiedAsInvestingActivities",HS_STANDALONE!$C:$C,HS_STANDALONE!H:H,0,0,1)</f>
        <v>793300000</v>
      </c>
      <c r="J129" s="8">
        <f>_xlfn.XLOOKUP("OtherInflowsOutflowsOfCashClassifiedAsInvestingActivities",HS_STANDALONE!$C:$C,HS_STANDALONE!I:I,0,0,1)</f>
        <v>664800000</v>
      </c>
      <c r="K129" s="8">
        <f>_xlfn.XLOOKUP("OtherInflowsOutflowsOfCashClassifiedAsInvestingActivities",HS_STANDALONE!$C:$C,HS_STANDALONE!J:J,0,0,1)</f>
        <v>602900000</v>
      </c>
      <c r="L129" s="8">
        <f>_xlfn.XLOOKUP("OtherInflowsOutflowsOfCashClassifiedAsInvestingActivities",HS_STANDALONE!$C:$C,HS_STANDALONE!K:K,0,0,1)</f>
        <v>550600000</v>
      </c>
      <c r="M129" s="8">
        <f>_xlfn.XLOOKUP("OtherInflowsOutflowsOfCashClassifiedAsInvestingActivities",HS_STANDALONE!$C:$C,HS_STANDALONE!L:L,0,0,1)</f>
        <v>743800000</v>
      </c>
      <c r="N129" s="8">
        <f>_xlfn.XLOOKUP("OtherInflowsOutflowsOfCashClassifiedAsInvestingActivities",HS_STANDALONE!$C:$C,HS_STANDALONE!M:M,0,0,1)</f>
        <v>233500000</v>
      </c>
    </row>
    <row r="130" spans="1:14">
      <c r="A130" s="9"/>
      <c r="B130" s="9"/>
      <c r="C130" s="9"/>
      <c r="D130" s="10" t="s">
        <v>235</v>
      </c>
      <c r="E130" s="11">
        <f t="shared" ref="E130:N130" si="23">IFERROR(SUM(E120:E129),0)</f>
        <v>0</v>
      </c>
      <c r="F130" s="11">
        <f t="shared" si="23"/>
        <v>-18513900000</v>
      </c>
      <c r="G130" s="11">
        <f t="shared" si="23"/>
        <v>319400000</v>
      </c>
      <c r="H130" s="11">
        <f t="shared" si="23"/>
        <v>5338900000</v>
      </c>
      <c r="I130" s="11">
        <f t="shared" si="23"/>
        <v>-35028200000</v>
      </c>
      <c r="J130" s="11">
        <f t="shared" si="23"/>
        <v>5175800000</v>
      </c>
      <c r="K130" s="11">
        <f t="shared" si="23"/>
        <v>11797100000</v>
      </c>
      <c r="L130" s="11">
        <f t="shared" si="23"/>
        <v>4076700000</v>
      </c>
      <c r="M130" s="11">
        <f t="shared" si="23"/>
        <v>3765600000</v>
      </c>
      <c r="N130" s="11">
        <f t="shared" si="23"/>
        <v>-6119000000</v>
      </c>
    </row>
    <row r="131" spans="1:14">
      <c r="A131" s="5"/>
      <c r="B131" s="5"/>
      <c r="C131" s="6" t="s">
        <v>236</v>
      </c>
      <c r="D131" s="5"/>
      <c r="E131" s="5"/>
      <c r="F131" s="5"/>
      <c r="G131" s="5"/>
      <c r="H131" s="5"/>
      <c r="I131" s="5"/>
      <c r="J131" s="5"/>
      <c r="K131" s="5"/>
      <c r="L131" s="5"/>
      <c r="M131" s="5"/>
      <c r="N131" s="5"/>
    </row>
    <row r="132" spans="1:14">
      <c r="D132" s="7" t="s">
        <v>237</v>
      </c>
      <c r="E132" s="8">
        <f>_xlfn.XLOOKUP("ProceedsFromIssuingSharesClassifiedAsFinancingActivities",HS_STANDALONE!$C:$C,HS_STANDALONE!D:D,0,0,1)</f>
        <v>0</v>
      </c>
      <c r="F132" s="8">
        <f>_xlfn.XLOOKUP("ProceedsFromIssuingSharesClassifiedAsFinancingActivities",HS_STANDALONE!$C:$C,HS_STANDALONE!E:E,0,0,1)</f>
        <v>0</v>
      </c>
      <c r="G132" s="8">
        <f>_xlfn.XLOOKUP("ProceedsFromIssuingSharesClassifiedAsFinancingActivities",HS_STANDALONE!$C:$C,HS_STANDALONE!F:F,0,0,1)</f>
        <v>0</v>
      </c>
      <c r="H132" s="8">
        <f>_xlfn.XLOOKUP("ProceedsFromIssuingSharesClassifiedAsFinancingActivities",HS_STANDALONE!$C:$C,HS_STANDALONE!G:G,0,0,1)</f>
        <v>0</v>
      </c>
      <c r="I132" s="8">
        <f>_xlfn.XLOOKUP("ProceedsFromIssuingSharesClassifiedAsFinancingActivities",HS_STANDALONE!$C:$C,HS_STANDALONE!H:H,0,0,1)</f>
        <v>0</v>
      </c>
      <c r="J132" s="8">
        <f>_xlfn.XLOOKUP("ProceedsFromIssuingSharesClassifiedAsFinancingActivities",HS_STANDALONE!$C:$C,HS_STANDALONE!I:I,0,0,1)</f>
        <v>3421600000</v>
      </c>
      <c r="K132" s="8">
        <f>_xlfn.XLOOKUP("ProceedsFromIssuingSharesClassifiedAsFinancingActivities",HS_STANDALONE!$C:$C,HS_STANDALONE!J:J,0,0,1)</f>
        <v>0</v>
      </c>
      <c r="L132" s="8">
        <f>_xlfn.XLOOKUP("ProceedsFromIssuingSharesClassifiedAsFinancingActivities",HS_STANDALONE!$C:$C,HS_STANDALONE!K:K,0,0,1)</f>
        <v>10796700000</v>
      </c>
      <c r="M132" s="8">
        <f>_xlfn.XLOOKUP("ProceedsFromIssuingSharesClassifiedAsFinancingActivities",HS_STANDALONE!$C:$C,HS_STANDALONE!L:L,0,0,1)</f>
        <v>20652100000</v>
      </c>
      <c r="N132" s="8">
        <f>_xlfn.XLOOKUP("ProceedsFromIssuingSharesClassifiedAsFinancingActivities",HS_STANDALONE!$C:$C,HS_STANDALONE!M:M,0,0,1)</f>
        <v>221600000</v>
      </c>
    </row>
    <row r="133" spans="1:14">
      <c r="D133" s="7" t="s">
        <v>238</v>
      </c>
      <c r="E133" s="8">
        <f>_xlfn.XLOOKUP("ProceedsFromIssuingOtherEquityInstruments",HS_STANDALONE!$C:$C,HS_STANDALONE!D:D,0,0,1)</f>
        <v>0</v>
      </c>
      <c r="F133" s="8">
        <f>_xlfn.XLOOKUP("ProceedsFromIssuingOtherEquityInstruments",HS_STANDALONE!$C:$C,HS_STANDALONE!E:E,0,0,1)</f>
        <v>0</v>
      </c>
      <c r="G133" s="8">
        <f>_xlfn.XLOOKUP("ProceedsFromIssuingOtherEquityInstruments",HS_STANDALONE!$C:$C,HS_STANDALONE!F:F,0,0,1)</f>
        <v>0</v>
      </c>
      <c r="H133" s="8">
        <f>_xlfn.XLOOKUP("ProceedsFromIssuingOtherEquityInstruments",HS_STANDALONE!$C:$C,HS_STANDALONE!G:G,0,0,1)</f>
        <v>0</v>
      </c>
      <c r="I133" s="8">
        <f>_xlfn.XLOOKUP("ProceedsFromIssuingOtherEquityInstruments",HS_STANDALONE!$C:$C,HS_STANDALONE!H:H,0,0,1)</f>
        <v>0</v>
      </c>
      <c r="J133" s="8">
        <f>_xlfn.XLOOKUP("ProceedsFromIssuingOtherEquityInstruments",HS_STANDALONE!$C:$C,HS_STANDALONE!I:I,0,0,1)</f>
        <v>499800000</v>
      </c>
      <c r="K133" s="8">
        <f>_xlfn.XLOOKUP("ProceedsFromIssuingOtherEquityInstruments",HS_STANDALONE!$C:$C,HS_STANDALONE!J:J,0,0,1)</f>
        <v>0</v>
      </c>
      <c r="L133" s="8">
        <f>_xlfn.XLOOKUP("ProceedsFromIssuingOtherEquityInstruments",HS_STANDALONE!$C:$C,HS_STANDALONE!K:K,0,0,1)</f>
        <v>0</v>
      </c>
      <c r="M133" s="8">
        <f>_xlfn.XLOOKUP("ProceedsFromIssuingOtherEquityInstruments",HS_STANDALONE!$C:$C,HS_STANDALONE!L:L,0,0,1)</f>
        <v>0</v>
      </c>
      <c r="N133" s="8">
        <f>_xlfn.XLOOKUP("ProceedsFromIssuingOtherEquityInstruments",HS_STANDALONE!$C:$C,HS_STANDALONE!M:M,0,0,1)</f>
        <v>0</v>
      </c>
    </row>
    <row r="134" spans="1:14">
      <c r="D134" s="7" t="s">
        <v>255</v>
      </c>
      <c r="E134" s="8">
        <f>_xlfn.XLOOKUP("ProceedsFromExerciseOfStockOptions",HS_STANDALONE!$C:$C,HS_STANDALONE!D:D,0,0,1)</f>
        <v>0</v>
      </c>
      <c r="F134" s="8">
        <f>_xlfn.XLOOKUP("ProceedsFromExerciseOfStockOptions",HS_STANDALONE!$C:$C,HS_STANDALONE!E:E,0,0,1)</f>
        <v>0</v>
      </c>
      <c r="G134" s="8">
        <f>_xlfn.XLOOKUP("ProceedsFromExerciseOfStockOptions",HS_STANDALONE!$C:$C,HS_STANDALONE!F:F,0,0,1)</f>
        <v>0</v>
      </c>
      <c r="H134" s="8">
        <f>_xlfn.XLOOKUP("ProceedsFromExerciseOfStockOptions",HS_STANDALONE!$C:$C,HS_STANDALONE!G:G,0,0,1)</f>
        <v>0</v>
      </c>
      <c r="I134" s="8">
        <f>_xlfn.XLOOKUP("ProceedsFromExerciseOfStockOptions",HS_STANDALONE!$C:$C,HS_STANDALONE!H:H,0,0,1)</f>
        <v>0</v>
      </c>
      <c r="J134" s="8">
        <f>_xlfn.XLOOKUP("ProceedsFromExerciseOfStockOptions",HS_STANDALONE!$C:$C,HS_STANDALONE!I:I,0,0,1)</f>
        <v>0</v>
      </c>
      <c r="K134" s="8">
        <f>_xlfn.XLOOKUP("ProceedsFromExerciseOfStockOptions",HS_STANDALONE!$C:$C,HS_STANDALONE!J:J,0,0,1)</f>
        <v>0</v>
      </c>
      <c r="L134" s="8">
        <f>_xlfn.XLOOKUP("ProceedsFromExerciseOfStockOptions",HS_STANDALONE!$C:$C,HS_STANDALONE!K:K,0,0,1)</f>
        <v>0</v>
      </c>
      <c r="M134" s="8">
        <f>_xlfn.XLOOKUP("ProceedsFromExerciseOfStockOptions",HS_STANDALONE!$C:$C,HS_STANDALONE!L:L,0,0,1)</f>
        <v>0</v>
      </c>
      <c r="N134" s="8">
        <f>_xlfn.XLOOKUP("ProceedsFromExerciseOfStockOptions",HS_STANDALONE!$C:$C,HS_STANDALONE!M:M,0,0,1)</f>
        <v>37600000</v>
      </c>
    </row>
    <row r="135" spans="1:14">
      <c r="D135" s="7" t="s">
        <v>240</v>
      </c>
      <c r="E135" s="8">
        <f>_xlfn.XLOOKUP("ProceedsFromBorrowingsClassifiedAsFinancingActivities",HS_STANDALONE!$C:$C,HS_STANDALONE!D:D,0,0,1)</f>
        <v>0</v>
      </c>
      <c r="F135" s="8">
        <f>_xlfn.XLOOKUP("ProceedsFromBorrowingsClassifiedAsFinancingActivities",HS_STANDALONE!$C:$C,HS_STANDALONE!E:E,0,0,1)</f>
        <v>1994200000</v>
      </c>
      <c r="G135" s="8">
        <f>_xlfn.XLOOKUP("ProceedsFromBorrowingsClassifiedAsFinancingActivities",HS_STANDALONE!$C:$C,HS_STANDALONE!F:F,0,0,1)</f>
        <v>17910400000</v>
      </c>
      <c r="H135" s="8">
        <f>_xlfn.XLOOKUP("ProceedsFromBorrowingsClassifiedAsFinancingActivities",HS_STANDALONE!$C:$C,HS_STANDALONE!G:G,0,0,1)</f>
        <v>-5087600000</v>
      </c>
      <c r="I135" s="8">
        <f>_xlfn.XLOOKUP("ProceedsFromBorrowingsClassifiedAsFinancingActivities",HS_STANDALONE!$C:$C,HS_STANDALONE!H:H,0,0,1)</f>
        <v>51258700000</v>
      </c>
      <c r="J135" s="8">
        <f>_xlfn.XLOOKUP("ProceedsFromBorrowingsClassifiedAsFinancingActivities",HS_STANDALONE!$C:$C,HS_STANDALONE!I:I,0,0,1)</f>
        <v>0</v>
      </c>
      <c r="K135" s="8">
        <f>_xlfn.XLOOKUP("ProceedsFromBorrowingsClassifiedAsFinancingActivities",HS_STANDALONE!$C:$C,HS_STANDALONE!J:J,0,0,1)</f>
        <v>0</v>
      </c>
      <c r="L135" s="8">
        <f>_xlfn.XLOOKUP("ProceedsFromBorrowingsClassifiedAsFinancingActivities",HS_STANDALONE!$C:$C,HS_STANDALONE!K:K,0,0,1)</f>
        <v>29609600000</v>
      </c>
      <c r="M135" s="8">
        <f>_xlfn.XLOOKUP("ProceedsFromBorrowingsClassifiedAsFinancingActivities",HS_STANDALONE!$C:$C,HS_STANDALONE!L:L,0,0,1)</f>
        <v>0</v>
      </c>
      <c r="N135" s="8">
        <f>_xlfn.XLOOKUP("ProceedsFromBorrowingsClassifiedAsFinancingActivities",HS_STANDALONE!$C:$C,HS_STANDALONE!M:M,0,0,1)</f>
        <v>4112100000</v>
      </c>
    </row>
    <row r="136" spans="1:14">
      <c r="D136" s="7" t="s">
        <v>241</v>
      </c>
      <c r="E136" s="8">
        <f>-_xlfn.XLOOKUP("RepaymentsOfBorrowingsClassifiedAsFinancingActivities",HS_STANDALONE!$C:$C,HS_STANDALONE!D:D,0,0,1)</f>
        <v>0</v>
      </c>
      <c r="F136" s="8">
        <f>-_xlfn.XLOOKUP("RepaymentsOfBorrowingsClassifiedAsFinancingActivities",HS_STANDALONE!$C:$C,HS_STANDALONE!E:E,0,0,1)</f>
        <v>-4375600000</v>
      </c>
      <c r="G136" s="8">
        <f>-_xlfn.XLOOKUP("RepaymentsOfBorrowingsClassifiedAsFinancingActivities",HS_STANDALONE!$C:$C,HS_STANDALONE!F:F,0,0,1)</f>
        <v>-568300000</v>
      </c>
      <c r="H136" s="8">
        <f>-_xlfn.XLOOKUP("RepaymentsOfBorrowingsClassifiedAsFinancingActivities",HS_STANDALONE!$C:$C,HS_STANDALONE!G:G,0,0,1)</f>
        <v>-1689800000</v>
      </c>
      <c r="I136" s="8">
        <f>-_xlfn.XLOOKUP("RepaymentsOfBorrowingsClassifiedAsFinancingActivities",HS_STANDALONE!$C:$C,HS_STANDALONE!H:H,0,0,1)</f>
        <v>-262200000</v>
      </c>
      <c r="J136" s="8">
        <f>-_xlfn.XLOOKUP("RepaymentsOfBorrowingsClassifiedAsFinancingActivities",HS_STANDALONE!$C:$C,HS_STANDALONE!I:I,0,0,1)</f>
        <v>-2222500000</v>
      </c>
      <c r="K136" s="8">
        <f>-_xlfn.XLOOKUP("RepaymentsOfBorrowingsClassifiedAsFinancingActivities",HS_STANDALONE!$C:$C,HS_STANDALONE!J:J,0,0,1)</f>
        <v>-5764000000</v>
      </c>
      <c r="L136" s="8">
        <f>-_xlfn.XLOOKUP("RepaymentsOfBorrowingsClassifiedAsFinancingActivities",HS_STANDALONE!$C:$C,HS_STANDALONE!K:K,0,0,1)</f>
        <v>-41353300000</v>
      </c>
      <c r="M136" s="8">
        <f>-_xlfn.XLOOKUP("RepaymentsOfBorrowingsClassifiedAsFinancingActivities",HS_STANDALONE!$C:$C,HS_STANDALONE!L:L,0,0,1)</f>
        <v>-17773800000</v>
      </c>
      <c r="N136" s="8">
        <f>-_xlfn.XLOOKUP("RepaymentsOfBorrowingsClassifiedAsFinancingActivities",HS_STANDALONE!$C:$C,HS_STANDALONE!M:M,0,0,1)</f>
        <v>0</v>
      </c>
    </row>
    <row r="137" spans="1:14">
      <c r="D137" s="7" t="s">
        <v>242</v>
      </c>
      <c r="E137" s="8">
        <f>-_xlfn.XLOOKUP("PaymentsOfLeaseLiabilitiesClassifiedAsFinancingActivities",HS_STANDALONE!$C:$C,HS_STANDALONE!D:D,0,0,1)</f>
        <v>0</v>
      </c>
      <c r="F137" s="8">
        <f>-_xlfn.XLOOKUP("PaymentsOfLeaseLiabilitiesClassifiedAsFinancingActivities",HS_STANDALONE!$C:$C,HS_STANDALONE!E:E,0,0,1)</f>
        <v>0</v>
      </c>
      <c r="G137" s="8">
        <f>-_xlfn.XLOOKUP("PaymentsOfLeaseLiabilitiesClassifiedAsFinancingActivities",HS_STANDALONE!$C:$C,HS_STANDALONE!F:F,0,0,1)</f>
        <v>0</v>
      </c>
      <c r="H137" s="8">
        <f>-_xlfn.XLOOKUP("PaymentsOfLeaseLiabilitiesClassifiedAsFinancingActivities",HS_STANDALONE!$C:$C,HS_STANDALONE!G:G,0,0,1)</f>
        <v>0</v>
      </c>
      <c r="I137" s="8">
        <f>-_xlfn.XLOOKUP("PaymentsOfLeaseLiabilitiesClassifiedAsFinancingActivities",HS_STANDALONE!$C:$C,HS_STANDALONE!H:H,0,0,1)</f>
        <v>0</v>
      </c>
      <c r="J137" s="8">
        <f>-_xlfn.XLOOKUP("PaymentsOfLeaseLiabilitiesClassifiedAsFinancingActivities",HS_STANDALONE!$C:$C,HS_STANDALONE!I:I,0,0,1)</f>
        <v>0</v>
      </c>
      <c r="K137" s="8">
        <f>-_xlfn.XLOOKUP("PaymentsOfLeaseLiabilitiesClassifiedAsFinancingActivities",HS_STANDALONE!$C:$C,HS_STANDALONE!J:J,0,0,1)</f>
        <v>0</v>
      </c>
      <c r="L137" s="8">
        <f>-_xlfn.XLOOKUP("PaymentsOfLeaseLiabilitiesClassifiedAsFinancingActivities",HS_STANDALONE!$C:$C,HS_STANDALONE!K:K,0,0,1)</f>
        <v>0</v>
      </c>
      <c r="M137" s="8">
        <f>-_xlfn.XLOOKUP("PaymentsOfLeaseLiabilitiesClassifiedAsFinancingActivities",HS_STANDALONE!$C:$C,HS_STANDALONE!L:L,0,0,1)</f>
        <v>-128100000</v>
      </c>
      <c r="N137" s="8">
        <f>-_xlfn.XLOOKUP("PaymentsOfLeaseLiabilitiesClassifiedAsFinancingActivities",HS_STANDALONE!$C:$C,HS_STANDALONE!M:M,0,0,1)</f>
        <v>-258000000</v>
      </c>
    </row>
    <row r="138" spans="1:14">
      <c r="D138" s="7" t="s">
        <v>243</v>
      </c>
      <c r="E138" s="8">
        <f>-_xlfn.XLOOKUP("InterestPaidClassifiedAsFinancingActivities",HS_STANDALONE!$C:$C,HS_STANDALONE!D:D,0,0,1)</f>
        <v>0</v>
      </c>
      <c r="F138" s="8">
        <f>-_xlfn.XLOOKUP("InterestPaidClassifiedAsFinancingActivities",HS_STANDALONE!$C:$C,HS_STANDALONE!E:E,0,0,1)</f>
        <v>-6595700000</v>
      </c>
      <c r="G138" s="8">
        <f>-_xlfn.XLOOKUP("InterestPaidClassifiedAsFinancingActivities",HS_STANDALONE!$C:$C,HS_STANDALONE!F:F,0,0,1)</f>
        <v>-6766600000</v>
      </c>
      <c r="H138" s="8">
        <f>-_xlfn.XLOOKUP("InterestPaidClassifiedAsFinancingActivities",HS_STANDALONE!$C:$C,HS_STANDALONE!G:G,0,0,1)</f>
        <v>-7365100000</v>
      </c>
      <c r="I138" s="8">
        <f>-_xlfn.XLOOKUP("InterestPaidClassifiedAsFinancingActivities",HS_STANDALONE!$C:$C,HS_STANDALONE!H:H,0,0,1)</f>
        <v>-3197000000</v>
      </c>
      <c r="J138" s="8">
        <f>-_xlfn.XLOOKUP("InterestPaidClassifiedAsFinancingActivities",HS_STANDALONE!$C:$C,HS_STANDALONE!I:I,0,0,1)</f>
        <v>-3687300000</v>
      </c>
      <c r="K138" s="8">
        <f>-_xlfn.XLOOKUP("InterestPaidClassifiedAsFinancingActivities",HS_STANDALONE!$C:$C,HS_STANDALONE!J:J,0,0,1)</f>
        <v>-3124800000</v>
      </c>
      <c r="L138" s="8">
        <f>-_xlfn.XLOOKUP("InterestPaidClassifiedAsFinancingActivities",HS_STANDALONE!$C:$C,HS_STANDALONE!K:K,0,0,1)</f>
        <v>-4012100000</v>
      </c>
      <c r="M138" s="8">
        <f>-_xlfn.XLOOKUP("InterestPaidClassifiedAsFinancingActivities",HS_STANDALONE!$C:$C,HS_STANDALONE!L:L,0,0,1)</f>
        <v>-899500000</v>
      </c>
      <c r="N138" s="8">
        <f>-_xlfn.XLOOKUP("InterestPaidClassifiedAsFinancingActivities",HS_STANDALONE!$C:$C,HS_STANDALONE!M:M,0,0,1)</f>
        <v>-503500000</v>
      </c>
    </row>
    <row r="139" spans="1:14">
      <c r="D139" s="7" t="s">
        <v>234</v>
      </c>
      <c r="E139" s="8">
        <f>_xlfn.XLOOKUP("OtherInflowsOutflowsOfCashClassifiedAsFinancingActivities",HS_STANDALONE!$C:$C,HS_STANDALONE!D:D,0,0,1)</f>
        <v>0</v>
      </c>
      <c r="F139" s="8">
        <f>_xlfn.XLOOKUP("OtherInflowsOutflowsOfCashClassifiedAsFinancingActivities",HS_STANDALONE!$C:$C,HS_STANDALONE!E:E,0,0,1)</f>
        <v>0</v>
      </c>
      <c r="G139" s="8">
        <f>_xlfn.XLOOKUP("OtherInflowsOutflowsOfCashClassifiedAsFinancingActivities",HS_STANDALONE!$C:$C,HS_STANDALONE!F:F,0,0,1)</f>
        <v>0</v>
      </c>
      <c r="H139" s="8">
        <f>_xlfn.XLOOKUP("OtherInflowsOutflowsOfCashClassifiedAsFinancingActivities",HS_STANDALONE!$C:$C,HS_STANDALONE!G:G,0,0,1)</f>
        <v>0</v>
      </c>
      <c r="I139" s="8">
        <f>_xlfn.XLOOKUP("OtherInflowsOutflowsOfCashClassifiedAsFinancingActivities",HS_STANDALONE!$C:$C,HS_STANDALONE!H:H,0,0,1)</f>
        <v>0</v>
      </c>
      <c r="J139" s="8">
        <f>_xlfn.XLOOKUP("OtherInflowsOutflowsOfCashClassifiedAsFinancingActivities",HS_STANDALONE!$C:$C,HS_STANDALONE!I:I,0,0,1)</f>
        <v>0</v>
      </c>
      <c r="K139" s="8">
        <f>_xlfn.XLOOKUP("OtherInflowsOutflowsOfCashClassifiedAsFinancingActivities",HS_STANDALONE!$C:$C,HS_STANDALONE!J:J,0,0,1)</f>
        <v>0</v>
      </c>
      <c r="L139" s="8">
        <f>_xlfn.XLOOKUP("OtherInflowsOutflowsOfCashClassifiedAsFinancingActivities",HS_STANDALONE!$C:$C,HS_STANDALONE!K:K,0,0,1)</f>
        <v>0</v>
      </c>
      <c r="M139" s="8">
        <f>_xlfn.XLOOKUP("OtherInflowsOutflowsOfCashClassifiedAsFinancingActivities",HS_STANDALONE!$C:$C,HS_STANDALONE!L:L,0,0,1)</f>
        <v>70600000</v>
      </c>
      <c r="N139" s="8">
        <f>_xlfn.XLOOKUP("OtherInflowsOutflowsOfCashClassifiedAsFinancingActivities",HS_STANDALONE!$C:$C,HS_STANDALONE!M:M,0,0,1)</f>
        <v>-299500000</v>
      </c>
    </row>
    <row r="140" spans="1:14">
      <c r="A140" s="9"/>
      <c r="B140" s="9"/>
      <c r="C140" s="9"/>
      <c r="D140" s="10" t="s">
        <v>244</v>
      </c>
      <c r="E140" s="11">
        <f t="shared" ref="E140:N140" si="24">IFERROR(SUM(E132:E139),0)</f>
        <v>0</v>
      </c>
      <c r="F140" s="11">
        <f t="shared" si="24"/>
        <v>-8977100000</v>
      </c>
      <c r="G140" s="11">
        <f t="shared" si="24"/>
        <v>10575500000</v>
      </c>
      <c r="H140" s="11">
        <f t="shared" si="24"/>
        <v>-14142500000</v>
      </c>
      <c r="I140" s="11">
        <f t="shared" si="24"/>
        <v>47799500000</v>
      </c>
      <c r="J140" s="11">
        <f t="shared" si="24"/>
        <v>-1988400000</v>
      </c>
      <c r="K140" s="11">
        <f t="shared" si="24"/>
        <v>-8888800000</v>
      </c>
      <c r="L140" s="11">
        <f t="shared" si="24"/>
        <v>-4959100000</v>
      </c>
      <c r="M140" s="11">
        <f t="shared" si="24"/>
        <v>1921300000</v>
      </c>
      <c r="N140" s="11">
        <f t="shared" si="24"/>
        <v>3310300000</v>
      </c>
    </row>
    <row r="141" spans="1:14">
      <c r="A141" s="9"/>
      <c r="B141" s="9"/>
      <c r="C141" s="9"/>
      <c r="D141" s="10" t="s">
        <v>245</v>
      </c>
      <c r="E141" s="11">
        <f t="shared" ref="E141:N141" si="25">IFERROR(E118+E130+E140,0)</f>
        <v>0</v>
      </c>
      <c r="F141" s="11">
        <f t="shared" si="25"/>
        <v>591700000</v>
      </c>
      <c r="G141" s="11">
        <f t="shared" si="25"/>
        <v>2933200000</v>
      </c>
      <c r="H141" s="11">
        <f t="shared" si="25"/>
        <v>-4305000000</v>
      </c>
      <c r="I141" s="11">
        <f t="shared" si="25"/>
        <v>200800000</v>
      </c>
      <c r="J141" s="11">
        <f t="shared" si="25"/>
        <v>1573700000</v>
      </c>
      <c r="K141" s="11">
        <f t="shared" si="25"/>
        <v>2163700000</v>
      </c>
      <c r="L141" s="11">
        <f t="shared" si="25"/>
        <v>-1193900000</v>
      </c>
      <c r="M141" s="11">
        <f t="shared" si="25"/>
        <v>-275000000</v>
      </c>
      <c r="N141" s="11">
        <f t="shared" si="25"/>
        <v>6346400000</v>
      </c>
    </row>
    <row r="142" spans="1:14">
      <c r="A142" s="5"/>
      <c r="B142" s="5"/>
      <c r="C142" s="6" t="s">
        <v>246</v>
      </c>
      <c r="D142" s="5"/>
      <c r="E142" s="5"/>
      <c r="F142" s="5"/>
      <c r="G142" s="5"/>
      <c r="H142" s="5"/>
      <c r="I142" s="5"/>
      <c r="J142" s="5"/>
      <c r="K142" s="5"/>
      <c r="L142" s="5"/>
      <c r="M142" s="5"/>
      <c r="N142" s="5"/>
    </row>
    <row r="143" spans="1:14">
      <c r="A143" s="9"/>
      <c r="B143" s="9"/>
      <c r="C143" s="9"/>
      <c r="D143" s="10" t="s">
        <v>247</v>
      </c>
      <c r="E143" s="11">
        <f t="shared" ref="E143:N143" si="26">IFERROR(E141+0,0)</f>
        <v>0</v>
      </c>
      <c r="F143" s="11">
        <f t="shared" si="26"/>
        <v>591700000</v>
      </c>
      <c r="G143" s="11">
        <f t="shared" si="26"/>
        <v>2933200000</v>
      </c>
      <c r="H143" s="11">
        <f t="shared" si="26"/>
        <v>-4305000000</v>
      </c>
      <c r="I143" s="11">
        <f t="shared" si="26"/>
        <v>200800000</v>
      </c>
      <c r="J143" s="11">
        <f t="shared" si="26"/>
        <v>1573700000</v>
      </c>
      <c r="K143" s="11">
        <f t="shared" si="26"/>
        <v>2163700000</v>
      </c>
      <c r="L143" s="11">
        <f t="shared" si="26"/>
        <v>-1193900000</v>
      </c>
      <c r="M143" s="11">
        <f t="shared" si="26"/>
        <v>-275000000</v>
      </c>
      <c r="N143" s="11">
        <f t="shared" si="26"/>
        <v>6346400000</v>
      </c>
    </row>
    <row r="144" spans="1:14">
      <c r="A144" s="9"/>
      <c r="B144" s="9"/>
      <c r="C144" s="9"/>
      <c r="D144" s="10" t="s">
        <v>248</v>
      </c>
      <c r="E144" s="11">
        <f t="shared" ref="E144:N144" si="27">IFERROR(E145-E143,0)</f>
        <v>0</v>
      </c>
      <c r="F144" s="11">
        <f t="shared" si="27"/>
        <v>942100000</v>
      </c>
      <c r="G144" s="11">
        <f t="shared" si="27"/>
        <v>1533800000</v>
      </c>
      <c r="H144" s="11">
        <f t="shared" si="27"/>
        <v>4467000000</v>
      </c>
      <c r="I144" s="11">
        <f t="shared" si="27"/>
        <v>162000000</v>
      </c>
      <c r="J144" s="11">
        <f t="shared" si="27"/>
        <v>362800000</v>
      </c>
      <c r="K144" s="11">
        <f t="shared" si="27"/>
        <v>1936500000</v>
      </c>
      <c r="L144" s="11">
        <f t="shared" si="27"/>
        <v>4100200000</v>
      </c>
      <c r="M144" s="11">
        <f t="shared" si="27"/>
        <v>2906300000</v>
      </c>
      <c r="N144" s="11">
        <f t="shared" si="27"/>
        <v>3621600000</v>
      </c>
    </row>
    <row r="145" spans="4:14">
      <c r="D145" s="7" t="s">
        <v>249</v>
      </c>
      <c r="E145" s="8">
        <f>_xlfn.XLOOKUP("CashAndCashEquivalentsCashFlowStatement",HS_STANDALONE!$C:$C,HS_STANDALONE!D:D,0,0,1)</f>
        <v>0</v>
      </c>
      <c r="F145" s="8">
        <f>_xlfn.XLOOKUP("CashAndCashEquivalentsCashFlowStatement",HS_STANDALONE!$C:$C,HS_STANDALONE!E:E,0,0,1)</f>
        <v>1533800000</v>
      </c>
      <c r="G145" s="8">
        <f>_xlfn.XLOOKUP("CashAndCashEquivalentsCashFlowStatement",HS_STANDALONE!$C:$C,HS_STANDALONE!F:F,0,0,1)</f>
        <v>4467000000</v>
      </c>
      <c r="H145" s="8">
        <f>_xlfn.XLOOKUP("CashAndCashEquivalentsCashFlowStatement",HS_STANDALONE!$C:$C,HS_STANDALONE!G:G,0,0,1)</f>
        <v>162000000</v>
      </c>
      <c r="I145" s="8">
        <f>_xlfn.XLOOKUP("CashAndCashEquivalentsCashFlowStatement",HS_STANDALONE!$C:$C,HS_STANDALONE!H:H,0,0,1)</f>
        <v>362800000</v>
      </c>
      <c r="J145" s="8">
        <f>_xlfn.XLOOKUP("CashAndCashEquivalentsCashFlowStatement",HS_STANDALONE!$C:$C,HS_STANDALONE!I:I,0,0,1)</f>
        <v>1936500000</v>
      </c>
      <c r="K145" s="8">
        <f>_xlfn.XLOOKUP("CashAndCashEquivalentsCashFlowStatement",HS_STANDALONE!$C:$C,HS_STANDALONE!J:J,0,0,1)</f>
        <v>4100200000</v>
      </c>
      <c r="L145" s="8">
        <f>_xlfn.XLOOKUP("CashAndCashEquivalentsCashFlowStatement",HS_STANDALONE!$C:$C,HS_STANDALONE!K:K,0,0,1)</f>
        <v>2906300000</v>
      </c>
      <c r="M145" s="8">
        <f>_xlfn.XLOOKUP("CashAndCashEquivalentsCashFlowStatement",HS_STANDALONE!$C:$C,HS_STANDALONE!L:L,0,0,1)</f>
        <v>2631300000</v>
      </c>
      <c r="N145" s="8">
        <f>_xlfn.XLOOKUP("CashAndCashEquivalentsCashFlowStatement",HS_STANDALONE!$C:$C,HS_STANDALONE!M:M,0,0,1)</f>
        <v>9968000000</v>
      </c>
    </row>
  </sheetData>
  <mergeCells count="2">
    <mergeCell ref="A2:N2"/>
    <mergeCell ref="A1:N1"/>
  </mergeCells>
  <conditionalFormatting sqref="E95:N95">
    <cfRule type="cellIs" dxfId="11" priority="1" operator="notEqual">
      <formula>0</formula>
    </cfRule>
    <cfRule type="cellIs" dxfId="10" priority="2" operator="equal">
      <formula>0</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43"/>
  <sheetViews>
    <sheetView showGridLines="0" workbookViewId="0">
      <pane xSplit="5" ySplit="5" topLeftCell="F6" activePane="bottomRight" state="frozen"/>
      <selection pane="topRight"/>
      <selection pane="bottomLeft"/>
      <selection pane="bottomRight"/>
    </sheetView>
  </sheetViews>
  <sheetFormatPr defaultRowHeight="14.5"/>
  <cols>
    <col min="1" max="1" width="3" customWidth="1"/>
    <col min="2" max="2" width="26" customWidth="1"/>
    <col min="3" max="3" width="3" customWidth="1"/>
    <col min="4" max="4" width="38" customWidth="1"/>
    <col min="5" max="5" width="3" customWidth="1"/>
    <col min="6" max="15" width="18" customWidth="1"/>
    <col min="16" max="16" width="3" customWidth="1"/>
    <col min="17" max="26" width="16" customWidth="1"/>
  </cols>
  <sheetData>
    <row r="1" spans="1:26" ht="24" customHeight="1">
      <c r="A1" s="174" t="s">
        <v>256</v>
      </c>
      <c r="B1" s="172"/>
      <c r="C1" s="172"/>
      <c r="D1" s="172"/>
      <c r="E1" s="172"/>
      <c r="F1" s="172"/>
      <c r="G1" s="172"/>
      <c r="H1" s="172"/>
      <c r="I1" s="172"/>
      <c r="J1" s="172"/>
      <c r="K1" s="172"/>
      <c r="L1" s="172"/>
      <c r="M1" s="172"/>
      <c r="N1" s="172"/>
      <c r="O1" s="172"/>
      <c r="P1" s="172"/>
      <c r="Q1" s="172"/>
      <c r="R1" s="172"/>
      <c r="S1" s="172"/>
      <c r="T1" s="172"/>
      <c r="U1" s="172"/>
      <c r="V1" s="172"/>
      <c r="W1" s="172"/>
      <c r="X1" s="172"/>
      <c r="Y1" s="172"/>
      <c r="Z1" s="172"/>
    </row>
    <row r="2" spans="1:26">
      <c r="A2" s="173" t="s">
        <v>257</v>
      </c>
      <c r="B2" s="172"/>
      <c r="C2" s="172"/>
      <c r="D2" s="172"/>
      <c r="E2" s="172"/>
      <c r="F2" s="172"/>
      <c r="G2" s="172"/>
      <c r="H2" s="172"/>
      <c r="I2" s="172"/>
      <c r="J2" s="172"/>
      <c r="K2" s="172"/>
      <c r="L2" s="172"/>
      <c r="M2" s="172"/>
      <c r="N2" s="172"/>
      <c r="O2" s="172"/>
      <c r="P2" s="172"/>
      <c r="Q2" s="172"/>
      <c r="R2" s="172"/>
      <c r="S2" s="172"/>
      <c r="T2" s="172"/>
      <c r="U2" s="172"/>
      <c r="V2" s="172"/>
      <c r="W2" s="172"/>
      <c r="X2" s="172"/>
      <c r="Y2" s="172"/>
      <c r="Z2" s="172"/>
    </row>
    <row r="5" spans="1:26">
      <c r="A5" s="17" t="s">
        <v>27</v>
      </c>
      <c r="B5" s="18"/>
      <c r="C5" s="17"/>
      <c r="D5" s="17"/>
      <c r="E5" s="17"/>
      <c r="F5" s="19" t="s">
        <v>30</v>
      </c>
      <c r="G5" s="19" t="s">
        <v>31</v>
      </c>
      <c r="H5" s="19" t="s">
        <v>32</v>
      </c>
      <c r="I5" s="19" t="s">
        <v>33</v>
      </c>
      <c r="J5" s="19" t="s">
        <v>34</v>
      </c>
      <c r="K5" s="19" t="s">
        <v>35</v>
      </c>
      <c r="L5" s="19" t="s">
        <v>36</v>
      </c>
      <c r="M5" s="19" t="s">
        <v>37</v>
      </c>
      <c r="N5" s="19" t="s">
        <v>38</v>
      </c>
      <c r="O5" s="19" t="s">
        <v>39</v>
      </c>
      <c r="P5" s="17"/>
      <c r="Q5" s="19" t="s">
        <v>30</v>
      </c>
      <c r="R5" s="19" t="s">
        <v>31</v>
      </c>
      <c r="S5" s="19" t="s">
        <v>32</v>
      </c>
      <c r="T5" s="19" t="s">
        <v>33</v>
      </c>
      <c r="U5" s="19" t="s">
        <v>34</v>
      </c>
      <c r="V5" s="19" t="s">
        <v>35</v>
      </c>
      <c r="W5" s="19" t="s">
        <v>36</v>
      </c>
      <c r="X5" s="19" t="s">
        <v>37</v>
      </c>
      <c r="Y5" s="19" t="s">
        <v>38</v>
      </c>
      <c r="Z5" s="19" t="s">
        <v>39</v>
      </c>
    </row>
    <row r="6" spans="1:26" ht="15.5">
      <c r="A6" s="17" t="s">
        <v>27</v>
      </c>
      <c r="B6" s="20" t="s">
        <v>258</v>
      </c>
      <c r="C6" s="17"/>
      <c r="D6" s="17"/>
      <c r="E6" s="17"/>
      <c r="F6" s="17"/>
      <c r="G6" s="17"/>
      <c r="H6" s="17"/>
      <c r="I6" s="17"/>
      <c r="J6" s="17"/>
      <c r="K6" s="17"/>
      <c r="L6" s="17"/>
      <c r="M6" s="17"/>
      <c r="N6" s="17"/>
      <c r="O6" s="17"/>
      <c r="P6" s="17"/>
      <c r="Q6" s="17"/>
      <c r="R6" s="17"/>
      <c r="S6" s="17"/>
      <c r="T6" s="17"/>
      <c r="U6" s="17"/>
      <c r="V6" s="17"/>
      <c r="W6" s="17"/>
      <c r="X6" s="17"/>
      <c r="Y6" s="17"/>
      <c r="Z6" s="17"/>
    </row>
    <row r="7" spans="1:26">
      <c r="B7" s="21" t="s">
        <v>259</v>
      </c>
      <c r="C7" s="21" t="s">
        <v>260</v>
      </c>
      <c r="D7" s="22" t="s">
        <v>261</v>
      </c>
      <c r="E7" s="22" t="s">
        <v>260</v>
      </c>
      <c r="F7" s="23">
        <f>HIST_CON!E26</f>
        <v>0</v>
      </c>
      <c r="G7" s="23">
        <f>HIST_CON!F26</f>
        <v>8998900000</v>
      </c>
      <c r="H7" s="23">
        <f>HIST_CON!G26</f>
        <v>-3891800000</v>
      </c>
      <c r="I7" s="23">
        <f>HIST_CON!H26</f>
        <v>-15310900000</v>
      </c>
      <c r="J7" s="23">
        <f>HIST_CON!I26</f>
        <v>-26913900000</v>
      </c>
      <c r="K7" s="23">
        <f>HIST_CON!J26</f>
        <v>1003400000</v>
      </c>
      <c r="L7" s="23">
        <f>HIST_CON!K26</f>
        <v>-1661900000</v>
      </c>
      <c r="M7" s="23">
        <f>HIST_CON!L26</f>
        <v>28872900000</v>
      </c>
      <c r="N7" s="23">
        <f>HIST_CON!M26</f>
        <v>6603500000</v>
      </c>
      <c r="O7" s="23">
        <f>HIST_CON!N26</f>
        <v>20716300000</v>
      </c>
      <c r="P7" s="24" t="s">
        <v>260</v>
      </c>
      <c r="Q7" s="25" t="str">
        <f t="shared" ref="Q7:Z7" si="0">IF(F8=0,"",F7/F8)</f>
        <v/>
      </c>
      <c r="R7" s="25">
        <f t="shared" si="0"/>
        <v>-0.13170438995119024</v>
      </c>
      <c r="S7" s="25">
        <f t="shared" si="0"/>
        <v>5.5943513122676689E-2</v>
      </c>
      <c r="T7" s="25">
        <f t="shared" si="0"/>
        <v>0.18006277717864919</v>
      </c>
      <c r="U7" s="25">
        <f t="shared" si="0"/>
        <v>0.24374470196996154</v>
      </c>
      <c r="V7" s="25">
        <f t="shared" si="0"/>
        <v>-2.9505603241676004E-2</v>
      </c>
      <c r="W7" s="25">
        <f t="shared" si="0"/>
        <v>4.6658861646185504E-2</v>
      </c>
      <c r="X7" s="25">
        <f t="shared" si="0"/>
        <v>2.6268628200229269</v>
      </c>
      <c r="Y7" s="25">
        <f t="shared" si="0"/>
        <v>0.16844331188094819</v>
      </c>
      <c r="Z7" s="25">
        <f t="shared" si="0"/>
        <v>0.33929331839651999</v>
      </c>
    </row>
    <row r="8" spans="1:26">
      <c r="D8" s="7" t="s">
        <v>262</v>
      </c>
      <c r="F8" s="8">
        <f>HIST_CON!E72</f>
        <v>0</v>
      </c>
      <c r="G8" s="8">
        <f>HIST_CON!F72</f>
        <v>-68326500000</v>
      </c>
      <c r="H8" s="8">
        <f>HIST_CON!G72</f>
        <v>-69566600000</v>
      </c>
      <c r="I8" s="8">
        <f>HIST_CON!H72</f>
        <v>-85030900000</v>
      </c>
      <c r="J8" s="8">
        <f>HIST_CON!I72</f>
        <v>-110418400000</v>
      </c>
      <c r="K8" s="8">
        <f>HIST_CON!J72</f>
        <v>-34007100000</v>
      </c>
      <c r="L8" s="8">
        <f>HIST_CON!K72</f>
        <v>-35618100000</v>
      </c>
      <c r="M8" s="8">
        <f>HIST_CON!L72</f>
        <v>10991400000</v>
      </c>
      <c r="N8" s="8">
        <f>HIST_CON!M72</f>
        <v>39203100000</v>
      </c>
      <c r="O8" s="8">
        <f>HIST_CON!N72</f>
        <v>61057200000</v>
      </c>
    </row>
    <row r="10" spans="1:26">
      <c r="B10" s="21" t="s">
        <v>263</v>
      </c>
      <c r="C10" s="21" t="s">
        <v>260</v>
      </c>
      <c r="D10" s="22" t="s">
        <v>261</v>
      </c>
      <c r="E10" s="22" t="s">
        <v>260</v>
      </c>
      <c r="F10" s="26">
        <f t="shared" ref="F10:O10" si="1">+F7</f>
        <v>0</v>
      </c>
      <c r="G10" s="26">
        <f t="shared" si="1"/>
        <v>8998900000</v>
      </c>
      <c r="H10" s="26">
        <f t="shared" si="1"/>
        <v>-3891800000</v>
      </c>
      <c r="I10" s="26">
        <f t="shared" si="1"/>
        <v>-15310900000</v>
      </c>
      <c r="J10" s="26">
        <f t="shared" si="1"/>
        <v>-26913900000</v>
      </c>
      <c r="K10" s="26">
        <f t="shared" si="1"/>
        <v>1003400000</v>
      </c>
      <c r="L10" s="26">
        <f t="shared" si="1"/>
        <v>-1661900000</v>
      </c>
      <c r="M10" s="26">
        <f t="shared" si="1"/>
        <v>28872900000</v>
      </c>
      <c r="N10" s="26">
        <f t="shared" si="1"/>
        <v>6603500000</v>
      </c>
      <c r="O10" s="26">
        <f t="shared" si="1"/>
        <v>20716300000</v>
      </c>
      <c r="P10" s="24" t="s">
        <v>260</v>
      </c>
      <c r="Q10" s="25" t="str">
        <f t="shared" ref="Q10:Z10" si="2">IF(F11=0,"",F10/F11)</f>
        <v/>
      </c>
      <c r="R10" s="25">
        <f t="shared" si="2"/>
        <v>7.4003503260663975E-2</v>
      </c>
      <c r="S10" s="25">
        <f t="shared" si="2"/>
        <v>-3.4996407558245665E-2</v>
      </c>
      <c r="T10" s="25">
        <f t="shared" si="2"/>
        <v>-0.17259672344776353</v>
      </c>
      <c r="U10" s="25">
        <f t="shared" si="2"/>
        <v>-0.41213564357193716</v>
      </c>
      <c r="V10" s="25">
        <f t="shared" si="2"/>
        <v>1.5200519914135393E-2</v>
      </c>
      <c r="W10" s="25">
        <f t="shared" si="2"/>
        <v>-2.5666964227797975E-2</v>
      </c>
      <c r="X10" s="25">
        <f t="shared" si="2"/>
        <v>0.52273969924213071</v>
      </c>
      <c r="Y10" s="25">
        <f t="shared" si="2"/>
        <v>9.1983306913757029E-2</v>
      </c>
      <c r="Z10" s="25">
        <f t="shared" si="2"/>
        <v>0.15985305090670307</v>
      </c>
    </row>
    <row r="11" spans="1:26">
      <c r="D11" s="7" t="s">
        <v>169</v>
      </c>
      <c r="F11" s="8">
        <f>HIST_CON!E65</f>
        <v>0</v>
      </c>
      <c r="G11" s="8">
        <f>HIST_CON!F65</f>
        <v>121601000000</v>
      </c>
      <c r="H11" s="8">
        <f>HIST_CON!G65</f>
        <v>111205700000</v>
      </c>
      <c r="I11" s="8">
        <f>HIST_CON!H65</f>
        <v>88709100000</v>
      </c>
      <c r="J11" s="8">
        <f>HIST_CON!I65</f>
        <v>65303500000</v>
      </c>
      <c r="K11" s="8">
        <f>HIST_CON!J65</f>
        <v>66010900000</v>
      </c>
      <c r="L11" s="8">
        <f>HIST_CON!K65</f>
        <v>64748600000</v>
      </c>
      <c r="M11" s="8">
        <f>HIST_CON!L65</f>
        <v>55233800000</v>
      </c>
      <c r="N11" s="8">
        <f>HIST_CON!M65</f>
        <v>71790200000</v>
      </c>
      <c r="O11" s="8">
        <f>HIST_CON!N65</f>
        <v>129595900000</v>
      </c>
    </row>
    <row r="13" spans="1:26">
      <c r="B13" s="21" t="s">
        <v>264</v>
      </c>
      <c r="C13" s="21" t="s">
        <v>260</v>
      </c>
      <c r="D13" s="22" t="s">
        <v>261</v>
      </c>
      <c r="E13" s="22" t="s">
        <v>260</v>
      </c>
      <c r="F13" s="26">
        <f t="shared" ref="F13:O13" si="3">+F7</f>
        <v>0</v>
      </c>
      <c r="G13" s="26">
        <f t="shared" si="3"/>
        <v>8998900000</v>
      </c>
      <c r="H13" s="26">
        <f t="shared" si="3"/>
        <v>-3891800000</v>
      </c>
      <c r="I13" s="26">
        <f t="shared" si="3"/>
        <v>-15310900000</v>
      </c>
      <c r="J13" s="26">
        <f t="shared" si="3"/>
        <v>-26913900000</v>
      </c>
      <c r="K13" s="26">
        <f t="shared" si="3"/>
        <v>1003400000</v>
      </c>
      <c r="L13" s="26">
        <f t="shared" si="3"/>
        <v>-1661900000</v>
      </c>
      <c r="M13" s="26">
        <f t="shared" si="3"/>
        <v>28872900000</v>
      </c>
      <c r="N13" s="26">
        <f t="shared" si="3"/>
        <v>6603500000</v>
      </c>
      <c r="O13" s="26">
        <f t="shared" si="3"/>
        <v>20716300000</v>
      </c>
      <c r="P13" s="24" t="s">
        <v>260</v>
      </c>
      <c r="Q13" s="25" t="str">
        <f t="shared" ref="Q13:Z13" si="4">IF(F14=0,"",F13/F14)</f>
        <v/>
      </c>
      <c r="R13" s="25">
        <f t="shared" si="4"/>
        <v>-0.28402301498877974</v>
      </c>
      <c r="S13" s="25">
        <f t="shared" si="4"/>
        <v>0.51697662061636562</v>
      </c>
      <c r="T13" s="25">
        <f t="shared" si="4"/>
        <v>0.45339970564806287</v>
      </c>
      <c r="U13" s="25">
        <f t="shared" si="4"/>
        <v>0.24798146904274226</v>
      </c>
      <c r="V13" s="25">
        <f t="shared" si="4"/>
        <v>5.2275391388158066E-2</v>
      </c>
      <c r="W13" s="25">
        <f t="shared" si="4"/>
        <v>-9.8218718233611502E-2</v>
      </c>
      <c r="X13" s="25">
        <f t="shared" si="4"/>
        <v>1.3006748234106962</v>
      </c>
      <c r="Y13" s="25">
        <f t="shared" si="4"/>
        <v>0.21381967717389544</v>
      </c>
      <c r="Z13" s="25">
        <f t="shared" si="4"/>
        <v>0.49809214907925453</v>
      </c>
    </row>
    <row r="14" spans="1:26">
      <c r="D14" s="7" t="s">
        <v>265</v>
      </c>
      <c r="F14" s="8">
        <f>HIST_CON!E31+(HIST_CON!E63-HIST_CON!E93)</f>
        <v>0</v>
      </c>
      <c r="G14" s="8">
        <f>HIST_CON!F31+(HIST_CON!F63-HIST_CON!F93)</f>
        <v>-31683700000</v>
      </c>
      <c r="H14" s="8">
        <f>HIST_CON!G31+(HIST_CON!G63-HIST_CON!G93)</f>
        <v>-7528000000</v>
      </c>
      <c r="I14" s="8">
        <f>HIST_CON!H31+(HIST_CON!H63-HIST_CON!H93)</f>
        <v>-33769100000</v>
      </c>
      <c r="J14" s="8">
        <f>HIST_CON!I31+(HIST_CON!I63-HIST_CON!I93)</f>
        <v>-108531900000</v>
      </c>
      <c r="K14" s="8">
        <f>HIST_CON!J31+(HIST_CON!J63-HIST_CON!J93)</f>
        <v>19194500000</v>
      </c>
      <c r="L14" s="8">
        <f>HIST_CON!K31+(HIST_CON!K63-HIST_CON!K93)</f>
        <v>16920400000</v>
      </c>
      <c r="M14" s="8">
        <f>HIST_CON!L31+(HIST_CON!L63-HIST_CON!L93)</f>
        <v>22198400000</v>
      </c>
      <c r="N14" s="8">
        <f>HIST_CON!M31+(HIST_CON!M63-HIST_CON!M93)</f>
        <v>30883500000</v>
      </c>
      <c r="O14" s="8">
        <f>HIST_CON!N31+(HIST_CON!N63-HIST_CON!N93)</f>
        <v>41591300000</v>
      </c>
    </row>
    <row r="16" spans="1:26">
      <c r="B16" s="21" t="s">
        <v>266</v>
      </c>
      <c r="C16" s="21" t="s">
        <v>260</v>
      </c>
      <c r="D16" s="22" t="s">
        <v>267</v>
      </c>
      <c r="E16" s="22" t="s">
        <v>260</v>
      </c>
      <c r="F16" s="23" t="e">
        <f>HIST_CON!E19*(1-(-HIST_CON!E25/HIST_CON!E22))</f>
        <v>#DIV/0!</v>
      </c>
      <c r="G16" s="23">
        <f>HIST_CON!F19*(1-(-HIST_CON!F25/HIST_CON!F22))</f>
        <v>21709541462.718987</v>
      </c>
      <c r="H16" s="23">
        <f>HIST_CON!G19*(1-(-HIST_CON!G25/HIST_CON!G22))</f>
        <v>7376631304.7038946</v>
      </c>
      <c r="I16" s="23">
        <f>HIST_CON!H19*(1-(-HIST_CON!H25/HIST_CON!H22))</f>
        <v>-2983312973.512466</v>
      </c>
      <c r="J16" s="23">
        <f>HIST_CON!I19*(1-(-HIST_CON!I25/HIST_CON!I22))</f>
        <v>-12542371766.612642</v>
      </c>
      <c r="K16" s="23">
        <f>HIST_CON!J19*(1-(-HIST_CON!J25/HIST_CON!J22))</f>
        <v>2827242240.640183</v>
      </c>
      <c r="L16" s="23">
        <f>HIST_CON!K19*(1-(-HIST_CON!K25/HIST_CON!K22))</f>
        <v>-2708066050000</v>
      </c>
      <c r="M16" s="23">
        <f>HIST_CON!L19*(1-(-HIST_CON!L25/HIST_CON!L22))</f>
        <v>5909653223.5251808</v>
      </c>
      <c r="N16" s="23">
        <f>HIST_CON!M19*(1-(-HIST_CON!M25/HIST_CON!M22))</f>
        <v>8788445541.2515736</v>
      </c>
      <c r="O16" s="23">
        <f>HIST_CON!N19*(1-(-HIST_CON!N25/HIST_CON!N22))</f>
        <v>24365134352.944427</v>
      </c>
      <c r="P16" s="24" t="s">
        <v>260</v>
      </c>
      <c r="Q16" s="25" t="str">
        <f t="shared" ref="Q16:Z16" si="5">IF(F17=0,"",F16/F17)</f>
        <v/>
      </c>
      <c r="R16" s="25">
        <f t="shared" si="5"/>
        <v>-8.6351145390871427</v>
      </c>
      <c r="S16" s="25">
        <f t="shared" si="5"/>
        <v>0.18135853117825984</v>
      </c>
      <c r="T16" s="25">
        <f t="shared" si="5"/>
        <v>-0.28515159082338953</v>
      </c>
      <c r="U16" s="25">
        <f t="shared" si="5"/>
        <v>0.87187597001234873</v>
      </c>
      <c r="V16" s="25">
        <f t="shared" si="5"/>
        <v>0.11133811834776035</v>
      </c>
      <c r="W16" s="25">
        <f t="shared" si="5"/>
        <v>-116.30987364279824</v>
      </c>
      <c r="X16" s="25">
        <f t="shared" si="5"/>
        <v>0.2241298141822643</v>
      </c>
      <c r="Y16" s="25">
        <f t="shared" si="5"/>
        <v>0.24389179005643455</v>
      </c>
      <c r="Z16" s="25">
        <f t="shared" si="5"/>
        <v>0.46179147861431913</v>
      </c>
    </row>
    <row r="17" spans="2:26">
      <c r="D17" s="7" t="s">
        <v>268</v>
      </c>
      <c r="F17" s="8">
        <f>(HIST_CON!E76+HIST_CON!E85+0+0)+HIST_CON!E72-HIST_CON!E57</f>
        <v>0</v>
      </c>
      <c r="G17" s="8">
        <f>(HIST_CON!F76+HIST_CON!F85+0+0)+HIST_CON!F72-HIST_CON!F57</f>
        <v>-2514100000</v>
      </c>
      <c r="H17" s="8">
        <f>(HIST_CON!G76+HIST_CON!G85+0+0)+HIST_CON!G72-HIST_CON!G57</f>
        <v>40674300000</v>
      </c>
      <c r="I17" s="8">
        <f>(HIST_CON!H76+HIST_CON!H85+0+0)+HIST_CON!H72-HIST_CON!H57</f>
        <v>10462200000</v>
      </c>
      <c r="J17" s="8">
        <f>(HIST_CON!I76+HIST_CON!I85+0+0)+HIST_CON!I72-HIST_CON!I57</f>
        <v>-14385500000</v>
      </c>
      <c r="K17" s="8">
        <f>(HIST_CON!J76+HIST_CON!J85+0+0)+HIST_CON!J72-HIST_CON!J57</f>
        <v>25393300000</v>
      </c>
      <c r="L17" s="8">
        <f>(HIST_CON!K76+HIST_CON!K85+0+0)+HIST_CON!K72-HIST_CON!K57</f>
        <v>23283200000</v>
      </c>
      <c r="M17" s="8">
        <f>(HIST_CON!L76+HIST_CON!L85+0+0)+HIST_CON!L72-HIST_CON!L57</f>
        <v>26367100000</v>
      </c>
      <c r="N17" s="8">
        <f>(HIST_CON!M76+HIST_CON!M85+0+0)+HIST_CON!M72-HIST_CON!M57</f>
        <v>36034200000</v>
      </c>
      <c r="O17" s="8">
        <f>(HIST_CON!N76+HIST_CON!N85+0+0)+HIST_CON!N72-HIST_CON!N57</f>
        <v>52762200000</v>
      </c>
    </row>
    <row r="19" spans="2:26">
      <c r="B19" s="21" t="s">
        <v>269</v>
      </c>
      <c r="C19" s="21" t="s">
        <v>260</v>
      </c>
      <c r="D19" s="22" t="s">
        <v>122</v>
      </c>
      <c r="E19" s="22" t="s">
        <v>260</v>
      </c>
      <c r="F19" s="23">
        <f>HIST_CON!E14</f>
        <v>0</v>
      </c>
      <c r="G19" s="23">
        <f>HIST_CON!F14</f>
        <v>52603000000</v>
      </c>
      <c r="H19" s="23">
        <f>HIST_CON!G14</f>
        <v>32973000000</v>
      </c>
      <c r="I19" s="23">
        <f>HIST_CON!H14</f>
        <v>20762900000</v>
      </c>
      <c r="J19" s="23">
        <f>HIST_CON!I14</f>
        <v>11269100000</v>
      </c>
      <c r="K19" s="23">
        <f>HIST_CON!J14</f>
        <v>17883200000</v>
      </c>
      <c r="L19" s="23">
        <f>HIST_CON!K14</f>
        <v>22724100000</v>
      </c>
      <c r="M19" s="23">
        <f>HIST_CON!L14</f>
        <v>22075000000</v>
      </c>
      <c r="N19" s="23">
        <f>HIST_CON!M14</f>
        <v>25853800000</v>
      </c>
      <c r="O19" s="23">
        <f>HIST_CON!N14</f>
        <v>41065300000</v>
      </c>
      <c r="P19" s="24" t="s">
        <v>260</v>
      </c>
      <c r="Q19" s="25" t="str">
        <f t="shared" ref="Q19:Z19" si="6">IF(F20=0,"",F19/F20)</f>
        <v/>
      </c>
      <c r="R19" s="25">
        <f t="shared" si="6"/>
        <v>0.41372871797816174</v>
      </c>
      <c r="S19" s="25">
        <f t="shared" si="6"/>
        <v>0.3956519443617828</v>
      </c>
      <c r="T19" s="25">
        <f t="shared" si="6"/>
        <v>0.41321753182783416</v>
      </c>
      <c r="U19" s="25">
        <f t="shared" si="6"/>
        <v>0.37906722505339996</v>
      </c>
      <c r="V19" s="25">
        <f t="shared" si="6"/>
        <v>0.5345097617254283</v>
      </c>
      <c r="W19" s="25">
        <f t="shared" si="6"/>
        <v>0.34525766585938761</v>
      </c>
      <c r="X19" s="25">
        <f t="shared" si="6"/>
        <v>0.36973267029895168</v>
      </c>
      <c r="Y19" s="25">
        <f t="shared" si="6"/>
        <v>0.39597861263973999</v>
      </c>
      <c r="Z19" s="25">
        <f t="shared" si="6"/>
        <v>0.37710083069017258</v>
      </c>
    </row>
    <row r="20" spans="2:26">
      <c r="D20" s="7" t="s">
        <v>270</v>
      </c>
      <c r="F20" s="8">
        <f>HIST_CON!E7</f>
        <v>0</v>
      </c>
      <c r="G20" s="8">
        <f>HIST_CON!F7</f>
        <v>127143700000</v>
      </c>
      <c r="H20" s="8">
        <f>HIST_CON!G7</f>
        <v>83338400000</v>
      </c>
      <c r="I20" s="8">
        <f>HIST_CON!H7</f>
        <v>50246900000</v>
      </c>
      <c r="J20" s="8">
        <f>HIST_CON!I7</f>
        <v>29728500000</v>
      </c>
      <c r="K20" s="8">
        <f>HIST_CON!J7</f>
        <v>33457200000</v>
      </c>
      <c r="L20" s="8">
        <f>HIST_CON!K7</f>
        <v>65817800000</v>
      </c>
      <c r="M20" s="8">
        <f>HIST_CON!L7</f>
        <v>59705300000</v>
      </c>
      <c r="N20" s="8">
        <f>HIST_CON!M7</f>
        <v>65290900000</v>
      </c>
      <c r="O20" s="8">
        <f>HIST_CON!N7</f>
        <v>108897400000</v>
      </c>
    </row>
    <row r="22" spans="2:26">
      <c r="B22" s="21" t="s">
        <v>271</v>
      </c>
      <c r="C22" s="21" t="s">
        <v>260</v>
      </c>
      <c r="D22" s="22" t="s">
        <v>123</v>
      </c>
      <c r="E22" s="22" t="s">
        <v>260</v>
      </c>
      <c r="F22" s="23">
        <f>-HIST_CON!E15</f>
        <v>0</v>
      </c>
      <c r="G22" s="23">
        <f>-HIST_CON!F15</f>
        <v>10464800000</v>
      </c>
      <c r="H22" s="23">
        <f>-HIST_CON!G15</f>
        <v>8046800000</v>
      </c>
      <c r="I22" s="23">
        <f>-HIST_CON!H15</f>
        <v>8741600000</v>
      </c>
      <c r="J22" s="23">
        <f>-HIST_CON!I15</f>
        <v>7962500000</v>
      </c>
      <c r="K22" s="23">
        <f>-HIST_CON!J15</f>
        <v>5532100000</v>
      </c>
      <c r="L22" s="23">
        <f>-HIST_CON!K15</f>
        <v>5453600000</v>
      </c>
      <c r="M22" s="23">
        <f>-HIST_CON!L15</f>
        <v>6092200000</v>
      </c>
      <c r="N22" s="23">
        <f>-HIST_CON!M15</f>
        <v>7029000000</v>
      </c>
      <c r="O22" s="23">
        <f>-HIST_CON!N15</f>
        <v>9415300000</v>
      </c>
      <c r="P22" s="24" t="s">
        <v>260</v>
      </c>
      <c r="Q22" s="25" t="str">
        <f t="shared" ref="Q22:Z22" si="7">IF(F23=0,"",F22/F23)</f>
        <v/>
      </c>
      <c r="R22" s="25">
        <f t="shared" si="7"/>
        <v>8.2306870100524052E-2</v>
      </c>
      <c r="S22" s="25">
        <f t="shared" si="7"/>
        <v>9.6555729411651775E-2</v>
      </c>
      <c r="T22" s="25">
        <f t="shared" si="7"/>
        <v>0.17397292171258327</v>
      </c>
      <c r="U22" s="25">
        <f t="shared" si="7"/>
        <v>0.26784062431673311</v>
      </c>
      <c r="V22" s="25">
        <f t="shared" si="7"/>
        <v>0.1653485647334505</v>
      </c>
      <c r="W22" s="25">
        <f t="shared" si="7"/>
        <v>8.2859044209924973E-2</v>
      </c>
      <c r="X22" s="25">
        <f t="shared" si="7"/>
        <v>0.10203784253659223</v>
      </c>
      <c r="Y22" s="25">
        <f t="shared" si="7"/>
        <v>0.10765665659379792</v>
      </c>
      <c r="Z22" s="25">
        <f t="shared" si="7"/>
        <v>8.6460282798303728E-2</v>
      </c>
    </row>
    <row r="23" spans="2:26">
      <c r="D23" s="7" t="s">
        <v>270</v>
      </c>
      <c r="F23" s="27">
        <f t="shared" ref="F23:O23" si="8">+F20</f>
        <v>0</v>
      </c>
      <c r="G23" s="27">
        <f t="shared" si="8"/>
        <v>127143700000</v>
      </c>
      <c r="H23" s="27">
        <f t="shared" si="8"/>
        <v>83338400000</v>
      </c>
      <c r="I23" s="27">
        <f t="shared" si="8"/>
        <v>50246900000</v>
      </c>
      <c r="J23" s="27">
        <f t="shared" si="8"/>
        <v>29728500000</v>
      </c>
      <c r="K23" s="27">
        <f t="shared" si="8"/>
        <v>33457200000</v>
      </c>
      <c r="L23" s="27">
        <f t="shared" si="8"/>
        <v>65817800000</v>
      </c>
      <c r="M23" s="27">
        <f t="shared" si="8"/>
        <v>59705300000</v>
      </c>
      <c r="N23" s="27">
        <f t="shared" si="8"/>
        <v>65290900000</v>
      </c>
      <c r="O23" s="27">
        <f t="shared" si="8"/>
        <v>108897400000</v>
      </c>
    </row>
    <row r="25" spans="2:26">
      <c r="B25" s="21" t="s">
        <v>272</v>
      </c>
      <c r="C25" s="21" t="s">
        <v>260</v>
      </c>
      <c r="D25" s="22" t="s">
        <v>273</v>
      </c>
      <c r="E25" s="22" t="s">
        <v>260</v>
      </c>
      <c r="F25" s="23">
        <f>-HIST_CON!E16</f>
        <v>0</v>
      </c>
      <c r="G25" s="23">
        <f>-HIST_CON!F16</f>
        <v>16256100000</v>
      </c>
      <c r="H25" s="23">
        <f>-HIST_CON!G16</f>
        <v>14103900000</v>
      </c>
      <c r="I25" s="23">
        <f>-HIST_CON!H16</f>
        <v>11609300000</v>
      </c>
      <c r="J25" s="23">
        <f>-HIST_CON!I16</f>
        <v>11628200000</v>
      </c>
      <c r="K25" s="23">
        <f>-HIST_CON!J16</f>
        <v>6809600000</v>
      </c>
      <c r="L25" s="23">
        <f>-HIST_CON!K16</f>
        <v>8154100000</v>
      </c>
      <c r="M25" s="23">
        <f>-HIST_CON!L16</f>
        <v>7467300000</v>
      </c>
      <c r="N25" s="23">
        <f>-HIST_CON!M16</f>
        <v>8151800000</v>
      </c>
      <c r="O25" s="23">
        <f>-HIST_CON!N16</f>
        <v>12043800000</v>
      </c>
      <c r="P25" s="24" t="s">
        <v>260</v>
      </c>
      <c r="Q25" s="25" t="str">
        <f t="shared" ref="Q25:Z25" si="9">IF(F26=0,"",F25/F26)</f>
        <v/>
      </c>
      <c r="R25" s="25">
        <f t="shared" si="9"/>
        <v>0.1278561187066288</v>
      </c>
      <c r="S25" s="25">
        <f t="shared" si="9"/>
        <v>0.16923651042016646</v>
      </c>
      <c r="T25" s="25">
        <f t="shared" si="9"/>
        <v>0.23104509929965827</v>
      </c>
      <c r="U25" s="25">
        <f t="shared" si="9"/>
        <v>0.39114654287972822</v>
      </c>
      <c r="V25" s="25">
        <f t="shared" si="9"/>
        <v>0.20353167629090299</v>
      </c>
      <c r="W25" s="25">
        <f t="shared" si="9"/>
        <v>0.12388897836147668</v>
      </c>
      <c r="X25" s="25">
        <f t="shared" si="9"/>
        <v>0.12506929870547506</v>
      </c>
      <c r="Y25" s="25">
        <f t="shared" si="9"/>
        <v>0.12485354007985799</v>
      </c>
      <c r="Z25" s="25">
        <f t="shared" si="9"/>
        <v>0.11059768185466319</v>
      </c>
    </row>
    <row r="26" spans="2:26">
      <c r="D26" s="7" t="s">
        <v>270</v>
      </c>
      <c r="F26" s="27">
        <f t="shared" ref="F26:O26" si="10">+F20</f>
        <v>0</v>
      </c>
      <c r="G26" s="27">
        <f t="shared" si="10"/>
        <v>127143700000</v>
      </c>
      <c r="H26" s="27">
        <f t="shared" si="10"/>
        <v>83338400000</v>
      </c>
      <c r="I26" s="27">
        <f t="shared" si="10"/>
        <v>50246900000</v>
      </c>
      <c r="J26" s="27">
        <f t="shared" si="10"/>
        <v>29728500000</v>
      </c>
      <c r="K26" s="27">
        <f t="shared" si="10"/>
        <v>33457200000</v>
      </c>
      <c r="L26" s="27">
        <f t="shared" si="10"/>
        <v>65817800000</v>
      </c>
      <c r="M26" s="27">
        <f t="shared" si="10"/>
        <v>59705300000</v>
      </c>
      <c r="N26" s="27">
        <f t="shared" si="10"/>
        <v>65290900000</v>
      </c>
      <c r="O26" s="27">
        <f t="shared" si="10"/>
        <v>108897400000</v>
      </c>
    </row>
    <row r="28" spans="2:26">
      <c r="B28" s="21" t="s">
        <v>274</v>
      </c>
      <c r="C28" s="21" t="s">
        <v>260</v>
      </c>
      <c r="D28" s="22" t="s">
        <v>125</v>
      </c>
      <c r="E28" s="22" t="s">
        <v>260</v>
      </c>
      <c r="F28" s="23">
        <f>HIST_CON!E17</f>
        <v>0</v>
      </c>
      <c r="G28" s="23">
        <f>HIST_CON!F17</f>
        <v>25882100000</v>
      </c>
      <c r="H28" s="23">
        <f>HIST_CON!G17</f>
        <v>10822300000</v>
      </c>
      <c r="I28" s="23">
        <f>HIST_CON!H17</f>
        <v>412000000</v>
      </c>
      <c r="J28" s="23">
        <f>HIST_CON!I17</f>
        <v>-8321600000</v>
      </c>
      <c r="K28" s="23">
        <f>HIST_CON!J17</f>
        <v>5541500000</v>
      </c>
      <c r="L28" s="23">
        <f>HIST_CON!K17</f>
        <v>9116400000</v>
      </c>
      <c r="M28" s="23">
        <f>HIST_CON!L17</f>
        <v>8515500000</v>
      </c>
      <c r="N28" s="23">
        <f>HIST_CON!M17</f>
        <v>10673000000</v>
      </c>
      <c r="O28" s="23">
        <f>HIST_CON!N17</f>
        <v>19606200000</v>
      </c>
      <c r="P28" s="24" t="s">
        <v>260</v>
      </c>
      <c r="Q28" s="25" t="str">
        <f t="shared" ref="Q28:Z28" si="11">IF(F29=0,"",F28/F29)</f>
        <v/>
      </c>
      <c r="R28" s="25">
        <f t="shared" si="11"/>
        <v>0.20356572917100887</v>
      </c>
      <c r="S28" s="25">
        <f t="shared" si="11"/>
        <v>0.12985970452996456</v>
      </c>
      <c r="T28" s="25">
        <f t="shared" si="11"/>
        <v>8.199510815592604E-3</v>
      </c>
      <c r="U28" s="25">
        <f t="shared" si="11"/>
        <v>-0.27991994214306137</v>
      </c>
      <c r="V28" s="25">
        <f t="shared" si="11"/>
        <v>0.16562952070107481</v>
      </c>
      <c r="W28" s="25">
        <f t="shared" si="11"/>
        <v>0.13850964328798593</v>
      </c>
      <c r="X28" s="25">
        <f t="shared" si="11"/>
        <v>0.14262552905688439</v>
      </c>
      <c r="Y28" s="25">
        <f t="shared" si="11"/>
        <v>0.16346841596608411</v>
      </c>
      <c r="Z28" s="25">
        <f t="shared" si="11"/>
        <v>0.18004286603720565</v>
      </c>
    </row>
    <row r="29" spans="2:26">
      <c r="D29" s="7" t="s">
        <v>270</v>
      </c>
      <c r="F29" s="27">
        <f t="shared" ref="F29:O29" si="12">+F20</f>
        <v>0</v>
      </c>
      <c r="G29" s="27">
        <f t="shared" si="12"/>
        <v>127143700000</v>
      </c>
      <c r="H29" s="27">
        <f t="shared" si="12"/>
        <v>83338400000</v>
      </c>
      <c r="I29" s="27">
        <f t="shared" si="12"/>
        <v>50246900000</v>
      </c>
      <c r="J29" s="27">
        <f t="shared" si="12"/>
        <v>29728500000</v>
      </c>
      <c r="K29" s="27">
        <f t="shared" si="12"/>
        <v>33457200000</v>
      </c>
      <c r="L29" s="27">
        <f t="shared" si="12"/>
        <v>65817800000</v>
      </c>
      <c r="M29" s="27">
        <f t="shared" si="12"/>
        <v>59705300000</v>
      </c>
      <c r="N29" s="27">
        <f t="shared" si="12"/>
        <v>65290900000</v>
      </c>
      <c r="O29" s="27">
        <f t="shared" si="12"/>
        <v>108897400000</v>
      </c>
    </row>
    <row r="31" spans="2:26">
      <c r="B31" s="15" t="s">
        <v>275</v>
      </c>
      <c r="Q31" s="28" t="e">
        <f t="shared" ref="Q31:Z31" si="13">IF(ABS(Q19-Q22-Q25-Q28)&lt;0.0001,"OK","Error")</f>
        <v>#VALUE!</v>
      </c>
      <c r="R31" s="28" t="str">
        <f t="shared" si="13"/>
        <v>OK</v>
      </c>
      <c r="S31" s="28" t="str">
        <f t="shared" si="13"/>
        <v>OK</v>
      </c>
      <c r="T31" s="28" t="str">
        <f t="shared" si="13"/>
        <v>OK</v>
      </c>
      <c r="U31" s="28" t="str">
        <f t="shared" si="13"/>
        <v>OK</v>
      </c>
      <c r="V31" s="28" t="str">
        <f t="shared" si="13"/>
        <v>OK</v>
      </c>
      <c r="W31" s="28" t="str">
        <f t="shared" si="13"/>
        <v>OK</v>
      </c>
      <c r="X31" s="28" t="str">
        <f t="shared" si="13"/>
        <v>OK</v>
      </c>
      <c r="Y31" s="28" t="str">
        <f t="shared" si="13"/>
        <v>OK</v>
      </c>
      <c r="Z31" s="28" t="str">
        <f t="shared" si="13"/>
        <v>OK</v>
      </c>
    </row>
    <row r="33" spans="2:26">
      <c r="B33" s="21" t="s">
        <v>276</v>
      </c>
      <c r="C33" s="21" t="s">
        <v>260</v>
      </c>
      <c r="D33" s="22" t="s">
        <v>277</v>
      </c>
      <c r="E33" s="22" t="s">
        <v>260</v>
      </c>
      <c r="F33" s="23">
        <f>-HIST_CON!E18</f>
        <v>0</v>
      </c>
      <c r="G33" s="23">
        <f>-HIST_CON!F18</f>
        <v>3890300000</v>
      </c>
      <c r="H33" s="23">
        <f>-HIST_CON!G18</f>
        <v>3416100000</v>
      </c>
      <c r="I33" s="23">
        <f>-HIST_CON!H18</f>
        <v>3418500000</v>
      </c>
      <c r="J33" s="23">
        <f>-HIST_CON!I18</f>
        <v>4186100000</v>
      </c>
      <c r="K33" s="23">
        <f>-HIST_CON!J18</f>
        <v>2583800000</v>
      </c>
      <c r="L33" s="23">
        <f>-HIST_CON!K18</f>
        <v>2598400000</v>
      </c>
      <c r="M33" s="23">
        <f>-HIST_CON!L18</f>
        <v>2596800000</v>
      </c>
      <c r="N33" s="23">
        <f>-HIST_CON!M18</f>
        <v>1896000000</v>
      </c>
      <c r="O33" s="23">
        <f>-HIST_CON!N18</f>
        <v>2591900000</v>
      </c>
      <c r="P33" s="24" t="s">
        <v>260</v>
      </c>
      <c r="Q33" s="25" t="str">
        <f t="shared" ref="Q33:Z33" si="14">IF(F34=0,"",F33/F34)</f>
        <v/>
      </c>
      <c r="R33" s="25">
        <f t="shared" si="14"/>
        <v>3.0597662330103654E-2</v>
      </c>
      <c r="S33" s="25">
        <f t="shared" si="14"/>
        <v>4.0990707764967889E-2</v>
      </c>
      <c r="T33" s="25">
        <f t="shared" si="14"/>
        <v>6.8034047871609993E-2</v>
      </c>
      <c r="U33" s="25">
        <f t="shared" si="14"/>
        <v>0.14081100627344131</v>
      </c>
      <c r="V33" s="25">
        <f t="shared" si="14"/>
        <v>7.7227024377413536E-2</v>
      </c>
      <c r="W33" s="25">
        <f t="shared" si="14"/>
        <v>3.9478682058652827E-2</v>
      </c>
      <c r="X33" s="25">
        <f t="shared" si="14"/>
        <v>4.3493626193989478E-2</v>
      </c>
      <c r="Y33" s="25">
        <f t="shared" si="14"/>
        <v>2.9039268872078652E-2</v>
      </c>
      <c r="Z33" s="25">
        <f t="shared" si="14"/>
        <v>2.3801302877754657E-2</v>
      </c>
    </row>
    <row r="34" spans="2:26">
      <c r="D34" s="7" t="s">
        <v>270</v>
      </c>
      <c r="F34" s="27">
        <f t="shared" ref="F34:O34" si="15">+F20</f>
        <v>0</v>
      </c>
      <c r="G34" s="27">
        <f t="shared" si="15"/>
        <v>127143700000</v>
      </c>
      <c r="H34" s="27">
        <f t="shared" si="15"/>
        <v>83338400000</v>
      </c>
      <c r="I34" s="27">
        <f t="shared" si="15"/>
        <v>50246900000</v>
      </c>
      <c r="J34" s="27">
        <f t="shared" si="15"/>
        <v>29728500000</v>
      </c>
      <c r="K34" s="27">
        <f t="shared" si="15"/>
        <v>33457200000</v>
      </c>
      <c r="L34" s="27">
        <f t="shared" si="15"/>
        <v>65817800000</v>
      </c>
      <c r="M34" s="27">
        <f t="shared" si="15"/>
        <v>59705300000</v>
      </c>
      <c r="N34" s="27">
        <f t="shared" si="15"/>
        <v>65290900000</v>
      </c>
      <c r="O34" s="27">
        <f t="shared" si="15"/>
        <v>108897400000</v>
      </c>
    </row>
    <row r="36" spans="2:26">
      <c r="B36" s="21" t="s">
        <v>278</v>
      </c>
      <c r="C36" s="21" t="s">
        <v>260</v>
      </c>
      <c r="D36" s="22" t="s">
        <v>127</v>
      </c>
      <c r="E36" s="22" t="s">
        <v>260</v>
      </c>
      <c r="F36" s="23">
        <f>HIST_CON!E19</f>
        <v>0</v>
      </c>
      <c r="G36" s="23">
        <f>HIST_CON!F19</f>
        <v>21991800000</v>
      </c>
      <c r="H36" s="23">
        <f>HIST_CON!G19</f>
        <v>7406200000</v>
      </c>
      <c r="I36" s="23">
        <f>HIST_CON!H19</f>
        <v>-3006500000</v>
      </c>
      <c r="J36" s="23">
        <f>HIST_CON!I19</f>
        <v>-12507700000</v>
      </c>
      <c r="K36" s="23">
        <f>HIST_CON!J19</f>
        <v>2957700000</v>
      </c>
      <c r="L36" s="23">
        <f>HIST_CON!K19</f>
        <v>6518000000</v>
      </c>
      <c r="M36" s="23">
        <f>HIST_CON!L19</f>
        <v>5918700000</v>
      </c>
      <c r="N36" s="23">
        <f>HIST_CON!M19</f>
        <v>8777000000</v>
      </c>
      <c r="O36" s="23">
        <f>HIST_CON!N19</f>
        <v>17014300000</v>
      </c>
      <c r="P36" s="24" t="s">
        <v>260</v>
      </c>
      <c r="Q36" s="25" t="str">
        <f t="shared" ref="Q36:Z36" si="16">IF(F37=0,"",F36/F37)</f>
        <v/>
      </c>
      <c r="R36" s="25">
        <f t="shared" si="16"/>
        <v>0.17296806684090521</v>
      </c>
      <c r="S36" s="25">
        <f t="shared" si="16"/>
        <v>8.8868996764996683E-2</v>
      </c>
      <c r="T36" s="25">
        <f t="shared" si="16"/>
        <v>-5.9834537056017385E-2</v>
      </c>
      <c r="U36" s="25">
        <f t="shared" si="16"/>
        <v>-0.42073094841650266</v>
      </c>
      <c r="V36" s="25">
        <f t="shared" si="16"/>
        <v>8.8402496323661275E-2</v>
      </c>
      <c r="W36" s="25">
        <f t="shared" si="16"/>
        <v>9.9030961229333095E-2</v>
      </c>
      <c r="X36" s="25">
        <f t="shared" si="16"/>
        <v>9.9131902862894916E-2</v>
      </c>
      <c r="Y36" s="25">
        <f t="shared" si="16"/>
        <v>0.13442914709400544</v>
      </c>
      <c r="Z36" s="25">
        <f t="shared" si="16"/>
        <v>0.15624156315945101</v>
      </c>
    </row>
    <row r="37" spans="2:26">
      <c r="D37" s="7" t="s">
        <v>270</v>
      </c>
      <c r="F37" s="27">
        <f t="shared" ref="F37:O37" si="17">+F20</f>
        <v>0</v>
      </c>
      <c r="G37" s="27">
        <f t="shared" si="17"/>
        <v>127143700000</v>
      </c>
      <c r="H37" s="27">
        <f t="shared" si="17"/>
        <v>83338400000</v>
      </c>
      <c r="I37" s="27">
        <f t="shared" si="17"/>
        <v>50246900000</v>
      </c>
      <c r="J37" s="27">
        <f t="shared" si="17"/>
        <v>29728500000</v>
      </c>
      <c r="K37" s="27">
        <f t="shared" si="17"/>
        <v>33457200000</v>
      </c>
      <c r="L37" s="27">
        <f t="shared" si="17"/>
        <v>65817800000</v>
      </c>
      <c r="M37" s="27">
        <f t="shared" si="17"/>
        <v>59705300000</v>
      </c>
      <c r="N37" s="27">
        <f t="shared" si="17"/>
        <v>65290900000</v>
      </c>
      <c r="O37" s="27">
        <f t="shared" si="17"/>
        <v>108897400000</v>
      </c>
    </row>
    <row r="39" spans="2:26">
      <c r="B39" s="15" t="s">
        <v>275</v>
      </c>
      <c r="Q39" s="28" t="e">
        <f t="shared" ref="Q39:Z39" si="18">IF(ABS(Q28-Q33-Q36)&lt;0.0001,"OK","Error")</f>
        <v>#VALUE!</v>
      </c>
      <c r="R39" s="28" t="str">
        <f t="shared" si="18"/>
        <v>OK</v>
      </c>
      <c r="S39" s="28" t="str">
        <f t="shared" si="18"/>
        <v>OK</v>
      </c>
      <c r="T39" s="28" t="str">
        <f t="shared" si="18"/>
        <v>OK</v>
      </c>
      <c r="U39" s="28" t="str">
        <f t="shared" si="18"/>
        <v>OK</v>
      </c>
      <c r="V39" s="28" t="str">
        <f t="shared" si="18"/>
        <v>OK</v>
      </c>
      <c r="W39" s="28" t="str">
        <f t="shared" si="18"/>
        <v>OK</v>
      </c>
      <c r="X39" s="28" t="str">
        <f t="shared" si="18"/>
        <v>OK</v>
      </c>
      <c r="Y39" s="28" t="str">
        <f t="shared" si="18"/>
        <v>OK</v>
      </c>
      <c r="Z39" s="28" t="str">
        <f t="shared" si="18"/>
        <v>OK</v>
      </c>
    </row>
    <row r="41" spans="2:26">
      <c r="B41" s="21" t="s">
        <v>279</v>
      </c>
      <c r="C41" s="21" t="s">
        <v>260</v>
      </c>
      <c r="D41" s="22" t="s">
        <v>280</v>
      </c>
      <c r="E41" s="22" t="s">
        <v>260</v>
      </c>
      <c r="F41" s="23">
        <f>-(HIST_CON!E20+HIST_CON!E21)</f>
        <v>0</v>
      </c>
      <c r="G41" s="23">
        <f>-(HIST_CON!F20+HIST_CON!F21)</f>
        <v>12875900000</v>
      </c>
      <c r="H41" s="23">
        <f>-(HIST_CON!G20+HIST_CON!G21)</f>
        <v>11313600000</v>
      </c>
      <c r="I41" s="23">
        <f>-(HIST_CON!H20+HIST_CON!H21)</f>
        <v>12423400000</v>
      </c>
      <c r="J41" s="23">
        <f>-(HIST_CON!I20+HIST_CON!I21)</f>
        <v>14331800000</v>
      </c>
      <c r="K41" s="23">
        <f>-(HIST_CON!J20+HIST_CON!J21)</f>
        <v>1908000000</v>
      </c>
      <c r="L41" s="23">
        <f>-(HIST_CON!K20+HIST_CON!K21)</f>
        <v>6514000000</v>
      </c>
      <c r="M41" s="23">
        <f>-(HIST_CON!L20+HIST_CON!L21)</f>
        <v>-22998400000</v>
      </c>
      <c r="N41" s="23">
        <f>-(HIST_CON!M20+HIST_CON!M21)</f>
        <v>2182100000</v>
      </c>
      <c r="O41" s="23">
        <f>-(HIST_CON!N20+HIST_CON!N21)</f>
        <v>2548000000</v>
      </c>
      <c r="P41" s="24" t="s">
        <v>260</v>
      </c>
      <c r="Q41" s="25" t="str">
        <f t="shared" ref="Q41:Z41" si="19">IF(F42=0,"",F41/F42)</f>
        <v/>
      </c>
      <c r="R41" s="25">
        <f t="shared" si="19"/>
        <v>0.10127045225205811</v>
      </c>
      <c r="S41" s="25">
        <f t="shared" si="19"/>
        <v>0.13575494609927716</v>
      </c>
      <c r="T41" s="25">
        <f t="shared" si="19"/>
        <v>0.2472470938505659</v>
      </c>
      <c r="U41" s="25">
        <f t="shared" si="19"/>
        <v>0.48208957734160823</v>
      </c>
      <c r="V41" s="25">
        <f t="shared" si="19"/>
        <v>5.7028083641189338E-2</v>
      </c>
      <c r="W41" s="25">
        <f t="shared" si="19"/>
        <v>9.8970187396114725E-2</v>
      </c>
      <c r="X41" s="25">
        <f t="shared" si="19"/>
        <v>-0.3851986339571194</v>
      </c>
      <c r="Y41" s="25">
        <f t="shared" si="19"/>
        <v>3.3421196522026804E-2</v>
      </c>
      <c r="Z41" s="25">
        <f t="shared" si="19"/>
        <v>2.3398171122542871E-2</v>
      </c>
    </row>
    <row r="42" spans="2:26">
      <c r="D42" s="7" t="s">
        <v>270</v>
      </c>
      <c r="F42" s="27">
        <f t="shared" ref="F42:O42" si="20">+F20</f>
        <v>0</v>
      </c>
      <c r="G42" s="27">
        <f t="shared" si="20"/>
        <v>127143700000</v>
      </c>
      <c r="H42" s="27">
        <f t="shared" si="20"/>
        <v>83338400000</v>
      </c>
      <c r="I42" s="27">
        <f t="shared" si="20"/>
        <v>50246900000</v>
      </c>
      <c r="J42" s="27">
        <f t="shared" si="20"/>
        <v>29728500000</v>
      </c>
      <c r="K42" s="27">
        <f t="shared" si="20"/>
        <v>33457200000</v>
      </c>
      <c r="L42" s="27">
        <f t="shared" si="20"/>
        <v>65817800000</v>
      </c>
      <c r="M42" s="27">
        <f t="shared" si="20"/>
        <v>59705300000</v>
      </c>
      <c r="N42" s="27">
        <f t="shared" si="20"/>
        <v>65290900000</v>
      </c>
      <c r="O42" s="27">
        <f t="shared" si="20"/>
        <v>108897400000</v>
      </c>
    </row>
    <row r="44" spans="2:26">
      <c r="B44" s="21" t="s">
        <v>281</v>
      </c>
      <c r="C44" s="21" t="s">
        <v>260</v>
      </c>
      <c r="D44" s="22" t="s">
        <v>282</v>
      </c>
      <c r="E44" s="22" t="s">
        <v>260</v>
      </c>
      <c r="F44" s="23">
        <f>HIST_CON!E22</f>
        <v>0</v>
      </c>
      <c r="G44" s="23">
        <f>HIST_CON!F22</f>
        <v>9115900000</v>
      </c>
      <c r="H44" s="23">
        <f>HIST_CON!G22</f>
        <v>-3907400000</v>
      </c>
      <c r="I44" s="23">
        <f>HIST_CON!H22</f>
        <v>-15429900000</v>
      </c>
      <c r="J44" s="23">
        <f>HIST_CON!I22</f>
        <v>-26839500000</v>
      </c>
      <c r="K44" s="23">
        <f>HIST_CON!J22</f>
        <v>1049700000</v>
      </c>
      <c r="L44" s="23">
        <f>HIST_CON!K22</f>
        <v>4000000</v>
      </c>
      <c r="M44" s="23">
        <f>HIST_CON!L22</f>
        <v>28917100000</v>
      </c>
      <c r="N44" s="23">
        <f>HIST_CON!M22</f>
        <v>6594900000</v>
      </c>
      <c r="O44" s="23">
        <f>HIST_CON!N22</f>
        <v>14466300000</v>
      </c>
      <c r="P44" s="24" t="s">
        <v>260</v>
      </c>
      <c r="Q44" s="25" t="str">
        <f t="shared" ref="Q44:Z44" si="21">IF(F45=0,"",F44/F45)</f>
        <v/>
      </c>
      <c r="R44" s="25">
        <f t="shared" si="21"/>
        <v>7.1697614588847103E-2</v>
      </c>
      <c r="S44" s="25">
        <f t="shared" si="21"/>
        <v>-4.6885949334280475E-2</v>
      </c>
      <c r="T44" s="25">
        <f t="shared" si="21"/>
        <v>-0.3070816309065833</v>
      </c>
      <c r="U44" s="25">
        <f t="shared" si="21"/>
        <v>-0.90282052575811089</v>
      </c>
      <c r="V44" s="25">
        <f t="shared" si="21"/>
        <v>3.1374412682471937E-2</v>
      </c>
      <c r="W44" s="25">
        <f t="shared" si="21"/>
        <v>6.0773833218369499E-5</v>
      </c>
      <c r="X44" s="25">
        <f t="shared" si="21"/>
        <v>0.48433053682001431</v>
      </c>
      <c r="Y44" s="25">
        <f t="shared" si="21"/>
        <v>0.10100795057197863</v>
      </c>
      <c r="Z44" s="25">
        <f t="shared" si="21"/>
        <v>0.13284339203690815</v>
      </c>
    </row>
    <row r="45" spans="2:26">
      <c r="D45" s="7" t="s">
        <v>270</v>
      </c>
      <c r="F45" s="27">
        <f t="shared" ref="F45:O45" si="22">+F20</f>
        <v>0</v>
      </c>
      <c r="G45" s="27">
        <f t="shared" si="22"/>
        <v>127143700000</v>
      </c>
      <c r="H45" s="27">
        <f t="shared" si="22"/>
        <v>83338400000</v>
      </c>
      <c r="I45" s="27">
        <f t="shared" si="22"/>
        <v>50246900000</v>
      </c>
      <c r="J45" s="27">
        <f t="shared" si="22"/>
        <v>29728500000</v>
      </c>
      <c r="K45" s="27">
        <f t="shared" si="22"/>
        <v>33457200000</v>
      </c>
      <c r="L45" s="27">
        <f t="shared" si="22"/>
        <v>65817800000</v>
      </c>
      <c r="M45" s="27">
        <f t="shared" si="22"/>
        <v>59705300000</v>
      </c>
      <c r="N45" s="27">
        <f t="shared" si="22"/>
        <v>65290900000</v>
      </c>
      <c r="O45" s="27">
        <f t="shared" si="22"/>
        <v>108897400000</v>
      </c>
    </row>
    <row r="47" spans="2:26">
      <c r="B47" s="15" t="s">
        <v>275</v>
      </c>
      <c r="Q47" s="28" t="e">
        <f t="shared" ref="Q47:Z47" si="23">IF(ABS(Q36-Q41-Q44)&lt;0.0001,"OK","Error")</f>
        <v>#VALUE!</v>
      </c>
      <c r="R47" s="28" t="str">
        <f t="shared" si="23"/>
        <v>OK</v>
      </c>
      <c r="S47" s="28" t="str">
        <f t="shared" si="23"/>
        <v>OK</v>
      </c>
      <c r="T47" s="28" t="str">
        <f t="shared" si="23"/>
        <v>OK</v>
      </c>
      <c r="U47" s="28" t="str">
        <f t="shared" si="23"/>
        <v>OK</v>
      </c>
      <c r="V47" s="28" t="str">
        <f t="shared" si="23"/>
        <v>OK</v>
      </c>
      <c r="W47" s="28" t="str">
        <f t="shared" si="23"/>
        <v>OK</v>
      </c>
      <c r="X47" s="28" t="str">
        <f t="shared" si="23"/>
        <v>OK</v>
      </c>
      <c r="Y47" s="28" t="str">
        <f t="shared" si="23"/>
        <v>OK</v>
      </c>
      <c r="Z47" s="28" t="str">
        <f t="shared" si="23"/>
        <v>OK</v>
      </c>
    </row>
    <row r="49" spans="2:26">
      <c r="B49" s="21" t="s">
        <v>283</v>
      </c>
      <c r="C49" s="21" t="s">
        <v>260</v>
      </c>
      <c r="D49" s="22" t="s">
        <v>284</v>
      </c>
      <c r="E49" s="22" t="s">
        <v>260</v>
      </c>
      <c r="F49" s="23">
        <f>-HIST_CON!E25</f>
        <v>0</v>
      </c>
      <c r="G49" s="23">
        <f>-HIST_CON!F25</f>
        <v>117000000</v>
      </c>
      <c r="H49" s="23">
        <f>-HIST_CON!G25</f>
        <v>-15600000</v>
      </c>
      <c r="I49" s="23">
        <f>-HIST_CON!H25</f>
        <v>-119000000</v>
      </c>
      <c r="J49" s="23">
        <f>-HIST_CON!I25</f>
        <v>74400000</v>
      </c>
      <c r="K49" s="23">
        <f>-HIST_CON!J25</f>
        <v>46300000</v>
      </c>
      <c r="L49" s="23">
        <f>-HIST_CON!K25</f>
        <v>1665900000</v>
      </c>
      <c r="M49" s="23">
        <f>-HIST_CON!L25</f>
        <v>44200000</v>
      </c>
      <c r="N49" s="23">
        <f>-HIST_CON!M25</f>
        <v>-8600000</v>
      </c>
      <c r="O49" s="23">
        <f>-HIST_CON!N25</f>
        <v>-6250000000</v>
      </c>
      <c r="P49" s="24" t="s">
        <v>260</v>
      </c>
      <c r="Q49" s="25" t="str">
        <f t="shared" ref="Q49:Z49" si="24">IF(F50=0,"",F49/F50)</f>
        <v/>
      </c>
      <c r="R49" s="25">
        <f t="shared" si="24"/>
        <v>9.2021861877544851E-4</v>
      </c>
      <c r="S49" s="25">
        <f t="shared" si="24"/>
        <v>-1.8718861893196893E-4</v>
      </c>
      <c r="T49" s="25">
        <f t="shared" si="24"/>
        <v>-2.3683053083871841E-3</v>
      </c>
      <c r="U49" s="25">
        <f t="shared" si="24"/>
        <v>2.5026489732075281E-3</v>
      </c>
      <c r="V49" s="25">
        <f t="shared" si="24"/>
        <v>1.3838575852133472E-3</v>
      </c>
      <c r="W49" s="25">
        <f t="shared" si="24"/>
        <v>2.5310782189620438E-2</v>
      </c>
      <c r="X49" s="25">
        <f t="shared" si="24"/>
        <v>7.4030278718974695E-4</v>
      </c>
      <c r="Y49" s="25">
        <f t="shared" si="24"/>
        <v>-1.3171820268980823E-4</v>
      </c>
      <c r="Z49" s="25">
        <f t="shared" si="24"/>
        <v>-5.739347312240696E-2</v>
      </c>
    </row>
    <row r="50" spans="2:26">
      <c r="D50" s="7" t="s">
        <v>270</v>
      </c>
      <c r="F50" s="27">
        <f t="shared" ref="F50:O50" si="25">+F20</f>
        <v>0</v>
      </c>
      <c r="G50" s="27">
        <f t="shared" si="25"/>
        <v>127143700000</v>
      </c>
      <c r="H50" s="27">
        <f t="shared" si="25"/>
        <v>83338400000</v>
      </c>
      <c r="I50" s="27">
        <f t="shared" si="25"/>
        <v>50246900000</v>
      </c>
      <c r="J50" s="27">
        <f t="shared" si="25"/>
        <v>29728500000</v>
      </c>
      <c r="K50" s="27">
        <f t="shared" si="25"/>
        <v>33457200000</v>
      </c>
      <c r="L50" s="27">
        <f t="shared" si="25"/>
        <v>65817800000</v>
      </c>
      <c r="M50" s="27">
        <f t="shared" si="25"/>
        <v>59705300000</v>
      </c>
      <c r="N50" s="27">
        <f t="shared" si="25"/>
        <v>65290900000</v>
      </c>
      <c r="O50" s="27">
        <f t="shared" si="25"/>
        <v>108897400000</v>
      </c>
    </row>
    <row r="52" spans="2:26">
      <c r="B52" s="21" t="s">
        <v>285</v>
      </c>
      <c r="C52" s="21" t="s">
        <v>260</v>
      </c>
      <c r="D52" s="22" t="s">
        <v>261</v>
      </c>
      <c r="E52" s="22" t="s">
        <v>260</v>
      </c>
      <c r="F52" s="26">
        <f t="shared" ref="F52:O52" si="26">+F7</f>
        <v>0</v>
      </c>
      <c r="G52" s="26">
        <f t="shared" si="26"/>
        <v>8998900000</v>
      </c>
      <c r="H52" s="26">
        <f t="shared" si="26"/>
        <v>-3891800000</v>
      </c>
      <c r="I52" s="26">
        <f t="shared" si="26"/>
        <v>-15310900000</v>
      </c>
      <c r="J52" s="26">
        <f t="shared" si="26"/>
        <v>-26913900000</v>
      </c>
      <c r="K52" s="26">
        <f t="shared" si="26"/>
        <v>1003400000</v>
      </c>
      <c r="L52" s="26">
        <f t="shared" si="26"/>
        <v>-1661900000</v>
      </c>
      <c r="M52" s="26">
        <f t="shared" si="26"/>
        <v>28872900000</v>
      </c>
      <c r="N52" s="26">
        <f t="shared" si="26"/>
        <v>6603500000</v>
      </c>
      <c r="O52" s="26">
        <f t="shared" si="26"/>
        <v>20716300000</v>
      </c>
      <c r="P52" s="24" t="s">
        <v>260</v>
      </c>
      <c r="Q52" s="25" t="str">
        <f t="shared" ref="Q52:Z52" si="27">IF(F53=0,"",F52/F53)</f>
        <v/>
      </c>
      <c r="R52" s="25">
        <f t="shared" si="27"/>
        <v>7.0777395970071655E-2</v>
      </c>
      <c r="S52" s="25">
        <f t="shared" si="27"/>
        <v>-4.6698760715348508E-2</v>
      </c>
      <c r="T52" s="25">
        <f t="shared" si="27"/>
        <v>-0.30471332559819608</v>
      </c>
      <c r="U52" s="25">
        <f t="shared" si="27"/>
        <v>-0.9053231747313184</v>
      </c>
      <c r="V52" s="25">
        <f t="shared" si="27"/>
        <v>2.9990555097258589E-2</v>
      </c>
      <c r="W52" s="25">
        <f t="shared" si="27"/>
        <v>-2.5250008356402068E-2</v>
      </c>
      <c r="X52" s="25">
        <f t="shared" si="27"/>
        <v>0.48359023403282458</v>
      </c>
      <c r="Y52" s="25">
        <f t="shared" si="27"/>
        <v>0.10113966877466844</v>
      </c>
      <c r="Z52" s="25">
        <f t="shared" si="27"/>
        <v>0.19023686515931509</v>
      </c>
    </row>
    <row r="53" spans="2:26">
      <c r="D53" s="7" t="s">
        <v>270</v>
      </c>
      <c r="F53" s="27">
        <f t="shared" ref="F53:O53" si="28">+F20</f>
        <v>0</v>
      </c>
      <c r="G53" s="27">
        <f t="shared" si="28"/>
        <v>127143700000</v>
      </c>
      <c r="H53" s="27">
        <f t="shared" si="28"/>
        <v>83338400000</v>
      </c>
      <c r="I53" s="27">
        <f t="shared" si="28"/>
        <v>50246900000</v>
      </c>
      <c r="J53" s="27">
        <f t="shared" si="28"/>
        <v>29728500000</v>
      </c>
      <c r="K53" s="27">
        <f t="shared" si="28"/>
        <v>33457200000</v>
      </c>
      <c r="L53" s="27">
        <f t="shared" si="28"/>
        <v>65817800000</v>
      </c>
      <c r="M53" s="27">
        <f t="shared" si="28"/>
        <v>59705300000</v>
      </c>
      <c r="N53" s="27">
        <f t="shared" si="28"/>
        <v>65290900000</v>
      </c>
      <c r="O53" s="27">
        <f t="shared" si="28"/>
        <v>108897400000</v>
      </c>
    </row>
    <row r="55" spans="2:26">
      <c r="B55" s="15" t="s">
        <v>275</v>
      </c>
      <c r="Q55" s="28" t="e">
        <f t="shared" ref="Q55:Z55" si="29">IF(ABS(Q44-Q49-Q52)&lt;0.0001,"OK","Error")</f>
        <v>#VALUE!</v>
      </c>
      <c r="R55" s="28" t="str">
        <f t="shared" si="29"/>
        <v>OK</v>
      </c>
      <c r="S55" s="28" t="str">
        <f t="shared" si="29"/>
        <v>OK</v>
      </c>
      <c r="T55" s="28" t="str">
        <f t="shared" si="29"/>
        <v>OK</v>
      </c>
      <c r="U55" s="28" t="str">
        <f t="shared" si="29"/>
        <v>OK</v>
      </c>
      <c r="V55" s="28" t="str">
        <f t="shared" si="29"/>
        <v>OK</v>
      </c>
      <c r="W55" s="28" t="str">
        <f t="shared" si="29"/>
        <v>OK</v>
      </c>
      <c r="X55" s="28" t="str">
        <f t="shared" si="29"/>
        <v>OK</v>
      </c>
      <c r="Y55" s="28" t="str">
        <f t="shared" si="29"/>
        <v>OK</v>
      </c>
      <c r="Z55" s="28" t="str">
        <f t="shared" si="29"/>
        <v>OK</v>
      </c>
    </row>
    <row r="57" spans="2:26">
      <c r="B57" s="21" t="s">
        <v>286</v>
      </c>
      <c r="C57" s="21" t="s">
        <v>260</v>
      </c>
      <c r="D57" s="22" t="s">
        <v>284</v>
      </c>
      <c r="E57" s="22" t="s">
        <v>260</v>
      </c>
      <c r="F57" s="26">
        <f t="shared" ref="F57:O57" si="30">+F49</f>
        <v>0</v>
      </c>
      <c r="G57" s="26">
        <f t="shared" si="30"/>
        <v>117000000</v>
      </c>
      <c r="H57" s="26">
        <f t="shared" si="30"/>
        <v>-15600000</v>
      </c>
      <c r="I57" s="26">
        <f t="shared" si="30"/>
        <v>-119000000</v>
      </c>
      <c r="J57" s="26">
        <f t="shared" si="30"/>
        <v>74400000</v>
      </c>
      <c r="K57" s="26">
        <f t="shared" si="30"/>
        <v>46300000</v>
      </c>
      <c r="L57" s="26">
        <f t="shared" si="30"/>
        <v>1665900000</v>
      </c>
      <c r="M57" s="26">
        <f t="shared" si="30"/>
        <v>44200000</v>
      </c>
      <c r="N57" s="26">
        <f t="shared" si="30"/>
        <v>-8600000</v>
      </c>
      <c r="O57" s="26">
        <f t="shared" si="30"/>
        <v>-6250000000</v>
      </c>
      <c r="P57" s="24" t="s">
        <v>260</v>
      </c>
      <c r="Q57" s="25" t="str">
        <f t="shared" ref="Q57:Z57" si="31">IF(F58=0,"",F57/F58)</f>
        <v/>
      </c>
      <c r="R57" s="25">
        <f t="shared" si="31"/>
        <v>1.2834717361971939E-2</v>
      </c>
      <c r="S57" s="25">
        <f t="shared" si="31"/>
        <v>3.9924246301888721E-3</v>
      </c>
      <c r="T57" s="25">
        <f t="shared" si="31"/>
        <v>7.7122988483399116E-3</v>
      </c>
      <c r="U57" s="25">
        <f t="shared" si="31"/>
        <v>-2.7720337562175154E-3</v>
      </c>
      <c r="V57" s="25">
        <f t="shared" si="31"/>
        <v>4.4107840335333902E-2</v>
      </c>
      <c r="W57" s="25">
        <f t="shared" si="31"/>
        <v>416.47500000000002</v>
      </c>
      <c r="X57" s="25">
        <f t="shared" si="31"/>
        <v>1.5285073537802893E-3</v>
      </c>
      <c r="Y57" s="25">
        <f t="shared" si="31"/>
        <v>-1.3040379687334152E-3</v>
      </c>
      <c r="Z57" s="25">
        <f t="shared" si="31"/>
        <v>-0.43203860005668349</v>
      </c>
    </row>
    <row r="58" spans="2:26">
      <c r="D58" s="7" t="s">
        <v>282</v>
      </c>
      <c r="F58" s="27">
        <f t="shared" ref="F58:O58" si="32">+F44</f>
        <v>0</v>
      </c>
      <c r="G58" s="27">
        <f t="shared" si="32"/>
        <v>9115900000</v>
      </c>
      <c r="H58" s="27">
        <f t="shared" si="32"/>
        <v>-3907400000</v>
      </c>
      <c r="I58" s="27">
        <f t="shared" si="32"/>
        <v>-15429900000</v>
      </c>
      <c r="J58" s="27">
        <f t="shared" si="32"/>
        <v>-26839500000</v>
      </c>
      <c r="K58" s="27">
        <f t="shared" si="32"/>
        <v>1049700000</v>
      </c>
      <c r="L58" s="27">
        <f t="shared" si="32"/>
        <v>4000000</v>
      </c>
      <c r="M58" s="27">
        <f t="shared" si="32"/>
        <v>28917100000</v>
      </c>
      <c r="N58" s="27">
        <f t="shared" si="32"/>
        <v>6594900000</v>
      </c>
      <c r="O58" s="27">
        <f t="shared" si="32"/>
        <v>14466300000</v>
      </c>
    </row>
    <row r="60" spans="2:26">
      <c r="B60" s="21" t="s">
        <v>287</v>
      </c>
      <c r="C60" s="21" t="s">
        <v>260</v>
      </c>
      <c r="D60" s="22" t="s">
        <v>261</v>
      </c>
      <c r="E60" s="22" t="s">
        <v>260</v>
      </c>
      <c r="F60" s="26">
        <f t="shared" ref="F60:O60" si="33">+F7</f>
        <v>0</v>
      </c>
      <c r="G60" s="26">
        <f t="shared" si="33"/>
        <v>8998900000</v>
      </c>
      <c r="H60" s="26">
        <f t="shared" si="33"/>
        <v>-3891800000</v>
      </c>
      <c r="I60" s="26">
        <f t="shared" si="33"/>
        <v>-15310900000</v>
      </c>
      <c r="J60" s="26">
        <f t="shared" si="33"/>
        <v>-26913900000</v>
      </c>
      <c r="K60" s="26">
        <f t="shared" si="33"/>
        <v>1003400000</v>
      </c>
      <c r="L60" s="26">
        <f t="shared" si="33"/>
        <v>-1661900000</v>
      </c>
      <c r="M60" s="26">
        <f t="shared" si="33"/>
        <v>28872900000</v>
      </c>
      <c r="N60" s="26">
        <f t="shared" si="33"/>
        <v>6603500000</v>
      </c>
      <c r="O60" s="26">
        <f t="shared" si="33"/>
        <v>20716300000</v>
      </c>
      <c r="P60" s="24" t="s">
        <v>260</v>
      </c>
      <c r="Q60" s="25" t="str">
        <f t="shared" ref="Q60:Z60" si="34">IF(F61=0,"",F60/F61)</f>
        <v/>
      </c>
      <c r="R60" s="25">
        <f t="shared" si="34"/>
        <v>0.98716528263802805</v>
      </c>
      <c r="S60" s="25">
        <f t="shared" si="34"/>
        <v>0.9960075753698111</v>
      </c>
      <c r="T60" s="25">
        <f t="shared" si="34"/>
        <v>0.9922877011516601</v>
      </c>
      <c r="U60" s="25">
        <f t="shared" si="34"/>
        <v>1.0027720337562176</v>
      </c>
      <c r="V60" s="25">
        <f t="shared" si="34"/>
        <v>0.95589215966466612</v>
      </c>
      <c r="W60" s="25">
        <f t="shared" si="34"/>
        <v>-415.47500000000002</v>
      </c>
      <c r="X60" s="25">
        <f t="shared" si="34"/>
        <v>0.9984714926462197</v>
      </c>
      <c r="Y60" s="25">
        <f t="shared" si="34"/>
        <v>1.0013040379687335</v>
      </c>
      <c r="Z60" s="25">
        <f t="shared" si="34"/>
        <v>1.4320386000566834</v>
      </c>
    </row>
    <row r="61" spans="2:26">
      <c r="D61" s="7" t="s">
        <v>282</v>
      </c>
      <c r="F61" s="27">
        <f t="shared" ref="F61:O61" si="35">+F44</f>
        <v>0</v>
      </c>
      <c r="G61" s="27">
        <f t="shared" si="35"/>
        <v>9115900000</v>
      </c>
      <c r="H61" s="27">
        <f t="shared" si="35"/>
        <v>-3907400000</v>
      </c>
      <c r="I61" s="27">
        <f t="shared" si="35"/>
        <v>-15429900000</v>
      </c>
      <c r="J61" s="27">
        <f t="shared" si="35"/>
        <v>-26839500000</v>
      </c>
      <c r="K61" s="27">
        <f t="shared" si="35"/>
        <v>1049700000</v>
      </c>
      <c r="L61" s="27">
        <f t="shared" si="35"/>
        <v>4000000</v>
      </c>
      <c r="M61" s="27">
        <f t="shared" si="35"/>
        <v>28917100000</v>
      </c>
      <c r="N61" s="27">
        <f t="shared" si="35"/>
        <v>6594900000</v>
      </c>
      <c r="O61" s="27">
        <f t="shared" si="35"/>
        <v>14466300000</v>
      </c>
    </row>
    <row r="63" spans="2:26">
      <c r="B63" s="21" t="s">
        <v>288</v>
      </c>
      <c r="C63" s="21" t="s">
        <v>260</v>
      </c>
      <c r="D63" s="22" t="s">
        <v>289</v>
      </c>
      <c r="E63" s="22" t="s">
        <v>260</v>
      </c>
      <c r="F63" s="23">
        <f>ABS(HIST_CON!E20)</f>
        <v>0</v>
      </c>
      <c r="G63" s="23">
        <f>ABS(HIST_CON!F20)</f>
        <v>12875900000</v>
      </c>
      <c r="H63" s="23">
        <f>ABS(HIST_CON!G20)</f>
        <v>15809800000</v>
      </c>
      <c r="I63" s="23">
        <f>ABS(HIST_CON!H20)</f>
        <v>12699100000</v>
      </c>
      <c r="J63" s="23">
        <f>ABS(HIST_CON!I20)</f>
        <v>13672900000</v>
      </c>
      <c r="K63" s="23">
        <f>ABS(HIST_CON!J20)</f>
        <v>9962600000</v>
      </c>
      <c r="L63" s="23">
        <f>ABS(HIST_CON!K20)</f>
        <v>7345200000</v>
      </c>
      <c r="M63" s="23">
        <f>ABS(HIST_CON!L20)</f>
        <v>4207600000</v>
      </c>
      <c r="N63" s="23">
        <f>ABS(HIST_CON!M20)</f>
        <v>1643200000</v>
      </c>
      <c r="O63" s="23">
        <f>ABS(HIST_CON!N20)</f>
        <v>2548000000</v>
      </c>
      <c r="P63" s="24" t="s">
        <v>260</v>
      </c>
      <c r="Q63" s="25" t="str">
        <f t="shared" ref="Q63:Z63" si="36">IF(F64=0,"",F63/F64)</f>
        <v/>
      </c>
      <c r="R63" s="25">
        <f t="shared" si="36"/>
        <v>0.18613893161552963</v>
      </c>
      <c r="S63" s="25">
        <f t="shared" si="36"/>
        <v>0.1362307801012653</v>
      </c>
      <c r="T63" s="25">
        <f t="shared" si="36"/>
        <v>0.13195337040065752</v>
      </c>
      <c r="U63" s="25">
        <f t="shared" si="36"/>
        <v>0.14116700841040636</v>
      </c>
      <c r="V63" s="25">
        <f t="shared" si="36"/>
        <v>0.16062129385703278</v>
      </c>
      <c r="W63" s="25">
        <f t="shared" si="36"/>
        <v>0.11493828396885405</v>
      </c>
      <c r="X63" s="25">
        <f t="shared" si="36"/>
        <v>0.22088530511108312</v>
      </c>
      <c r="Y63" s="25">
        <f t="shared" si="36"/>
        <v>1.4944974988631197</v>
      </c>
      <c r="Z63" s="25">
        <f t="shared" si="36"/>
        <v>0.89930469770232591</v>
      </c>
    </row>
    <row r="64" spans="2:26">
      <c r="D64" s="7" t="s">
        <v>290</v>
      </c>
      <c r="F64" s="8">
        <f>(HIST_CON!E76+HIST_CON!E85+0+0)</f>
        <v>0</v>
      </c>
      <c r="G64" s="8">
        <f>(HIST_CON!F76+HIST_CON!F85+0+0)</f>
        <v>69173600000</v>
      </c>
      <c r="H64" s="8">
        <f>(HIST_CON!G76+HIST_CON!G85+0+0)</f>
        <v>116051600000</v>
      </c>
      <c r="I64" s="8">
        <f>(HIST_CON!H76+HIST_CON!H85+0+0)</f>
        <v>96239300000</v>
      </c>
      <c r="J64" s="8">
        <f>(HIST_CON!I76+HIST_CON!I85+0+0)</f>
        <v>96856200000</v>
      </c>
      <c r="K64" s="8">
        <f>(HIST_CON!J76+HIST_CON!J85+0+0)</f>
        <v>62025400000</v>
      </c>
      <c r="L64" s="8">
        <f>(HIST_CON!K76+HIST_CON!K85+0+0)</f>
        <v>63905600000</v>
      </c>
      <c r="M64" s="8">
        <f>(HIST_CON!L76+HIST_CON!L85+0+0)</f>
        <v>19048800000</v>
      </c>
      <c r="N64" s="8">
        <f>(HIST_CON!M76+HIST_CON!M85+0+0)</f>
        <v>1099500000</v>
      </c>
      <c r="O64" s="8">
        <f>(HIST_CON!N76+HIST_CON!N85+0+0)</f>
        <v>2833300000</v>
      </c>
    </row>
    <row r="66" spans="1:26">
      <c r="B66" s="21" t="s">
        <v>291</v>
      </c>
      <c r="C66" s="21" t="s">
        <v>260</v>
      </c>
      <c r="D66" s="22" t="s">
        <v>282</v>
      </c>
      <c r="E66" s="22" t="s">
        <v>260</v>
      </c>
      <c r="F66" s="26">
        <f t="shared" ref="F66:O66" si="37">+F44</f>
        <v>0</v>
      </c>
      <c r="G66" s="26">
        <f t="shared" si="37"/>
        <v>9115900000</v>
      </c>
      <c r="H66" s="26">
        <f t="shared" si="37"/>
        <v>-3907400000</v>
      </c>
      <c r="I66" s="26">
        <f t="shared" si="37"/>
        <v>-15429900000</v>
      </c>
      <c r="J66" s="26">
        <f t="shared" si="37"/>
        <v>-26839500000</v>
      </c>
      <c r="K66" s="26">
        <f t="shared" si="37"/>
        <v>1049700000</v>
      </c>
      <c r="L66" s="26">
        <f t="shared" si="37"/>
        <v>4000000</v>
      </c>
      <c r="M66" s="26">
        <f t="shared" si="37"/>
        <v>28917100000</v>
      </c>
      <c r="N66" s="26">
        <f t="shared" si="37"/>
        <v>6594900000</v>
      </c>
      <c r="O66" s="26">
        <f t="shared" si="37"/>
        <v>14466300000</v>
      </c>
      <c r="P66" s="24" t="s">
        <v>260</v>
      </c>
      <c r="Q66" s="25" t="str">
        <f t="shared" ref="Q66:Z66" si="38">IF(F67=0,"",F66/F67)</f>
        <v/>
      </c>
      <c r="R66" s="25">
        <f t="shared" si="38"/>
        <v>0.41451359142953281</v>
      </c>
      <c r="S66" s="25">
        <f t="shared" si="38"/>
        <v>-0.52758499635440581</v>
      </c>
      <c r="T66" s="25">
        <f t="shared" si="38"/>
        <v>5.1321802760685182</v>
      </c>
      <c r="U66" s="25">
        <f t="shared" si="38"/>
        <v>2.1458381636911663</v>
      </c>
      <c r="V66" s="25">
        <f t="shared" si="38"/>
        <v>0.35490414849376206</v>
      </c>
      <c r="W66" s="25">
        <f t="shared" si="38"/>
        <v>6.1368517950291502E-4</v>
      </c>
      <c r="X66" s="25">
        <f t="shared" si="38"/>
        <v>4.8857181475661884</v>
      </c>
      <c r="Y66" s="25">
        <f t="shared" si="38"/>
        <v>0.75138429987467248</v>
      </c>
      <c r="Z66" s="25">
        <f t="shared" si="38"/>
        <v>0.85024361860317499</v>
      </c>
    </row>
    <row r="67" spans="1:26">
      <c r="D67" s="7" t="s">
        <v>127</v>
      </c>
      <c r="F67" s="27">
        <f t="shared" ref="F67:O67" si="39">+F36</f>
        <v>0</v>
      </c>
      <c r="G67" s="27">
        <f t="shared" si="39"/>
        <v>21991800000</v>
      </c>
      <c r="H67" s="27">
        <f t="shared" si="39"/>
        <v>7406200000</v>
      </c>
      <c r="I67" s="27">
        <f t="shared" si="39"/>
        <v>-3006500000</v>
      </c>
      <c r="J67" s="27">
        <f t="shared" si="39"/>
        <v>-12507700000</v>
      </c>
      <c r="K67" s="27">
        <f t="shared" si="39"/>
        <v>2957700000</v>
      </c>
      <c r="L67" s="27">
        <f t="shared" si="39"/>
        <v>6518000000</v>
      </c>
      <c r="M67" s="27">
        <f t="shared" si="39"/>
        <v>5918700000</v>
      </c>
      <c r="N67" s="27">
        <f t="shared" si="39"/>
        <v>8777000000</v>
      </c>
      <c r="O67" s="27">
        <f t="shared" si="39"/>
        <v>17014300000</v>
      </c>
    </row>
    <row r="69" spans="1:26" ht="15.5">
      <c r="A69" s="17" t="s">
        <v>27</v>
      </c>
      <c r="B69" s="20" t="s">
        <v>292</v>
      </c>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c r="B70" s="21" t="s">
        <v>293</v>
      </c>
      <c r="C70" s="21" t="s">
        <v>260</v>
      </c>
      <c r="D70" s="22" t="s">
        <v>270</v>
      </c>
      <c r="E70" s="22" t="s">
        <v>260</v>
      </c>
      <c r="F70" s="26">
        <f t="shared" ref="F70:O70" si="40">+F20</f>
        <v>0</v>
      </c>
      <c r="G70" s="26">
        <f t="shared" si="40"/>
        <v>127143700000</v>
      </c>
      <c r="H70" s="26">
        <f t="shared" si="40"/>
        <v>83338400000</v>
      </c>
      <c r="I70" s="26">
        <f t="shared" si="40"/>
        <v>50246900000</v>
      </c>
      <c r="J70" s="26">
        <f t="shared" si="40"/>
        <v>29728500000</v>
      </c>
      <c r="K70" s="26">
        <f t="shared" si="40"/>
        <v>33457200000</v>
      </c>
      <c r="L70" s="26">
        <f t="shared" si="40"/>
        <v>65817800000</v>
      </c>
      <c r="M70" s="26">
        <f t="shared" si="40"/>
        <v>59705300000</v>
      </c>
      <c r="N70" s="26">
        <f t="shared" si="40"/>
        <v>65290900000</v>
      </c>
      <c r="O70" s="26">
        <f t="shared" si="40"/>
        <v>108897400000</v>
      </c>
      <c r="P70" s="24" t="s">
        <v>260</v>
      </c>
      <c r="Q70" s="29" t="str">
        <f t="shared" ref="Q70:Z70" si="41">IF(F71=0,"",F70/F71)</f>
        <v/>
      </c>
      <c r="R70" s="29">
        <f t="shared" si="41"/>
        <v>1.0455810396296084</v>
      </c>
      <c r="S70" s="29">
        <f t="shared" si="41"/>
        <v>0.74940762928518956</v>
      </c>
      <c r="T70" s="29">
        <f t="shared" si="41"/>
        <v>0.56642328690066746</v>
      </c>
      <c r="U70" s="29">
        <f t="shared" si="41"/>
        <v>0.45523593681808783</v>
      </c>
      <c r="V70" s="29">
        <f t="shared" si="41"/>
        <v>0.50684356674428011</v>
      </c>
      <c r="W70" s="29">
        <f t="shared" si="41"/>
        <v>1.0165130983527058</v>
      </c>
      <c r="X70" s="29">
        <f t="shared" si="41"/>
        <v>1.0809558639818373</v>
      </c>
      <c r="Y70" s="29">
        <f t="shared" si="41"/>
        <v>0.90946814467712866</v>
      </c>
      <c r="Z70" s="29">
        <f t="shared" si="41"/>
        <v>0.84028429911748748</v>
      </c>
    </row>
    <row r="71" spans="1:26">
      <c r="D71" s="7" t="s">
        <v>169</v>
      </c>
      <c r="F71" s="27">
        <f t="shared" ref="F71:O71" si="42">+F11</f>
        <v>0</v>
      </c>
      <c r="G71" s="27">
        <f t="shared" si="42"/>
        <v>121601000000</v>
      </c>
      <c r="H71" s="27">
        <f t="shared" si="42"/>
        <v>111205700000</v>
      </c>
      <c r="I71" s="27">
        <f t="shared" si="42"/>
        <v>88709100000</v>
      </c>
      <c r="J71" s="27">
        <f t="shared" si="42"/>
        <v>65303500000</v>
      </c>
      <c r="K71" s="27">
        <f t="shared" si="42"/>
        <v>66010900000</v>
      </c>
      <c r="L71" s="27">
        <f t="shared" si="42"/>
        <v>64748600000</v>
      </c>
      <c r="M71" s="27">
        <f t="shared" si="42"/>
        <v>55233800000</v>
      </c>
      <c r="N71" s="27">
        <f t="shared" si="42"/>
        <v>71790200000</v>
      </c>
      <c r="O71" s="27">
        <f t="shared" si="42"/>
        <v>129595900000</v>
      </c>
    </row>
    <row r="73" spans="1:26">
      <c r="B73" s="21" t="s">
        <v>294</v>
      </c>
      <c r="C73" s="21" t="s">
        <v>260</v>
      </c>
      <c r="D73" s="22" t="s">
        <v>270</v>
      </c>
      <c r="E73" s="22" t="s">
        <v>260</v>
      </c>
      <c r="F73" s="26">
        <f t="shared" ref="F73:O73" si="43">+F20</f>
        <v>0</v>
      </c>
      <c r="G73" s="26">
        <f t="shared" si="43"/>
        <v>127143700000</v>
      </c>
      <c r="H73" s="26">
        <f t="shared" si="43"/>
        <v>83338400000</v>
      </c>
      <c r="I73" s="26">
        <f t="shared" si="43"/>
        <v>50246900000</v>
      </c>
      <c r="J73" s="26">
        <f t="shared" si="43"/>
        <v>29728500000</v>
      </c>
      <c r="K73" s="26">
        <f t="shared" si="43"/>
        <v>33457200000</v>
      </c>
      <c r="L73" s="26">
        <f t="shared" si="43"/>
        <v>65817800000</v>
      </c>
      <c r="M73" s="26">
        <f t="shared" si="43"/>
        <v>59705300000</v>
      </c>
      <c r="N73" s="26">
        <f t="shared" si="43"/>
        <v>65290900000</v>
      </c>
      <c r="O73" s="26">
        <f t="shared" si="43"/>
        <v>108897400000</v>
      </c>
      <c r="P73" s="24" t="s">
        <v>260</v>
      </c>
      <c r="Q73" s="29" t="str">
        <f t="shared" ref="Q73:Z73" si="44">IF(F74=0,"",F73/F74)</f>
        <v/>
      </c>
      <c r="R73" s="29">
        <f t="shared" si="44"/>
        <v>8.9526468475827006</v>
      </c>
      <c r="S73" s="29">
        <f t="shared" si="44"/>
        <v>6.5759555597639112</v>
      </c>
      <c r="T73" s="29">
        <f t="shared" si="44"/>
        <v>4.3795017954886166</v>
      </c>
      <c r="U73" s="29">
        <f t="shared" si="44"/>
        <v>2.8355255000333832</v>
      </c>
      <c r="V73" s="29">
        <f t="shared" si="44"/>
        <v>3.5771241620425314</v>
      </c>
      <c r="W73" s="29">
        <f t="shared" si="44"/>
        <v>7.2540090154629517</v>
      </c>
      <c r="X73" s="29">
        <f t="shared" si="44"/>
        <v>7.6697668443702227</v>
      </c>
      <c r="Y73" s="29">
        <f t="shared" si="44"/>
        <v>8.0654840582574643</v>
      </c>
      <c r="Z73" s="29">
        <f t="shared" si="44"/>
        <v>13.246891954358563</v>
      </c>
    </row>
    <row r="74" spans="1:26">
      <c r="D74" s="7" t="s">
        <v>295</v>
      </c>
      <c r="F74" s="8">
        <f>HIST_CON!E31</f>
        <v>0</v>
      </c>
      <c r="G74" s="8">
        <f>HIST_CON!F31</f>
        <v>14201800000</v>
      </c>
      <c r="H74" s="8">
        <f>HIST_CON!G31</f>
        <v>12673200000</v>
      </c>
      <c r="I74" s="8">
        <f>HIST_CON!H31</f>
        <v>11473200000</v>
      </c>
      <c r="J74" s="8">
        <f>HIST_CON!I31</f>
        <v>10484300000</v>
      </c>
      <c r="K74" s="8">
        <f>HIST_CON!J31</f>
        <v>9353100000</v>
      </c>
      <c r="L74" s="8">
        <f>HIST_CON!K31</f>
        <v>9073300000</v>
      </c>
      <c r="M74" s="8">
        <f>HIST_CON!L31</f>
        <v>7784500000</v>
      </c>
      <c r="N74" s="8">
        <f>HIST_CON!M31</f>
        <v>8095100000</v>
      </c>
      <c r="O74" s="8">
        <f>HIST_CON!N31</f>
        <v>8220600000</v>
      </c>
    </row>
    <row r="76" spans="1:26">
      <c r="B76" s="21" t="s">
        <v>296</v>
      </c>
      <c r="C76" s="21" t="s">
        <v>260</v>
      </c>
      <c r="D76" s="22" t="s">
        <v>270</v>
      </c>
      <c r="E76" s="22" t="s">
        <v>260</v>
      </c>
      <c r="F76" s="26">
        <f t="shared" ref="F76:O76" si="45">+F20</f>
        <v>0</v>
      </c>
      <c r="G76" s="26">
        <f t="shared" si="45"/>
        <v>127143700000</v>
      </c>
      <c r="H76" s="26">
        <f t="shared" si="45"/>
        <v>83338400000</v>
      </c>
      <c r="I76" s="26">
        <f t="shared" si="45"/>
        <v>50246900000</v>
      </c>
      <c r="J76" s="26">
        <f t="shared" si="45"/>
        <v>29728500000</v>
      </c>
      <c r="K76" s="26">
        <f t="shared" si="45"/>
        <v>33457200000</v>
      </c>
      <c r="L76" s="26">
        <f t="shared" si="45"/>
        <v>65817800000</v>
      </c>
      <c r="M76" s="26">
        <f t="shared" si="45"/>
        <v>59705300000</v>
      </c>
      <c r="N76" s="26">
        <f t="shared" si="45"/>
        <v>65290900000</v>
      </c>
      <c r="O76" s="26">
        <f t="shared" si="45"/>
        <v>108897400000</v>
      </c>
      <c r="P76" s="24" t="s">
        <v>260</v>
      </c>
      <c r="Q76" s="29" t="str">
        <f t="shared" ref="Q76:Z76" si="46">IF(F77=0,"",F76/F77)</f>
        <v/>
      </c>
      <c r="R76" s="29">
        <f t="shared" si="46"/>
        <v>37.826877305724146</v>
      </c>
      <c r="S76" s="29">
        <f t="shared" si="46"/>
        <v>14.342230712306607</v>
      </c>
      <c r="T76" s="29">
        <f t="shared" si="46"/>
        <v>67.337041007772712</v>
      </c>
      <c r="U76" s="29">
        <f t="shared" si="46"/>
        <v>36.108951779424267</v>
      </c>
      <c r="V76" s="29">
        <f t="shared" si="46"/>
        <v>12.7456</v>
      </c>
      <c r="W76" s="29">
        <f t="shared" si="46"/>
        <v>13.152249065803408</v>
      </c>
      <c r="X76" s="29">
        <f t="shared" si="46"/>
        <v>16.254743949252674</v>
      </c>
      <c r="Y76" s="29">
        <f t="shared" si="46"/>
        <v>15.296340549151907</v>
      </c>
      <c r="Z76" s="29">
        <f t="shared" si="46"/>
        <v>9.7856276340501243</v>
      </c>
    </row>
    <row r="77" spans="1:26">
      <c r="D77" s="7" t="s">
        <v>297</v>
      </c>
      <c r="F77" s="8">
        <f>HIST_CON!E57</f>
        <v>0</v>
      </c>
      <c r="G77" s="8">
        <f>HIST_CON!F57</f>
        <v>3361200000</v>
      </c>
      <c r="H77" s="8">
        <f>HIST_CON!G57</f>
        <v>5810700000</v>
      </c>
      <c r="I77" s="8">
        <f>HIST_CON!H57</f>
        <v>746200000</v>
      </c>
      <c r="J77" s="8">
        <f>HIST_CON!I57</f>
        <v>823300000</v>
      </c>
      <c r="K77" s="8">
        <f>HIST_CON!J57</f>
        <v>2625000000</v>
      </c>
      <c r="L77" s="8">
        <f>HIST_CON!K57</f>
        <v>5004300000</v>
      </c>
      <c r="M77" s="8">
        <f>HIST_CON!L57</f>
        <v>3673100000</v>
      </c>
      <c r="N77" s="8">
        <f>HIST_CON!M57</f>
        <v>4268400000</v>
      </c>
      <c r="O77" s="8">
        <f>HIST_CON!N57</f>
        <v>11128300000</v>
      </c>
    </row>
    <row r="79" spans="1:26">
      <c r="B79" s="21" t="s">
        <v>298</v>
      </c>
      <c r="C79" s="21" t="s">
        <v>260</v>
      </c>
      <c r="D79" s="22" t="s">
        <v>299</v>
      </c>
      <c r="E79" s="22" t="s">
        <v>260</v>
      </c>
      <c r="F79" s="30">
        <v>365</v>
      </c>
      <c r="G79" s="30">
        <v>365</v>
      </c>
      <c r="H79" s="30">
        <v>365</v>
      </c>
      <c r="I79" s="30">
        <v>365</v>
      </c>
      <c r="J79" s="30">
        <v>365</v>
      </c>
      <c r="K79" s="30">
        <v>365</v>
      </c>
      <c r="L79" s="30">
        <v>365</v>
      </c>
      <c r="M79" s="30">
        <v>365</v>
      </c>
      <c r="N79" s="30">
        <v>365</v>
      </c>
      <c r="O79" s="30">
        <v>365</v>
      </c>
      <c r="P79" s="24" t="s">
        <v>260</v>
      </c>
      <c r="Q79" s="31" t="e">
        <f t="shared" ref="Q79:Z79" si="47">IF(F80=0,"",F79/F80)</f>
        <v>#VALUE!</v>
      </c>
      <c r="R79" s="31">
        <f t="shared" si="47"/>
        <v>9.6492236736857588</v>
      </c>
      <c r="S79" s="31">
        <f t="shared" si="47"/>
        <v>25.449318681424167</v>
      </c>
      <c r="T79" s="31">
        <f t="shared" si="47"/>
        <v>5.4204936025904091</v>
      </c>
      <c r="U79" s="31">
        <f t="shared" si="47"/>
        <v>10.108296752274754</v>
      </c>
      <c r="V79" s="31">
        <f t="shared" si="47"/>
        <v>28.637333668089379</v>
      </c>
      <c r="W79" s="31">
        <f t="shared" si="47"/>
        <v>27.751907538690144</v>
      </c>
      <c r="X79" s="31">
        <f t="shared" si="47"/>
        <v>22.454983058455447</v>
      </c>
      <c r="Y79" s="31">
        <f t="shared" si="47"/>
        <v>23.861916438584856</v>
      </c>
      <c r="Z79" s="31">
        <f t="shared" si="47"/>
        <v>37.299600357767957</v>
      </c>
    </row>
    <row r="80" spans="1:26">
      <c r="D80" s="7" t="s">
        <v>300</v>
      </c>
      <c r="F80" s="32" t="str">
        <f t="shared" ref="F80:O80" si="48">+Q76</f>
        <v/>
      </c>
      <c r="G80" s="32">
        <f t="shared" si="48"/>
        <v>37.826877305724146</v>
      </c>
      <c r="H80" s="32">
        <f t="shared" si="48"/>
        <v>14.342230712306607</v>
      </c>
      <c r="I80" s="32">
        <f t="shared" si="48"/>
        <v>67.337041007772712</v>
      </c>
      <c r="J80" s="32">
        <f t="shared" si="48"/>
        <v>36.108951779424267</v>
      </c>
      <c r="K80" s="32">
        <f t="shared" si="48"/>
        <v>12.7456</v>
      </c>
      <c r="L80" s="32">
        <f t="shared" si="48"/>
        <v>13.152249065803408</v>
      </c>
      <c r="M80" s="32">
        <f t="shared" si="48"/>
        <v>16.254743949252674</v>
      </c>
      <c r="N80" s="32">
        <f t="shared" si="48"/>
        <v>15.296340549151907</v>
      </c>
      <c r="O80" s="32">
        <f t="shared" si="48"/>
        <v>9.7856276340501243</v>
      </c>
    </row>
    <row r="82" spans="2:26">
      <c r="B82" s="21" t="s">
        <v>301</v>
      </c>
      <c r="C82" s="21" t="s">
        <v>260</v>
      </c>
      <c r="D82" s="22" t="s">
        <v>270</v>
      </c>
      <c r="E82" s="22" t="s">
        <v>260</v>
      </c>
      <c r="F82" s="26">
        <f t="shared" ref="F82:O82" si="49">+F20</f>
        <v>0</v>
      </c>
      <c r="G82" s="26">
        <f t="shared" si="49"/>
        <v>127143700000</v>
      </c>
      <c r="H82" s="26">
        <f t="shared" si="49"/>
        <v>83338400000</v>
      </c>
      <c r="I82" s="26">
        <f t="shared" si="49"/>
        <v>50246900000</v>
      </c>
      <c r="J82" s="26">
        <f t="shared" si="49"/>
        <v>29728500000</v>
      </c>
      <c r="K82" s="26">
        <f t="shared" si="49"/>
        <v>33457200000</v>
      </c>
      <c r="L82" s="26">
        <f t="shared" si="49"/>
        <v>65817800000</v>
      </c>
      <c r="M82" s="26">
        <f t="shared" si="49"/>
        <v>59705300000</v>
      </c>
      <c r="N82" s="26">
        <f t="shared" si="49"/>
        <v>65290900000</v>
      </c>
      <c r="O82" s="26">
        <f t="shared" si="49"/>
        <v>108897400000</v>
      </c>
      <c r="P82" s="24" t="s">
        <v>260</v>
      </c>
      <c r="Q82" s="29" t="str">
        <f t="shared" ref="Q82:Z82" si="50">IF(F83=0,"",F82/F83)</f>
        <v/>
      </c>
      <c r="R82" s="29">
        <f t="shared" si="50"/>
        <v>3.5049661891149073</v>
      </c>
      <c r="S82" s="29">
        <f t="shared" si="50"/>
        <v>2.7917659079108255</v>
      </c>
      <c r="T82" s="29">
        <f t="shared" si="50"/>
        <v>2.6718689347492011</v>
      </c>
      <c r="U82" s="29">
        <f t="shared" si="50"/>
        <v>2.1786462837293152</v>
      </c>
      <c r="V82" s="29">
        <f t="shared" si="50"/>
        <v>2.812191103789127</v>
      </c>
      <c r="W82" s="29">
        <f t="shared" si="50"/>
        <v>4.7799702240458988</v>
      </c>
      <c r="X82" s="29">
        <f t="shared" si="50"/>
        <v>5.1010987321007484</v>
      </c>
      <c r="Y82" s="29">
        <f t="shared" si="50"/>
        <v>3.5686277724942337</v>
      </c>
      <c r="Z82" s="29">
        <f t="shared" si="50"/>
        <v>2.8165427341032241</v>
      </c>
    </row>
    <row r="83" spans="2:26">
      <c r="D83" s="7" t="s">
        <v>302</v>
      </c>
      <c r="F83" s="8">
        <f>HIST_CON!E52</f>
        <v>0</v>
      </c>
      <c r="G83" s="8">
        <f>HIST_CON!F52</f>
        <v>36275300000</v>
      </c>
      <c r="H83" s="8">
        <f>HIST_CON!G52</f>
        <v>29851500000</v>
      </c>
      <c r="I83" s="8">
        <f>HIST_CON!H52</f>
        <v>18805900000</v>
      </c>
      <c r="J83" s="8">
        <f>HIST_CON!I52</f>
        <v>13645400000</v>
      </c>
      <c r="K83" s="8">
        <f>HIST_CON!J52</f>
        <v>11897200000</v>
      </c>
      <c r="L83" s="8">
        <f>HIST_CON!K52</f>
        <v>13769500000</v>
      </c>
      <c r="M83" s="8">
        <f>HIST_CON!L52</f>
        <v>11704400000</v>
      </c>
      <c r="N83" s="8">
        <f>HIST_CON!M52</f>
        <v>18295800000</v>
      </c>
      <c r="O83" s="8">
        <f>HIST_CON!N52</f>
        <v>38663500000</v>
      </c>
    </row>
    <row r="85" spans="2:26">
      <c r="B85" s="21" t="s">
        <v>303</v>
      </c>
      <c r="C85" s="21" t="s">
        <v>260</v>
      </c>
      <c r="D85" s="22" t="s">
        <v>299</v>
      </c>
      <c r="E85" s="22" t="s">
        <v>260</v>
      </c>
      <c r="F85" s="30">
        <v>365</v>
      </c>
      <c r="G85" s="30">
        <v>365</v>
      </c>
      <c r="H85" s="30">
        <v>365</v>
      </c>
      <c r="I85" s="30">
        <v>365</v>
      </c>
      <c r="J85" s="30">
        <v>365</v>
      </c>
      <c r="K85" s="30">
        <v>365</v>
      </c>
      <c r="L85" s="30">
        <v>365</v>
      </c>
      <c r="M85" s="30">
        <v>365</v>
      </c>
      <c r="N85" s="30">
        <v>365</v>
      </c>
      <c r="O85" s="30">
        <v>365</v>
      </c>
      <c r="P85" s="24" t="s">
        <v>260</v>
      </c>
      <c r="Q85" s="31" t="e">
        <f t="shared" ref="Q85:Z85" si="51">IF(F86=0,"",F85/F86)</f>
        <v>#VALUE!</v>
      </c>
      <c r="R85" s="31">
        <f t="shared" si="51"/>
        <v>104.1379517821174</v>
      </c>
      <c r="S85" s="31">
        <f t="shared" si="51"/>
        <v>130.7416209094487</v>
      </c>
      <c r="T85" s="31">
        <f t="shared" si="51"/>
        <v>136.60849724062578</v>
      </c>
      <c r="U85" s="31">
        <f t="shared" si="51"/>
        <v>167.53522713894077</v>
      </c>
      <c r="V85" s="31">
        <f t="shared" si="51"/>
        <v>129.79203280609255</v>
      </c>
      <c r="W85" s="31">
        <f t="shared" si="51"/>
        <v>76.36030830565592</v>
      </c>
      <c r="X85" s="31">
        <f t="shared" si="51"/>
        <v>71.553212193892335</v>
      </c>
      <c r="Y85" s="31">
        <f t="shared" si="51"/>
        <v>102.28021056533146</v>
      </c>
      <c r="Z85" s="31">
        <f t="shared" si="51"/>
        <v>129.5915008071818</v>
      </c>
    </row>
    <row r="86" spans="2:26">
      <c r="D86" s="7" t="s">
        <v>300</v>
      </c>
      <c r="F86" s="32" t="str">
        <f t="shared" ref="F86:O86" si="52">+Q82</f>
        <v/>
      </c>
      <c r="G86" s="32">
        <f t="shared" si="52"/>
        <v>3.5049661891149073</v>
      </c>
      <c r="H86" s="32">
        <f t="shared" si="52"/>
        <v>2.7917659079108255</v>
      </c>
      <c r="I86" s="32">
        <f t="shared" si="52"/>
        <v>2.6718689347492011</v>
      </c>
      <c r="J86" s="32">
        <f t="shared" si="52"/>
        <v>2.1786462837293152</v>
      </c>
      <c r="K86" s="32">
        <f t="shared" si="52"/>
        <v>2.812191103789127</v>
      </c>
      <c r="L86" s="32">
        <f t="shared" si="52"/>
        <v>4.7799702240458988</v>
      </c>
      <c r="M86" s="32">
        <f t="shared" si="52"/>
        <v>5.1010987321007484</v>
      </c>
      <c r="N86" s="32">
        <f t="shared" si="52"/>
        <v>3.5686277724942337</v>
      </c>
      <c r="O86" s="32">
        <f t="shared" si="52"/>
        <v>2.8165427341032241</v>
      </c>
    </row>
    <row r="88" spans="2:26">
      <c r="B88" s="21" t="s">
        <v>304</v>
      </c>
      <c r="C88" s="21" t="s">
        <v>260</v>
      </c>
      <c r="D88" s="22" t="s">
        <v>305</v>
      </c>
      <c r="E88" s="22" t="s">
        <v>260</v>
      </c>
      <c r="F88" s="23">
        <f>HIST_CON!E7-HIST_CON!E14</f>
        <v>0</v>
      </c>
      <c r="G88" s="23">
        <f>HIST_CON!F7-HIST_CON!F14</f>
        <v>74540700000</v>
      </c>
      <c r="H88" s="23">
        <f>HIST_CON!G7-HIST_CON!G14</f>
        <v>50365400000</v>
      </c>
      <c r="I88" s="23">
        <f>HIST_CON!H7-HIST_CON!H14</f>
        <v>29484000000</v>
      </c>
      <c r="J88" s="23">
        <f>HIST_CON!I7-HIST_CON!I14</f>
        <v>18459400000</v>
      </c>
      <c r="K88" s="23">
        <f>HIST_CON!J7-HIST_CON!J14</f>
        <v>15574000000</v>
      </c>
      <c r="L88" s="23">
        <f>HIST_CON!K7-HIST_CON!K14</f>
        <v>43093700000</v>
      </c>
      <c r="M88" s="23">
        <f>HIST_CON!L7-HIST_CON!L14</f>
        <v>37630300000</v>
      </c>
      <c r="N88" s="23">
        <f>HIST_CON!M7-HIST_CON!M14</f>
        <v>39437100000</v>
      </c>
      <c r="O88" s="23">
        <f>HIST_CON!N7-HIST_CON!N14</f>
        <v>67832100000</v>
      </c>
      <c r="P88" s="24" t="s">
        <v>260</v>
      </c>
      <c r="Q88" s="29" t="str">
        <f t="shared" ref="Q88:Z88" si="53">IF(F89=0,"",F88/F89)</f>
        <v/>
      </c>
      <c r="R88" s="29">
        <f t="shared" si="53"/>
        <v>2.1488653267374684</v>
      </c>
      <c r="S88" s="29">
        <f t="shared" si="53"/>
        <v>1.6642181887872269</v>
      </c>
      <c r="T88" s="29">
        <f t="shared" si="53"/>
        <v>1.0118293850572937</v>
      </c>
      <c r="U88" s="29">
        <f t="shared" si="53"/>
        <v>0.89800981713279404</v>
      </c>
      <c r="V88" s="29">
        <f t="shared" si="53"/>
        <v>0.71678418233030805</v>
      </c>
      <c r="W88" s="29">
        <f t="shared" si="53"/>
        <v>1.9517958240862359</v>
      </c>
      <c r="X88" s="29">
        <f t="shared" si="53"/>
        <v>2.0595305205431469</v>
      </c>
      <c r="Y88" s="29">
        <f t="shared" si="53"/>
        <v>1.720423681122371</v>
      </c>
      <c r="Z88" s="29">
        <f t="shared" si="53"/>
        <v>2.097759428491905</v>
      </c>
    </row>
    <row r="89" spans="2:26">
      <c r="D89" s="7" t="s">
        <v>306</v>
      </c>
      <c r="F89" s="8">
        <f>HIST_CON!E51</f>
        <v>0</v>
      </c>
      <c r="G89" s="8">
        <f>HIST_CON!F51</f>
        <v>34688400000</v>
      </c>
      <c r="H89" s="8">
        <f>HIST_CON!G51</f>
        <v>30263700000</v>
      </c>
      <c r="I89" s="8">
        <f>HIST_CON!H51</f>
        <v>29139300000</v>
      </c>
      <c r="J89" s="8">
        <f>HIST_CON!I51</f>
        <v>20555900000</v>
      </c>
      <c r="K89" s="8">
        <f>HIST_CON!J51</f>
        <v>21727600000</v>
      </c>
      <c r="L89" s="8">
        <f>HIST_CON!K51</f>
        <v>22079000000</v>
      </c>
      <c r="M89" s="8">
        <f>HIST_CON!L51</f>
        <v>18271300000</v>
      </c>
      <c r="N89" s="8">
        <f>HIST_CON!M51</f>
        <v>22922900000</v>
      </c>
      <c r="O89" s="8">
        <f>HIST_CON!N51</f>
        <v>32335500000</v>
      </c>
    </row>
    <row r="91" spans="2:26">
      <c r="B91" s="21" t="s">
        <v>307</v>
      </c>
      <c r="C91" s="21" t="s">
        <v>260</v>
      </c>
      <c r="D91" s="22" t="s">
        <v>299</v>
      </c>
      <c r="E91" s="22" t="s">
        <v>260</v>
      </c>
      <c r="F91" s="30">
        <v>365</v>
      </c>
      <c r="G91" s="30">
        <v>365</v>
      </c>
      <c r="H91" s="30">
        <v>365</v>
      </c>
      <c r="I91" s="30">
        <v>365</v>
      </c>
      <c r="J91" s="30">
        <v>365</v>
      </c>
      <c r="K91" s="30">
        <v>365</v>
      </c>
      <c r="L91" s="30">
        <v>365</v>
      </c>
      <c r="M91" s="30">
        <v>365</v>
      </c>
      <c r="N91" s="30">
        <v>365</v>
      </c>
      <c r="O91" s="30">
        <v>365</v>
      </c>
      <c r="P91" s="24" t="s">
        <v>260</v>
      </c>
      <c r="Q91" s="31" t="e">
        <f t="shared" ref="Q91:Z91" si="54">IF(F92=0,"",F91/F92)</f>
        <v>#VALUE!</v>
      </c>
      <c r="R91" s="31">
        <f t="shared" si="54"/>
        <v>169.85708478723703</v>
      </c>
      <c r="S91" s="31">
        <f t="shared" si="54"/>
        <v>219.32220333800586</v>
      </c>
      <c r="T91" s="31">
        <f t="shared" si="54"/>
        <v>360.73275335775338</v>
      </c>
      <c r="U91" s="31">
        <f t="shared" si="54"/>
        <v>406.45435387932434</v>
      </c>
      <c r="V91" s="31">
        <f t="shared" si="54"/>
        <v>509.21882624887627</v>
      </c>
      <c r="W91" s="31">
        <f t="shared" si="54"/>
        <v>187.00726556317977</v>
      </c>
      <c r="X91" s="31">
        <f t="shared" si="54"/>
        <v>177.2248560335687</v>
      </c>
      <c r="Y91" s="31">
        <f t="shared" si="54"/>
        <v>212.15704248030409</v>
      </c>
      <c r="Z91" s="31">
        <f t="shared" si="54"/>
        <v>173.99516600547531</v>
      </c>
    </row>
    <row r="92" spans="2:26">
      <c r="D92" s="7" t="s">
        <v>300</v>
      </c>
      <c r="F92" s="32" t="str">
        <f t="shared" ref="F92:O92" si="55">+Q88</f>
        <v/>
      </c>
      <c r="G92" s="32">
        <f t="shared" si="55"/>
        <v>2.1488653267374684</v>
      </c>
      <c r="H92" s="32">
        <f t="shared" si="55"/>
        <v>1.6642181887872269</v>
      </c>
      <c r="I92" s="32">
        <f t="shared" si="55"/>
        <v>1.0118293850572937</v>
      </c>
      <c r="J92" s="32">
        <f t="shared" si="55"/>
        <v>0.89800981713279404</v>
      </c>
      <c r="K92" s="32">
        <f t="shared" si="55"/>
        <v>0.71678418233030805</v>
      </c>
      <c r="L92" s="32">
        <f t="shared" si="55"/>
        <v>1.9517958240862359</v>
      </c>
      <c r="M92" s="32">
        <f t="shared" si="55"/>
        <v>2.0595305205431469</v>
      </c>
      <c r="N92" s="32">
        <f t="shared" si="55"/>
        <v>1.720423681122371</v>
      </c>
      <c r="O92" s="32">
        <f t="shared" si="55"/>
        <v>2.097759428491905</v>
      </c>
    </row>
    <row r="94" spans="2:26">
      <c r="B94" s="21" t="s">
        <v>308</v>
      </c>
      <c r="C94" s="21" t="s">
        <v>260</v>
      </c>
      <c r="D94" s="22" t="s">
        <v>305</v>
      </c>
      <c r="E94" s="22" t="s">
        <v>260</v>
      </c>
      <c r="F94" s="26">
        <f t="shared" ref="F94:O94" si="56">+F88</f>
        <v>0</v>
      </c>
      <c r="G94" s="26">
        <f t="shared" si="56"/>
        <v>74540700000</v>
      </c>
      <c r="H94" s="26">
        <f t="shared" si="56"/>
        <v>50365400000</v>
      </c>
      <c r="I94" s="26">
        <f t="shared" si="56"/>
        <v>29484000000</v>
      </c>
      <c r="J94" s="26">
        <f t="shared" si="56"/>
        <v>18459400000</v>
      </c>
      <c r="K94" s="26">
        <f t="shared" si="56"/>
        <v>15574000000</v>
      </c>
      <c r="L94" s="26">
        <f t="shared" si="56"/>
        <v>43093700000</v>
      </c>
      <c r="M94" s="26">
        <f t="shared" si="56"/>
        <v>37630300000</v>
      </c>
      <c r="N94" s="26">
        <f t="shared" si="56"/>
        <v>39437100000</v>
      </c>
      <c r="O94" s="26">
        <f t="shared" si="56"/>
        <v>67832100000</v>
      </c>
      <c r="P94" s="24" t="s">
        <v>260</v>
      </c>
      <c r="Q94" s="29" t="str">
        <f t="shared" ref="Q94:Z94" si="57">IF(F95=0,"",F94/F95)</f>
        <v/>
      </c>
      <c r="R94" s="29">
        <f t="shared" si="57"/>
        <v>1.5489781287339601</v>
      </c>
      <c r="S94" s="29">
        <f t="shared" si="57"/>
        <v>1.9934061584738383</v>
      </c>
      <c r="T94" s="29">
        <f t="shared" si="57"/>
        <v>1.3554677982153283</v>
      </c>
      <c r="U94" s="29">
        <f t="shared" si="57"/>
        <v>1.421944568549816</v>
      </c>
      <c r="V94" s="29">
        <f t="shared" si="57"/>
        <v>0.98445628607007629</v>
      </c>
      <c r="W94" s="29">
        <f t="shared" si="57"/>
        <v>2.3414253812843318</v>
      </c>
      <c r="X94" s="29">
        <f t="shared" si="57"/>
        <v>4.2061946704819819</v>
      </c>
      <c r="Y94" s="29">
        <f t="shared" si="57"/>
        <v>2.196098631235452</v>
      </c>
      <c r="Z94" s="29">
        <f t="shared" si="57"/>
        <v>2.3110345673460211</v>
      </c>
    </row>
    <row r="95" spans="2:26">
      <c r="D95" s="7" t="s">
        <v>309</v>
      </c>
      <c r="F95" s="8">
        <f>HIST_CON!E87</f>
        <v>0</v>
      </c>
      <c r="G95" s="8">
        <f>HIST_CON!F87</f>
        <v>48122500000</v>
      </c>
      <c r="H95" s="8">
        <f>HIST_CON!G87</f>
        <v>25266000000</v>
      </c>
      <c r="I95" s="8">
        <f>HIST_CON!H87</f>
        <v>21751900000</v>
      </c>
      <c r="J95" s="8">
        <f>HIST_CON!I87</f>
        <v>12981800000</v>
      </c>
      <c r="K95" s="8">
        <f>HIST_CON!J87</f>
        <v>15819900000</v>
      </c>
      <c r="L95" s="8">
        <f>HIST_CON!K87</f>
        <v>18404900000</v>
      </c>
      <c r="M95" s="8">
        <f>HIST_CON!L87</f>
        <v>8946400000</v>
      </c>
      <c r="N95" s="8">
        <f>HIST_CON!M87</f>
        <v>17957800000</v>
      </c>
      <c r="O95" s="8">
        <f>HIST_CON!N87</f>
        <v>29351400000</v>
      </c>
    </row>
    <row r="97" spans="1:26">
      <c r="B97" s="21" t="s">
        <v>310</v>
      </c>
      <c r="C97" s="21" t="s">
        <v>260</v>
      </c>
      <c r="D97" s="22" t="s">
        <v>299</v>
      </c>
      <c r="E97" s="22" t="s">
        <v>260</v>
      </c>
      <c r="F97" s="30">
        <v>365</v>
      </c>
      <c r="G97" s="30">
        <v>365</v>
      </c>
      <c r="H97" s="30">
        <v>365</v>
      </c>
      <c r="I97" s="30">
        <v>365</v>
      </c>
      <c r="J97" s="30">
        <v>365</v>
      </c>
      <c r="K97" s="30">
        <v>365</v>
      </c>
      <c r="L97" s="30">
        <v>365</v>
      </c>
      <c r="M97" s="30">
        <v>365</v>
      </c>
      <c r="N97" s="30">
        <v>365</v>
      </c>
      <c r="O97" s="30">
        <v>365</v>
      </c>
      <c r="P97" s="24" t="s">
        <v>260</v>
      </c>
      <c r="Q97" s="31" t="e">
        <f t="shared" ref="Q97:Z97" si="58">IF(F98=0,"",F97/F98)</f>
        <v>#VALUE!</v>
      </c>
      <c r="R97" s="31">
        <f t="shared" si="58"/>
        <v>235.63922125764853</v>
      </c>
      <c r="S97" s="31">
        <f t="shared" si="58"/>
        <v>183.10367831884588</v>
      </c>
      <c r="T97" s="31">
        <f t="shared" si="58"/>
        <v>269.27972798806132</v>
      </c>
      <c r="U97" s="31">
        <f t="shared" si="58"/>
        <v>256.69073751042828</v>
      </c>
      <c r="V97" s="31">
        <f t="shared" si="58"/>
        <v>370.76303454475408</v>
      </c>
      <c r="W97" s="31">
        <f t="shared" si="58"/>
        <v>155.88794881850481</v>
      </c>
      <c r="X97" s="31">
        <f t="shared" si="58"/>
        <v>86.776772972843688</v>
      </c>
      <c r="Y97" s="31">
        <f t="shared" si="58"/>
        <v>166.20382837480443</v>
      </c>
      <c r="Z97" s="31">
        <f t="shared" si="58"/>
        <v>157.93792319565515</v>
      </c>
    </row>
    <row r="98" spans="1:26">
      <c r="D98" s="7" t="s">
        <v>300</v>
      </c>
      <c r="F98" s="32" t="str">
        <f t="shared" ref="F98:O98" si="59">+Q94</f>
        <v/>
      </c>
      <c r="G98" s="32">
        <f t="shared" si="59"/>
        <v>1.5489781287339601</v>
      </c>
      <c r="H98" s="32">
        <f t="shared" si="59"/>
        <v>1.9934061584738383</v>
      </c>
      <c r="I98" s="32">
        <f t="shared" si="59"/>
        <v>1.3554677982153283</v>
      </c>
      <c r="J98" s="32">
        <f t="shared" si="59"/>
        <v>1.421944568549816</v>
      </c>
      <c r="K98" s="32">
        <f t="shared" si="59"/>
        <v>0.98445628607007629</v>
      </c>
      <c r="L98" s="32">
        <f t="shared" si="59"/>
        <v>2.3414253812843318</v>
      </c>
      <c r="M98" s="32">
        <f t="shared" si="59"/>
        <v>4.2061946704819819</v>
      </c>
      <c r="N98" s="32">
        <f t="shared" si="59"/>
        <v>2.196098631235452</v>
      </c>
      <c r="O98" s="32">
        <f t="shared" si="59"/>
        <v>2.3110345673460211</v>
      </c>
    </row>
    <row r="100" spans="1:26">
      <c r="B100" s="24" t="s">
        <v>311</v>
      </c>
      <c r="D100" s="1" t="s">
        <v>312</v>
      </c>
      <c r="P100" s="24" t="s">
        <v>260</v>
      </c>
      <c r="Q100" s="31" t="e">
        <f t="shared" ref="Q100:Z100" si="60">Q85+Q91-Q97</f>
        <v>#VALUE!</v>
      </c>
      <c r="R100" s="31">
        <f t="shared" si="60"/>
        <v>38.355815311705868</v>
      </c>
      <c r="S100" s="31">
        <f t="shared" si="60"/>
        <v>166.96014592860871</v>
      </c>
      <c r="T100" s="31">
        <f t="shared" si="60"/>
        <v>228.06152261031781</v>
      </c>
      <c r="U100" s="31">
        <f t="shared" si="60"/>
        <v>317.29884350783681</v>
      </c>
      <c r="V100" s="31">
        <f t="shared" si="60"/>
        <v>268.24782451021474</v>
      </c>
      <c r="W100" s="31">
        <f t="shared" si="60"/>
        <v>107.47962505033087</v>
      </c>
      <c r="X100" s="31">
        <f t="shared" si="60"/>
        <v>162.00129525461733</v>
      </c>
      <c r="Y100" s="31">
        <f t="shared" si="60"/>
        <v>148.23342467083111</v>
      </c>
      <c r="Z100" s="31">
        <f t="shared" si="60"/>
        <v>145.64874361700194</v>
      </c>
    </row>
    <row r="102" spans="1:26" ht="15.5">
      <c r="A102" s="17" t="s">
        <v>27</v>
      </c>
      <c r="B102" s="20" t="s">
        <v>313</v>
      </c>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c r="B103" s="21" t="s">
        <v>314</v>
      </c>
      <c r="C103" s="21" t="s">
        <v>260</v>
      </c>
      <c r="D103" s="22" t="s">
        <v>169</v>
      </c>
      <c r="E103" s="22" t="s">
        <v>260</v>
      </c>
      <c r="F103" s="26">
        <f t="shared" ref="F103:O103" si="61">+F11</f>
        <v>0</v>
      </c>
      <c r="G103" s="26">
        <f t="shared" si="61"/>
        <v>121601000000</v>
      </c>
      <c r="H103" s="26">
        <f t="shared" si="61"/>
        <v>111205700000</v>
      </c>
      <c r="I103" s="26">
        <f t="shared" si="61"/>
        <v>88709100000</v>
      </c>
      <c r="J103" s="26">
        <f t="shared" si="61"/>
        <v>65303500000</v>
      </c>
      <c r="K103" s="26">
        <f t="shared" si="61"/>
        <v>66010900000</v>
      </c>
      <c r="L103" s="26">
        <f t="shared" si="61"/>
        <v>64748600000</v>
      </c>
      <c r="M103" s="26">
        <f t="shared" si="61"/>
        <v>55233800000</v>
      </c>
      <c r="N103" s="26">
        <f t="shared" si="61"/>
        <v>71790200000</v>
      </c>
      <c r="O103" s="26">
        <f t="shared" si="61"/>
        <v>129595900000</v>
      </c>
      <c r="P103" s="24" t="s">
        <v>260</v>
      </c>
      <c r="Q103" s="29" t="str">
        <f t="shared" ref="Q103:Z103" si="62">IF(F104=0,"",F103/F104)</f>
        <v/>
      </c>
      <c r="R103" s="29">
        <f t="shared" si="62"/>
        <v>-1.7797047997482676</v>
      </c>
      <c r="S103" s="29">
        <f t="shared" si="62"/>
        <v>-1.5985501663154444</v>
      </c>
      <c r="T103" s="29">
        <f t="shared" si="62"/>
        <v>-1.0432572159062177</v>
      </c>
      <c r="U103" s="29">
        <f t="shared" si="62"/>
        <v>-0.59141864037153224</v>
      </c>
      <c r="V103" s="29">
        <f t="shared" si="62"/>
        <v>-1.9410917132010668</v>
      </c>
      <c r="W103" s="29">
        <f t="shared" si="62"/>
        <v>-1.8178566515339112</v>
      </c>
      <c r="X103" s="29">
        <f t="shared" si="62"/>
        <v>5.0251833251451137</v>
      </c>
      <c r="Y103" s="29">
        <f t="shared" si="62"/>
        <v>1.8312378357833947</v>
      </c>
      <c r="Z103" s="29">
        <f t="shared" si="62"/>
        <v>2.1225326415230308</v>
      </c>
    </row>
    <row r="104" spans="1:26">
      <c r="D104" s="7" t="s">
        <v>262</v>
      </c>
      <c r="F104" s="27">
        <f t="shared" ref="F104:O104" si="63">+F8</f>
        <v>0</v>
      </c>
      <c r="G104" s="27">
        <f t="shared" si="63"/>
        <v>-68326500000</v>
      </c>
      <c r="H104" s="27">
        <f t="shared" si="63"/>
        <v>-69566600000</v>
      </c>
      <c r="I104" s="27">
        <f t="shared" si="63"/>
        <v>-85030900000</v>
      </c>
      <c r="J104" s="27">
        <f t="shared" si="63"/>
        <v>-110418400000</v>
      </c>
      <c r="K104" s="27">
        <f t="shared" si="63"/>
        <v>-34007100000</v>
      </c>
      <c r="L104" s="27">
        <f t="shared" si="63"/>
        <v>-35618100000</v>
      </c>
      <c r="M104" s="27">
        <f t="shared" si="63"/>
        <v>10991400000</v>
      </c>
      <c r="N104" s="27">
        <f t="shared" si="63"/>
        <v>39203100000</v>
      </c>
      <c r="O104" s="27">
        <f t="shared" si="63"/>
        <v>61057200000</v>
      </c>
    </row>
    <row r="106" spans="1:26">
      <c r="B106" s="21" t="s">
        <v>315</v>
      </c>
      <c r="C106" s="21" t="s">
        <v>260</v>
      </c>
      <c r="D106" s="22" t="s">
        <v>316</v>
      </c>
      <c r="E106" s="22" t="s">
        <v>260</v>
      </c>
      <c r="F106" s="23">
        <f>HIST_CON!E65-HIST_CON!E72</f>
        <v>0</v>
      </c>
      <c r="G106" s="23">
        <f>HIST_CON!F65-HIST_CON!F72</f>
        <v>189927500000</v>
      </c>
      <c r="H106" s="23">
        <f>HIST_CON!G65-HIST_CON!G72</f>
        <v>180772300000</v>
      </c>
      <c r="I106" s="23">
        <f>HIST_CON!H65-HIST_CON!H72</f>
        <v>173740000000</v>
      </c>
      <c r="J106" s="23">
        <f>HIST_CON!I65-HIST_CON!I72</f>
        <v>175721900000</v>
      </c>
      <c r="K106" s="23">
        <f>HIST_CON!J65-HIST_CON!J72</f>
        <v>100018000000</v>
      </c>
      <c r="L106" s="23">
        <f>HIST_CON!K65-HIST_CON!K72</f>
        <v>100366700000</v>
      </c>
      <c r="M106" s="23">
        <f>HIST_CON!L65-HIST_CON!L72</f>
        <v>44242400000</v>
      </c>
      <c r="N106" s="23">
        <f>HIST_CON!M65-HIST_CON!M72</f>
        <v>32587100000</v>
      </c>
      <c r="O106" s="23">
        <f>HIST_CON!N65-HIST_CON!N72</f>
        <v>68538700000</v>
      </c>
      <c r="P106" s="24" t="s">
        <v>260</v>
      </c>
      <c r="Q106" s="29" t="str">
        <f t="shared" ref="Q106:Z106" si="64">IF(F107=0,"",F106/F107)</f>
        <v/>
      </c>
      <c r="R106" s="29">
        <f t="shared" si="64"/>
        <v>-2.7797047997482673</v>
      </c>
      <c r="S106" s="29">
        <f t="shared" si="64"/>
        <v>-2.5985501663154444</v>
      </c>
      <c r="T106" s="29">
        <f t="shared" si="64"/>
        <v>-2.0432572159062174</v>
      </c>
      <c r="U106" s="29">
        <f t="shared" si="64"/>
        <v>-1.5914186403715322</v>
      </c>
      <c r="V106" s="29">
        <f t="shared" si="64"/>
        <v>-2.9410917132010668</v>
      </c>
      <c r="W106" s="29">
        <f t="shared" si="64"/>
        <v>-2.8178566515339112</v>
      </c>
      <c r="X106" s="29">
        <f t="shared" si="64"/>
        <v>4.0251833251451137</v>
      </c>
      <c r="Y106" s="29">
        <f t="shared" si="64"/>
        <v>0.83123783578339472</v>
      </c>
      <c r="Z106" s="29">
        <f t="shared" si="64"/>
        <v>1.1225326415230308</v>
      </c>
    </row>
    <row r="107" spans="1:26">
      <c r="D107" s="7" t="s">
        <v>262</v>
      </c>
      <c r="F107" s="27">
        <f t="shared" ref="F107:O107" si="65">+F8</f>
        <v>0</v>
      </c>
      <c r="G107" s="27">
        <f t="shared" si="65"/>
        <v>-68326500000</v>
      </c>
      <c r="H107" s="27">
        <f t="shared" si="65"/>
        <v>-69566600000</v>
      </c>
      <c r="I107" s="27">
        <f t="shared" si="65"/>
        <v>-85030900000</v>
      </c>
      <c r="J107" s="27">
        <f t="shared" si="65"/>
        <v>-110418400000</v>
      </c>
      <c r="K107" s="27">
        <f t="shared" si="65"/>
        <v>-34007100000</v>
      </c>
      <c r="L107" s="27">
        <f t="shared" si="65"/>
        <v>-35618100000</v>
      </c>
      <c r="M107" s="27">
        <f t="shared" si="65"/>
        <v>10991400000</v>
      </c>
      <c r="N107" s="27">
        <f t="shared" si="65"/>
        <v>39203100000</v>
      </c>
      <c r="O107" s="27">
        <f t="shared" si="65"/>
        <v>61057200000</v>
      </c>
    </row>
    <row r="109" spans="1:26">
      <c r="B109" s="21" t="s">
        <v>317</v>
      </c>
      <c r="C109" s="21" t="s">
        <v>260</v>
      </c>
      <c r="D109" s="22" t="s">
        <v>290</v>
      </c>
      <c r="E109" s="22" t="s">
        <v>260</v>
      </c>
      <c r="F109" s="26">
        <f t="shared" ref="F109:O109" si="66">+F64</f>
        <v>0</v>
      </c>
      <c r="G109" s="26">
        <f t="shared" si="66"/>
        <v>69173600000</v>
      </c>
      <c r="H109" s="26">
        <f t="shared" si="66"/>
        <v>116051600000</v>
      </c>
      <c r="I109" s="26">
        <f t="shared" si="66"/>
        <v>96239300000</v>
      </c>
      <c r="J109" s="26">
        <f t="shared" si="66"/>
        <v>96856200000</v>
      </c>
      <c r="K109" s="26">
        <f t="shared" si="66"/>
        <v>62025400000</v>
      </c>
      <c r="L109" s="26">
        <f t="shared" si="66"/>
        <v>63905600000</v>
      </c>
      <c r="M109" s="26">
        <f t="shared" si="66"/>
        <v>19048800000</v>
      </c>
      <c r="N109" s="26">
        <f t="shared" si="66"/>
        <v>1099500000</v>
      </c>
      <c r="O109" s="26">
        <f t="shared" si="66"/>
        <v>2833300000</v>
      </c>
      <c r="P109" s="24" t="s">
        <v>260</v>
      </c>
      <c r="Q109" s="29" t="str">
        <f t="shared" ref="Q109:Z109" si="67">IF(F110=0,"",F109/F110)</f>
        <v/>
      </c>
      <c r="R109" s="29">
        <f t="shared" si="67"/>
        <v>-1.0123978251483685</v>
      </c>
      <c r="S109" s="29">
        <f t="shared" si="67"/>
        <v>-1.6682085943541871</v>
      </c>
      <c r="T109" s="29">
        <f t="shared" si="67"/>
        <v>-1.1318156105603963</v>
      </c>
      <c r="U109" s="29">
        <f t="shared" si="67"/>
        <v>-0.87717445643117453</v>
      </c>
      <c r="V109" s="29">
        <f t="shared" si="67"/>
        <v>-1.8238955982721254</v>
      </c>
      <c r="W109" s="29">
        <f t="shared" si="67"/>
        <v>-1.7941889095712573</v>
      </c>
      <c r="X109" s="29">
        <f t="shared" si="67"/>
        <v>1.7330640318794694</v>
      </c>
      <c r="Y109" s="29">
        <f t="shared" si="67"/>
        <v>2.804625144440108E-2</v>
      </c>
      <c r="Z109" s="29">
        <f t="shared" si="67"/>
        <v>4.6404027698617033E-2</v>
      </c>
    </row>
    <row r="110" spans="1:26">
      <c r="D110" s="7" t="s">
        <v>262</v>
      </c>
      <c r="F110" s="27">
        <f t="shared" ref="F110:O110" si="68">+F8</f>
        <v>0</v>
      </c>
      <c r="G110" s="27">
        <f t="shared" si="68"/>
        <v>-68326500000</v>
      </c>
      <c r="H110" s="27">
        <f t="shared" si="68"/>
        <v>-69566600000</v>
      </c>
      <c r="I110" s="27">
        <f t="shared" si="68"/>
        <v>-85030900000</v>
      </c>
      <c r="J110" s="27">
        <f t="shared" si="68"/>
        <v>-110418400000</v>
      </c>
      <c r="K110" s="27">
        <f t="shared" si="68"/>
        <v>-34007100000</v>
      </c>
      <c r="L110" s="27">
        <f t="shared" si="68"/>
        <v>-35618100000</v>
      </c>
      <c r="M110" s="27">
        <f t="shared" si="68"/>
        <v>10991400000</v>
      </c>
      <c r="N110" s="27">
        <f t="shared" si="68"/>
        <v>39203100000</v>
      </c>
      <c r="O110" s="27">
        <f t="shared" si="68"/>
        <v>61057200000</v>
      </c>
    </row>
    <row r="112" spans="1:26">
      <c r="B112" s="21" t="s">
        <v>318</v>
      </c>
      <c r="C112" s="21" t="s">
        <v>260</v>
      </c>
      <c r="D112" s="22" t="s">
        <v>290</v>
      </c>
      <c r="E112" s="22" t="s">
        <v>260</v>
      </c>
      <c r="F112" s="26">
        <f t="shared" ref="F112:O112" si="69">+F64</f>
        <v>0</v>
      </c>
      <c r="G112" s="26">
        <f t="shared" si="69"/>
        <v>69173600000</v>
      </c>
      <c r="H112" s="26">
        <f t="shared" si="69"/>
        <v>116051600000</v>
      </c>
      <c r="I112" s="26">
        <f t="shared" si="69"/>
        <v>96239300000</v>
      </c>
      <c r="J112" s="26">
        <f t="shared" si="69"/>
        <v>96856200000</v>
      </c>
      <c r="K112" s="26">
        <f t="shared" si="69"/>
        <v>62025400000</v>
      </c>
      <c r="L112" s="26">
        <f t="shared" si="69"/>
        <v>63905600000</v>
      </c>
      <c r="M112" s="26">
        <f t="shared" si="69"/>
        <v>19048800000</v>
      </c>
      <c r="N112" s="26">
        <f t="shared" si="69"/>
        <v>1099500000</v>
      </c>
      <c r="O112" s="26">
        <f t="shared" si="69"/>
        <v>2833300000</v>
      </c>
      <c r="P112" s="24" t="s">
        <v>260</v>
      </c>
      <c r="Q112" s="29" t="str">
        <f t="shared" ref="Q112:Z112" si="70">IF(F113=0,"",F112/F113)</f>
        <v/>
      </c>
      <c r="R112" s="29">
        <f t="shared" si="70"/>
        <v>2.672642482642444</v>
      </c>
      <c r="S112" s="29">
        <f t="shared" si="70"/>
        <v>10.723376731378726</v>
      </c>
      <c r="T112" s="29">
        <f t="shared" si="70"/>
        <v>233.59053398058253</v>
      </c>
      <c r="U112" s="29">
        <f t="shared" si="70"/>
        <v>-11.639131897711978</v>
      </c>
      <c r="V112" s="29">
        <f t="shared" si="70"/>
        <v>11.192890011729675</v>
      </c>
      <c r="W112" s="29">
        <f t="shared" si="70"/>
        <v>7.0099600719582291</v>
      </c>
      <c r="X112" s="29">
        <f t="shared" si="70"/>
        <v>2.2369561388057071</v>
      </c>
      <c r="Y112" s="29">
        <f t="shared" si="70"/>
        <v>0.10301695868078328</v>
      </c>
      <c r="Z112" s="29">
        <f t="shared" si="70"/>
        <v>0.14451040997235567</v>
      </c>
    </row>
    <row r="113" spans="1:26">
      <c r="D113" s="7" t="s">
        <v>125</v>
      </c>
      <c r="F113" s="27">
        <f t="shared" ref="F113:O113" si="71">+F28</f>
        <v>0</v>
      </c>
      <c r="G113" s="27">
        <f t="shared" si="71"/>
        <v>25882100000</v>
      </c>
      <c r="H113" s="27">
        <f t="shared" si="71"/>
        <v>10822300000</v>
      </c>
      <c r="I113" s="27">
        <f t="shared" si="71"/>
        <v>412000000</v>
      </c>
      <c r="J113" s="27">
        <f t="shared" si="71"/>
        <v>-8321600000</v>
      </c>
      <c r="K113" s="27">
        <f t="shared" si="71"/>
        <v>5541500000</v>
      </c>
      <c r="L113" s="27">
        <f t="shared" si="71"/>
        <v>9116400000</v>
      </c>
      <c r="M113" s="27">
        <f t="shared" si="71"/>
        <v>8515500000</v>
      </c>
      <c r="N113" s="27">
        <f t="shared" si="71"/>
        <v>10673000000</v>
      </c>
      <c r="O113" s="27">
        <f t="shared" si="71"/>
        <v>19606200000</v>
      </c>
    </row>
    <row r="115" spans="1:26">
      <c r="B115" s="21" t="s">
        <v>319</v>
      </c>
      <c r="C115" s="21" t="s">
        <v>260</v>
      </c>
      <c r="D115" s="22" t="s">
        <v>320</v>
      </c>
      <c r="E115" s="22" t="s">
        <v>260</v>
      </c>
      <c r="F115" s="23">
        <f>(HIST_CON!E76+HIST_CON!E85+0+0)-HIST_CON!E57</f>
        <v>0</v>
      </c>
      <c r="G115" s="23">
        <f>(HIST_CON!F76+HIST_CON!F85+0+0)-HIST_CON!F57</f>
        <v>65812400000</v>
      </c>
      <c r="H115" s="23">
        <f>(HIST_CON!G76+HIST_CON!G85+0+0)-HIST_CON!G57</f>
        <v>110240900000</v>
      </c>
      <c r="I115" s="23">
        <f>(HIST_CON!H76+HIST_CON!H85+0+0)-HIST_CON!H57</f>
        <v>95493100000</v>
      </c>
      <c r="J115" s="23">
        <f>(HIST_CON!I76+HIST_CON!I85+0+0)-HIST_CON!I57</f>
        <v>96032900000</v>
      </c>
      <c r="K115" s="23">
        <f>(HIST_CON!J76+HIST_CON!J85+0+0)-HIST_CON!J57</f>
        <v>59400400000</v>
      </c>
      <c r="L115" s="23">
        <f>(HIST_CON!K76+HIST_CON!K85+0+0)-HIST_CON!K57</f>
        <v>58901300000</v>
      </c>
      <c r="M115" s="23">
        <f>(HIST_CON!L76+HIST_CON!L85+0+0)-HIST_CON!L57</f>
        <v>15375700000</v>
      </c>
      <c r="N115" s="23">
        <f>(HIST_CON!M76+HIST_CON!M85+0+0)-HIST_CON!M57</f>
        <v>-3168900000</v>
      </c>
      <c r="O115" s="23">
        <f>(HIST_CON!N76+HIST_CON!N85+0+0)-HIST_CON!N57</f>
        <v>-8295000000</v>
      </c>
      <c r="P115" s="24" t="s">
        <v>260</v>
      </c>
      <c r="Q115" s="29" t="str">
        <f t="shared" ref="Q115:Z115" si="72">IF(F116=0,"",F115/F116)</f>
        <v/>
      </c>
      <c r="R115" s="29">
        <f t="shared" si="72"/>
        <v>2.5427766680447106</v>
      </c>
      <c r="S115" s="29">
        <f t="shared" si="72"/>
        <v>10.186457592193896</v>
      </c>
      <c r="T115" s="29">
        <f t="shared" si="72"/>
        <v>231.77936893203884</v>
      </c>
      <c r="U115" s="29">
        <f t="shared" si="72"/>
        <v>-11.540196596808306</v>
      </c>
      <c r="V115" s="29">
        <f t="shared" si="72"/>
        <v>10.719191554633221</v>
      </c>
      <c r="W115" s="29">
        <f t="shared" si="72"/>
        <v>6.4610262823044184</v>
      </c>
      <c r="X115" s="29">
        <f t="shared" si="72"/>
        <v>1.8056132934061417</v>
      </c>
      <c r="Y115" s="29">
        <f t="shared" si="72"/>
        <v>-0.29690808582404199</v>
      </c>
      <c r="Z115" s="29">
        <f t="shared" si="72"/>
        <v>-0.42308045414205708</v>
      </c>
    </row>
    <row r="116" spans="1:26">
      <c r="D116" s="7" t="s">
        <v>125</v>
      </c>
      <c r="F116" s="27">
        <f t="shared" ref="F116:O116" si="73">+F28</f>
        <v>0</v>
      </c>
      <c r="G116" s="27">
        <f t="shared" si="73"/>
        <v>25882100000</v>
      </c>
      <c r="H116" s="27">
        <f t="shared" si="73"/>
        <v>10822300000</v>
      </c>
      <c r="I116" s="27">
        <f t="shared" si="73"/>
        <v>412000000</v>
      </c>
      <c r="J116" s="27">
        <f t="shared" si="73"/>
        <v>-8321600000</v>
      </c>
      <c r="K116" s="27">
        <f t="shared" si="73"/>
        <v>5541500000</v>
      </c>
      <c r="L116" s="27">
        <f t="shared" si="73"/>
        <v>9116400000</v>
      </c>
      <c r="M116" s="27">
        <f t="shared" si="73"/>
        <v>8515500000</v>
      </c>
      <c r="N116" s="27">
        <f t="shared" si="73"/>
        <v>10673000000</v>
      </c>
      <c r="O116" s="27">
        <f t="shared" si="73"/>
        <v>19606200000</v>
      </c>
    </row>
    <row r="118" spans="1:26" ht="15.5">
      <c r="A118" s="17" t="s">
        <v>27</v>
      </c>
      <c r="B118" s="20" t="s">
        <v>321</v>
      </c>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c r="B119" s="21" t="s">
        <v>322</v>
      </c>
      <c r="C119" s="21" t="s">
        <v>260</v>
      </c>
      <c r="D119" s="22" t="s">
        <v>167</v>
      </c>
      <c r="E119" s="22" t="s">
        <v>260</v>
      </c>
      <c r="F119" s="23">
        <f>HIST_CON!E63</f>
        <v>0</v>
      </c>
      <c r="G119" s="23">
        <f>HIST_CON!F63</f>
        <v>91705400000</v>
      </c>
      <c r="H119" s="23">
        <f>HIST_CON!G63</f>
        <v>78488200000</v>
      </c>
      <c r="I119" s="23">
        <f>HIST_CON!H63</f>
        <v>64249800000</v>
      </c>
      <c r="J119" s="23">
        <f>HIST_CON!I63</f>
        <v>46435500000</v>
      </c>
      <c r="K119" s="23">
        <f>HIST_CON!J63</f>
        <v>47979200000</v>
      </c>
      <c r="L119" s="23">
        <f>HIST_CON!K63</f>
        <v>50191100000</v>
      </c>
      <c r="M119" s="23">
        <f>HIST_CON!L63</f>
        <v>41421800000</v>
      </c>
      <c r="N119" s="23">
        <f>HIST_CON!M63</f>
        <v>52876900000</v>
      </c>
      <c r="O119" s="23">
        <f>HIST_CON!N63</f>
        <v>92517100000</v>
      </c>
      <c r="P119" s="24" t="s">
        <v>260</v>
      </c>
      <c r="Q119" s="29" t="str">
        <f t="shared" ref="Q119:Z119" si="74">IF(F120=0,"",F119/F120)</f>
        <v/>
      </c>
      <c r="R119" s="29">
        <f t="shared" si="74"/>
        <v>0.66650774142766711</v>
      </c>
      <c r="S119" s="29">
        <f t="shared" si="74"/>
        <v>0.79530527088015535</v>
      </c>
      <c r="T119" s="29">
        <f t="shared" si="74"/>
        <v>0.58679849961778063</v>
      </c>
      <c r="U119" s="29">
        <f t="shared" si="74"/>
        <v>0.2806589475961867</v>
      </c>
      <c r="V119" s="29">
        <f t="shared" si="74"/>
        <v>1.2580484453744054</v>
      </c>
      <c r="W119" s="29">
        <f t="shared" si="74"/>
        <v>1.1853178726620064</v>
      </c>
      <c r="X119" s="29">
        <f t="shared" si="74"/>
        <v>1.5336919938240292</v>
      </c>
      <c r="Y119" s="29">
        <f t="shared" si="74"/>
        <v>1.7573790650913139</v>
      </c>
      <c r="Z119" s="29">
        <f t="shared" si="74"/>
        <v>1.5642050910959924</v>
      </c>
    </row>
    <row r="120" spans="1:26">
      <c r="D120" s="7" t="s">
        <v>323</v>
      </c>
      <c r="F120" s="8">
        <f>HIST_CON!E93</f>
        <v>0</v>
      </c>
      <c r="G120" s="8">
        <f>HIST_CON!F93</f>
        <v>137590900000</v>
      </c>
      <c r="H120" s="8">
        <f>HIST_CON!G93</f>
        <v>98689400000</v>
      </c>
      <c r="I120" s="8">
        <f>HIST_CON!H93</f>
        <v>109492100000</v>
      </c>
      <c r="J120" s="8">
        <f>HIST_CON!I93</f>
        <v>165451700000</v>
      </c>
      <c r="K120" s="8">
        <f>HIST_CON!J93</f>
        <v>38137800000</v>
      </c>
      <c r="L120" s="8">
        <f>HIST_CON!K93</f>
        <v>42344000000</v>
      </c>
      <c r="M120" s="8">
        <f>HIST_CON!L93</f>
        <v>27007900000</v>
      </c>
      <c r="N120" s="8">
        <f>HIST_CON!M93</f>
        <v>30088500000</v>
      </c>
      <c r="O120" s="8">
        <f>HIST_CON!N93</f>
        <v>59146400000</v>
      </c>
    </row>
    <row r="122" spans="1:26">
      <c r="B122" s="21" t="s">
        <v>324</v>
      </c>
      <c r="C122" s="21" t="s">
        <v>260</v>
      </c>
      <c r="D122" s="22" t="s">
        <v>325</v>
      </c>
      <c r="E122" s="22" t="s">
        <v>260</v>
      </c>
      <c r="F122" s="23">
        <f>HIST_CON!E63-HIST_CON!E51</f>
        <v>0</v>
      </c>
      <c r="G122" s="23">
        <f>HIST_CON!F63-HIST_CON!F51</f>
        <v>57017000000</v>
      </c>
      <c r="H122" s="23">
        <f>HIST_CON!G63-HIST_CON!G51</f>
        <v>48224500000</v>
      </c>
      <c r="I122" s="23">
        <f>HIST_CON!H63-HIST_CON!H51</f>
        <v>35110500000</v>
      </c>
      <c r="J122" s="23">
        <f>HIST_CON!I63-HIST_CON!I51</f>
        <v>25879600000</v>
      </c>
      <c r="K122" s="23">
        <f>HIST_CON!J63-HIST_CON!J51</f>
        <v>26251600000</v>
      </c>
      <c r="L122" s="23">
        <f>HIST_CON!K63-HIST_CON!K51</f>
        <v>28112100000</v>
      </c>
      <c r="M122" s="23">
        <f>HIST_CON!L63-HIST_CON!L51</f>
        <v>23150500000</v>
      </c>
      <c r="N122" s="23">
        <f>HIST_CON!M63-HIST_CON!M51</f>
        <v>29954000000</v>
      </c>
      <c r="O122" s="23">
        <f>HIST_CON!N63-HIST_CON!N51</f>
        <v>60181600000</v>
      </c>
      <c r="P122" s="24" t="s">
        <v>260</v>
      </c>
      <c r="Q122" s="29" t="str">
        <f t="shared" ref="Q122:Z122" si="75">IF(F123=0,"",F122/F123)</f>
        <v/>
      </c>
      <c r="R122" s="29">
        <f t="shared" si="75"/>
        <v>0.41439513805055422</v>
      </c>
      <c r="S122" s="29">
        <f t="shared" si="75"/>
        <v>0.48864923689879564</v>
      </c>
      <c r="T122" s="29">
        <f t="shared" si="75"/>
        <v>0.32066697049376164</v>
      </c>
      <c r="U122" s="29">
        <f t="shared" si="75"/>
        <v>0.15641785487849325</v>
      </c>
      <c r="V122" s="29">
        <f t="shared" si="75"/>
        <v>0.68833545721043166</v>
      </c>
      <c r="W122" s="29">
        <f t="shared" si="75"/>
        <v>0.66389807292650671</v>
      </c>
      <c r="X122" s="29">
        <f t="shared" si="75"/>
        <v>0.85717512283442998</v>
      </c>
      <c r="Y122" s="29">
        <f t="shared" si="75"/>
        <v>0.99552985359855095</v>
      </c>
      <c r="Z122" s="29">
        <f t="shared" si="75"/>
        <v>1.0175023331935671</v>
      </c>
    </row>
    <row r="123" spans="1:26">
      <c r="D123" s="7" t="s">
        <v>323</v>
      </c>
      <c r="F123" s="27">
        <f t="shared" ref="F123:O123" si="76">+F120</f>
        <v>0</v>
      </c>
      <c r="G123" s="27">
        <f t="shared" si="76"/>
        <v>137590900000</v>
      </c>
      <c r="H123" s="27">
        <f t="shared" si="76"/>
        <v>98689400000</v>
      </c>
      <c r="I123" s="27">
        <f t="shared" si="76"/>
        <v>109492100000</v>
      </c>
      <c r="J123" s="27">
        <f t="shared" si="76"/>
        <v>165451700000</v>
      </c>
      <c r="K123" s="27">
        <f t="shared" si="76"/>
        <v>38137800000</v>
      </c>
      <c r="L123" s="27">
        <f t="shared" si="76"/>
        <v>42344000000</v>
      </c>
      <c r="M123" s="27">
        <f t="shared" si="76"/>
        <v>27007900000</v>
      </c>
      <c r="N123" s="27">
        <f t="shared" si="76"/>
        <v>30088500000</v>
      </c>
      <c r="O123" s="27">
        <f t="shared" si="76"/>
        <v>59146400000</v>
      </c>
    </row>
    <row r="125" spans="1:26">
      <c r="B125" s="21" t="s">
        <v>326</v>
      </c>
      <c r="C125" s="21" t="s">
        <v>260</v>
      </c>
      <c r="D125" s="22" t="s">
        <v>125</v>
      </c>
      <c r="E125" s="22" t="s">
        <v>260</v>
      </c>
      <c r="F125" s="26">
        <f t="shared" ref="F125:O125" si="77">+F28</f>
        <v>0</v>
      </c>
      <c r="G125" s="26">
        <f t="shared" si="77"/>
        <v>25882100000</v>
      </c>
      <c r="H125" s="26">
        <f t="shared" si="77"/>
        <v>10822300000</v>
      </c>
      <c r="I125" s="26">
        <f t="shared" si="77"/>
        <v>412000000</v>
      </c>
      <c r="J125" s="26">
        <f t="shared" si="77"/>
        <v>-8321600000</v>
      </c>
      <c r="K125" s="26">
        <f t="shared" si="77"/>
        <v>5541500000</v>
      </c>
      <c r="L125" s="26">
        <f t="shared" si="77"/>
        <v>9116400000</v>
      </c>
      <c r="M125" s="26">
        <f t="shared" si="77"/>
        <v>8515500000</v>
      </c>
      <c r="N125" s="26">
        <f t="shared" si="77"/>
        <v>10673000000</v>
      </c>
      <c r="O125" s="26">
        <f t="shared" si="77"/>
        <v>19606200000</v>
      </c>
      <c r="P125" s="24" t="s">
        <v>260</v>
      </c>
      <c r="Q125" s="29" t="str">
        <f t="shared" ref="Q125:Z125" si="78">IF(F126=0,"",F125/F126)</f>
        <v/>
      </c>
      <c r="R125" s="29">
        <f t="shared" si="78"/>
        <v>2.0101196809543409</v>
      </c>
      <c r="S125" s="29">
        <f t="shared" si="78"/>
        <v>0.68453111361307539</v>
      </c>
      <c r="T125" s="29">
        <f t="shared" si="78"/>
        <v>3.244324400941799E-2</v>
      </c>
      <c r="U125" s="29">
        <f t="shared" si="78"/>
        <v>-0.60861997089132513</v>
      </c>
      <c r="V125" s="29">
        <f t="shared" si="78"/>
        <v>0.55623030132696283</v>
      </c>
      <c r="W125" s="29">
        <f t="shared" si="78"/>
        <v>1.2411370691063552</v>
      </c>
      <c r="X125" s="29">
        <f t="shared" si="78"/>
        <v>2.0238378172830118</v>
      </c>
      <c r="Y125" s="29">
        <f t="shared" si="78"/>
        <v>6.4952531645569618</v>
      </c>
      <c r="Z125" s="29">
        <f t="shared" si="78"/>
        <v>7.6947409733124017</v>
      </c>
    </row>
    <row r="126" spans="1:26">
      <c r="D126" s="7" t="s">
        <v>289</v>
      </c>
      <c r="F126" s="27">
        <f t="shared" ref="F126:O126" si="79">+F63</f>
        <v>0</v>
      </c>
      <c r="G126" s="27">
        <f t="shared" si="79"/>
        <v>12875900000</v>
      </c>
      <c r="H126" s="27">
        <f t="shared" si="79"/>
        <v>15809800000</v>
      </c>
      <c r="I126" s="27">
        <f t="shared" si="79"/>
        <v>12699100000</v>
      </c>
      <c r="J126" s="27">
        <f t="shared" si="79"/>
        <v>13672900000</v>
      </c>
      <c r="K126" s="27">
        <f t="shared" si="79"/>
        <v>9962600000</v>
      </c>
      <c r="L126" s="27">
        <f t="shared" si="79"/>
        <v>7345200000</v>
      </c>
      <c r="M126" s="27">
        <f t="shared" si="79"/>
        <v>4207600000</v>
      </c>
      <c r="N126" s="27">
        <f t="shared" si="79"/>
        <v>1643200000</v>
      </c>
      <c r="O126" s="27">
        <f t="shared" si="79"/>
        <v>2548000000</v>
      </c>
    </row>
    <row r="128" spans="1:26" ht="15.5">
      <c r="A128" s="17" t="s">
        <v>27</v>
      </c>
      <c r="B128" s="20" t="s">
        <v>327</v>
      </c>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2:26">
      <c r="B129" s="24" t="s">
        <v>328</v>
      </c>
      <c r="P129" s="24" t="s">
        <v>260</v>
      </c>
      <c r="Q129" s="33" t="s">
        <v>329</v>
      </c>
      <c r="R129" s="25" t="str">
        <f t="shared" ref="R129:Z129" si="80">IF(F20=0,"",(G20-F20)/F20)</f>
        <v/>
      </c>
      <c r="S129" s="25">
        <f t="shared" si="80"/>
        <v>-0.34453378342772784</v>
      </c>
      <c r="T129" s="25">
        <f t="shared" si="80"/>
        <v>-0.39707385790943911</v>
      </c>
      <c r="U129" s="25">
        <f t="shared" si="80"/>
        <v>-0.40835155999673611</v>
      </c>
      <c r="V129" s="25">
        <f t="shared" si="80"/>
        <v>0.12542509712901762</v>
      </c>
      <c r="W129" s="25">
        <f t="shared" si="80"/>
        <v>0.96722379637267908</v>
      </c>
      <c r="X129" s="25">
        <f t="shared" si="80"/>
        <v>-9.2870013886820896E-2</v>
      </c>
      <c r="Y129" s="25">
        <f t="shared" si="80"/>
        <v>9.3552833668032825E-2</v>
      </c>
      <c r="Z129" s="25">
        <f t="shared" si="80"/>
        <v>0.66788020995268871</v>
      </c>
    </row>
    <row r="131" spans="2:26">
      <c r="B131" s="24" t="s">
        <v>330</v>
      </c>
      <c r="P131" s="24" t="s">
        <v>260</v>
      </c>
      <c r="Q131" s="33" t="s">
        <v>329</v>
      </c>
      <c r="R131" s="25" t="str">
        <f t="shared" ref="R131:Z131" si="81">IF(F28=0,"",(G28-F28)/F28)</f>
        <v/>
      </c>
      <c r="S131" s="25">
        <f t="shared" si="81"/>
        <v>-0.58186159546559202</v>
      </c>
      <c r="T131" s="25">
        <f t="shared" si="81"/>
        <v>-0.96193045840532976</v>
      </c>
      <c r="U131" s="25">
        <f t="shared" si="81"/>
        <v>-21.198058252427185</v>
      </c>
      <c r="V131" s="25">
        <f t="shared" si="81"/>
        <v>-1.6659176119976928</v>
      </c>
      <c r="W131" s="25">
        <f t="shared" si="81"/>
        <v>0.64511413877109081</v>
      </c>
      <c r="X131" s="25">
        <f t="shared" si="81"/>
        <v>-6.5914176648677103E-2</v>
      </c>
      <c r="Y131" s="25">
        <f t="shared" si="81"/>
        <v>0.25336151723328049</v>
      </c>
      <c r="Z131" s="25">
        <f t="shared" si="81"/>
        <v>0.83699053686873415</v>
      </c>
    </row>
    <row r="133" spans="2:26">
      <c r="B133" s="24" t="s">
        <v>331</v>
      </c>
      <c r="P133" s="24" t="s">
        <v>260</v>
      </c>
      <c r="Q133" s="33" t="s">
        <v>329</v>
      </c>
      <c r="R133" s="25" t="str">
        <f t="shared" ref="R133:Z133" si="82">IF(F36=0,"",(G36-F36)/F36)</f>
        <v/>
      </c>
      <c r="S133" s="25">
        <f t="shared" si="82"/>
        <v>-0.66322902172627984</v>
      </c>
      <c r="T133" s="25">
        <f t="shared" si="82"/>
        <v>-1.4059436688180174</v>
      </c>
      <c r="U133" s="25">
        <f t="shared" si="82"/>
        <v>3.1602195243638782</v>
      </c>
      <c r="V133" s="25">
        <f t="shared" si="82"/>
        <v>-1.2364703342740873</v>
      </c>
      <c r="W133" s="25">
        <f t="shared" si="82"/>
        <v>1.2037393920952091</v>
      </c>
      <c r="X133" s="25">
        <f t="shared" si="82"/>
        <v>-9.1945382019024247E-2</v>
      </c>
      <c r="Y133" s="25">
        <f t="shared" si="82"/>
        <v>0.48292699410343487</v>
      </c>
      <c r="Z133" s="25">
        <f t="shared" si="82"/>
        <v>0.93850974136948839</v>
      </c>
    </row>
    <row r="135" spans="2:26">
      <c r="B135" s="24" t="s">
        <v>332</v>
      </c>
      <c r="P135" s="24" t="s">
        <v>260</v>
      </c>
      <c r="Q135" s="33" t="s">
        <v>329</v>
      </c>
      <c r="R135" s="25" t="str">
        <f t="shared" ref="R135:Z135" si="83">IF(F7=0,"",(G7-F7)/F7)</f>
        <v/>
      </c>
      <c r="S135" s="25">
        <f t="shared" si="83"/>
        <v>-1.4324750802875907</v>
      </c>
      <c r="T135" s="25">
        <f t="shared" si="83"/>
        <v>2.9341435839457319</v>
      </c>
      <c r="U135" s="25">
        <f t="shared" si="83"/>
        <v>0.75782612387253523</v>
      </c>
      <c r="V135" s="25">
        <f t="shared" si="83"/>
        <v>-1.0372818506422332</v>
      </c>
      <c r="W135" s="25">
        <f t="shared" si="83"/>
        <v>-2.6562686864660154</v>
      </c>
      <c r="X135" s="25">
        <f t="shared" si="83"/>
        <v>-18.373428004091704</v>
      </c>
      <c r="Y135" s="25">
        <f t="shared" si="83"/>
        <v>-0.77129072590560699</v>
      </c>
      <c r="Z135" s="25">
        <f t="shared" si="83"/>
        <v>2.1371696827439992</v>
      </c>
    </row>
    <row r="137" spans="2:26">
      <c r="B137" s="24" t="s">
        <v>333</v>
      </c>
      <c r="P137" s="24" t="s">
        <v>260</v>
      </c>
      <c r="Q137" s="33" t="s">
        <v>329</v>
      </c>
      <c r="R137" s="25" t="str">
        <f t="shared" ref="R137:Z137" si="84">IF(F11=0,"",(G11-F11)/F11)</f>
        <v/>
      </c>
      <c r="S137" s="25">
        <f t="shared" si="84"/>
        <v>-8.5486961455909075E-2</v>
      </c>
      <c r="T137" s="25">
        <f t="shared" si="84"/>
        <v>-0.20229718440691438</v>
      </c>
      <c r="U137" s="25">
        <f t="shared" si="84"/>
        <v>-0.26384666285646002</v>
      </c>
      <c r="V137" s="25">
        <f t="shared" si="84"/>
        <v>1.0832497492477432E-2</v>
      </c>
      <c r="W137" s="25">
        <f t="shared" si="84"/>
        <v>-1.9122599449484856E-2</v>
      </c>
      <c r="X137" s="25">
        <f t="shared" si="84"/>
        <v>-0.14694989544175471</v>
      </c>
      <c r="Y137" s="25">
        <f t="shared" si="84"/>
        <v>0.299751239277399</v>
      </c>
      <c r="Z137" s="25">
        <f t="shared" si="84"/>
        <v>0.80520321715220178</v>
      </c>
    </row>
    <row r="139" spans="2:26">
      <c r="B139" s="24" t="s">
        <v>334</v>
      </c>
      <c r="P139" s="24" t="s">
        <v>260</v>
      </c>
      <c r="Q139" s="29" t="str">
        <f t="shared" ref="Q139:Z139" si="85">IF(OR(NOT(ISNUMBER(Q129)),NOT(ISNUMBER(Q133)),Q129=0),"",Q133/Q129)</f>
        <v/>
      </c>
      <c r="R139" s="29" t="str">
        <f t="shared" si="85"/>
        <v/>
      </c>
      <c r="S139" s="29">
        <f t="shared" si="85"/>
        <v>1.9250043207022804</v>
      </c>
      <c r="T139" s="29">
        <f t="shared" si="85"/>
        <v>3.5407610972432031</v>
      </c>
      <c r="U139" s="29">
        <f t="shared" si="85"/>
        <v>-7.7389676787059107</v>
      </c>
      <c r="V139" s="29">
        <f t="shared" si="85"/>
        <v>-9.8582370081978166</v>
      </c>
      <c r="W139" s="29">
        <f t="shared" si="85"/>
        <v>1.2445303730217558</v>
      </c>
      <c r="X139" s="29">
        <f t="shared" si="85"/>
        <v>0.99004380607799325</v>
      </c>
      <c r="Y139" s="29">
        <f t="shared" si="85"/>
        <v>5.1620776749219077</v>
      </c>
      <c r="Z139" s="29">
        <f t="shared" si="85"/>
        <v>1.4052066933319831</v>
      </c>
    </row>
    <row r="141" spans="2:26">
      <c r="B141" s="24" t="s">
        <v>335</v>
      </c>
      <c r="P141" s="24" t="s">
        <v>260</v>
      </c>
      <c r="Q141" s="29" t="str">
        <f t="shared" ref="Q141:Z141" si="86">IF(OR(NOT(ISNUMBER(Q133)),NOT(ISNUMBER(Q135)),Q133=0),"",Q135/Q133)</f>
        <v/>
      </c>
      <c r="R141" s="29" t="str">
        <f t="shared" si="86"/>
        <v/>
      </c>
      <c r="S141" s="29">
        <f t="shared" si="86"/>
        <v>2.1598498156173647</v>
      </c>
      <c r="T141" s="29">
        <f t="shared" si="86"/>
        <v>-2.0869567174142039</v>
      </c>
      <c r="U141" s="29">
        <f t="shared" si="86"/>
        <v>0.23980173466749224</v>
      </c>
      <c r="V141" s="29">
        <f t="shared" si="86"/>
        <v>0.83890557006465138</v>
      </c>
      <c r="W141" s="29">
        <f t="shared" si="86"/>
        <v>-2.2066808678933052</v>
      </c>
      <c r="X141" s="29">
        <f t="shared" si="86"/>
        <v>199.82980766005292</v>
      </c>
      <c r="Y141" s="29">
        <f t="shared" si="86"/>
        <v>-1.5971166145672309</v>
      </c>
      <c r="Z141" s="29">
        <f t="shared" si="86"/>
        <v>2.2771949917380794</v>
      </c>
    </row>
    <row r="143" spans="2:26">
      <c r="B143" s="24" t="s">
        <v>336</v>
      </c>
      <c r="P143" s="24" t="s">
        <v>260</v>
      </c>
      <c r="Q143" s="29" t="str">
        <f t="shared" ref="Q143:Z143" si="87">IF(OR(NOT(ISNUMBER(Q129)),NOT(ISNUMBER(Q135)),Q129=0),"",Q135/Q129)</f>
        <v/>
      </c>
      <c r="R143" s="29" t="str">
        <f t="shared" si="87"/>
        <v/>
      </c>
      <c r="S143" s="29">
        <f t="shared" si="87"/>
        <v>4.1577202271314508</v>
      </c>
      <c r="T143" s="29">
        <f t="shared" si="87"/>
        <v>-7.3894151566505899</v>
      </c>
      <c r="U143" s="29">
        <f t="shared" si="87"/>
        <v>-1.8558178738893329</v>
      </c>
      <c r="V143" s="29">
        <f t="shared" si="87"/>
        <v>-8.2701299371946337</v>
      </c>
      <c r="W143" s="29">
        <f t="shared" si="87"/>
        <v>-2.7462813636592269</v>
      </c>
      <c r="X143" s="29">
        <f t="shared" si="87"/>
        <v>197.84026334359211</v>
      </c>
      <c r="Y143" s="29">
        <f t="shared" si="87"/>
        <v>-8.24444002030436</v>
      </c>
      <c r="Z143" s="29">
        <f t="shared" si="87"/>
        <v>3.1999296444124194</v>
      </c>
    </row>
  </sheetData>
  <mergeCells count="2">
    <mergeCell ref="A1:Z1"/>
    <mergeCell ref="A2:Z2"/>
  </mergeCells>
  <conditionalFormatting sqref="Q31:Z31">
    <cfRule type="cellIs" dxfId="9" priority="1" operator="equal">
      <formula>"Error"</formula>
    </cfRule>
    <cfRule type="cellIs" dxfId="8" priority="2" operator="equal">
      <formula>"OK"</formula>
    </cfRule>
  </conditionalFormatting>
  <conditionalFormatting sqref="Q39:Z39">
    <cfRule type="cellIs" dxfId="7" priority="3" operator="equal">
      <formula>"Error"</formula>
    </cfRule>
    <cfRule type="cellIs" dxfId="6" priority="4" operator="equal">
      <formula>"OK"</formula>
    </cfRule>
  </conditionalFormatting>
  <conditionalFormatting sqref="Q47:Z47">
    <cfRule type="cellIs" dxfId="5" priority="5" operator="equal">
      <formula>"Error"</formula>
    </cfRule>
    <cfRule type="cellIs" dxfId="4" priority="6" operator="equal">
      <formula>"OK"</formula>
    </cfRule>
  </conditionalFormatting>
  <conditionalFormatting sqref="Q55:Z55">
    <cfRule type="cellIs" dxfId="3" priority="7" operator="equal">
      <formula>"Error"</formula>
    </cfRule>
    <cfRule type="cellIs" dxfId="2" priority="8" operator="equal">
      <formula>"OK"</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G108"/>
  <sheetViews>
    <sheetView showGridLines="0" workbookViewId="0">
      <pane ySplit="5" topLeftCell="A6" activePane="bottomLeft" state="frozen"/>
      <selection pane="bottomLeft"/>
    </sheetView>
  </sheetViews>
  <sheetFormatPr defaultRowHeight="14.5"/>
  <cols>
    <col min="1" max="1" width="3" customWidth="1"/>
    <col min="2" max="2" width="26" customWidth="1"/>
    <col min="3" max="59" width="13" customWidth="1"/>
  </cols>
  <sheetData>
    <row r="1" spans="1:59" ht="24" customHeight="1">
      <c r="A1" s="174" t="s">
        <v>337</v>
      </c>
      <c r="B1" s="172"/>
      <c r="C1" s="172"/>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c r="AP1" s="172"/>
      <c r="AQ1" s="172"/>
      <c r="AR1" s="172"/>
      <c r="AS1" s="172"/>
      <c r="AT1" s="172"/>
      <c r="AU1" s="172"/>
      <c r="AV1" s="172"/>
      <c r="AW1" s="172"/>
      <c r="AX1" s="172"/>
      <c r="AY1" s="172"/>
      <c r="AZ1" s="172"/>
      <c r="BA1" s="172"/>
      <c r="BB1" s="172"/>
      <c r="BC1" s="172"/>
      <c r="BD1" s="172"/>
      <c r="BE1" s="172"/>
      <c r="BF1" s="172"/>
      <c r="BG1" s="172"/>
    </row>
    <row r="2" spans="1:59">
      <c r="A2" s="173" t="s">
        <v>338</v>
      </c>
      <c r="B2" s="172"/>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2"/>
      <c r="AQ2" s="172"/>
      <c r="AR2" s="172"/>
      <c r="AS2" s="172"/>
      <c r="AT2" s="172"/>
      <c r="AU2" s="172"/>
      <c r="AV2" s="172"/>
      <c r="AW2" s="172"/>
      <c r="AX2" s="172"/>
      <c r="AY2" s="172"/>
      <c r="AZ2" s="172"/>
      <c r="BA2" s="172"/>
      <c r="BB2" s="172"/>
      <c r="BC2" s="172"/>
      <c r="BD2" s="172"/>
      <c r="BE2" s="172"/>
      <c r="BF2" s="172"/>
      <c r="BG2" s="172"/>
    </row>
    <row r="5" spans="1:59">
      <c r="A5" s="5" t="s">
        <v>27</v>
      </c>
      <c r="B5" s="34" t="s">
        <v>339</v>
      </c>
      <c r="C5" s="4" t="s">
        <v>32</v>
      </c>
      <c r="D5" s="4" t="s">
        <v>33</v>
      </c>
      <c r="E5" s="4" t="s">
        <v>34</v>
      </c>
      <c r="F5" s="4" t="s">
        <v>35</v>
      </c>
      <c r="G5" s="4" t="s">
        <v>36</v>
      </c>
      <c r="H5" s="4" t="s">
        <v>37</v>
      </c>
      <c r="I5" s="4" t="s">
        <v>38</v>
      </c>
      <c r="J5" s="4" t="s">
        <v>39</v>
      </c>
    </row>
    <row r="6" spans="1:59">
      <c r="B6" s="35" t="s">
        <v>270</v>
      </c>
      <c r="C6" s="8">
        <f>HIST_CON!G7</f>
        <v>83338400000</v>
      </c>
      <c r="D6" s="8">
        <f>HIST_CON!H7</f>
        <v>50246900000</v>
      </c>
      <c r="E6" s="8">
        <f>HIST_CON!I7</f>
        <v>29728500000</v>
      </c>
      <c r="F6" s="8">
        <f>HIST_CON!J7</f>
        <v>33457200000</v>
      </c>
      <c r="G6" s="8">
        <f>HIST_CON!K7</f>
        <v>65817800000</v>
      </c>
      <c r="H6" s="8">
        <f>HIST_CON!L7</f>
        <v>59705300000</v>
      </c>
      <c r="I6" s="8">
        <f>HIST_CON!M7</f>
        <v>65290900000</v>
      </c>
      <c r="J6" s="8">
        <f>HIST_CON!N7</f>
        <v>108897400000</v>
      </c>
    </row>
    <row r="7" spans="1:59">
      <c r="B7" s="35" t="s">
        <v>261</v>
      </c>
      <c r="C7" s="8">
        <f>HIST_CON!G26</f>
        <v>-3891800000</v>
      </c>
      <c r="D7" s="8">
        <f>HIST_CON!H26</f>
        <v>-15310900000</v>
      </c>
      <c r="E7" s="8">
        <f>HIST_CON!I26</f>
        <v>-26913900000</v>
      </c>
      <c r="F7" s="8">
        <f>HIST_CON!J26</f>
        <v>1003400000</v>
      </c>
      <c r="G7" s="8">
        <f>HIST_CON!K26</f>
        <v>-1661900000</v>
      </c>
      <c r="H7" s="8">
        <f>HIST_CON!L26</f>
        <v>28872900000</v>
      </c>
      <c r="I7" s="8">
        <f>HIST_CON!M26</f>
        <v>6603500000</v>
      </c>
      <c r="J7" s="8">
        <f>HIST_CON!N26</f>
        <v>20716300000</v>
      </c>
    </row>
    <row r="8" spans="1:59">
      <c r="B8" s="35" t="s">
        <v>282</v>
      </c>
      <c r="C8" s="8">
        <f>HIST_CON!G22</f>
        <v>-3907400000</v>
      </c>
      <c r="D8" s="8">
        <f>HIST_CON!H22</f>
        <v>-15429900000</v>
      </c>
      <c r="E8" s="8">
        <f>HIST_CON!I22</f>
        <v>-26839500000</v>
      </c>
      <c r="F8" s="8">
        <f>HIST_CON!J22</f>
        <v>1049700000</v>
      </c>
      <c r="G8" s="8">
        <f>HIST_CON!K22</f>
        <v>4000000</v>
      </c>
      <c r="H8" s="8">
        <f>HIST_CON!L22</f>
        <v>28917100000</v>
      </c>
      <c r="I8" s="8">
        <f>HIST_CON!M22</f>
        <v>6594900000</v>
      </c>
      <c r="J8" s="8">
        <f>HIST_CON!N22</f>
        <v>14466300000</v>
      </c>
    </row>
    <row r="9" spans="1:59">
      <c r="B9" s="35" t="s">
        <v>127</v>
      </c>
      <c r="C9" s="8">
        <f>HIST_CON!G19</f>
        <v>7406200000</v>
      </c>
      <c r="D9" s="8">
        <f>HIST_CON!H19</f>
        <v>-3006500000</v>
      </c>
      <c r="E9" s="8">
        <f>HIST_CON!I19</f>
        <v>-12507700000</v>
      </c>
      <c r="F9" s="8">
        <f>HIST_CON!J19</f>
        <v>2957700000</v>
      </c>
      <c r="G9" s="8">
        <f>HIST_CON!K19</f>
        <v>6518000000</v>
      </c>
      <c r="H9" s="8">
        <f>HIST_CON!L19</f>
        <v>5918700000</v>
      </c>
      <c r="I9" s="8">
        <f>HIST_CON!M19</f>
        <v>8777000000</v>
      </c>
      <c r="J9" s="8">
        <f>HIST_CON!N19</f>
        <v>17014300000</v>
      </c>
    </row>
    <row r="10" spans="1:59">
      <c r="B10" s="35" t="s">
        <v>169</v>
      </c>
      <c r="C10" s="8">
        <f>HIST_CON!G65</f>
        <v>111205700000</v>
      </c>
      <c r="D10" s="8">
        <f>HIST_CON!H65</f>
        <v>88709100000</v>
      </c>
      <c r="E10" s="8">
        <f>HIST_CON!I65</f>
        <v>65303500000</v>
      </c>
      <c r="F10" s="8">
        <f>HIST_CON!J65</f>
        <v>66010900000</v>
      </c>
      <c r="G10" s="8">
        <f>HIST_CON!K65</f>
        <v>64748600000</v>
      </c>
      <c r="H10" s="8">
        <f>HIST_CON!L65</f>
        <v>55233800000</v>
      </c>
      <c r="I10" s="8">
        <f>HIST_CON!M65</f>
        <v>71790200000</v>
      </c>
      <c r="J10" s="8">
        <f>HIST_CON!N65</f>
        <v>129595900000</v>
      </c>
    </row>
    <row r="11" spans="1:59">
      <c r="B11" s="35" t="s">
        <v>340</v>
      </c>
      <c r="C11" s="8">
        <f>HIST_CON!G72</f>
        <v>-69566600000</v>
      </c>
      <c r="D11" s="8">
        <f>HIST_CON!H72</f>
        <v>-85030900000</v>
      </c>
      <c r="E11" s="8">
        <f>HIST_CON!I72</f>
        <v>-110418400000</v>
      </c>
      <c r="F11" s="8">
        <f>HIST_CON!J72</f>
        <v>-34007100000</v>
      </c>
      <c r="G11" s="8">
        <f>HIST_CON!K72</f>
        <v>-35618100000</v>
      </c>
      <c r="H11" s="8">
        <f>HIST_CON!L72</f>
        <v>10991400000</v>
      </c>
      <c r="I11" s="8">
        <f>HIST_CON!M72</f>
        <v>39203100000</v>
      </c>
      <c r="J11" s="8">
        <f>HIST_CON!N72</f>
        <v>61057200000</v>
      </c>
    </row>
    <row r="13" spans="1:59">
      <c r="A13" s="5" t="s">
        <v>27</v>
      </c>
      <c r="B13" s="34" t="s">
        <v>341</v>
      </c>
      <c r="C13" s="5"/>
      <c r="D13" s="5"/>
      <c r="E13" s="5"/>
      <c r="F13" s="5"/>
      <c r="G13" s="5"/>
      <c r="H13" s="5"/>
      <c r="I13" s="5"/>
      <c r="J13" s="5"/>
    </row>
    <row r="14" spans="1:59" ht="29">
      <c r="B14" s="36" t="s">
        <v>342</v>
      </c>
      <c r="C14" s="25">
        <f t="shared" ref="C14:J14" si="0">IFERROR(C7/C6,0)</f>
        <v>-4.6698760715348508E-2</v>
      </c>
      <c r="D14" s="25">
        <f t="shared" si="0"/>
        <v>-0.30471332559819608</v>
      </c>
      <c r="E14" s="25">
        <f t="shared" si="0"/>
        <v>-0.9053231747313184</v>
      </c>
      <c r="F14" s="25">
        <f t="shared" si="0"/>
        <v>2.9990555097258589E-2</v>
      </c>
      <c r="G14" s="25">
        <f t="shared" si="0"/>
        <v>-2.5250008356402068E-2</v>
      </c>
      <c r="H14" s="25">
        <f t="shared" si="0"/>
        <v>0.48359023403282458</v>
      </c>
      <c r="I14" s="25">
        <f t="shared" si="0"/>
        <v>0.10113966877466844</v>
      </c>
      <c r="J14" s="25">
        <f t="shared" si="0"/>
        <v>0.19023686515931509</v>
      </c>
    </row>
    <row r="15" spans="1:59" ht="29">
      <c r="B15" s="36" t="s">
        <v>343</v>
      </c>
      <c r="C15" s="29">
        <f t="shared" ref="C15:J15" si="1">IFERROR(C6/C10,0)</f>
        <v>0.74940762928518956</v>
      </c>
      <c r="D15" s="29">
        <f t="shared" si="1"/>
        <v>0.56642328690066746</v>
      </c>
      <c r="E15" s="29">
        <f t="shared" si="1"/>
        <v>0.45523593681808783</v>
      </c>
      <c r="F15" s="29">
        <f t="shared" si="1"/>
        <v>0.50684356674428011</v>
      </c>
      <c r="G15" s="29">
        <f t="shared" si="1"/>
        <v>1.0165130983527058</v>
      </c>
      <c r="H15" s="29">
        <f t="shared" si="1"/>
        <v>1.0809558639818373</v>
      </c>
      <c r="I15" s="29">
        <f t="shared" si="1"/>
        <v>0.90946814467712866</v>
      </c>
      <c r="J15" s="29">
        <f t="shared" si="1"/>
        <v>0.84028429911748748</v>
      </c>
    </row>
    <row r="16" spans="1:59" ht="29">
      <c r="B16" s="36" t="s">
        <v>344</v>
      </c>
      <c r="C16" s="29">
        <f t="shared" ref="C16:J16" si="2">IFERROR(C10/C11,0)</f>
        <v>-1.5985501663154444</v>
      </c>
      <c r="D16" s="29">
        <f t="shared" si="2"/>
        <v>-1.0432572159062177</v>
      </c>
      <c r="E16" s="29">
        <f t="shared" si="2"/>
        <v>-0.59141864037153224</v>
      </c>
      <c r="F16" s="29">
        <f t="shared" si="2"/>
        <v>-1.9410917132010668</v>
      </c>
      <c r="G16" s="29">
        <f t="shared" si="2"/>
        <v>-1.8178566515339112</v>
      </c>
      <c r="H16" s="29">
        <f t="shared" si="2"/>
        <v>5.0251833251451137</v>
      </c>
      <c r="I16" s="29">
        <f t="shared" si="2"/>
        <v>1.8312378357833947</v>
      </c>
      <c r="J16" s="29">
        <f t="shared" si="2"/>
        <v>2.1225326415230308</v>
      </c>
    </row>
    <row r="17" spans="1:49">
      <c r="A17" s="9"/>
      <c r="B17" s="37" t="s">
        <v>345</v>
      </c>
      <c r="C17" s="38">
        <f t="shared" ref="C17:J17" si="3">IFERROR(C14*C15*C16,0)</f>
        <v>5.5943513122676682E-2</v>
      </c>
      <c r="D17" s="38">
        <f t="shared" si="3"/>
        <v>0.18006277717864919</v>
      </c>
      <c r="E17" s="38">
        <f t="shared" si="3"/>
        <v>0.24374470196996151</v>
      </c>
      <c r="F17" s="38">
        <f t="shared" si="3"/>
        <v>-2.9505603241676004E-2</v>
      </c>
      <c r="G17" s="38">
        <f t="shared" si="3"/>
        <v>4.6658861646185511E-2</v>
      </c>
      <c r="H17" s="38">
        <f t="shared" si="3"/>
        <v>2.6268628200229278</v>
      </c>
      <c r="I17" s="38">
        <f t="shared" si="3"/>
        <v>0.16844331188094819</v>
      </c>
      <c r="J17" s="38">
        <f t="shared" si="3"/>
        <v>0.33929331839651994</v>
      </c>
    </row>
    <row r="19" spans="1:49">
      <c r="A19" s="5" t="s">
        <v>27</v>
      </c>
      <c r="B19" s="34" t="s">
        <v>346</v>
      </c>
      <c r="C19" s="5"/>
      <c r="D19" s="5"/>
      <c r="E19" s="5"/>
      <c r="F19" s="5"/>
      <c r="G19" s="5"/>
      <c r="H19" s="5"/>
      <c r="I19" s="5"/>
      <c r="J19" s="5"/>
    </row>
    <row r="20" spans="1:49" ht="29">
      <c r="B20" s="36" t="s">
        <v>347</v>
      </c>
      <c r="C20" s="25">
        <f t="shared" ref="C20:J21" si="4">IFERROR(C7/C8,0)</f>
        <v>0.9960075753698111</v>
      </c>
      <c r="D20" s="25">
        <f t="shared" si="4"/>
        <v>0.9922877011516601</v>
      </c>
      <c r="E20" s="25">
        <f t="shared" si="4"/>
        <v>1.0027720337562176</v>
      </c>
      <c r="F20" s="25">
        <f t="shared" si="4"/>
        <v>0.95589215966466612</v>
      </c>
      <c r="G20" s="25">
        <f t="shared" si="4"/>
        <v>-415.47500000000002</v>
      </c>
      <c r="H20" s="25">
        <f t="shared" si="4"/>
        <v>0.9984714926462197</v>
      </c>
      <c r="I20" s="25">
        <f t="shared" si="4"/>
        <v>1.0013040379687335</v>
      </c>
      <c r="J20" s="25">
        <f t="shared" si="4"/>
        <v>1.4320386000566834</v>
      </c>
    </row>
    <row r="21" spans="1:49">
      <c r="B21" s="36" t="s">
        <v>348</v>
      </c>
      <c r="C21" s="25">
        <f t="shared" si="4"/>
        <v>-0.52758499635440581</v>
      </c>
      <c r="D21" s="25">
        <f t="shared" si="4"/>
        <v>5.1321802760685182</v>
      </c>
      <c r="E21" s="25">
        <f t="shared" si="4"/>
        <v>2.1458381636911663</v>
      </c>
      <c r="F21" s="25">
        <f t="shared" si="4"/>
        <v>0.35490414849376206</v>
      </c>
      <c r="G21" s="25">
        <f t="shared" si="4"/>
        <v>6.1368517950291502E-4</v>
      </c>
      <c r="H21" s="25">
        <f t="shared" si="4"/>
        <v>4.8857181475661884</v>
      </c>
      <c r="I21" s="25">
        <f t="shared" si="4"/>
        <v>0.75138429987467248</v>
      </c>
      <c r="J21" s="25">
        <f t="shared" si="4"/>
        <v>0.85024361860317499</v>
      </c>
    </row>
    <row r="22" spans="1:49" ht="29">
      <c r="B22" s="36" t="s">
        <v>349</v>
      </c>
      <c r="C22" s="25">
        <f t="shared" ref="C22:J22" si="5">IFERROR(C9/C6,0)</f>
        <v>8.8868996764996683E-2</v>
      </c>
      <c r="D22" s="25">
        <f t="shared" si="5"/>
        <v>-5.9834537056017385E-2</v>
      </c>
      <c r="E22" s="25">
        <f t="shared" si="5"/>
        <v>-0.42073094841650266</v>
      </c>
      <c r="F22" s="25">
        <f t="shared" si="5"/>
        <v>8.8402496323661275E-2</v>
      </c>
      <c r="G22" s="25">
        <f t="shared" si="5"/>
        <v>9.9030961229333095E-2</v>
      </c>
      <c r="H22" s="25">
        <f t="shared" si="5"/>
        <v>9.9131902862894916E-2</v>
      </c>
      <c r="I22" s="25">
        <f t="shared" si="5"/>
        <v>0.13442914709400544</v>
      </c>
      <c r="J22" s="25">
        <f t="shared" si="5"/>
        <v>0.15624156315945101</v>
      </c>
    </row>
    <row r="23" spans="1:49" ht="29">
      <c r="B23" s="36" t="s">
        <v>343</v>
      </c>
      <c r="C23" s="29">
        <f t="shared" ref="C23:J23" si="6">IFERROR(C6/C10,0)</f>
        <v>0.74940762928518956</v>
      </c>
      <c r="D23" s="29">
        <f t="shared" si="6"/>
        <v>0.56642328690066746</v>
      </c>
      <c r="E23" s="29">
        <f t="shared" si="6"/>
        <v>0.45523593681808783</v>
      </c>
      <c r="F23" s="29">
        <f t="shared" si="6"/>
        <v>0.50684356674428011</v>
      </c>
      <c r="G23" s="29">
        <f t="shared" si="6"/>
        <v>1.0165130983527058</v>
      </c>
      <c r="H23" s="29">
        <f t="shared" si="6"/>
        <v>1.0809558639818373</v>
      </c>
      <c r="I23" s="29">
        <f t="shared" si="6"/>
        <v>0.90946814467712866</v>
      </c>
      <c r="J23" s="29">
        <f t="shared" si="6"/>
        <v>0.84028429911748748</v>
      </c>
    </row>
    <row r="24" spans="1:49" ht="29">
      <c r="B24" s="36" t="s">
        <v>344</v>
      </c>
      <c r="C24" s="29">
        <f t="shared" ref="C24:J24" si="7">IFERROR(C10/C11,0)</f>
        <v>-1.5985501663154444</v>
      </c>
      <c r="D24" s="29">
        <f t="shared" si="7"/>
        <v>-1.0432572159062177</v>
      </c>
      <c r="E24" s="29">
        <f t="shared" si="7"/>
        <v>-0.59141864037153224</v>
      </c>
      <c r="F24" s="29">
        <f t="shared" si="7"/>
        <v>-1.9410917132010668</v>
      </c>
      <c r="G24" s="29">
        <f t="shared" si="7"/>
        <v>-1.8178566515339112</v>
      </c>
      <c r="H24" s="29">
        <f t="shared" si="7"/>
        <v>5.0251833251451137</v>
      </c>
      <c r="I24" s="29">
        <f t="shared" si="7"/>
        <v>1.8312378357833947</v>
      </c>
      <c r="J24" s="29">
        <f t="shared" si="7"/>
        <v>2.1225326415230308</v>
      </c>
    </row>
    <row r="25" spans="1:49">
      <c r="A25" s="9"/>
      <c r="B25" s="37" t="s">
        <v>350</v>
      </c>
      <c r="C25" s="38">
        <f t="shared" ref="C25:J25" si="8">IFERROR(C20*C21*C22*C23*C24,0)</f>
        <v>5.5943513122676682E-2</v>
      </c>
      <c r="D25" s="38">
        <f t="shared" si="8"/>
        <v>0.18006277717864921</v>
      </c>
      <c r="E25" s="38">
        <f t="shared" si="8"/>
        <v>0.24374470196996151</v>
      </c>
      <c r="F25" s="38">
        <f t="shared" si="8"/>
        <v>-2.9505603241676004E-2</v>
      </c>
      <c r="G25" s="38">
        <f t="shared" si="8"/>
        <v>4.6658861646185511E-2</v>
      </c>
      <c r="H25" s="38">
        <f t="shared" si="8"/>
        <v>2.6268628200229269</v>
      </c>
      <c r="I25" s="38">
        <f t="shared" si="8"/>
        <v>0.16844331188094819</v>
      </c>
      <c r="J25" s="38">
        <f t="shared" si="8"/>
        <v>0.33929331839651994</v>
      </c>
    </row>
    <row r="27" spans="1:49">
      <c r="A27" s="5" t="s">
        <v>27</v>
      </c>
      <c r="B27" s="34" t="s">
        <v>351</v>
      </c>
      <c r="C27" s="5"/>
      <c r="D27" s="5"/>
      <c r="E27" s="5"/>
      <c r="F27" s="5"/>
      <c r="G27" s="5"/>
      <c r="H27" s="5"/>
      <c r="I27" s="5"/>
      <c r="J27" s="5"/>
    </row>
    <row r="28" spans="1:49" ht="29">
      <c r="B28" s="36" t="s">
        <v>352</v>
      </c>
      <c r="C28" s="25">
        <f t="shared" ref="C28:J28" si="9">IFERROR(C7/C11,0)</f>
        <v>5.5943513122676689E-2</v>
      </c>
      <c r="D28" s="25">
        <f t="shared" si="9"/>
        <v>0.18006277717864919</v>
      </c>
      <c r="E28" s="25">
        <f t="shared" si="9"/>
        <v>0.24374470196996154</v>
      </c>
      <c r="F28" s="25">
        <f t="shared" si="9"/>
        <v>-2.9505603241676004E-2</v>
      </c>
      <c r="G28" s="25">
        <f t="shared" si="9"/>
        <v>4.6658861646185504E-2</v>
      </c>
      <c r="H28" s="25">
        <f t="shared" si="9"/>
        <v>2.6268628200229269</v>
      </c>
      <c r="I28" s="25">
        <f t="shared" si="9"/>
        <v>0.16844331188094819</v>
      </c>
      <c r="J28" s="25">
        <f t="shared" si="9"/>
        <v>0.33929331839651999</v>
      </c>
    </row>
    <row r="29" spans="1:49">
      <c r="B29" s="15" t="s">
        <v>353</v>
      </c>
      <c r="C29" s="39">
        <f t="shared" ref="C29:J29" si="10">ROUND(C28-C17,6)+ROUND(C28-C25,6)</f>
        <v>0</v>
      </c>
      <c r="D29" s="39">
        <f t="shared" si="10"/>
        <v>0</v>
      </c>
      <c r="E29" s="39">
        <f t="shared" si="10"/>
        <v>0</v>
      </c>
      <c r="F29" s="39">
        <f t="shared" si="10"/>
        <v>0</v>
      </c>
      <c r="G29" s="39">
        <f t="shared" si="10"/>
        <v>0</v>
      </c>
      <c r="H29" s="39">
        <f t="shared" si="10"/>
        <v>0</v>
      </c>
      <c r="I29" s="39">
        <f t="shared" si="10"/>
        <v>0</v>
      </c>
      <c r="J29" s="39">
        <f t="shared" si="10"/>
        <v>0</v>
      </c>
    </row>
    <row r="31" spans="1:49" ht="17">
      <c r="A31" s="17"/>
      <c r="B31" s="40" t="s">
        <v>354</v>
      </c>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row>
    <row r="33" spans="2:49" ht="15.5">
      <c r="Q33" s="175" t="s">
        <v>259</v>
      </c>
      <c r="R33" s="176"/>
      <c r="S33" s="176"/>
      <c r="T33" s="176"/>
      <c r="U33" s="176"/>
      <c r="V33" s="176"/>
      <c r="W33" s="176"/>
      <c r="X33" s="177"/>
      <c r="AP33" s="42" t="s">
        <v>355</v>
      </c>
    </row>
    <row r="34" spans="2:49">
      <c r="Q34" s="43" t="s">
        <v>32</v>
      </c>
      <c r="R34" s="44" t="s">
        <v>33</v>
      </c>
      <c r="S34" s="44" t="s">
        <v>34</v>
      </c>
      <c r="T34" s="44" t="s">
        <v>35</v>
      </c>
      <c r="U34" s="44" t="s">
        <v>36</v>
      </c>
      <c r="V34" s="44" t="s">
        <v>37</v>
      </c>
      <c r="W34" s="44" t="s">
        <v>38</v>
      </c>
      <c r="X34" s="45" t="s">
        <v>39</v>
      </c>
    </row>
    <row r="35" spans="2:49">
      <c r="Q35" s="46">
        <f>RATIO_ANALYSIS!S7</f>
        <v>5.5943513122676689E-2</v>
      </c>
      <c r="R35" s="47">
        <f>RATIO_ANALYSIS!T7</f>
        <v>0.18006277717864919</v>
      </c>
      <c r="S35" s="47">
        <f>RATIO_ANALYSIS!U7</f>
        <v>0.24374470196996154</v>
      </c>
      <c r="T35" s="47">
        <f>RATIO_ANALYSIS!V7</f>
        <v>-2.9505603241676004E-2</v>
      </c>
      <c r="U35" s="47">
        <f>RATIO_ANALYSIS!W7</f>
        <v>4.6658861646185504E-2</v>
      </c>
      <c r="V35" s="47">
        <f>RATIO_ANALYSIS!X7</f>
        <v>2.6268628200229269</v>
      </c>
      <c r="W35" s="47">
        <f>RATIO_ANALYSIS!Y7</f>
        <v>0.16844331188094819</v>
      </c>
      <c r="X35" s="48">
        <f>RATIO_ANALYSIS!Z7</f>
        <v>0.33929331839651999</v>
      </c>
      <c r="AP35" s="175" t="s">
        <v>298</v>
      </c>
      <c r="AQ35" s="176"/>
      <c r="AR35" s="176"/>
      <c r="AS35" s="176"/>
      <c r="AT35" s="176"/>
      <c r="AU35" s="176"/>
      <c r="AV35" s="176"/>
      <c r="AW35" s="177"/>
    </row>
    <row r="36" spans="2:49">
      <c r="U36" s="49"/>
      <c r="AP36" s="43" t="s">
        <v>32</v>
      </c>
      <c r="AQ36" s="44" t="s">
        <v>33</v>
      </c>
      <c r="AR36" s="44" t="s">
        <v>34</v>
      </c>
      <c r="AS36" s="44" t="s">
        <v>35</v>
      </c>
      <c r="AT36" s="44" t="s">
        <v>36</v>
      </c>
      <c r="AU36" s="44" t="s">
        <v>37</v>
      </c>
      <c r="AV36" s="44" t="s">
        <v>38</v>
      </c>
      <c r="AW36" s="45" t="s">
        <v>39</v>
      </c>
    </row>
    <row r="37" spans="2:49">
      <c r="F37" s="50"/>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50"/>
      <c r="AP37" s="51">
        <f>RATIO_ANALYSIS!S79</f>
        <v>25.449318681424167</v>
      </c>
      <c r="AQ37" s="52">
        <f>RATIO_ANALYSIS!T79</f>
        <v>5.4204936025904091</v>
      </c>
      <c r="AR37" s="52">
        <f>RATIO_ANALYSIS!U79</f>
        <v>10.108296752274754</v>
      </c>
      <c r="AS37" s="52">
        <f>RATIO_ANALYSIS!V79</f>
        <v>28.637333668089379</v>
      </c>
      <c r="AT37" s="52">
        <f>RATIO_ANALYSIS!W79</f>
        <v>27.751907538690144</v>
      </c>
      <c r="AU37" s="52">
        <f>RATIO_ANALYSIS!X79</f>
        <v>22.454983058455447</v>
      </c>
      <c r="AV37" s="52">
        <f>RATIO_ANALYSIS!Y79</f>
        <v>23.861916438584856</v>
      </c>
      <c r="AW37" s="53">
        <f>RATIO_ANALYSIS!Z79</f>
        <v>37.299600357767957</v>
      </c>
    </row>
    <row r="38" spans="2:49">
      <c r="B38" s="175" t="s">
        <v>285</v>
      </c>
      <c r="C38" s="176"/>
      <c r="D38" s="176"/>
      <c r="E38" s="176"/>
      <c r="F38" s="176"/>
      <c r="G38" s="176"/>
      <c r="H38" s="176"/>
      <c r="I38" s="177"/>
      <c r="L38" s="175" t="s">
        <v>283</v>
      </c>
      <c r="M38" s="176"/>
      <c r="N38" s="176"/>
      <c r="O38" s="176"/>
      <c r="P38" s="176"/>
      <c r="Q38" s="176"/>
      <c r="R38" s="176"/>
      <c r="S38" s="177"/>
      <c r="V38" s="175" t="s">
        <v>314</v>
      </c>
      <c r="W38" s="176"/>
      <c r="X38" s="176"/>
      <c r="Y38" s="176"/>
      <c r="Z38" s="176"/>
      <c r="AA38" s="176"/>
      <c r="AB38" s="176"/>
      <c r="AC38" s="177"/>
      <c r="AF38" s="175" t="s">
        <v>293</v>
      </c>
      <c r="AG38" s="176"/>
      <c r="AH38" s="176"/>
      <c r="AI38" s="176"/>
      <c r="AJ38" s="176"/>
      <c r="AK38" s="176"/>
      <c r="AL38" s="176"/>
      <c r="AM38" s="177"/>
    </row>
    <row r="39" spans="2:49">
      <c r="B39" s="43" t="s">
        <v>32</v>
      </c>
      <c r="C39" s="44" t="s">
        <v>33</v>
      </c>
      <c r="D39" s="44" t="s">
        <v>34</v>
      </c>
      <c r="E39" s="44" t="s">
        <v>35</v>
      </c>
      <c r="F39" s="44" t="s">
        <v>36</v>
      </c>
      <c r="G39" s="44" t="s">
        <v>37</v>
      </c>
      <c r="H39" s="44" t="s">
        <v>38</v>
      </c>
      <c r="I39" s="45" t="s">
        <v>39</v>
      </c>
      <c r="J39" s="54"/>
      <c r="K39" s="54"/>
      <c r="L39" s="43" t="s">
        <v>32</v>
      </c>
      <c r="M39" s="44" t="s">
        <v>33</v>
      </c>
      <c r="N39" s="44" t="s">
        <v>34</v>
      </c>
      <c r="O39" s="44" t="s">
        <v>35</v>
      </c>
      <c r="P39" s="44" t="s">
        <v>36</v>
      </c>
      <c r="Q39" s="44" t="s">
        <v>37</v>
      </c>
      <c r="R39" s="44" t="s">
        <v>38</v>
      </c>
      <c r="S39" s="45" t="s">
        <v>39</v>
      </c>
      <c r="V39" s="43" t="s">
        <v>32</v>
      </c>
      <c r="W39" s="44" t="s">
        <v>33</v>
      </c>
      <c r="X39" s="44" t="s">
        <v>34</v>
      </c>
      <c r="Y39" s="44" t="s">
        <v>35</v>
      </c>
      <c r="Z39" s="44" t="s">
        <v>36</v>
      </c>
      <c r="AA39" s="44" t="s">
        <v>37</v>
      </c>
      <c r="AB39" s="44" t="s">
        <v>38</v>
      </c>
      <c r="AC39" s="45" t="s">
        <v>39</v>
      </c>
      <c r="AF39" s="43" t="s">
        <v>32</v>
      </c>
      <c r="AG39" s="44" t="s">
        <v>33</v>
      </c>
      <c r="AH39" s="44" t="s">
        <v>34</v>
      </c>
      <c r="AI39" s="44" t="s">
        <v>35</v>
      </c>
      <c r="AJ39" s="44" t="s">
        <v>36</v>
      </c>
      <c r="AK39" s="44" t="s">
        <v>37</v>
      </c>
      <c r="AL39" s="44" t="s">
        <v>38</v>
      </c>
      <c r="AM39" s="45" t="s">
        <v>39</v>
      </c>
      <c r="AP39" s="175" t="s">
        <v>303</v>
      </c>
      <c r="AQ39" s="176"/>
      <c r="AR39" s="176"/>
      <c r="AS39" s="176"/>
      <c r="AT39" s="176"/>
      <c r="AU39" s="176"/>
      <c r="AV39" s="176"/>
      <c r="AW39" s="177"/>
    </row>
    <row r="40" spans="2:49">
      <c r="B40" s="46">
        <f>RATIO_ANALYSIS!S52</f>
        <v>-4.6698760715348508E-2</v>
      </c>
      <c r="C40" s="47">
        <f>RATIO_ANALYSIS!T52</f>
        <v>-0.30471332559819608</v>
      </c>
      <c r="D40" s="47">
        <f>RATIO_ANALYSIS!U52</f>
        <v>-0.9053231747313184</v>
      </c>
      <c r="E40" s="47">
        <f>RATIO_ANALYSIS!V52</f>
        <v>2.9990555097258589E-2</v>
      </c>
      <c r="F40" s="47">
        <f>RATIO_ANALYSIS!W52</f>
        <v>-2.5250008356402068E-2</v>
      </c>
      <c r="G40" s="47">
        <f>RATIO_ANALYSIS!X52</f>
        <v>0.48359023403282458</v>
      </c>
      <c r="H40" s="47">
        <f>RATIO_ANALYSIS!Y52</f>
        <v>0.10113966877466844</v>
      </c>
      <c r="I40" s="48">
        <f>RATIO_ANALYSIS!Z52</f>
        <v>0.19023686515931509</v>
      </c>
      <c r="L40" s="46">
        <f>RATIO_ANALYSIS!S49</f>
        <v>-1.8718861893196893E-4</v>
      </c>
      <c r="M40" s="47">
        <f>RATIO_ANALYSIS!T49</f>
        <v>-2.3683053083871841E-3</v>
      </c>
      <c r="N40" s="47">
        <f>RATIO_ANALYSIS!U49</f>
        <v>2.5026489732075281E-3</v>
      </c>
      <c r="O40" s="47">
        <f>RATIO_ANALYSIS!V49</f>
        <v>1.3838575852133472E-3</v>
      </c>
      <c r="P40" s="47">
        <f>RATIO_ANALYSIS!W49</f>
        <v>2.5310782189620438E-2</v>
      </c>
      <c r="Q40" s="47">
        <f>RATIO_ANALYSIS!X49</f>
        <v>7.4030278718974695E-4</v>
      </c>
      <c r="R40" s="47">
        <f>RATIO_ANALYSIS!Y49</f>
        <v>-1.3171820268980823E-4</v>
      </c>
      <c r="S40" s="48">
        <f>RATIO_ANALYSIS!Z49</f>
        <v>-5.739347312240696E-2</v>
      </c>
      <c r="V40" s="55">
        <f>RATIO_ANALYSIS!S103</f>
        <v>-1.5985501663154444</v>
      </c>
      <c r="W40" s="56">
        <f>RATIO_ANALYSIS!T103</f>
        <v>-1.0432572159062177</v>
      </c>
      <c r="X40" s="56">
        <f>RATIO_ANALYSIS!U103</f>
        <v>-0.59141864037153224</v>
      </c>
      <c r="Y40" s="56">
        <f>RATIO_ANALYSIS!V103</f>
        <v>-1.9410917132010668</v>
      </c>
      <c r="Z40" s="56">
        <f>RATIO_ANALYSIS!W103</f>
        <v>-1.8178566515339112</v>
      </c>
      <c r="AA40" s="56">
        <f>RATIO_ANALYSIS!X103</f>
        <v>5.0251833251451137</v>
      </c>
      <c r="AB40" s="56">
        <f>RATIO_ANALYSIS!Y103</f>
        <v>1.8312378357833947</v>
      </c>
      <c r="AC40" s="57">
        <f>RATIO_ANALYSIS!Z103</f>
        <v>2.1225326415230308</v>
      </c>
      <c r="AF40" s="55">
        <f>RATIO_ANALYSIS!S70</f>
        <v>0.74940762928518956</v>
      </c>
      <c r="AG40" s="56">
        <f>RATIO_ANALYSIS!T70</f>
        <v>0.56642328690066746</v>
      </c>
      <c r="AH40" s="56">
        <f>RATIO_ANALYSIS!U70</f>
        <v>0.45523593681808783</v>
      </c>
      <c r="AI40" s="56">
        <f>RATIO_ANALYSIS!V70</f>
        <v>0.50684356674428011</v>
      </c>
      <c r="AJ40" s="56">
        <f>RATIO_ANALYSIS!W70</f>
        <v>1.0165130983527058</v>
      </c>
      <c r="AK40" s="56">
        <f>RATIO_ANALYSIS!X70</f>
        <v>1.0809558639818373</v>
      </c>
      <c r="AL40" s="56">
        <f>RATIO_ANALYSIS!Y70</f>
        <v>0.90946814467712866</v>
      </c>
      <c r="AM40" s="57">
        <f>RATIO_ANALYSIS!Z70</f>
        <v>0.84028429911748748</v>
      </c>
      <c r="AP40" s="43" t="s">
        <v>32</v>
      </c>
      <c r="AQ40" s="44" t="s">
        <v>33</v>
      </c>
      <c r="AR40" s="44" t="s">
        <v>34</v>
      </c>
      <c r="AS40" s="44" t="s">
        <v>35</v>
      </c>
      <c r="AT40" s="44" t="s">
        <v>36</v>
      </c>
      <c r="AU40" s="44" t="s">
        <v>37</v>
      </c>
      <c r="AV40" s="44" t="s">
        <v>38</v>
      </c>
      <c r="AW40" s="45" t="s">
        <v>39</v>
      </c>
    </row>
    <row r="41" spans="2:49">
      <c r="F41" s="58"/>
      <c r="AP41" s="51">
        <f>RATIO_ANALYSIS!S85</f>
        <v>130.7416209094487</v>
      </c>
      <c r="AQ41" s="52">
        <f>RATIO_ANALYSIS!T85</f>
        <v>136.60849724062578</v>
      </c>
      <c r="AR41" s="52">
        <f>RATIO_ANALYSIS!U85</f>
        <v>167.53522713894077</v>
      </c>
      <c r="AS41" s="52">
        <f>RATIO_ANALYSIS!V85</f>
        <v>129.79203280609255</v>
      </c>
      <c r="AT41" s="52">
        <f>RATIO_ANALYSIS!W85</f>
        <v>76.36030830565592</v>
      </c>
      <c r="AU41" s="52">
        <f>RATIO_ANALYSIS!X85</f>
        <v>71.553212193892335</v>
      </c>
      <c r="AV41" s="52">
        <f>RATIO_ANALYSIS!Y85</f>
        <v>102.28021056533146</v>
      </c>
      <c r="AW41" s="53">
        <f>RATIO_ANALYSIS!Z85</f>
        <v>129.5915008071818</v>
      </c>
    </row>
    <row r="42" spans="2:49">
      <c r="B42" s="175" t="s">
        <v>281</v>
      </c>
      <c r="C42" s="176"/>
      <c r="D42" s="176"/>
      <c r="E42" s="176"/>
      <c r="F42" s="176"/>
      <c r="G42" s="176"/>
      <c r="H42" s="176"/>
      <c r="I42" s="177"/>
      <c r="L42" s="175" t="s">
        <v>356</v>
      </c>
      <c r="M42" s="176"/>
      <c r="N42" s="176"/>
      <c r="O42" s="176"/>
      <c r="P42" s="176"/>
      <c r="Q42" s="176"/>
      <c r="R42" s="176"/>
      <c r="S42" s="177"/>
      <c r="AF42" s="175" t="s">
        <v>294</v>
      </c>
      <c r="AG42" s="176"/>
      <c r="AH42" s="176"/>
      <c r="AI42" s="176"/>
      <c r="AJ42" s="176"/>
      <c r="AK42" s="176"/>
      <c r="AL42" s="176"/>
      <c r="AM42" s="177"/>
    </row>
    <row r="43" spans="2:49">
      <c r="B43" s="43" t="s">
        <v>32</v>
      </c>
      <c r="C43" s="44" t="s">
        <v>33</v>
      </c>
      <c r="D43" s="44" t="s">
        <v>34</v>
      </c>
      <c r="E43" s="44" t="s">
        <v>35</v>
      </c>
      <c r="F43" s="44" t="s">
        <v>36</v>
      </c>
      <c r="G43" s="44" t="s">
        <v>37</v>
      </c>
      <c r="H43" s="44" t="s">
        <v>38</v>
      </c>
      <c r="I43" s="45" t="s">
        <v>39</v>
      </c>
      <c r="J43" s="54"/>
      <c r="K43" s="54"/>
      <c r="L43" s="43" t="s">
        <v>32</v>
      </c>
      <c r="M43" s="44" t="s">
        <v>33</v>
      </c>
      <c r="N43" s="44" t="s">
        <v>34</v>
      </c>
      <c r="O43" s="44" t="s">
        <v>35</v>
      </c>
      <c r="P43" s="44" t="s">
        <v>36</v>
      </c>
      <c r="Q43" s="44" t="s">
        <v>37</v>
      </c>
      <c r="R43" s="44" t="s">
        <v>38</v>
      </c>
      <c r="S43" s="45" t="s">
        <v>39</v>
      </c>
      <c r="AF43" s="43" t="s">
        <v>32</v>
      </c>
      <c r="AG43" s="44" t="s">
        <v>33</v>
      </c>
      <c r="AH43" s="44" t="s">
        <v>34</v>
      </c>
      <c r="AI43" s="44" t="s">
        <v>35</v>
      </c>
      <c r="AJ43" s="44" t="s">
        <v>36</v>
      </c>
      <c r="AK43" s="44" t="s">
        <v>37</v>
      </c>
      <c r="AL43" s="44" t="s">
        <v>38</v>
      </c>
      <c r="AM43" s="45" t="s">
        <v>39</v>
      </c>
      <c r="AP43" s="175" t="s">
        <v>307</v>
      </c>
      <c r="AQ43" s="176"/>
      <c r="AR43" s="176"/>
      <c r="AS43" s="176"/>
      <c r="AT43" s="176"/>
      <c r="AU43" s="176"/>
      <c r="AV43" s="176"/>
      <c r="AW43" s="177"/>
    </row>
    <row r="44" spans="2:49">
      <c r="B44" s="46">
        <f>RATIO_ANALYSIS!S44</f>
        <v>-4.6885949334280475E-2</v>
      </c>
      <c r="C44" s="47">
        <f>RATIO_ANALYSIS!T44</f>
        <v>-0.3070816309065833</v>
      </c>
      <c r="D44" s="47">
        <f>RATIO_ANALYSIS!U44</f>
        <v>-0.90282052575811089</v>
      </c>
      <c r="E44" s="47">
        <f>RATIO_ANALYSIS!V44</f>
        <v>3.1374412682471937E-2</v>
      </c>
      <c r="F44" s="47">
        <f>RATIO_ANALYSIS!W44</f>
        <v>6.0773833218369499E-5</v>
      </c>
      <c r="G44" s="47">
        <f>RATIO_ANALYSIS!X44</f>
        <v>0.48433053682001431</v>
      </c>
      <c r="H44" s="47">
        <f>RATIO_ANALYSIS!Y44</f>
        <v>0.10100795057197863</v>
      </c>
      <c r="I44" s="48">
        <f>RATIO_ANALYSIS!Z44</f>
        <v>0.13284339203690815</v>
      </c>
      <c r="L44" s="46">
        <f>RATIO_ANALYSIS!S41</f>
        <v>0.13575494609927716</v>
      </c>
      <c r="M44" s="47">
        <f>RATIO_ANALYSIS!T41</f>
        <v>0.2472470938505659</v>
      </c>
      <c r="N44" s="47">
        <f>RATIO_ANALYSIS!U41</f>
        <v>0.48208957734160823</v>
      </c>
      <c r="O44" s="47">
        <f>RATIO_ANALYSIS!V41</f>
        <v>5.7028083641189338E-2</v>
      </c>
      <c r="P44" s="47">
        <f>RATIO_ANALYSIS!W41</f>
        <v>9.8970187396114725E-2</v>
      </c>
      <c r="Q44" s="47">
        <f>RATIO_ANALYSIS!X41</f>
        <v>-0.3851986339571194</v>
      </c>
      <c r="R44" s="47">
        <f>RATIO_ANALYSIS!Y41</f>
        <v>3.3421196522026804E-2</v>
      </c>
      <c r="S44" s="48">
        <f>RATIO_ANALYSIS!Z41</f>
        <v>2.3398171122542871E-2</v>
      </c>
      <c r="AF44" s="55">
        <f>RATIO_ANALYSIS!S73</f>
        <v>6.5759555597639112</v>
      </c>
      <c r="AG44" s="56">
        <f>RATIO_ANALYSIS!T73</f>
        <v>4.3795017954886166</v>
      </c>
      <c r="AH44" s="56">
        <f>RATIO_ANALYSIS!U73</f>
        <v>2.8355255000333832</v>
      </c>
      <c r="AI44" s="56">
        <f>RATIO_ANALYSIS!V73</f>
        <v>3.5771241620425314</v>
      </c>
      <c r="AJ44" s="56">
        <f>RATIO_ANALYSIS!W73</f>
        <v>7.2540090154629517</v>
      </c>
      <c r="AK44" s="56">
        <f>RATIO_ANALYSIS!X73</f>
        <v>7.6697668443702227</v>
      </c>
      <c r="AL44" s="56">
        <f>RATIO_ANALYSIS!Y73</f>
        <v>8.0654840582574643</v>
      </c>
      <c r="AM44" s="57">
        <f>RATIO_ANALYSIS!Z73</f>
        <v>13.246891954358563</v>
      </c>
      <c r="AP44" s="43" t="s">
        <v>32</v>
      </c>
      <c r="AQ44" s="44" t="s">
        <v>33</v>
      </c>
      <c r="AR44" s="44" t="s">
        <v>34</v>
      </c>
      <c r="AS44" s="44" t="s">
        <v>35</v>
      </c>
      <c r="AT44" s="44" t="s">
        <v>36</v>
      </c>
      <c r="AU44" s="44" t="s">
        <v>37</v>
      </c>
      <c r="AV44" s="44" t="s">
        <v>38</v>
      </c>
      <c r="AW44" s="45" t="s">
        <v>39</v>
      </c>
    </row>
    <row r="45" spans="2:49">
      <c r="F45" s="58"/>
      <c r="AP45" s="51">
        <f>RATIO_ANALYSIS!S91</f>
        <v>219.32220333800586</v>
      </c>
      <c r="AQ45" s="52">
        <f>RATIO_ANALYSIS!T91</f>
        <v>360.73275335775338</v>
      </c>
      <c r="AR45" s="52">
        <f>RATIO_ANALYSIS!U91</f>
        <v>406.45435387932434</v>
      </c>
      <c r="AS45" s="52">
        <f>RATIO_ANALYSIS!V91</f>
        <v>509.21882624887627</v>
      </c>
      <c r="AT45" s="52">
        <f>RATIO_ANALYSIS!W91</f>
        <v>187.00726556317977</v>
      </c>
      <c r="AU45" s="52">
        <f>RATIO_ANALYSIS!X91</f>
        <v>177.2248560335687</v>
      </c>
      <c r="AV45" s="52">
        <f>RATIO_ANALYSIS!Y91</f>
        <v>212.15704248030409</v>
      </c>
      <c r="AW45" s="53">
        <f>RATIO_ANALYSIS!Z91</f>
        <v>173.99516600547531</v>
      </c>
    </row>
    <row r="46" spans="2:49">
      <c r="B46" s="175" t="s">
        <v>278</v>
      </c>
      <c r="C46" s="176"/>
      <c r="D46" s="176"/>
      <c r="E46" s="176"/>
      <c r="F46" s="176"/>
      <c r="G46" s="176"/>
      <c r="H46" s="176"/>
      <c r="I46" s="177"/>
      <c r="L46" s="175" t="s">
        <v>276</v>
      </c>
      <c r="M46" s="176"/>
      <c r="N46" s="176"/>
      <c r="O46" s="176"/>
      <c r="P46" s="176"/>
      <c r="Q46" s="176"/>
      <c r="R46" s="176"/>
      <c r="S46" s="177"/>
      <c r="AF46" s="175" t="s">
        <v>296</v>
      </c>
      <c r="AG46" s="176"/>
      <c r="AH46" s="176"/>
      <c r="AI46" s="176"/>
      <c r="AJ46" s="176"/>
      <c r="AK46" s="176"/>
      <c r="AL46" s="176"/>
      <c r="AM46" s="177"/>
    </row>
    <row r="47" spans="2:49">
      <c r="B47" s="43" t="s">
        <v>32</v>
      </c>
      <c r="C47" s="44" t="s">
        <v>33</v>
      </c>
      <c r="D47" s="44" t="s">
        <v>34</v>
      </c>
      <c r="E47" s="44" t="s">
        <v>35</v>
      </c>
      <c r="F47" s="44" t="s">
        <v>36</v>
      </c>
      <c r="G47" s="44" t="s">
        <v>37</v>
      </c>
      <c r="H47" s="44" t="s">
        <v>38</v>
      </c>
      <c r="I47" s="45" t="s">
        <v>39</v>
      </c>
      <c r="J47" s="54"/>
      <c r="K47" s="54"/>
      <c r="L47" s="43" t="s">
        <v>32</v>
      </c>
      <c r="M47" s="44" t="s">
        <v>33</v>
      </c>
      <c r="N47" s="44" t="s">
        <v>34</v>
      </c>
      <c r="O47" s="44" t="s">
        <v>35</v>
      </c>
      <c r="P47" s="44" t="s">
        <v>36</v>
      </c>
      <c r="Q47" s="44" t="s">
        <v>37</v>
      </c>
      <c r="R47" s="44" t="s">
        <v>38</v>
      </c>
      <c r="S47" s="45" t="s">
        <v>39</v>
      </c>
      <c r="AF47" s="43" t="s">
        <v>32</v>
      </c>
      <c r="AG47" s="44" t="s">
        <v>33</v>
      </c>
      <c r="AH47" s="44" t="s">
        <v>34</v>
      </c>
      <c r="AI47" s="44" t="s">
        <v>35</v>
      </c>
      <c r="AJ47" s="44" t="s">
        <v>36</v>
      </c>
      <c r="AK47" s="44" t="s">
        <v>37</v>
      </c>
      <c r="AL47" s="44" t="s">
        <v>38</v>
      </c>
      <c r="AM47" s="45" t="s">
        <v>39</v>
      </c>
      <c r="AP47" s="175" t="s">
        <v>310</v>
      </c>
      <c r="AQ47" s="176"/>
      <c r="AR47" s="176"/>
      <c r="AS47" s="176"/>
      <c r="AT47" s="176"/>
      <c r="AU47" s="176"/>
      <c r="AV47" s="176"/>
      <c r="AW47" s="177"/>
    </row>
    <row r="48" spans="2:49">
      <c r="B48" s="46">
        <f>RATIO_ANALYSIS!S36</f>
        <v>8.8868996764996683E-2</v>
      </c>
      <c r="C48" s="47">
        <f>RATIO_ANALYSIS!T36</f>
        <v>-5.9834537056017385E-2</v>
      </c>
      <c r="D48" s="47">
        <f>RATIO_ANALYSIS!U36</f>
        <v>-0.42073094841650266</v>
      </c>
      <c r="E48" s="47">
        <f>RATIO_ANALYSIS!V36</f>
        <v>8.8402496323661275E-2</v>
      </c>
      <c r="F48" s="47">
        <f>RATIO_ANALYSIS!W36</f>
        <v>9.9030961229333095E-2</v>
      </c>
      <c r="G48" s="47">
        <f>RATIO_ANALYSIS!X36</f>
        <v>9.9131902862894916E-2</v>
      </c>
      <c r="H48" s="47">
        <f>RATIO_ANALYSIS!Y36</f>
        <v>0.13442914709400544</v>
      </c>
      <c r="I48" s="48">
        <f>RATIO_ANALYSIS!Z36</f>
        <v>0.15624156315945101</v>
      </c>
      <c r="L48" s="46">
        <f>RATIO_ANALYSIS!S33</f>
        <v>4.0990707764967889E-2</v>
      </c>
      <c r="M48" s="47">
        <f>RATIO_ANALYSIS!T33</f>
        <v>6.8034047871609993E-2</v>
      </c>
      <c r="N48" s="47">
        <f>RATIO_ANALYSIS!U33</f>
        <v>0.14081100627344131</v>
      </c>
      <c r="O48" s="47">
        <f>RATIO_ANALYSIS!V33</f>
        <v>7.7227024377413536E-2</v>
      </c>
      <c r="P48" s="47">
        <f>RATIO_ANALYSIS!W33</f>
        <v>3.9478682058652827E-2</v>
      </c>
      <c r="Q48" s="47">
        <f>RATIO_ANALYSIS!X33</f>
        <v>4.3493626193989478E-2</v>
      </c>
      <c r="R48" s="47">
        <f>RATIO_ANALYSIS!Y33</f>
        <v>2.9039268872078652E-2</v>
      </c>
      <c r="S48" s="48">
        <f>RATIO_ANALYSIS!Z33</f>
        <v>2.3801302877754657E-2</v>
      </c>
      <c r="AF48" s="55">
        <f>RATIO_ANALYSIS!S76</f>
        <v>14.342230712306607</v>
      </c>
      <c r="AG48" s="56">
        <f>RATIO_ANALYSIS!T76</f>
        <v>67.337041007772712</v>
      </c>
      <c r="AH48" s="56">
        <f>RATIO_ANALYSIS!U76</f>
        <v>36.108951779424267</v>
      </c>
      <c r="AI48" s="56">
        <f>RATIO_ANALYSIS!V76</f>
        <v>12.7456</v>
      </c>
      <c r="AJ48" s="56">
        <f>RATIO_ANALYSIS!W76</f>
        <v>13.152249065803408</v>
      </c>
      <c r="AK48" s="56">
        <f>RATIO_ANALYSIS!X76</f>
        <v>16.254743949252674</v>
      </c>
      <c r="AL48" s="56">
        <f>RATIO_ANALYSIS!Y76</f>
        <v>15.296340549151907</v>
      </c>
      <c r="AM48" s="57">
        <f>RATIO_ANALYSIS!Z76</f>
        <v>9.7856276340501243</v>
      </c>
      <c r="AP48" s="43" t="s">
        <v>32</v>
      </c>
      <c r="AQ48" s="44" t="s">
        <v>33</v>
      </c>
      <c r="AR48" s="44" t="s">
        <v>34</v>
      </c>
      <c r="AS48" s="44" t="s">
        <v>35</v>
      </c>
      <c r="AT48" s="44" t="s">
        <v>36</v>
      </c>
      <c r="AU48" s="44" t="s">
        <v>37</v>
      </c>
      <c r="AV48" s="44" t="s">
        <v>38</v>
      </c>
      <c r="AW48" s="45" t="s">
        <v>39</v>
      </c>
    </row>
    <row r="49" spans="2:49">
      <c r="F49" s="58"/>
      <c r="AP49" s="51">
        <f>RATIO_ANALYSIS!S97</f>
        <v>183.10367831884588</v>
      </c>
      <c r="AQ49" s="52">
        <f>RATIO_ANALYSIS!T97</f>
        <v>269.27972798806132</v>
      </c>
      <c r="AR49" s="52">
        <f>RATIO_ANALYSIS!U97</f>
        <v>256.69073751042828</v>
      </c>
      <c r="AS49" s="52">
        <f>RATIO_ANALYSIS!V97</f>
        <v>370.76303454475408</v>
      </c>
      <c r="AT49" s="52">
        <f>RATIO_ANALYSIS!W97</f>
        <v>155.88794881850481</v>
      </c>
      <c r="AU49" s="52">
        <f>RATIO_ANALYSIS!X97</f>
        <v>86.776772972843688</v>
      </c>
      <c r="AV49" s="52">
        <f>RATIO_ANALYSIS!Y97</f>
        <v>166.20382837480443</v>
      </c>
      <c r="AW49" s="53">
        <f>RATIO_ANALYSIS!Z97</f>
        <v>157.93792319565515</v>
      </c>
    </row>
    <row r="50" spans="2:49">
      <c r="B50" s="175" t="s">
        <v>274</v>
      </c>
      <c r="C50" s="176"/>
      <c r="D50" s="176"/>
      <c r="E50" s="176"/>
      <c r="F50" s="176"/>
      <c r="G50" s="176"/>
      <c r="H50" s="176"/>
      <c r="I50" s="177"/>
      <c r="L50" s="175" t="s">
        <v>271</v>
      </c>
      <c r="M50" s="176"/>
      <c r="N50" s="176"/>
      <c r="O50" s="176"/>
      <c r="P50" s="176"/>
      <c r="Q50" s="176"/>
      <c r="R50" s="176"/>
      <c r="S50" s="177"/>
      <c r="AF50" s="175" t="s">
        <v>301</v>
      </c>
      <c r="AG50" s="176"/>
      <c r="AH50" s="176"/>
      <c r="AI50" s="176"/>
      <c r="AJ50" s="176"/>
      <c r="AK50" s="176"/>
      <c r="AL50" s="176"/>
      <c r="AM50" s="177"/>
    </row>
    <row r="51" spans="2:49">
      <c r="B51" s="43" t="s">
        <v>32</v>
      </c>
      <c r="C51" s="44" t="s">
        <v>33</v>
      </c>
      <c r="D51" s="44" t="s">
        <v>34</v>
      </c>
      <c r="E51" s="44" t="s">
        <v>35</v>
      </c>
      <c r="F51" s="44" t="s">
        <v>36</v>
      </c>
      <c r="G51" s="44" t="s">
        <v>37</v>
      </c>
      <c r="H51" s="44" t="s">
        <v>38</v>
      </c>
      <c r="I51" s="45" t="s">
        <v>39</v>
      </c>
      <c r="J51" s="54"/>
      <c r="K51" s="54"/>
      <c r="L51" s="43" t="s">
        <v>32</v>
      </c>
      <c r="M51" s="44" t="s">
        <v>33</v>
      </c>
      <c r="N51" s="44" t="s">
        <v>34</v>
      </c>
      <c r="O51" s="44" t="s">
        <v>35</v>
      </c>
      <c r="P51" s="44" t="s">
        <v>36</v>
      </c>
      <c r="Q51" s="44" t="s">
        <v>37</v>
      </c>
      <c r="R51" s="44" t="s">
        <v>38</v>
      </c>
      <c r="S51" s="45" t="s">
        <v>39</v>
      </c>
      <c r="AF51" s="43" t="s">
        <v>32</v>
      </c>
      <c r="AG51" s="44" t="s">
        <v>33</v>
      </c>
      <c r="AH51" s="44" t="s">
        <v>34</v>
      </c>
      <c r="AI51" s="44" t="s">
        <v>35</v>
      </c>
      <c r="AJ51" s="44" t="s">
        <v>36</v>
      </c>
      <c r="AK51" s="44" t="s">
        <v>37</v>
      </c>
      <c r="AL51" s="44" t="s">
        <v>38</v>
      </c>
      <c r="AM51" s="45" t="s">
        <v>39</v>
      </c>
      <c r="AP51" s="175" t="s">
        <v>357</v>
      </c>
      <c r="AQ51" s="176"/>
      <c r="AR51" s="176"/>
      <c r="AS51" s="176"/>
      <c r="AT51" s="176"/>
      <c r="AU51" s="176"/>
      <c r="AV51" s="176"/>
      <c r="AW51" s="177"/>
    </row>
    <row r="52" spans="2:49">
      <c r="B52" s="46">
        <f>RATIO_ANALYSIS!S28</f>
        <v>0.12985970452996456</v>
      </c>
      <c r="C52" s="47">
        <f>RATIO_ANALYSIS!T28</f>
        <v>8.199510815592604E-3</v>
      </c>
      <c r="D52" s="47">
        <f>RATIO_ANALYSIS!U28</f>
        <v>-0.27991994214306137</v>
      </c>
      <c r="E52" s="47">
        <f>RATIO_ANALYSIS!V28</f>
        <v>0.16562952070107481</v>
      </c>
      <c r="F52" s="47">
        <f>RATIO_ANALYSIS!W28</f>
        <v>0.13850964328798593</v>
      </c>
      <c r="G52" s="47">
        <f>RATIO_ANALYSIS!X28</f>
        <v>0.14262552905688439</v>
      </c>
      <c r="H52" s="47">
        <f>RATIO_ANALYSIS!Y28</f>
        <v>0.16346841596608411</v>
      </c>
      <c r="I52" s="48">
        <f>RATIO_ANALYSIS!Z28</f>
        <v>0.18004286603720565</v>
      </c>
      <c r="L52" s="46">
        <f>RATIO_ANALYSIS!S22</f>
        <v>9.6555729411651775E-2</v>
      </c>
      <c r="M52" s="47">
        <f>RATIO_ANALYSIS!T22</f>
        <v>0.17397292171258327</v>
      </c>
      <c r="N52" s="47">
        <f>RATIO_ANALYSIS!U22</f>
        <v>0.26784062431673311</v>
      </c>
      <c r="O52" s="47">
        <f>RATIO_ANALYSIS!V22</f>
        <v>0.1653485647334505</v>
      </c>
      <c r="P52" s="47">
        <f>RATIO_ANALYSIS!W22</f>
        <v>8.2859044209924973E-2</v>
      </c>
      <c r="Q52" s="47">
        <f>RATIO_ANALYSIS!X22</f>
        <v>0.10203784253659223</v>
      </c>
      <c r="R52" s="47">
        <f>RATIO_ANALYSIS!Y22</f>
        <v>0.10765665659379792</v>
      </c>
      <c r="S52" s="48">
        <f>RATIO_ANALYSIS!Z22</f>
        <v>8.6460282798303728E-2</v>
      </c>
      <c r="AF52" s="55">
        <f>RATIO_ANALYSIS!S82</f>
        <v>2.7917659079108255</v>
      </c>
      <c r="AG52" s="56">
        <f>RATIO_ANALYSIS!T82</f>
        <v>2.6718689347492011</v>
      </c>
      <c r="AH52" s="56">
        <f>RATIO_ANALYSIS!U82</f>
        <v>2.1786462837293152</v>
      </c>
      <c r="AI52" s="56">
        <f>RATIO_ANALYSIS!V82</f>
        <v>2.812191103789127</v>
      </c>
      <c r="AJ52" s="56">
        <f>RATIO_ANALYSIS!W82</f>
        <v>4.7799702240458988</v>
      </c>
      <c r="AK52" s="56">
        <f>RATIO_ANALYSIS!X82</f>
        <v>5.1010987321007484</v>
      </c>
      <c r="AL52" s="56">
        <f>RATIO_ANALYSIS!Y82</f>
        <v>3.5686277724942337</v>
      </c>
      <c r="AM52" s="57">
        <f>RATIO_ANALYSIS!Z82</f>
        <v>2.8165427341032241</v>
      </c>
      <c r="AP52" s="43" t="s">
        <v>32</v>
      </c>
      <c r="AQ52" s="44" t="s">
        <v>33</v>
      </c>
      <c r="AR52" s="44" t="s">
        <v>34</v>
      </c>
      <c r="AS52" s="44" t="s">
        <v>35</v>
      </c>
      <c r="AT52" s="44" t="s">
        <v>36</v>
      </c>
      <c r="AU52" s="44" t="s">
        <v>37</v>
      </c>
      <c r="AV52" s="44" t="s">
        <v>38</v>
      </c>
      <c r="AW52" s="45" t="s">
        <v>39</v>
      </c>
    </row>
    <row r="53" spans="2:49">
      <c r="F53" s="58"/>
      <c r="AP53" s="51">
        <f>RATIO_ANALYSIS!S100</f>
        <v>166.96014592860871</v>
      </c>
      <c r="AQ53" s="52">
        <f>RATIO_ANALYSIS!T100</f>
        <v>228.06152261031781</v>
      </c>
      <c r="AR53" s="52">
        <f>RATIO_ANALYSIS!U100</f>
        <v>317.29884350783681</v>
      </c>
      <c r="AS53" s="52">
        <f>RATIO_ANALYSIS!V100</f>
        <v>268.24782451021474</v>
      </c>
      <c r="AT53" s="52">
        <f>RATIO_ANALYSIS!W100</f>
        <v>107.47962505033087</v>
      </c>
      <c r="AU53" s="52">
        <f>RATIO_ANALYSIS!X100</f>
        <v>162.00129525461733</v>
      </c>
      <c r="AV53" s="52">
        <f>RATIO_ANALYSIS!Y100</f>
        <v>148.23342467083111</v>
      </c>
      <c r="AW53" s="53">
        <f>RATIO_ANALYSIS!Z100</f>
        <v>145.64874361700194</v>
      </c>
    </row>
    <row r="54" spans="2:49">
      <c r="B54" s="175" t="s">
        <v>269</v>
      </c>
      <c r="C54" s="176"/>
      <c r="D54" s="176"/>
      <c r="E54" s="176"/>
      <c r="F54" s="176"/>
      <c r="G54" s="176"/>
      <c r="H54" s="176"/>
      <c r="I54" s="177"/>
      <c r="L54" s="175" t="s">
        <v>358</v>
      </c>
      <c r="M54" s="176"/>
      <c r="N54" s="176"/>
      <c r="O54" s="176"/>
      <c r="P54" s="176"/>
      <c r="Q54" s="176"/>
      <c r="R54" s="176"/>
      <c r="S54" s="177"/>
      <c r="AF54" s="175" t="s">
        <v>304</v>
      </c>
      <c r="AG54" s="176"/>
      <c r="AH54" s="176"/>
      <c r="AI54" s="176"/>
      <c r="AJ54" s="176"/>
      <c r="AK54" s="176"/>
      <c r="AL54" s="176"/>
      <c r="AM54" s="177"/>
    </row>
    <row r="55" spans="2:49">
      <c r="B55" s="43" t="s">
        <v>32</v>
      </c>
      <c r="C55" s="44" t="s">
        <v>33</v>
      </c>
      <c r="D55" s="44" t="s">
        <v>34</v>
      </c>
      <c r="E55" s="44" t="s">
        <v>35</v>
      </c>
      <c r="F55" s="44" t="s">
        <v>36</v>
      </c>
      <c r="G55" s="44" t="s">
        <v>37</v>
      </c>
      <c r="H55" s="44" t="s">
        <v>38</v>
      </c>
      <c r="I55" s="45" t="s">
        <v>39</v>
      </c>
      <c r="L55" s="43" t="s">
        <v>32</v>
      </c>
      <c r="M55" s="44" t="s">
        <v>33</v>
      </c>
      <c r="N55" s="44" t="s">
        <v>34</v>
      </c>
      <c r="O55" s="44" t="s">
        <v>35</v>
      </c>
      <c r="P55" s="44" t="s">
        <v>36</v>
      </c>
      <c r="Q55" s="44" t="s">
        <v>37</v>
      </c>
      <c r="R55" s="44" t="s">
        <v>38</v>
      </c>
      <c r="S55" s="45" t="s">
        <v>39</v>
      </c>
      <c r="AF55" s="43" t="s">
        <v>32</v>
      </c>
      <c r="AG55" s="44" t="s">
        <v>33</v>
      </c>
      <c r="AH55" s="44" t="s">
        <v>34</v>
      </c>
      <c r="AI55" s="44" t="s">
        <v>35</v>
      </c>
      <c r="AJ55" s="44" t="s">
        <v>36</v>
      </c>
      <c r="AK55" s="44" t="s">
        <v>37</v>
      </c>
      <c r="AL55" s="44" t="s">
        <v>38</v>
      </c>
      <c r="AM55" s="45" t="s">
        <v>39</v>
      </c>
    </row>
    <row r="56" spans="2:49">
      <c r="B56" s="46">
        <f>RATIO_ANALYSIS!S19</f>
        <v>0.3956519443617828</v>
      </c>
      <c r="C56" s="47">
        <f>RATIO_ANALYSIS!T19</f>
        <v>0.41321753182783416</v>
      </c>
      <c r="D56" s="47">
        <f>RATIO_ANALYSIS!U19</f>
        <v>0.37906722505339996</v>
      </c>
      <c r="E56" s="47">
        <f>RATIO_ANALYSIS!V19</f>
        <v>0.5345097617254283</v>
      </c>
      <c r="F56" s="47">
        <f>RATIO_ANALYSIS!W19</f>
        <v>0.34525766585938761</v>
      </c>
      <c r="G56" s="47">
        <f>RATIO_ANALYSIS!X19</f>
        <v>0.36973267029895168</v>
      </c>
      <c r="H56" s="47">
        <f>RATIO_ANALYSIS!Y19</f>
        <v>0.39597861263973999</v>
      </c>
      <c r="I56" s="48">
        <f>RATIO_ANALYSIS!Z19</f>
        <v>0.37710083069017258</v>
      </c>
      <c r="L56" s="46">
        <f>RATIO_ANALYSIS!S25</f>
        <v>0.16923651042016646</v>
      </c>
      <c r="M56" s="47">
        <f>RATIO_ANALYSIS!T25</f>
        <v>0.23104509929965827</v>
      </c>
      <c r="N56" s="47">
        <f>RATIO_ANALYSIS!U25</f>
        <v>0.39114654287972822</v>
      </c>
      <c r="O56" s="47">
        <f>RATIO_ANALYSIS!V25</f>
        <v>0.20353167629090299</v>
      </c>
      <c r="P56" s="47">
        <f>RATIO_ANALYSIS!W25</f>
        <v>0.12388897836147668</v>
      </c>
      <c r="Q56" s="47">
        <f>RATIO_ANALYSIS!X25</f>
        <v>0.12506929870547506</v>
      </c>
      <c r="R56" s="47">
        <f>RATIO_ANALYSIS!Y25</f>
        <v>0.12485354007985799</v>
      </c>
      <c r="S56" s="48">
        <f>RATIO_ANALYSIS!Z25</f>
        <v>0.11059768185466319</v>
      </c>
      <c r="AF56" s="55">
        <f>RATIO_ANALYSIS!S88</f>
        <v>1.6642181887872269</v>
      </c>
      <c r="AG56" s="56">
        <f>RATIO_ANALYSIS!T88</f>
        <v>1.0118293850572937</v>
      </c>
      <c r="AH56" s="56">
        <f>RATIO_ANALYSIS!U88</f>
        <v>0.89800981713279404</v>
      </c>
      <c r="AI56" s="56">
        <f>RATIO_ANALYSIS!V88</f>
        <v>0.71678418233030805</v>
      </c>
      <c r="AJ56" s="56">
        <f>RATIO_ANALYSIS!W88</f>
        <v>1.9517958240862359</v>
      </c>
      <c r="AK56" s="56">
        <f>RATIO_ANALYSIS!X88</f>
        <v>2.0595305205431469</v>
      </c>
      <c r="AL56" s="56">
        <f>RATIO_ANALYSIS!Y88</f>
        <v>1.720423681122371</v>
      </c>
      <c r="AM56" s="57">
        <f>RATIO_ANALYSIS!Z88</f>
        <v>2.097759428491905</v>
      </c>
    </row>
    <row r="60" spans="2:49" ht="15.5">
      <c r="B60" s="42" t="s">
        <v>359</v>
      </c>
      <c r="L60" s="42" t="s">
        <v>360</v>
      </c>
    </row>
    <row r="62" spans="2:49">
      <c r="B62" s="175" t="s">
        <v>361</v>
      </c>
      <c r="C62" s="176"/>
      <c r="D62" s="176"/>
      <c r="E62" s="176"/>
      <c r="F62" s="176"/>
      <c r="G62" s="176"/>
      <c r="H62" s="176"/>
      <c r="I62" s="177"/>
      <c r="L62" s="175" t="s">
        <v>317</v>
      </c>
      <c r="M62" s="176"/>
      <c r="N62" s="176"/>
      <c r="O62" s="176"/>
      <c r="P62" s="176"/>
      <c r="Q62" s="176"/>
      <c r="R62" s="176"/>
      <c r="S62" s="177"/>
    </row>
    <row r="63" spans="2:49">
      <c r="B63" s="43" t="s">
        <v>32</v>
      </c>
      <c r="C63" s="44" t="s">
        <v>33</v>
      </c>
      <c r="D63" s="44" t="s">
        <v>34</v>
      </c>
      <c r="E63" s="44" t="s">
        <v>35</v>
      </c>
      <c r="F63" s="44" t="s">
        <v>36</v>
      </c>
      <c r="G63" s="44" t="s">
        <v>37</v>
      </c>
      <c r="H63" s="44" t="s">
        <v>38</v>
      </c>
      <c r="I63" s="45" t="s">
        <v>39</v>
      </c>
      <c r="L63" s="43" t="s">
        <v>32</v>
      </c>
      <c r="M63" s="44" t="s">
        <v>33</v>
      </c>
      <c r="N63" s="44" t="s">
        <v>34</v>
      </c>
      <c r="O63" s="44" t="s">
        <v>35</v>
      </c>
      <c r="P63" s="44" t="s">
        <v>36</v>
      </c>
      <c r="Q63" s="44" t="s">
        <v>37</v>
      </c>
      <c r="R63" s="44" t="s">
        <v>38</v>
      </c>
      <c r="S63" s="45" t="s">
        <v>39</v>
      </c>
    </row>
    <row r="64" spans="2:49">
      <c r="B64" s="46">
        <f>RATIO_ANALYSIS!S129</f>
        <v>-0.34453378342772784</v>
      </c>
      <c r="C64" s="47">
        <f>RATIO_ANALYSIS!T129</f>
        <v>-0.39707385790943911</v>
      </c>
      <c r="D64" s="47">
        <f>RATIO_ANALYSIS!U129</f>
        <v>-0.40835155999673611</v>
      </c>
      <c r="E64" s="47">
        <f>RATIO_ANALYSIS!V129</f>
        <v>0.12542509712901762</v>
      </c>
      <c r="F64" s="47">
        <f>RATIO_ANALYSIS!W129</f>
        <v>0.96722379637267908</v>
      </c>
      <c r="G64" s="47">
        <f>RATIO_ANALYSIS!X129</f>
        <v>-9.2870013886820896E-2</v>
      </c>
      <c r="H64" s="47">
        <f>RATIO_ANALYSIS!Y129</f>
        <v>9.3552833668032825E-2</v>
      </c>
      <c r="I64" s="48">
        <f>RATIO_ANALYSIS!Z129</f>
        <v>0.66788020995268871</v>
      </c>
      <c r="L64" s="55">
        <f>RATIO_ANALYSIS!S109</f>
        <v>-1.6682085943541871</v>
      </c>
      <c r="M64" s="56">
        <f>RATIO_ANALYSIS!T109</f>
        <v>-1.1318156105603963</v>
      </c>
      <c r="N64" s="56">
        <f>RATIO_ANALYSIS!U109</f>
        <v>-0.87717445643117453</v>
      </c>
      <c r="O64" s="56">
        <f>RATIO_ANALYSIS!V109</f>
        <v>-1.8238955982721254</v>
      </c>
      <c r="P64" s="56">
        <f>RATIO_ANALYSIS!W109</f>
        <v>-1.7941889095712573</v>
      </c>
      <c r="Q64" s="56">
        <f>RATIO_ANALYSIS!X109</f>
        <v>1.7330640318794694</v>
      </c>
      <c r="R64" s="56">
        <f>RATIO_ANALYSIS!Y109</f>
        <v>2.804625144440108E-2</v>
      </c>
      <c r="S64" s="57">
        <f>RATIO_ANALYSIS!Z109</f>
        <v>4.6404027698617033E-2</v>
      </c>
    </row>
    <row r="66" spans="2:19">
      <c r="B66" s="175" t="s">
        <v>362</v>
      </c>
      <c r="C66" s="176"/>
      <c r="D66" s="176"/>
      <c r="E66" s="176"/>
      <c r="F66" s="176"/>
      <c r="G66" s="176"/>
      <c r="H66" s="176"/>
      <c r="I66" s="177"/>
      <c r="L66" s="175" t="s">
        <v>318</v>
      </c>
      <c r="M66" s="176"/>
      <c r="N66" s="176"/>
      <c r="O66" s="176"/>
      <c r="P66" s="176"/>
      <c r="Q66" s="176"/>
      <c r="R66" s="176"/>
      <c r="S66" s="177"/>
    </row>
    <row r="67" spans="2:19">
      <c r="B67" s="43" t="s">
        <v>32</v>
      </c>
      <c r="C67" s="44" t="s">
        <v>33</v>
      </c>
      <c r="D67" s="44" t="s">
        <v>34</v>
      </c>
      <c r="E67" s="44" t="s">
        <v>35</v>
      </c>
      <c r="F67" s="44" t="s">
        <v>36</v>
      </c>
      <c r="G67" s="44" t="s">
        <v>37</v>
      </c>
      <c r="H67" s="44" t="s">
        <v>38</v>
      </c>
      <c r="I67" s="45" t="s">
        <v>39</v>
      </c>
      <c r="L67" s="43" t="s">
        <v>32</v>
      </c>
      <c r="M67" s="44" t="s">
        <v>33</v>
      </c>
      <c r="N67" s="44" t="s">
        <v>34</v>
      </c>
      <c r="O67" s="44" t="s">
        <v>35</v>
      </c>
      <c r="P67" s="44" t="s">
        <v>36</v>
      </c>
      <c r="Q67" s="44" t="s">
        <v>37</v>
      </c>
      <c r="R67" s="44" t="s">
        <v>38</v>
      </c>
      <c r="S67" s="45" t="s">
        <v>39</v>
      </c>
    </row>
    <row r="68" spans="2:19">
      <c r="B68" s="46">
        <f>RATIO_ANALYSIS!S131</f>
        <v>-0.58186159546559202</v>
      </c>
      <c r="C68" s="47">
        <f>RATIO_ANALYSIS!T131</f>
        <v>-0.96193045840532976</v>
      </c>
      <c r="D68" s="47">
        <f>RATIO_ANALYSIS!U131</f>
        <v>-21.198058252427185</v>
      </c>
      <c r="E68" s="47">
        <f>RATIO_ANALYSIS!V131</f>
        <v>-1.6659176119976928</v>
      </c>
      <c r="F68" s="47">
        <f>RATIO_ANALYSIS!W131</f>
        <v>0.64511413877109081</v>
      </c>
      <c r="G68" s="47">
        <f>RATIO_ANALYSIS!X131</f>
        <v>-6.5914176648677103E-2</v>
      </c>
      <c r="H68" s="47">
        <f>RATIO_ANALYSIS!Y131</f>
        <v>0.25336151723328049</v>
      </c>
      <c r="I68" s="48">
        <f>RATIO_ANALYSIS!Z131</f>
        <v>0.83699053686873415</v>
      </c>
      <c r="L68" s="55">
        <f>RATIO_ANALYSIS!S112</f>
        <v>10.723376731378726</v>
      </c>
      <c r="M68" s="56">
        <f>RATIO_ANALYSIS!T112</f>
        <v>233.59053398058253</v>
      </c>
      <c r="N68" s="56">
        <f>RATIO_ANALYSIS!U112</f>
        <v>-11.639131897711978</v>
      </c>
      <c r="O68" s="56">
        <f>RATIO_ANALYSIS!V112</f>
        <v>11.192890011729675</v>
      </c>
      <c r="P68" s="56">
        <f>RATIO_ANALYSIS!W112</f>
        <v>7.0099600719582291</v>
      </c>
      <c r="Q68" s="56">
        <f>RATIO_ANALYSIS!X112</f>
        <v>2.2369561388057071</v>
      </c>
      <c r="R68" s="56">
        <f>RATIO_ANALYSIS!Y112</f>
        <v>0.10301695868078328</v>
      </c>
      <c r="S68" s="57">
        <f>RATIO_ANALYSIS!Z112</f>
        <v>0.14451040997235567</v>
      </c>
    </row>
    <row r="70" spans="2:19">
      <c r="B70" s="175" t="s">
        <v>363</v>
      </c>
      <c r="C70" s="176"/>
      <c r="D70" s="176"/>
      <c r="E70" s="176"/>
      <c r="F70" s="176"/>
      <c r="G70" s="176"/>
      <c r="H70" s="176"/>
      <c r="I70" s="177"/>
      <c r="L70" s="175" t="s">
        <v>322</v>
      </c>
      <c r="M70" s="176"/>
      <c r="N70" s="176"/>
      <c r="O70" s="176"/>
      <c r="P70" s="176"/>
      <c r="Q70" s="176"/>
      <c r="R70" s="176"/>
      <c r="S70" s="177"/>
    </row>
    <row r="71" spans="2:19">
      <c r="B71" s="43" t="s">
        <v>32</v>
      </c>
      <c r="C71" s="44" t="s">
        <v>33</v>
      </c>
      <c r="D71" s="44" t="s">
        <v>34</v>
      </c>
      <c r="E71" s="44" t="s">
        <v>35</v>
      </c>
      <c r="F71" s="44" t="s">
        <v>36</v>
      </c>
      <c r="G71" s="44" t="s">
        <v>37</v>
      </c>
      <c r="H71" s="44" t="s">
        <v>38</v>
      </c>
      <c r="I71" s="45" t="s">
        <v>39</v>
      </c>
      <c r="L71" s="43" t="s">
        <v>32</v>
      </c>
      <c r="M71" s="44" t="s">
        <v>33</v>
      </c>
      <c r="N71" s="44" t="s">
        <v>34</v>
      </c>
      <c r="O71" s="44" t="s">
        <v>35</v>
      </c>
      <c r="P71" s="44" t="s">
        <v>36</v>
      </c>
      <c r="Q71" s="44" t="s">
        <v>37</v>
      </c>
      <c r="R71" s="44" t="s">
        <v>38</v>
      </c>
      <c r="S71" s="45" t="s">
        <v>39</v>
      </c>
    </row>
    <row r="72" spans="2:19">
      <c r="B72" s="46">
        <f>RATIO_ANALYSIS!S135</f>
        <v>-1.4324750802875907</v>
      </c>
      <c r="C72" s="47">
        <f>RATIO_ANALYSIS!T135</f>
        <v>2.9341435839457319</v>
      </c>
      <c r="D72" s="47">
        <f>RATIO_ANALYSIS!U135</f>
        <v>0.75782612387253523</v>
      </c>
      <c r="E72" s="47">
        <f>RATIO_ANALYSIS!V135</f>
        <v>-1.0372818506422332</v>
      </c>
      <c r="F72" s="47">
        <f>RATIO_ANALYSIS!W135</f>
        <v>-2.6562686864660154</v>
      </c>
      <c r="G72" s="47">
        <f>RATIO_ANALYSIS!X135</f>
        <v>-18.373428004091704</v>
      </c>
      <c r="H72" s="47">
        <f>RATIO_ANALYSIS!Y135</f>
        <v>-0.77129072590560699</v>
      </c>
      <c r="I72" s="48">
        <f>RATIO_ANALYSIS!Z135</f>
        <v>2.1371696827439992</v>
      </c>
      <c r="L72" s="55">
        <f>RATIO_ANALYSIS!S119</f>
        <v>0.79530527088015535</v>
      </c>
      <c r="M72" s="56">
        <f>RATIO_ANALYSIS!T119</f>
        <v>0.58679849961778063</v>
      </c>
      <c r="N72" s="56">
        <f>RATIO_ANALYSIS!U119</f>
        <v>0.2806589475961867</v>
      </c>
      <c r="O72" s="56">
        <f>RATIO_ANALYSIS!V119</f>
        <v>1.2580484453744054</v>
      </c>
      <c r="P72" s="56">
        <f>RATIO_ANALYSIS!W119</f>
        <v>1.1853178726620064</v>
      </c>
      <c r="Q72" s="56">
        <f>RATIO_ANALYSIS!X119</f>
        <v>1.5336919938240292</v>
      </c>
      <c r="R72" s="56">
        <f>RATIO_ANALYSIS!Y119</f>
        <v>1.7573790650913139</v>
      </c>
      <c r="S72" s="57">
        <f>RATIO_ANALYSIS!Z119</f>
        <v>1.5642050910959924</v>
      </c>
    </row>
    <row r="74" spans="2:19">
      <c r="B74" s="175" t="s">
        <v>364</v>
      </c>
      <c r="C74" s="176"/>
      <c r="D74" s="176"/>
      <c r="E74" s="176"/>
      <c r="F74" s="176"/>
      <c r="G74" s="176"/>
      <c r="H74" s="176"/>
      <c r="I74" s="177"/>
      <c r="L74" s="175" t="s">
        <v>324</v>
      </c>
      <c r="M74" s="176"/>
      <c r="N74" s="176"/>
      <c r="O74" s="176"/>
      <c r="P74" s="176"/>
      <c r="Q74" s="176"/>
      <c r="R74" s="176"/>
      <c r="S74" s="177"/>
    </row>
    <row r="75" spans="2:19">
      <c r="B75" s="43" t="s">
        <v>32</v>
      </c>
      <c r="C75" s="44" t="s">
        <v>33</v>
      </c>
      <c r="D75" s="44" t="s">
        <v>34</v>
      </c>
      <c r="E75" s="44" t="s">
        <v>35</v>
      </c>
      <c r="F75" s="44" t="s">
        <v>36</v>
      </c>
      <c r="G75" s="44" t="s">
        <v>37</v>
      </c>
      <c r="H75" s="44" t="s">
        <v>38</v>
      </c>
      <c r="I75" s="45" t="s">
        <v>39</v>
      </c>
      <c r="L75" s="43" t="s">
        <v>32</v>
      </c>
      <c r="M75" s="44" t="s">
        <v>33</v>
      </c>
      <c r="N75" s="44" t="s">
        <v>34</v>
      </c>
      <c r="O75" s="44" t="s">
        <v>35</v>
      </c>
      <c r="P75" s="44" t="s">
        <v>36</v>
      </c>
      <c r="Q75" s="44" t="s">
        <v>37</v>
      </c>
      <c r="R75" s="44" t="s">
        <v>38</v>
      </c>
      <c r="S75" s="45" t="s">
        <v>39</v>
      </c>
    </row>
    <row r="76" spans="2:19">
      <c r="B76" s="46">
        <f>RATIO_ANALYSIS!S137</f>
        <v>-8.5486961455909075E-2</v>
      </c>
      <c r="C76" s="47">
        <f>RATIO_ANALYSIS!T137</f>
        <v>-0.20229718440691438</v>
      </c>
      <c r="D76" s="47">
        <f>RATIO_ANALYSIS!U137</f>
        <v>-0.26384666285646002</v>
      </c>
      <c r="E76" s="47">
        <f>RATIO_ANALYSIS!V137</f>
        <v>1.0832497492477432E-2</v>
      </c>
      <c r="F76" s="47">
        <f>RATIO_ANALYSIS!W137</f>
        <v>-1.9122599449484856E-2</v>
      </c>
      <c r="G76" s="47">
        <f>RATIO_ANALYSIS!X137</f>
        <v>-0.14694989544175471</v>
      </c>
      <c r="H76" s="47">
        <f>RATIO_ANALYSIS!Y137</f>
        <v>0.299751239277399</v>
      </c>
      <c r="I76" s="48">
        <f>RATIO_ANALYSIS!Z137</f>
        <v>0.80520321715220178</v>
      </c>
      <c r="L76" s="55">
        <f>RATIO_ANALYSIS!S122</f>
        <v>0.48864923689879564</v>
      </c>
      <c r="M76" s="56">
        <f>RATIO_ANALYSIS!T122</f>
        <v>0.32066697049376164</v>
      </c>
      <c r="N76" s="56">
        <f>RATIO_ANALYSIS!U122</f>
        <v>0.15641785487849325</v>
      </c>
      <c r="O76" s="56">
        <f>RATIO_ANALYSIS!V122</f>
        <v>0.68833545721043166</v>
      </c>
      <c r="P76" s="56">
        <f>RATIO_ANALYSIS!W122</f>
        <v>0.66389807292650671</v>
      </c>
      <c r="Q76" s="56">
        <f>RATIO_ANALYSIS!X122</f>
        <v>0.85717512283442998</v>
      </c>
      <c r="R76" s="56">
        <f>RATIO_ANALYSIS!Y122</f>
        <v>0.99552985359855095</v>
      </c>
      <c r="S76" s="57">
        <f>RATIO_ANALYSIS!Z122</f>
        <v>1.0175023331935671</v>
      </c>
    </row>
    <row r="78" spans="2:19">
      <c r="B78" s="175" t="s">
        <v>336</v>
      </c>
      <c r="C78" s="176"/>
      <c r="D78" s="176"/>
      <c r="E78" s="176"/>
      <c r="F78" s="176"/>
      <c r="G78" s="176"/>
      <c r="H78" s="176"/>
      <c r="I78" s="177"/>
      <c r="L78" s="175" t="s">
        <v>326</v>
      </c>
      <c r="M78" s="176"/>
      <c r="N78" s="176"/>
      <c r="O78" s="176"/>
      <c r="P78" s="176"/>
      <c r="Q78" s="176"/>
      <c r="R78" s="176"/>
      <c r="S78" s="177"/>
    </row>
    <row r="79" spans="2:19">
      <c r="B79" s="43" t="s">
        <v>32</v>
      </c>
      <c r="C79" s="44" t="s">
        <v>33</v>
      </c>
      <c r="D79" s="44" t="s">
        <v>34</v>
      </c>
      <c r="E79" s="44" t="s">
        <v>35</v>
      </c>
      <c r="F79" s="44" t="s">
        <v>36</v>
      </c>
      <c r="G79" s="44" t="s">
        <v>37</v>
      </c>
      <c r="H79" s="44" t="s">
        <v>38</v>
      </c>
      <c r="I79" s="45" t="s">
        <v>39</v>
      </c>
      <c r="L79" s="43" t="s">
        <v>32</v>
      </c>
      <c r="M79" s="44" t="s">
        <v>33</v>
      </c>
      <c r="N79" s="44" t="s">
        <v>34</v>
      </c>
      <c r="O79" s="44" t="s">
        <v>35</v>
      </c>
      <c r="P79" s="44" t="s">
        <v>36</v>
      </c>
      <c r="Q79" s="44" t="s">
        <v>37</v>
      </c>
      <c r="R79" s="44" t="s">
        <v>38</v>
      </c>
      <c r="S79" s="45" t="s">
        <v>39</v>
      </c>
    </row>
    <row r="80" spans="2:19">
      <c r="B80" s="55">
        <f>RATIO_ANALYSIS!S143</f>
        <v>4.1577202271314508</v>
      </c>
      <c r="C80" s="56">
        <f>RATIO_ANALYSIS!T143</f>
        <v>-7.3894151566505899</v>
      </c>
      <c r="D80" s="56">
        <f>RATIO_ANALYSIS!U143</f>
        <v>-1.8558178738893329</v>
      </c>
      <c r="E80" s="56">
        <f>RATIO_ANALYSIS!V143</f>
        <v>-8.2701299371946337</v>
      </c>
      <c r="F80" s="56">
        <f>RATIO_ANALYSIS!W143</f>
        <v>-2.7462813636592269</v>
      </c>
      <c r="G80" s="56">
        <f>RATIO_ANALYSIS!X143</f>
        <v>197.84026334359211</v>
      </c>
      <c r="H80" s="56">
        <f>RATIO_ANALYSIS!Y143</f>
        <v>-8.24444002030436</v>
      </c>
      <c r="I80" s="57">
        <f>RATIO_ANALYSIS!Z143</f>
        <v>3.1999296444124194</v>
      </c>
      <c r="L80" s="55">
        <f>RATIO_ANALYSIS!S125</f>
        <v>0.68453111361307539</v>
      </c>
      <c r="M80" s="56">
        <f>RATIO_ANALYSIS!T125</f>
        <v>3.244324400941799E-2</v>
      </c>
      <c r="N80" s="56">
        <f>RATIO_ANALYSIS!U125</f>
        <v>-0.60861997089132513</v>
      </c>
      <c r="O80" s="56">
        <f>RATIO_ANALYSIS!V125</f>
        <v>0.55623030132696283</v>
      </c>
      <c r="P80" s="56">
        <f>RATIO_ANALYSIS!W125</f>
        <v>1.2411370691063552</v>
      </c>
      <c r="Q80" s="56">
        <f>RATIO_ANALYSIS!X125</f>
        <v>2.0238378172830118</v>
      </c>
      <c r="R80" s="56">
        <f>RATIO_ANALYSIS!Y125</f>
        <v>6.4952531645569618</v>
      </c>
      <c r="S80" s="57">
        <f>RATIO_ANALYSIS!Z125</f>
        <v>7.6947409733124017</v>
      </c>
    </row>
    <row r="83" spans="1:59" ht="17">
      <c r="A83" s="17"/>
      <c r="B83" s="40" t="s">
        <v>365</v>
      </c>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row>
    <row r="85" spans="1:59">
      <c r="AA85" s="175" t="s">
        <v>259</v>
      </c>
      <c r="AB85" s="176"/>
      <c r="AC85" s="176"/>
      <c r="AD85" s="176"/>
      <c r="AE85" s="176"/>
      <c r="AF85" s="176"/>
      <c r="AG85" s="176"/>
      <c r="AH85" s="177"/>
    </row>
    <row r="86" spans="1:59">
      <c r="AA86" s="43" t="s">
        <v>32</v>
      </c>
      <c r="AB86" s="44" t="s">
        <v>33</v>
      </c>
      <c r="AC86" s="44" t="s">
        <v>34</v>
      </c>
      <c r="AD86" s="44" t="s">
        <v>35</v>
      </c>
      <c r="AE86" s="44" t="s">
        <v>36</v>
      </c>
      <c r="AF86" s="44" t="s">
        <v>37</v>
      </c>
      <c r="AG86" s="44" t="s">
        <v>38</v>
      </c>
      <c r="AH86" s="45" t="s">
        <v>39</v>
      </c>
    </row>
    <row r="87" spans="1:59">
      <c r="AA87" s="46">
        <f>RATIO_ANALYSIS!S7</f>
        <v>5.5943513122676689E-2</v>
      </c>
      <c r="AB87" s="47">
        <f>RATIO_ANALYSIS!T7</f>
        <v>0.18006277717864919</v>
      </c>
      <c r="AC87" s="47">
        <f>RATIO_ANALYSIS!U7</f>
        <v>0.24374470196996154</v>
      </c>
      <c r="AD87" s="47">
        <f>RATIO_ANALYSIS!V7</f>
        <v>-2.9505603241676004E-2</v>
      </c>
      <c r="AE87" s="47">
        <f>RATIO_ANALYSIS!W7</f>
        <v>4.6658861646185504E-2</v>
      </c>
      <c r="AF87" s="47">
        <f>RATIO_ANALYSIS!X7</f>
        <v>2.6268628200229269</v>
      </c>
      <c r="AG87" s="47">
        <f>RATIO_ANALYSIS!Y7</f>
        <v>0.16844331188094819</v>
      </c>
      <c r="AH87" s="48">
        <f>RATIO_ANALYSIS!Z7</f>
        <v>0.33929331839651999</v>
      </c>
    </row>
    <row r="88" spans="1:59">
      <c r="AE88" s="49"/>
    </row>
    <row r="89" spans="1:59">
      <c r="F89" s="50"/>
      <c r="G89" s="41"/>
      <c r="H89" s="41"/>
      <c r="I89" s="41"/>
      <c r="J89" s="41"/>
      <c r="K89" s="41"/>
      <c r="L89" s="41"/>
      <c r="M89" s="41"/>
      <c r="N89" s="41"/>
      <c r="O89" s="41"/>
      <c r="P89" s="50"/>
      <c r="Q89" s="41"/>
      <c r="R89" s="41"/>
      <c r="S89" s="41"/>
      <c r="T89" s="41"/>
      <c r="U89" s="41"/>
      <c r="V89" s="41"/>
      <c r="W89" s="41"/>
      <c r="X89" s="41"/>
      <c r="Y89" s="41"/>
      <c r="Z89" s="50"/>
      <c r="AA89" s="41"/>
      <c r="AB89" s="41"/>
      <c r="AC89" s="41"/>
      <c r="AD89" s="41"/>
      <c r="AE89" s="41"/>
      <c r="AF89" s="41"/>
      <c r="AG89" s="41"/>
      <c r="AH89" s="41"/>
      <c r="AI89" s="41"/>
      <c r="AJ89" s="41"/>
      <c r="AK89" s="41"/>
      <c r="AL89" s="41"/>
      <c r="AM89" s="41"/>
      <c r="AN89" s="41"/>
      <c r="AO89" s="41"/>
      <c r="AP89" s="41"/>
      <c r="AQ89" s="41"/>
      <c r="AR89" s="41"/>
      <c r="AS89" s="41"/>
      <c r="AT89" s="41"/>
      <c r="AU89" s="41"/>
      <c r="AV89" s="41"/>
      <c r="AW89" s="41"/>
      <c r="AX89" s="41"/>
      <c r="AY89" s="41"/>
      <c r="AZ89" s="41"/>
      <c r="BA89" s="41"/>
      <c r="BB89" s="41"/>
      <c r="BC89" s="41"/>
      <c r="BD89" s="50"/>
    </row>
    <row r="90" spans="1:59">
      <c r="B90" s="175" t="s">
        <v>287</v>
      </c>
      <c r="C90" s="176"/>
      <c r="D90" s="176"/>
      <c r="E90" s="176"/>
      <c r="F90" s="176"/>
      <c r="G90" s="176"/>
      <c r="H90" s="176"/>
      <c r="I90" s="177"/>
      <c r="L90" s="175" t="s">
        <v>291</v>
      </c>
      <c r="M90" s="176"/>
      <c r="N90" s="176"/>
      <c r="O90" s="176"/>
      <c r="P90" s="176"/>
      <c r="Q90" s="176"/>
      <c r="R90" s="176"/>
      <c r="S90" s="177"/>
      <c r="V90" s="175" t="s">
        <v>278</v>
      </c>
      <c r="W90" s="176"/>
      <c r="X90" s="176"/>
      <c r="Y90" s="176"/>
      <c r="Z90" s="176"/>
      <c r="AA90" s="176"/>
      <c r="AB90" s="176"/>
      <c r="AC90" s="177"/>
      <c r="AF90" s="175" t="s">
        <v>276</v>
      </c>
      <c r="AG90" s="176"/>
      <c r="AH90" s="176"/>
      <c r="AI90" s="176"/>
      <c r="AJ90" s="176"/>
      <c r="AK90" s="176"/>
      <c r="AL90" s="176"/>
      <c r="AM90" s="177"/>
      <c r="AP90" s="175" t="s">
        <v>314</v>
      </c>
      <c r="AQ90" s="176"/>
      <c r="AR90" s="176"/>
      <c r="AS90" s="176"/>
      <c r="AT90" s="176"/>
      <c r="AU90" s="176"/>
      <c r="AV90" s="176"/>
      <c r="AW90" s="177"/>
      <c r="AZ90" s="175" t="s">
        <v>293</v>
      </c>
      <c r="BA90" s="176"/>
      <c r="BB90" s="176"/>
      <c r="BC90" s="176"/>
      <c r="BD90" s="176"/>
      <c r="BE90" s="176"/>
      <c r="BF90" s="176"/>
      <c r="BG90" s="177"/>
    </row>
    <row r="91" spans="1:59">
      <c r="B91" s="43" t="s">
        <v>32</v>
      </c>
      <c r="C91" s="44" t="s">
        <v>33</v>
      </c>
      <c r="D91" s="44" t="s">
        <v>34</v>
      </c>
      <c r="E91" s="44" t="s">
        <v>35</v>
      </c>
      <c r="F91" s="44" t="s">
        <v>36</v>
      </c>
      <c r="G91" s="44" t="s">
        <v>37</v>
      </c>
      <c r="H91" s="44" t="s">
        <v>38</v>
      </c>
      <c r="I91" s="45" t="s">
        <v>39</v>
      </c>
      <c r="L91" s="43" t="s">
        <v>32</v>
      </c>
      <c r="M91" s="44" t="s">
        <v>33</v>
      </c>
      <c r="N91" s="44" t="s">
        <v>34</v>
      </c>
      <c r="O91" s="44" t="s">
        <v>35</v>
      </c>
      <c r="P91" s="44" t="s">
        <v>36</v>
      </c>
      <c r="Q91" s="44" t="s">
        <v>37</v>
      </c>
      <c r="R91" s="44" t="s">
        <v>38</v>
      </c>
      <c r="S91" s="45" t="s">
        <v>39</v>
      </c>
      <c r="V91" s="43" t="s">
        <v>32</v>
      </c>
      <c r="W91" s="44" t="s">
        <v>33</v>
      </c>
      <c r="X91" s="44" t="s">
        <v>34</v>
      </c>
      <c r="Y91" s="44" t="s">
        <v>35</v>
      </c>
      <c r="Z91" s="44" t="s">
        <v>36</v>
      </c>
      <c r="AA91" s="44" t="s">
        <v>37</v>
      </c>
      <c r="AB91" s="44" t="s">
        <v>38</v>
      </c>
      <c r="AC91" s="45" t="s">
        <v>39</v>
      </c>
      <c r="AD91" s="54"/>
      <c r="AE91" s="54"/>
      <c r="AF91" s="43" t="s">
        <v>32</v>
      </c>
      <c r="AG91" s="44" t="s">
        <v>33</v>
      </c>
      <c r="AH91" s="44" t="s">
        <v>34</v>
      </c>
      <c r="AI91" s="44" t="s">
        <v>35</v>
      </c>
      <c r="AJ91" s="44" t="s">
        <v>36</v>
      </c>
      <c r="AK91" s="44" t="s">
        <v>37</v>
      </c>
      <c r="AL91" s="44" t="s">
        <v>38</v>
      </c>
      <c r="AM91" s="45" t="s">
        <v>39</v>
      </c>
      <c r="AP91" s="43" t="s">
        <v>32</v>
      </c>
      <c r="AQ91" s="44" t="s">
        <v>33</v>
      </c>
      <c r="AR91" s="44" t="s">
        <v>34</v>
      </c>
      <c r="AS91" s="44" t="s">
        <v>35</v>
      </c>
      <c r="AT91" s="44" t="s">
        <v>36</v>
      </c>
      <c r="AU91" s="44" t="s">
        <v>37</v>
      </c>
      <c r="AV91" s="44" t="s">
        <v>38</v>
      </c>
      <c r="AW91" s="45" t="s">
        <v>39</v>
      </c>
      <c r="AZ91" s="43" t="s">
        <v>32</v>
      </c>
      <c r="BA91" s="44" t="s">
        <v>33</v>
      </c>
      <c r="BB91" s="44" t="s">
        <v>34</v>
      </c>
      <c r="BC91" s="44" t="s">
        <v>35</v>
      </c>
      <c r="BD91" s="44" t="s">
        <v>36</v>
      </c>
      <c r="BE91" s="44" t="s">
        <v>37</v>
      </c>
      <c r="BF91" s="44" t="s">
        <v>38</v>
      </c>
      <c r="BG91" s="45" t="s">
        <v>39</v>
      </c>
    </row>
    <row r="92" spans="1:59">
      <c r="B92" s="46">
        <f>RATIO_ANALYSIS!S60</f>
        <v>0.9960075753698111</v>
      </c>
      <c r="C92" s="47">
        <f>RATIO_ANALYSIS!T60</f>
        <v>0.9922877011516601</v>
      </c>
      <c r="D92" s="47">
        <f>RATIO_ANALYSIS!U60</f>
        <v>1.0027720337562176</v>
      </c>
      <c r="E92" s="47">
        <f>RATIO_ANALYSIS!V60</f>
        <v>0.95589215966466612</v>
      </c>
      <c r="F92" s="47">
        <f>RATIO_ANALYSIS!W60</f>
        <v>-415.47500000000002</v>
      </c>
      <c r="G92" s="47">
        <f>RATIO_ANALYSIS!X60</f>
        <v>0.9984714926462197</v>
      </c>
      <c r="H92" s="47">
        <f>RATIO_ANALYSIS!Y60</f>
        <v>1.0013040379687335</v>
      </c>
      <c r="I92" s="48">
        <f>RATIO_ANALYSIS!Z60</f>
        <v>1.4320386000566834</v>
      </c>
      <c r="L92" s="46">
        <f>RATIO_ANALYSIS!S66</f>
        <v>-0.52758499635440581</v>
      </c>
      <c r="M92" s="47">
        <f>RATIO_ANALYSIS!T66</f>
        <v>5.1321802760685182</v>
      </c>
      <c r="N92" s="47">
        <f>RATIO_ANALYSIS!U66</f>
        <v>2.1458381636911663</v>
      </c>
      <c r="O92" s="47">
        <f>RATIO_ANALYSIS!V66</f>
        <v>0.35490414849376206</v>
      </c>
      <c r="P92" s="47">
        <f>RATIO_ANALYSIS!W66</f>
        <v>6.1368517950291502E-4</v>
      </c>
      <c r="Q92" s="47">
        <f>RATIO_ANALYSIS!X66</f>
        <v>4.8857181475661884</v>
      </c>
      <c r="R92" s="47">
        <f>RATIO_ANALYSIS!Y66</f>
        <v>0.75138429987467248</v>
      </c>
      <c r="S92" s="48">
        <f>RATIO_ANALYSIS!Z66</f>
        <v>0.85024361860317499</v>
      </c>
      <c r="V92" s="46">
        <f>RATIO_ANALYSIS!S36</f>
        <v>8.8868996764996683E-2</v>
      </c>
      <c r="W92" s="47">
        <f>RATIO_ANALYSIS!T36</f>
        <v>-5.9834537056017385E-2</v>
      </c>
      <c r="X92" s="47">
        <f>RATIO_ANALYSIS!U36</f>
        <v>-0.42073094841650266</v>
      </c>
      <c r="Y92" s="47">
        <f>RATIO_ANALYSIS!V36</f>
        <v>8.8402496323661275E-2</v>
      </c>
      <c r="Z92" s="47">
        <f>RATIO_ANALYSIS!W36</f>
        <v>9.9030961229333095E-2</v>
      </c>
      <c r="AA92" s="47">
        <f>RATIO_ANALYSIS!X36</f>
        <v>9.9131902862894916E-2</v>
      </c>
      <c r="AB92" s="47">
        <f>RATIO_ANALYSIS!Y36</f>
        <v>0.13442914709400544</v>
      </c>
      <c r="AC92" s="48">
        <f>RATIO_ANALYSIS!Z36</f>
        <v>0.15624156315945101</v>
      </c>
      <c r="AF92" s="46">
        <f>RATIO_ANALYSIS!S33</f>
        <v>4.0990707764967889E-2</v>
      </c>
      <c r="AG92" s="47">
        <f>RATIO_ANALYSIS!T33</f>
        <v>6.8034047871609993E-2</v>
      </c>
      <c r="AH92" s="47">
        <f>RATIO_ANALYSIS!U33</f>
        <v>0.14081100627344131</v>
      </c>
      <c r="AI92" s="47">
        <f>RATIO_ANALYSIS!V33</f>
        <v>7.7227024377413536E-2</v>
      </c>
      <c r="AJ92" s="47">
        <f>RATIO_ANALYSIS!W33</f>
        <v>3.9478682058652827E-2</v>
      </c>
      <c r="AK92" s="47">
        <f>RATIO_ANALYSIS!X33</f>
        <v>4.3493626193989478E-2</v>
      </c>
      <c r="AL92" s="47">
        <f>RATIO_ANALYSIS!Y33</f>
        <v>2.9039268872078652E-2</v>
      </c>
      <c r="AM92" s="48">
        <f>RATIO_ANALYSIS!Z33</f>
        <v>2.3801302877754657E-2</v>
      </c>
      <c r="AP92" s="55">
        <f>RATIO_ANALYSIS!S103</f>
        <v>-1.5985501663154444</v>
      </c>
      <c r="AQ92" s="56">
        <f>RATIO_ANALYSIS!T103</f>
        <v>-1.0432572159062177</v>
      </c>
      <c r="AR92" s="56">
        <f>RATIO_ANALYSIS!U103</f>
        <v>-0.59141864037153224</v>
      </c>
      <c r="AS92" s="56">
        <f>RATIO_ANALYSIS!V103</f>
        <v>-1.9410917132010668</v>
      </c>
      <c r="AT92" s="56">
        <f>RATIO_ANALYSIS!W103</f>
        <v>-1.8178566515339112</v>
      </c>
      <c r="AU92" s="56">
        <f>RATIO_ANALYSIS!X103</f>
        <v>5.0251833251451137</v>
      </c>
      <c r="AV92" s="56">
        <f>RATIO_ANALYSIS!Y103</f>
        <v>1.8312378357833947</v>
      </c>
      <c r="AW92" s="57">
        <f>RATIO_ANALYSIS!Z103</f>
        <v>2.1225326415230308</v>
      </c>
      <c r="AZ92" s="55">
        <f>RATIO_ANALYSIS!S70</f>
        <v>0.74940762928518956</v>
      </c>
      <c r="BA92" s="56">
        <f>RATIO_ANALYSIS!T70</f>
        <v>0.56642328690066746</v>
      </c>
      <c r="BB92" s="56">
        <f>RATIO_ANALYSIS!U70</f>
        <v>0.45523593681808783</v>
      </c>
      <c r="BC92" s="56">
        <f>RATIO_ANALYSIS!V70</f>
        <v>0.50684356674428011</v>
      </c>
      <c r="BD92" s="56">
        <f>RATIO_ANALYSIS!W70</f>
        <v>1.0165130983527058</v>
      </c>
      <c r="BE92" s="56">
        <f>RATIO_ANALYSIS!X70</f>
        <v>1.0809558639818373</v>
      </c>
      <c r="BF92" s="56">
        <f>RATIO_ANALYSIS!Y70</f>
        <v>0.90946814467712866</v>
      </c>
      <c r="BG92" s="57">
        <f>RATIO_ANALYSIS!Z70</f>
        <v>0.84028429911748748</v>
      </c>
    </row>
    <row r="93" spans="1:59">
      <c r="Z93" s="58"/>
    </row>
    <row r="94" spans="1:59">
      <c r="V94" s="175" t="s">
        <v>274</v>
      </c>
      <c r="W94" s="176"/>
      <c r="X94" s="176"/>
      <c r="Y94" s="176"/>
      <c r="Z94" s="176"/>
      <c r="AA94" s="176"/>
      <c r="AB94" s="176"/>
      <c r="AC94" s="177"/>
      <c r="AF94" s="175" t="s">
        <v>271</v>
      </c>
      <c r="AG94" s="176"/>
      <c r="AH94" s="176"/>
      <c r="AI94" s="176"/>
      <c r="AJ94" s="176"/>
      <c r="AK94" s="176"/>
      <c r="AL94" s="176"/>
      <c r="AM94" s="177"/>
      <c r="AZ94" s="175" t="s">
        <v>294</v>
      </c>
      <c r="BA94" s="176"/>
      <c r="BB94" s="176"/>
      <c r="BC94" s="176"/>
      <c r="BD94" s="176"/>
      <c r="BE94" s="176"/>
      <c r="BF94" s="176"/>
      <c r="BG94" s="177"/>
    </row>
    <row r="95" spans="1:59">
      <c r="V95" s="43" t="s">
        <v>32</v>
      </c>
      <c r="W95" s="44" t="s">
        <v>33</v>
      </c>
      <c r="X95" s="44" t="s">
        <v>34</v>
      </c>
      <c r="Y95" s="44" t="s">
        <v>35</v>
      </c>
      <c r="Z95" s="44" t="s">
        <v>36</v>
      </c>
      <c r="AA95" s="44" t="s">
        <v>37</v>
      </c>
      <c r="AB95" s="44" t="s">
        <v>38</v>
      </c>
      <c r="AC95" s="45" t="s">
        <v>39</v>
      </c>
      <c r="AD95" s="54"/>
      <c r="AE95" s="54"/>
      <c r="AF95" s="43" t="s">
        <v>32</v>
      </c>
      <c r="AG95" s="44" t="s">
        <v>33</v>
      </c>
      <c r="AH95" s="44" t="s">
        <v>34</v>
      </c>
      <c r="AI95" s="44" t="s">
        <v>35</v>
      </c>
      <c r="AJ95" s="44" t="s">
        <v>36</v>
      </c>
      <c r="AK95" s="44" t="s">
        <v>37</v>
      </c>
      <c r="AL95" s="44" t="s">
        <v>38</v>
      </c>
      <c r="AM95" s="45" t="s">
        <v>39</v>
      </c>
      <c r="AZ95" s="43" t="s">
        <v>32</v>
      </c>
      <c r="BA95" s="44" t="s">
        <v>33</v>
      </c>
      <c r="BB95" s="44" t="s">
        <v>34</v>
      </c>
      <c r="BC95" s="44" t="s">
        <v>35</v>
      </c>
      <c r="BD95" s="44" t="s">
        <v>36</v>
      </c>
      <c r="BE95" s="44" t="s">
        <v>37</v>
      </c>
      <c r="BF95" s="44" t="s">
        <v>38</v>
      </c>
      <c r="BG95" s="45" t="s">
        <v>39</v>
      </c>
    </row>
    <row r="96" spans="1:59">
      <c r="V96" s="46">
        <f>RATIO_ANALYSIS!S28</f>
        <v>0.12985970452996456</v>
      </c>
      <c r="W96" s="47">
        <f>RATIO_ANALYSIS!T28</f>
        <v>8.199510815592604E-3</v>
      </c>
      <c r="X96" s="47">
        <f>RATIO_ANALYSIS!U28</f>
        <v>-0.27991994214306137</v>
      </c>
      <c r="Y96" s="47">
        <f>RATIO_ANALYSIS!V28</f>
        <v>0.16562952070107481</v>
      </c>
      <c r="Z96" s="47">
        <f>RATIO_ANALYSIS!W28</f>
        <v>0.13850964328798593</v>
      </c>
      <c r="AA96" s="47">
        <f>RATIO_ANALYSIS!X28</f>
        <v>0.14262552905688439</v>
      </c>
      <c r="AB96" s="47">
        <f>RATIO_ANALYSIS!Y28</f>
        <v>0.16346841596608411</v>
      </c>
      <c r="AC96" s="48">
        <f>RATIO_ANALYSIS!Z28</f>
        <v>0.18004286603720565</v>
      </c>
      <c r="AF96" s="46">
        <f>RATIO_ANALYSIS!S22</f>
        <v>9.6555729411651775E-2</v>
      </c>
      <c r="AG96" s="47">
        <f>RATIO_ANALYSIS!T22</f>
        <v>0.17397292171258327</v>
      </c>
      <c r="AH96" s="47">
        <f>RATIO_ANALYSIS!U22</f>
        <v>0.26784062431673311</v>
      </c>
      <c r="AI96" s="47">
        <f>RATIO_ANALYSIS!V22</f>
        <v>0.1653485647334505</v>
      </c>
      <c r="AJ96" s="47">
        <f>RATIO_ANALYSIS!W22</f>
        <v>8.2859044209924973E-2</v>
      </c>
      <c r="AK96" s="47">
        <f>RATIO_ANALYSIS!X22</f>
        <v>0.10203784253659223</v>
      </c>
      <c r="AL96" s="47">
        <f>RATIO_ANALYSIS!Y22</f>
        <v>0.10765665659379792</v>
      </c>
      <c r="AM96" s="48">
        <f>RATIO_ANALYSIS!Z22</f>
        <v>8.6460282798303728E-2</v>
      </c>
      <c r="AZ96" s="55">
        <f>RATIO_ANALYSIS!S73</f>
        <v>6.5759555597639112</v>
      </c>
      <c r="BA96" s="56">
        <f>RATIO_ANALYSIS!T73</f>
        <v>4.3795017954886166</v>
      </c>
      <c r="BB96" s="56">
        <f>RATIO_ANALYSIS!U73</f>
        <v>2.8355255000333832</v>
      </c>
      <c r="BC96" s="56">
        <f>RATIO_ANALYSIS!V73</f>
        <v>3.5771241620425314</v>
      </c>
      <c r="BD96" s="56">
        <f>RATIO_ANALYSIS!W73</f>
        <v>7.2540090154629517</v>
      </c>
      <c r="BE96" s="56">
        <f>RATIO_ANALYSIS!X73</f>
        <v>7.6697668443702227</v>
      </c>
      <c r="BF96" s="56">
        <f>RATIO_ANALYSIS!Y73</f>
        <v>8.0654840582574643</v>
      </c>
      <c r="BG96" s="57">
        <f>RATIO_ANALYSIS!Z73</f>
        <v>13.246891954358563</v>
      </c>
    </row>
    <row r="97" spans="22:59">
      <c r="Z97" s="58"/>
    </row>
    <row r="98" spans="22:59">
      <c r="V98" s="175" t="s">
        <v>269</v>
      </c>
      <c r="W98" s="176"/>
      <c r="X98" s="176"/>
      <c r="Y98" s="176"/>
      <c r="Z98" s="176"/>
      <c r="AA98" s="176"/>
      <c r="AB98" s="176"/>
      <c r="AC98" s="177"/>
      <c r="AF98" s="175" t="s">
        <v>358</v>
      </c>
      <c r="AG98" s="176"/>
      <c r="AH98" s="176"/>
      <c r="AI98" s="176"/>
      <c r="AJ98" s="176"/>
      <c r="AK98" s="176"/>
      <c r="AL98" s="176"/>
      <c r="AM98" s="177"/>
      <c r="AZ98" s="175" t="s">
        <v>296</v>
      </c>
      <c r="BA98" s="176"/>
      <c r="BB98" s="176"/>
      <c r="BC98" s="176"/>
      <c r="BD98" s="176"/>
      <c r="BE98" s="176"/>
      <c r="BF98" s="176"/>
      <c r="BG98" s="177"/>
    </row>
    <row r="99" spans="22:59">
      <c r="V99" s="43" t="s">
        <v>32</v>
      </c>
      <c r="W99" s="44" t="s">
        <v>33</v>
      </c>
      <c r="X99" s="44" t="s">
        <v>34</v>
      </c>
      <c r="Y99" s="44" t="s">
        <v>35</v>
      </c>
      <c r="Z99" s="44" t="s">
        <v>36</v>
      </c>
      <c r="AA99" s="44" t="s">
        <v>37</v>
      </c>
      <c r="AB99" s="44" t="s">
        <v>38</v>
      </c>
      <c r="AC99" s="45" t="s">
        <v>39</v>
      </c>
      <c r="AF99" s="43" t="s">
        <v>32</v>
      </c>
      <c r="AG99" s="44" t="s">
        <v>33</v>
      </c>
      <c r="AH99" s="44" t="s">
        <v>34</v>
      </c>
      <c r="AI99" s="44" t="s">
        <v>35</v>
      </c>
      <c r="AJ99" s="44" t="s">
        <v>36</v>
      </c>
      <c r="AK99" s="44" t="s">
        <v>37</v>
      </c>
      <c r="AL99" s="44" t="s">
        <v>38</v>
      </c>
      <c r="AM99" s="45" t="s">
        <v>39</v>
      </c>
      <c r="AZ99" s="43" t="s">
        <v>32</v>
      </c>
      <c r="BA99" s="44" t="s">
        <v>33</v>
      </c>
      <c r="BB99" s="44" t="s">
        <v>34</v>
      </c>
      <c r="BC99" s="44" t="s">
        <v>35</v>
      </c>
      <c r="BD99" s="44" t="s">
        <v>36</v>
      </c>
      <c r="BE99" s="44" t="s">
        <v>37</v>
      </c>
      <c r="BF99" s="44" t="s">
        <v>38</v>
      </c>
      <c r="BG99" s="45" t="s">
        <v>39</v>
      </c>
    </row>
    <row r="100" spans="22:59">
      <c r="V100" s="46">
        <f>RATIO_ANALYSIS!S19</f>
        <v>0.3956519443617828</v>
      </c>
      <c r="W100" s="47">
        <f>RATIO_ANALYSIS!T19</f>
        <v>0.41321753182783416</v>
      </c>
      <c r="X100" s="47">
        <f>RATIO_ANALYSIS!U19</f>
        <v>0.37906722505339996</v>
      </c>
      <c r="Y100" s="47">
        <f>RATIO_ANALYSIS!V19</f>
        <v>0.5345097617254283</v>
      </c>
      <c r="Z100" s="47">
        <f>RATIO_ANALYSIS!W19</f>
        <v>0.34525766585938761</v>
      </c>
      <c r="AA100" s="47">
        <f>RATIO_ANALYSIS!X19</f>
        <v>0.36973267029895168</v>
      </c>
      <c r="AB100" s="47">
        <f>RATIO_ANALYSIS!Y19</f>
        <v>0.39597861263973999</v>
      </c>
      <c r="AC100" s="48">
        <f>RATIO_ANALYSIS!Z19</f>
        <v>0.37710083069017258</v>
      </c>
      <c r="AF100" s="46">
        <f>RATIO_ANALYSIS!S25</f>
        <v>0.16923651042016646</v>
      </c>
      <c r="AG100" s="47">
        <f>RATIO_ANALYSIS!T25</f>
        <v>0.23104509929965827</v>
      </c>
      <c r="AH100" s="47">
        <f>RATIO_ANALYSIS!U25</f>
        <v>0.39114654287972822</v>
      </c>
      <c r="AI100" s="47">
        <f>RATIO_ANALYSIS!V25</f>
        <v>0.20353167629090299</v>
      </c>
      <c r="AJ100" s="47">
        <f>RATIO_ANALYSIS!W25</f>
        <v>0.12388897836147668</v>
      </c>
      <c r="AK100" s="47">
        <f>RATIO_ANALYSIS!X25</f>
        <v>0.12506929870547506</v>
      </c>
      <c r="AL100" s="47">
        <f>RATIO_ANALYSIS!Y25</f>
        <v>0.12485354007985799</v>
      </c>
      <c r="AM100" s="48">
        <f>RATIO_ANALYSIS!Z25</f>
        <v>0.11059768185466319</v>
      </c>
      <c r="AZ100" s="55">
        <f>RATIO_ANALYSIS!S76</f>
        <v>14.342230712306607</v>
      </c>
      <c r="BA100" s="56">
        <f>RATIO_ANALYSIS!T76</f>
        <v>67.337041007772712</v>
      </c>
      <c r="BB100" s="56">
        <f>RATIO_ANALYSIS!U76</f>
        <v>36.108951779424267</v>
      </c>
      <c r="BC100" s="56">
        <f>RATIO_ANALYSIS!V76</f>
        <v>12.7456</v>
      </c>
      <c r="BD100" s="56">
        <f>RATIO_ANALYSIS!W76</f>
        <v>13.152249065803408</v>
      </c>
      <c r="BE100" s="56">
        <f>RATIO_ANALYSIS!X76</f>
        <v>16.254743949252674</v>
      </c>
      <c r="BF100" s="56">
        <f>RATIO_ANALYSIS!Y76</f>
        <v>15.296340549151907</v>
      </c>
      <c r="BG100" s="57">
        <f>RATIO_ANALYSIS!Z76</f>
        <v>9.7856276340501243</v>
      </c>
    </row>
    <row r="102" spans="22:59">
      <c r="AZ102" s="175" t="s">
        <v>301</v>
      </c>
      <c r="BA102" s="176"/>
      <c r="BB102" s="176"/>
      <c r="BC102" s="176"/>
      <c r="BD102" s="176"/>
      <c r="BE102" s="176"/>
      <c r="BF102" s="176"/>
      <c r="BG102" s="177"/>
    </row>
    <row r="103" spans="22:59">
      <c r="AZ103" s="43" t="s">
        <v>32</v>
      </c>
      <c r="BA103" s="44" t="s">
        <v>33</v>
      </c>
      <c r="BB103" s="44" t="s">
        <v>34</v>
      </c>
      <c r="BC103" s="44" t="s">
        <v>35</v>
      </c>
      <c r="BD103" s="44" t="s">
        <v>36</v>
      </c>
      <c r="BE103" s="44" t="s">
        <v>37</v>
      </c>
      <c r="BF103" s="44" t="s">
        <v>38</v>
      </c>
      <c r="BG103" s="45" t="s">
        <v>39</v>
      </c>
    </row>
    <row r="104" spans="22:59">
      <c r="AZ104" s="55">
        <f>RATIO_ANALYSIS!S82</f>
        <v>2.7917659079108255</v>
      </c>
      <c r="BA104" s="56">
        <f>RATIO_ANALYSIS!T82</f>
        <v>2.6718689347492011</v>
      </c>
      <c r="BB104" s="56">
        <f>RATIO_ANALYSIS!U82</f>
        <v>2.1786462837293152</v>
      </c>
      <c r="BC104" s="56">
        <f>RATIO_ANALYSIS!V82</f>
        <v>2.812191103789127</v>
      </c>
      <c r="BD104" s="56">
        <f>RATIO_ANALYSIS!W82</f>
        <v>4.7799702240458988</v>
      </c>
      <c r="BE104" s="56">
        <f>RATIO_ANALYSIS!X82</f>
        <v>5.1010987321007484</v>
      </c>
      <c r="BF104" s="56">
        <f>RATIO_ANALYSIS!Y82</f>
        <v>3.5686277724942337</v>
      </c>
      <c r="BG104" s="57">
        <f>RATIO_ANALYSIS!Z82</f>
        <v>2.8165427341032241</v>
      </c>
    </row>
    <row r="106" spans="22:59">
      <c r="AZ106" s="175" t="s">
        <v>304</v>
      </c>
      <c r="BA106" s="176"/>
      <c r="BB106" s="176"/>
      <c r="BC106" s="176"/>
      <c r="BD106" s="176"/>
      <c r="BE106" s="176"/>
      <c r="BF106" s="176"/>
      <c r="BG106" s="177"/>
    </row>
    <row r="107" spans="22:59">
      <c r="AZ107" s="43" t="s">
        <v>32</v>
      </c>
      <c r="BA107" s="44" t="s">
        <v>33</v>
      </c>
      <c r="BB107" s="44" t="s">
        <v>34</v>
      </c>
      <c r="BC107" s="44" t="s">
        <v>35</v>
      </c>
      <c r="BD107" s="44" t="s">
        <v>36</v>
      </c>
      <c r="BE107" s="44" t="s">
        <v>37</v>
      </c>
      <c r="BF107" s="44" t="s">
        <v>38</v>
      </c>
      <c r="BG107" s="45" t="s">
        <v>39</v>
      </c>
    </row>
    <row r="108" spans="22:59">
      <c r="AZ108" s="55">
        <f>RATIO_ANALYSIS!S88</f>
        <v>1.6642181887872269</v>
      </c>
      <c r="BA108" s="56">
        <f>RATIO_ANALYSIS!T88</f>
        <v>1.0118293850572937</v>
      </c>
      <c r="BB108" s="56">
        <f>RATIO_ANALYSIS!U88</f>
        <v>0.89800981713279404</v>
      </c>
      <c r="BC108" s="56">
        <f>RATIO_ANALYSIS!V88</f>
        <v>0.71678418233030805</v>
      </c>
      <c r="BD108" s="56">
        <f>RATIO_ANALYSIS!W88</f>
        <v>1.9517958240862359</v>
      </c>
      <c r="BE108" s="56">
        <f>RATIO_ANALYSIS!X88</f>
        <v>2.0595305205431469</v>
      </c>
      <c r="BF108" s="56">
        <f>RATIO_ANALYSIS!Y88</f>
        <v>1.720423681122371</v>
      </c>
      <c r="BG108" s="57">
        <f>RATIO_ANALYSIS!Z88</f>
        <v>2.097759428491905</v>
      </c>
    </row>
  </sheetData>
  <mergeCells count="49">
    <mergeCell ref="AZ94:BG94"/>
    <mergeCell ref="AZ90:BG90"/>
    <mergeCell ref="L54:S54"/>
    <mergeCell ref="L50:S50"/>
    <mergeCell ref="AZ106:BG106"/>
    <mergeCell ref="AZ102:BG102"/>
    <mergeCell ref="AF50:AM50"/>
    <mergeCell ref="AF94:AM94"/>
    <mergeCell ref="L90:S90"/>
    <mergeCell ref="AF90:AM90"/>
    <mergeCell ref="V90:AC90"/>
    <mergeCell ref="AA85:AH85"/>
    <mergeCell ref="AZ98:BG98"/>
    <mergeCell ref="L70:S70"/>
    <mergeCell ref="A1:BG1"/>
    <mergeCell ref="B78:I78"/>
    <mergeCell ref="L38:S38"/>
    <mergeCell ref="B38:I38"/>
    <mergeCell ref="AP90:AW90"/>
    <mergeCell ref="AF42:AM42"/>
    <mergeCell ref="B74:I74"/>
    <mergeCell ref="A2:BG2"/>
    <mergeCell ref="AF38:AM38"/>
    <mergeCell ref="L46:S46"/>
    <mergeCell ref="AF46:AM46"/>
    <mergeCell ref="B50:I50"/>
    <mergeCell ref="AP39:AW39"/>
    <mergeCell ref="B70:I70"/>
    <mergeCell ref="L78:S78"/>
    <mergeCell ref="AP35:AW35"/>
    <mergeCell ref="B42:I42"/>
    <mergeCell ref="AF54:AM54"/>
    <mergeCell ref="AP51:AW51"/>
    <mergeCell ref="L62:S62"/>
    <mergeCell ref="L42:S42"/>
    <mergeCell ref="L74:S74"/>
    <mergeCell ref="V38:AC38"/>
    <mergeCell ref="B66:I66"/>
    <mergeCell ref="AF98:AM98"/>
    <mergeCell ref="Q33:X33"/>
    <mergeCell ref="B46:I46"/>
    <mergeCell ref="L66:S66"/>
    <mergeCell ref="V94:AC94"/>
    <mergeCell ref="V98:AC98"/>
    <mergeCell ref="AP47:AW47"/>
    <mergeCell ref="B62:I62"/>
    <mergeCell ref="B54:I54"/>
    <mergeCell ref="AP43:AW43"/>
    <mergeCell ref="B90:I90"/>
  </mergeCells>
  <conditionalFormatting sqref="B40:I40">
    <cfRule type="colorScale" priority="3">
      <colorScale>
        <cfvo type="min"/>
        <cfvo type="max"/>
        <color rgb="FFFFFFFF"/>
        <color rgb="FF8EA9DB"/>
      </colorScale>
    </cfRule>
  </conditionalFormatting>
  <conditionalFormatting sqref="B44:I44">
    <cfRule type="colorScale" priority="5">
      <colorScale>
        <cfvo type="min"/>
        <cfvo type="max"/>
        <color rgb="FFFFFFFF"/>
        <color rgb="FF8EA9DB"/>
      </colorScale>
    </cfRule>
  </conditionalFormatting>
  <conditionalFormatting sqref="B48:I48">
    <cfRule type="colorScale" priority="7">
      <colorScale>
        <cfvo type="min"/>
        <cfvo type="max"/>
        <color rgb="FFFFFFFF"/>
        <color rgb="FF8EA9DB"/>
      </colorScale>
    </cfRule>
  </conditionalFormatting>
  <conditionalFormatting sqref="B52:I52">
    <cfRule type="colorScale" priority="9">
      <colorScale>
        <cfvo type="min"/>
        <cfvo type="max"/>
        <color rgb="FFFFFFFF"/>
        <color rgb="FF8EA9DB"/>
      </colorScale>
    </cfRule>
  </conditionalFormatting>
  <conditionalFormatting sqref="B56:I56">
    <cfRule type="colorScale" priority="12">
      <colorScale>
        <cfvo type="min"/>
        <cfvo type="max"/>
        <color rgb="FFFFFFFF"/>
        <color rgb="FF8EA9DB"/>
      </colorScale>
    </cfRule>
  </conditionalFormatting>
  <conditionalFormatting sqref="B64:I64">
    <cfRule type="colorScale" priority="25">
      <colorScale>
        <cfvo type="min"/>
        <cfvo type="max"/>
        <color rgb="FFFFFFFF"/>
        <color rgb="FF8EA9DB"/>
      </colorScale>
    </cfRule>
  </conditionalFormatting>
  <conditionalFormatting sqref="B68:I68">
    <cfRule type="colorScale" priority="26">
      <colorScale>
        <cfvo type="min"/>
        <cfvo type="max"/>
        <color rgb="FFFFFFFF"/>
        <color rgb="FF8EA9DB"/>
      </colorScale>
    </cfRule>
  </conditionalFormatting>
  <conditionalFormatting sqref="B72:I72">
    <cfRule type="colorScale" priority="27">
      <colorScale>
        <cfvo type="min"/>
        <cfvo type="max"/>
        <color rgb="FFFFFFFF"/>
        <color rgb="FF8EA9DB"/>
      </colorScale>
    </cfRule>
  </conditionalFormatting>
  <conditionalFormatting sqref="B76:I76">
    <cfRule type="colorScale" priority="28">
      <colorScale>
        <cfvo type="min"/>
        <cfvo type="max"/>
        <color rgb="FFFFFFFF"/>
        <color rgb="FF8EA9DB"/>
      </colorScale>
    </cfRule>
  </conditionalFormatting>
  <conditionalFormatting sqref="B80:I80">
    <cfRule type="colorScale" priority="29">
      <colorScale>
        <cfvo type="min"/>
        <cfvo type="max"/>
        <color rgb="FFFFFFFF"/>
        <color rgb="FF8EA9DB"/>
      </colorScale>
    </cfRule>
  </conditionalFormatting>
  <conditionalFormatting sqref="B92:I92">
    <cfRule type="colorScale" priority="35">
      <colorScale>
        <cfvo type="min"/>
        <cfvo type="max"/>
        <color rgb="FFFFFFFF"/>
        <color rgb="FF8EA9DB"/>
      </colorScale>
    </cfRule>
  </conditionalFormatting>
  <conditionalFormatting sqref="C29:J29">
    <cfRule type="cellIs" dxfId="1" priority="2" operator="equal">
      <formula>0</formula>
    </cfRule>
    <cfRule type="cellIs" dxfId="0" priority="1" operator="notEqual">
      <formula>0</formula>
    </cfRule>
  </conditionalFormatting>
  <conditionalFormatting sqref="L40:S40">
    <cfRule type="colorScale" priority="4">
      <colorScale>
        <cfvo type="min"/>
        <cfvo type="max"/>
        <color rgb="FFFFFFFF"/>
        <color rgb="FF8EA9DB"/>
      </colorScale>
    </cfRule>
  </conditionalFormatting>
  <conditionalFormatting sqref="L44:S44">
    <cfRule type="colorScale" priority="6">
      <colorScale>
        <cfvo type="min"/>
        <cfvo type="max"/>
        <color rgb="FFFFFFFF"/>
        <color rgb="FF8EA9DB"/>
      </colorScale>
    </cfRule>
  </conditionalFormatting>
  <conditionalFormatting sqref="L48:S48">
    <cfRule type="colorScale" priority="8">
      <colorScale>
        <cfvo type="min"/>
        <cfvo type="max"/>
        <color rgb="FFFFFFFF"/>
        <color rgb="FF8EA9DB"/>
      </colorScale>
    </cfRule>
  </conditionalFormatting>
  <conditionalFormatting sqref="L52:S52">
    <cfRule type="colorScale" priority="10">
      <colorScale>
        <cfvo type="min"/>
        <cfvo type="max"/>
        <color rgb="FFFFFFFF"/>
        <color rgb="FF8EA9DB"/>
      </colorScale>
    </cfRule>
  </conditionalFormatting>
  <conditionalFormatting sqref="L56:S56">
    <cfRule type="colorScale" priority="11">
      <colorScale>
        <cfvo type="min"/>
        <cfvo type="max"/>
        <color rgb="FFFFFFFF"/>
        <color rgb="FF8EA9DB"/>
      </colorScale>
    </cfRule>
  </conditionalFormatting>
  <conditionalFormatting sqref="L64:S64">
    <cfRule type="colorScale" priority="30">
      <colorScale>
        <cfvo type="min"/>
        <cfvo type="max"/>
        <color rgb="FFFFFFFF"/>
        <color rgb="FF8EA9DB"/>
      </colorScale>
    </cfRule>
  </conditionalFormatting>
  <conditionalFormatting sqref="L68:S68">
    <cfRule type="colorScale" priority="31">
      <colorScale>
        <cfvo type="min"/>
        <cfvo type="max"/>
        <color rgb="FFFFFFFF"/>
        <color rgb="FF8EA9DB"/>
      </colorScale>
    </cfRule>
  </conditionalFormatting>
  <conditionalFormatting sqref="L72:S72">
    <cfRule type="colorScale" priority="32">
      <colorScale>
        <cfvo type="min"/>
        <cfvo type="max"/>
        <color rgb="FFFFFFFF"/>
        <color rgb="FF8EA9DB"/>
      </colorScale>
    </cfRule>
  </conditionalFormatting>
  <conditionalFormatting sqref="L76:S76">
    <cfRule type="colorScale" priority="33">
      <colorScale>
        <cfvo type="min"/>
        <cfvo type="max"/>
        <color rgb="FFFFFFFF"/>
        <color rgb="FF8EA9DB"/>
      </colorScale>
    </cfRule>
  </conditionalFormatting>
  <conditionalFormatting sqref="L80:S80">
    <cfRule type="colorScale" priority="34">
      <colorScale>
        <cfvo type="min"/>
        <cfvo type="max"/>
        <color rgb="FFFFFFFF"/>
        <color rgb="FF8EA9DB"/>
      </colorScale>
    </cfRule>
  </conditionalFormatting>
  <conditionalFormatting sqref="L92:S92">
    <cfRule type="colorScale" priority="36">
      <colorScale>
        <cfvo type="min"/>
        <cfvo type="max"/>
        <color rgb="FFFFFFFF"/>
        <color rgb="FF8EA9DB"/>
      </colorScale>
    </cfRule>
  </conditionalFormatting>
  <conditionalFormatting sqref="Q35:X35">
    <cfRule type="colorScale" priority="19">
      <colorScale>
        <cfvo type="min"/>
        <cfvo type="max"/>
        <color rgb="FFFFFFFF"/>
        <color rgb="FF8EA9DB"/>
      </colorScale>
    </cfRule>
  </conditionalFormatting>
  <conditionalFormatting sqref="V40:AC40">
    <cfRule type="colorScale" priority="13">
      <colorScale>
        <cfvo type="min"/>
        <cfvo type="max"/>
        <color rgb="FFFFFFFF"/>
        <color rgb="FF8EA9DB"/>
      </colorScale>
    </cfRule>
  </conditionalFormatting>
  <conditionalFormatting sqref="V92:AC92">
    <cfRule type="colorScale" priority="37">
      <colorScale>
        <cfvo type="min"/>
        <cfvo type="max"/>
        <color rgb="FFFFFFFF"/>
        <color rgb="FF8EA9DB"/>
      </colorScale>
    </cfRule>
  </conditionalFormatting>
  <conditionalFormatting sqref="V96:AC96">
    <cfRule type="colorScale" priority="39">
      <colorScale>
        <cfvo type="min"/>
        <cfvo type="max"/>
        <color rgb="FFFFFFFF"/>
        <color rgb="FF8EA9DB"/>
      </colorScale>
    </cfRule>
  </conditionalFormatting>
  <conditionalFormatting sqref="V100:AC100">
    <cfRule type="colorScale" priority="42">
      <colorScale>
        <cfvo type="min"/>
        <cfvo type="max"/>
        <color rgb="FFFFFFFF"/>
        <color rgb="FF8EA9DB"/>
      </colorScale>
    </cfRule>
  </conditionalFormatting>
  <conditionalFormatting sqref="AA87:AH87">
    <cfRule type="colorScale" priority="49">
      <colorScale>
        <cfvo type="min"/>
        <cfvo type="max"/>
        <color rgb="FFFFFFFF"/>
        <color rgb="FF8EA9DB"/>
      </colorScale>
    </cfRule>
  </conditionalFormatting>
  <conditionalFormatting sqref="AF40:AM40">
    <cfRule type="colorScale" priority="14">
      <colorScale>
        <cfvo type="min"/>
        <cfvo type="max"/>
        <color rgb="FFFFFFFF"/>
        <color rgb="FF8EA9DB"/>
      </colorScale>
    </cfRule>
  </conditionalFormatting>
  <conditionalFormatting sqref="AF44:AM44">
    <cfRule type="colorScale" priority="15">
      <colorScale>
        <cfvo type="min"/>
        <cfvo type="max"/>
        <color rgb="FFFFFFFF"/>
        <color rgb="FF8EA9DB"/>
      </colorScale>
    </cfRule>
  </conditionalFormatting>
  <conditionalFormatting sqref="AF48:AM48">
    <cfRule type="colorScale" priority="16">
      <colorScale>
        <cfvo type="min"/>
        <cfvo type="max"/>
        <color rgb="FFFFFFFF"/>
        <color rgb="FF8EA9DB"/>
      </colorScale>
    </cfRule>
  </conditionalFormatting>
  <conditionalFormatting sqref="AF52:AM52">
    <cfRule type="colorScale" priority="17">
      <colorScale>
        <cfvo type="min"/>
        <cfvo type="max"/>
        <color rgb="FFFFFFFF"/>
        <color rgb="FF8EA9DB"/>
      </colorScale>
    </cfRule>
  </conditionalFormatting>
  <conditionalFormatting sqref="AF56:AM56">
    <cfRule type="colorScale" priority="18">
      <colorScale>
        <cfvo type="min"/>
        <cfvo type="max"/>
        <color rgb="FFFFFFFF"/>
        <color rgb="FF8EA9DB"/>
      </colorScale>
    </cfRule>
  </conditionalFormatting>
  <conditionalFormatting sqref="AF92:AM92">
    <cfRule type="colorScale" priority="38">
      <colorScale>
        <cfvo type="min"/>
        <cfvo type="max"/>
        <color rgb="FFFFFFFF"/>
        <color rgb="FF8EA9DB"/>
      </colorScale>
    </cfRule>
  </conditionalFormatting>
  <conditionalFormatting sqref="AF96:AM96">
    <cfRule type="colorScale" priority="40">
      <colorScale>
        <cfvo type="min"/>
        <cfvo type="max"/>
        <color rgb="FFFFFFFF"/>
        <color rgb="FF8EA9DB"/>
      </colorScale>
    </cfRule>
  </conditionalFormatting>
  <conditionalFormatting sqref="AF100:AM100">
    <cfRule type="colorScale" priority="41">
      <colorScale>
        <cfvo type="min"/>
        <cfvo type="max"/>
        <color rgb="FFFFFFFF"/>
        <color rgb="FF8EA9DB"/>
      </colorScale>
    </cfRule>
  </conditionalFormatting>
  <conditionalFormatting sqref="AP37:AW37">
    <cfRule type="colorScale" priority="20">
      <colorScale>
        <cfvo type="min"/>
        <cfvo type="max"/>
        <color rgb="FFFFFFFF"/>
        <color rgb="FF8EA9DB"/>
      </colorScale>
    </cfRule>
  </conditionalFormatting>
  <conditionalFormatting sqref="AP41:AW41">
    <cfRule type="colorScale" priority="21">
      <colorScale>
        <cfvo type="min"/>
        <cfvo type="max"/>
        <color rgb="FFFFFFFF"/>
        <color rgb="FF8EA9DB"/>
      </colorScale>
    </cfRule>
  </conditionalFormatting>
  <conditionalFormatting sqref="AP45:AW45">
    <cfRule type="colorScale" priority="22">
      <colorScale>
        <cfvo type="min"/>
        <cfvo type="max"/>
        <color rgb="FFFFFFFF"/>
        <color rgb="FF8EA9DB"/>
      </colorScale>
    </cfRule>
  </conditionalFormatting>
  <conditionalFormatting sqref="AP49:AW49">
    <cfRule type="colorScale" priority="23">
      <colorScale>
        <cfvo type="min"/>
        <cfvo type="max"/>
        <color rgb="FFFFFFFF"/>
        <color rgb="FF8EA9DB"/>
      </colorScale>
    </cfRule>
  </conditionalFormatting>
  <conditionalFormatting sqref="AP53:AW53">
    <cfRule type="colorScale" priority="24">
      <colorScale>
        <cfvo type="min"/>
        <cfvo type="max"/>
        <color rgb="FFFFFFFF"/>
        <color rgb="FF8EA9DB"/>
      </colorScale>
    </cfRule>
  </conditionalFormatting>
  <conditionalFormatting sqref="AP92:AW92">
    <cfRule type="colorScale" priority="43">
      <colorScale>
        <cfvo type="min"/>
        <cfvo type="max"/>
        <color rgb="FFFFFFFF"/>
        <color rgb="FF8EA9DB"/>
      </colorScale>
    </cfRule>
  </conditionalFormatting>
  <conditionalFormatting sqref="AZ92:BG92">
    <cfRule type="colorScale" priority="44">
      <colorScale>
        <cfvo type="min"/>
        <cfvo type="max"/>
        <color rgb="FFFFFFFF"/>
        <color rgb="FF8EA9DB"/>
      </colorScale>
    </cfRule>
  </conditionalFormatting>
  <conditionalFormatting sqref="AZ96:BG96">
    <cfRule type="colorScale" priority="45">
      <colorScale>
        <cfvo type="min"/>
        <cfvo type="max"/>
        <color rgb="FFFFFFFF"/>
        <color rgb="FF8EA9DB"/>
      </colorScale>
    </cfRule>
  </conditionalFormatting>
  <conditionalFormatting sqref="AZ100:BG100">
    <cfRule type="colorScale" priority="46">
      <colorScale>
        <cfvo type="min"/>
        <cfvo type="max"/>
        <color rgb="FFFFFFFF"/>
        <color rgb="FF8EA9DB"/>
      </colorScale>
    </cfRule>
  </conditionalFormatting>
  <conditionalFormatting sqref="AZ104:BG104">
    <cfRule type="colorScale" priority="47">
      <colorScale>
        <cfvo type="min"/>
        <cfvo type="max"/>
        <color rgb="FFFFFFFF"/>
        <color rgb="FF8EA9DB"/>
      </colorScale>
    </cfRule>
  </conditionalFormatting>
  <conditionalFormatting sqref="AZ108:BG108">
    <cfRule type="colorScale" priority="48">
      <colorScale>
        <cfvo type="min"/>
        <cfvo type="max"/>
        <color rgb="FFFFFFFF"/>
        <color rgb="FF8EA9DB"/>
      </colorScale>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44"/>
  <sheetViews>
    <sheetView showGridLines="0" workbookViewId="0">
      <pane xSplit="2" ySplit="1" topLeftCell="C2" activePane="bottomRight" state="frozen"/>
      <selection pane="topRight"/>
      <selection pane="bottomLeft"/>
      <selection pane="bottomRight"/>
    </sheetView>
  </sheetViews>
  <sheetFormatPr defaultRowHeight="14.5"/>
  <cols>
    <col min="1" max="1" width="3.453125" customWidth="1"/>
    <col min="2" max="2" width="65" customWidth="1"/>
    <col min="3" max="23" width="17" customWidth="1"/>
  </cols>
  <sheetData>
    <row r="1" spans="1:22">
      <c r="B1" s="115" t="s">
        <v>366</v>
      </c>
      <c r="C1" s="115" t="s">
        <v>30</v>
      </c>
      <c r="D1" s="115" t="s">
        <v>31</v>
      </c>
      <c r="E1" s="115" t="s">
        <v>32</v>
      </c>
      <c r="F1" s="115" t="s">
        <v>33</v>
      </c>
      <c r="G1" s="115" t="s">
        <v>34</v>
      </c>
      <c r="H1" s="115" t="s">
        <v>35</v>
      </c>
      <c r="I1" s="115" t="s">
        <v>36</v>
      </c>
      <c r="J1" s="115" t="s">
        <v>37</v>
      </c>
      <c r="K1" s="115" t="s">
        <v>38</v>
      </c>
      <c r="L1" s="115" t="s">
        <v>39</v>
      </c>
      <c r="M1" s="115" t="s">
        <v>40</v>
      </c>
      <c r="N1" s="115" t="s">
        <v>41</v>
      </c>
      <c r="O1" s="115" t="s">
        <v>42</v>
      </c>
      <c r="P1" s="115" t="s">
        <v>43</v>
      </c>
      <c r="Q1" s="115" t="s">
        <v>44</v>
      </c>
      <c r="R1" s="115" t="s">
        <v>45</v>
      </c>
      <c r="S1" s="115" t="s">
        <v>46</v>
      </c>
      <c r="T1" s="115" t="s">
        <v>47</v>
      </c>
      <c r="U1" s="115" t="s">
        <v>48</v>
      </c>
      <c r="V1" s="115" t="s">
        <v>49</v>
      </c>
    </row>
    <row r="2" spans="1:22" ht="18.5">
      <c r="A2" t="s">
        <v>27</v>
      </c>
      <c r="B2" s="127" t="s">
        <v>367</v>
      </c>
    </row>
    <row r="5" spans="1:22">
      <c r="B5" s="92" t="s">
        <v>368</v>
      </c>
      <c r="C5" s="128">
        <f>IFERROR(INDEX(HS_CONSOLIDATED!D:D,MATCH("RevenueFromSaleOfProducts",HS_CONSOLIDATED!$C:$C,0)),0)</f>
        <v>0</v>
      </c>
      <c r="D5" s="128">
        <f>IFERROR(INDEX(HS_CONSOLIDATED!E:E,MATCH("RevenueFromSaleOfProducts",HS_CONSOLIDATED!$C:$C,0)),0)</f>
        <v>111422000000</v>
      </c>
      <c r="E5" s="128">
        <f>IFERROR(INDEX(HS_CONSOLIDATED!F:F,MATCH("RevenueFromSaleOfProducts",HS_CONSOLIDATED!$C:$C,0)),0)</f>
        <v>66371900000</v>
      </c>
      <c r="F5" s="128">
        <f>IFERROR(INDEX(HS_CONSOLIDATED!G:G,MATCH("RevenueFromSaleOfProducts",HS_CONSOLIDATED!$C:$C,0)),0)</f>
        <v>49784600000</v>
      </c>
      <c r="G5" s="128">
        <f>IFERROR(INDEX(HS_CONSOLIDATED!H:H,MATCH("RevenueFromSaleOfProducts",HS_CONSOLIDATED!$C:$C,0)),0)</f>
        <v>10153800000</v>
      </c>
      <c r="H5" s="128">
        <f>IFERROR(INDEX(HS_CONSOLIDATED!I:I,MATCH("RevenueFromSaleOfProducts",HS_CONSOLIDATED!$C:$C,0)),0)</f>
        <v>14746800000</v>
      </c>
      <c r="I5" s="128">
        <f>IFERROR(INDEX(HS_CONSOLIDATED!J:J,MATCH("RevenueFromSaleOfProducts",HS_CONSOLIDATED!$C:$C,0)),0)</f>
        <v>42100500000</v>
      </c>
      <c r="J5" s="128">
        <f>IFERROR(INDEX(HS_CONSOLIDATED!K:K,MATCH("RevenueFromSaleOfProducts",HS_CONSOLIDATED!$C:$C,0)),0)</f>
        <v>41240400000</v>
      </c>
      <c r="K5" s="128">
        <f>IFERROR(INDEX(HS_CONSOLIDATED!L:L,MATCH("RevenueFromSaleOfProducts",HS_CONSOLIDATED!$C:$C,0)),0)</f>
        <v>60041100000</v>
      </c>
      <c r="L5" s="128">
        <f>IFERROR(INDEX(HS_CONSOLIDATED!M:M,MATCH("RevenueFromSaleOfProducts",HS_CONSOLIDATED!$C:$C,0)),0)</f>
        <v>103573800000</v>
      </c>
      <c r="M5" s="129">
        <f>L5*(1+'Inputs &amp; Assumptions'!C18)</f>
        <v>138170496493.58685</v>
      </c>
      <c r="N5" s="129">
        <f>M5*(1+'Inputs &amp; Assumptions'!D18)</f>
        <v>180043391211.0325</v>
      </c>
      <c r="O5" s="129">
        <f>N5*(1+'Inputs &amp; Assumptions'!E18)</f>
        <v>229637231143.62808</v>
      </c>
      <c r="P5" s="129">
        <f>O5*(1+'Inputs &amp; Assumptions'!F18)</f>
        <v>287245960333.23053</v>
      </c>
      <c r="Q5" s="129">
        <f>P5*(1+'Inputs &amp; Assumptions'!G18)</f>
        <v>353015038438.74957</v>
      </c>
      <c r="R5" s="129">
        <f>Q5*(1+'Inputs &amp; Assumptions'!H18)</f>
        <v>426954038239.74567</v>
      </c>
      <c r="S5" s="129">
        <f>R5*(1+'Inputs &amp; Assumptions'!I18)</f>
        <v>508956842091.68561</v>
      </c>
      <c r="T5" s="129">
        <f>S5*(1+'Inputs &amp; Assumptions'!J18)</f>
        <v>598826496450.27295</v>
      </c>
      <c r="U5" s="129">
        <f>T5*(1+'Inputs &amp; Assumptions'!K18)</f>
        <v>696301955865.84265</v>
      </c>
      <c r="V5" s="129">
        <f>U5*(1+'Inputs &amp; Assumptions'!L18)</f>
        <v>801084405372.32361</v>
      </c>
    </row>
    <row r="6" spans="1:22">
      <c r="B6" s="92" t="s">
        <v>369</v>
      </c>
      <c r="C6" s="128">
        <f>IFERROR(INDEX(HS_CONSOLIDATED!D:D,MATCH("RevenueFromSaleOfServices",HS_CONSOLIDATED!$C:$C,0)),0)</f>
        <v>0</v>
      </c>
      <c r="D6" s="128">
        <f>IFERROR(INDEX(HS_CONSOLIDATED!E:E,MATCH("RevenueFromSaleOfServices",HS_CONSOLIDATED!$C:$C,0)),0)</f>
        <v>15503300000</v>
      </c>
      <c r="E6" s="128">
        <f>IFERROR(INDEX(HS_CONSOLIDATED!F:F,MATCH("RevenueFromSaleOfServices",HS_CONSOLIDATED!$C:$C,0)),0)</f>
        <v>16550600000</v>
      </c>
      <c r="F6" s="128">
        <f>IFERROR(INDEX(HS_CONSOLIDATED!G:G,MATCH("RevenueFromSaleOfServices",HS_CONSOLIDATED!$C:$C,0)),0)</f>
        <v>0</v>
      </c>
      <c r="G6" s="128">
        <f>IFERROR(INDEX(HS_CONSOLIDATED!H:H,MATCH("RevenueFromSaleOfServices",HS_CONSOLIDATED!$C:$C,0)),0)</f>
        <v>19178200000</v>
      </c>
      <c r="H6" s="128">
        <f>IFERROR(INDEX(HS_CONSOLIDATED!I:I,MATCH("RevenueFromSaleOfServices",HS_CONSOLIDATED!$C:$C,0)),0)</f>
        <v>18199700000</v>
      </c>
      <c r="I6" s="128">
        <f>IFERROR(INDEX(HS_CONSOLIDATED!J:J,MATCH("RevenueFromSaleOfServices",HS_CONSOLIDATED!$C:$C,0)),0)</f>
        <v>23099000000</v>
      </c>
      <c r="J6" s="128">
        <f>IFERROR(INDEX(HS_CONSOLIDATED!K:K,MATCH("RevenueFromSaleOfServices",HS_CONSOLIDATED!$C:$C,0)),0)</f>
        <v>18228000000</v>
      </c>
      <c r="K6" s="128">
        <f>IFERROR(INDEX(HS_CONSOLIDATED!L:L,MATCH("RevenueFromSaleOfServices",HS_CONSOLIDATED!$C:$C,0)),0)</f>
        <v>4927300000</v>
      </c>
      <c r="L6" s="128">
        <f>IFERROR(INDEX(HS_CONSOLIDATED!M:M,MATCH("RevenueFromSaleOfServices",HS_CONSOLIDATED!$C:$C,0)),0)</f>
        <v>4939400000</v>
      </c>
      <c r="M6" s="129">
        <f>L6*(1+'Inputs &amp; Assumptions'!C26)</f>
        <v>6589304924.4154682</v>
      </c>
      <c r="N6" s="129">
        <f>M6*(1+'Inputs &amp; Assumptions'!D26)</f>
        <v>8586209316.9100075</v>
      </c>
      <c r="O6" s="129">
        <f>N6*(1+'Inputs &amp; Assumptions'!E26)</f>
        <v>10951323013.26046</v>
      </c>
      <c r="P6" s="129">
        <f>O6*(1+'Inputs &amp; Assumptions'!F26)</f>
        <v>13698664106.849016</v>
      </c>
      <c r="Q6" s="129">
        <f>P6*(1+'Inputs &amp; Assumptions'!G26)</f>
        <v>16835169520.326176</v>
      </c>
      <c r="R6" s="129">
        <f>Q6*(1+'Inputs &amp; Assumptions'!H26)</f>
        <v>20361295776.35849</v>
      </c>
      <c r="S6" s="129">
        <f>R6*(1+'Inputs &amp; Assumptions'!I26)</f>
        <v>24271982159.848061</v>
      </c>
      <c r="T6" s="129">
        <f>S6*(1+'Inputs &amp; Assumptions'!J26)</f>
        <v>28557836021.913624</v>
      </c>
      <c r="U6" s="129">
        <f>T6*(1+'Inputs &amp; Assumptions'!K26)</f>
        <v>33206408192.069252</v>
      </c>
      <c r="V6" s="129">
        <f>U6*(1+'Inputs &amp; Assumptions'!L26)</f>
        <v>38203448284.180496</v>
      </c>
    </row>
    <row r="7" spans="1:22">
      <c r="B7" s="92" t="s">
        <v>370</v>
      </c>
      <c r="C7" s="128">
        <f>IFERROR(INDEX(HS_CONSOLIDATED!D:D,MATCH("OtherOperatingRevenues",HS_CONSOLIDATED!$C:$C,0)),0)</f>
        <v>0</v>
      </c>
      <c r="D7" s="128">
        <f>IFERROR(INDEX(HS_CONSOLIDATED!E:E,MATCH("OtherOperatingRevenues",HS_CONSOLIDATED!$C:$C,0)),0)</f>
        <v>218400000</v>
      </c>
      <c r="E7" s="128">
        <f>IFERROR(INDEX(HS_CONSOLIDATED!F:F,MATCH("OtherOperatingRevenues",HS_CONSOLIDATED!$C:$C,0)),0)</f>
        <v>415900000</v>
      </c>
      <c r="F7" s="128">
        <f>IFERROR(INDEX(HS_CONSOLIDATED!G:G,MATCH("OtherOperatingRevenues",HS_CONSOLIDATED!$C:$C,0)),0)</f>
        <v>462300000</v>
      </c>
      <c r="G7" s="128">
        <f>IFERROR(INDEX(HS_CONSOLIDATED!H:H,MATCH("OtherOperatingRevenues",HS_CONSOLIDATED!$C:$C,0)),0)</f>
        <v>396500000</v>
      </c>
      <c r="H7" s="128">
        <f>IFERROR(INDEX(HS_CONSOLIDATED!I:I,MATCH("OtherOperatingRevenues",HS_CONSOLIDATED!$C:$C,0)),0)</f>
        <v>510700000</v>
      </c>
      <c r="I7" s="128">
        <f>IFERROR(INDEX(HS_CONSOLIDATED!J:J,MATCH("OtherOperatingRevenues",HS_CONSOLIDATED!$C:$C,0)),0)</f>
        <v>618300000</v>
      </c>
      <c r="J7" s="128">
        <f>IFERROR(INDEX(HS_CONSOLIDATED!K:K,MATCH("OtherOperatingRevenues",HS_CONSOLIDATED!$C:$C,0)),0)</f>
        <v>236900000</v>
      </c>
      <c r="K7" s="128">
        <f>IFERROR(INDEX(HS_CONSOLIDATED!L:L,MATCH("OtherOperatingRevenues",HS_CONSOLIDATED!$C:$C,0)),0)</f>
        <v>322500000</v>
      </c>
      <c r="L7" s="128">
        <f>IFERROR(INDEX(HS_CONSOLIDATED!M:M,MATCH("OtherOperatingRevenues",HS_CONSOLIDATED!$C:$C,0)),0)</f>
        <v>384200000</v>
      </c>
      <c r="M7" s="129">
        <f>(M5+M6)*IF('Inputs &amp; Assumptions'!C24="",'Inputs &amp; Assumptions'!C23,'Inputs &amp; Assumptions'!C24)</f>
        <v>600046078.9162482</v>
      </c>
      <c r="N7" s="129">
        <f>(N5+N6)*IF('Inputs &amp; Assumptions'!D24="",'Inputs &amp; Assumptions'!D23,'Inputs &amp; Assumptions'!D24)</f>
        <v>781891457.819134</v>
      </c>
      <c r="O7" s="129">
        <f>(O5+O6)*IF('Inputs &amp; Assumptions'!E24="",'Inputs &amp; Assumptions'!E23,'Inputs &amp; Assumptions'!E24)</f>
        <v>997267315.51054263</v>
      </c>
      <c r="P7" s="129">
        <f>(P5+P6)*IF('Inputs &amp; Assumptions'!F24="",'Inputs &amp; Assumptions'!F23,'Inputs &amp; Assumptions'!F24)</f>
        <v>1247450190.5729725</v>
      </c>
      <c r="Q7" s="129">
        <f>(Q5+Q6)*IF('Inputs &amp; Assumptions'!G24="",'Inputs &amp; Assumptions'!G23,'Inputs &amp; Assumptions'!G24)</f>
        <v>1533071784.4201431</v>
      </c>
      <c r="R7" s="129">
        <f>(R5+R6)*IF('Inputs &amp; Assumptions'!H24="",'Inputs &amp; Assumptions'!H23,'Inputs &amp; Assumptions'!H24)</f>
        <v>1854173669.6669419</v>
      </c>
      <c r="S7" s="129">
        <f>(S5+S6)*IF('Inputs &amp; Assumptions'!I24="",'Inputs &amp; Assumptions'!I23,'Inputs &amp; Assumptions'!I24)</f>
        <v>2210294999.1852059</v>
      </c>
      <c r="T7" s="129">
        <f>(T5+T6)*IF('Inputs &amp; Assumptions'!J24="",'Inputs &amp; Assumptions'!J23,'Inputs &amp; Assumptions'!J24)</f>
        <v>2600580444.1964846</v>
      </c>
      <c r="U7" s="129">
        <f>(U5+U6)*IF('Inputs &amp; Assumptions'!K24="",'Inputs &amp; Assumptions'!K23,'Inputs &amp; Assumptions'!K24)</f>
        <v>3023896337.9450989</v>
      </c>
      <c r="V7" s="129">
        <f>(V5+V6)*IF('Inputs &amp; Assumptions'!L24="",'Inputs &amp; Assumptions'!L23,'Inputs &amp; Assumptions'!L24)</f>
        <v>3478944988.4254274</v>
      </c>
    </row>
    <row r="8" spans="1:22">
      <c r="B8" s="90" t="s">
        <v>371</v>
      </c>
      <c r="C8" s="130">
        <f t="shared" ref="C8:V8" si="0">C5+C6+C7</f>
        <v>0</v>
      </c>
      <c r="D8" s="130">
        <f t="shared" si="0"/>
        <v>127143700000</v>
      </c>
      <c r="E8" s="130">
        <f t="shared" si="0"/>
        <v>83338400000</v>
      </c>
      <c r="F8" s="130">
        <f t="shared" si="0"/>
        <v>50246900000</v>
      </c>
      <c r="G8" s="130">
        <f t="shared" si="0"/>
        <v>29728500000</v>
      </c>
      <c r="H8" s="130">
        <f t="shared" si="0"/>
        <v>33457200000</v>
      </c>
      <c r="I8" s="130">
        <f t="shared" si="0"/>
        <v>65817800000</v>
      </c>
      <c r="J8" s="130">
        <f t="shared" si="0"/>
        <v>59705300000</v>
      </c>
      <c r="K8" s="130">
        <f t="shared" si="0"/>
        <v>65290900000</v>
      </c>
      <c r="L8" s="130">
        <f t="shared" si="0"/>
        <v>108897400000</v>
      </c>
      <c r="M8" s="130">
        <f t="shared" si="0"/>
        <v>145359847496.91858</v>
      </c>
      <c r="N8" s="130">
        <f t="shared" si="0"/>
        <v>189411491985.76163</v>
      </c>
      <c r="O8" s="130">
        <f t="shared" si="0"/>
        <v>241585821472.39908</v>
      </c>
      <c r="P8" s="130">
        <f t="shared" si="0"/>
        <v>302192074630.65253</v>
      </c>
      <c r="Q8" s="130">
        <f t="shared" si="0"/>
        <v>371383279743.49591</v>
      </c>
      <c r="R8" s="130">
        <f t="shared" si="0"/>
        <v>449169507685.77106</v>
      </c>
      <c r="S8" s="130">
        <f t="shared" si="0"/>
        <v>535439119250.71887</v>
      </c>
      <c r="T8" s="130">
        <f t="shared" si="0"/>
        <v>629984912916.38306</v>
      </c>
      <c r="U8" s="130">
        <f t="shared" si="0"/>
        <v>732532260395.85693</v>
      </c>
      <c r="V8" s="130">
        <f t="shared" si="0"/>
        <v>842766798644.92957</v>
      </c>
    </row>
    <row r="9" spans="1:22">
      <c r="B9" s="99" t="s">
        <v>372</v>
      </c>
      <c r="C9" s="131">
        <f>C8-IFERROR(INDEX(HS_CONSOLIDATED!D:D,MATCH("RevenueFromOperations",HS_CONSOLIDATED!$C:$C,0)),0)</f>
        <v>0</v>
      </c>
      <c r="D9" s="131">
        <f>D8-IFERROR(INDEX(HS_CONSOLIDATED!E:E,MATCH("RevenueFromOperations",HS_CONSOLIDATED!$C:$C,0)),0)</f>
        <v>0</v>
      </c>
      <c r="E9" s="131">
        <f>E8-IFERROR(INDEX(HS_CONSOLIDATED!F:F,MATCH("RevenueFromOperations",HS_CONSOLIDATED!$C:$C,0)),0)</f>
        <v>0</v>
      </c>
      <c r="F9" s="131">
        <f>F8-IFERROR(INDEX(HS_CONSOLIDATED!G:G,MATCH("RevenueFromOperations",HS_CONSOLIDATED!$C:$C,0)),0)</f>
        <v>0</v>
      </c>
      <c r="G9" s="131">
        <f>G8-IFERROR(INDEX(HS_CONSOLIDATED!H:H,MATCH("RevenueFromOperations",HS_CONSOLIDATED!$C:$C,0)),0)</f>
        <v>0</v>
      </c>
      <c r="H9" s="131">
        <f>H8-IFERROR(INDEX(HS_CONSOLIDATED!I:I,MATCH("RevenueFromOperations",HS_CONSOLIDATED!$C:$C,0)),0)</f>
        <v>0</v>
      </c>
      <c r="I9" s="131">
        <f>I8-IFERROR(INDEX(HS_CONSOLIDATED!J:J,MATCH("RevenueFromOperations",HS_CONSOLIDATED!$C:$C,0)),0)</f>
        <v>0</v>
      </c>
      <c r="J9" s="131">
        <f>J8-IFERROR(INDEX(HS_CONSOLIDATED!K:K,MATCH("RevenueFromOperations",HS_CONSOLIDATED!$C:$C,0)),0)</f>
        <v>0</v>
      </c>
      <c r="K9" s="131">
        <f>K8-IFERROR(INDEX(HS_CONSOLIDATED!L:L,MATCH("RevenueFromOperations",HS_CONSOLIDATED!$C:$C,0)),0)</f>
        <v>0</v>
      </c>
      <c r="L9" s="131">
        <f>L8-IFERROR(INDEX(HS_CONSOLIDATED!M:M,MATCH("RevenueFromOperations",HS_CONSOLIDATED!$C:$C,0)),0)</f>
        <v>0</v>
      </c>
    </row>
    <row r="12" spans="1:22">
      <c r="B12" s="1" t="s">
        <v>373</v>
      </c>
      <c r="C12" s="132">
        <v>1</v>
      </c>
      <c r="D12" s="132">
        <v>2</v>
      </c>
      <c r="E12" s="132">
        <v>3</v>
      </c>
      <c r="F12" s="132">
        <v>4</v>
      </c>
      <c r="G12" s="132">
        <v>5</v>
      </c>
      <c r="H12" s="132">
        <v>6</v>
      </c>
      <c r="I12" s="132">
        <v>7</v>
      </c>
      <c r="J12" s="132">
        <v>8</v>
      </c>
      <c r="K12" s="132">
        <v>9</v>
      </c>
      <c r="L12" s="132">
        <v>10</v>
      </c>
    </row>
    <row r="13" spans="1:22">
      <c r="B13" s="1" t="s">
        <v>374</v>
      </c>
      <c r="C13" s="132" t="str">
        <f t="shared" ref="C13:L13" si="1">IFERROR(LN(C5),"")</f>
        <v/>
      </c>
      <c r="D13" s="132">
        <f t="shared" si="1"/>
        <v>25.436590631476705</v>
      </c>
      <c r="E13" s="132">
        <f t="shared" si="1"/>
        <v>24.918539611086384</v>
      </c>
      <c r="F13" s="132">
        <f t="shared" si="1"/>
        <v>24.630971536205625</v>
      </c>
      <c r="G13" s="132">
        <f t="shared" si="1"/>
        <v>23.041113856606369</v>
      </c>
      <c r="H13" s="132">
        <f t="shared" si="1"/>
        <v>23.414291947042827</v>
      </c>
      <c r="I13" s="132">
        <f t="shared" si="1"/>
        <v>24.463325454048782</v>
      </c>
      <c r="J13" s="132">
        <f t="shared" si="1"/>
        <v>24.442684195369178</v>
      </c>
      <c r="K13" s="132">
        <f t="shared" si="1"/>
        <v>24.818295164663098</v>
      </c>
      <c r="L13" s="132">
        <f t="shared" si="1"/>
        <v>25.363550239035376</v>
      </c>
    </row>
    <row r="14" spans="1:22">
      <c r="B14" s="1" t="s">
        <v>375</v>
      </c>
      <c r="C14" s="132" t="str">
        <f t="shared" ref="C14:L14" si="2">IFERROR(LN(C8),"")</f>
        <v/>
      </c>
      <c r="D14" s="132">
        <f t="shared" si="2"/>
        <v>25.568583779808794</v>
      </c>
      <c r="E14" s="132">
        <f t="shared" si="2"/>
        <v>25.146175264292303</v>
      </c>
      <c r="F14" s="132">
        <f t="shared" si="2"/>
        <v>24.640214690440306</v>
      </c>
      <c r="G14" s="132">
        <f t="shared" si="2"/>
        <v>24.115372018596787</v>
      </c>
      <c r="H14" s="132">
        <f t="shared" si="2"/>
        <v>24.233532846995185</v>
      </c>
      <c r="I14" s="132">
        <f t="shared" si="2"/>
        <v>24.910156155411958</v>
      </c>
      <c r="J14" s="132">
        <f t="shared" si="2"/>
        <v>24.812686630623933</v>
      </c>
      <c r="K14" s="132">
        <f t="shared" si="2"/>
        <v>24.902118506703033</v>
      </c>
      <c r="L14" s="132">
        <f t="shared" si="2"/>
        <v>25.413671991485526</v>
      </c>
    </row>
    <row r="15" spans="1:22">
      <c r="B15" s="1" t="s">
        <v>376</v>
      </c>
      <c r="D15" s="104" t="str">
        <f t="shared" ref="D15:L15" si="3">IFERROR(D8/C8-1,"")</f>
        <v/>
      </c>
      <c r="E15" s="104">
        <f t="shared" si="3"/>
        <v>-0.34453378342772789</v>
      </c>
      <c r="F15" s="104">
        <f t="shared" si="3"/>
        <v>-0.39707385790943905</v>
      </c>
      <c r="G15" s="104">
        <f t="shared" si="3"/>
        <v>-0.40835155999673611</v>
      </c>
      <c r="H15" s="104">
        <f t="shared" si="3"/>
        <v>0.12542509712901762</v>
      </c>
      <c r="I15" s="104">
        <f t="shared" si="3"/>
        <v>0.96722379637267908</v>
      </c>
      <c r="J15" s="104">
        <f t="shared" si="3"/>
        <v>-9.2870013886820924E-2</v>
      </c>
      <c r="K15" s="104">
        <f t="shared" si="3"/>
        <v>9.3552833668032909E-2</v>
      </c>
      <c r="L15" s="104">
        <f t="shared" si="3"/>
        <v>0.6678802099526886</v>
      </c>
    </row>
    <row r="16" spans="1:22">
      <c r="B16" s="1" t="s">
        <v>377</v>
      </c>
      <c r="C16" s="104">
        <f>QUARTILE(Schedules!D15:L15,1)</f>
        <v>-0.35766880204815565</v>
      </c>
      <c r="D16" s="104">
        <f>QUARTILE(Schedules!D15:L15,3)</f>
        <v>0.26103887533493536</v>
      </c>
      <c r="E16" s="104">
        <f>D16-C16</f>
        <v>0.61870767738309107</v>
      </c>
      <c r="F16" s="104">
        <f>C16-1.5*E16</f>
        <v>-1.2857303181227921</v>
      </c>
      <c r="G16" s="104">
        <f>D16+1.5*E16</f>
        <v>1.1891003914095719</v>
      </c>
    </row>
    <row r="17" spans="1:22">
      <c r="B17" s="1" t="s">
        <v>378</v>
      </c>
      <c r="C17" s="132">
        <v>1</v>
      </c>
      <c r="D17" s="132">
        <f>IF(IF('Inputs &amp; Assumptions'!$C$8="",'Inputs &amp; Assumptions'!$C$7,'Inputs &amp; Assumptions'!$C$8)=0,1,IF(AND(D15&lt;&gt;"",D15&gt;=$F$16,D15&lt;=$G$16),1,0))</f>
        <v>0</v>
      </c>
      <c r="E17" s="132">
        <f>IF(IF('Inputs &amp; Assumptions'!$C$8="",'Inputs &amp; Assumptions'!$C$7,'Inputs &amp; Assumptions'!$C$8)=0,1,IF(AND(E15&lt;&gt;"",E15&gt;=$F$16,E15&lt;=$G$16),1,0))</f>
        <v>1</v>
      </c>
      <c r="F17" s="132">
        <f>IF(IF('Inputs &amp; Assumptions'!$C$8="",'Inputs &amp; Assumptions'!$C$7,'Inputs &amp; Assumptions'!$C$8)=0,1,IF(AND(F15&lt;&gt;"",F15&gt;=$F$16,F15&lt;=$G$16),1,0))</f>
        <v>1</v>
      </c>
      <c r="G17" s="132">
        <f>IF(IF('Inputs &amp; Assumptions'!$C$8="",'Inputs &amp; Assumptions'!$C$7,'Inputs &amp; Assumptions'!$C$8)=0,1,IF(AND(G15&lt;&gt;"",G15&gt;=$F$16,G15&lt;=$G$16),1,0))</f>
        <v>1</v>
      </c>
      <c r="H17" s="132">
        <f>IF(IF('Inputs &amp; Assumptions'!$C$8="",'Inputs &amp; Assumptions'!$C$7,'Inputs &amp; Assumptions'!$C$8)=0,1,IF(AND(H15&lt;&gt;"",H15&gt;=$F$16,H15&lt;=$G$16),1,0))</f>
        <v>1</v>
      </c>
      <c r="I17" s="132">
        <f>IF(IF('Inputs &amp; Assumptions'!$C$8="",'Inputs &amp; Assumptions'!$C$7,'Inputs &amp; Assumptions'!$C$8)=0,1,IF(AND(I15&lt;&gt;"",I15&gt;=$F$16,I15&lt;=$G$16),1,0))</f>
        <v>1</v>
      </c>
      <c r="J17" s="132">
        <f>IF(IF('Inputs &amp; Assumptions'!$C$8="",'Inputs &amp; Assumptions'!$C$7,'Inputs &amp; Assumptions'!$C$8)=0,1,IF(AND(J15&lt;&gt;"",J15&gt;=$F$16,J15&lt;=$G$16),1,0))</f>
        <v>1</v>
      </c>
      <c r="K17" s="132">
        <f>IF(IF('Inputs &amp; Assumptions'!$C$8="",'Inputs &amp; Assumptions'!$C$7,'Inputs &amp; Assumptions'!$C$8)=0,1,IF(AND(K15&lt;&gt;"",K15&gt;=$F$16,K15&lt;=$G$16),1,0))</f>
        <v>1</v>
      </c>
      <c r="L17" s="132">
        <f>IF(IF('Inputs &amp; Assumptions'!$C$8="",'Inputs &amp; Assumptions'!$C$7,'Inputs &amp; Assumptions'!$C$8)=0,1,IF(AND(L15&lt;&gt;"",L15&gt;=$F$16,L15&lt;=$G$16),1,0))</f>
        <v>1</v>
      </c>
    </row>
    <row r="18" spans="1:22">
      <c r="B18" s="1" t="s">
        <v>379</v>
      </c>
      <c r="C18" s="132" t="str">
        <f t="shared" ref="C18:L18" si="4">IF(C17=1,IFERROR(LN(C8),""),"")</f>
        <v/>
      </c>
      <c r="D18" s="132" t="str">
        <f t="shared" si="4"/>
        <v/>
      </c>
      <c r="E18" s="132">
        <f t="shared" si="4"/>
        <v>25.146175264292303</v>
      </c>
      <c r="F18" s="132">
        <f t="shared" si="4"/>
        <v>24.640214690440306</v>
      </c>
      <c r="G18" s="132">
        <f t="shared" si="4"/>
        <v>24.115372018596787</v>
      </c>
      <c r="H18" s="132">
        <f t="shared" si="4"/>
        <v>24.233532846995185</v>
      </c>
      <c r="I18" s="132">
        <f t="shared" si="4"/>
        <v>24.910156155411958</v>
      </c>
      <c r="J18" s="132">
        <f t="shared" si="4"/>
        <v>24.812686630623933</v>
      </c>
      <c r="K18" s="132">
        <f t="shared" si="4"/>
        <v>24.902118506703033</v>
      </c>
      <c r="L18" s="132">
        <f t="shared" si="4"/>
        <v>25.413671991485526</v>
      </c>
    </row>
    <row r="20" spans="1:22" ht="30" customHeight="1">
      <c r="B20" s="133" t="str">
        <f>IF(IF('Inputs &amp; Assumptions'!$C$8="",'Inputs &amp; Assumptions'!$C$7,'Inputs &amp; Assumptions'!$C$8)=0,"",IF(_xlfn.TEXTJOIN(", ",TRUE,IF(C17=0,"FY?",""),IF(D17=0,"FY2017",""),IF(E17=0,"FY2018",""),IF(F17=0,"FY2019",""),IF(G17=0,"FY2020",""),IF(H17=0,"FY2021",""),IF(I17=0,"FY2022",""),IF(J17=0,"FY2023",""),IF(K17=0,"FY2024",""),IF(L17=0,"FY2025",""))="","","⚠ Years excluded from the Terminal Growth Rate / PP&amp;E Additions Growth trend as statistical anomalies (outside the IQR fence on YoY growth): "&amp;_xlfn.TEXTJOIN(", ",TRUE,IF(C17=0,"FY?",""),IF(D17=0,"FY2017",""),IF(E17=0,"FY2018",""),IF(F17=0,"FY2019",""),IF(G17=0,"FY2020",""),IF(H17=0,"FY2021",""),IF(I17=0,"FY2022",""),IF(J17=0,"FY2023",""),IF(K17=0,"FY2024",""),IF(L17=0,"FY2025",""))))</f>
        <v>⚠ Years excluded from the Terminal Growth Rate / PP&amp;E Additions Growth trend as statistical anomalies (outside the IQR fence on YoY growth): FY2017</v>
      </c>
    </row>
    <row r="22" spans="1:22" ht="30" customHeight="1">
      <c r="B22" s="133" t="str">
        <f>IF('Inputs &amp; Assumptions'!$C$12&lt;0,"⚠ Terminal Growth Rate is negative even after outlier-filtering ("&amp;TEXT('Inputs &amp; Assumptions'!$C$12,"0.00%")&amp;"). This can be a legitimate result for a company in genuine structural decline (a negative stable growth rate is not automatically an error) -- confirm this is a considered call, not a leftover artifact, before relying on the DCF.","")</f>
        <v/>
      </c>
    </row>
    <row r="24" spans="1:22">
      <c r="B24" s="1" t="s">
        <v>380</v>
      </c>
      <c r="C24" s="134">
        <f t="shared" ref="C24:L24" si="5">IFERROR(C7/C8,0)</f>
        <v>0</v>
      </c>
      <c r="D24" s="134">
        <f t="shared" si="5"/>
        <v>1.7177414217141706E-3</v>
      </c>
      <c r="E24" s="134">
        <f t="shared" si="5"/>
        <v>4.9904965778080693E-3</v>
      </c>
      <c r="F24" s="134">
        <f t="shared" si="5"/>
        <v>9.2005675972050022E-3</v>
      </c>
      <c r="G24" s="134">
        <f t="shared" si="5"/>
        <v>1.3337369863935281E-2</v>
      </c>
      <c r="H24" s="134">
        <f t="shared" si="5"/>
        <v>1.5264277943163205E-2</v>
      </c>
      <c r="I24" s="134">
        <f t="shared" si="5"/>
        <v>9.394115269729466E-3</v>
      </c>
      <c r="J24" s="134">
        <f t="shared" si="5"/>
        <v>3.9678219521550014E-3</v>
      </c>
      <c r="K24" s="134">
        <f t="shared" si="5"/>
        <v>4.9394326008678083E-3</v>
      </c>
      <c r="L24" s="134">
        <f t="shared" si="5"/>
        <v>3.5280915797806008E-3</v>
      </c>
    </row>
    <row r="25" spans="1:22">
      <c r="B25" s="1" t="s">
        <v>381</v>
      </c>
      <c r="C25" s="132" t="str">
        <f t="shared" ref="C25:L25" si="6">IFERROR(LN(C6),"")</f>
        <v/>
      </c>
      <c r="D25" s="132">
        <f t="shared" si="6"/>
        <v>23.464318741436742</v>
      </c>
      <c r="E25" s="132">
        <f t="shared" si="6"/>
        <v>23.529688191888766</v>
      </c>
      <c r="F25" s="132" t="str">
        <f t="shared" si="6"/>
        <v/>
      </c>
      <c r="G25" s="132">
        <f t="shared" si="6"/>
        <v>23.677040054239647</v>
      </c>
      <c r="H25" s="132">
        <f t="shared" si="6"/>
        <v>23.624670947376824</v>
      </c>
      <c r="I25" s="132">
        <f t="shared" si="6"/>
        <v>23.863055163493829</v>
      </c>
      <c r="J25" s="132">
        <f t="shared" si="6"/>
        <v>23.626224710348048</v>
      </c>
      <c r="K25" s="132">
        <f t="shared" si="6"/>
        <v>22.318057007633673</v>
      </c>
      <c r="L25" s="132">
        <f t="shared" si="6"/>
        <v>22.320509703279807</v>
      </c>
    </row>
    <row r="28" spans="1:22" ht="18.5">
      <c r="A28" t="s">
        <v>27</v>
      </c>
      <c r="B28" s="127" t="s">
        <v>382</v>
      </c>
    </row>
    <row r="31" spans="1:22">
      <c r="B31" s="92" t="s">
        <v>383</v>
      </c>
      <c r="C31" s="128">
        <f t="shared" ref="C31:V31" si="7">C8</f>
        <v>0</v>
      </c>
      <c r="D31" s="128">
        <f t="shared" si="7"/>
        <v>127143700000</v>
      </c>
      <c r="E31" s="128">
        <f t="shared" si="7"/>
        <v>83338400000</v>
      </c>
      <c r="F31" s="128">
        <f t="shared" si="7"/>
        <v>50246900000</v>
      </c>
      <c r="G31" s="128">
        <f t="shared" si="7"/>
        <v>29728500000</v>
      </c>
      <c r="H31" s="128">
        <f t="shared" si="7"/>
        <v>33457200000</v>
      </c>
      <c r="I31" s="128">
        <f t="shared" si="7"/>
        <v>65817800000</v>
      </c>
      <c r="J31" s="128">
        <f t="shared" si="7"/>
        <v>59705300000</v>
      </c>
      <c r="K31" s="128">
        <f t="shared" si="7"/>
        <v>65290900000</v>
      </c>
      <c r="L31" s="128">
        <f t="shared" si="7"/>
        <v>108897400000</v>
      </c>
      <c r="M31" s="129">
        <f t="shared" si="7"/>
        <v>145359847496.91858</v>
      </c>
      <c r="N31" s="129">
        <f t="shared" si="7"/>
        <v>189411491985.76163</v>
      </c>
      <c r="O31" s="129">
        <f t="shared" si="7"/>
        <v>241585821472.39908</v>
      </c>
      <c r="P31" s="129">
        <f t="shared" si="7"/>
        <v>302192074630.65253</v>
      </c>
      <c r="Q31" s="129">
        <f t="shared" si="7"/>
        <v>371383279743.49591</v>
      </c>
      <c r="R31" s="129">
        <f t="shared" si="7"/>
        <v>449169507685.77106</v>
      </c>
      <c r="S31" s="129">
        <f t="shared" si="7"/>
        <v>535439119250.71887</v>
      </c>
      <c r="T31" s="129">
        <f t="shared" si="7"/>
        <v>629984912916.38306</v>
      </c>
      <c r="U31" s="129">
        <f t="shared" si="7"/>
        <v>732532260395.85693</v>
      </c>
      <c r="V31" s="129">
        <f t="shared" si="7"/>
        <v>842766798644.92957</v>
      </c>
    </row>
    <row r="32" spans="1:22">
      <c r="B32" s="92" t="s">
        <v>384</v>
      </c>
      <c r="C32" s="128">
        <f>-((IFERROR(INDEX(HS_CONSOLIDATED!D:D,MATCH("CostOfMaterialsConsumed",HS_CONSOLIDATED!$C:$C,0)),0))+(IFERROR(INDEX(HS_CONSOLIDATED!D:D,MATCH("PurchasesOfStockInTrade",HS_CONSOLIDATED!$C:$C,0)),0))+(IFERROR(INDEX(HS_CONSOLIDATED!D:D,MATCH("ChangesInInventoriesOfFinishedGoodsWorkInProgressAndStockInTrade",HS_CONSOLIDATED!$C:$C,0)),0)))</f>
        <v>0</v>
      </c>
      <c r="D32" s="128">
        <f>-((IFERROR(INDEX(HS_CONSOLIDATED!E:E,MATCH("CostOfMaterialsConsumed",HS_CONSOLIDATED!$C:$C,0)),0))+(IFERROR(INDEX(HS_CONSOLIDATED!E:E,MATCH("PurchasesOfStockInTrade",HS_CONSOLIDATED!$C:$C,0)),0))+(IFERROR(INDEX(HS_CONSOLIDATED!E:E,MATCH("ChangesInInventoriesOfFinishedGoodsWorkInProgressAndStockInTrade",HS_CONSOLIDATED!$C:$C,0)),0)))</f>
        <v>-75428900000</v>
      </c>
      <c r="E32" s="128">
        <f>-((IFERROR(INDEX(HS_CONSOLIDATED!F:F,MATCH("CostOfMaterialsConsumed",HS_CONSOLIDATED!$C:$C,0)),0))+(IFERROR(INDEX(HS_CONSOLIDATED!F:F,MATCH("PurchasesOfStockInTrade",HS_CONSOLIDATED!$C:$C,0)),0))+(IFERROR(INDEX(HS_CONSOLIDATED!F:F,MATCH("ChangesInInventoriesOfFinishedGoodsWorkInProgressAndStockInTrade",HS_CONSOLIDATED!$C:$C,0)),0)))</f>
        <v>-51157100000</v>
      </c>
      <c r="F32" s="128">
        <f>-((IFERROR(INDEX(HS_CONSOLIDATED!G:G,MATCH("CostOfMaterialsConsumed",HS_CONSOLIDATED!$C:$C,0)),0))+(IFERROR(INDEX(HS_CONSOLIDATED!G:G,MATCH("PurchasesOfStockInTrade",HS_CONSOLIDATED!$C:$C,0)),0))+(IFERROR(INDEX(HS_CONSOLIDATED!G:G,MATCH("ChangesInInventoriesOfFinishedGoodsWorkInProgressAndStockInTrade",HS_CONSOLIDATED!$C:$C,0)),0)))</f>
        <v>-29983500000</v>
      </c>
      <c r="G32" s="128">
        <f>-((IFERROR(INDEX(HS_CONSOLIDATED!H:H,MATCH("CostOfMaterialsConsumed",HS_CONSOLIDATED!$C:$C,0)),0))+(IFERROR(INDEX(HS_CONSOLIDATED!H:H,MATCH("PurchasesOfStockInTrade",HS_CONSOLIDATED!$C:$C,0)),0))+(IFERROR(INDEX(HS_CONSOLIDATED!H:H,MATCH("ChangesInInventoriesOfFinishedGoodsWorkInProgressAndStockInTrade",HS_CONSOLIDATED!$C:$C,0)),0)))</f>
        <v>-18735100000</v>
      </c>
      <c r="H32" s="128">
        <f>-((IFERROR(INDEX(HS_CONSOLIDATED!I:I,MATCH("CostOfMaterialsConsumed",HS_CONSOLIDATED!$C:$C,0)),0))+(IFERROR(INDEX(HS_CONSOLIDATED!I:I,MATCH("PurchasesOfStockInTrade",HS_CONSOLIDATED!$C:$C,0)),0))+(IFERROR(INDEX(HS_CONSOLIDATED!I:I,MATCH("ChangesInInventoriesOfFinishedGoodsWorkInProgressAndStockInTrade",HS_CONSOLIDATED!$C:$C,0)),0)))</f>
        <v>-15772700000</v>
      </c>
      <c r="I32" s="128">
        <f>-((IFERROR(INDEX(HS_CONSOLIDATED!J:J,MATCH("CostOfMaterialsConsumed",HS_CONSOLIDATED!$C:$C,0)),0))+(IFERROR(INDEX(HS_CONSOLIDATED!J:J,MATCH("PurchasesOfStockInTrade",HS_CONSOLIDATED!$C:$C,0)),0))+(IFERROR(INDEX(HS_CONSOLIDATED!J:J,MATCH("ChangesInInventoriesOfFinishedGoodsWorkInProgressAndStockInTrade",HS_CONSOLIDATED!$C:$C,0)),0)))</f>
        <v>-43315600000</v>
      </c>
      <c r="J32" s="128">
        <f>-((IFERROR(INDEX(HS_CONSOLIDATED!K:K,MATCH("CostOfMaterialsConsumed",HS_CONSOLIDATED!$C:$C,0)),0))+(IFERROR(INDEX(HS_CONSOLIDATED!K:K,MATCH("PurchasesOfStockInTrade",HS_CONSOLIDATED!$C:$C,0)),0))+(IFERROR(INDEX(HS_CONSOLIDATED!K:K,MATCH("ChangesInInventoriesOfFinishedGoodsWorkInProgressAndStockInTrade",HS_CONSOLIDATED!$C:$C,0)),0)))</f>
        <v>-37826600000</v>
      </c>
      <c r="K32" s="128">
        <f>-((IFERROR(INDEX(HS_CONSOLIDATED!L:L,MATCH("CostOfMaterialsConsumed",HS_CONSOLIDATED!$C:$C,0)),0))+(IFERROR(INDEX(HS_CONSOLIDATED!L:L,MATCH("PurchasesOfStockInTrade",HS_CONSOLIDATED!$C:$C,0)),0))+(IFERROR(INDEX(HS_CONSOLIDATED!L:L,MATCH("ChangesInInventoriesOfFinishedGoodsWorkInProgressAndStockInTrade",HS_CONSOLIDATED!$C:$C,0)),0)))</f>
        <v>-39821300000</v>
      </c>
      <c r="L32" s="128">
        <f>-((IFERROR(INDEX(HS_CONSOLIDATED!M:M,MATCH("CostOfMaterialsConsumed",HS_CONSOLIDATED!$C:$C,0)),0))+(IFERROR(INDEX(HS_CONSOLIDATED!M:M,MATCH("PurchasesOfStockInTrade",HS_CONSOLIDATED!$C:$C,0)),0))+(IFERROR(INDEX(HS_CONSOLIDATED!M:M,MATCH("ChangesInInventoriesOfFinishedGoodsWorkInProgressAndStockInTrade",HS_CONSOLIDATED!$C:$C,0)),0)))</f>
        <v>-68866000000</v>
      </c>
      <c r="M32" s="129">
        <f>M31*IF('Inputs &amp; Assumptions'!C32="",'Inputs &amp; Assumptions'!C31,'Inputs &amp; Assumptions'!C32)</f>
        <v>-90891302865.531525</v>
      </c>
      <c r="N32" s="129">
        <f>N31*IF('Inputs &amp; Assumptions'!D32="",'Inputs &amp; Assumptions'!D31,'Inputs &amp; Assumptions'!D32)</f>
        <v>-118436126487.09616</v>
      </c>
      <c r="O32" s="129">
        <f>O31*IF('Inputs &amp; Assumptions'!E32="",'Inputs &amp; Assumptions'!E31,'Inputs &amp; Assumptions'!E32)</f>
        <v>-151059941555.94812</v>
      </c>
      <c r="P32" s="129">
        <f>P31*IF('Inputs &amp; Assumptions'!F32="",'Inputs &amp; Assumptions'!F31,'Inputs &amp; Assumptions'!F32)</f>
        <v>-188956110313.7522</v>
      </c>
      <c r="Q32" s="129">
        <f>Q31*IF('Inputs &amp; Assumptions'!G32="",'Inputs &amp; Assumptions'!G31,'Inputs &amp; Assumptions'!G32)</f>
        <v>-232220319019.5014</v>
      </c>
      <c r="R32" s="129">
        <f>R31*IF('Inputs &amp; Assumptions'!H32="",'Inputs &amp; Assumptions'!H31,'Inputs &amp; Assumptions'!H32)</f>
        <v>-280858864838.13593</v>
      </c>
      <c r="S32" s="129">
        <f>S31*IF('Inputs &amp; Assumptions'!I32="",'Inputs &amp; Assumptions'!I31,'Inputs &amp; Assumptions'!I32)</f>
        <v>-334801941470.81921</v>
      </c>
      <c r="T32" s="129">
        <f>T31*IF('Inputs &amp; Assumptions'!J32="",'Inputs &amp; Assumptions'!J31,'Inputs &amp; Assumptions'!J32)</f>
        <v>-393919988955.76929</v>
      </c>
      <c r="U32" s="129">
        <f>U31*IF('Inputs &amp; Assumptions'!K32="",'Inputs &amp; Assumptions'!K31,'Inputs &amp; Assumptions'!K32)</f>
        <v>-458041286400.10889</v>
      </c>
      <c r="V32" s="129">
        <f>V31*IF('Inputs &amp; Assumptions'!L32="",'Inputs &amp; Assumptions'!L31,'Inputs &amp; Assumptions'!L32)</f>
        <v>-526969267371.26996</v>
      </c>
    </row>
    <row r="33" spans="2:22">
      <c r="B33" s="1" t="s">
        <v>385</v>
      </c>
      <c r="C33" s="132" t="str">
        <f t="shared" ref="C33:L33" si="8">IFERROR(C32/C31,"n/m")</f>
        <v>n/m</v>
      </c>
      <c r="D33" s="132">
        <f t="shared" si="8"/>
        <v>-0.59325707840813191</v>
      </c>
      <c r="E33" s="132">
        <f t="shared" si="8"/>
        <v>-0.61384787804901464</v>
      </c>
      <c r="F33" s="132">
        <f t="shared" si="8"/>
        <v>-0.59672337994980784</v>
      </c>
      <c r="G33" s="132">
        <f t="shared" si="8"/>
        <v>-0.63020670400457468</v>
      </c>
      <c r="H33" s="132">
        <f t="shared" si="8"/>
        <v>-0.47142916920722594</v>
      </c>
      <c r="I33" s="132">
        <f t="shared" si="8"/>
        <v>-0.65811376253840148</v>
      </c>
      <c r="J33" s="132">
        <f t="shared" si="8"/>
        <v>-0.63355514502062626</v>
      </c>
      <c r="K33" s="132">
        <f t="shared" si="8"/>
        <v>-0.60990582148507677</v>
      </c>
      <c r="L33" s="132">
        <f t="shared" si="8"/>
        <v>-0.63239342720762848</v>
      </c>
    </row>
    <row r="35" spans="2:22">
      <c r="B35" s="92" t="s">
        <v>386</v>
      </c>
      <c r="C35" s="128">
        <f>IFERROR(INDEX(HS_CONSOLIDATED!D:D,MATCH("TradeReceivablesCurrent",HS_CONSOLIDATED!$C:$C,0)),0)</f>
        <v>0</v>
      </c>
      <c r="D35" s="128">
        <f>IFERROR(INDEX(HS_CONSOLIDATED!E:E,MATCH("TradeReceivablesCurrent",HS_CONSOLIDATED!$C:$C,0)),0)</f>
        <v>36275300000</v>
      </c>
      <c r="E35" s="128">
        <f>IFERROR(INDEX(HS_CONSOLIDATED!F:F,MATCH("TradeReceivablesCurrent",HS_CONSOLIDATED!$C:$C,0)),0)</f>
        <v>29851500000</v>
      </c>
      <c r="F35" s="128">
        <f>IFERROR(INDEX(HS_CONSOLIDATED!G:G,MATCH("TradeReceivablesCurrent",HS_CONSOLIDATED!$C:$C,0)),0)</f>
        <v>18805900000</v>
      </c>
      <c r="G35" s="128">
        <f>IFERROR(INDEX(HS_CONSOLIDATED!H:H,MATCH("TradeReceivablesCurrent",HS_CONSOLIDATED!$C:$C,0)),0)</f>
        <v>13645400000</v>
      </c>
      <c r="H35" s="128">
        <f>IFERROR(INDEX(HS_CONSOLIDATED!I:I,MATCH("TradeReceivablesCurrent",HS_CONSOLIDATED!$C:$C,0)),0)</f>
        <v>11897200000</v>
      </c>
      <c r="I35" s="128">
        <f>IFERROR(INDEX(HS_CONSOLIDATED!J:J,MATCH("TradeReceivablesCurrent",HS_CONSOLIDATED!$C:$C,0)),0)</f>
        <v>13769500000</v>
      </c>
      <c r="J35" s="128">
        <f>IFERROR(INDEX(HS_CONSOLIDATED!K:K,MATCH("TradeReceivablesCurrent",HS_CONSOLIDATED!$C:$C,0)),0)</f>
        <v>11704400000</v>
      </c>
      <c r="K35" s="128">
        <f>IFERROR(INDEX(HS_CONSOLIDATED!L:L,MATCH("TradeReceivablesCurrent",HS_CONSOLIDATED!$C:$C,0)),0)</f>
        <v>18295800000</v>
      </c>
      <c r="L35" s="128">
        <f>IFERROR(INDEX(HS_CONSOLIDATED!M:M,MATCH("TradeReceivablesCurrent",HS_CONSOLIDATED!$C:$C,0)),0)</f>
        <v>38663500000</v>
      </c>
      <c r="M35" s="129">
        <f>M31/365*IF('Inputs &amp; Assumptions'!C35="",'Inputs &amp; Assumptions'!C34,'Inputs &amp; Assumptions'!C35)</f>
        <v>40279269969.293968</v>
      </c>
      <c r="N35" s="129">
        <f>N31/365*IF('Inputs &amp; Assumptions'!D35="",'Inputs &amp; Assumptions'!D34,'Inputs &amp; Assumptions'!D35)</f>
        <v>52485997697.149384</v>
      </c>
      <c r="O35" s="129">
        <f>O31/365*IF('Inputs &amp; Assumptions'!E35="",'Inputs &amp; Assumptions'!E34,'Inputs &amp; Assumptions'!E35)</f>
        <v>66943524579.899551</v>
      </c>
      <c r="P35" s="129">
        <f>P31/365*IF('Inputs &amp; Assumptions'!F35="",'Inputs &amp; Assumptions'!F34,'Inputs &amp; Assumptions'!F35)</f>
        <v>83737540773.679703</v>
      </c>
      <c r="Q35" s="129">
        <f>Q31/365*IF('Inputs &amp; Assumptions'!G35="",'Inputs &amp; Assumptions'!G34,'Inputs &amp; Assumptions'!G35)</f>
        <v>102910450474.89615</v>
      </c>
      <c r="R35" s="129">
        <f>R31/365*IF('Inputs &amp; Assumptions'!H35="",'Inputs &amp; Assumptions'!H34,'Inputs &amp; Assumptions'!H35)</f>
        <v>124465044326.86313</v>
      </c>
      <c r="S35" s="129">
        <f>S31/365*IF('Inputs &amp; Assumptions'!I35="",'Inputs &amp; Assumptions'!I34,'Inputs &amp; Assumptions'!I35)</f>
        <v>148370387062.20355</v>
      </c>
      <c r="T35" s="129">
        <f>T31/365*IF('Inputs &amp; Assumptions'!J35="",'Inputs &amp; Assumptions'!J34,'Inputs &amp; Assumptions'!J35)</f>
        <v>174569063059.034</v>
      </c>
      <c r="U35" s="129">
        <f>U31/365*IF('Inputs &amp; Assumptions'!K35="",'Inputs &amp; Assumptions'!K34,'Inputs &amp; Assumptions'!K35)</f>
        <v>202984972712.82123</v>
      </c>
      <c r="V35" s="129">
        <f>V31/365*IF('Inputs &amp; Assumptions'!L35="",'Inputs &amp; Assumptions'!L34,'Inputs &amp; Assumptions'!L35)</f>
        <v>233531005902.4129</v>
      </c>
    </row>
    <row r="36" spans="2:22">
      <c r="B36" s="92" t="s">
        <v>387</v>
      </c>
      <c r="C36" s="128">
        <f>IFERROR(INDEX(HS_CONSOLIDATED!D:D,MATCH("Inventories",HS_CONSOLIDATED!$C:$C,0)),0)</f>
        <v>0</v>
      </c>
      <c r="D36" s="128">
        <f>IFERROR(INDEX(HS_CONSOLIDATED!E:E,MATCH("Inventories",HS_CONSOLIDATED!$C:$C,0)),0)</f>
        <v>34688400000</v>
      </c>
      <c r="E36" s="128">
        <f>IFERROR(INDEX(HS_CONSOLIDATED!F:F,MATCH("Inventories",HS_CONSOLIDATED!$C:$C,0)),0)</f>
        <v>30263700000</v>
      </c>
      <c r="F36" s="128">
        <f>IFERROR(INDEX(HS_CONSOLIDATED!G:G,MATCH("Inventories",HS_CONSOLIDATED!$C:$C,0)),0)</f>
        <v>29139300000</v>
      </c>
      <c r="G36" s="128">
        <f>IFERROR(INDEX(HS_CONSOLIDATED!H:H,MATCH("Inventories",HS_CONSOLIDATED!$C:$C,0)),0)</f>
        <v>20555900000</v>
      </c>
      <c r="H36" s="128">
        <f>IFERROR(INDEX(HS_CONSOLIDATED!I:I,MATCH("Inventories",HS_CONSOLIDATED!$C:$C,0)),0)</f>
        <v>21727600000</v>
      </c>
      <c r="I36" s="128">
        <f>IFERROR(INDEX(HS_CONSOLIDATED!J:J,MATCH("Inventories",HS_CONSOLIDATED!$C:$C,0)),0)</f>
        <v>22079000000</v>
      </c>
      <c r="J36" s="128">
        <f>IFERROR(INDEX(HS_CONSOLIDATED!K:K,MATCH("Inventories",HS_CONSOLIDATED!$C:$C,0)),0)</f>
        <v>18271300000</v>
      </c>
      <c r="K36" s="128">
        <f>IFERROR(INDEX(HS_CONSOLIDATED!L:L,MATCH("Inventories",HS_CONSOLIDATED!$C:$C,0)),0)</f>
        <v>22922900000</v>
      </c>
      <c r="L36" s="128">
        <f>IFERROR(INDEX(HS_CONSOLIDATED!M:M,MATCH("Inventories",HS_CONSOLIDATED!$C:$C,0)),0)</f>
        <v>32335500000</v>
      </c>
      <c r="M36" s="129">
        <f>ABS(M32)/365*IF('Inputs &amp; Assumptions'!C38="",'Inputs &amp; Assumptions'!C37,'Inputs &amp; Assumptions'!C38)</f>
        <v>46300463121.033974</v>
      </c>
      <c r="N36" s="129">
        <f>ABS(N32)/365*IF('Inputs &amp; Assumptions'!D38="",'Inputs &amp; Assumptions'!D37,'Inputs &amp; Assumptions'!D38)</f>
        <v>60331927629.276619</v>
      </c>
      <c r="O36" s="129">
        <f>ABS(O32)/365*IF('Inputs &amp; Assumptions'!E38="",'Inputs &amp; Assumptions'!E37,'Inputs &amp; Assumptions'!E38)</f>
        <v>76950654601.399658</v>
      </c>
      <c r="P36" s="129">
        <f>ABS(P32)/365*IF('Inputs &amp; Assumptions'!F38="",'Inputs &amp; Assumptions'!F37,'Inputs &amp; Assumptions'!F38)</f>
        <v>96255143685.410614</v>
      </c>
      <c r="Q36" s="129">
        <f>ABS(Q32)/365*IF('Inputs &amp; Assumptions'!G38="",'Inputs &amp; Assumptions'!G37,'Inputs &amp; Assumptions'!G38)</f>
        <v>118294137917.94801</v>
      </c>
      <c r="R36" s="129">
        <f>ABS(R32)/365*IF('Inputs &amp; Assumptions'!H38="",'Inputs &amp; Assumptions'!H37,'Inputs &amp; Assumptions'!H38)</f>
        <v>143070845104.86218</v>
      </c>
      <c r="S36" s="129">
        <f>ABS(S32)/365*IF('Inputs &amp; Assumptions'!I38="",'Inputs &amp; Assumptions'!I37,'Inputs &amp; Assumptions'!I38)</f>
        <v>170549705584.6344</v>
      </c>
      <c r="T36" s="129">
        <f>ABS(T32)/365*IF('Inputs &amp; Assumptions'!J38="",'Inputs &amp; Assumptions'!J37,'Inputs &amp; Assumptions'!J38)</f>
        <v>200664720894.88895</v>
      </c>
      <c r="U36" s="129">
        <f>ABS(U32)/365*IF('Inputs &amp; Assumptions'!K38="",'Inputs &amp; Assumptions'!K37,'Inputs &amp; Assumptions'!K38)</f>
        <v>233328415593.89371</v>
      </c>
      <c r="V36" s="129">
        <f>ABS(V32)/365*IF('Inputs &amp; Assumptions'!L38="",'Inputs &amp; Assumptions'!L37,'Inputs &amp; Assumptions'!L38)</f>
        <v>268440657803.51483</v>
      </c>
    </row>
    <row r="37" spans="2:22">
      <c r="B37" s="92" t="s">
        <v>388</v>
      </c>
      <c r="C37" s="135">
        <f t="shared" ref="C37:V37" si="9">-C32</f>
        <v>0</v>
      </c>
      <c r="D37" s="135">
        <f t="shared" si="9"/>
        <v>75428900000</v>
      </c>
      <c r="E37" s="135">
        <f t="shared" si="9"/>
        <v>51157100000</v>
      </c>
      <c r="F37" s="135">
        <f t="shared" si="9"/>
        <v>29983500000</v>
      </c>
      <c r="G37" s="135">
        <f t="shared" si="9"/>
        <v>18735100000</v>
      </c>
      <c r="H37" s="135">
        <f t="shared" si="9"/>
        <v>15772700000</v>
      </c>
      <c r="I37" s="135">
        <f t="shared" si="9"/>
        <v>43315600000</v>
      </c>
      <c r="J37" s="135">
        <f t="shared" si="9"/>
        <v>37826600000</v>
      </c>
      <c r="K37" s="135">
        <f t="shared" si="9"/>
        <v>39821300000</v>
      </c>
      <c r="L37" s="135">
        <f t="shared" si="9"/>
        <v>68866000000</v>
      </c>
      <c r="M37" s="129">
        <f t="shared" si="9"/>
        <v>90891302865.531525</v>
      </c>
      <c r="N37" s="129">
        <f t="shared" si="9"/>
        <v>118436126487.09616</v>
      </c>
      <c r="O37" s="129">
        <f t="shared" si="9"/>
        <v>151059941555.94812</v>
      </c>
      <c r="P37" s="129">
        <f t="shared" si="9"/>
        <v>188956110313.7522</v>
      </c>
      <c r="Q37" s="129">
        <f t="shared" si="9"/>
        <v>232220319019.5014</v>
      </c>
      <c r="R37" s="129">
        <f t="shared" si="9"/>
        <v>280858864838.13593</v>
      </c>
      <c r="S37" s="129">
        <f t="shared" si="9"/>
        <v>334801941470.81921</v>
      </c>
      <c r="T37" s="129">
        <f t="shared" si="9"/>
        <v>393919988955.76929</v>
      </c>
      <c r="U37" s="129">
        <f t="shared" si="9"/>
        <v>458041286400.10889</v>
      </c>
      <c r="V37" s="129">
        <f t="shared" si="9"/>
        <v>526969267371.26996</v>
      </c>
    </row>
    <row r="38" spans="2:22">
      <c r="B38" s="92" t="s">
        <v>389</v>
      </c>
      <c r="C38" s="128">
        <f>IFERROR(INDEX(HS_CONSOLIDATED!D:D,MATCH("TradePayablesCurrent",HS_CONSOLIDATED!$C:$C,0)),0)</f>
        <v>0</v>
      </c>
      <c r="D38" s="128">
        <f>IFERROR(INDEX(HS_CONSOLIDATED!E:E,MATCH("TradePayablesCurrent",HS_CONSOLIDATED!$C:$C,0)),0)</f>
        <v>48122500000</v>
      </c>
      <c r="E38" s="128">
        <f>IFERROR(INDEX(HS_CONSOLIDATED!F:F,MATCH("TradePayablesCurrent",HS_CONSOLIDATED!$C:$C,0)),0)</f>
        <v>25266000000</v>
      </c>
      <c r="F38" s="128">
        <f>IFERROR(INDEX(HS_CONSOLIDATED!G:G,MATCH("TradePayablesCurrent",HS_CONSOLIDATED!$C:$C,0)),0)</f>
        <v>21751900000</v>
      </c>
      <c r="G38" s="128">
        <f>IFERROR(INDEX(HS_CONSOLIDATED!H:H,MATCH("TradePayablesCurrent",HS_CONSOLIDATED!$C:$C,0)),0)</f>
        <v>12981800000</v>
      </c>
      <c r="H38" s="128">
        <f>IFERROR(INDEX(HS_CONSOLIDATED!I:I,MATCH("TradePayablesCurrent",HS_CONSOLIDATED!$C:$C,0)),0)</f>
        <v>15819900000</v>
      </c>
      <c r="I38" s="128">
        <f>IFERROR(INDEX(HS_CONSOLIDATED!J:J,MATCH("TradePayablesCurrent",HS_CONSOLIDATED!$C:$C,0)),0)</f>
        <v>18404900000</v>
      </c>
      <c r="J38" s="128">
        <f>IFERROR(INDEX(HS_CONSOLIDATED!K:K,MATCH("TradePayablesCurrent",HS_CONSOLIDATED!$C:$C,0)),0)</f>
        <v>8946400000</v>
      </c>
      <c r="K38" s="128">
        <f>IFERROR(INDEX(HS_CONSOLIDATED!L:L,MATCH("TradePayablesCurrent",HS_CONSOLIDATED!$C:$C,0)),0)</f>
        <v>17957800000</v>
      </c>
      <c r="L38" s="128">
        <f>IFERROR(INDEX(HS_CONSOLIDATED!M:M,MATCH("TradePayablesCurrent",HS_CONSOLIDATED!$C:$C,0)),0)</f>
        <v>29351400000</v>
      </c>
      <c r="M38" s="129">
        <f>M37/365*IF('Inputs &amp; Assumptions'!C41="",'Inputs &amp; Assumptions'!C40,'Inputs &amp; Assumptions'!C41)</f>
        <v>33741299596.899471</v>
      </c>
      <c r="N38" s="129">
        <f>N37/365*IF('Inputs &amp; Assumptions'!D41="",'Inputs &amp; Assumptions'!D40,'Inputs &amp; Assumptions'!D41)</f>
        <v>43966679989.278236</v>
      </c>
      <c r="O38" s="129">
        <f>O37/365*IF('Inputs &amp; Assumptions'!E41="",'Inputs &amp; Assumptions'!E40,'Inputs &amp; Assumptions'!E41)</f>
        <v>56077518799.241203</v>
      </c>
      <c r="P38" s="129">
        <f>P37/365*IF('Inputs &amp; Assumptions'!F41="",'Inputs &amp; Assumptions'!F40,'Inputs &amp; Assumptions'!F41)</f>
        <v>70145597298.714828</v>
      </c>
      <c r="Q38" s="129">
        <f>Q37/365*IF('Inputs &amp; Assumptions'!G41="",'Inputs &amp; Assumptions'!G40,'Inputs &amp; Assumptions'!G41)</f>
        <v>86206436804.152954</v>
      </c>
      <c r="R38" s="129">
        <f>R37/365*IF('Inputs &amp; Assumptions'!H41="",'Inputs &amp; Assumptions'!H40,'Inputs &amp; Assumptions'!H41)</f>
        <v>104262374992.78276</v>
      </c>
      <c r="S38" s="129">
        <f>S37/365*IF('Inputs &amp; Assumptions'!I41="",'Inputs &amp; Assumptions'!I40,'Inputs &amp; Assumptions'!I41)</f>
        <v>124287497886.38483</v>
      </c>
      <c r="T38" s="129">
        <f>T37/365*IF('Inputs &amp; Assumptions'!J41="",'Inputs &amp; Assumptions'!J40,'Inputs &amp; Assumptions'!J41)</f>
        <v>146233709337.71039</v>
      </c>
      <c r="U38" s="129">
        <f>U37/365*IF('Inputs &amp; Assumptions'!K41="",'Inputs &amp; Assumptions'!K40,'Inputs &amp; Assumptions'!K41)</f>
        <v>170037261926.36893</v>
      </c>
      <c r="V38" s="129">
        <f>V37/365*IF('Inputs &amp; Assumptions'!L41="",'Inputs &amp; Assumptions'!L40,'Inputs &amp; Assumptions'!L41)</f>
        <v>195625184898.4722</v>
      </c>
    </row>
    <row r="40" spans="2:22">
      <c r="B40" s="1" t="s">
        <v>390</v>
      </c>
      <c r="C40" s="132">
        <f t="shared" ref="C40:L40" si="10">IFERROR(C35/C31*365,0)</f>
        <v>0</v>
      </c>
      <c r="D40" s="132">
        <f t="shared" si="10"/>
        <v>104.13795178211741</v>
      </c>
      <c r="E40" s="132">
        <f t="shared" si="10"/>
        <v>130.7416209094487</v>
      </c>
      <c r="F40" s="132">
        <f t="shared" si="10"/>
        <v>136.60849724062578</v>
      </c>
      <c r="G40" s="132">
        <f t="shared" si="10"/>
        <v>167.53522713894074</v>
      </c>
      <c r="H40" s="132">
        <f t="shared" si="10"/>
        <v>129.79203280609255</v>
      </c>
      <c r="I40" s="132">
        <f t="shared" si="10"/>
        <v>76.360308305655906</v>
      </c>
      <c r="J40" s="132">
        <f t="shared" si="10"/>
        <v>71.553212193892335</v>
      </c>
      <c r="K40" s="132">
        <f t="shared" si="10"/>
        <v>102.28021056533147</v>
      </c>
      <c r="L40" s="132">
        <f t="shared" si="10"/>
        <v>129.5915008071818</v>
      </c>
    </row>
    <row r="41" spans="2:22">
      <c r="B41" s="1" t="s">
        <v>391</v>
      </c>
      <c r="C41" s="132">
        <f t="shared" ref="C41:L41" si="11">IFERROR(C36/ABS(C32)*365,0)</f>
        <v>0</v>
      </c>
      <c r="D41" s="132">
        <f t="shared" si="11"/>
        <v>167.8569619867186</v>
      </c>
      <c r="E41" s="132">
        <f t="shared" si="11"/>
        <v>215.92800412845921</v>
      </c>
      <c r="F41" s="132">
        <f t="shared" si="11"/>
        <v>354.72324778628246</v>
      </c>
      <c r="G41" s="132">
        <f t="shared" si="11"/>
        <v>400.47309595358445</v>
      </c>
      <c r="H41" s="132">
        <f t="shared" si="11"/>
        <v>502.80383193746161</v>
      </c>
      <c r="I41" s="132">
        <f t="shared" si="11"/>
        <v>186.04925246331575</v>
      </c>
      <c r="J41" s="132">
        <f t="shared" si="11"/>
        <v>176.30515298758016</v>
      </c>
      <c r="K41" s="132">
        <f t="shared" si="11"/>
        <v>210.11012950355712</v>
      </c>
      <c r="L41" s="132">
        <f t="shared" si="11"/>
        <v>171.3829393314553</v>
      </c>
    </row>
    <row r="42" spans="2:22">
      <c r="B42" s="1" t="s">
        <v>392</v>
      </c>
      <c r="C42" s="132">
        <f t="shared" ref="C42:L42" si="12">IFERROR(C38/C37*365,0)</f>
        <v>0</v>
      </c>
      <c r="D42" s="132">
        <f t="shared" si="12"/>
        <v>232.86449225694662</v>
      </c>
      <c r="E42" s="132">
        <f t="shared" si="12"/>
        <v>180.2699918486388</v>
      </c>
      <c r="F42" s="132">
        <f t="shared" si="12"/>
        <v>264.79375323094371</v>
      </c>
      <c r="G42" s="132">
        <f t="shared" si="12"/>
        <v>252.91335514622287</v>
      </c>
      <c r="H42" s="132">
        <f t="shared" si="12"/>
        <v>366.09226701832915</v>
      </c>
      <c r="I42" s="132">
        <f t="shared" si="12"/>
        <v>155.08935579791114</v>
      </c>
      <c r="J42" s="132">
        <f t="shared" si="12"/>
        <v>86.326447526343898</v>
      </c>
      <c r="K42" s="132">
        <f t="shared" si="12"/>
        <v>164.6002767363195</v>
      </c>
      <c r="L42" s="132">
        <f t="shared" si="12"/>
        <v>155.56676734527926</v>
      </c>
    </row>
    <row r="44" spans="2:22">
      <c r="B44" s="90" t="s">
        <v>393</v>
      </c>
      <c r="C44" s="130">
        <f t="shared" ref="C44:V44" si="13">C35+C36-C38</f>
        <v>0</v>
      </c>
      <c r="D44" s="130">
        <f t="shared" si="13"/>
        <v>22841200000</v>
      </c>
      <c r="E44" s="130">
        <f t="shared" si="13"/>
        <v>34849200000</v>
      </c>
      <c r="F44" s="130">
        <f t="shared" si="13"/>
        <v>26193300000</v>
      </c>
      <c r="G44" s="130">
        <f t="shared" si="13"/>
        <v>21219500000</v>
      </c>
      <c r="H44" s="130">
        <f t="shared" si="13"/>
        <v>17804900000</v>
      </c>
      <c r="I44" s="130">
        <f t="shared" si="13"/>
        <v>17443600000</v>
      </c>
      <c r="J44" s="130">
        <f t="shared" si="13"/>
        <v>21029300000</v>
      </c>
      <c r="K44" s="130">
        <f t="shared" si="13"/>
        <v>23260900000</v>
      </c>
      <c r="L44" s="130">
        <f t="shared" si="13"/>
        <v>41647600000</v>
      </c>
      <c r="M44" s="130">
        <f t="shared" si="13"/>
        <v>52838433493.428467</v>
      </c>
      <c r="N44" s="130">
        <f t="shared" si="13"/>
        <v>68851245337.147766</v>
      </c>
      <c r="O44" s="130">
        <f t="shared" si="13"/>
        <v>87816660382.057983</v>
      </c>
      <c r="P44" s="130">
        <f t="shared" si="13"/>
        <v>109847087160.3755</v>
      </c>
      <c r="Q44" s="130">
        <f t="shared" si="13"/>
        <v>134998151588.69122</v>
      </c>
      <c r="R44" s="130">
        <f t="shared" si="13"/>
        <v>163273514438.94257</v>
      </c>
      <c r="S44" s="130">
        <f t="shared" si="13"/>
        <v>194632594760.45313</v>
      </c>
      <c r="T44" s="130">
        <f t="shared" si="13"/>
        <v>229000074616.21259</v>
      </c>
      <c r="U44" s="130">
        <f t="shared" si="13"/>
        <v>266276126380.34604</v>
      </c>
      <c r="V44" s="130">
        <f t="shared" si="13"/>
        <v>306346478807.45557</v>
      </c>
    </row>
    <row r="45" spans="2:22">
      <c r="B45" s="92" t="s">
        <v>394</v>
      </c>
      <c r="D45" s="135">
        <f t="shared" ref="D45:V45" si="14">C44-D44</f>
        <v>-22841200000</v>
      </c>
      <c r="E45" s="135">
        <f t="shared" si="14"/>
        <v>-12008000000</v>
      </c>
      <c r="F45" s="135">
        <f t="shared" si="14"/>
        <v>8655900000</v>
      </c>
      <c r="G45" s="135">
        <f t="shared" si="14"/>
        <v>4973800000</v>
      </c>
      <c r="H45" s="135">
        <f t="shared" si="14"/>
        <v>3414600000</v>
      </c>
      <c r="I45" s="135">
        <f t="shared" si="14"/>
        <v>361300000</v>
      </c>
      <c r="J45" s="135">
        <f t="shared" si="14"/>
        <v>-3585700000</v>
      </c>
      <c r="K45" s="135">
        <f t="shared" si="14"/>
        <v>-2231600000</v>
      </c>
      <c r="L45" s="135">
        <f t="shared" si="14"/>
        <v>-18386700000</v>
      </c>
      <c r="M45" s="135">
        <f t="shared" si="14"/>
        <v>-11190833493.428467</v>
      </c>
      <c r="N45" s="135">
        <f t="shared" si="14"/>
        <v>-16012811843.719299</v>
      </c>
      <c r="O45" s="135">
        <f t="shared" si="14"/>
        <v>-18965415044.910217</v>
      </c>
      <c r="P45" s="135">
        <f t="shared" si="14"/>
        <v>-22030426778.31752</v>
      </c>
      <c r="Q45" s="135">
        <f t="shared" si="14"/>
        <v>-25151064428.31572</v>
      </c>
      <c r="R45" s="135">
        <f t="shared" si="14"/>
        <v>-28275362850.251343</v>
      </c>
      <c r="S45" s="135">
        <f t="shared" si="14"/>
        <v>-31359080321.510559</v>
      </c>
      <c r="T45" s="135">
        <f t="shared" si="14"/>
        <v>-34367479855.75946</v>
      </c>
      <c r="U45" s="135">
        <f t="shared" si="14"/>
        <v>-37276051764.133453</v>
      </c>
      <c r="V45" s="135">
        <f t="shared" si="14"/>
        <v>-40070352427.109528</v>
      </c>
    </row>
    <row r="46" spans="2:22">
      <c r="B46" s="99" t="s">
        <v>395</v>
      </c>
      <c r="C46" s="131">
        <v>0</v>
      </c>
      <c r="D46" s="131">
        <v>0</v>
      </c>
      <c r="E46" s="131">
        <v>0</v>
      </c>
      <c r="F46" s="131">
        <v>0</v>
      </c>
      <c r="G46" s="131">
        <v>0</v>
      </c>
      <c r="H46" s="131">
        <v>0</v>
      </c>
      <c r="I46" s="131">
        <v>0</v>
      </c>
      <c r="J46" s="131">
        <v>0</v>
      </c>
      <c r="K46" s="131">
        <v>0</v>
      </c>
      <c r="L46" s="131">
        <v>0</v>
      </c>
    </row>
    <row r="49" spans="1:22" ht="18.5">
      <c r="A49" t="s">
        <v>27</v>
      </c>
      <c r="B49" s="127" t="s">
        <v>396</v>
      </c>
    </row>
    <row r="52" spans="1:22">
      <c r="B52" s="92" t="s">
        <v>397</v>
      </c>
      <c r="C52" s="1" t="s">
        <v>329</v>
      </c>
      <c r="D52" s="135">
        <f t="shared" ref="D52:V52" si="15">C64</f>
        <v>0</v>
      </c>
      <c r="E52" s="135">
        <f t="shared" si="15"/>
        <v>14201800000</v>
      </c>
      <c r="F52" s="135">
        <f t="shared" si="15"/>
        <v>12673200000</v>
      </c>
      <c r="G52" s="135">
        <f t="shared" si="15"/>
        <v>11473200000</v>
      </c>
      <c r="H52" s="135">
        <f t="shared" si="15"/>
        <v>10484300000</v>
      </c>
      <c r="I52" s="135">
        <f t="shared" si="15"/>
        <v>9353100000</v>
      </c>
      <c r="J52" s="135">
        <f t="shared" si="15"/>
        <v>9073300000</v>
      </c>
      <c r="K52" s="135">
        <f t="shared" si="15"/>
        <v>7784500000</v>
      </c>
      <c r="L52" s="135">
        <f t="shared" si="15"/>
        <v>8095100000</v>
      </c>
      <c r="M52" s="129">
        <f t="shared" si="15"/>
        <v>8220600000</v>
      </c>
      <c r="N52" s="129">
        <f t="shared" si="15"/>
        <v>9188445330.696064</v>
      </c>
      <c r="O52" s="129">
        <f t="shared" si="15"/>
        <v>10107555594.814358</v>
      </c>
      <c r="P52" s="129">
        <f t="shared" si="15"/>
        <v>10976139438.812731</v>
      </c>
      <c r="Q52" s="129">
        <f t="shared" si="15"/>
        <v>11792271540.565109</v>
      </c>
      <c r="R52" s="129">
        <f t="shared" si="15"/>
        <v>12553889137.244005</v>
      </c>
      <c r="S52" s="129">
        <f t="shared" si="15"/>
        <v>13258788104.145557</v>
      </c>
      <c r="T52" s="129">
        <f t="shared" si="15"/>
        <v>13904618591.115362</v>
      </c>
      <c r="U52" s="129">
        <f t="shared" si="15"/>
        <v>15584960219.68416</v>
      </c>
      <c r="V52" s="129">
        <f t="shared" si="15"/>
        <v>17201076840.90575</v>
      </c>
    </row>
    <row r="53" spans="1:22">
      <c r="B53" s="92" t="s">
        <v>398</v>
      </c>
      <c r="C53" s="128">
        <f>IFERROR(INDEX(HS_CONSOLIDATED!D:D,MATCH("AdditionsOtherThanThroughBusinessCombinationsPropertyPlantAndEquipment",HS_CONSOLIDATED!$C:$C,0)),0)</f>
        <v>0</v>
      </c>
      <c r="D53" s="128">
        <f>IFERROR(INDEX(HS_CONSOLIDATED!E:E,MATCH("AdditionsOtherThanThroughBusinessCombinationsPropertyPlantAndEquipment",HS_CONSOLIDATED!$C:$C,0)),0)</f>
        <v>4467700000</v>
      </c>
      <c r="E53" s="128">
        <f>IFERROR(INDEX(HS_CONSOLIDATED!F:F,MATCH("AdditionsOtherThanThroughBusinessCombinationsPropertyPlantAndEquipment",HS_CONSOLIDATED!$C:$C,0)),0)</f>
        <v>5109400000</v>
      </c>
      <c r="F53" s="128">
        <f>IFERROR(INDEX(HS_CONSOLIDATED!G:G,MATCH("AdditionsOtherThanThroughBusinessCombinationsPropertyPlantAndEquipment",HS_CONSOLIDATED!$C:$C,0)),0)</f>
        <v>1373800000</v>
      </c>
      <c r="G53" s="128">
        <f>IFERROR(INDEX(HS_CONSOLIDATED!H:H,MATCH("AdditionsOtherThanThroughBusinessCombinationsPropertyPlantAndEquipment",HS_CONSOLIDATED!$C:$C,0)),0)</f>
        <v>402100000</v>
      </c>
      <c r="H53" s="128">
        <f>IFERROR(INDEX(HS_CONSOLIDATED!I:I,MATCH("AdditionsOtherThanThroughBusinessCombinationsPropertyPlantAndEquipment",HS_CONSOLIDATED!$C:$C,0)),0)</f>
        <v>231300000</v>
      </c>
      <c r="I53" s="128">
        <f>IFERROR(INDEX(HS_CONSOLIDATED!J:J,MATCH("AdditionsOtherThanThroughBusinessCombinationsPropertyPlantAndEquipment",HS_CONSOLIDATED!$C:$C,0)),0)</f>
        <v>1288300000</v>
      </c>
      <c r="J53" s="128">
        <f>IFERROR(INDEX(HS_CONSOLIDATED!K:K,MATCH("AdditionsOtherThanThroughBusinessCombinationsPropertyPlantAndEquipment",HS_CONSOLIDATED!$C:$C,0)),0)</f>
        <v>907300000</v>
      </c>
      <c r="K53" s="128">
        <f>IFERROR(INDEX(HS_CONSOLIDATED!L:L,MATCH("AdditionsOtherThanThroughBusinessCombinationsPropertyPlantAndEquipment",HS_CONSOLIDATED!$C:$C,0)),0)</f>
        <v>1831600000</v>
      </c>
      <c r="L53" s="128">
        <f>IFERROR(INDEX(HS_CONSOLIDATED!M:M,MATCH("AdditionsOtherThanThroughBusinessCombinationsPropertyPlantAndEquipment",HS_CONSOLIDATED!$C:$C,0)),0)</f>
        <v>2111000000</v>
      </c>
      <c r="M53" s="129">
        <f>L53*(1+'Inputs &amp; Assumptions'!C45)</f>
        <v>2211348568.6029263</v>
      </c>
      <c r="N53" s="129">
        <f>M53*(1+'Inputs &amp; Assumptions'!D45)</f>
        <v>2317085895.0269527</v>
      </c>
      <c r="O53" s="129">
        <f>N53*(1+'Inputs &amp; Assumptions'!E45)</f>
        <v>2428456580.257534</v>
      </c>
      <c r="P53" s="129">
        <f>O53*(1+'Inputs &amp; Assumptions'!F45)</f>
        <v>2545719469.2980781</v>
      </c>
      <c r="Q53" s="129">
        <f>P53*(1+'Inputs &amp; Assumptions'!G45)</f>
        <v>2669148175.9549241</v>
      </c>
      <c r="R53" s="129">
        <f>Q53*(1+'Inputs &amp; Assumptions'!H45)</f>
        <v>2799031656.618835</v>
      </c>
      <c r="S53" s="129">
        <f>R53*(1+'Inputs &amp; Assumptions'!I45)</f>
        <v>2935674832.1647387</v>
      </c>
      <c r="T53" s="129">
        <f>S53*(1+'Inputs &amp; Assumptions'!J45)</f>
        <v>3079399257.6039958</v>
      </c>
      <c r="U53" s="129">
        <f>T53*(1+'Inputs &amp; Assumptions'!K45)</f>
        <v>3230543839.5608463</v>
      </c>
      <c r="V53" s="129">
        <f>U53*(1+'Inputs &amp; Assumptions'!L45)</f>
        <v>3389465602.0226808</v>
      </c>
    </row>
    <row r="54" spans="1:22">
      <c r="B54" s="92" t="s">
        <v>399</v>
      </c>
      <c r="C54" s="132">
        <v>0</v>
      </c>
      <c r="D54" s="132">
        <v>0</v>
      </c>
      <c r="E54" s="132">
        <v>0</v>
      </c>
      <c r="F54" s="132">
        <v>0</v>
      </c>
      <c r="G54" s="132">
        <v>0</v>
      </c>
      <c r="H54" s="132">
        <v>0</v>
      </c>
      <c r="I54" s="132">
        <v>0</v>
      </c>
      <c r="J54" s="132">
        <v>0</v>
      </c>
      <c r="K54" s="132">
        <v>0</v>
      </c>
      <c r="L54" s="132">
        <v>0</v>
      </c>
      <c r="M54" s="129">
        <v>0</v>
      </c>
      <c r="N54" s="129">
        <v>0</v>
      </c>
      <c r="O54" s="129">
        <v>0</v>
      </c>
      <c r="P54" s="129">
        <v>0</v>
      </c>
      <c r="Q54" s="129">
        <v>0</v>
      </c>
      <c r="R54" s="129">
        <v>0</v>
      </c>
      <c r="S54" s="129">
        <v>0</v>
      </c>
      <c r="T54" s="129">
        <v>0</v>
      </c>
      <c r="U54" s="129">
        <v>0</v>
      </c>
      <c r="V54" s="129">
        <v>0</v>
      </c>
    </row>
    <row r="55" spans="1:22">
      <c r="B55" s="92" t="s">
        <v>400</v>
      </c>
      <c r="C55" s="132">
        <v>0</v>
      </c>
      <c r="D55" s="132">
        <v>0</v>
      </c>
      <c r="E55" s="132">
        <v>0</v>
      </c>
      <c r="F55" s="132">
        <v>0</v>
      </c>
      <c r="G55" s="132">
        <v>0</v>
      </c>
      <c r="H55" s="132">
        <v>0</v>
      </c>
      <c r="I55" s="132">
        <v>0</v>
      </c>
      <c r="J55" s="132">
        <v>0</v>
      </c>
      <c r="K55" s="132">
        <v>0</v>
      </c>
      <c r="L55" s="132">
        <v>0</v>
      </c>
      <c r="M55" s="129">
        <v>0</v>
      </c>
      <c r="N55" s="129">
        <v>0</v>
      </c>
      <c r="O55" s="129">
        <v>0</v>
      </c>
      <c r="P55" s="129">
        <v>0</v>
      </c>
      <c r="Q55" s="129">
        <v>0</v>
      </c>
      <c r="R55" s="129">
        <v>0</v>
      </c>
      <c r="S55" s="129">
        <v>0</v>
      </c>
      <c r="T55" s="129">
        <v>0</v>
      </c>
      <c r="U55" s="129">
        <v>0</v>
      </c>
      <c r="V55" s="129">
        <v>0</v>
      </c>
    </row>
    <row r="56" spans="1:22">
      <c r="B56" s="92" t="s">
        <v>401</v>
      </c>
      <c r="C56" s="128">
        <f>-IFERROR(INDEX(HS_CONSOLIDATED!D:D,MATCH("DepreciationPropertyPlantAndEquipment",HS_CONSOLIDATED!$C:$C,0)),0)</f>
        <v>0</v>
      </c>
      <c r="D56" s="128">
        <f>-IFERROR(INDEX(HS_CONSOLIDATED!E:E,MATCH("DepreciationPropertyPlantAndEquipment",HS_CONSOLIDATED!$C:$C,0)),0)</f>
        <v>2316400000</v>
      </c>
      <c r="E56" s="128">
        <f>-IFERROR(INDEX(HS_CONSOLIDATED!F:F,MATCH("DepreciationPropertyPlantAndEquipment",HS_CONSOLIDATED!$C:$C,0)),0)</f>
        <v>2321800000</v>
      </c>
      <c r="F56" s="128">
        <f>-IFERROR(INDEX(HS_CONSOLIDATED!G:G,MATCH("DepreciationPropertyPlantAndEquipment",HS_CONSOLIDATED!$C:$C,0)),0)</f>
        <v>2420400000</v>
      </c>
      <c r="G56" s="128">
        <f>-IFERROR(INDEX(HS_CONSOLIDATED!H:H,MATCH("DepreciationPropertyPlantAndEquipment",HS_CONSOLIDATED!$C:$C,0)),0)</f>
        <v>1141300000</v>
      </c>
      <c r="H56" s="128">
        <f>-IFERROR(INDEX(HS_CONSOLIDATED!I:I,MATCH("DepreciationPropertyPlantAndEquipment",HS_CONSOLIDATED!$C:$C,0)),0)</f>
        <v>1163600000</v>
      </c>
      <c r="I56" s="128">
        <f>-IFERROR(INDEX(HS_CONSOLIDATED!J:J,MATCH("DepreciationPropertyPlantAndEquipment",HS_CONSOLIDATED!$C:$C,0)),0)</f>
        <v>1205800000</v>
      </c>
      <c r="J56" s="128">
        <f>-IFERROR(INDEX(HS_CONSOLIDATED!K:K,MATCH("DepreciationPropertyPlantAndEquipment",HS_CONSOLIDATED!$C:$C,0)),0)</f>
        <v>1401700000</v>
      </c>
      <c r="K56" s="128">
        <f>-IFERROR(INDEX(HS_CONSOLIDATED!L:L,MATCH("DepreciationPropertyPlantAndEquipment",HS_CONSOLIDATED!$C:$C,0)),0)</f>
        <v>1393900000</v>
      </c>
      <c r="L56" s="128">
        <f>-IFERROR(INDEX(HS_CONSOLIDATED!M:M,MATCH("DepreciationPropertyPlantAndEquipment",HS_CONSOLIDATED!$C:$C,0)),0)</f>
        <v>1903700000</v>
      </c>
      <c r="M56" s="129">
        <f t="shared" ref="M56:V56" si="16">-(M82+M83)</f>
        <v>-1243503237.9068618</v>
      </c>
      <c r="N56" s="129">
        <f t="shared" si="16"/>
        <v>-1397975630.9086585</v>
      </c>
      <c r="O56" s="129">
        <f t="shared" si="16"/>
        <v>-1559872736.259161</v>
      </c>
      <c r="P56" s="129">
        <f t="shared" si="16"/>
        <v>-1729587367.5456996</v>
      </c>
      <c r="Q56" s="129">
        <f t="shared" si="16"/>
        <v>-1907530579.2760277</v>
      </c>
      <c r="R56" s="129">
        <f t="shared" si="16"/>
        <v>-2094132689.7172832</v>
      </c>
      <c r="S56" s="129">
        <f t="shared" si="16"/>
        <v>-2289844345.1949325</v>
      </c>
      <c r="T56" s="129">
        <f t="shared" si="16"/>
        <v>-1399057629.0351989</v>
      </c>
      <c r="U56" s="129">
        <f t="shared" si="16"/>
        <v>-1614427218.3392553</v>
      </c>
      <c r="V56" s="129">
        <f t="shared" si="16"/>
        <v>-1840391591.8074341</v>
      </c>
    </row>
    <row r="57" spans="1:22">
      <c r="B57" s="92" t="s">
        <v>402</v>
      </c>
      <c r="C57" s="132">
        <v>0</v>
      </c>
      <c r="D57" s="132">
        <v>0</v>
      </c>
      <c r="E57" s="132">
        <v>0</v>
      </c>
      <c r="F57" s="132">
        <v>0</v>
      </c>
      <c r="G57" s="132">
        <v>0</v>
      </c>
      <c r="H57" s="132">
        <v>0</v>
      </c>
      <c r="I57" s="132">
        <v>0</v>
      </c>
      <c r="J57" s="132">
        <v>0</v>
      </c>
      <c r="K57" s="132">
        <v>0</v>
      </c>
      <c r="L57" s="132">
        <v>0</v>
      </c>
      <c r="M57" s="129">
        <f>M52*(-IF('Inputs &amp; Assumptions'!C52="",'Inputs &amp; Assumptions'!C51,'Inputs &amp; Assumptions'!C52))</f>
        <v>0</v>
      </c>
      <c r="N57" s="129">
        <f>N52*(-IF('Inputs &amp; Assumptions'!D52="",'Inputs &amp; Assumptions'!D51,'Inputs &amp; Assumptions'!D52))</f>
        <v>0</v>
      </c>
      <c r="O57" s="129">
        <f>O52*(-IF('Inputs &amp; Assumptions'!E52="",'Inputs &amp; Assumptions'!E51,'Inputs &amp; Assumptions'!E52))</f>
        <v>0</v>
      </c>
      <c r="P57" s="129">
        <f>P52*(-IF('Inputs &amp; Assumptions'!F52="",'Inputs &amp; Assumptions'!F51,'Inputs &amp; Assumptions'!F52))</f>
        <v>0</v>
      </c>
      <c r="Q57" s="129">
        <f>Q52*(-IF('Inputs &amp; Assumptions'!G52="",'Inputs &amp; Assumptions'!G51,'Inputs &amp; Assumptions'!G52))</f>
        <v>0</v>
      </c>
      <c r="R57" s="129">
        <f>R52*(-IF('Inputs &amp; Assumptions'!H52="",'Inputs &amp; Assumptions'!H51,'Inputs &amp; Assumptions'!H52))</f>
        <v>0</v>
      </c>
      <c r="S57" s="129">
        <f>S52*(-IF('Inputs &amp; Assumptions'!I52="",'Inputs &amp; Assumptions'!I51,'Inputs &amp; Assumptions'!I52))</f>
        <v>0</v>
      </c>
      <c r="T57" s="129">
        <f>T52*(-IF('Inputs &amp; Assumptions'!J52="",'Inputs &amp; Assumptions'!J51,'Inputs &amp; Assumptions'!J52))</f>
        <v>0</v>
      </c>
      <c r="U57" s="129">
        <f>U52*(-IF('Inputs &amp; Assumptions'!K52="",'Inputs &amp; Assumptions'!K51,'Inputs &amp; Assumptions'!K52))</f>
        <v>0</v>
      </c>
      <c r="V57" s="129">
        <f>V52*(-IF('Inputs &amp; Assumptions'!L52="",'Inputs &amp; Assumptions'!L51,'Inputs &amp; Assumptions'!L52))</f>
        <v>0</v>
      </c>
    </row>
    <row r="58" spans="1:22">
      <c r="B58" s="92" t="s">
        <v>403</v>
      </c>
      <c r="C58" s="132">
        <v>0</v>
      </c>
      <c r="D58" s="132">
        <v>0</v>
      </c>
      <c r="E58" s="132">
        <v>0</v>
      </c>
      <c r="F58" s="132">
        <v>0</v>
      </c>
      <c r="G58" s="132">
        <v>0</v>
      </c>
      <c r="H58" s="132">
        <v>0</v>
      </c>
      <c r="I58" s="132">
        <v>0</v>
      </c>
      <c r="J58" s="132">
        <v>0</v>
      </c>
      <c r="K58" s="132">
        <v>0</v>
      </c>
      <c r="L58" s="132">
        <v>0</v>
      </c>
      <c r="M58" s="129">
        <v>0</v>
      </c>
      <c r="N58" s="129">
        <v>0</v>
      </c>
      <c r="O58" s="129">
        <v>0</v>
      </c>
      <c r="P58" s="129">
        <v>0</v>
      </c>
      <c r="Q58" s="129">
        <v>0</v>
      </c>
      <c r="R58" s="129">
        <v>0</v>
      </c>
      <c r="S58" s="129">
        <v>0</v>
      </c>
      <c r="T58" s="129">
        <v>0</v>
      </c>
      <c r="U58" s="129">
        <v>0</v>
      </c>
      <c r="V58" s="129">
        <v>0</v>
      </c>
    </row>
    <row r="59" spans="1:22">
      <c r="B59" s="92" t="s">
        <v>404</v>
      </c>
      <c r="C59" s="132">
        <v>0</v>
      </c>
      <c r="D59" s="132">
        <v>0</v>
      </c>
      <c r="E59" s="132">
        <v>0</v>
      </c>
      <c r="F59" s="132">
        <v>0</v>
      </c>
      <c r="G59" s="132">
        <v>0</v>
      </c>
      <c r="H59" s="132">
        <v>0</v>
      </c>
      <c r="I59" s="132">
        <v>0</v>
      </c>
      <c r="J59" s="132">
        <v>0</v>
      </c>
      <c r="K59" s="132">
        <v>0</v>
      </c>
      <c r="L59" s="132">
        <v>0</v>
      </c>
      <c r="M59" s="129">
        <v>0</v>
      </c>
      <c r="N59" s="129">
        <v>0</v>
      </c>
      <c r="O59" s="129">
        <v>0</v>
      </c>
      <c r="P59" s="129">
        <v>0</v>
      </c>
      <c r="Q59" s="129">
        <v>0</v>
      </c>
      <c r="R59" s="129">
        <v>0</v>
      </c>
      <c r="S59" s="129">
        <v>0</v>
      </c>
      <c r="T59" s="129">
        <v>0</v>
      </c>
      <c r="U59" s="129">
        <v>0</v>
      </c>
      <c r="V59" s="129">
        <v>0</v>
      </c>
    </row>
    <row r="60" spans="1:22">
      <c r="B60" s="92" t="s">
        <v>405</v>
      </c>
      <c r="C60" s="132">
        <v>0</v>
      </c>
      <c r="D60" s="132">
        <v>0</v>
      </c>
      <c r="E60" s="132">
        <v>0</v>
      </c>
      <c r="F60" s="132">
        <v>0</v>
      </c>
      <c r="G60" s="132">
        <v>0</v>
      </c>
      <c r="H60" s="132">
        <v>0</v>
      </c>
      <c r="I60" s="132">
        <v>0</v>
      </c>
      <c r="J60" s="132">
        <v>0</v>
      </c>
      <c r="K60" s="132">
        <v>0</v>
      </c>
      <c r="L60" s="132">
        <v>0</v>
      </c>
      <c r="M60" s="129">
        <f>M52*IF('Inputs &amp; Assumptions'!C55="",'Inputs &amp; Assumptions'!C54,'Inputs &amp; Assumptions'!C55)</f>
        <v>0</v>
      </c>
      <c r="N60" s="129">
        <f>N52*IF('Inputs &amp; Assumptions'!D55="",'Inputs &amp; Assumptions'!D54,'Inputs &amp; Assumptions'!D55)</f>
        <v>0</v>
      </c>
      <c r="O60" s="129">
        <f>O52*IF('Inputs &amp; Assumptions'!E55="",'Inputs &amp; Assumptions'!E54,'Inputs &amp; Assumptions'!E55)</f>
        <v>0</v>
      </c>
      <c r="P60" s="129">
        <f>P52*IF('Inputs &amp; Assumptions'!F55="",'Inputs &amp; Assumptions'!F54,'Inputs &amp; Assumptions'!F55)</f>
        <v>0</v>
      </c>
      <c r="Q60" s="129">
        <f>Q52*IF('Inputs &amp; Assumptions'!G55="",'Inputs &amp; Assumptions'!G54,'Inputs &amp; Assumptions'!G55)</f>
        <v>0</v>
      </c>
      <c r="R60" s="129">
        <f>R52*IF('Inputs &amp; Assumptions'!H55="",'Inputs &amp; Assumptions'!H54,'Inputs &amp; Assumptions'!H55)</f>
        <v>0</v>
      </c>
      <c r="S60" s="129">
        <f>S52*IF('Inputs &amp; Assumptions'!I55="",'Inputs &amp; Assumptions'!I54,'Inputs &amp; Assumptions'!I55)</f>
        <v>0</v>
      </c>
      <c r="T60" s="129">
        <f>T52*IF('Inputs &amp; Assumptions'!J55="",'Inputs &amp; Assumptions'!J54,'Inputs &amp; Assumptions'!J55)</f>
        <v>0</v>
      </c>
      <c r="U60" s="129">
        <f>U52*IF('Inputs &amp; Assumptions'!K55="",'Inputs &amp; Assumptions'!K54,'Inputs &amp; Assumptions'!K55)</f>
        <v>0</v>
      </c>
      <c r="V60" s="129">
        <f>V52*IF('Inputs &amp; Assumptions'!L55="",'Inputs &amp; Assumptions'!L54,'Inputs &amp; Assumptions'!L55)</f>
        <v>0</v>
      </c>
    </row>
    <row r="61" spans="1:22">
      <c r="B61" s="92" t="s">
        <v>406</v>
      </c>
      <c r="C61" s="132">
        <v>0</v>
      </c>
      <c r="D61" s="132">
        <v>0</v>
      </c>
      <c r="E61" s="132">
        <v>0</v>
      </c>
      <c r="F61" s="132">
        <v>0</v>
      </c>
      <c r="G61" s="132">
        <v>0</v>
      </c>
      <c r="H61" s="132">
        <v>0</v>
      </c>
      <c r="I61" s="132">
        <v>0</v>
      </c>
      <c r="J61" s="132">
        <v>0</v>
      </c>
      <c r="K61" s="132">
        <v>0</v>
      </c>
      <c r="L61" s="132">
        <v>0</v>
      </c>
      <c r="M61" s="129">
        <f>M52*(-IF('Inputs &amp; Assumptions'!C58="",'Inputs &amp; Assumptions'!C57,'Inputs &amp; Assumptions'!C58))</f>
        <v>0</v>
      </c>
      <c r="N61" s="129">
        <f>N52*(-IF('Inputs &amp; Assumptions'!D58="",'Inputs &amp; Assumptions'!D57,'Inputs &amp; Assumptions'!D58))</f>
        <v>0</v>
      </c>
      <c r="O61" s="129">
        <f>O52*(-IF('Inputs &amp; Assumptions'!E58="",'Inputs &amp; Assumptions'!E57,'Inputs &amp; Assumptions'!E58))</f>
        <v>0</v>
      </c>
      <c r="P61" s="129">
        <f>P52*(-IF('Inputs &amp; Assumptions'!F58="",'Inputs &amp; Assumptions'!F57,'Inputs &amp; Assumptions'!F58))</f>
        <v>0</v>
      </c>
      <c r="Q61" s="129">
        <f>Q52*(-IF('Inputs &amp; Assumptions'!G58="",'Inputs &amp; Assumptions'!G57,'Inputs &amp; Assumptions'!G58))</f>
        <v>0</v>
      </c>
      <c r="R61" s="129">
        <f>R52*(-IF('Inputs &amp; Assumptions'!H58="",'Inputs &amp; Assumptions'!H57,'Inputs &amp; Assumptions'!H58))</f>
        <v>0</v>
      </c>
      <c r="S61" s="129">
        <f>S52*(-IF('Inputs &amp; Assumptions'!I58="",'Inputs &amp; Assumptions'!I57,'Inputs &amp; Assumptions'!I58))</f>
        <v>0</v>
      </c>
      <c r="T61" s="129">
        <f>T52*(-IF('Inputs &amp; Assumptions'!J58="",'Inputs &amp; Assumptions'!J57,'Inputs &amp; Assumptions'!J58))</f>
        <v>0</v>
      </c>
      <c r="U61" s="129">
        <f>U52*(-IF('Inputs &amp; Assumptions'!K58="",'Inputs &amp; Assumptions'!K57,'Inputs &amp; Assumptions'!K58))</f>
        <v>0</v>
      </c>
      <c r="V61" s="129">
        <f>V52*(-IF('Inputs &amp; Assumptions'!L58="",'Inputs &amp; Assumptions'!L57,'Inputs &amp; Assumptions'!L58))</f>
        <v>0</v>
      </c>
    </row>
    <row r="62" spans="1:22">
      <c r="B62" s="92" t="s">
        <v>407</v>
      </c>
      <c r="C62" s="132">
        <v>0</v>
      </c>
      <c r="D62" s="132">
        <v>0</v>
      </c>
      <c r="E62" s="132">
        <v>0</v>
      </c>
      <c r="F62" s="132">
        <v>0</v>
      </c>
      <c r="G62" s="132">
        <v>0</v>
      </c>
      <c r="H62" s="132">
        <v>0</v>
      </c>
      <c r="I62" s="132">
        <v>0</v>
      </c>
      <c r="J62" s="132">
        <v>0</v>
      </c>
      <c r="K62" s="132">
        <v>0</v>
      </c>
      <c r="L62" s="132">
        <v>0</v>
      </c>
      <c r="M62" s="129">
        <v>0</v>
      </c>
      <c r="N62" s="129">
        <v>0</v>
      </c>
      <c r="O62" s="129">
        <v>0</v>
      </c>
      <c r="P62" s="129">
        <v>0</v>
      </c>
      <c r="Q62" s="129">
        <v>0</v>
      </c>
      <c r="R62" s="129">
        <v>0</v>
      </c>
      <c r="S62" s="129">
        <v>0</v>
      </c>
      <c r="T62" s="129">
        <v>0</v>
      </c>
      <c r="U62" s="129">
        <v>0</v>
      </c>
      <c r="V62" s="129">
        <v>0</v>
      </c>
    </row>
    <row r="63" spans="1:22">
      <c r="B63" s="92" t="s">
        <v>408</v>
      </c>
      <c r="C63" s="132">
        <v>0</v>
      </c>
      <c r="D63" s="132">
        <v>0</v>
      </c>
      <c r="E63" s="132">
        <v>0</v>
      </c>
      <c r="F63" s="132">
        <v>0</v>
      </c>
      <c r="G63" s="132">
        <v>0</v>
      </c>
      <c r="H63" s="132">
        <v>0</v>
      </c>
      <c r="I63" s="132">
        <v>0</v>
      </c>
      <c r="J63" s="132">
        <v>0</v>
      </c>
      <c r="K63" s="132">
        <v>0</v>
      </c>
      <c r="L63" s="132">
        <v>0</v>
      </c>
      <c r="M63" s="129">
        <v>0</v>
      </c>
      <c r="N63" s="129">
        <v>0</v>
      </c>
      <c r="O63" s="129">
        <v>0</v>
      </c>
      <c r="P63" s="129">
        <v>0</v>
      </c>
      <c r="Q63" s="129">
        <v>0</v>
      </c>
      <c r="R63" s="129">
        <v>0</v>
      </c>
      <c r="S63" s="129">
        <v>0</v>
      </c>
      <c r="T63" s="129">
        <v>0</v>
      </c>
      <c r="U63" s="129">
        <v>0</v>
      </c>
      <c r="V63" s="129">
        <v>0</v>
      </c>
    </row>
    <row r="64" spans="1:22">
      <c r="B64" s="90" t="s">
        <v>409</v>
      </c>
      <c r="C64" s="130">
        <f>IFERROR(INDEX(HS_CONSOLIDATED!D:D,MATCH("PropertyPlantAndEquipment",HS_CONSOLIDATED!$C:$C,0)),0)</f>
        <v>0</v>
      </c>
      <c r="D64" s="130">
        <f>IFERROR(INDEX(HS_CONSOLIDATED!E:E,MATCH("PropertyPlantAndEquipment",HS_CONSOLIDATED!$C:$C,0)),0)</f>
        <v>14201800000</v>
      </c>
      <c r="E64" s="130">
        <f>IFERROR(INDEX(HS_CONSOLIDATED!F:F,MATCH("PropertyPlantAndEquipment",HS_CONSOLIDATED!$C:$C,0)),0)</f>
        <v>12673200000</v>
      </c>
      <c r="F64" s="130">
        <f>IFERROR(INDEX(HS_CONSOLIDATED!G:G,MATCH("PropertyPlantAndEquipment",HS_CONSOLIDATED!$C:$C,0)),0)</f>
        <v>11473200000</v>
      </c>
      <c r="G64" s="130">
        <f>IFERROR(INDEX(HS_CONSOLIDATED!H:H,MATCH("PropertyPlantAndEquipment",HS_CONSOLIDATED!$C:$C,0)),0)</f>
        <v>10484300000</v>
      </c>
      <c r="H64" s="130">
        <f>IFERROR(INDEX(HS_CONSOLIDATED!I:I,MATCH("PropertyPlantAndEquipment",HS_CONSOLIDATED!$C:$C,0)),0)</f>
        <v>9353100000</v>
      </c>
      <c r="I64" s="130">
        <f>IFERROR(INDEX(HS_CONSOLIDATED!J:J,MATCH("PropertyPlantAndEquipment",HS_CONSOLIDATED!$C:$C,0)),0)</f>
        <v>9073300000</v>
      </c>
      <c r="J64" s="130">
        <f>IFERROR(INDEX(HS_CONSOLIDATED!K:K,MATCH("PropertyPlantAndEquipment",HS_CONSOLIDATED!$C:$C,0)),0)</f>
        <v>7784500000</v>
      </c>
      <c r="K64" s="130">
        <f>IFERROR(INDEX(HS_CONSOLIDATED!L:L,MATCH("PropertyPlantAndEquipment",HS_CONSOLIDATED!$C:$C,0)),0)</f>
        <v>8095100000</v>
      </c>
      <c r="L64" s="130">
        <f>IFERROR(INDEX(HS_CONSOLIDATED!M:M,MATCH("PropertyPlantAndEquipment",HS_CONSOLIDATED!$C:$C,0)),0)</f>
        <v>8220600000</v>
      </c>
      <c r="M64" s="130">
        <f t="shared" ref="M64:V64" si="17">M52+M53+M54+M55+M56+M57+M58+M59+M60+M61+M62+M63</f>
        <v>9188445330.696064</v>
      </c>
      <c r="N64" s="130">
        <f t="shared" si="17"/>
        <v>10107555594.814358</v>
      </c>
      <c r="O64" s="130">
        <f t="shared" si="17"/>
        <v>10976139438.812731</v>
      </c>
      <c r="P64" s="130">
        <f t="shared" si="17"/>
        <v>11792271540.565109</v>
      </c>
      <c r="Q64" s="130">
        <f t="shared" si="17"/>
        <v>12553889137.244005</v>
      </c>
      <c r="R64" s="130">
        <f t="shared" si="17"/>
        <v>13258788104.145557</v>
      </c>
      <c r="S64" s="130">
        <f t="shared" si="17"/>
        <v>13904618591.115362</v>
      </c>
      <c r="T64" s="130">
        <f t="shared" si="17"/>
        <v>15584960219.68416</v>
      </c>
      <c r="U64" s="130">
        <f t="shared" si="17"/>
        <v>17201076840.90575</v>
      </c>
      <c r="V64" s="130">
        <f t="shared" si="17"/>
        <v>18750150851.120998</v>
      </c>
    </row>
    <row r="65" spans="2:12">
      <c r="B65" s="99" t="s">
        <v>410</v>
      </c>
      <c r="C65" s="131">
        <v>0</v>
      </c>
      <c r="D65" s="131">
        <v>0</v>
      </c>
      <c r="E65" s="131">
        <v>0</v>
      </c>
      <c r="F65" s="131">
        <v>0</v>
      </c>
      <c r="G65" s="131">
        <v>0</v>
      </c>
      <c r="H65" s="131">
        <v>0</v>
      </c>
      <c r="I65" s="131">
        <v>0</v>
      </c>
      <c r="J65" s="131">
        <v>0</v>
      </c>
      <c r="K65" s="131">
        <v>0</v>
      </c>
      <c r="L65" s="131">
        <v>0</v>
      </c>
    </row>
    <row r="68" spans="2:12">
      <c r="B68" s="1" t="s">
        <v>411</v>
      </c>
      <c r="C68" s="132" t="e">
        <f t="shared" ref="C68:L68" si="18">LN(C53)</f>
        <v>#NUM!</v>
      </c>
      <c r="D68" s="132">
        <f t="shared" si="18"/>
        <v>22.220139571763017</v>
      </c>
      <c r="E68" s="132">
        <f t="shared" si="18"/>
        <v>22.354347817438384</v>
      </c>
      <c r="F68" s="132">
        <f t="shared" si="18"/>
        <v>21.040846459744056</v>
      </c>
      <c r="G68" s="132">
        <f t="shared" si="18"/>
        <v>19.812211371867502</v>
      </c>
      <c r="H68" s="132">
        <f t="shared" si="18"/>
        <v>19.259226127201668</v>
      </c>
      <c r="I68" s="132">
        <f t="shared" si="18"/>
        <v>20.976589356761753</v>
      </c>
      <c r="J68" s="132">
        <f t="shared" si="18"/>
        <v>20.625983714139856</v>
      </c>
      <c r="K68" s="132">
        <f t="shared" si="18"/>
        <v>21.328455738747216</v>
      </c>
      <c r="L68" s="132">
        <f t="shared" si="18"/>
        <v>21.470427605812596</v>
      </c>
    </row>
    <row r="69" spans="2:12">
      <c r="B69" s="1" t="s">
        <v>412</v>
      </c>
      <c r="C69" s="132" t="e">
        <f t="shared" ref="C69:L69" si="19">LN(ABS(C56))</f>
        <v>#NUM!</v>
      </c>
      <c r="D69" s="132">
        <f t="shared" si="19"/>
        <v>21.56328009331591</v>
      </c>
      <c r="E69" s="132">
        <f t="shared" si="19"/>
        <v>21.565608583868208</v>
      </c>
      <c r="F69" s="132">
        <f t="shared" si="19"/>
        <v>21.607198652712441</v>
      </c>
      <c r="G69" s="132">
        <f t="shared" si="19"/>
        <v>20.85543380052383</v>
      </c>
      <c r="H69" s="132">
        <f t="shared" si="19"/>
        <v>20.874784484585319</v>
      </c>
      <c r="I69" s="132">
        <f t="shared" si="19"/>
        <v>20.91040908401958</v>
      </c>
      <c r="J69" s="132">
        <f t="shared" si="19"/>
        <v>21.060951622633286</v>
      </c>
      <c r="K69" s="132">
        <f t="shared" si="19"/>
        <v>21.055371410700115</v>
      </c>
      <c r="L69" s="132">
        <f t="shared" si="19"/>
        <v>21.367065197876016</v>
      </c>
    </row>
    <row r="70" spans="2:12">
      <c r="B70" s="1" t="s">
        <v>373</v>
      </c>
      <c r="C70" s="132">
        <v>1</v>
      </c>
      <c r="D70" s="132">
        <v>2</v>
      </c>
      <c r="E70" s="132">
        <v>3</v>
      </c>
      <c r="F70" s="132">
        <v>4</v>
      </c>
      <c r="G70" s="132">
        <v>5</v>
      </c>
      <c r="H70" s="132">
        <v>6</v>
      </c>
      <c r="I70" s="132">
        <v>7</v>
      </c>
      <c r="J70" s="132">
        <v>8</v>
      </c>
      <c r="K70" s="132">
        <v>9</v>
      </c>
      <c r="L70" s="132">
        <v>10</v>
      </c>
    </row>
    <row r="71" spans="2:12">
      <c r="B71" s="1" t="s">
        <v>413</v>
      </c>
      <c r="D71" s="104" t="str">
        <f t="shared" ref="D71:L71" si="20">IFERROR(D53/C53-1,"")</f>
        <v/>
      </c>
      <c r="E71" s="104">
        <f t="shared" si="20"/>
        <v>0.14363095104863799</v>
      </c>
      <c r="F71" s="104">
        <f t="shared" si="20"/>
        <v>-0.73112302814420482</v>
      </c>
      <c r="G71" s="104">
        <f t="shared" si="20"/>
        <v>-0.70730819624399477</v>
      </c>
      <c r="H71" s="104">
        <f t="shared" si="20"/>
        <v>-0.42476995772195969</v>
      </c>
      <c r="I71" s="104">
        <f t="shared" si="20"/>
        <v>4.5698227410289665</v>
      </c>
      <c r="J71" s="104">
        <f t="shared" si="20"/>
        <v>-0.29573857020880234</v>
      </c>
      <c r="K71" s="104">
        <f t="shared" si="20"/>
        <v>1.0187369117160805</v>
      </c>
      <c r="L71" s="104">
        <f t="shared" si="20"/>
        <v>0.15254422362961351</v>
      </c>
    </row>
    <row r="72" spans="2:12">
      <c r="B72" s="1" t="s">
        <v>414</v>
      </c>
      <c r="C72" s="104">
        <f>QUARTILE(Schedules!D71:L71,1)</f>
        <v>-0.49540451735246849</v>
      </c>
      <c r="D72" s="104">
        <f>QUARTILE(Schedules!D71:L71,3)</f>
        <v>0.36909239565123025</v>
      </c>
      <c r="E72" s="104">
        <f>D72-C72</f>
        <v>0.8644969130036988</v>
      </c>
      <c r="F72" s="104">
        <f>C72-1.5*E72</f>
        <v>-1.7921498868580166</v>
      </c>
      <c r="G72" s="104">
        <f>D72+1.5*E72</f>
        <v>1.6658377651567784</v>
      </c>
    </row>
    <row r="73" spans="2:12">
      <c r="B73" s="1" t="s">
        <v>378</v>
      </c>
      <c r="C73" s="132">
        <v>1</v>
      </c>
      <c r="D73" s="132">
        <f>IF(IF('Inputs &amp; Assumptions'!$C$8="",'Inputs &amp; Assumptions'!$C$7,'Inputs &amp; Assumptions'!$C$8)=0,1,IF(AND(D71&lt;&gt;"",D71&gt;=$F$72,D71&lt;=$G$72),1,0))</f>
        <v>0</v>
      </c>
      <c r="E73" s="132">
        <f>IF(IF('Inputs &amp; Assumptions'!$C$8="",'Inputs &amp; Assumptions'!$C$7,'Inputs &amp; Assumptions'!$C$8)=0,1,IF(AND(E71&lt;&gt;"",E71&gt;=$F$72,E71&lt;=$G$72),1,0))</f>
        <v>1</v>
      </c>
      <c r="F73" s="132">
        <f>IF(IF('Inputs &amp; Assumptions'!$C$8="",'Inputs &amp; Assumptions'!$C$7,'Inputs &amp; Assumptions'!$C$8)=0,1,IF(AND(F71&lt;&gt;"",F71&gt;=$F$72,F71&lt;=$G$72),1,0))</f>
        <v>1</v>
      </c>
      <c r="G73" s="132">
        <f>IF(IF('Inputs &amp; Assumptions'!$C$8="",'Inputs &amp; Assumptions'!$C$7,'Inputs &amp; Assumptions'!$C$8)=0,1,IF(AND(G71&lt;&gt;"",G71&gt;=$F$72,G71&lt;=$G$72),1,0))</f>
        <v>1</v>
      </c>
      <c r="H73" s="132">
        <f>IF(IF('Inputs &amp; Assumptions'!$C$8="",'Inputs &amp; Assumptions'!$C$7,'Inputs &amp; Assumptions'!$C$8)=0,1,IF(AND(H71&lt;&gt;"",H71&gt;=$F$72,H71&lt;=$G$72),1,0))</f>
        <v>1</v>
      </c>
      <c r="I73" s="132">
        <f>IF(IF('Inputs &amp; Assumptions'!$C$8="",'Inputs &amp; Assumptions'!$C$7,'Inputs &amp; Assumptions'!$C$8)=0,1,IF(AND(I71&lt;&gt;"",I71&gt;=$F$72,I71&lt;=$G$72),1,0))</f>
        <v>0</v>
      </c>
      <c r="J73" s="132">
        <f>IF(IF('Inputs &amp; Assumptions'!$C$8="",'Inputs &amp; Assumptions'!$C$7,'Inputs &amp; Assumptions'!$C$8)=0,1,IF(AND(J71&lt;&gt;"",J71&gt;=$F$72,J71&lt;=$G$72),1,0))</f>
        <v>1</v>
      </c>
      <c r="K73" s="132">
        <f>IF(IF('Inputs &amp; Assumptions'!$C$8="",'Inputs &amp; Assumptions'!$C$7,'Inputs &amp; Assumptions'!$C$8)=0,1,IF(AND(K71&lt;&gt;"",K71&gt;=$F$72,K71&lt;=$G$72),1,0))</f>
        <v>1</v>
      </c>
      <c r="L73" s="132">
        <f>IF(IF('Inputs &amp; Assumptions'!$C$8="",'Inputs &amp; Assumptions'!$C$7,'Inputs &amp; Assumptions'!$C$8)=0,1,IF(AND(L71&lt;&gt;"",L71&gt;=$F$72,L71&lt;=$G$72),1,0))</f>
        <v>1</v>
      </c>
    </row>
    <row r="74" spans="2:12">
      <c r="B74" s="1" t="s">
        <v>415</v>
      </c>
      <c r="C74" s="132" t="str">
        <f t="shared" ref="C74:L74" si="21">IF(C73=1,IFERROR(LN(C53),""),"")</f>
        <v/>
      </c>
      <c r="D74" s="132" t="str">
        <f t="shared" si="21"/>
        <v/>
      </c>
      <c r="E74" s="132">
        <f t="shared" si="21"/>
        <v>22.354347817438384</v>
      </c>
      <c r="F74" s="132">
        <f t="shared" si="21"/>
        <v>21.040846459744056</v>
      </c>
      <c r="G74" s="132">
        <f t="shared" si="21"/>
        <v>19.812211371867502</v>
      </c>
      <c r="H74" s="132">
        <f t="shared" si="21"/>
        <v>19.259226127201668</v>
      </c>
      <c r="I74" s="132" t="str">
        <f t="shared" si="21"/>
        <v/>
      </c>
      <c r="J74" s="132">
        <f t="shared" si="21"/>
        <v>20.625983714139856</v>
      </c>
      <c r="K74" s="132">
        <f t="shared" si="21"/>
        <v>21.328455738747216</v>
      </c>
      <c r="L74" s="132">
        <f t="shared" si="21"/>
        <v>21.470427605812596</v>
      </c>
    </row>
    <row r="76" spans="2:12" ht="30" customHeight="1">
      <c r="B76" s="133" t="str">
        <f>IF(IF('Inputs &amp; Assumptions'!$C$8="",'Inputs &amp; Assumptions'!$C$7,'Inputs &amp; Assumptions'!$C$8)=0,"",IF(_xlfn.TEXTJOIN(", ",TRUE,IF(C73=0,"FY?",""),IF(D73=0,"FY2017",""),IF(E73=0,"FY2018",""),IF(F73=0,"FY2019",""),IF(G73=0,"FY2020",""),IF(H73=0,"FY2021",""),IF(I73=0,"FY2022",""),IF(J73=0,"FY2023",""),IF(K73=0,"FY2024",""),IF(L73=0,"FY2025",""))="","","⚠ Years excluded from PP&amp;E Additions Growth trend as statistical anomalies (outside the IQR fence on YoY growth): "&amp;_xlfn.TEXTJOIN(", ",TRUE,IF(C73=0,"FY?",""),IF(D73=0,"FY2017",""),IF(E73=0,"FY2018",""),IF(F73=0,"FY2019",""),IF(G73=0,"FY2020",""),IF(H73=0,"FY2021",""),IF(I73=0,"FY2022",""),IF(J73=0,"FY2023",""),IF(K73=0,"FY2024",""),IF(L73=0,"FY2025",""))))</f>
        <v>⚠ Years excluded from PP&amp;E Additions Growth trend as statistical anomalies (outside the IQR fence on YoY growth): FY2017, FY2022</v>
      </c>
    </row>
    <row r="77" spans="2:12">
      <c r="B77" s="1" t="s">
        <v>416</v>
      </c>
      <c r="D77" s="134">
        <f t="shared" ref="D77:L77" si="22">IFERROR(D57/C64,0)</f>
        <v>0</v>
      </c>
      <c r="E77" s="134">
        <f t="shared" si="22"/>
        <v>0</v>
      </c>
      <c r="F77" s="134">
        <f t="shared" si="22"/>
        <v>0</v>
      </c>
      <c r="G77" s="134">
        <f t="shared" si="22"/>
        <v>0</v>
      </c>
      <c r="H77" s="134">
        <f t="shared" si="22"/>
        <v>0</v>
      </c>
      <c r="I77" s="134">
        <f t="shared" si="22"/>
        <v>0</v>
      </c>
      <c r="J77" s="134">
        <f t="shared" si="22"/>
        <v>0</v>
      </c>
      <c r="K77" s="134">
        <f t="shared" si="22"/>
        <v>0</v>
      </c>
      <c r="L77" s="134">
        <f t="shared" si="22"/>
        <v>0</v>
      </c>
    </row>
    <row r="78" spans="2:12">
      <c r="B78" s="1" t="s">
        <v>417</v>
      </c>
      <c r="D78" s="134">
        <f t="shared" ref="D78:L78" si="23">IFERROR(D60/C64,0)</f>
        <v>0</v>
      </c>
      <c r="E78" s="134">
        <f t="shared" si="23"/>
        <v>0</v>
      </c>
      <c r="F78" s="134">
        <f t="shared" si="23"/>
        <v>0</v>
      </c>
      <c r="G78" s="134">
        <f t="shared" si="23"/>
        <v>0</v>
      </c>
      <c r="H78" s="134">
        <f t="shared" si="23"/>
        <v>0</v>
      </c>
      <c r="I78" s="134">
        <f t="shared" si="23"/>
        <v>0</v>
      </c>
      <c r="J78" s="134">
        <f t="shared" si="23"/>
        <v>0</v>
      </c>
      <c r="K78" s="134">
        <f t="shared" si="23"/>
        <v>0</v>
      </c>
      <c r="L78" s="134">
        <f t="shared" si="23"/>
        <v>0</v>
      </c>
    </row>
    <row r="79" spans="2:12">
      <c r="B79" s="1" t="s">
        <v>418</v>
      </c>
      <c r="D79" s="134">
        <f t="shared" ref="D79:L79" si="24">IFERROR(D61/C64,0)</f>
        <v>0</v>
      </c>
      <c r="E79" s="134">
        <f t="shared" si="24"/>
        <v>0</v>
      </c>
      <c r="F79" s="134">
        <f t="shared" si="24"/>
        <v>0</v>
      </c>
      <c r="G79" s="134">
        <f t="shared" si="24"/>
        <v>0</v>
      </c>
      <c r="H79" s="134">
        <f t="shared" si="24"/>
        <v>0</v>
      </c>
      <c r="I79" s="134">
        <f t="shared" si="24"/>
        <v>0</v>
      </c>
      <c r="J79" s="134">
        <f t="shared" si="24"/>
        <v>0</v>
      </c>
      <c r="K79" s="134">
        <f t="shared" si="24"/>
        <v>0</v>
      </c>
      <c r="L79" s="134">
        <f t="shared" si="24"/>
        <v>0</v>
      </c>
    </row>
    <row r="81" spans="1:22">
      <c r="B81" s="1" t="s">
        <v>419</v>
      </c>
      <c r="C81" s="132">
        <f>IF('Inputs &amp; Assumptions'!$C$49="",'Inputs &amp; Assumptions'!$C$48,'Inputs &amp; Assumptions'!$C$49)/2</f>
        <v>7.5</v>
      </c>
    </row>
    <row r="82" spans="1:22">
      <c r="B82" s="92" t="s">
        <v>420</v>
      </c>
      <c r="M82" s="129">
        <f>IF(1&lt;=$C$81,L64/$C$81,0)</f>
        <v>1096080000</v>
      </c>
      <c r="N82" s="129">
        <f>IF(2&lt;=$C$81,L64/$C$81,0)</f>
        <v>1096080000</v>
      </c>
      <c r="O82" s="129">
        <f>IF(3&lt;=$C$81,L64/$C$81,0)</f>
        <v>1096080000</v>
      </c>
      <c r="P82" s="129">
        <f>IF(4&lt;=$C$81,L64/$C$81,0)</f>
        <v>1096080000</v>
      </c>
      <c r="Q82" s="129">
        <f>IF(5&lt;=$C$81,L64/$C$81,0)</f>
        <v>1096080000</v>
      </c>
      <c r="R82" s="129">
        <f>IF(6&lt;=$C$81,L64/$C$81,0)</f>
        <v>1096080000</v>
      </c>
      <c r="S82" s="129">
        <f>IF(7&lt;=$C$81,L64/$C$81,0)</f>
        <v>1096080000</v>
      </c>
      <c r="T82" s="129">
        <f>IF(8&lt;=$C$81,L64/$C$81,0)</f>
        <v>0</v>
      </c>
      <c r="U82" s="129">
        <f>IF(9&lt;=$C$81,L64/$C$81,0)</f>
        <v>0</v>
      </c>
      <c r="V82" s="129">
        <f>IF(10&lt;=$C$81,L64/$C$81,0)</f>
        <v>0</v>
      </c>
    </row>
    <row r="83" spans="1:22">
      <c r="B83" s="92" t="s">
        <v>421</v>
      </c>
      <c r="M83" s="129">
        <f>SUM($M53:M53)/(IF('Inputs &amp; Assumptions'!$C$49="",'Inputs &amp; Assumptions'!$C$48,'Inputs &amp; Assumptions'!$C$49))</f>
        <v>147423237.90686175</v>
      </c>
      <c r="N83" s="129">
        <f>SUM($M53:N53)/(IF('Inputs &amp; Assumptions'!$C$49="",'Inputs &amp; Assumptions'!$C$48,'Inputs &amp; Assumptions'!$C$49))</f>
        <v>301895630.90865862</v>
      </c>
      <c r="O83" s="129">
        <f>SUM($M53:O53)/(IF('Inputs &amp; Assumptions'!$C$49="",'Inputs &amp; Assumptions'!$C$48,'Inputs &amp; Assumptions'!$C$49))</f>
        <v>463792736.25916088</v>
      </c>
      <c r="P83" s="129">
        <f>SUM($M53:P53)/(IF('Inputs &amp; Assumptions'!$C$49="",'Inputs &amp; Assumptions'!$C$48,'Inputs &amp; Assumptions'!$C$49))</f>
        <v>633507367.54569948</v>
      </c>
      <c r="Q83" s="129">
        <f>SUM($M53:Q53)/(IF('Inputs &amp; Assumptions'!$C$49="",'Inputs &amp; Assumptions'!$C$48,'Inputs &amp; Assumptions'!$C$49))</f>
        <v>811450579.27602768</v>
      </c>
      <c r="R83" s="129">
        <f>SUM($M53:R53)/(IF('Inputs &amp; Assumptions'!$C$49="",'Inputs &amp; Assumptions'!$C$48,'Inputs &amp; Assumptions'!$C$49))</f>
        <v>998052689.71728337</v>
      </c>
      <c r="S83" s="129">
        <f>SUM($M53:S53)/(IF('Inputs &amp; Assumptions'!$C$49="",'Inputs &amp; Assumptions'!$C$48,'Inputs &amp; Assumptions'!$C$49))</f>
        <v>1193764345.1949325</v>
      </c>
      <c r="T83" s="129">
        <f>SUM($M53:T53)/(IF('Inputs &amp; Assumptions'!$C$49="",'Inputs &amp; Assumptions'!$C$48,'Inputs &amp; Assumptions'!$C$49))</f>
        <v>1399057629.0351989</v>
      </c>
      <c r="U83" s="129">
        <f>SUM($M53:U53)/(IF('Inputs &amp; Assumptions'!$C$49="",'Inputs &amp; Assumptions'!$C$48,'Inputs &amp; Assumptions'!$C$49))</f>
        <v>1614427218.3392553</v>
      </c>
      <c r="V83" s="129">
        <f>SUM($M53:V53)/(IF('Inputs &amp; Assumptions'!$C$49="",'Inputs &amp; Assumptions'!$C$48,'Inputs &amp; Assumptions'!$C$49))</f>
        <v>1840391591.8074341</v>
      </c>
    </row>
    <row r="86" spans="1:22" ht="18.5">
      <c r="A86" t="s">
        <v>27</v>
      </c>
      <c r="B86" s="127" t="s">
        <v>422</v>
      </c>
    </row>
    <row r="89" spans="1:22">
      <c r="B89" s="92" t="s">
        <v>423</v>
      </c>
      <c r="C89" s="1" t="s">
        <v>329</v>
      </c>
      <c r="D89" s="135">
        <f t="shared" ref="D89:V89" si="25">C93</f>
        <v>0</v>
      </c>
      <c r="E89" s="135">
        <f t="shared" si="25"/>
        <v>69173600000</v>
      </c>
      <c r="F89" s="135">
        <f t="shared" si="25"/>
        <v>116051600000</v>
      </c>
      <c r="G89" s="135">
        <f t="shared" si="25"/>
        <v>96239300000</v>
      </c>
      <c r="H89" s="135">
        <f t="shared" si="25"/>
        <v>96856200000</v>
      </c>
      <c r="I89" s="135">
        <f t="shared" si="25"/>
        <v>62025400000</v>
      </c>
      <c r="J89" s="135">
        <f t="shared" si="25"/>
        <v>63905600000</v>
      </c>
      <c r="K89" s="135">
        <f t="shared" si="25"/>
        <v>19048800000</v>
      </c>
      <c r="L89" s="135">
        <f t="shared" si="25"/>
        <v>1099500000</v>
      </c>
      <c r="M89" s="135">
        <f t="shared" si="25"/>
        <v>2833300000</v>
      </c>
      <c r="N89" s="135">
        <f t="shared" si="25"/>
        <v>2833300000.0000005</v>
      </c>
      <c r="O89" s="135">
        <f t="shared" si="25"/>
        <v>3586516037.6360354</v>
      </c>
      <c r="P89" s="135">
        <f t="shared" si="25"/>
        <v>4589935618.9562159</v>
      </c>
      <c r="Q89" s="135">
        <f t="shared" si="25"/>
        <v>5881606986.0440245</v>
      </c>
      <c r="R89" s="135">
        <f t="shared" si="25"/>
        <v>7508257426.8249464</v>
      </c>
      <c r="S89" s="135">
        <f t="shared" si="25"/>
        <v>9517203868.3624439</v>
      </c>
      <c r="T89" s="135">
        <f t="shared" si="25"/>
        <v>11955492722.830048</v>
      </c>
      <c r="U89" s="135">
        <f t="shared" si="25"/>
        <v>14869192015.629545</v>
      </c>
      <c r="V89" s="135">
        <f t="shared" si="25"/>
        <v>18360873789.757832</v>
      </c>
    </row>
    <row r="90" spans="1:22">
      <c r="B90" s="92" t="s">
        <v>424</v>
      </c>
      <c r="C90" s="128">
        <f>(IFERROR(INDEX(HS_CONSOLIDATED!D:D,MATCH("ProceedsFromBorrowingsClassifiedAsFinancingActivities",HS_CONSOLIDATED!$C:$C,0)),0))+(IFERROR(INDEX(HS_CONSOLIDATED!D:D,MATCH("ProceedsFromIssuingDebenturesNotesBondsEtc",HS_CONSOLIDATED!$C:$C,0)),0))</f>
        <v>0</v>
      </c>
      <c r="D90" s="128">
        <f>(IFERROR(INDEX(HS_CONSOLIDATED!E:E,MATCH("ProceedsFromBorrowingsClassifiedAsFinancingActivities",HS_CONSOLIDATED!$C:$C,0)),0))+(IFERROR(INDEX(HS_CONSOLIDATED!E:E,MATCH("ProceedsFromIssuingDebenturesNotesBondsEtc",HS_CONSOLIDATED!$C:$C,0)),0))</f>
        <v>4760100000</v>
      </c>
      <c r="E90" s="128">
        <f>(IFERROR(INDEX(HS_CONSOLIDATED!F:F,MATCH("ProceedsFromBorrowingsClassifiedAsFinancingActivities",HS_CONSOLIDATED!$C:$C,0)),0))+(IFERROR(INDEX(HS_CONSOLIDATED!F:F,MATCH("ProceedsFromIssuingDebenturesNotesBondsEtc",HS_CONSOLIDATED!$C:$C,0)),0))</f>
        <v>20617300000</v>
      </c>
      <c r="F90" s="128">
        <f>(IFERROR(INDEX(HS_CONSOLIDATED!G:G,MATCH("ProceedsFromBorrowingsClassifiedAsFinancingActivities",HS_CONSOLIDATED!$C:$C,0)),0))+(IFERROR(INDEX(HS_CONSOLIDATED!G:G,MATCH("ProceedsFromIssuingDebenturesNotesBondsEtc",HS_CONSOLIDATED!$C:$C,0)),0))</f>
        <v>-4922000000</v>
      </c>
      <c r="G90" s="128">
        <f>(IFERROR(INDEX(HS_CONSOLIDATED!H:H,MATCH("ProceedsFromBorrowingsClassifiedAsFinancingActivities",HS_CONSOLIDATED!$C:$C,0)),0))+(IFERROR(INDEX(HS_CONSOLIDATED!H:H,MATCH("ProceedsFromIssuingDebenturesNotesBondsEtc",HS_CONSOLIDATED!$C:$C,0)),0))</f>
        <v>55872200000</v>
      </c>
      <c r="H90" s="128">
        <f>(IFERROR(INDEX(HS_CONSOLIDATED!I:I,MATCH("ProceedsFromBorrowingsClassifiedAsFinancingActivities",HS_CONSOLIDATED!$C:$C,0)),0))+(IFERROR(INDEX(HS_CONSOLIDATED!I:I,MATCH("ProceedsFromIssuingDebenturesNotesBondsEtc",HS_CONSOLIDATED!$C:$C,0)),0))</f>
        <v>-685000000</v>
      </c>
      <c r="I90" s="128">
        <f>(IFERROR(INDEX(HS_CONSOLIDATED!J:J,MATCH("ProceedsFromBorrowingsClassifiedAsFinancingActivities",HS_CONSOLIDATED!$C:$C,0)),0))+(IFERROR(INDEX(HS_CONSOLIDATED!J:J,MATCH("ProceedsFromIssuingDebenturesNotesBondsEtc",HS_CONSOLIDATED!$C:$C,0)),0))</f>
        <v>-1485500000</v>
      </c>
      <c r="J90" s="128">
        <f>(IFERROR(INDEX(HS_CONSOLIDATED!K:K,MATCH("ProceedsFromBorrowingsClassifiedAsFinancingActivities",HS_CONSOLIDATED!$C:$C,0)),0))+(IFERROR(INDEX(HS_CONSOLIDATED!K:K,MATCH("ProceedsFromIssuingDebenturesNotesBondsEtc",HS_CONSOLIDATED!$C:$C,0)),0))</f>
        <v>30447000000</v>
      </c>
      <c r="K90" s="128">
        <f>(IFERROR(INDEX(HS_CONSOLIDATED!L:L,MATCH("ProceedsFromBorrowingsClassifiedAsFinancingActivities",HS_CONSOLIDATED!$C:$C,0)),0))+(IFERROR(INDEX(HS_CONSOLIDATED!L:L,MATCH("ProceedsFromIssuingDebenturesNotesBondsEtc",HS_CONSOLIDATED!$C:$C,0)),0))</f>
        <v>0</v>
      </c>
      <c r="L90" s="128">
        <f>(IFERROR(INDEX(HS_CONSOLIDATED!M:M,MATCH("ProceedsFromBorrowingsClassifiedAsFinancingActivities",HS_CONSOLIDATED!$C:$C,0)),0))+(IFERROR(INDEX(HS_CONSOLIDATED!M:M,MATCH("ProceedsFromIssuingDebenturesNotesBondsEtc",HS_CONSOLIDATED!$C:$C,0)),0))</f>
        <v>0</v>
      </c>
      <c r="M90" s="135">
        <f t="shared" ref="M90:V90" si="26">MAX((M93-M89),0)</f>
        <v>4.76837158203125E-7</v>
      </c>
      <c r="N90" s="135">
        <f t="shared" si="26"/>
        <v>753216037.63603497</v>
      </c>
      <c r="O90" s="135">
        <f t="shared" si="26"/>
        <v>1003419581.3201804</v>
      </c>
      <c r="P90" s="135">
        <f t="shared" si="26"/>
        <v>1291671367.0878086</v>
      </c>
      <c r="Q90" s="135">
        <f t="shared" si="26"/>
        <v>1626650440.7809219</v>
      </c>
      <c r="R90" s="135">
        <f t="shared" si="26"/>
        <v>2008946441.5374975</v>
      </c>
      <c r="S90" s="135">
        <f t="shared" si="26"/>
        <v>2438288854.4676037</v>
      </c>
      <c r="T90" s="135">
        <f t="shared" si="26"/>
        <v>2913699292.7994976</v>
      </c>
      <c r="U90" s="135">
        <f t="shared" si="26"/>
        <v>3491681774.1282864</v>
      </c>
      <c r="V90" s="135">
        <f t="shared" si="26"/>
        <v>4054066563.9995155</v>
      </c>
    </row>
    <row r="91" spans="1:22">
      <c r="B91" s="92" t="s">
        <v>425</v>
      </c>
      <c r="C91" s="128">
        <f>-((IFERROR(INDEX(HS_CONSOLIDATED!D:D,MATCH("RepaymentsOfBorrowingsClassifiedAsFinancingActivities",HS_CONSOLIDATED!$C:$C,0)),0))+IF(IF('Inputs &amp; Assumptions'!$C$63="",'Inputs &amp; Assumptions'!$C$62,'Inputs &amp; Assumptions'!$C$63)=1,IFERROR(INDEX(HS_CONSOLIDATED!D:D,MATCH("PaymentsOfLeaseLiabilitiesClassifiedAsFinancingActivities",HS_CONSOLIDATED!$C:$C,0)),0),0))</f>
        <v>0</v>
      </c>
      <c r="D91" s="128">
        <f>-((IFERROR(INDEX(HS_CONSOLIDATED!E:E,MATCH("RepaymentsOfBorrowingsClassifiedAsFinancingActivities",HS_CONSOLIDATED!$C:$C,0)),0))+IF(IF('Inputs &amp; Assumptions'!$C$63="",'Inputs &amp; Assumptions'!$C$62,'Inputs &amp; Assumptions'!$C$63)=1,IFERROR(INDEX(HS_CONSOLIDATED!E:E,MATCH("PaymentsOfLeaseLiabilitiesClassifiedAsFinancingActivities",HS_CONSOLIDATED!$C:$C,0)),0),0))</f>
        <v>-6970000000</v>
      </c>
      <c r="E91" s="128">
        <f>-((IFERROR(INDEX(HS_CONSOLIDATED!F:F,MATCH("RepaymentsOfBorrowingsClassifiedAsFinancingActivities",HS_CONSOLIDATED!$C:$C,0)),0))+IF(IF('Inputs &amp; Assumptions'!$C$63="",'Inputs &amp; Assumptions'!$C$62,'Inputs &amp; Assumptions'!$C$63)=1,IFERROR(INDEX(HS_CONSOLIDATED!F:F,MATCH("PaymentsOfLeaseLiabilitiesClassifiedAsFinancingActivities",HS_CONSOLIDATED!$C:$C,0)),0),0))</f>
        <v>-5216100000</v>
      </c>
      <c r="F91" s="128">
        <f>-((IFERROR(INDEX(HS_CONSOLIDATED!G:G,MATCH("RepaymentsOfBorrowingsClassifiedAsFinancingActivities",HS_CONSOLIDATED!$C:$C,0)),0))+IF(IF('Inputs &amp; Assumptions'!$C$63="",'Inputs &amp; Assumptions'!$C$62,'Inputs &amp; Assumptions'!$C$63)=1,IFERROR(INDEX(HS_CONSOLIDATED!G:G,MATCH("PaymentsOfLeaseLiabilitiesClassifiedAsFinancingActivities",HS_CONSOLIDATED!$C:$C,0)),0),0))</f>
        <v>-3035700000</v>
      </c>
      <c r="G91" s="128">
        <f>-((IFERROR(INDEX(HS_CONSOLIDATED!H:H,MATCH("RepaymentsOfBorrowingsClassifiedAsFinancingActivities",HS_CONSOLIDATED!$C:$C,0)),0))+IF(IF('Inputs &amp; Assumptions'!$C$63="",'Inputs &amp; Assumptions'!$C$62,'Inputs &amp; Assumptions'!$C$63)=1,IFERROR(INDEX(HS_CONSOLIDATED!H:H,MATCH("PaymentsOfLeaseLiabilitiesClassifiedAsFinancingActivities",HS_CONSOLIDATED!$C:$C,0)),0),0))</f>
        <v>-41745300000</v>
      </c>
      <c r="H91" s="128">
        <f>-((IFERROR(INDEX(HS_CONSOLIDATED!I:I,MATCH("RepaymentsOfBorrowingsClassifiedAsFinancingActivities",HS_CONSOLIDATED!$C:$C,0)),0))+IF(IF('Inputs &amp; Assumptions'!$C$63="",'Inputs &amp; Assumptions'!$C$62,'Inputs &amp; Assumptions'!$C$63)=1,IFERROR(INDEX(HS_CONSOLIDATED!I:I,MATCH("PaymentsOfLeaseLiabilitiesClassifiedAsFinancingActivities",HS_CONSOLIDATED!$C:$C,0)),0),0))</f>
        <v>-1914200000</v>
      </c>
      <c r="I91" s="128">
        <f>-((IFERROR(INDEX(HS_CONSOLIDATED!J:J,MATCH("RepaymentsOfBorrowingsClassifiedAsFinancingActivities",HS_CONSOLIDATED!$C:$C,0)),0))+IF(IF('Inputs &amp; Assumptions'!$C$63="",'Inputs &amp; Assumptions'!$C$62,'Inputs &amp; Assumptions'!$C$63)=1,IFERROR(INDEX(HS_CONSOLIDATED!J:J,MATCH("PaymentsOfLeaseLiabilitiesClassifiedAsFinancingActivities",HS_CONSOLIDATED!$C:$C,0)),0),0))</f>
        <v>-5748100000</v>
      </c>
      <c r="J91" s="128">
        <f>-((IFERROR(INDEX(HS_CONSOLIDATED!K:K,MATCH("RepaymentsOfBorrowingsClassifiedAsFinancingActivities",HS_CONSOLIDATED!$C:$C,0)),0))+IF(IF('Inputs &amp; Assumptions'!$C$63="",'Inputs &amp; Assumptions'!$C$62,'Inputs &amp; Assumptions'!$C$63)=1,IFERROR(INDEX(HS_CONSOLIDATED!K:K,MATCH("PaymentsOfLeaseLiabilitiesClassifiedAsFinancingActivities",HS_CONSOLIDATED!$C:$C,0)),0),0))</f>
        <v>-43835300000</v>
      </c>
      <c r="K91" s="128">
        <f>-((IFERROR(INDEX(HS_CONSOLIDATED!L:L,MATCH("RepaymentsOfBorrowingsClassifiedAsFinancingActivities",HS_CONSOLIDATED!$C:$C,0)),0))+IF(IF('Inputs &amp; Assumptions'!$C$63="",'Inputs &amp; Assumptions'!$C$62,'Inputs &amp; Assumptions'!$C$63)=1,IFERROR(INDEX(HS_CONSOLIDATED!L:L,MATCH("PaymentsOfLeaseLiabilitiesClassifiedAsFinancingActivities",HS_CONSOLIDATED!$C:$C,0)),0),0))</f>
        <v>-18033600000</v>
      </c>
      <c r="L91" s="128">
        <f>-((IFERROR(INDEX(HS_CONSOLIDATED!M:M,MATCH("RepaymentsOfBorrowingsClassifiedAsFinancingActivities",HS_CONSOLIDATED!$C:$C,0)),0))+IF(IF('Inputs &amp; Assumptions'!$C$63="",'Inputs &amp; Assumptions'!$C$62,'Inputs &amp; Assumptions'!$C$63)=1,IFERROR(INDEX(HS_CONSOLIDATED!M:M,MATCH("PaymentsOfLeaseLiabilitiesClassifiedAsFinancingActivities",HS_CONSOLIDATED!$C:$C,0)),0),0))</f>
        <v>4194600000</v>
      </c>
      <c r="M91" s="135">
        <f t="shared" ref="M91:V91" si="27">MIN((M93-M89),0)</f>
        <v>0</v>
      </c>
      <c r="N91" s="135">
        <f t="shared" si="27"/>
        <v>0</v>
      </c>
      <c r="O91" s="135">
        <f t="shared" si="27"/>
        <v>0</v>
      </c>
      <c r="P91" s="135">
        <f t="shared" si="27"/>
        <v>0</v>
      </c>
      <c r="Q91" s="135">
        <f t="shared" si="27"/>
        <v>0</v>
      </c>
      <c r="R91" s="135">
        <f t="shared" si="27"/>
        <v>0</v>
      </c>
      <c r="S91" s="135">
        <f t="shared" si="27"/>
        <v>0</v>
      </c>
      <c r="T91" s="135">
        <f t="shared" si="27"/>
        <v>0</v>
      </c>
      <c r="U91" s="135">
        <f t="shared" si="27"/>
        <v>0</v>
      </c>
      <c r="V91" s="135">
        <f t="shared" si="27"/>
        <v>0</v>
      </c>
    </row>
    <row r="92" spans="1:22">
      <c r="B92" s="92" t="s">
        <v>426</v>
      </c>
      <c r="C92" s="1" t="s">
        <v>329</v>
      </c>
      <c r="D92" s="135">
        <f>((IFERROR(INDEX(HS_CONSOLIDATED!E:E,MATCH("BorrowingsNoncurrent",HS_CONSOLIDATED!$C:$C,0)),0)+IFERROR(INDEX(HS_CONSOLIDATED!E:E,MATCH("BorrowingsCurrent",HS_CONSOLIDATED!$C:$C,0)),0))+IF(IF('Inputs &amp; Assumptions'!$C$63="",'Inputs &amp; Assumptions'!$C$62,'Inputs &amp; Assumptions'!$C$63)=1,((IFERROR(INDEX(HS_CONSOLIDATED!E:E,MATCH("NoncurrentLeaseLiabilities",HS_CONSOLIDATED!$C:$C,0)),0)+IFERROR(INDEX(HS_CONSOLIDATED!E:E,MATCH("LeaseLiabilitiesNonCurrent",HS_CONSOLIDATED!$C:$C,0)),0))+(IFERROR(INDEX(HS_CONSOLIDATED!E:E,MATCH("CurrentLeaseLiabilities",HS_CONSOLIDATED!$C:$C,0)),0)+IFERROR(INDEX(HS_CONSOLIDATED!E:E,MATCH("LeaseLiabilitiesCurrent",HS_CONSOLIDATED!$C:$C,0)),0))),0))-D89-D90-D91</f>
        <v>71383500000</v>
      </c>
      <c r="E92" s="135">
        <f>((IFERROR(INDEX(HS_CONSOLIDATED!F:F,MATCH("BorrowingsNoncurrent",HS_CONSOLIDATED!$C:$C,0)),0)+IFERROR(INDEX(HS_CONSOLIDATED!F:F,MATCH("BorrowingsCurrent",HS_CONSOLIDATED!$C:$C,0)),0))+IF(IF('Inputs &amp; Assumptions'!$C$63="",'Inputs &amp; Assumptions'!$C$62,'Inputs &amp; Assumptions'!$C$63)=1,((IFERROR(INDEX(HS_CONSOLIDATED!F:F,MATCH("NoncurrentLeaseLiabilities",HS_CONSOLIDATED!$C:$C,0)),0)+IFERROR(INDEX(HS_CONSOLIDATED!F:F,MATCH("LeaseLiabilitiesNonCurrent",HS_CONSOLIDATED!$C:$C,0)),0))+(IFERROR(INDEX(HS_CONSOLIDATED!F:F,MATCH("CurrentLeaseLiabilities",HS_CONSOLIDATED!$C:$C,0)),0)+IFERROR(INDEX(HS_CONSOLIDATED!F:F,MATCH("LeaseLiabilitiesCurrent",HS_CONSOLIDATED!$C:$C,0)),0))),0))-E89-E90-E91</f>
        <v>31476800000</v>
      </c>
      <c r="F92" s="135">
        <f>((IFERROR(INDEX(HS_CONSOLIDATED!G:G,MATCH("BorrowingsNoncurrent",HS_CONSOLIDATED!$C:$C,0)),0)+IFERROR(INDEX(HS_CONSOLIDATED!G:G,MATCH("BorrowingsCurrent",HS_CONSOLIDATED!$C:$C,0)),0))+IF(IF('Inputs &amp; Assumptions'!$C$63="",'Inputs &amp; Assumptions'!$C$62,'Inputs &amp; Assumptions'!$C$63)=1,((IFERROR(INDEX(HS_CONSOLIDATED!G:G,MATCH("NoncurrentLeaseLiabilities",HS_CONSOLIDATED!$C:$C,0)),0)+IFERROR(INDEX(HS_CONSOLIDATED!G:G,MATCH("LeaseLiabilitiesNonCurrent",HS_CONSOLIDATED!$C:$C,0)),0))+(IFERROR(INDEX(HS_CONSOLIDATED!G:G,MATCH("CurrentLeaseLiabilities",HS_CONSOLIDATED!$C:$C,0)),0)+IFERROR(INDEX(HS_CONSOLIDATED!G:G,MATCH("LeaseLiabilitiesCurrent",HS_CONSOLIDATED!$C:$C,0)),0))),0))-F89-F90-F91</f>
        <v>-11854600000</v>
      </c>
      <c r="G92" s="135">
        <f>((IFERROR(INDEX(HS_CONSOLIDATED!H:H,MATCH("BorrowingsNoncurrent",HS_CONSOLIDATED!$C:$C,0)),0)+IFERROR(INDEX(HS_CONSOLIDATED!H:H,MATCH("BorrowingsCurrent",HS_CONSOLIDATED!$C:$C,0)),0))+IF(IF('Inputs &amp; Assumptions'!$C$63="",'Inputs &amp; Assumptions'!$C$62,'Inputs &amp; Assumptions'!$C$63)=1,((IFERROR(INDEX(HS_CONSOLIDATED!H:H,MATCH("NoncurrentLeaseLiabilities",HS_CONSOLIDATED!$C:$C,0)),0)+IFERROR(INDEX(HS_CONSOLIDATED!H:H,MATCH("LeaseLiabilitiesNonCurrent",HS_CONSOLIDATED!$C:$C,0)),0))+(IFERROR(INDEX(HS_CONSOLIDATED!H:H,MATCH("CurrentLeaseLiabilities",HS_CONSOLIDATED!$C:$C,0)),0)+IFERROR(INDEX(HS_CONSOLIDATED!H:H,MATCH("LeaseLiabilitiesCurrent",HS_CONSOLIDATED!$C:$C,0)),0))),0))-G89-G90-G91</f>
        <v>-13510000000</v>
      </c>
      <c r="H92" s="135">
        <f>((IFERROR(INDEX(HS_CONSOLIDATED!I:I,MATCH("BorrowingsNoncurrent",HS_CONSOLIDATED!$C:$C,0)),0)+IFERROR(INDEX(HS_CONSOLIDATED!I:I,MATCH("BorrowingsCurrent",HS_CONSOLIDATED!$C:$C,0)),0))+IF(IF('Inputs &amp; Assumptions'!$C$63="",'Inputs &amp; Assumptions'!$C$62,'Inputs &amp; Assumptions'!$C$63)=1,((IFERROR(INDEX(HS_CONSOLIDATED!I:I,MATCH("NoncurrentLeaseLiabilities",HS_CONSOLIDATED!$C:$C,0)),0)+IFERROR(INDEX(HS_CONSOLIDATED!I:I,MATCH("LeaseLiabilitiesNonCurrent",HS_CONSOLIDATED!$C:$C,0)),0))+(IFERROR(INDEX(HS_CONSOLIDATED!I:I,MATCH("CurrentLeaseLiabilities",HS_CONSOLIDATED!$C:$C,0)),0)+IFERROR(INDEX(HS_CONSOLIDATED!I:I,MATCH("LeaseLiabilitiesCurrent",HS_CONSOLIDATED!$C:$C,0)),0))),0))-H89-H90-H91</f>
        <v>-32231600000</v>
      </c>
      <c r="I92" s="135">
        <f>((IFERROR(INDEX(HS_CONSOLIDATED!J:J,MATCH("BorrowingsNoncurrent",HS_CONSOLIDATED!$C:$C,0)),0)+IFERROR(INDEX(HS_CONSOLIDATED!J:J,MATCH("BorrowingsCurrent",HS_CONSOLIDATED!$C:$C,0)),0))+IF(IF('Inputs &amp; Assumptions'!$C$63="",'Inputs &amp; Assumptions'!$C$62,'Inputs &amp; Assumptions'!$C$63)=1,((IFERROR(INDEX(HS_CONSOLIDATED!J:J,MATCH("NoncurrentLeaseLiabilities",HS_CONSOLIDATED!$C:$C,0)),0)+IFERROR(INDEX(HS_CONSOLIDATED!J:J,MATCH("LeaseLiabilitiesNonCurrent",HS_CONSOLIDATED!$C:$C,0)),0))+(IFERROR(INDEX(HS_CONSOLIDATED!J:J,MATCH("CurrentLeaseLiabilities",HS_CONSOLIDATED!$C:$C,0)),0)+IFERROR(INDEX(HS_CONSOLIDATED!J:J,MATCH("LeaseLiabilitiesCurrent",HS_CONSOLIDATED!$C:$C,0)),0))),0))-I89-I90-I91</f>
        <v>9113800000</v>
      </c>
      <c r="J92" s="135">
        <f>((IFERROR(INDEX(HS_CONSOLIDATED!K:K,MATCH("BorrowingsNoncurrent",HS_CONSOLIDATED!$C:$C,0)),0)+IFERROR(INDEX(HS_CONSOLIDATED!K:K,MATCH("BorrowingsCurrent",HS_CONSOLIDATED!$C:$C,0)),0))+IF(IF('Inputs &amp; Assumptions'!$C$63="",'Inputs &amp; Assumptions'!$C$62,'Inputs &amp; Assumptions'!$C$63)=1,((IFERROR(INDEX(HS_CONSOLIDATED!K:K,MATCH("NoncurrentLeaseLiabilities",HS_CONSOLIDATED!$C:$C,0)),0)+IFERROR(INDEX(HS_CONSOLIDATED!K:K,MATCH("LeaseLiabilitiesNonCurrent",HS_CONSOLIDATED!$C:$C,0)),0))+(IFERROR(INDEX(HS_CONSOLIDATED!K:K,MATCH("CurrentLeaseLiabilities",HS_CONSOLIDATED!$C:$C,0)),0)+IFERROR(INDEX(HS_CONSOLIDATED!K:K,MATCH("LeaseLiabilitiesCurrent",HS_CONSOLIDATED!$C:$C,0)),0))),0))-J89-J90-J91</f>
        <v>-31468500000</v>
      </c>
      <c r="K92" s="135">
        <f>((IFERROR(INDEX(HS_CONSOLIDATED!L:L,MATCH("BorrowingsNoncurrent",HS_CONSOLIDATED!$C:$C,0)),0)+IFERROR(INDEX(HS_CONSOLIDATED!L:L,MATCH("BorrowingsCurrent",HS_CONSOLIDATED!$C:$C,0)),0))+IF(IF('Inputs &amp; Assumptions'!$C$63="",'Inputs &amp; Assumptions'!$C$62,'Inputs &amp; Assumptions'!$C$63)=1,((IFERROR(INDEX(HS_CONSOLIDATED!L:L,MATCH("NoncurrentLeaseLiabilities",HS_CONSOLIDATED!$C:$C,0)),0)+IFERROR(INDEX(HS_CONSOLIDATED!L:L,MATCH("LeaseLiabilitiesNonCurrent",HS_CONSOLIDATED!$C:$C,0)),0))+(IFERROR(INDEX(HS_CONSOLIDATED!L:L,MATCH("CurrentLeaseLiabilities",HS_CONSOLIDATED!$C:$C,0)),0)+IFERROR(INDEX(HS_CONSOLIDATED!L:L,MATCH("LeaseLiabilitiesCurrent",HS_CONSOLIDATED!$C:$C,0)),0))),0))-K89-K90-K91</f>
        <v>84300000</v>
      </c>
      <c r="L92" s="135">
        <f>((IFERROR(INDEX(HS_CONSOLIDATED!M:M,MATCH("BorrowingsNoncurrent",HS_CONSOLIDATED!$C:$C,0)),0)+IFERROR(INDEX(HS_CONSOLIDATED!M:M,MATCH("BorrowingsCurrent",HS_CONSOLIDATED!$C:$C,0)),0))+IF(IF('Inputs &amp; Assumptions'!$C$63="",'Inputs &amp; Assumptions'!$C$62,'Inputs &amp; Assumptions'!$C$63)=1,((IFERROR(INDEX(HS_CONSOLIDATED!M:M,MATCH("NoncurrentLeaseLiabilities",HS_CONSOLIDATED!$C:$C,0)),0)+IFERROR(INDEX(HS_CONSOLIDATED!M:M,MATCH("LeaseLiabilitiesNonCurrent",HS_CONSOLIDATED!$C:$C,0)),0))+(IFERROR(INDEX(HS_CONSOLIDATED!M:M,MATCH("CurrentLeaseLiabilities",HS_CONSOLIDATED!$C:$C,0)),0)+IFERROR(INDEX(HS_CONSOLIDATED!M:M,MATCH("LeaseLiabilitiesCurrent",HS_CONSOLIDATED!$C:$C,0)),0))),0))-L89-L90-L91</f>
        <v>-2460800000</v>
      </c>
      <c r="M92" s="135">
        <v>0</v>
      </c>
      <c r="N92" s="135">
        <v>0</v>
      </c>
      <c r="O92" s="135">
        <v>0</v>
      </c>
      <c r="P92" s="135">
        <v>0</v>
      </c>
      <c r="Q92" s="135">
        <v>0</v>
      </c>
      <c r="R92" s="135">
        <v>0</v>
      </c>
      <c r="S92" s="135">
        <v>0</v>
      </c>
      <c r="T92" s="135">
        <v>0</v>
      </c>
      <c r="U92" s="135">
        <v>0</v>
      </c>
      <c r="V92" s="135">
        <v>0</v>
      </c>
    </row>
    <row r="93" spans="1:22">
      <c r="B93" s="90" t="s">
        <v>427</v>
      </c>
      <c r="C93" s="130">
        <f>((IFERROR(INDEX(HS_CONSOLIDATED!D:D,MATCH("BorrowingsNoncurrent",HS_CONSOLIDATED!$C:$C,0)),0)+IFERROR(INDEX(HS_CONSOLIDATED!D:D,MATCH("BorrowingsCurrent",HS_CONSOLIDATED!$C:$C,0)),0))+IF(IF('Inputs &amp; Assumptions'!$C$63="",'Inputs &amp; Assumptions'!$C$62,'Inputs &amp; Assumptions'!$C$63)=1,((IFERROR(INDEX(HS_CONSOLIDATED!D:D,MATCH("NoncurrentLeaseLiabilities",HS_CONSOLIDATED!$C:$C,0)),0)+IFERROR(INDEX(HS_CONSOLIDATED!D:D,MATCH("LeaseLiabilitiesNonCurrent",HS_CONSOLIDATED!$C:$C,0)),0))+(IFERROR(INDEX(HS_CONSOLIDATED!D:D,MATCH("CurrentLeaseLiabilities",HS_CONSOLIDATED!$C:$C,0)),0)+IFERROR(INDEX(HS_CONSOLIDATED!D:D,MATCH("LeaseLiabilitiesCurrent",HS_CONSOLIDATED!$C:$C,0)),0))),0))</f>
        <v>0</v>
      </c>
      <c r="D93" s="130">
        <f>((IFERROR(INDEX(HS_CONSOLIDATED!E:E,MATCH("BorrowingsNoncurrent",HS_CONSOLIDATED!$C:$C,0)),0)+IFERROR(INDEX(HS_CONSOLIDATED!E:E,MATCH("BorrowingsCurrent",HS_CONSOLIDATED!$C:$C,0)),0))+IF(IF('Inputs &amp; Assumptions'!$C$63="",'Inputs &amp; Assumptions'!$C$62,'Inputs &amp; Assumptions'!$C$63)=1,((IFERROR(INDEX(HS_CONSOLIDATED!E:E,MATCH("NoncurrentLeaseLiabilities",HS_CONSOLIDATED!$C:$C,0)),0)+IFERROR(INDEX(HS_CONSOLIDATED!E:E,MATCH("LeaseLiabilitiesNonCurrent",HS_CONSOLIDATED!$C:$C,0)),0))+(IFERROR(INDEX(HS_CONSOLIDATED!E:E,MATCH("CurrentLeaseLiabilities",HS_CONSOLIDATED!$C:$C,0)),0)+IFERROR(INDEX(HS_CONSOLIDATED!E:E,MATCH("LeaseLiabilitiesCurrent",HS_CONSOLIDATED!$C:$C,0)),0))),0))</f>
        <v>69173600000</v>
      </c>
      <c r="E93" s="130">
        <f>((IFERROR(INDEX(HS_CONSOLIDATED!F:F,MATCH("BorrowingsNoncurrent",HS_CONSOLIDATED!$C:$C,0)),0)+IFERROR(INDEX(HS_CONSOLIDATED!F:F,MATCH("BorrowingsCurrent",HS_CONSOLIDATED!$C:$C,0)),0))+IF(IF('Inputs &amp; Assumptions'!$C$63="",'Inputs &amp; Assumptions'!$C$62,'Inputs &amp; Assumptions'!$C$63)=1,((IFERROR(INDEX(HS_CONSOLIDATED!F:F,MATCH("NoncurrentLeaseLiabilities",HS_CONSOLIDATED!$C:$C,0)),0)+IFERROR(INDEX(HS_CONSOLIDATED!F:F,MATCH("LeaseLiabilitiesNonCurrent",HS_CONSOLIDATED!$C:$C,0)),0))+(IFERROR(INDEX(HS_CONSOLIDATED!F:F,MATCH("CurrentLeaseLiabilities",HS_CONSOLIDATED!$C:$C,0)),0)+IFERROR(INDEX(HS_CONSOLIDATED!F:F,MATCH("LeaseLiabilitiesCurrent",HS_CONSOLIDATED!$C:$C,0)),0))),0))</f>
        <v>116051600000</v>
      </c>
      <c r="F93" s="130">
        <f>((IFERROR(INDEX(HS_CONSOLIDATED!G:G,MATCH("BorrowingsNoncurrent",HS_CONSOLIDATED!$C:$C,0)),0)+IFERROR(INDEX(HS_CONSOLIDATED!G:G,MATCH("BorrowingsCurrent",HS_CONSOLIDATED!$C:$C,0)),0))+IF(IF('Inputs &amp; Assumptions'!$C$63="",'Inputs &amp; Assumptions'!$C$62,'Inputs &amp; Assumptions'!$C$63)=1,((IFERROR(INDEX(HS_CONSOLIDATED!G:G,MATCH("NoncurrentLeaseLiabilities",HS_CONSOLIDATED!$C:$C,0)),0)+IFERROR(INDEX(HS_CONSOLIDATED!G:G,MATCH("LeaseLiabilitiesNonCurrent",HS_CONSOLIDATED!$C:$C,0)),0))+(IFERROR(INDEX(HS_CONSOLIDATED!G:G,MATCH("CurrentLeaseLiabilities",HS_CONSOLIDATED!$C:$C,0)),0)+IFERROR(INDEX(HS_CONSOLIDATED!G:G,MATCH("LeaseLiabilitiesCurrent",HS_CONSOLIDATED!$C:$C,0)),0))),0))</f>
        <v>96239300000</v>
      </c>
      <c r="G93" s="130">
        <f>((IFERROR(INDEX(HS_CONSOLIDATED!H:H,MATCH("BorrowingsNoncurrent",HS_CONSOLIDATED!$C:$C,0)),0)+IFERROR(INDEX(HS_CONSOLIDATED!H:H,MATCH("BorrowingsCurrent",HS_CONSOLIDATED!$C:$C,0)),0))+IF(IF('Inputs &amp; Assumptions'!$C$63="",'Inputs &amp; Assumptions'!$C$62,'Inputs &amp; Assumptions'!$C$63)=1,((IFERROR(INDEX(HS_CONSOLIDATED!H:H,MATCH("NoncurrentLeaseLiabilities",HS_CONSOLIDATED!$C:$C,0)),0)+IFERROR(INDEX(HS_CONSOLIDATED!H:H,MATCH("LeaseLiabilitiesNonCurrent",HS_CONSOLIDATED!$C:$C,0)),0))+(IFERROR(INDEX(HS_CONSOLIDATED!H:H,MATCH("CurrentLeaseLiabilities",HS_CONSOLIDATED!$C:$C,0)),0)+IFERROR(INDEX(HS_CONSOLIDATED!H:H,MATCH("LeaseLiabilitiesCurrent",HS_CONSOLIDATED!$C:$C,0)),0))),0))</f>
        <v>96856200000</v>
      </c>
      <c r="H93" s="130">
        <f>((IFERROR(INDEX(HS_CONSOLIDATED!I:I,MATCH("BorrowingsNoncurrent",HS_CONSOLIDATED!$C:$C,0)),0)+IFERROR(INDEX(HS_CONSOLIDATED!I:I,MATCH("BorrowingsCurrent",HS_CONSOLIDATED!$C:$C,0)),0))+IF(IF('Inputs &amp; Assumptions'!$C$63="",'Inputs &amp; Assumptions'!$C$62,'Inputs &amp; Assumptions'!$C$63)=1,((IFERROR(INDEX(HS_CONSOLIDATED!I:I,MATCH("NoncurrentLeaseLiabilities",HS_CONSOLIDATED!$C:$C,0)),0)+IFERROR(INDEX(HS_CONSOLIDATED!I:I,MATCH("LeaseLiabilitiesNonCurrent",HS_CONSOLIDATED!$C:$C,0)),0))+(IFERROR(INDEX(HS_CONSOLIDATED!I:I,MATCH("CurrentLeaseLiabilities",HS_CONSOLIDATED!$C:$C,0)),0)+IFERROR(INDEX(HS_CONSOLIDATED!I:I,MATCH("LeaseLiabilitiesCurrent",HS_CONSOLIDATED!$C:$C,0)),0))),0))</f>
        <v>62025400000</v>
      </c>
      <c r="I93" s="130">
        <f>((IFERROR(INDEX(HS_CONSOLIDATED!J:J,MATCH("BorrowingsNoncurrent",HS_CONSOLIDATED!$C:$C,0)),0)+IFERROR(INDEX(HS_CONSOLIDATED!J:J,MATCH("BorrowingsCurrent",HS_CONSOLIDATED!$C:$C,0)),0))+IF(IF('Inputs &amp; Assumptions'!$C$63="",'Inputs &amp; Assumptions'!$C$62,'Inputs &amp; Assumptions'!$C$63)=1,((IFERROR(INDEX(HS_CONSOLIDATED!J:J,MATCH("NoncurrentLeaseLiabilities",HS_CONSOLIDATED!$C:$C,0)),0)+IFERROR(INDEX(HS_CONSOLIDATED!J:J,MATCH("LeaseLiabilitiesNonCurrent",HS_CONSOLIDATED!$C:$C,0)),0))+(IFERROR(INDEX(HS_CONSOLIDATED!J:J,MATCH("CurrentLeaseLiabilities",HS_CONSOLIDATED!$C:$C,0)),0)+IFERROR(INDEX(HS_CONSOLIDATED!J:J,MATCH("LeaseLiabilitiesCurrent",HS_CONSOLIDATED!$C:$C,0)),0))),0))</f>
        <v>63905600000</v>
      </c>
      <c r="J93" s="130">
        <f>((IFERROR(INDEX(HS_CONSOLIDATED!K:K,MATCH("BorrowingsNoncurrent",HS_CONSOLIDATED!$C:$C,0)),0)+IFERROR(INDEX(HS_CONSOLIDATED!K:K,MATCH("BorrowingsCurrent",HS_CONSOLIDATED!$C:$C,0)),0))+IF(IF('Inputs &amp; Assumptions'!$C$63="",'Inputs &amp; Assumptions'!$C$62,'Inputs &amp; Assumptions'!$C$63)=1,((IFERROR(INDEX(HS_CONSOLIDATED!K:K,MATCH("NoncurrentLeaseLiabilities",HS_CONSOLIDATED!$C:$C,0)),0)+IFERROR(INDEX(HS_CONSOLIDATED!K:K,MATCH("LeaseLiabilitiesNonCurrent",HS_CONSOLIDATED!$C:$C,0)),0))+(IFERROR(INDEX(HS_CONSOLIDATED!K:K,MATCH("CurrentLeaseLiabilities",HS_CONSOLIDATED!$C:$C,0)),0)+IFERROR(INDEX(HS_CONSOLIDATED!K:K,MATCH("LeaseLiabilitiesCurrent",HS_CONSOLIDATED!$C:$C,0)),0))),0))</f>
        <v>19048800000</v>
      </c>
      <c r="K93" s="130">
        <f>((IFERROR(INDEX(HS_CONSOLIDATED!L:L,MATCH("BorrowingsNoncurrent",HS_CONSOLIDATED!$C:$C,0)),0)+IFERROR(INDEX(HS_CONSOLIDATED!L:L,MATCH("BorrowingsCurrent",HS_CONSOLIDATED!$C:$C,0)),0))+IF(IF('Inputs &amp; Assumptions'!$C$63="",'Inputs &amp; Assumptions'!$C$62,'Inputs &amp; Assumptions'!$C$63)=1,((IFERROR(INDEX(HS_CONSOLIDATED!L:L,MATCH("NoncurrentLeaseLiabilities",HS_CONSOLIDATED!$C:$C,0)),0)+IFERROR(INDEX(HS_CONSOLIDATED!L:L,MATCH("LeaseLiabilitiesNonCurrent",HS_CONSOLIDATED!$C:$C,0)),0))+(IFERROR(INDEX(HS_CONSOLIDATED!L:L,MATCH("CurrentLeaseLiabilities",HS_CONSOLIDATED!$C:$C,0)),0)+IFERROR(INDEX(HS_CONSOLIDATED!L:L,MATCH("LeaseLiabilitiesCurrent",HS_CONSOLIDATED!$C:$C,0)),0))),0))</f>
        <v>1099500000</v>
      </c>
      <c r="L93" s="130">
        <f>((IFERROR(INDEX(HS_CONSOLIDATED!M:M,MATCH("BorrowingsNoncurrent",HS_CONSOLIDATED!$C:$C,0)),0)+IFERROR(INDEX(HS_CONSOLIDATED!M:M,MATCH("BorrowingsCurrent",HS_CONSOLIDATED!$C:$C,0)),0))+IF(IF('Inputs &amp; Assumptions'!$C$63="",'Inputs &amp; Assumptions'!$C$62,'Inputs &amp; Assumptions'!$C$63)=1,((IFERROR(INDEX(HS_CONSOLIDATED!M:M,MATCH("NoncurrentLeaseLiabilities",HS_CONSOLIDATED!$C:$C,0)),0)+IFERROR(INDEX(HS_CONSOLIDATED!M:M,MATCH("LeaseLiabilitiesNonCurrent",HS_CONSOLIDATED!$C:$C,0)),0))+(IFERROR(INDEX(HS_CONSOLIDATED!M:M,MATCH("CurrentLeaseLiabilities",HS_CONSOLIDATED!$C:$C,0)),0)+IFERROR(INDEX(HS_CONSOLIDATED!M:M,MATCH("LeaseLiabilitiesCurrent",HS_CONSOLIDATED!$C:$C,0)),0))),0))</f>
        <v>2833300000</v>
      </c>
      <c r="M93" s="130">
        <f>(IF('Inputs &amp; Assumptions'!C69="",'Inputs &amp; Assumptions'!C68,'Inputs &amp; Assumptions'!C69))*(L132+L140)/(1-(IF('Inputs &amp; Assumptions'!C69="",'Inputs &amp; Assumptions'!C68,'Inputs &amp; Assumptions'!C69)))</f>
        <v>2833300000.0000005</v>
      </c>
      <c r="N93" s="130">
        <f>(IF('Inputs &amp; Assumptions'!D69="",'Inputs &amp; Assumptions'!D68,'Inputs &amp; Assumptions'!D69))*(M132+M140)/(1-(IF('Inputs &amp; Assumptions'!D69="",'Inputs &amp; Assumptions'!D68,'Inputs &amp; Assumptions'!D69)))</f>
        <v>3586516037.6360354</v>
      </c>
      <c r="O93" s="130">
        <f>(IF('Inputs &amp; Assumptions'!E69="",'Inputs &amp; Assumptions'!E68,'Inputs &amp; Assumptions'!E69))*(N132+N140)/(1-(IF('Inputs &amp; Assumptions'!E69="",'Inputs &amp; Assumptions'!E68,'Inputs &amp; Assumptions'!E69)))</f>
        <v>4589935618.9562159</v>
      </c>
      <c r="P93" s="130">
        <f>(IF('Inputs &amp; Assumptions'!F69="",'Inputs &amp; Assumptions'!F68,'Inputs &amp; Assumptions'!F69))*(O132+O140)/(1-(IF('Inputs &amp; Assumptions'!F69="",'Inputs &amp; Assumptions'!F68,'Inputs &amp; Assumptions'!F69)))</f>
        <v>5881606986.0440245</v>
      </c>
      <c r="Q93" s="130">
        <f>(IF('Inputs &amp; Assumptions'!G69="",'Inputs &amp; Assumptions'!G68,'Inputs &amp; Assumptions'!G69))*(P132+P140)/(1-(IF('Inputs &amp; Assumptions'!G69="",'Inputs &amp; Assumptions'!G68,'Inputs &amp; Assumptions'!G69)))</f>
        <v>7508257426.8249464</v>
      </c>
      <c r="R93" s="130">
        <f>(IF('Inputs &amp; Assumptions'!H69="",'Inputs &amp; Assumptions'!H68,'Inputs &amp; Assumptions'!H69))*(Q132+Q140)/(1-(IF('Inputs &amp; Assumptions'!H69="",'Inputs &amp; Assumptions'!H68,'Inputs &amp; Assumptions'!H69)))</f>
        <v>9517203868.3624439</v>
      </c>
      <c r="S93" s="130">
        <f>(IF('Inputs &amp; Assumptions'!I69="",'Inputs &amp; Assumptions'!I68,'Inputs &amp; Assumptions'!I69))*(R132+R140)/(1-(IF('Inputs &amp; Assumptions'!I69="",'Inputs &amp; Assumptions'!I68,'Inputs &amp; Assumptions'!I69)))</f>
        <v>11955492722.830048</v>
      </c>
      <c r="T93" s="130">
        <f>(IF('Inputs &amp; Assumptions'!J69="",'Inputs &amp; Assumptions'!J68,'Inputs &amp; Assumptions'!J69))*(S132+S140)/(1-(IF('Inputs &amp; Assumptions'!J69="",'Inputs &amp; Assumptions'!J68,'Inputs &amp; Assumptions'!J69)))</f>
        <v>14869192015.629545</v>
      </c>
      <c r="U93" s="130">
        <f>(IF('Inputs &amp; Assumptions'!K69="",'Inputs &amp; Assumptions'!K68,'Inputs &amp; Assumptions'!K69))*(T132+T140)/(1-(IF('Inputs &amp; Assumptions'!K69="",'Inputs &amp; Assumptions'!K68,'Inputs &amp; Assumptions'!K69)))</f>
        <v>18360873789.757832</v>
      </c>
      <c r="V93" s="130">
        <f>(IF('Inputs &amp; Assumptions'!L69="",'Inputs &amp; Assumptions'!L68,'Inputs &amp; Assumptions'!L69))*(U132+U140)/(1-(IF('Inputs &amp; Assumptions'!L69="",'Inputs &amp; Assumptions'!L68,'Inputs &amp; Assumptions'!L69)))</f>
        <v>22414940353.757347</v>
      </c>
    </row>
    <row r="94" spans="1:22">
      <c r="B94" s="99" t="s">
        <v>410</v>
      </c>
      <c r="C94" s="1" t="s">
        <v>329</v>
      </c>
      <c r="D94" s="131">
        <f>D93-((IFERROR(INDEX(HS_CONSOLIDATED!E:E,MATCH("BorrowingsNoncurrent",HS_CONSOLIDATED!$C:$C,0)),0)+IFERROR(INDEX(HS_CONSOLIDATED!E:E,MATCH("BorrowingsCurrent",HS_CONSOLIDATED!$C:$C,0)),0))+IF(IF('Inputs &amp; Assumptions'!$C$63="",'Inputs &amp; Assumptions'!$C$62,'Inputs &amp; Assumptions'!$C$63)=1,((IFERROR(INDEX(HS_CONSOLIDATED!E:E,MATCH("NoncurrentLeaseLiabilities",HS_CONSOLIDATED!$C:$C,0)),0)+IFERROR(INDEX(HS_CONSOLIDATED!E:E,MATCH("LeaseLiabilitiesNonCurrent",HS_CONSOLIDATED!$C:$C,0)),0))+(IFERROR(INDEX(HS_CONSOLIDATED!E:E,MATCH("CurrentLeaseLiabilities",HS_CONSOLIDATED!$C:$C,0)),0)+IFERROR(INDEX(HS_CONSOLIDATED!E:E,MATCH("LeaseLiabilitiesCurrent",HS_CONSOLIDATED!$C:$C,0)),0))),0))</f>
        <v>0</v>
      </c>
      <c r="E94" s="131">
        <f>E93-((IFERROR(INDEX(HS_CONSOLIDATED!F:F,MATCH("BorrowingsNoncurrent",HS_CONSOLIDATED!$C:$C,0)),0)+IFERROR(INDEX(HS_CONSOLIDATED!F:F,MATCH("BorrowingsCurrent",HS_CONSOLIDATED!$C:$C,0)),0))+IF(IF('Inputs &amp; Assumptions'!$C$63="",'Inputs &amp; Assumptions'!$C$62,'Inputs &amp; Assumptions'!$C$63)=1,((IFERROR(INDEX(HS_CONSOLIDATED!F:F,MATCH("NoncurrentLeaseLiabilities",HS_CONSOLIDATED!$C:$C,0)),0)+IFERROR(INDEX(HS_CONSOLIDATED!F:F,MATCH("LeaseLiabilitiesNonCurrent",HS_CONSOLIDATED!$C:$C,0)),0))+(IFERROR(INDEX(HS_CONSOLIDATED!F:F,MATCH("CurrentLeaseLiabilities",HS_CONSOLIDATED!$C:$C,0)),0)+IFERROR(INDEX(HS_CONSOLIDATED!F:F,MATCH("LeaseLiabilitiesCurrent",HS_CONSOLIDATED!$C:$C,0)),0))),0))</f>
        <v>0</v>
      </c>
      <c r="F94" s="131">
        <f>F93-((IFERROR(INDEX(HS_CONSOLIDATED!G:G,MATCH("BorrowingsNoncurrent",HS_CONSOLIDATED!$C:$C,0)),0)+IFERROR(INDEX(HS_CONSOLIDATED!G:G,MATCH("BorrowingsCurrent",HS_CONSOLIDATED!$C:$C,0)),0))+IF(IF('Inputs &amp; Assumptions'!$C$63="",'Inputs &amp; Assumptions'!$C$62,'Inputs &amp; Assumptions'!$C$63)=1,((IFERROR(INDEX(HS_CONSOLIDATED!G:G,MATCH("NoncurrentLeaseLiabilities",HS_CONSOLIDATED!$C:$C,0)),0)+IFERROR(INDEX(HS_CONSOLIDATED!G:G,MATCH("LeaseLiabilitiesNonCurrent",HS_CONSOLIDATED!$C:$C,0)),0))+(IFERROR(INDEX(HS_CONSOLIDATED!G:G,MATCH("CurrentLeaseLiabilities",HS_CONSOLIDATED!$C:$C,0)),0)+IFERROR(INDEX(HS_CONSOLIDATED!G:G,MATCH("LeaseLiabilitiesCurrent",HS_CONSOLIDATED!$C:$C,0)),0))),0))</f>
        <v>0</v>
      </c>
      <c r="G94" s="131">
        <f>G93-((IFERROR(INDEX(HS_CONSOLIDATED!H:H,MATCH("BorrowingsNoncurrent",HS_CONSOLIDATED!$C:$C,0)),0)+IFERROR(INDEX(HS_CONSOLIDATED!H:H,MATCH("BorrowingsCurrent",HS_CONSOLIDATED!$C:$C,0)),0))+IF(IF('Inputs &amp; Assumptions'!$C$63="",'Inputs &amp; Assumptions'!$C$62,'Inputs &amp; Assumptions'!$C$63)=1,((IFERROR(INDEX(HS_CONSOLIDATED!H:H,MATCH("NoncurrentLeaseLiabilities",HS_CONSOLIDATED!$C:$C,0)),0)+IFERROR(INDEX(HS_CONSOLIDATED!H:H,MATCH("LeaseLiabilitiesNonCurrent",HS_CONSOLIDATED!$C:$C,0)),0))+(IFERROR(INDEX(HS_CONSOLIDATED!H:H,MATCH("CurrentLeaseLiabilities",HS_CONSOLIDATED!$C:$C,0)),0)+IFERROR(INDEX(HS_CONSOLIDATED!H:H,MATCH("LeaseLiabilitiesCurrent",HS_CONSOLIDATED!$C:$C,0)),0))),0))</f>
        <v>0</v>
      </c>
      <c r="H94" s="131">
        <f>H93-((IFERROR(INDEX(HS_CONSOLIDATED!I:I,MATCH("BorrowingsNoncurrent",HS_CONSOLIDATED!$C:$C,0)),0)+IFERROR(INDEX(HS_CONSOLIDATED!I:I,MATCH("BorrowingsCurrent",HS_CONSOLIDATED!$C:$C,0)),0))+IF(IF('Inputs &amp; Assumptions'!$C$63="",'Inputs &amp; Assumptions'!$C$62,'Inputs &amp; Assumptions'!$C$63)=1,((IFERROR(INDEX(HS_CONSOLIDATED!I:I,MATCH("NoncurrentLeaseLiabilities",HS_CONSOLIDATED!$C:$C,0)),0)+IFERROR(INDEX(HS_CONSOLIDATED!I:I,MATCH("LeaseLiabilitiesNonCurrent",HS_CONSOLIDATED!$C:$C,0)),0))+(IFERROR(INDEX(HS_CONSOLIDATED!I:I,MATCH("CurrentLeaseLiabilities",HS_CONSOLIDATED!$C:$C,0)),0)+IFERROR(INDEX(HS_CONSOLIDATED!I:I,MATCH("LeaseLiabilitiesCurrent",HS_CONSOLIDATED!$C:$C,0)),0))),0))</f>
        <v>0</v>
      </c>
      <c r="I94" s="131">
        <f>I93-((IFERROR(INDEX(HS_CONSOLIDATED!J:J,MATCH("BorrowingsNoncurrent",HS_CONSOLIDATED!$C:$C,0)),0)+IFERROR(INDEX(HS_CONSOLIDATED!J:J,MATCH("BorrowingsCurrent",HS_CONSOLIDATED!$C:$C,0)),0))+IF(IF('Inputs &amp; Assumptions'!$C$63="",'Inputs &amp; Assumptions'!$C$62,'Inputs &amp; Assumptions'!$C$63)=1,((IFERROR(INDEX(HS_CONSOLIDATED!J:J,MATCH("NoncurrentLeaseLiabilities",HS_CONSOLIDATED!$C:$C,0)),0)+IFERROR(INDEX(HS_CONSOLIDATED!J:J,MATCH("LeaseLiabilitiesNonCurrent",HS_CONSOLIDATED!$C:$C,0)),0))+(IFERROR(INDEX(HS_CONSOLIDATED!J:J,MATCH("CurrentLeaseLiabilities",HS_CONSOLIDATED!$C:$C,0)),0)+IFERROR(INDEX(HS_CONSOLIDATED!J:J,MATCH("LeaseLiabilitiesCurrent",HS_CONSOLIDATED!$C:$C,0)),0))),0))</f>
        <v>0</v>
      </c>
      <c r="J94" s="131">
        <f>J93-((IFERROR(INDEX(HS_CONSOLIDATED!K:K,MATCH("BorrowingsNoncurrent",HS_CONSOLIDATED!$C:$C,0)),0)+IFERROR(INDEX(HS_CONSOLIDATED!K:K,MATCH("BorrowingsCurrent",HS_CONSOLIDATED!$C:$C,0)),0))+IF(IF('Inputs &amp; Assumptions'!$C$63="",'Inputs &amp; Assumptions'!$C$62,'Inputs &amp; Assumptions'!$C$63)=1,((IFERROR(INDEX(HS_CONSOLIDATED!K:K,MATCH("NoncurrentLeaseLiabilities",HS_CONSOLIDATED!$C:$C,0)),0)+IFERROR(INDEX(HS_CONSOLIDATED!K:K,MATCH("LeaseLiabilitiesNonCurrent",HS_CONSOLIDATED!$C:$C,0)),0))+(IFERROR(INDEX(HS_CONSOLIDATED!K:K,MATCH("CurrentLeaseLiabilities",HS_CONSOLIDATED!$C:$C,0)),0)+IFERROR(INDEX(HS_CONSOLIDATED!K:K,MATCH("LeaseLiabilitiesCurrent",HS_CONSOLIDATED!$C:$C,0)),0))),0))</f>
        <v>0</v>
      </c>
      <c r="K94" s="131">
        <f>K93-((IFERROR(INDEX(HS_CONSOLIDATED!L:L,MATCH("BorrowingsNoncurrent",HS_CONSOLIDATED!$C:$C,0)),0)+IFERROR(INDEX(HS_CONSOLIDATED!L:L,MATCH("BorrowingsCurrent",HS_CONSOLIDATED!$C:$C,0)),0))+IF(IF('Inputs &amp; Assumptions'!$C$63="",'Inputs &amp; Assumptions'!$C$62,'Inputs &amp; Assumptions'!$C$63)=1,((IFERROR(INDEX(HS_CONSOLIDATED!L:L,MATCH("NoncurrentLeaseLiabilities",HS_CONSOLIDATED!$C:$C,0)),0)+IFERROR(INDEX(HS_CONSOLIDATED!L:L,MATCH("LeaseLiabilitiesNonCurrent",HS_CONSOLIDATED!$C:$C,0)),0))+(IFERROR(INDEX(HS_CONSOLIDATED!L:L,MATCH("CurrentLeaseLiabilities",HS_CONSOLIDATED!$C:$C,0)),0)+IFERROR(INDEX(HS_CONSOLIDATED!L:L,MATCH("LeaseLiabilitiesCurrent",HS_CONSOLIDATED!$C:$C,0)),0))),0))</f>
        <v>0</v>
      </c>
      <c r="L94" s="131">
        <f>L93-((IFERROR(INDEX(HS_CONSOLIDATED!M:M,MATCH("BorrowingsNoncurrent",HS_CONSOLIDATED!$C:$C,0)),0)+IFERROR(INDEX(HS_CONSOLIDATED!M:M,MATCH("BorrowingsCurrent",HS_CONSOLIDATED!$C:$C,0)),0))+IF(IF('Inputs &amp; Assumptions'!$C$63="",'Inputs &amp; Assumptions'!$C$62,'Inputs &amp; Assumptions'!$C$63)=1,((IFERROR(INDEX(HS_CONSOLIDATED!M:M,MATCH("NoncurrentLeaseLiabilities",HS_CONSOLIDATED!$C:$C,0)),0)+IFERROR(INDEX(HS_CONSOLIDATED!M:M,MATCH("LeaseLiabilitiesNonCurrent",HS_CONSOLIDATED!$C:$C,0)),0))+(IFERROR(INDEX(HS_CONSOLIDATED!M:M,MATCH("CurrentLeaseLiabilities",HS_CONSOLIDATED!$C:$C,0)),0)+IFERROR(INDEX(HS_CONSOLIDATED!M:M,MATCH("LeaseLiabilitiesCurrent",HS_CONSOLIDATED!$C:$C,0)),0))),0))</f>
        <v>0</v>
      </c>
    </row>
    <row r="96" spans="1:22">
      <c r="B96" s="1" t="s">
        <v>428</v>
      </c>
      <c r="C96" s="132">
        <f>AVERAGE(C93,C93)</f>
        <v>0</v>
      </c>
      <c r="D96" s="132">
        <f t="shared" ref="D96:V96" si="28">AVERAGE(D89,D93)</f>
        <v>34586800000</v>
      </c>
      <c r="E96" s="132">
        <f t="shared" si="28"/>
        <v>92612600000</v>
      </c>
      <c r="F96" s="132">
        <f t="shared" si="28"/>
        <v>106145450000</v>
      </c>
      <c r="G96" s="132">
        <f t="shared" si="28"/>
        <v>96547750000</v>
      </c>
      <c r="H96" s="132">
        <f t="shared" si="28"/>
        <v>79440800000</v>
      </c>
      <c r="I96" s="132">
        <f t="shared" si="28"/>
        <v>62965500000</v>
      </c>
      <c r="J96" s="132">
        <f t="shared" si="28"/>
        <v>41477200000</v>
      </c>
      <c r="K96" s="132">
        <f t="shared" si="28"/>
        <v>10074150000</v>
      </c>
      <c r="L96" s="132">
        <f t="shared" si="28"/>
        <v>1966400000</v>
      </c>
      <c r="M96" s="132">
        <f t="shared" si="28"/>
        <v>2833300000</v>
      </c>
      <c r="N96" s="132">
        <f t="shared" si="28"/>
        <v>3209908018.818018</v>
      </c>
      <c r="O96" s="132">
        <f t="shared" si="28"/>
        <v>4088225828.2961254</v>
      </c>
      <c r="P96" s="132">
        <f t="shared" si="28"/>
        <v>5235771302.5001202</v>
      </c>
      <c r="Q96" s="132">
        <f t="shared" si="28"/>
        <v>6694932206.4344854</v>
      </c>
      <c r="R96" s="132">
        <f t="shared" si="28"/>
        <v>8512730647.5936947</v>
      </c>
      <c r="S96" s="132">
        <f t="shared" si="28"/>
        <v>10736348295.596245</v>
      </c>
      <c r="T96" s="132">
        <f t="shared" si="28"/>
        <v>13412342369.229797</v>
      </c>
      <c r="U96" s="132">
        <f t="shared" si="28"/>
        <v>16615032902.693687</v>
      </c>
      <c r="V96" s="132">
        <f t="shared" si="28"/>
        <v>20387907071.757591</v>
      </c>
    </row>
    <row r="97" spans="1:22">
      <c r="B97" s="1" t="s">
        <v>429</v>
      </c>
      <c r="C97" s="134">
        <f>IFERROR((IF(AND(IF('Inputs &amp; Assumptions'!$C$63="",'Inputs &amp; Assumptions'!$C$62,'Inputs &amp; Assumptions'!$C$63)=1,((IFERROR(INDEX(HS_CONSOLIDATED!D:D,MATCH("NoncurrentLeaseLiabilities",HS_CONSOLIDATED!$C:$C,0)),0)+IFERROR(INDEX(HS_CONSOLIDATED!D:D,MATCH("LeaseLiabilitiesNonCurrent",HS_CONSOLIDATED!$C:$C,0)),0))+(IFERROR(INDEX(HS_CONSOLIDATED!D:D,MATCH("CurrentLeaseLiabilities",HS_CONSOLIDATED!$C:$C,0)),0)+IFERROR(INDEX(HS_CONSOLIDATED!D:D,MATCH("LeaseLiabilitiesCurrent",HS_CONSOLIDATED!$C:$C,0)),0)))&gt;0),IFERROR(INDEX(HS_CONSOLIDATED!D:D,MATCH("InterestExpense",HS_CONSOLIDATED!$C:$C,0)),0),(IFERROR(INDEX(HS_CONSOLIDATED!D:D,MATCH("InterestExpense",HS_CONSOLIDATED!$C:$C,0)),0))-(IFERROR(INDEX(HS_CONSOLIDATED!D:D,MATCH("InterestExpenseOnLeaseLiabilities",HS_CONSOLIDATED!$C:$C,0)),0))))/C96,0)</f>
        <v>0</v>
      </c>
      <c r="D97" s="134">
        <f>IFERROR((IF(AND(IF('Inputs &amp; Assumptions'!$C$63="",'Inputs &amp; Assumptions'!$C$62,'Inputs &amp; Assumptions'!$C$63)=1,((IFERROR(INDEX(HS_CONSOLIDATED!E:E,MATCH("NoncurrentLeaseLiabilities",HS_CONSOLIDATED!$C:$C,0)),0)+IFERROR(INDEX(HS_CONSOLIDATED!E:E,MATCH("LeaseLiabilitiesNonCurrent",HS_CONSOLIDATED!$C:$C,0)),0))+(IFERROR(INDEX(HS_CONSOLIDATED!E:E,MATCH("CurrentLeaseLiabilities",HS_CONSOLIDATED!$C:$C,0)),0)+IFERROR(INDEX(HS_CONSOLIDATED!E:E,MATCH("LeaseLiabilitiesCurrent",HS_CONSOLIDATED!$C:$C,0)),0)))&gt;0),IFERROR(INDEX(HS_CONSOLIDATED!E:E,MATCH("InterestExpense",HS_CONSOLIDATED!$C:$C,0)),0),(IFERROR(INDEX(HS_CONSOLIDATED!E:E,MATCH("InterestExpense",HS_CONSOLIDATED!$C:$C,0)),0))-(IFERROR(INDEX(HS_CONSOLIDATED!E:E,MATCH("InterestExpenseOnLeaseLiabilities",HS_CONSOLIDATED!$C:$C,0)),0))))/D96,0)</f>
        <v>0.31992262944244626</v>
      </c>
      <c r="E97" s="134">
        <f>IFERROR((IF(AND(IF('Inputs &amp; Assumptions'!$C$63="",'Inputs &amp; Assumptions'!$C$62,'Inputs &amp; Assumptions'!$C$63)=1,((IFERROR(INDEX(HS_CONSOLIDATED!F:F,MATCH("NoncurrentLeaseLiabilities",HS_CONSOLIDATED!$C:$C,0)),0)+IFERROR(INDEX(HS_CONSOLIDATED!F:F,MATCH("LeaseLiabilitiesNonCurrent",HS_CONSOLIDATED!$C:$C,0)),0))+(IFERROR(INDEX(HS_CONSOLIDATED!F:F,MATCH("CurrentLeaseLiabilities",HS_CONSOLIDATED!$C:$C,0)),0)+IFERROR(INDEX(HS_CONSOLIDATED!F:F,MATCH("LeaseLiabilitiesCurrent",HS_CONSOLIDATED!$C:$C,0)),0)))&gt;0),IFERROR(INDEX(HS_CONSOLIDATED!F:F,MATCH("InterestExpense",HS_CONSOLIDATED!$C:$C,0)),0),(IFERROR(INDEX(HS_CONSOLIDATED!F:F,MATCH("InterestExpense",HS_CONSOLIDATED!$C:$C,0)),0))-(IFERROR(INDEX(HS_CONSOLIDATED!F:F,MATCH("InterestExpenseOnLeaseLiabilities",HS_CONSOLIDATED!$C:$C,0)),0))))/E96,0)</f>
        <v>0.11937792481800533</v>
      </c>
      <c r="F97" s="134">
        <f>IFERROR((IF(AND(IF('Inputs &amp; Assumptions'!$C$63="",'Inputs &amp; Assumptions'!$C$62,'Inputs &amp; Assumptions'!$C$63)=1,((IFERROR(INDEX(HS_CONSOLIDATED!G:G,MATCH("NoncurrentLeaseLiabilities",HS_CONSOLIDATED!$C:$C,0)),0)+IFERROR(INDEX(HS_CONSOLIDATED!G:G,MATCH("LeaseLiabilitiesNonCurrent",HS_CONSOLIDATED!$C:$C,0)),0))+(IFERROR(INDEX(HS_CONSOLIDATED!G:G,MATCH("CurrentLeaseLiabilities",HS_CONSOLIDATED!$C:$C,0)),0)+IFERROR(INDEX(HS_CONSOLIDATED!G:G,MATCH("LeaseLiabilitiesCurrent",HS_CONSOLIDATED!$C:$C,0)),0)))&gt;0),IFERROR(INDEX(HS_CONSOLIDATED!G:G,MATCH("InterestExpense",HS_CONSOLIDATED!$C:$C,0)),0),(IFERROR(INDEX(HS_CONSOLIDATED!G:G,MATCH("InterestExpense",HS_CONSOLIDATED!$C:$C,0)),0))-(IFERROR(INDEX(HS_CONSOLIDATED!G:G,MATCH("InterestExpenseOnLeaseLiabilities",HS_CONSOLIDATED!$C:$C,0)),0))))/F96,0)</f>
        <v>0.11107211849400987</v>
      </c>
      <c r="G97" s="134">
        <f>IFERROR((IF(AND(IF('Inputs &amp; Assumptions'!$C$63="",'Inputs &amp; Assumptions'!$C$62,'Inputs &amp; Assumptions'!$C$63)=1,((IFERROR(INDEX(HS_CONSOLIDATED!H:H,MATCH("NoncurrentLeaseLiabilities",HS_CONSOLIDATED!$C:$C,0)),0)+IFERROR(INDEX(HS_CONSOLIDATED!H:H,MATCH("LeaseLiabilitiesNonCurrent",HS_CONSOLIDATED!$C:$C,0)),0))+(IFERROR(INDEX(HS_CONSOLIDATED!H:H,MATCH("CurrentLeaseLiabilities",HS_CONSOLIDATED!$C:$C,0)),0)+IFERROR(INDEX(HS_CONSOLIDATED!H:H,MATCH("LeaseLiabilitiesCurrent",HS_CONSOLIDATED!$C:$C,0)),0)))&gt;0),IFERROR(INDEX(HS_CONSOLIDATED!H:H,MATCH("InterestExpense",HS_CONSOLIDATED!$C:$C,0)),0),(IFERROR(INDEX(HS_CONSOLIDATED!H:H,MATCH("InterestExpense",HS_CONSOLIDATED!$C:$C,0)),0))-(IFERROR(INDEX(HS_CONSOLIDATED!H:H,MATCH("InterestExpenseOnLeaseLiabilities",HS_CONSOLIDATED!$C:$C,0)),0))))/G96,0)</f>
        <v>0.13362610728888039</v>
      </c>
      <c r="H97" s="134">
        <f>IFERROR((IF(AND(IF('Inputs &amp; Assumptions'!$C$63="",'Inputs &amp; Assumptions'!$C$62,'Inputs &amp; Assumptions'!$C$63)=1,((IFERROR(INDEX(HS_CONSOLIDATED!I:I,MATCH("NoncurrentLeaseLiabilities",HS_CONSOLIDATED!$C:$C,0)),0)+IFERROR(INDEX(HS_CONSOLIDATED!I:I,MATCH("LeaseLiabilitiesNonCurrent",HS_CONSOLIDATED!$C:$C,0)),0))+(IFERROR(INDEX(HS_CONSOLIDATED!I:I,MATCH("CurrentLeaseLiabilities",HS_CONSOLIDATED!$C:$C,0)),0)+IFERROR(INDEX(HS_CONSOLIDATED!I:I,MATCH("LeaseLiabilitiesCurrent",HS_CONSOLIDATED!$C:$C,0)),0)))&gt;0),IFERROR(INDEX(HS_CONSOLIDATED!I:I,MATCH("InterestExpense",HS_CONSOLIDATED!$C:$C,0)),0),(IFERROR(INDEX(HS_CONSOLIDATED!I:I,MATCH("InterestExpense",HS_CONSOLIDATED!$C:$C,0)),0))-(IFERROR(INDEX(HS_CONSOLIDATED!I:I,MATCH("InterestExpenseOnLeaseLiabilities",HS_CONSOLIDATED!$C:$C,0)),0))))/H96,0)</f>
        <v>0.12051364034601868</v>
      </c>
      <c r="I97" s="134">
        <f>IFERROR((IF(AND(IF('Inputs &amp; Assumptions'!$C$63="",'Inputs &amp; Assumptions'!$C$62,'Inputs &amp; Assumptions'!$C$63)=1,((IFERROR(INDEX(HS_CONSOLIDATED!J:J,MATCH("NoncurrentLeaseLiabilities",HS_CONSOLIDATED!$C:$C,0)),0)+IFERROR(INDEX(HS_CONSOLIDATED!J:J,MATCH("LeaseLiabilitiesNonCurrent",HS_CONSOLIDATED!$C:$C,0)),0))+(IFERROR(INDEX(HS_CONSOLIDATED!J:J,MATCH("CurrentLeaseLiabilities",HS_CONSOLIDATED!$C:$C,0)),0)+IFERROR(INDEX(HS_CONSOLIDATED!J:J,MATCH("LeaseLiabilitiesCurrent",HS_CONSOLIDATED!$C:$C,0)),0)))&gt;0),IFERROR(INDEX(HS_CONSOLIDATED!J:J,MATCH("InterestExpense",HS_CONSOLIDATED!$C:$C,0)),0),(IFERROR(INDEX(HS_CONSOLIDATED!J:J,MATCH("InterestExpense",HS_CONSOLIDATED!$C:$C,0)),0))-(IFERROR(INDEX(HS_CONSOLIDATED!J:J,MATCH("InterestExpenseOnLeaseLiabilities",HS_CONSOLIDATED!$C:$C,0)),0))))/I96,0)</f>
        <v>0.11158015103509064</v>
      </c>
      <c r="J97" s="134">
        <f>IFERROR((IF(AND(IF('Inputs &amp; Assumptions'!$C$63="",'Inputs &amp; Assumptions'!$C$62,'Inputs &amp; Assumptions'!$C$63)=1,((IFERROR(INDEX(HS_CONSOLIDATED!K:K,MATCH("NoncurrentLeaseLiabilities",HS_CONSOLIDATED!$C:$C,0)),0)+IFERROR(INDEX(HS_CONSOLIDATED!K:K,MATCH("LeaseLiabilitiesNonCurrent",HS_CONSOLIDATED!$C:$C,0)),0))+(IFERROR(INDEX(HS_CONSOLIDATED!K:K,MATCH("CurrentLeaseLiabilities",HS_CONSOLIDATED!$C:$C,0)),0)+IFERROR(INDEX(HS_CONSOLIDATED!K:K,MATCH("LeaseLiabilitiesCurrent",HS_CONSOLIDATED!$C:$C,0)),0)))&gt;0),IFERROR(INDEX(HS_CONSOLIDATED!K:K,MATCH("InterestExpense",HS_CONSOLIDATED!$C:$C,0)),0),(IFERROR(INDEX(HS_CONSOLIDATED!K:K,MATCH("InterestExpense",HS_CONSOLIDATED!$C:$C,0)),0))-(IFERROR(INDEX(HS_CONSOLIDATED!K:K,MATCH("InterestExpenseOnLeaseLiabilities",HS_CONSOLIDATED!$C:$C,0)),0))))/J96,0)</f>
        <v>9.2332655049038995E-2</v>
      </c>
      <c r="K97" s="134">
        <f>IFERROR((IF(AND(IF('Inputs &amp; Assumptions'!$C$63="",'Inputs &amp; Assumptions'!$C$62,'Inputs &amp; Assumptions'!$C$63)=1,((IFERROR(INDEX(HS_CONSOLIDATED!L:L,MATCH("NoncurrentLeaseLiabilities",HS_CONSOLIDATED!$C:$C,0)),0)+IFERROR(INDEX(HS_CONSOLIDATED!L:L,MATCH("LeaseLiabilitiesNonCurrent",HS_CONSOLIDATED!$C:$C,0)),0))+(IFERROR(INDEX(HS_CONSOLIDATED!L:L,MATCH("CurrentLeaseLiabilities",HS_CONSOLIDATED!$C:$C,0)),0)+IFERROR(INDEX(HS_CONSOLIDATED!L:L,MATCH("LeaseLiabilitiesCurrent",HS_CONSOLIDATED!$C:$C,0)),0)))&gt;0),IFERROR(INDEX(HS_CONSOLIDATED!L:L,MATCH("InterestExpense",HS_CONSOLIDATED!$C:$C,0)),0),(IFERROR(INDEX(HS_CONSOLIDATED!L:L,MATCH("InterestExpense",HS_CONSOLIDATED!$C:$C,0)),0))-(IFERROR(INDEX(HS_CONSOLIDATED!L:L,MATCH("InterestExpenseOnLeaseLiabilities",HS_CONSOLIDATED!$C:$C,0)),0))))/K96,0)</f>
        <v>0.10487237136631875</v>
      </c>
      <c r="L97" s="134">
        <f>IFERROR((IF(AND(IF('Inputs &amp; Assumptions'!$C$63="",'Inputs &amp; Assumptions'!$C$62,'Inputs &amp; Assumptions'!$C$63)=1,((IFERROR(INDEX(HS_CONSOLIDATED!M:M,MATCH("NoncurrentLeaseLiabilities",HS_CONSOLIDATED!$C:$C,0)),0)+IFERROR(INDEX(HS_CONSOLIDATED!M:M,MATCH("LeaseLiabilitiesNonCurrent",HS_CONSOLIDATED!$C:$C,0)),0))+(IFERROR(INDEX(HS_CONSOLIDATED!M:M,MATCH("CurrentLeaseLiabilities",HS_CONSOLIDATED!$C:$C,0)),0)+IFERROR(INDEX(HS_CONSOLIDATED!M:M,MATCH("LeaseLiabilitiesCurrent",HS_CONSOLIDATED!$C:$C,0)),0)))&gt;0),IFERROR(INDEX(HS_CONSOLIDATED!M:M,MATCH("InterestExpense",HS_CONSOLIDATED!$C:$C,0)),0),(IFERROR(INDEX(HS_CONSOLIDATED!M:M,MATCH("InterestExpense",HS_CONSOLIDATED!$C:$C,0)),0))-(IFERROR(INDEX(HS_CONSOLIDATED!M:M,MATCH("InterestExpenseOnLeaseLiabilities",HS_CONSOLIDATED!$C:$C,0)),0))))/L96,0)</f>
        <v>0.53742880390561432</v>
      </c>
    </row>
    <row r="98" spans="1:22">
      <c r="B98" s="90" t="s">
        <v>430</v>
      </c>
      <c r="C98" s="135">
        <f t="shared" ref="C98:L98" si="29">C96*C97</f>
        <v>0</v>
      </c>
      <c r="D98" s="135">
        <f t="shared" si="29"/>
        <v>11065100000</v>
      </c>
      <c r="E98" s="135">
        <f t="shared" si="29"/>
        <v>11055900000</v>
      </c>
      <c r="F98" s="135">
        <f t="shared" si="29"/>
        <v>11789800000</v>
      </c>
      <c r="G98" s="135">
        <f t="shared" si="29"/>
        <v>12901300000.000002</v>
      </c>
      <c r="H98" s="135">
        <f t="shared" si="29"/>
        <v>9573700000</v>
      </c>
      <c r="I98" s="135">
        <f t="shared" si="29"/>
        <v>7025700000</v>
      </c>
      <c r="J98" s="135">
        <f t="shared" si="29"/>
        <v>3829700000</v>
      </c>
      <c r="K98" s="135">
        <f t="shared" si="29"/>
        <v>1056500000</v>
      </c>
      <c r="L98" s="135">
        <f t="shared" si="29"/>
        <v>1056800000</v>
      </c>
      <c r="M98" s="135">
        <f>M96*(IF('Inputs &amp; Assumptions'!C66="",'Inputs &amp; Assumptions'!C65,'Inputs &amp; Assumptions'!C66))</f>
        <v>314630228.28874534</v>
      </c>
      <c r="N98" s="135">
        <f>N96*(IF('Inputs &amp; Assumptions'!D66="",'Inputs &amp; Assumptions'!D65,'Inputs &amp; Assumptions'!D66))</f>
        <v>356451520.39903551</v>
      </c>
      <c r="O98" s="135">
        <f>O96*(IF('Inputs &amp; Assumptions'!E66="",'Inputs &amp; Assumptions'!E65,'Inputs &amp; Assumptions'!E66))</f>
        <v>453986314.77526379</v>
      </c>
      <c r="P98" s="135">
        <f>P96*(IF('Inputs &amp; Assumptions'!F66="",'Inputs &amp; Assumptions'!F65,'Inputs &amp; Assumptions'!F66))</f>
        <v>581418106.15652215</v>
      </c>
      <c r="Q98" s="135">
        <f>Q96*(IF('Inputs &amp; Assumptions'!G66="",'Inputs &amp; Assumptions'!G65,'Inputs &amp; Assumptions'!G66))</f>
        <v>743453940.10099733</v>
      </c>
      <c r="R98" s="135">
        <f>R96*(IF('Inputs &amp; Assumptions'!H66="",'Inputs &amp; Assumptions'!H65,'Inputs &amp; Assumptions'!H66))</f>
        <v>945315493.24568629</v>
      </c>
      <c r="S98" s="135">
        <f>S96*(IF('Inputs &amp; Assumptions'!I66="",'Inputs &amp; Assumptions'!I65,'Inputs &amp; Assumptions'!I66))</f>
        <v>1192242161.1657531</v>
      </c>
      <c r="T98" s="135">
        <f>T96*(IF('Inputs &amp; Assumptions'!J66="",'Inputs &amp; Assumptions'!J65,'Inputs &amp; Assumptions'!J66))</f>
        <v>1489403995.8767455</v>
      </c>
      <c r="U98" s="135">
        <f>U96*(IF('Inputs &amp; Assumptions'!K66="",'Inputs &amp; Assumptions'!K65,'Inputs &amp; Assumptions'!K66))</f>
        <v>1845054034.2355311</v>
      </c>
      <c r="V98" s="135">
        <f>V96*(IF('Inputs &amp; Assumptions'!L66="",'Inputs &amp; Assumptions'!L65,'Inputs &amp; Assumptions'!L66))</f>
        <v>2264021408.3636808</v>
      </c>
    </row>
    <row r="100" spans="1:22" ht="40" customHeight="1">
      <c r="B100" s="133" t="str">
        <f>IF(AND(IF('Inputs &amp; Assumptions'!$C$63="",'Inputs &amp; Assumptions'!$C$62,'Inputs &amp; Assumptions'!$C$63)=1,((IFERROR(INDEX(HS_CONSOLIDATED!M:M,MATCH("NoncurrentLeaseLiabilities",HS_CONSOLIDATED!$C:$C,0)),0)+IFERROR(INDEX(HS_CONSOLIDATED!M:M,MATCH("LeaseLiabilitiesNonCurrent",HS_CONSOLIDATED!$C:$C,0)),0)+IFERROR(INDEX(HS_CONSOLIDATED!M:M,MATCH("CurrentLeaseLiabilities",HS_CONSOLIDATED!$C:$C,0)),0)+IFERROR(INDEX(HS_CONSOLIDATED!M:M,MATCH("LeaseLiabilitiesCurrent",HS_CONSOLIDATED!$C:$C,0)),0)))&lt;=0),_xlfn._LONGTEXT("⚠ Include Lease Liabilities as Quasi-Debt is ON, but this company's filing does not separately tag a lease liability balance (only lease interest/payments) -- Total Debt still excludes leases, and the interest treatment has fallen back to excluding lease ","interest too, to avoid mismatching a bigger interest numerator against an unchanged debt base."),"")</f>
        <v/>
      </c>
    </row>
    <row r="103" spans="1:22" ht="18.5">
      <c r="A103" t="s">
        <v>27</v>
      </c>
      <c r="B103" s="127" t="s">
        <v>431</v>
      </c>
    </row>
    <row r="106" spans="1:22">
      <c r="B106" s="92" t="s">
        <v>432</v>
      </c>
      <c r="C106" s="128">
        <f>IFERROR(INDEX(HS_CONSOLIDATED!D:D,MATCH("ProfitBeforeTax",HS_CONSOLIDATED!$C:$C,0)),0)</f>
        <v>0</v>
      </c>
      <c r="D106" s="128">
        <f>IFERROR(INDEX(HS_CONSOLIDATED!E:E,MATCH("ProfitBeforeTax",HS_CONSOLIDATED!$C:$C,0)),0)</f>
        <v>9115900000</v>
      </c>
      <c r="E106" s="128">
        <f>IFERROR(INDEX(HS_CONSOLIDATED!F:F,MATCH("ProfitBeforeTax",HS_CONSOLIDATED!$C:$C,0)),0)</f>
        <v>-3907400000</v>
      </c>
      <c r="F106" s="128">
        <f>IFERROR(INDEX(HS_CONSOLIDATED!G:G,MATCH("ProfitBeforeTax",HS_CONSOLIDATED!$C:$C,0)),0)</f>
        <v>-15429900000</v>
      </c>
      <c r="G106" s="128">
        <f>IFERROR(INDEX(HS_CONSOLIDATED!H:H,MATCH("ProfitBeforeTax",HS_CONSOLIDATED!$C:$C,0)),0)</f>
        <v>-26839500000</v>
      </c>
      <c r="H106" s="128">
        <f>IFERROR(INDEX(HS_CONSOLIDATED!I:I,MATCH("ProfitBeforeTax",HS_CONSOLIDATED!$C:$C,0)),0)</f>
        <v>1049700000</v>
      </c>
      <c r="I106" s="128">
        <f>IFERROR(INDEX(HS_CONSOLIDATED!J:J,MATCH("ProfitBeforeTax",HS_CONSOLIDATED!$C:$C,0)),0)</f>
        <v>4000000</v>
      </c>
      <c r="J106" s="128">
        <f>IFERROR(INDEX(HS_CONSOLIDATED!K:K,MATCH("ProfitBeforeTax",HS_CONSOLIDATED!$C:$C,0)),0)</f>
        <v>28917100000</v>
      </c>
      <c r="K106" s="128">
        <f>IFERROR(INDEX(HS_CONSOLIDATED!L:L,MATCH("ProfitBeforeTax",HS_CONSOLIDATED!$C:$C,0)),0)</f>
        <v>6594900000</v>
      </c>
      <c r="L106" s="128">
        <f>IFERROR(INDEX(HS_CONSOLIDATED!M:M,MATCH("ProfitBeforeTax",HS_CONSOLIDATED!$C:$C,0)),0)</f>
        <v>14466300000</v>
      </c>
      <c r="M106" s="129">
        <f>'P&amp;L Schedule'!M19</f>
        <v>21846741456.726837</v>
      </c>
      <c r="N106" s="129">
        <f>'P&amp;L Schedule'!N19</f>
        <v>28896892963.068905</v>
      </c>
      <c r="O106" s="129">
        <f>'P&amp;L Schedule'!O19</f>
        <v>37198087353.536713</v>
      </c>
      <c r="P106" s="129">
        <f>'P&amp;L Schedule'!P19</f>
        <v>46844953547.479462</v>
      </c>
      <c r="Q106" s="129">
        <f>'P&amp;L Schedule'!Q19</f>
        <v>57854472217.164589</v>
      </c>
      <c r="R106" s="129">
        <f>'P&amp;L Schedule'!R19</f>
        <v>70218852962.678528</v>
      </c>
      <c r="S106" s="129">
        <f>'P&amp;L Schedule'!S19</f>
        <v>83909919796.283493</v>
      </c>
      <c r="T106" s="129">
        <f>'P&amp;L Schedule'!T19</f>
        <v>100554898834.37697</v>
      </c>
      <c r="U106" s="129">
        <f>'P&amp;L Schedule'!U19</f>
        <v>116750689089.52191</v>
      </c>
      <c r="V106" s="129">
        <f>'P&amp;L Schedule'!V19</f>
        <v>134107126352.62082</v>
      </c>
    </row>
    <row r="107" spans="1:22">
      <c r="B107" s="90" t="s">
        <v>433</v>
      </c>
      <c r="C107" s="136">
        <f>IFERROR(INDEX(HS_CONSOLIDATED!D:D,MATCH("IncomeTaxExpenseContinuingOperations",HS_CONSOLIDATED!$C:$C,0)),0)</f>
        <v>0</v>
      </c>
      <c r="D107" s="136">
        <f>IFERROR(INDEX(HS_CONSOLIDATED!E:E,MATCH("IncomeTaxExpenseContinuingOperations",HS_CONSOLIDATED!$C:$C,0)),0)</f>
        <v>117000000</v>
      </c>
      <c r="E107" s="136">
        <f>IFERROR(INDEX(HS_CONSOLIDATED!F:F,MATCH("IncomeTaxExpenseContinuingOperations",HS_CONSOLIDATED!$C:$C,0)),0)</f>
        <v>-15600000</v>
      </c>
      <c r="F107" s="136">
        <f>IFERROR(INDEX(HS_CONSOLIDATED!G:G,MATCH("IncomeTaxExpenseContinuingOperations",HS_CONSOLIDATED!$C:$C,0)),0)</f>
        <v>-119000000</v>
      </c>
      <c r="G107" s="136">
        <f>IFERROR(INDEX(HS_CONSOLIDATED!H:H,MATCH("IncomeTaxExpenseContinuingOperations",HS_CONSOLIDATED!$C:$C,0)),0)</f>
        <v>74400000</v>
      </c>
      <c r="H107" s="136">
        <f>IFERROR(INDEX(HS_CONSOLIDATED!I:I,MATCH("IncomeTaxExpenseContinuingOperations",HS_CONSOLIDATED!$C:$C,0)),0)</f>
        <v>46300000</v>
      </c>
      <c r="I107" s="136">
        <f>IFERROR(INDEX(HS_CONSOLIDATED!J:J,MATCH("IncomeTaxExpenseContinuingOperations",HS_CONSOLIDATED!$C:$C,0)),0)</f>
        <v>1665900000</v>
      </c>
      <c r="J107" s="136">
        <f>IFERROR(INDEX(HS_CONSOLIDATED!K:K,MATCH("IncomeTaxExpenseContinuingOperations",HS_CONSOLIDATED!$C:$C,0)),0)</f>
        <v>44200000</v>
      </c>
      <c r="K107" s="136">
        <f>IFERROR(INDEX(HS_CONSOLIDATED!L:L,MATCH("IncomeTaxExpenseContinuingOperations",HS_CONSOLIDATED!$C:$C,0)),0)</f>
        <v>-8600000</v>
      </c>
      <c r="L107" s="136">
        <f>IFERROR(INDEX(HS_CONSOLIDATED!M:M,MATCH("IncomeTaxExpenseContinuingOperations",HS_CONSOLIDATED!$C:$C,0)),0)</f>
        <v>-6250000000</v>
      </c>
      <c r="M107" s="130">
        <f t="shared" ref="M107:V107" si="30">M109+M110</f>
        <v>5615046170.9643288</v>
      </c>
      <c r="N107" s="130">
        <f t="shared" si="30"/>
        <v>7273347958.8044424</v>
      </c>
      <c r="O107" s="130">
        <f t="shared" si="30"/>
        <v>9362758586.8851891</v>
      </c>
      <c r="P107" s="130">
        <f t="shared" si="30"/>
        <v>11790874807.900579</v>
      </c>
      <c r="Q107" s="130">
        <f t="shared" si="30"/>
        <v>14561970657.060326</v>
      </c>
      <c r="R107" s="130">
        <f t="shared" si="30"/>
        <v>17674085290.706184</v>
      </c>
      <c r="S107" s="130">
        <f t="shared" si="30"/>
        <v>21120126812.724552</v>
      </c>
      <c r="T107" s="130">
        <f t="shared" si="30"/>
        <v>25309668036.612682</v>
      </c>
      <c r="U107" s="130">
        <f t="shared" si="30"/>
        <v>29386148443.832664</v>
      </c>
      <c r="V107" s="130">
        <f t="shared" si="30"/>
        <v>33754763702.954659</v>
      </c>
    </row>
    <row r="109" spans="1:22">
      <c r="B109" s="92" t="s">
        <v>434</v>
      </c>
      <c r="C109" s="128">
        <f>IFERROR(INDEX(HS_CONSOLIDATED!D:D,MATCH("CurrentTaxExpenseIncomeAndAdjustmentsForCurrentTaxOfPriorPeriods",HS_CONSOLIDATED!$C:$C,0)),0)</f>
        <v>0</v>
      </c>
      <c r="D109" s="128">
        <f>IFERROR(INDEX(HS_CONSOLIDATED!E:E,MATCH("CurrentTaxExpenseIncomeAndAdjustmentsForCurrentTaxOfPriorPeriods",HS_CONSOLIDATED!$C:$C,0)),0)</f>
        <v>117000000</v>
      </c>
      <c r="E109" s="128">
        <f>IFERROR(INDEX(HS_CONSOLIDATED!F:F,MATCH("CurrentTaxExpenseIncomeAndAdjustmentsForCurrentTaxOfPriorPeriods",HS_CONSOLIDATED!$C:$C,0)),0)</f>
        <v>-15600000</v>
      </c>
      <c r="F109" s="128">
        <f>IFERROR(INDEX(HS_CONSOLIDATED!G:G,MATCH("CurrentTaxExpenseIncomeAndAdjustmentsForCurrentTaxOfPriorPeriods",HS_CONSOLIDATED!$C:$C,0)),0)</f>
        <v>30900000</v>
      </c>
      <c r="G109" s="128">
        <f>IFERROR(INDEX(HS_CONSOLIDATED!H:H,MATCH("CurrentTaxExpenseIncomeAndAdjustmentsForCurrentTaxOfPriorPeriods",HS_CONSOLIDATED!$C:$C,0)),0)</f>
        <v>74400000</v>
      </c>
      <c r="H109" s="128">
        <f>IFERROR(INDEX(HS_CONSOLIDATED!I:I,MATCH("CurrentTaxExpenseIncomeAndAdjustmentsForCurrentTaxOfPriorPeriods",HS_CONSOLIDATED!$C:$C,0)),0)</f>
        <v>46300000</v>
      </c>
      <c r="I109" s="128">
        <f>IFERROR(INDEX(HS_CONSOLIDATED!J:J,MATCH("CurrentTaxExpenseIncomeAndAdjustmentsForCurrentTaxOfPriorPeriods",HS_CONSOLIDATED!$C:$C,0)),0)</f>
        <v>1840700000</v>
      </c>
      <c r="J109" s="128">
        <f>IFERROR(INDEX(HS_CONSOLIDATED!K:K,MATCH("CurrentTaxExpenseIncomeAndAdjustmentsForCurrentTaxOfPriorPeriods",HS_CONSOLIDATED!$C:$C,0)),0)</f>
        <v>46100000</v>
      </c>
      <c r="K109" s="128">
        <f>IFERROR(INDEX(HS_CONSOLIDATED!L:L,MATCH("CurrentTaxExpenseIncomeAndAdjustmentsForCurrentTaxOfPriorPeriods",HS_CONSOLIDATED!$C:$C,0)),0)</f>
        <v>29000000</v>
      </c>
      <c r="L109" s="128">
        <f>IFERROR(INDEX(HS_CONSOLIDATED!M:M,MATCH("CurrentTaxExpenseIncomeAndAdjustmentsForCurrentTaxOfPriorPeriods",HS_CONSOLIDATED!$C:$C,0)),0)</f>
        <v>144200000</v>
      </c>
      <c r="M109" s="135">
        <f>MAX(M126*(IF('Inputs &amp; Assumptions'!$C$74="",'Inputs &amp; Assumptions'!$C$73,'Inputs &amp; Assumptions'!$C$74)),MAX(M106,0)*(IF('Inputs &amp; Assumptions'!C77="",'Inputs &amp; Assumptions'!C76,'Inputs &amp; Assumptions'!C77)))</f>
        <v>116221346.3061839</v>
      </c>
      <c r="N109" s="135">
        <f>MAX(N126*(IF('Inputs &amp; Assumptions'!$C$74="",'Inputs &amp; Assumptions'!$C$73,'Inputs &amp; Assumptions'!$C$74)),MAX(N106,0)*(IF('Inputs &amp; Assumptions'!D77="",'Inputs &amp; Assumptions'!D76,'Inputs &amp; Assumptions'!D77)))</f>
        <v>6377972783.4625874</v>
      </c>
      <c r="O109" s="135">
        <f>MAX(O126*(IF('Inputs &amp; Assumptions'!$C$74="",'Inputs &amp; Assumptions'!$C$73,'Inputs &amp; Assumptions'!$C$74)),MAX(O106,0)*(IF('Inputs &amp; Assumptions'!E77="",'Inputs &amp; Assumptions'!E76,'Inputs &amp; Assumptions'!E77)))</f>
        <v>9362758586.8851891</v>
      </c>
      <c r="P109" s="135">
        <f>MAX(P126*(IF('Inputs &amp; Assumptions'!$C$74="",'Inputs &amp; Assumptions'!$C$73,'Inputs &amp; Assumptions'!$C$74)),MAX(P106,0)*(IF('Inputs &amp; Assumptions'!F77="",'Inputs &amp; Assumptions'!F76,'Inputs &amp; Assumptions'!F77)))</f>
        <v>11790874807.900579</v>
      </c>
      <c r="Q109" s="135">
        <f>MAX(Q126*(IF('Inputs &amp; Assumptions'!$C$74="",'Inputs &amp; Assumptions'!$C$73,'Inputs &amp; Assumptions'!$C$74)),MAX(Q106,0)*(IF('Inputs &amp; Assumptions'!G77="",'Inputs &amp; Assumptions'!G76,'Inputs &amp; Assumptions'!G77)))</f>
        <v>14561970657.060326</v>
      </c>
      <c r="R109" s="135">
        <f>MAX(R126*(IF('Inputs &amp; Assumptions'!$C$74="",'Inputs &amp; Assumptions'!$C$73,'Inputs &amp; Assumptions'!$C$74)),MAX(R106,0)*(IF('Inputs &amp; Assumptions'!H77="",'Inputs &amp; Assumptions'!H76,'Inputs &amp; Assumptions'!H77)))</f>
        <v>17674085290.706184</v>
      </c>
      <c r="S109" s="135">
        <f>MAX(S126*(IF('Inputs &amp; Assumptions'!$C$74="",'Inputs &amp; Assumptions'!$C$73,'Inputs &amp; Assumptions'!$C$74)),MAX(S106,0)*(IF('Inputs &amp; Assumptions'!I77="",'Inputs &amp; Assumptions'!I76,'Inputs &amp; Assumptions'!I77)))</f>
        <v>21120126812.724552</v>
      </c>
      <c r="T109" s="135">
        <f>MAX(T126*(IF('Inputs &amp; Assumptions'!$C$74="",'Inputs &amp; Assumptions'!$C$73,'Inputs &amp; Assumptions'!$C$74)),MAX(T106,0)*(IF('Inputs &amp; Assumptions'!J77="",'Inputs &amp; Assumptions'!J76,'Inputs &amp; Assumptions'!J77)))</f>
        <v>25309668036.612682</v>
      </c>
      <c r="U109" s="135">
        <f>MAX(U126*(IF('Inputs &amp; Assumptions'!$C$74="",'Inputs &amp; Assumptions'!$C$73,'Inputs &amp; Assumptions'!$C$74)),MAX(U106,0)*(IF('Inputs &amp; Assumptions'!K77="",'Inputs &amp; Assumptions'!K76,'Inputs &amp; Assumptions'!K77)))</f>
        <v>29386148443.832664</v>
      </c>
      <c r="V109" s="135">
        <f>MAX(V126*(IF('Inputs &amp; Assumptions'!$C$74="",'Inputs &amp; Assumptions'!$C$73,'Inputs &amp; Assumptions'!$C$74)),MAX(V106,0)*(IF('Inputs &amp; Assumptions'!L77="",'Inputs &amp; Assumptions'!L76,'Inputs &amp; Assumptions'!L77)))</f>
        <v>33754763702.954659</v>
      </c>
    </row>
    <row r="110" spans="1:22">
      <c r="B110" s="92" t="s">
        <v>435</v>
      </c>
      <c r="C110" s="128">
        <f t="shared" ref="C110:L110" si="31">C107-C109</f>
        <v>0</v>
      </c>
      <c r="D110" s="128">
        <f t="shared" si="31"/>
        <v>0</v>
      </c>
      <c r="E110" s="128">
        <f t="shared" si="31"/>
        <v>0</v>
      </c>
      <c r="F110" s="128">
        <f t="shared" si="31"/>
        <v>-149900000</v>
      </c>
      <c r="G110" s="128">
        <f t="shared" si="31"/>
        <v>0</v>
      </c>
      <c r="H110" s="128">
        <f t="shared" si="31"/>
        <v>0</v>
      </c>
      <c r="I110" s="128">
        <f t="shared" si="31"/>
        <v>-174800000</v>
      </c>
      <c r="J110" s="128">
        <f t="shared" si="31"/>
        <v>-1900000</v>
      </c>
      <c r="K110" s="128">
        <f t="shared" si="31"/>
        <v>-37600000</v>
      </c>
      <c r="L110" s="128">
        <f t="shared" si="31"/>
        <v>-6394200000</v>
      </c>
      <c r="M110" s="135">
        <f t="shared" ref="M110:V110" si="32">M114</f>
        <v>5498824824.658145</v>
      </c>
      <c r="N110" s="135">
        <f t="shared" si="32"/>
        <v>895375175.34185529</v>
      </c>
      <c r="O110" s="135">
        <f t="shared" si="32"/>
        <v>0</v>
      </c>
      <c r="P110" s="135">
        <f t="shared" si="32"/>
        <v>0</v>
      </c>
      <c r="Q110" s="135">
        <f t="shared" si="32"/>
        <v>0</v>
      </c>
      <c r="R110" s="135">
        <f t="shared" si="32"/>
        <v>0</v>
      </c>
      <c r="S110" s="135">
        <f t="shared" si="32"/>
        <v>0</v>
      </c>
      <c r="T110" s="135">
        <f t="shared" si="32"/>
        <v>0</v>
      </c>
      <c r="U110" s="135">
        <f t="shared" si="32"/>
        <v>0</v>
      </c>
      <c r="V110" s="135">
        <f t="shared" si="32"/>
        <v>0</v>
      </c>
    </row>
    <row r="111" spans="1:22">
      <c r="B111" s="99" t="s">
        <v>410</v>
      </c>
      <c r="C111" s="131">
        <v>0</v>
      </c>
      <c r="D111" s="131">
        <v>0</v>
      </c>
      <c r="E111" s="131">
        <v>0</v>
      </c>
      <c r="F111" s="131">
        <v>0</v>
      </c>
      <c r="G111" s="131">
        <v>0</v>
      </c>
      <c r="H111" s="131">
        <v>0</v>
      </c>
      <c r="I111" s="131">
        <v>0</v>
      </c>
      <c r="J111" s="131">
        <v>0</v>
      </c>
      <c r="K111" s="131">
        <v>0</v>
      </c>
      <c r="L111" s="131">
        <v>0</v>
      </c>
    </row>
    <row r="113" spans="2:22">
      <c r="B113" s="92" t="s">
        <v>436</v>
      </c>
      <c r="C113" s="1" t="s">
        <v>329</v>
      </c>
      <c r="D113" s="135">
        <f t="shared" ref="D113:L113" si="33">C116</f>
        <v>0</v>
      </c>
      <c r="E113" s="135">
        <f t="shared" si="33"/>
        <v>0</v>
      </c>
      <c r="F113" s="135">
        <f t="shared" si="33"/>
        <v>0</v>
      </c>
      <c r="G113" s="135">
        <f t="shared" si="33"/>
        <v>0</v>
      </c>
      <c r="H113" s="135">
        <f t="shared" si="33"/>
        <v>0</v>
      </c>
      <c r="I113" s="135">
        <f t="shared" si="33"/>
        <v>0</v>
      </c>
      <c r="J113" s="135">
        <f t="shared" si="33"/>
        <v>-174800000</v>
      </c>
      <c r="K113" s="135">
        <f t="shared" si="33"/>
        <v>-1900000</v>
      </c>
      <c r="L113" s="135">
        <f t="shared" si="33"/>
        <v>-37600000</v>
      </c>
      <c r="M113" s="135">
        <f>-M122*(IF('Inputs &amp; Assumptions'!$C$74="",'Inputs &amp; Assumptions'!$C$73,'Inputs &amp; Assumptions'!$C$74))</f>
        <v>-6394200000</v>
      </c>
      <c r="N113" s="135">
        <f>-N122*(IF('Inputs &amp; Assumptions'!$C$74="",'Inputs &amp; Assumptions'!$C$73,'Inputs &amp; Assumptions'!$C$74))</f>
        <v>-895375175.34185529</v>
      </c>
      <c r="O113" s="135">
        <f>-O122*(IF('Inputs &amp; Assumptions'!$C$74="",'Inputs &amp; Assumptions'!$C$73,'Inputs &amp; Assumptions'!$C$74))</f>
        <v>0</v>
      </c>
      <c r="P113" s="135">
        <f>-P122*(IF('Inputs &amp; Assumptions'!$C$74="",'Inputs &amp; Assumptions'!$C$73,'Inputs &amp; Assumptions'!$C$74))</f>
        <v>0</v>
      </c>
      <c r="Q113" s="135">
        <f>-Q122*(IF('Inputs &amp; Assumptions'!$C$74="",'Inputs &amp; Assumptions'!$C$73,'Inputs &amp; Assumptions'!$C$74))</f>
        <v>0</v>
      </c>
      <c r="R113" s="135">
        <f>-R122*(IF('Inputs &amp; Assumptions'!$C$74="",'Inputs &amp; Assumptions'!$C$73,'Inputs &amp; Assumptions'!$C$74))</f>
        <v>0</v>
      </c>
      <c r="S113" s="135">
        <f>-S122*(IF('Inputs &amp; Assumptions'!$C$74="",'Inputs &amp; Assumptions'!$C$73,'Inputs &amp; Assumptions'!$C$74))</f>
        <v>0</v>
      </c>
      <c r="T113" s="135">
        <f>-T122*(IF('Inputs &amp; Assumptions'!$C$74="",'Inputs &amp; Assumptions'!$C$73,'Inputs &amp; Assumptions'!$C$74))</f>
        <v>0</v>
      </c>
      <c r="U113" s="135">
        <f>-U122*(IF('Inputs &amp; Assumptions'!$C$74="",'Inputs &amp; Assumptions'!$C$73,'Inputs &amp; Assumptions'!$C$74))</f>
        <v>0</v>
      </c>
      <c r="V113" s="135">
        <f>-V122*(IF('Inputs &amp; Assumptions'!$C$74="",'Inputs &amp; Assumptions'!$C$73,'Inputs &amp; Assumptions'!$C$74))</f>
        <v>0</v>
      </c>
    </row>
    <row r="114" spans="2:22">
      <c r="B114" s="92" t="s">
        <v>437</v>
      </c>
      <c r="C114" s="128">
        <f>IFERROR(INDEX(HS_CONSOLIDATED!D:D,MATCH("DeferredTaxExpenseIncomeRecognisedInProfitOrLoss",HS_CONSOLIDATED!$C:$C,0)),0)</f>
        <v>0</v>
      </c>
      <c r="D114" s="128">
        <f>IFERROR(INDEX(HS_CONSOLIDATED!E:E,MATCH("DeferredTaxExpenseIncomeRecognisedInProfitOrLoss",HS_CONSOLIDATED!$C:$C,0)),0)</f>
        <v>0</v>
      </c>
      <c r="E114" s="128">
        <f>IFERROR(INDEX(HS_CONSOLIDATED!F:F,MATCH("DeferredTaxExpenseIncomeRecognisedInProfitOrLoss",HS_CONSOLIDATED!$C:$C,0)),0)</f>
        <v>0</v>
      </c>
      <c r="F114" s="128">
        <f>IFERROR(INDEX(HS_CONSOLIDATED!G:G,MATCH("DeferredTaxExpenseIncomeRecognisedInProfitOrLoss",HS_CONSOLIDATED!$C:$C,0)),0)</f>
        <v>0</v>
      </c>
      <c r="G114" s="128">
        <f>IFERROR(INDEX(HS_CONSOLIDATED!H:H,MATCH("DeferredTaxExpenseIncomeRecognisedInProfitOrLoss",HS_CONSOLIDATED!$C:$C,0)),0)</f>
        <v>0</v>
      </c>
      <c r="H114" s="128">
        <f>IFERROR(INDEX(HS_CONSOLIDATED!I:I,MATCH("DeferredTaxExpenseIncomeRecognisedInProfitOrLoss",HS_CONSOLIDATED!$C:$C,0)),0)</f>
        <v>0</v>
      </c>
      <c r="I114" s="128">
        <f>IFERROR(INDEX(HS_CONSOLIDATED!J:J,MATCH("DeferredTaxExpenseIncomeRecognisedInProfitOrLoss",HS_CONSOLIDATED!$C:$C,0)),0)</f>
        <v>-174800000</v>
      </c>
      <c r="J114" s="128">
        <f>IFERROR(INDEX(HS_CONSOLIDATED!K:K,MATCH("DeferredTaxExpenseIncomeRecognisedInProfitOrLoss",HS_CONSOLIDATED!$C:$C,0)),0)</f>
        <v>172900000</v>
      </c>
      <c r="K114" s="128">
        <f>IFERROR(INDEX(HS_CONSOLIDATED!L:L,MATCH("DeferredTaxExpenseIncomeRecognisedInProfitOrLoss",HS_CONSOLIDATED!$C:$C,0)),0)</f>
        <v>-35700000</v>
      </c>
      <c r="L114" s="128">
        <f>IFERROR(INDEX(HS_CONSOLIDATED!M:M,MATCH("DeferredTaxExpenseIncomeRecognisedInProfitOrLoss",HS_CONSOLIDATED!$C:$C,0)),0)</f>
        <v>0</v>
      </c>
      <c r="M114" s="135">
        <f t="shared" ref="M114:V114" si="34">M116-M113-M115</f>
        <v>5498824824.658145</v>
      </c>
      <c r="N114" s="135">
        <f t="shared" si="34"/>
        <v>895375175.34185529</v>
      </c>
      <c r="O114" s="135">
        <f t="shared" si="34"/>
        <v>0</v>
      </c>
      <c r="P114" s="135">
        <f t="shared" si="34"/>
        <v>0</v>
      </c>
      <c r="Q114" s="135">
        <f t="shared" si="34"/>
        <v>0</v>
      </c>
      <c r="R114" s="135">
        <f t="shared" si="34"/>
        <v>0</v>
      </c>
      <c r="S114" s="135">
        <f t="shared" si="34"/>
        <v>0</v>
      </c>
      <c r="T114" s="135">
        <f t="shared" si="34"/>
        <v>0</v>
      </c>
      <c r="U114" s="135">
        <f t="shared" si="34"/>
        <v>0</v>
      </c>
      <c r="V114" s="135">
        <f t="shared" si="34"/>
        <v>0</v>
      </c>
    </row>
    <row r="115" spans="2:22">
      <c r="B115" s="92" t="s">
        <v>438</v>
      </c>
      <c r="C115" s="128">
        <f>IFERROR(INDEX(HS_CONSOLIDATED!D:D,MATCH("IncreaseDecreaseThroughBusinessCombinationsDeferredTaxLiabilityAssets",HS_CONSOLIDATED!$C:$C,0)),0)</f>
        <v>0</v>
      </c>
      <c r="D115" s="128">
        <f>IFERROR(INDEX(HS_CONSOLIDATED!E:E,MATCH("IncreaseDecreaseThroughBusinessCombinationsDeferredTaxLiabilityAssets",HS_CONSOLIDATED!$C:$C,0)),0)</f>
        <v>0</v>
      </c>
      <c r="E115" s="128">
        <f>IFERROR(INDEX(HS_CONSOLIDATED!F:F,MATCH("IncreaseDecreaseThroughBusinessCombinationsDeferredTaxLiabilityAssets",HS_CONSOLIDATED!$C:$C,0)),0)</f>
        <v>0</v>
      </c>
      <c r="F115" s="128">
        <f>IFERROR(INDEX(HS_CONSOLIDATED!G:G,MATCH("IncreaseDecreaseThroughBusinessCombinationsDeferredTaxLiabilityAssets",HS_CONSOLIDATED!$C:$C,0)),0)</f>
        <v>0</v>
      </c>
      <c r="G115" s="128">
        <f>IFERROR(INDEX(HS_CONSOLIDATED!H:H,MATCH("IncreaseDecreaseThroughBusinessCombinationsDeferredTaxLiabilityAssets",HS_CONSOLIDATED!$C:$C,0)),0)</f>
        <v>0</v>
      </c>
      <c r="H115" s="128">
        <f>IFERROR(INDEX(HS_CONSOLIDATED!I:I,MATCH("IncreaseDecreaseThroughBusinessCombinationsDeferredTaxLiabilityAssets",HS_CONSOLIDATED!$C:$C,0)),0)</f>
        <v>0</v>
      </c>
      <c r="I115" s="128">
        <f>IFERROR(INDEX(HS_CONSOLIDATED!J:J,MATCH("IncreaseDecreaseThroughBusinessCombinationsDeferredTaxLiabilityAssets",HS_CONSOLIDATED!$C:$C,0)),0)</f>
        <v>0</v>
      </c>
      <c r="J115" s="128">
        <f>IFERROR(INDEX(HS_CONSOLIDATED!K:K,MATCH("IncreaseDecreaseThroughBusinessCombinationsDeferredTaxLiabilityAssets",HS_CONSOLIDATED!$C:$C,0)),0)</f>
        <v>0</v>
      </c>
      <c r="K115" s="128">
        <f>IFERROR(INDEX(HS_CONSOLIDATED!L:L,MATCH("IncreaseDecreaseThroughBusinessCombinationsDeferredTaxLiabilityAssets",HS_CONSOLIDATED!$C:$C,0)),0)</f>
        <v>0</v>
      </c>
      <c r="L115" s="128">
        <f>IFERROR(INDEX(HS_CONSOLIDATED!M:M,MATCH("IncreaseDecreaseThroughBusinessCombinationsDeferredTaxLiabilityAssets",HS_CONSOLIDATED!$C:$C,0)),0)</f>
        <v>-6356600000</v>
      </c>
      <c r="M115" s="135">
        <v>0</v>
      </c>
      <c r="N115" s="135">
        <v>0</v>
      </c>
      <c r="O115" s="135">
        <v>0</v>
      </c>
      <c r="P115" s="135">
        <v>0</v>
      </c>
      <c r="Q115" s="135">
        <v>0</v>
      </c>
      <c r="R115" s="135">
        <v>0</v>
      </c>
      <c r="S115" s="135">
        <v>0</v>
      </c>
      <c r="T115" s="135">
        <v>0</v>
      </c>
      <c r="U115" s="135">
        <v>0</v>
      </c>
      <c r="V115" s="135">
        <v>0</v>
      </c>
    </row>
    <row r="116" spans="2:22">
      <c r="B116" s="90" t="s">
        <v>439</v>
      </c>
      <c r="C116" s="130">
        <f>IFERROR(INDEX(HS_CONSOLIDATED!D:D,MATCH("DeferredTaxLiabilityAssets",HS_CONSOLIDATED!$C:$C,0)),0)</f>
        <v>0</v>
      </c>
      <c r="D116" s="130">
        <f>IFERROR(INDEX(HS_CONSOLIDATED!E:E,MATCH("DeferredTaxLiabilityAssets",HS_CONSOLIDATED!$C:$C,0)),0)</f>
        <v>0</v>
      </c>
      <c r="E116" s="130">
        <f>IFERROR(INDEX(HS_CONSOLIDATED!F:F,MATCH("DeferredTaxLiabilityAssets",HS_CONSOLIDATED!$C:$C,0)),0)</f>
        <v>0</v>
      </c>
      <c r="F116" s="130">
        <f>IFERROR(INDEX(HS_CONSOLIDATED!G:G,MATCH("DeferredTaxLiabilityAssets",HS_CONSOLIDATED!$C:$C,0)),0)</f>
        <v>0</v>
      </c>
      <c r="G116" s="130">
        <f>IFERROR(INDEX(HS_CONSOLIDATED!H:H,MATCH("DeferredTaxLiabilityAssets",HS_CONSOLIDATED!$C:$C,0)),0)</f>
        <v>0</v>
      </c>
      <c r="H116" s="130">
        <f>IFERROR(INDEX(HS_CONSOLIDATED!I:I,MATCH("DeferredTaxLiabilityAssets",HS_CONSOLIDATED!$C:$C,0)),0)</f>
        <v>0</v>
      </c>
      <c r="I116" s="130">
        <f>IFERROR(INDEX(HS_CONSOLIDATED!J:J,MATCH("DeferredTaxLiabilityAssets",HS_CONSOLIDATED!$C:$C,0)),0)</f>
        <v>-174800000</v>
      </c>
      <c r="J116" s="130">
        <f>IFERROR(INDEX(HS_CONSOLIDATED!K:K,MATCH("DeferredTaxLiabilityAssets",HS_CONSOLIDATED!$C:$C,0)),0)</f>
        <v>-1900000</v>
      </c>
      <c r="K116" s="130">
        <f>IFERROR(INDEX(HS_CONSOLIDATED!L:L,MATCH("DeferredTaxLiabilityAssets",HS_CONSOLIDATED!$C:$C,0)),0)</f>
        <v>-37600000</v>
      </c>
      <c r="L116" s="130">
        <f>IFERROR(INDEX(HS_CONSOLIDATED!M:M,MATCH("DeferredTaxLiabilityAssets",HS_CONSOLIDATED!$C:$C,0)),0)</f>
        <v>-6394200000</v>
      </c>
      <c r="M116" s="130">
        <f>-M125*(IF('Inputs &amp; Assumptions'!$C$74="",'Inputs &amp; Assumptions'!$C$73,'Inputs &amp; Assumptions'!$C$74))</f>
        <v>-895375175.34185529</v>
      </c>
      <c r="N116" s="130">
        <f>-N125*(IF('Inputs &amp; Assumptions'!$C$74="",'Inputs &amp; Assumptions'!$C$73,'Inputs &amp; Assumptions'!$C$74))</f>
        <v>0</v>
      </c>
      <c r="O116" s="130">
        <f>-O125*(IF('Inputs &amp; Assumptions'!$C$74="",'Inputs &amp; Assumptions'!$C$73,'Inputs &amp; Assumptions'!$C$74))</f>
        <v>0</v>
      </c>
      <c r="P116" s="130">
        <f>-P125*(IF('Inputs &amp; Assumptions'!$C$74="",'Inputs &amp; Assumptions'!$C$73,'Inputs &amp; Assumptions'!$C$74))</f>
        <v>0</v>
      </c>
      <c r="Q116" s="130">
        <f>-Q125*(IF('Inputs &amp; Assumptions'!$C$74="",'Inputs &amp; Assumptions'!$C$73,'Inputs &amp; Assumptions'!$C$74))</f>
        <v>0</v>
      </c>
      <c r="R116" s="130">
        <f>-R125*(IF('Inputs &amp; Assumptions'!$C$74="",'Inputs &amp; Assumptions'!$C$73,'Inputs &amp; Assumptions'!$C$74))</f>
        <v>0</v>
      </c>
      <c r="S116" s="130">
        <f>-S125*(IF('Inputs &amp; Assumptions'!$C$74="",'Inputs &amp; Assumptions'!$C$73,'Inputs &amp; Assumptions'!$C$74))</f>
        <v>0</v>
      </c>
      <c r="T116" s="130">
        <f>-T125*(IF('Inputs &amp; Assumptions'!$C$74="",'Inputs &amp; Assumptions'!$C$73,'Inputs &amp; Assumptions'!$C$74))</f>
        <v>0</v>
      </c>
      <c r="U116" s="130">
        <f>-U125*(IF('Inputs &amp; Assumptions'!$C$74="",'Inputs &amp; Assumptions'!$C$73,'Inputs &amp; Assumptions'!$C$74))</f>
        <v>0</v>
      </c>
      <c r="V116" s="130">
        <f>-V125*(IF('Inputs &amp; Assumptions'!$C$74="",'Inputs &amp; Assumptions'!$C$73,'Inputs &amp; Assumptions'!$C$74))</f>
        <v>0</v>
      </c>
    </row>
    <row r="117" spans="2:22">
      <c r="B117" s="99" t="s">
        <v>410</v>
      </c>
      <c r="C117" s="1" t="s">
        <v>329</v>
      </c>
      <c r="D117" s="131">
        <f>D116-IFERROR(INDEX(HS_CONSOLIDATED!E:E,MATCH("DeferredTaxLiabilityAssets",HS_CONSOLIDATED!$C:$C,0)),0)</f>
        <v>0</v>
      </c>
      <c r="E117" s="131">
        <f>E116-IFERROR(INDEX(HS_CONSOLIDATED!F:F,MATCH("DeferredTaxLiabilityAssets",HS_CONSOLIDATED!$C:$C,0)),0)</f>
        <v>0</v>
      </c>
      <c r="F117" s="131">
        <f>F116-IFERROR(INDEX(HS_CONSOLIDATED!G:G,MATCH("DeferredTaxLiabilityAssets",HS_CONSOLIDATED!$C:$C,0)),0)</f>
        <v>0</v>
      </c>
      <c r="G117" s="131">
        <f>G116-IFERROR(INDEX(HS_CONSOLIDATED!H:H,MATCH("DeferredTaxLiabilityAssets",HS_CONSOLIDATED!$C:$C,0)),0)</f>
        <v>0</v>
      </c>
      <c r="H117" s="131">
        <f>H116-IFERROR(INDEX(HS_CONSOLIDATED!I:I,MATCH("DeferredTaxLiabilityAssets",HS_CONSOLIDATED!$C:$C,0)),0)</f>
        <v>0</v>
      </c>
      <c r="I117" s="131">
        <f>I116-IFERROR(INDEX(HS_CONSOLIDATED!J:J,MATCH("DeferredTaxLiabilityAssets",HS_CONSOLIDATED!$C:$C,0)),0)</f>
        <v>0</v>
      </c>
      <c r="J117" s="131">
        <f>J116-IFERROR(INDEX(HS_CONSOLIDATED!K:K,MATCH("DeferredTaxLiabilityAssets",HS_CONSOLIDATED!$C:$C,0)),0)</f>
        <v>0</v>
      </c>
      <c r="K117" s="131">
        <f>K116-IFERROR(INDEX(HS_CONSOLIDATED!L:L,MATCH("DeferredTaxLiabilityAssets",HS_CONSOLIDATED!$C:$C,0)),0)</f>
        <v>0</v>
      </c>
      <c r="L117" s="131">
        <f>L116-IFERROR(INDEX(HS_CONSOLIDATED!M:M,MATCH("DeferredTaxLiabilityAssets",HS_CONSOLIDATED!$C:$C,0)),0)</f>
        <v>0</v>
      </c>
    </row>
    <row r="119" spans="2:22">
      <c r="B119" s="1" t="s">
        <v>440</v>
      </c>
      <c r="C119" s="132">
        <f t="shared" ref="C119:L119" si="35">IF(AND(ABS(C106)&gt;0,C120&gt;=0,C120&lt;=0.5),1,0)</f>
        <v>0</v>
      </c>
      <c r="D119" s="132">
        <f t="shared" si="35"/>
        <v>1</v>
      </c>
      <c r="E119" s="132">
        <f t="shared" si="35"/>
        <v>1</v>
      </c>
      <c r="F119" s="132">
        <f t="shared" si="35"/>
        <v>0</v>
      </c>
      <c r="G119" s="132">
        <f t="shared" si="35"/>
        <v>0</v>
      </c>
      <c r="H119" s="132">
        <f t="shared" si="35"/>
        <v>1</v>
      </c>
      <c r="I119" s="132">
        <f t="shared" si="35"/>
        <v>0</v>
      </c>
      <c r="J119" s="132">
        <f t="shared" si="35"/>
        <v>1</v>
      </c>
      <c r="K119" s="132">
        <f t="shared" si="35"/>
        <v>1</v>
      </c>
      <c r="L119" s="132">
        <f t="shared" si="35"/>
        <v>1</v>
      </c>
    </row>
    <row r="120" spans="2:22">
      <c r="B120" s="1" t="s">
        <v>441</v>
      </c>
      <c r="C120" s="134">
        <f t="shared" ref="C120:L120" si="36">IFERROR(C109/C106,0)</f>
        <v>0</v>
      </c>
      <c r="D120" s="134">
        <f t="shared" si="36"/>
        <v>1.2834717361971939E-2</v>
      </c>
      <c r="E120" s="134">
        <f t="shared" si="36"/>
        <v>3.9924246301888721E-3</v>
      </c>
      <c r="F120" s="134">
        <f t="shared" si="36"/>
        <v>-2.0026053312075906E-3</v>
      </c>
      <c r="G120" s="134">
        <f t="shared" si="36"/>
        <v>-2.7720337562175154E-3</v>
      </c>
      <c r="H120" s="134">
        <f t="shared" si="36"/>
        <v>4.4107840335333902E-2</v>
      </c>
      <c r="I120" s="134">
        <f t="shared" si="36"/>
        <v>460.17500000000001</v>
      </c>
      <c r="J120" s="134">
        <f t="shared" si="36"/>
        <v>1.5942124210242383E-3</v>
      </c>
      <c r="K120" s="134">
        <f t="shared" si="36"/>
        <v>4.3973373364266325E-3</v>
      </c>
      <c r="L120" s="134">
        <f t="shared" si="36"/>
        <v>9.9679945805078007E-3</v>
      </c>
    </row>
    <row r="122" spans="2:22">
      <c r="B122" s="92" t="s">
        <v>442</v>
      </c>
      <c r="M122" s="135">
        <f>ABS(L116)/(IF('Inputs &amp; Assumptions'!$C$74="",'Inputs &amp; Assumptions'!$C$73,'Inputs &amp; Assumptions'!$C$74))</f>
        <v>25404052443.384983</v>
      </c>
      <c r="N122" s="135">
        <f t="shared" ref="N122:V122" si="37">M125</f>
        <v>3557310986.6581459</v>
      </c>
      <c r="O122" s="135">
        <f t="shared" si="37"/>
        <v>0</v>
      </c>
      <c r="P122" s="135">
        <f t="shared" si="37"/>
        <v>0</v>
      </c>
      <c r="Q122" s="135">
        <f t="shared" si="37"/>
        <v>0</v>
      </c>
      <c r="R122" s="135">
        <f t="shared" si="37"/>
        <v>0</v>
      </c>
      <c r="S122" s="135">
        <f t="shared" si="37"/>
        <v>0</v>
      </c>
      <c r="T122" s="135">
        <f t="shared" si="37"/>
        <v>0</v>
      </c>
      <c r="U122" s="135">
        <f t="shared" si="37"/>
        <v>0</v>
      </c>
      <c r="V122" s="135">
        <f t="shared" si="37"/>
        <v>0</v>
      </c>
    </row>
    <row r="123" spans="2:22">
      <c r="B123" s="92" t="s">
        <v>443</v>
      </c>
      <c r="M123" s="135">
        <f t="shared" ref="M123:V123" si="38">-MIN(M122,MAX(M106,0))</f>
        <v>-21846741456.726837</v>
      </c>
      <c r="N123" s="135">
        <f t="shared" si="38"/>
        <v>-3557310986.6581459</v>
      </c>
      <c r="O123" s="135">
        <f t="shared" si="38"/>
        <v>0</v>
      </c>
      <c r="P123" s="135">
        <f t="shared" si="38"/>
        <v>0</v>
      </c>
      <c r="Q123" s="135">
        <f t="shared" si="38"/>
        <v>0</v>
      </c>
      <c r="R123" s="135">
        <f t="shared" si="38"/>
        <v>0</v>
      </c>
      <c r="S123" s="135">
        <f t="shared" si="38"/>
        <v>0</v>
      </c>
      <c r="T123" s="135">
        <f t="shared" si="38"/>
        <v>0</v>
      </c>
      <c r="U123" s="135">
        <f t="shared" si="38"/>
        <v>0</v>
      </c>
      <c r="V123" s="135">
        <f t="shared" si="38"/>
        <v>0</v>
      </c>
    </row>
    <row r="124" spans="2:22">
      <c r="B124" s="92" t="s">
        <v>444</v>
      </c>
      <c r="M124" s="135">
        <f t="shared" ref="M124:V124" si="39">MAX(-M106,0)</f>
        <v>0</v>
      </c>
      <c r="N124" s="135">
        <f t="shared" si="39"/>
        <v>0</v>
      </c>
      <c r="O124" s="135">
        <f t="shared" si="39"/>
        <v>0</v>
      </c>
      <c r="P124" s="135">
        <f t="shared" si="39"/>
        <v>0</v>
      </c>
      <c r="Q124" s="135">
        <f t="shared" si="39"/>
        <v>0</v>
      </c>
      <c r="R124" s="135">
        <f t="shared" si="39"/>
        <v>0</v>
      </c>
      <c r="S124" s="135">
        <f t="shared" si="39"/>
        <v>0</v>
      </c>
      <c r="T124" s="135">
        <f t="shared" si="39"/>
        <v>0</v>
      </c>
      <c r="U124" s="135">
        <f t="shared" si="39"/>
        <v>0</v>
      </c>
      <c r="V124" s="135">
        <f t="shared" si="39"/>
        <v>0</v>
      </c>
    </row>
    <row r="125" spans="2:22">
      <c r="B125" s="90" t="s">
        <v>445</v>
      </c>
      <c r="M125" s="130">
        <f t="shared" ref="M125:V125" si="40">M122+M123+M124</f>
        <v>3557310986.6581459</v>
      </c>
      <c r="N125" s="130">
        <f t="shared" si="40"/>
        <v>0</v>
      </c>
      <c r="O125" s="130">
        <f t="shared" si="40"/>
        <v>0</v>
      </c>
      <c r="P125" s="130">
        <f t="shared" si="40"/>
        <v>0</v>
      </c>
      <c r="Q125" s="130">
        <f t="shared" si="40"/>
        <v>0</v>
      </c>
      <c r="R125" s="130">
        <f t="shared" si="40"/>
        <v>0</v>
      </c>
      <c r="S125" s="130">
        <f t="shared" si="40"/>
        <v>0</v>
      </c>
      <c r="T125" s="130">
        <f t="shared" si="40"/>
        <v>0</v>
      </c>
      <c r="U125" s="130">
        <f t="shared" si="40"/>
        <v>0</v>
      </c>
      <c r="V125" s="130">
        <f t="shared" si="40"/>
        <v>0</v>
      </c>
    </row>
    <row r="126" spans="2:22">
      <c r="B126" s="92" t="s">
        <v>446</v>
      </c>
      <c r="M126" s="135">
        <f t="shared" ref="M126:V126" si="41">MAX(M106-M122,0)</f>
        <v>0</v>
      </c>
      <c r="N126" s="135">
        <f t="shared" si="41"/>
        <v>25339581976.410759</v>
      </c>
      <c r="O126" s="135">
        <f t="shared" si="41"/>
        <v>37198087353.536713</v>
      </c>
      <c r="P126" s="135">
        <f t="shared" si="41"/>
        <v>46844953547.479462</v>
      </c>
      <c r="Q126" s="135">
        <f t="shared" si="41"/>
        <v>57854472217.164589</v>
      </c>
      <c r="R126" s="135">
        <f t="shared" si="41"/>
        <v>70218852962.678528</v>
      </c>
      <c r="S126" s="135">
        <f t="shared" si="41"/>
        <v>83909919796.283493</v>
      </c>
      <c r="T126" s="135">
        <f t="shared" si="41"/>
        <v>100554898834.37697</v>
      </c>
      <c r="U126" s="135">
        <f t="shared" si="41"/>
        <v>116750689089.52191</v>
      </c>
      <c r="V126" s="135">
        <f t="shared" si="41"/>
        <v>134107126352.62082</v>
      </c>
    </row>
    <row r="129" spans="1:22" ht="18.5">
      <c r="A129" t="s">
        <v>27</v>
      </c>
      <c r="B129" s="127" t="s">
        <v>447</v>
      </c>
    </row>
    <row r="132" spans="1:22">
      <c r="B132" s="92" t="s">
        <v>448</v>
      </c>
      <c r="C132" s="128">
        <f>IFERROR(INDEX(HS_CONSOLIDATED!D:D,MATCH("EquityShareCapital",HS_CONSOLIDATED!$C:$C,0)),0)</f>
        <v>0</v>
      </c>
      <c r="D132" s="128">
        <f>IFERROR(INDEX(HS_CONSOLIDATED!E:E,MATCH("EquityShareCapital",HS_CONSOLIDATED!$C:$C,0)),0)</f>
        <v>10048800000</v>
      </c>
      <c r="E132" s="128">
        <f>IFERROR(INDEX(HS_CONSOLIDATED!F:F,MATCH("EquityShareCapital",HS_CONSOLIDATED!$C:$C,0)),0)</f>
        <v>10639500000</v>
      </c>
      <c r="F132" s="128">
        <f>IFERROR(INDEX(HS_CONSOLIDATED!G:G,MATCH("EquityShareCapital",HS_CONSOLIDATED!$C:$C,0)),0)</f>
        <v>10639500000</v>
      </c>
      <c r="G132" s="128">
        <f>IFERROR(INDEX(HS_CONSOLIDATED!H:H,MATCH("EquityShareCapital",HS_CONSOLIDATED!$C:$C,0)),0)</f>
        <v>10639500000</v>
      </c>
      <c r="H132" s="128">
        <f>IFERROR(INDEX(HS_CONSOLIDATED!I:I,MATCH("EquityShareCapital",HS_CONSOLIDATED!$C:$C,0)),0)</f>
        <v>17016000000</v>
      </c>
      <c r="I132" s="128">
        <f>IFERROR(INDEX(HS_CONSOLIDATED!J:J,MATCH("EquityShareCapital",HS_CONSOLIDATED!$C:$C,0)),0)</f>
        <v>18434900000</v>
      </c>
      <c r="J132" s="128">
        <f>IFERROR(INDEX(HS_CONSOLIDATED!K:K,MATCH("EquityShareCapital",HS_CONSOLIDATED!$C:$C,0)),0)</f>
        <v>24544000000</v>
      </c>
      <c r="K132" s="128">
        <f>IFERROR(INDEX(HS_CONSOLIDATED!L:L,MATCH("EquityShareCapital",HS_CONSOLIDATED!$C:$C,0)),0)</f>
        <v>27217200000</v>
      </c>
      <c r="L132" s="128">
        <f>IFERROR(INDEX(HS_CONSOLIDATED!M:M,MATCH("EquityShareCapital",HS_CONSOLIDATED!$C:$C,0)),0)</f>
        <v>27317900000</v>
      </c>
      <c r="M132" s="135">
        <f>L132</f>
        <v>27317900000</v>
      </c>
      <c r="N132" s="135">
        <f>L132</f>
        <v>27317900000</v>
      </c>
      <c r="O132" s="135">
        <f>L132</f>
        <v>27317900000</v>
      </c>
      <c r="P132" s="135">
        <f>L132</f>
        <v>27317900000</v>
      </c>
      <c r="Q132" s="135">
        <f>L132</f>
        <v>27317900000</v>
      </c>
      <c r="R132" s="135">
        <f>L132</f>
        <v>27317900000</v>
      </c>
      <c r="S132" s="135">
        <f>L132</f>
        <v>27317900000</v>
      </c>
      <c r="T132" s="135">
        <f>L132</f>
        <v>27317900000</v>
      </c>
      <c r="U132" s="135">
        <f>L132</f>
        <v>27317900000</v>
      </c>
      <c r="V132" s="135">
        <f>L132</f>
        <v>27317900000</v>
      </c>
    </row>
    <row r="133" spans="1:22">
      <c r="B133" s="99" t="s">
        <v>410</v>
      </c>
      <c r="C133" s="131">
        <f>C132-IFERROR(INDEX(HS_CONSOLIDATED!D:D,MATCH("EquityShareCapital",HS_CONSOLIDATED!$C:$C,0)),0)</f>
        <v>0</v>
      </c>
      <c r="D133" s="131">
        <f>D132-IFERROR(INDEX(HS_CONSOLIDATED!E:E,MATCH("EquityShareCapital",HS_CONSOLIDATED!$C:$C,0)),0)</f>
        <v>0</v>
      </c>
      <c r="E133" s="131">
        <f>E132-IFERROR(INDEX(HS_CONSOLIDATED!F:F,MATCH("EquityShareCapital",HS_CONSOLIDATED!$C:$C,0)),0)</f>
        <v>0</v>
      </c>
      <c r="F133" s="131">
        <f>F132-IFERROR(INDEX(HS_CONSOLIDATED!G:G,MATCH("EquityShareCapital",HS_CONSOLIDATED!$C:$C,0)),0)</f>
        <v>0</v>
      </c>
      <c r="G133" s="131">
        <f>G132-IFERROR(INDEX(HS_CONSOLIDATED!H:H,MATCH("EquityShareCapital",HS_CONSOLIDATED!$C:$C,0)),0)</f>
        <v>0</v>
      </c>
      <c r="H133" s="131">
        <f>H132-IFERROR(INDEX(HS_CONSOLIDATED!I:I,MATCH("EquityShareCapital",HS_CONSOLIDATED!$C:$C,0)),0)</f>
        <v>0</v>
      </c>
      <c r="I133" s="131">
        <f>I132-IFERROR(INDEX(HS_CONSOLIDATED!J:J,MATCH("EquityShareCapital",HS_CONSOLIDATED!$C:$C,0)),0)</f>
        <v>0</v>
      </c>
      <c r="J133" s="131">
        <f>J132-IFERROR(INDEX(HS_CONSOLIDATED!K:K,MATCH("EquityShareCapital",HS_CONSOLIDATED!$C:$C,0)),0)</f>
        <v>0</v>
      </c>
      <c r="K133" s="131">
        <f>K132-IFERROR(INDEX(HS_CONSOLIDATED!L:L,MATCH("EquityShareCapital",HS_CONSOLIDATED!$C:$C,0)),0)</f>
        <v>0</v>
      </c>
      <c r="L133" s="131">
        <f>L132-IFERROR(INDEX(HS_CONSOLIDATED!M:M,MATCH("EquityShareCapital",HS_CONSOLIDATED!$C:$C,0)),0)</f>
        <v>0</v>
      </c>
    </row>
    <row r="135" spans="1:22">
      <c r="B135" s="92" t="s">
        <v>449</v>
      </c>
      <c r="C135" s="1" t="s">
        <v>329</v>
      </c>
      <c r="D135" s="135">
        <f t="shared" ref="D135:V135" si="42">C140</f>
        <v>0</v>
      </c>
      <c r="E135" s="135">
        <f t="shared" si="42"/>
        <v>-78462100000</v>
      </c>
      <c r="F135" s="135">
        <f t="shared" si="42"/>
        <v>-80308000000</v>
      </c>
      <c r="G135" s="135">
        <f t="shared" si="42"/>
        <v>-95615600000</v>
      </c>
      <c r="H135" s="135">
        <f t="shared" si="42"/>
        <v>-120468900000</v>
      </c>
      <c r="I135" s="135">
        <f t="shared" si="42"/>
        <v>-50446300000</v>
      </c>
      <c r="J135" s="135">
        <f t="shared" si="42"/>
        <v>-53692200000</v>
      </c>
      <c r="K135" s="135">
        <f t="shared" si="42"/>
        <v>-13552600000</v>
      </c>
      <c r="L135" s="135">
        <f t="shared" si="42"/>
        <v>11985900000</v>
      </c>
      <c r="M135" s="135">
        <f t="shared" si="42"/>
        <v>33739300000</v>
      </c>
      <c r="N135" s="135">
        <f t="shared" si="42"/>
        <v>49970995285.762512</v>
      </c>
      <c r="O135" s="135">
        <f t="shared" si="42"/>
        <v>71594540290.026978</v>
      </c>
      <c r="P135" s="135">
        <f t="shared" si="42"/>
        <v>99429869056.678497</v>
      </c>
      <c r="Q135" s="135">
        <f t="shared" si="42"/>
        <v>134483947796.25739</v>
      </c>
      <c r="R135" s="135">
        <f t="shared" si="42"/>
        <v>177776449356.36163</v>
      </c>
      <c r="S135" s="135">
        <f t="shared" si="42"/>
        <v>230321217028.33398</v>
      </c>
      <c r="T135" s="135">
        <f t="shared" si="42"/>
        <v>293111010011.89294</v>
      </c>
      <c r="U135" s="135">
        <f t="shared" si="42"/>
        <v>368356240809.65723</v>
      </c>
      <c r="V135" s="135">
        <f t="shared" si="42"/>
        <v>455720781455.34644</v>
      </c>
    </row>
    <row r="136" spans="1:22">
      <c r="B136" s="92" t="s">
        <v>450</v>
      </c>
      <c r="C136" s="129">
        <f>'P&amp;L Schedule'!C22</f>
        <v>0</v>
      </c>
      <c r="D136" s="129">
        <f>'P&amp;L Schedule'!D22</f>
        <v>8998900000</v>
      </c>
      <c r="E136" s="129">
        <f>'P&amp;L Schedule'!E22</f>
        <v>-3891800000</v>
      </c>
      <c r="F136" s="129">
        <f>'P&amp;L Schedule'!F22</f>
        <v>-15310900000</v>
      </c>
      <c r="G136" s="129">
        <f>'P&amp;L Schedule'!G22</f>
        <v>-26913900000</v>
      </c>
      <c r="H136" s="129">
        <f>'P&amp;L Schedule'!H22</f>
        <v>1003400000</v>
      </c>
      <c r="I136" s="129">
        <f>'P&amp;L Schedule'!I22</f>
        <v>-1661900000</v>
      </c>
      <c r="J136" s="129">
        <f>'P&amp;L Schedule'!J22</f>
        <v>28872900000</v>
      </c>
      <c r="K136" s="129">
        <f>'P&amp;L Schedule'!K22</f>
        <v>6603500000</v>
      </c>
      <c r="L136" s="129">
        <f>'P&amp;L Schedule'!L22</f>
        <v>20716300000</v>
      </c>
      <c r="M136" s="135">
        <f>'P&amp;L Schedule'!M22</f>
        <v>16231695285.762508</v>
      </c>
      <c r="N136" s="135">
        <f>'P&amp;L Schedule'!N22</f>
        <v>21623545004.264462</v>
      </c>
      <c r="O136" s="135">
        <f>'P&amp;L Schedule'!O22</f>
        <v>27835328766.651524</v>
      </c>
      <c r="P136" s="135">
        <f>'P&amp;L Schedule'!P22</f>
        <v>35054078739.57888</v>
      </c>
      <c r="Q136" s="135">
        <f>'P&amp;L Schedule'!Q22</f>
        <v>43292501560.104263</v>
      </c>
      <c r="R136" s="135">
        <f>'P&amp;L Schedule'!R22</f>
        <v>52544767671.972343</v>
      </c>
      <c r="S136" s="135">
        <f>'P&amp;L Schedule'!S22</f>
        <v>62789792983.558945</v>
      </c>
      <c r="T136" s="135">
        <f>'P&amp;L Schedule'!T22</f>
        <v>75245230797.764282</v>
      </c>
      <c r="U136" s="135">
        <f>'P&amp;L Schedule'!U22</f>
        <v>87364540645.68924</v>
      </c>
      <c r="V136" s="135">
        <f>'P&amp;L Schedule'!V22</f>
        <v>100352362649.66617</v>
      </c>
    </row>
    <row r="137" spans="1:22">
      <c r="B137" s="92" t="s">
        <v>451</v>
      </c>
      <c r="C137" s="128">
        <f>(IFERROR(INDEX(HS_CONSOLIDATED!D:D,MATCH("OtherComprehensiveIncomeThatWillNotBeReclassifiedToProfitOrLossNetOfTax",HS_CONSOLIDATED!$C:$C,0)),0))+(IFERROR(INDEX(HS_CONSOLIDATED!D:D,MATCH("OtherComprehensiveIncomeThatWillBeReclassifiedToProfitOrLossNetOfTax",HS_CONSOLIDATED!$C:$C,0)),0))</f>
        <v>0</v>
      </c>
      <c r="D137" s="128">
        <f>(IFERROR(INDEX(HS_CONSOLIDATED!E:E,MATCH("OtherComprehensiveIncomeThatWillNotBeReclassifiedToProfitOrLossNetOfTax",HS_CONSOLIDATED!$C:$C,0)),0))+(IFERROR(INDEX(HS_CONSOLIDATED!E:E,MATCH("OtherComprehensiveIncomeThatWillBeReclassifiedToProfitOrLossNetOfTax",HS_CONSOLIDATED!$C:$C,0)),0))</f>
        <v>-2396800000</v>
      </c>
      <c r="E137" s="128">
        <f>(IFERROR(INDEX(HS_CONSOLIDATED!F:F,MATCH("OtherComprehensiveIncomeThatWillNotBeReclassifiedToProfitOrLossNetOfTax",HS_CONSOLIDATED!$C:$C,0)),0))+(IFERROR(INDEX(HS_CONSOLIDATED!F:F,MATCH("OtherComprehensiveIncomeThatWillBeReclassifiedToProfitOrLossNetOfTax",HS_CONSOLIDATED!$C:$C,0)),0))</f>
        <v>-1892700000</v>
      </c>
      <c r="F137" s="128">
        <f>(IFERROR(INDEX(HS_CONSOLIDATED!G:G,MATCH("OtherComprehensiveIncomeThatWillNotBeReclassifiedToProfitOrLossNetOfTax",HS_CONSOLIDATED!$C:$C,0)),0))+(IFERROR(INDEX(HS_CONSOLIDATED!G:G,MATCH("OtherComprehensiveIncomeThatWillBeReclassifiedToProfitOrLossNetOfTax",HS_CONSOLIDATED!$C:$C,0)),0))</f>
        <v>-397800000</v>
      </c>
      <c r="G137" s="128">
        <f>(IFERROR(INDEX(HS_CONSOLIDATED!H:H,MATCH("OtherComprehensiveIncomeThatWillNotBeReclassifiedToProfitOrLossNetOfTax",HS_CONSOLIDATED!$C:$C,0)),0))+(IFERROR(INDEX(HS_CONSOLIDATED!H:H,MATCH("OtherComprehensiveIncomeThatWillBeReclassifiedToProfitOrLossNetOfTax",HS_CONSOLIDATED!$C:$C,0)),0))</f>
        <v>1406900000</v>
      </c>
      <c r="H137" s="128">
        <f>(IFERROR(INDEX(HS_CONSOLIDATED!I:I,MATCH("OtherComprehensiveIncomeThatWillNotBeReclassifiedToProfitOrLossNetOfTax",HS_CONSOLIDATED!$C:$C,0)),0))+(IFERROR(INDEX(HS_CONSOLIDATED!I:I,MATCH("OtherComprehensiveIncomeThatWillBeReclassifiedToProfitOrLossNetOfTax",HS_CONSOLIDATED!$C:$C,0)),0))</f>
        <v>312400000</v>
      </c>
      <c r="I137" s="128">
        <f>(IFERROR(INDEX(HS_CONSOLIDATED!J:J,MATCH("OtherComprehensiveIncomeThatWillNotBeReclassifiedToProfitOrLossNetOfTax",HS_CONSOLIDATED!$C:$C,0)),0))+(IFERROR(INDEX(HS_CONSOLIDATED!J:J,MATCH("OtherComprehensiveIncomeThatWillBeReclassifiedToProfitOrLossNetOfTax",HS_CONSOLIDATED!$C:$C,0)),0))</f>
        <v>-818300000</v>
      </c>
      <c r="J137" s="128">
        <f>(IFERROR(INDEX(HS_CONSOLIDATED!K:K,MATCH("OtherComprehensiveIncomeThatWillNotBeReclassifiedToProfitOrLossNetOfTax",HS_CONSOLIDATED!$C:$C,0)),0))+(IFERROR(INDEX(HS_CONSOLIDATED!K:K,MATCH("OtherComprehensiveIncomeThatWillBeReclassifiedToProfitOrLossNetOfTax",HS_CONSOLIDATED!$C:$C,0)),0))</f>
        <v>-348800000</v>
      </c>
      <c r="K137" s="128">
        <f>(IFERROR(INDEX(HS_CONSOLIDATED!L:L,MATCH("OtherComprehensiveIncomeThatWillNotBeReclassifiedToProfitOrLossNetOfTax",HS_CONSOLIDATED!$C:$C,0)),0))+(IFERROR(INDEX(HS_CONSOLIDATED!L:L,MATCH("OtherComprehensiveIncomeThatWillBeReclassifiedToProfitOrLossNetOfTax",HS_CONSOLIDATED!$C:$C,0)),0))</f>
        <v>664700000</v>
      </c>
      <c r="L137" s="128">
        <f>(IFERROR(INDEX(HS_CONSOLIDATED!M:M,MATCH("OtherComprehensiveIncomeThatWillNotBeReclassifiedToProfitOrLossNetOfTax",HS_CONSOLIDATED!$C:$C,0)),0))+(IFERROR(INDEX(HS_CONSOLIDATED!M:M,MATCH("OtherComprehensiveIncomeThatWillBeReclassifiedToProfitOrLossNetOfTax",HS_CONSOLIDATED!$C:$C,0)),0))</f>
        <v>-233300000</v>
      </c>
      <c r="M137" s="135">
        <v>0</v>
      </c>
      <c r="N137" s="135">
        <v>0</v>
      </c>
      <c r="O137" s="135">
        <v>0</v>
      </c>
      <c r="P137" s="135">
        <v>0</v>
      </c>
      <c r="Q137" s="135">
        <v>0</v>
      </c>
      <c r="R137" s="135">
        <v>0</v>
      </c>
      <c r="S137" s="135">
        <v>0</v>
      </c>
      <c r="T137" s="135">
        <v>0</v>
      </c>
      <c r="U137" s="135">
        <v>0</v>
      </c>
      <c r="V137" s="135">
        <v>0</v>
      </c>
    </row>
    <row r="138" spans="1:22">
      <c r="B138" s="92" t="s">
        <v>452</v>
      </c>
      <c r="C138" s="128">
        <f>-IFERROR(INDEX(HS_CONSOLIDATED!D:D,MATCH("DividendsPaidClassifiedAsFinancingActivities",HS_CONSOLIDATED!$C:$C,0)),0)</f>
        <v>0</v>
      </c>
      <c r="D138" s="128">
        <f>-IFERROR(INDEX(HS_CONSOLIDATED!E:E,MATCH("DividendsPaidClassifiedAsFinancingActivities",HS_CONSOLIDATED!$C:$C,0)),0)</f>
        <v>0</v>
      </c>
      <c r="E138" s="128">
        <f>-IFERROR(INDEX(HS_CONSOLIDATED!F:F,MATCH("DividendsPaidClassifiedAsFinancingActivities",HS_CONSOLIDATED!$C:$C,0)),0)</f>
        <v>0</v>
      </c>
      <c r="F138" s="128">
        <f>-IFERROR(INDEX(HS_CONSOLIDATED!G:G,MATCH("DividendsPaidClassifiedAsFinancingActivities",HS_CONSOLIDATED!$C:$C,0)),0)</f>
        <v>0</v>
      </c>
      <c r="G138" s="128">
        <f>-IFERROR(INDEX(HS_CONSOLIDATED!H:H,MATCH("DividendsPaidClassifiedAsFinancingActivities",HS_CONSOLIDATED!$C:$C,0)),0)</f>
        <v>0</v>
      </c>
      <c r="H138" s="128">
        <f>-IFERROR(INDEX(HS_CONSOLIDATED!I:I,MATCH("DividendsPaidClassifiedAsFinancingActivities",HS_CONSOLIDATED!$C:$C,0)),0)</f>
        <v>0</v>
      </c>
      <c r="I138" s="128">
        <f>-IFERROR(INDEX(HS_CONSOLIDATED!J:J,MATCH("DividendsPaidClassifiedAsFinancingActivities",HS_CONSOLIDATED!$C:$C,0)),0)</f>
        <v>0</v>
      </c>
      <c r="J138" s="128">
        <f>-IFERROR(INDEX(HS_CONSOLIDATED!K:K,MATCH("DividendsPaidClassifiedAsFinancingActivities",HS_CONSOLIDATED!$C:$C,0)),0)</f>
        <v>0</v>
      </c>
      <c r="K138" s="128">
        <f>-IFERROR(INDEX(HS_CONSOLIDATED!L:L,MATCH("DividendsPaidClassifiedAsFinancingActivities",HS_CONSOLIDATED!$C:$C,0)),0)</f>
        <v>0</v>
      </c>
      <c r="L138" s="128">
        <f>-IFERROR(INDEX(HS_CONSOLIDATED!M:M,MATCH("DividendsPaidClassifiedAsFinancingActivities",HS_CONSOLIDATED!$C:$C,0)),0)</f>
        <v>0</v>
      </c>
      <c r="M138" s="135">
        <f>-M136*(IF('Inputs &amp; Assumptions'!C82="",'Inputs &amp; Assumptions'!C81,'Inputs &amp; Assumptions'!C82))</f>
        <v>0</v>
      </c>
      <c r="N138" s="135">
        <f>-N136*(IF('Inputs &amp; Assumptions'!D82="",'Inputs &amp; Assumptions'!D81,'Inputs &amp; Assumptions'!D82))</f>
        <v>0</v>
      </c>
      <c r="O138" s="135">
        <f>-O136*(IF('Inputs &amp; Assumptions'!E82="",'Inputs &amp; Assumptions'!E81,'Inputs &amp; Assumptions'!E82))</f>
        <v>0</v>
      </c>
      <c r="P138" s="135">
        <f>-P136*(IF('Inputs &amp; Assumptions'!F82="",'Inputs &amp; Assumptions'!F81,'Inputs &amp; Assumptions'!F82))</f>
        <v>0</v>
      </c>
      <c r="Q138" s="135">
        <f>-Q136*(IF('Inputs &amp; Assumptions'!G82="",'Inputs &amp; Assumptions'!G81,'Inputs &amp; Assumptions'!G82))</f>
        <v>0</v>
      </c>
      <c r="R138" s="135">
        <f>-R136*(IF('Inputs &amp; Assumptions'!H82="",'Inputs &amp; Assumptions'!H81,'Inputs &amp; Assumptions'!H82))</f>
        <v>0</v>
      </c>
      <c r="S138" s="135">
        <f>-S136*(IF('Inputs &amp; Assumptions'!I82="",'Inputs &amp; Assumptions'!I81,'Inputs &amp; Assumptions'!I82))</f>
        <v>0</v>
      </c>
      <c r="T138" s="135">
        <f>-T136*(IF('Inputs &amp; Assumptions'!J82="",'Inputs &amp; Assumptions'!J81,'Inputs &amp; Assumptions'!J82))</f>
        <v>0</v>
      </c>
      <c r="U138" s="135">
        <f>-U136*(IF('Inputs &amp; Assumptions'!K82="",'Inputs &amp; Assumptions'!K81,'Inputs &amp; Assumptions'!K82))</f>
        <v>0</v>
      </c>
      <c r="V138" s="135">
        <f>-V136*(IF('Inputs &amp; Assumptions'!L82="",'Inputs &amp; Assumptions'!L81,'Inputs &amp; Assumptions'!L82))</f>
        <v>0</v>
      </c>
    </row>
    <row r="139" spans="1:22">
      <c r="B139" s="92" t="s">
        <v>453</v>
      </c>
      <c r="C139" s="1" t="s">
        <v>329</v>
      </c>
      <c r="D139" s="135">
        <f>IFERROR(INDEX(HS_CONSOLIDATED!E:E,MATCH("OtherEquity",HS_CONSOLIDATED!$C:$C,0)),0)-D135-D136-D137-D138</f>
        <v>-85064200000</v>
      </c>
      <c r="E139" s="135">
        <f>IFERROR(INDEX(HS_CONSOLIDATED!F:F,MATCH("OtherEquity",HS_CONSOLIDATED!$C:$C,0)),0)-E135-E136-E137-E138</f>
        <v>3938600000</v>
      </c>
      <c r="F139" s="135">
        <f>IFERROR(INDEX(HS_CONSOLIDATED!G:G,MATCH("OtherEquity",HS_CONSOLIDATED!$C:$C,0)),0)-F135-F136-F137-F138</f>
        <v>401100000</v>
      </c>
      <c r="G139" s="135">
        <f>IFERROR(INDEX(HS_CONSOLIDATED!H:H,MATCH("OtherEquity",HS_CONSOLIDATED!$C:$C,0)),0)-G135-G136-G137-G138</f>
        <v>653700000</v>
      </c>
      <c r="H139" s="135">
        <f>IFERROR(INDEX(HS_CONSOLIDATED!I:I,MATCH("OtherEquity",HS_CONSOLIDATED!$C:$C,0)),0)-H135-H136-H137-H138</f>
        <v>68706800000</v>
      </c>
      <c r="I139" s="135">
        <f>IFERROR(INDEX(HS_CONSOLIDATED!J:J,MATCH("OtherEquity",HS_CONSOLIDATED!$C:$C,0)),0)-I135-I136-I137-I138</f>
        <v>-765700000</v>
      </c>
      <c r="J139" s="135">
        <f>IFERROR(INDEX(HS_CONSOLIDATED!K:K,MATCH("OtherEquity",HS_CONSOLIDATED!$C:$C,0)),0)-J135-J136-J137-J138</f>
        <v>11615500000</v>
      </c>
      <c r="K139" s="135">
        <f>IFERROR(INDEX(HS_CONSOLIDATED!L:L,MATCH("OtherEquity",HS_CONSOLIDATED!$C:$C,0)),0)-K135-K136-K137-K138</f>
        <v>18270300000</v>
      </c>
      <c r="L139" s="135">
        <f>IFERROR(INDEX(HS_CONSOLIDATED!M:M,MATCH("OtherEquity",HS_CONSOLIDATED!$C:$C,0)),0)-L135-L136-L137-L138</f>
        <v>1270400000</v>
      </c>
      <c r="M139" s="135">
        <v>0</v>
      </c>
      <c r="N139" s="135">
        <v>0</v>
      </c>
      <c r="O139" s="135">
        <v>0</v>
      </c>
      <c r="P139" s="135">
        <v>0</v>
      </c>
      <c r="Q139" s="135">
        <v>0</v>
      </c>
      <c r="R139" s="135">
        <v>0</v>
      </c>
      <c r="S139" s="135">
        <v>0</v>
      </c>
      <c r="T139" s="135">
        <v>0</v>
      </c>
      <c r="U139" s="135">
        <v>0</v>
      </c>
      <c r="V139" s="135">
        <v>0</v>
      </c>
    </row>
    <row r="140" spans="1:22">
      <c r="B140" s="90" t="s">
        <v>454</v>
      </c>
      <c r="C140" s="130">
        <f>IFERROR(INDEX(HS_CONSOLIDATED!D:D,MATCH("OtherEquity",HS_CONSOLIDATED!$C:$C,0)),0)</f>
        <v>0</v>
      </c>
      <c r="D140" s="130">
        <f>IFERROR(INDEX(HS_CONSOLIDATED!E:E,MATCH("OtherEquity",HS_CONSOLIDATED!$C:$C,0)),0)</f>
        <v>-78462100000</v>
      </c>
      <c r="E140" s="130">
        <f>IFERROR(INDEX(HS_CONSOLIDATED!F:F,MATCH("OtherEquity",HS_CONSOLIDATED!$C:$C,0)),0)</f>
        <v>-80308000000</v>
      </c>
      <c r="F140" s="130">
        <f>IFERROR(INDEX(HS_CONSOLIDATED!G:G,MATCH("OtherEquity",HS_CONSOLIDATED!$C:$C,0)),0)</f>
        <v>-95615600000</v>
      </c>
      <c r="G140" s="130">
        <f>IFERROR(INDEX(HS_CONSOLIDATED!H:H,MATCH("OtherEquity",HS_CONSOLIDATED!$C:$C,0)),0)</f>
        <v>-120468900000</v>
      </c>
      <c r="H140" s="130">
        <f>IFERROR(INDEX(HS_CONSOLIDATED!I:I,MATCH("OtherEquity",HS_CONSOLIDATED!$C:$C,0)),0)</f>
        <v>-50446300000</v>
      </c>
      <c r="I140" s="130">
        <f>IFERROR(INDEX(HS_CONSOLIDATED!J:J,MATCH("OtherEquity",HS_CONSOLIDATED!$C:$C,0)),0)</f>
        <v>-53692200000</v>
      </c>
      <c r="J140" s="130">
        <f>IFERROR(INDEX(HS_CONSOLIDATED!K:K,MATCH("OtherEquity",HS_CONSOLIDATED!$C:$C,0)),0)</f>
        <v>-13552600000</v>
      </c>
      <c r="K140" s="130">
        <f>IFERROR(INDEX(HS_CONSOLIDATED!L:L,MATCH("OtherEquity",HS_CONSOLIDATED!$C:$C,0)),0)</f>
        <v>11985900000</v>
      </c>
      <c r="L140" s="130">
        <f>IFERROR(INDEX(HS_CONSOLIDATED!M:M,MATCH("OtherEquity",HS_CONSOLIDATED!$C:$C,0)),0)</f>
        <v>33739300000</v>
      </c>
      <c r="M140" s="130">
        <f t="shared" ref="M140:V140" si="43">M135+M136+M137+M138+M139</f>
        <v>49970995285.762512</v>
      </c>
      <c r="N140" s="130">
        <f t="shared" si="43"/>
        <v>71594540290.026978</v>
      </c>
      <c r="O140" s="130">
        <f t="shared" si="43"/>
        <v>99429869056.678497</v>
      </c>
      <c r="P140" s="130">
        <f t="shared" si="43"/>
        <v>134483947796.25739</v>
      </c>
      <c r="Q140" s="130">
        <f t="shared" si="43"/>
        <v>177776449356.36163</v>
      </c>
      <c r="R140" s="130">
        <f t="shared" si="43"/>
        <v>230321217028.33398</v>
      </c>
      <c r="S140" s="130">
        <f t="shared" si="43"/>
        <v>293111010011.89294</v>
      </c>
      <c r="T140" s="130">
        <f t="shared" si="43"/>
        <v>368356240809.65723</v>
      </c>
      <c r="U140" s="130">
        <f t="shared" si="43"/>
        <v>455720781455.34644</v>
      </c>
      <c r="V140" s="130">
        <f t="shared" si="43"/>
        <v>556073144105.01257</v>
      </c>
    </row>
    <row r="141" spans="1:22">
      <c r="B141" s="99" t="s">
        <v>410</v>
      </c>
      <c r="C141" s="1" t="s">
        <v>329</v>
      </c>
      <c r="D141" s="131">
        <f>D140-IFERROR(INDEX(HS_CONSOLIDATED!E:E,MATCH("OtherEquity",HS_CONSOLIDATED!$C:$C,0)),0)</f>
        <v>0</v>
      </c>
      <c r="E141" s="131">
        <f>E140-IFERROR(INDEX(HS_CONSOLIDATED!F:F,MATCH("OtherEquity",HS_CONSOLIDATED!$C:$C,0)),0)</f>
        <v>0</v>
      </c>
      <c r="F141" s="131">
        <f>F140-IFERROR(INDEX(HS_CONSOLIDATED!G:G,MATCH("OtherEquity",HS_CONSOLIDATED!$C:$C,0)),0)</f>
        <v>0</v>
      </c>
      <c r="G141" s="131">
        <f>G140-IFERROR(INDEX(HS_CONSOLIDATED!H:H,MATCH("OtherEquity",HS_CONSOLIDATED!$C:$C,0)),0)</f>
        <v>0</v>
      </c>
      <c r="H141" s="131">
        <f>H140-IFERROR(INDEX(HS_CONSOLIDATED!I:I,MATCH("OtherEquity",HS_CONSOLIDATED!$C:$C,0)),0)</f>
        <v>0</v>
      </c>
      <c r="I141" s="131">
        <f>I140-IFERROR(INDEX(HS_CONSOLIDATED!J:J,MATCH("OtherEquity",HS_CONSOLIDATED!$C:$C,0)),0)</f>
        <v>0</v>
      </c>
      <c r="J141" s="131">
        <f>J140-IFERROR(INDEX(HS_CONSOLIDATED!K:K,MATCH("OtherEquity",HS_CONSOLIDATED!$C:$C,0)),0)</f>
        <v>0</v>
      </c>
      <c r="K141" s="131">
        <f>K140-IFERROR(INDEX(HS_CONSOLIDATED!L:L,MATCH("OtherEquity",HS_CONSOLIDATED!$C:$C,0)),0)</f>
        <v>0</v>
      </c>
      <c r="L141" s="131">
        <f>L140-IFERROR(INDEX(HS_CONSOLIDATED!M:M,MATCH("OtherEquity",HS_CONSOLIDATED!$C:$C,0)),0)</f>
        <v>0</v>
      </c>
    </row>
    <row r="142" spans="1:22">
      <c r="B142" s="1" t="s">
        <v>455</v>
      </c>
      <c r="C142" s="104">
        <f t="shared" ref="C142:L142" si="44">IFERROR(-C138/C136,0)</f>
        <v>0</v>
      </c>
      <c r="D142" s="104">
        <f t="shared" si="44"/>
        <v>0</v>
      </c>
      <c r="E142" s="104">
        <f t="shared" si="44"/>
        <v>0</v>
      </c>
      <c r="F142" s="104">
        <f t="shared" si="44"/>
        <v>0</v>
      </c>
      <c r="G142" s="104">
        <f t="shared" si="44"/>
        <v>0</v>
      </c>
      <c r="H142" s="104">
        <f t="shared" si="44"/>
        <v>0</v>
      </c>
      <c r="I142" s="104">
        <f t="shared" si="44"/>
        <v>0</v>
      </c>
      <c r="J142" s="104">
        <f t="shared" si="44"/>
        <v>0</v>
      </c>
      <c r="K142" s="104">
        <f t="shared" si="44"/>
        <v>0</v>
      </c>
      <c r="L142" s="104">
        <f t="shared" si="44"/>
        <v>0</v>
      </c>
    </row>
    <row r="144" spans="1:22" ht="45" customHeight="1">
      <c r="B144" s="133" t="str">
        <f>IF(OR((Schedules!L93/(Schedules!L93+(Schedules!L132+Schedules!L140)))&lt;0,(Schedules!L93/(Schedules!L93+(Schedules!L132+Schedules!L140)))&gt;0.95),"⚠ Raw Target Debt/Capitalization Ratio ("&amp;TEXT((Schedules!L93/(Schedules!L93+(Schedules!L132+Schedules!L140))),"0.0%")&amp;") is outside a sane [0%,95%] range, driven by negative or near-zero Equity in the last actual year -- clamped to "&amp;TEXT('Inputs &amp; Assumptions'!$C$68,"0.0%")&amp;" for the forecast. A distressed snapshot is not a sustainable target capital structure; if you have a better-informed view of this company's intended target leverage, override it directly in the INPUT cell below.","")</f>
        <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81"/>
  <sheetViews>
    <sheetView showGridLines="0" workbookViewId="0"/>
  </sheetViews>
  <sheetFormatPr defaultRowHeight="14.5"/>
  <cols>
    <col min="1" max="1" width="3" customWidth="1"/>
    <col min="2" max="2" width="65" customWidth="1"/>
    <col min="3" max="16" width="17" customWidth="1"/>
  </cols>
  <sheetData>
    <row r="1" spans="1:17" ht="18.5">
      <c r="A1" s="2"/>
      <c r="B1" s="87" t="s">
        <v>456</v>
      </c>
      <c r="C1" s="2"/>
      <c r="D1" s="2"/>
      <c r="E1" s="2"/>
      <c r="F1" s="2"/>
      <c r="G1" s="2"/>
      <c r="H1" s="2"/>
      <c r="I1" s="2"/>
      <c r="J1" s="2"/>
      <c r="K1" s="2"/>
      <c r="L1" s="2"/>
      <c r="M1" s="2"/>
      <c r="N1" s="2"/>
      <c r="O1" s="2"/>
      <c r="P1" s="2"/>
      <c r="Q1" s="2"/>
    </row>
    <row r="2" spans="1:17">
      <c r="B2" s="88" t="s">
        <v>457</v>
      </c>
    </row>
    <row r="4" spans="1:17" ht="15.5">
      <c r="A4" s="2"/>
      <c r="B4" s="3" t="s">
        <v>458</v>
      </c>
      <c r="C4" s="2"/>
      <c r="D4" s="2"/>
      <c r="E4" s="2"/>
      <c r="F4" s="2"/>
      <c r="G4" s="2"/>
      <c r="H4" s="2"/>
      <c r="I4" s="2"/>
      <c r="J4" s="2"/>
      <c r="K4" s="2"/>
      <c r="L4" s="2"/>
      <c r="M4" s="2"/>
      <c r="N4" s="2"/>
      <c r="O4" s="2"/>
      <c r="P4" s="2"/>
      <c r="Q4" s="2"/>
    </row>
    <row r="6" spans="1:17">
      <c r="C6" s="89" t="s">
        <v>459</v>
      </c>
      <c r="D6" s="89" t="s">
        <v>460</v>
      </c>
      <c r="E6" s="89" t="s">
        <v>461</v>
      </c>
      <c r="F6" s="89" t="s">
        <v>462</v>
      </c>
      <c r="G6" s="89" t="s">
        <v>463</v>
      </c>
      <c r="H6" s="89" t="s">
        <v>464</v>
      </c>
      <c r="I6" s="89" t="s">
        <v>465</v>
      </c>
      <c r="J6" s="89" t="s">
        <v>466</v>
      </c>
      <c r="K6" s="89" t="s">
        <v>467</v>
      </c>
      <c r="L6" s="89" t="s">
        <v>40</v>
      </c>
      <c r="M6" s="89" t="s">
        <v>41</v>
      </c>
      <c r="N6" s="89" t="s">
        <v>42</v>
      </c>
      <c r="O6" s="89" t="s">
        <v>43</v>
      </c>
      <c r="P6" s="89" t="s">
        <v>44</v>
      </c>
    </row>
    <row r="7" spans="1:17">
      <c r="B7" s="1" t="s">
        <v>468</v>
      </c>
      <c r="L7" s="104">
        <f>AVERAGE(G26:K26)</f>
        <v>0.35224238464711949</v>
      </c>
      <c r="M7" s="104">
        <f>AVERAGE(G26:K26)</f>
        <v>0.35224238464711949</v>
      </c>
      <c r="N7" s="104">
        <f>AVERAGE(G26:K26)</f>
        <v>0.35224238464711949</v>
      </c>
      <c r="O7" s="104">
        <f>AVERAGE(G26:K26)</f>
        <v>0.35224238464711949</v>
      </c>
      <c r="P7" s="104">
        <f>AVERAGE(G26:K26)</f>
        <v>0.35224238464711949</v>
      </c>
    </row>
    <row r="8" spans="1:17">
      <c r="B8" s="90" t="s">
        <v>469</v>
      </c>
      <c r="L8" s="96">
        <v>0.05</v>
      </c>
      <c r="M8" s="96">
        <v>0.05</v>
      </c>
      <c r="N8" s="96">
        <v>0.05</v>
      </c>
      <c r="O8" s="96">
        <v>0.05</v>
      </c>
      <c r="P8" s="96">
        <v>0.05</v>
      </c>
    </row>
    <row r="10" spans="1:17">
      <c r="B10" s="1" t="s">
        <v>470</v>
      </c>
      <c r="L10" s="104">
        <f>AVERAGE(G35/G34,H35/H34,I35/I34,J35/J34,K35/K34)</f>
        <v>0.60107946509179178</v>
      </c>
      <c r="M10" s="104">
        <f>AVERAGE(G35/G34,H35/H34,I35/I34,J35/J34,K35/K34)</f>
        <v>0.60107946509179178</v>
      </c>
      <c r="N10" s="104">
        <f>AVERAGE(G35/G34,H35/H34,I35/I34,J35/J34,K35/K34)</f>
        <v>0.60107946509179178</v>
      </c>
      <c r="O10" s="104">
        <f>AVERAGE(G35/G34,H35/H34,I35/I34,J35/J34,K35/K34)</f>
        <v>0.60107946509179178</v>
      </c>
      <c r="P10" s="104">
        <f>AVERAGE(G35/G34,H35/H34,I35/I34,J35/J34,K35/K34)</f>
        <v>0.60107946509179178</v>
      </c>
    </row>
    <row r="11" spans="1:17">
      <c r="B11" s="90" t="s">
        <v>471</v>
      </c>
      <c r="L11" s="96">
        <v>0.72</v>
      </c>
      <c r="M11" s="96">
        <v>0.72</v>
      </c>
      <c r="N11" s="96">
        <v>0.72</v>
      </c>
      <c r="O11" s="96">
        <v>0.72</v>
      </c>
      <c r="P11" s="96">
        <v>0.72</v>
      </c>
    </row>
    <row r="13" spans="1:17">
      <c r="B13" s="1" t="s">
        <v>472</v>
      </c>
      <c r="L13" s="104">
        <f>AVERAGE(G69/G34,H69/H34,I69/I34,J69/J34,K69/K34)</f>
        <v>1.7824296353931849E-2</v>
      </c>
      <c r="M13" s="104">
        <f>AVERAGE(G69/G34,H69/H34,I69/I34,J69/J34,K69/K34)</f>
        <v>1.7824296353931849E-2</v>
      </c>
      <c r="N13" s="104">
        <f>AVERAGE(G69/G34,H69/H34,I69/I34,J69/J34,K69/K34)</f>
        <v>1.7824296353931849E-2</v>
      </c>
      <c r="O13" s="104">
        <f>AVERAGE(G69/G34,H69/H34,I69/I34,J69/J34,K69/K34)</f>
        <v>1.7824296353931849E-2</v>
      </c>
      <c r="P13" s="104">
        <f>AVERAGE(G69/G34,H69/H34,I69/I34,J69/J34,K69/K34)</f>
        <v>1.7824296353931849E-2</v>
      </c>
    </row>
    <row r="14" spans="1:17">
      <c r="B14" s="90" t="s">
        <v>473</v>
      </c>
      <c r="L14" s="96">
        <v>0.02</v>
      </c>
      <c r="M14" s="96">
        <v>0.02</v>
      </c>
      <c r="N14" s="96">
        <v>0.02</v>
      </c>
      <c r="O14" s="96">
        <v>0.02</v>
      </c>
      <c r="P14" s="96">
        <v>0.02</v>
      </c>
    </row>
    <row r="16" spans="1:17">
      <c r="B16" s="1" t="s">
        <v>474</v>
      </c>
    </row>
    <row r="17" spans="1:17">
      <c r="B17" s="90" t="s">
        <v>475</v>
      </c>
      <c r="L17" s="102">
        <v>20</v>
      </c>
    </row>
    <row r="19" spans="1:17" ht="18.5">
      <c r="A19" s="2"/>
      <c r="B19" s="87" t="s">
        <v>476</v>
      </c>
      <c r="C19" s="2"/>
      <c r="D19" s="2"/>
      <c r="E19" s="2"/>
      <c r="F19" s="2"/>
      <c r="G19" s="2"/>
      <c r="H19" s="2"/>
      <c r="I19" s="2"/>
      <c r="J19" s="2"/>
      <c r="K19" s="2"/>
      <c r="L19" s="2"/>
      <c r="M19" s="2"/>
      <c r="N19" s="2"/>
      <c r="O19" s="2"/>
      <c r="P19" s="2"/>
      <c r="Q19" s="2"/>
    </row>
    <row r="20" spans="1:17">
      <c r="B20" s="88" t="s">
        <v>477</v>
      </c>
    </row>
    <row r="22" spans="1:17" ht="15.5">
      <c r="A22" s="2"/>
      <c r="B22" s="3" t="s">
        <v>367</v>
      </c>
      <c r="C22" s="2"/>
      <c r="D22" s="2"/>
      <c r="E22" s="2"/>
      <c r="F22" s="2"/>
      <c r="G22" s="2"/>
      <c r="H22" s="2"/>
      <c r="I22" s="2"/>
      <c r="J22" s="2"/>
      <c r="K22" s="2"/>
      <c r="L22" s="2"/>
      <c r="M22" s="2"/>
      <c r="N22" s="2"/>
      <c r="O22" s="2"/>
      <c r="P22" s="2"/>
      <c r="Q22" s="2"/>
    </row>
    <row r="24" spans="1:17">
      <c r="C24" s="89" t="s">
        <v>459</v>
      </c>
      <c r="D24" s="89" t="s">
        <v>460</v>
      </c>
      <c r="E24" s="89" t="s">
        <v>461</v>
      </c>
      <c r="F24" s="89" t="s">
        <v>462</v>
      </c>
      <c r="G24" s="89" t="s">
        <v>463</v>
      </c>
      <c r="H24" s="89" t="s">
        <v>464</v>
      </c>
      <c r="I24" s="89" t="s">
        <v>465</v>
      </c>
      <c r="J24" s="89" t="s">
        <v>466</v>
      </c>
      <c r="K24" s="89" t="s">
        <v>467</v>
      </c>
      <c r="L24" s="89" t="s">
        <v>40</v>
      </c>
      <c r="M24" s="89" t="s">
        <v>41</v>
      </c>
      <c r="N24" s="89" t="s">
        <v>42</v>
      </c>
      <c r="O24" s="89" t="s">
        <v>43</v>
      </c>
      <c r="P24" s="89" t="s">
        <v>44</v>
      </c>
    </row>
    <row r="25" spans="1:17">
      <c r="B25" s="90" t="s">
        <v>270</v>
      </c>
      <c r="C25" s="100">
        <f>HIST_CON!F7</f>
        <v>127143700000</v>
      </c>
      <c r="D25" s="100">
        <f>HIST_CON!G7</f>
        <v>83338400000</v>
      </c>
      <c r="E25" s="100">
        <f>HIST_CON!H7</f>
        <v>50246900000</v>
      </c>
      <c r="F25" s="100">
        <f>HIST_CON!I7</f>
        <v>29728500000</v>
      </c>
      <c r="G25" s="100">
        <f>HIST_CON!J7</f>
        <v>33457200000</v>
      </c>
      <c r="H25" s="100">
        <f>HIST_CON!K7</f>
        <v>65817800000</v>
      </c>
      <c r="I25" s="100">
        <f>HIST_CON!L7</f>
        <v>59705300000</v>
      </c>
      <c r="J25" s="100">
        <f>HIST_CON!M7</f>
        <v>65290900000</v>
      </c>
      <c r="K25" s="100">
        <f>HIST_CON!N7</f>
        <v>108897400000</v>
      </c>
      <c r="L25" s="97">
        <f>K25*(1+L8)</f>
        <v>114342270000</v>
      </c>
      <c r="M25" s="97">
        <f>L25*(1+M8)</f>
        <v>120059383500</v>
      </c>
      <c r="N25" s="97">
        <f>M25*(1+N8)</f>
        <v>126062352675</v>
      </c>
      <c r="O25" s="97">
        <f>N25*(1+O8)</f>
        <v>132365470308.75</v>
      </c>
      <c r="P25" s="97">
        <f>O25*(1+P8)</f>
        <v>138983743824.1875</v>
      </c>
    </row>
    <row r="26" spans="1:17">
      <c r="B26" s="92" t="s">
        <v>478</v>
      </c>
      <c r="D26" s="103">
        <f t="shared" ref="D26:K26" si="0">D25/C25-1</f>
        <v>-0.34453378342772789</v>
      </c>
      <c r="E26" s="103">
        <f t="shared" si="0"/>
        <v>-0.39707385790943905</v>
      </c>
      <c r="F26" s="103">
        <f t="shared" si="0"/>
        <v>-0.40835155999673611</v>
      </c>
      <c r="G26" s="103">
        <f t="shared" si="0"/>
        <v>0.12542509712901762</v>
      </c>
      <c r="H26" s="103">
        <f t="shared" si="0"/>
        <v>0.96722379637267908</v>
      </c>
      <c r="I26" s="103">
        <f t="shared" si="0"/>
        <v>-9.2870013886820924E-2</v>
      </c>
      <c r="J26" s="103">
        <f t="shared" si="0"/>
        <v>9.3552833668032909E-2</v>
      </c>
      <c r="K26" s="103">
        <f t="shared" si="0"/>
        <v>0.6678802099526886</v>
      </c>
      <c r="L26" s="103">
        <f>L8</f>
        <v>0.05</v>
      </c>
      <c r="M26" s="103">
        <f>M8</f>
        <v>0.05</v>
      </c>
      <c r="N26" s="103">
        <f>N8</f>
        <v>0.05</v>
      </c>
      <c r="O26" s="103">
        <f>O8</f>
        <v>0.05</v>
      </c>
      <c r="P26" s="103">
        <f>P8</f>
        <v>0.05</v>
      </c>
    </row>
    <row r="28" spans="1:17" ht="18.5">
      <c r="A28" s="2"/>
      <c r="B28" s="87" t="s">
        <v>479</v>
      </c>
      <c r="C28" s="2"/>
      <c r="D28" s="2"/>
      <c r="E28" s="2"/>
      <c r="F28" s="2"/>
      <c r="G28" s="2"/>
      <c r="H28" s="2"/>
      <c r="I28" s="2"/>
      <c r="J28" s="2"/>
      <c r="K28" s="2"/>
      <c r="L28" s="2"/>
      <c r="M28" s="2"/>
      <c r="N28" s="2"/>
      <c r="O28" s="2"/>
      <c r="P28" s="2"/>
      <c r="Q28" s="2"/>
    </row>
    <row r="29" spans="1:17">
      <c r="B29" s="88" t="s">
        <v>480</v>
      </c>
    </row>
    <row r="31" spans="1:17" ht="15.5">
      <c r="A31" s="2"/>
      <c r="B31" s="3" t="s">
        <v>382</v>
      </c>
      <c r="C31" s="2"/>
      <c r="D31" s="2"/>
      <c r="E31" s="2"/>
      <c r="F31" s="2"/>
      <c r="G31" s="2"/>
      <c r="H31" s="2"/>
      <c r="I31" s="2"/>
      <c r="J31" s="2"/>
      <c r="K31" s="2"/>
      <c r="L31" s="2"/>
      <c r="M31" s="2"/>
      <c r="N31" s="2"/>
      <c r="O31" s="2"/>
      <c r="P31" s="2"/>
      <c r="Q31" s="2"/>
    </row>
    <row r="33" spans="1:17">
      <c r="C33" s="89" t="s">
        <v>459</v>
      </c>
      <c r="D33" s="89" t="s">
        <v>460</v>
      </c>
      <c r="E33" s="89" t="s">
        <v>461</v>
      </c>
      <c r="F33" s="89" t="s">
        <v>462</v>
      </c>
      <c r="G33" s="89" t="s">
        <v>463</v>
      </c>
      <c r="H33" s="89" t="s">
        <v>464</v>
      </c>
      <c r="I33" s="89" t="s">
        <v>465</v>
      </c>
      <c r="J33" s="89" t="s">
        <v>466</v>
      </c>
      <c r="K33" s="89" t="s">
        <v>467</v>
      </c>
      <c r="L33" s="89" t="s">
        <v>40</v>
      </c>
      <c r="M33" s="89" t="s">
        <v>41</v>
      </c>
      <c r="N33" s="89" t="s">
        <v>42</v>
      </c>
      <c r="O33" s="89" t="s">
        <v>43</v>
      </c>
      <c r="P33" s="89" t="s">
        <v>44</v>
      </c>
    </row>
    <row r="34" spans="1:17">
      <c r="B34" s="90" t="s">
        <v>481</v>
      </c>
      <c r="C34" s="97">
        <f t="shared" ref="C34:P34" si="1">C25</f>
        <v>127143700000</v>
      </c>
      <c r="D34" s="97">
        <f t="shared" si="1"/>
        <v>83338400000</v>
      </c>
      <c r="E34" s="97">
        <f t="shared" si="1"/>
        <v>50246900000</v>
      </c>
      <c r="F34" s="97">
        <f t="shared" si="1"/>
        <v>29728500000</v>
      </c>
      <c r="G34" s="97">
        <f t="shared" si="1"/>
        <v>33457200000</v>
      </c>
      <c r="H34" s="97">
        <f t="shared" si="1"/>
        <v>65817800000</v>
      </c>
      <c r="I34" s="97">
        <f t="shared" si="1"/>
        <v>59705300000</v>
      </c>
      <c r="J34" s="97">
        <f t="shared" si="1"/>
        <v>65290900000</v>
      </c>
      <c r="K34" s="97">
        <f t="shared" si="1"/>
        <v>108897400000</v>
      </c>
      <c r="L34" s="97">
        <f t="shared" si="1"/>
        <v>114342270000</v>
      </c>
      <c r="M34" s="97">
        <f t="shared" si="1"/>
        <v>120059383500</v>
      </c>
      <c r="N34" s="97">
        <f t="shared" si="1"/>
        <v>126062352675</v>
      </c>
      <c r="O34" s="97">
        <f t="shared" si="1"/>
        <v>132365470308.75</v>
      </c>
      <c r="P34" s="97">
        <f t="shared" si="1"/>
        <v>138983743824.1875</v>
      </c>
    </row>
    <row r="35" spans="1:17">
      <c r="B35" s="90" t="s">
        <v>482</v>
      </c>
      <c r="C35" s="91">
        <f>-SUM(HIST_CON!F11:F13)</f>
        <v>75428900000</v>
      </c>
      <c r="D35" s="91">
        <f>-SUM(HIST_CON!G11:G13)</f>
        <v>51157100000</v>
      </c>
      <c r="E35" s="91">
        <f>-SUM(HIST_CON!H11:H13)</f>
        <v>29983500000</v>
      </c>
      <c r="F35" s="91">
        <f>-SUM(HIST_CON!I11:I13)</f>
        <v>18735100000</v>
      </c>
      <c r="G35" s="91">
        <f>-SUM(HIST_CON!J11:J13)</f>
        <v>15772700000</v>
      </c>
      <c r="H35" s="91">
        <f>-SUM(HIST_CON!K11:K13)</f>
        <v>43315600000</v>
      </c>
      <c r="I35" s="91">
        <f>-SUM(HIST_CON!L11:L13)</f>
        <v>37826600000</v>
      </c>
      <c r="J35" s="91">
        <f>-SUM(HIST_CON!M11:M13)</f>
        <v>39821300000</v>
      </c>
      <c r="K35" s="91">
        <f>-SUM(HIST_CON!N11:N13)</f>
        <v>68866000000</v>
      </c>
      <c r="L35" s="97">
        <f>L34*L11</f>
        <v>82326434400</v>
      </c>
      <c r="M35" s="97">
        <f>M34*M11</f>
        <v>86442756120</v>
      </c>
      <c r="N35" s="97">
        <f>N34*N11</f>
        <v>90764893926</v>
      </c>
      <c r="O35" s="97">
        <f>O34*O11</f>
        <v>95303138622.300003</v>
      </c>
      <c r="P35" s="97">
        <f>P34*P11</f>
        <v>100068295553.41499</v>
      </c>
    </row>
    <row r="37" spans="1:17">
      <c r="B37" s="90" t="s">
        <v>483</v>
      </c>
      <c r="C37" s="100">
        <f>HIST_CON!F52</f>
        <v>36275300000</v>
      </c>
      <c r="D37" s="100">
        <f>HIST_CON!G52</f>
        <v>29851500000</v>
      </c>
      <c r="E37" s="100">
        <f>HIST_CON!H52</f>
        <v>18805900000</v>
      </c>
      <c r="F37" s="100">
        <f>HIST_CON!I52</f>
        <v>13645400000</v>
      </c>
      <c r="G37" s="100">
        <f>HIST_CON!J52</f>
        <v>11897200000</v>
      </c>
      <c r="H37" s="100">
        <f>HIST_CON!K52</f>
        <v>13769500000</v>
      </c>
      <c r="I37" s="100">
        <f>HIST_CON!L52</f>
        <v>11704400000</v>
      </c>
      <c r="J37" s="100">
        <f>HIST_CON!M52</f>
        <v>18295800000</v>
      </c>
      <c r="K37" s="100">
        <f>HIST_CON!N52</f>
        <v>38663500000</v>
      </c>
      <c r="L37" s="97">
        <f t="shared" ref="L37:P38" si="2">(L43/365)*L34</f>
        <v>31926696539.008739</v>
      </c>
      <c r="M37" s="97">
        <f t="shared" si="2"/>
        <v>33523031365.959175</v>
      </c>
      <c r="N37" s="97">
        <f t="shared" si="2"/>
        <v>35199182934.257133</v>
      </c>
      <c r="O37" s="97">
        <f t="shared" si="2"/>
        <v>36959142080.969994</v>
      </c>
      <c r="P37" s="97">
        <f t="shared" si="2"/>
        <v>38807099185.018494</v>
      </c>
    </row>
    <row r="38" spans="1:17">
      <c r="B38" s="90" t="s">
        <v>484</v>
      </c>
      <c r="C38" s="100">
        <f>HIST_CON!F51</f>
        <v>34688400000</v>
      </c>
      <c r="D38" s="100">
        <f>HIST_CON!G51</f>
        <v>30263700000</v>
      </c>
      <c r="E38" s="100">
        <f>HIST_CON!H51</f>
        <v>29139300000</v>
      </c>
      <c r="F38" s="100">
        <f>HIST_CON!I51</f>
        <v>20555900000</v>
      </c>
      <c r="G38" s="100">
        <f>HIST_CON!J51</f>
        <v>21727600000</v>
      </c>
      <c r="H38" s="100">
        <f>HIST_CON!K51</f>
        <v>22079000000</v>
      </c>
      <c r="I38" s="100">
        <f>HIST_CON!L51</f>
        <v>18271300000</v>
      </c>
      <c r="J38" s="100">
        <f>HIST_CON!M51</f>
        <v>22922900000</v>
      </c>
      <c r="K38" s="100">
        <f>HIST_CON!N51</f>
        <v>32335500000</v>
      </c>
      <c r="L38" s="97">
        <f t="shared" si="2"/>
        <v>56236907935.053467</v>
      </c>
      <c r="M38" s="97">
        <f t="shared" si="2"/>
        <v>59048753331.806137</v>
      </c>
      <c r="N38" s="97">
        <f t="shared" si="2"/>
        <v>62001190998.396446</v>
      </c>
      <c r="O38" s="97">
        <f t="shared" si="2"/>
        <v>65101250548.316269</v>
      </c>
      <c r="P38" s="97">
        <f t="shared" si="2"/>
        <v>68356313075.732079</v>
      </c>
    </row>
    <row r="39" spans="1:17">
      <c r="B39" s="90" t="s">
        <v>485</v>
      </c>
      <c r="C39" s="100">
        <f>HIST_CON!F87</f>
        <v>48122500000</v>
      </c>
      <c r="D39" s="100">
        <f>HIST_CON!G87</f>
        <v>25266000000</v>
      </c>
      <c r="E39" s="100">
        <f>HIST_CON!H87</f>
        <v>21751900000</v>
      </c>
      <c r="F39" s="100">
        <f>HIST_CON!I87</f>
        <v>12981800000</v>
      </c>
      <c r="G39" s="100">
        <f>HIST_CON!J87</f>
        <v>15819900000</v>
      </c>
      <c r="H39" s="100">
        <f>HIST_CON!K87</f>
        <v>18404900000</v>
      </c>
      <c r="I39" s="100">
        <f>HIST_CON!L87</f>
        <v>8946400000</v>
      </c>
      <c r="J39" s="100">
        <f>HIST_CON!M87</f>
        <v>17957800000</v>
      </c>
      <c r="K39" s="100">
        <f>HIST_CON!N87</f>
        <v>29351400000</v>
      </c>
      <c r="L39" s="97">
        <f>(L46/365)*L45</f>
        <v>50922543758.962585</v>
      </c>
      <c r="M39" s="97">
        <f>(M46/365)*M45</f>
        <v>42786064853.788399</v>
      </c>
      <c r="N39" s="97">
        <f>(N46/365)*N45</f>
        <v>44925368096.477814</v>
      </c>
      <c r="O39" s="97">
        <f>(O46/365)*O45</f>
        <v>47171636501.301704</v>
      </c>
      <c r="P39" s="97">
        <f>(P46/365)*P45</f>
        <v>49530218326.366791</v>
      </c>
    </row>
    <row r="41" spans="1:17" ht="15.5">
      <c r="A41" s="2"/>
      <c r="B41" s="3" t="s">
        <v>486</v>
      </c>
      <c r="C41" s="2"/>
      <c r="D41" s="2"/>
      <c r="E41" s="2"/>
      <c r="F41" s="2"/>
      <c r="G41" s="2"/>
      <c r="H41" s="2"/>
      <c r="I41" s="2"/>
      <c r="J41" s="2"/>
      <c r="K41" s="2"/>
      <c r="L41" s="2"/>
      <c r="M41" s="2"/>
      <c r="N41" s="2"/>
      <c r="O41" s="2"/>
      <c r="P41" s="2"/>
      <c r="Q41" s="2"/>
    </row>
    <row r="43" spans="1:17">
      <c r="B43" s="92" t="s">
        <v>487</v>
      </c>
      <c r="C43" s="98">
        <f>RATIO_ANALYSIS!R85</f>
        <v>104.1379517821174</v>
      </c>
      <c r="D43" s="98">
        <f>RATIO_ANALYSIS!S85</f>
        <v>130.7416209094487</v>
      </c>
      <c r="E43" s="98">
        <f>RATIO_ANALYSIS!T85</f>
        <v>136.60849724062578</v>
      </c>
      <c r="F43" s="98">
        <f>RATIO_ANALYSIS!U85</f>
        <v>167.53522713894077</v>
      </c>
      <c r="G43" s="98">
        <f>RATIO_ANALYSIS!V85</f>
        <v>129.79203280609255</v>
      </c>
      <c r="H43" s="98">
        <f>RATIO_ANALYSIS!W85</f>
        <v>76.36030830565592</v>
      </c>
      <c r="I43" s="98">
        <f>RATIO_ANALYSIS!X85</f>
        <v>71.553212193892335</v>
      </c>
      <c r="J43" s="98">
        <f>RATIO_ANALYSIS!Y85</f>
        <v>102.28021056533146</v>
      </c>
      <c r="K43" s="98">
        <f>RATIO_ANALYSIS!Z85</f>
        <v>129.5915008071818</v>
      </c>
      <c r="L43" s="93">
        <f>$C$49</f>
        <v>101.91545293563081</v>
      </c>
      <c r="M43" s="93">
        <f>$C$49</f>
        <v>101.91545293563081</v>
      </c>
      <c r="N43" s="93">
        <f>$C$49</f>
        <v>101.91545293563081</v>
      </c>
      <c r="O43" s="93">
        <f>$C$49</f>
        <v>101.91545293563081</v>
      </c>
      <c r="P43" s="93">
        <f>$C$49</f>
        <v>101.91545293563081</v>
      </c>
    </row>
    <row r="44" spans="1:17">
      <c r="B44" s="92" t="s">
        <v>488</v>
      </c>
      <c r="C44" s="93">
        <f t="shared" ref="C44:K44" si="3">(C38/C35)*365</f>
        <v>167.8569619867186</v>
      </c>
      <c r="D44" s="93">
        <f t="shared" si="3"/>
        <v>215.92800412845921</v>
      </c>
      <c r="E44" s="93">
        <f t="shared" si="3"/>
        <v>354.72324778628246</v>
      </c>
      <c r="F44" s="93">
        <f t="shared" si="3"/>
        <v>400.47309595358445</v>
      </c>
      <c r="G44" s="93">
        <f t="shared" si="3"/>
        <v>502.80383193746161</v>
      </c>
      <c r="H44" s="93">
        <f t="shared" si="3"/>
        <v>186.04925246331575</v>
      </c>
      <c r="I44" s="93">
        <f t="shared" si="3"/>
        <v>176.30515298758016</v>
      </c>
      <c r="J44" s="93">
        <f t="shared" si="3"/>
        <v>210.11012950355712</v>
      </c>
      <c r="K44" s="93">
        <f t="shared" si="3"/>
        <v>171.3829393314553</v>
      </c>
      <c r="L44" s="93">
        <f>$C$50</f>
        <v>249.33026124467398</v>
      </c>
      <c r="M44" s="93">
        <f>$C$50</f>
        <v>249.33026124467398</v>
      </c>
      <c r="N44" s="93">
        <f>$C$50</f>
        <v>249.33026124467398</v>
      </c>
      <c r="O44" s="93">
        <f>$C$50</f>
        <v>249.33026124467398</v>
      </c>
      <c r="P44" s="93">
        <f>$C$50</f>
        <v>249.33026124467398</v>
      </c>
    </row>
    <row r="45" spans="1:17">
      <c r="B45" s="92" t="s">
        <v>489</v>
      </c>
      <c r="C45" s="88" t="s">
        <v>490</v>
      </c>
      <c r="D45" s="94">
        <f t="shared" ref="D45:P45" si="4">D35+(D38-C38)</f>
        <v>46732400000</v>
      </c>
      <c r="E45" s="94">
        <f t="shared" si="4"/>
        <v>28859100000</v>
      </c>
      <c r="F45" s="94">
        <f t="shared" si="4"/>
        <v>10151700000</v>
      </c>
      <c r="G45" s="94">
        <f t="shared" si="4"/>
        <v>16944400000</v>
      </c>
      <c r="H45" s="94">
        <f t="shared" si="4"/>
        <v>43667000000</v>
      </c>
      <c r="I45" s="94">
        <f t="shared" si="4"/>
        <v>34018900000</v>
      </c>
      <c r="J45" s="94">
        <f t="shared" si="4"/>
        <v>44472900000</v>
      </c>
      <c r="K45" s="94">
        <f t="shared" si="4"/>
        <v>78278600000</v>
      </c>
      <c r="L45" s="94">
        <f t="shared" si="4"/>
        <v>106227842335.05347</v>
      </c>
      <c r="M45" s="94">
        <f t="shared" si="4"/>
        <v>89254601516.75267</v>
      </c>
      <c r="N45" s="94">
        <f t="shared" si="4"/>
        <v>93717331592.590302</v>
      </c>
      <c r="O45" s="94">
        <f t="shared" si="4"/>
        <v>98403198172.219818</v>
      </c>
      <c r="P45" s="94">
        <f t="shared" si="4"/>
        <v>103323358080.83081</v>
      </c>
    </row>
    <row r="46" spans="1:17">
      <c r="B46" s="92" t="s">
        <v>491</v>
      </c>
      <c r="D46" s="93">
        <f t="shared" ref="D46:K46" si="5">(D39/D45)*365</f>
        <v>197.33824926603384</v>
      </c>
      <c r="E46" s="93">
        <f t="shared" si="5"/>
        <v>275.11057170875046</v>
      </c>
      <c r="F46" s="93">
        <f t="shared" si="5"/>
        <v>466.7550262517608</v>
      </c>
      <c r="G46" s="93">
        <f t="shared" si="5"/>
        <v>340.77710039895186</v>
      </c>
      <c r="H46" s="93">
        <f t="shared" si="5"/>
        <v>153.84131037167657</v>
      </c>
      <c r="I46" s="93">
        <f t="shared" si="5"/>
        <v>95.988876771441753</v>
      </c>
      <c r="J46" s="93">
        <f t="shared" si="5"/>
        <v>147.384069849279</v>
      </c>
      <c r="K46" s="93">
        <f t="shared" si="5"/>
        <v>136.86066179006778</v>
      </c>
      <c r="L46" s="93">
        <f>$C$51</f>
        <v>174.97040383628337</v>
      </c>
      <c r="M46" s="93">
        <f>$C$51</f>
        <v>174.97040383628337</v>
      </c>
      <c r="N46" s="93">
        <f>$C$51</f>
        <v>174.97040383628337</v>
      </c>
      <c r="O46" s="93">
        <f>$C$51</f>
        <v>174.97040383628337</v>
      </c>
      <c r="P46" s="93">
        <f>$C$51</f>
        <v>174.97040383628337</v>
      </c>
    </row>
    <row r="48" spans="1:17">
      <c r="B48" s="90" t="s">
        <v>492</v>
      </c>
    </row>
    <row r="49" spans="1:17">
      <c r="B49" s="92" t="s">
        <v>493</v>
      </c>
      <c r="C49" s="95">
        <f>AVERAGE(G43:K43)</f>
        <v>101.91545293563081</v>
      </c>
    </row>
    <row r="50" spans="1:17">
      <c r="B50" s="92" t="s">
        <v>494</v>
      </c>
      <c r="C50" s="95">
        <f>AVERAGE(G44:K44)</f>
        <v>249.33026124467398</v>
      </c>
    </row>
    <row r="51" spans="1:17">
      <c r="B51" s="92" t="s">
        <v>495</v>
      </c>
      <c r="C51" s="95">
        <f>AVERAGE(G46:K46)</f>
        <v>174.97040383628337</v>
      </c>
    </row>
    <row r="53" spans="1:17" ht="15.5">
      <c r="A53" s="2"/>
      <c r="B53" s="3" t="s">
        <v>496</v>
      </c>
      <c r="C53" s="2"/>
      <c r="D53" s="2"/>
      <c r="E53" s="2"/>
      <c r="F53" s="2"/>
      <c r="G53" s="2"/>
      <c r="H53" s="2"/>
      <c r="I53" s="2"/>
      <c r="J53" s="2"/>
      <c r="K53" s="2"/>
      <c r="L53" s="2"/>
      <c r="M53" s="2"/>
      <c r="N53" s="2"/>
      <c r="O53" s="2"/>
      <c r="P53" s="2"/>
      <c r="Q53" s="2"/>
    </row>
    <row r="55" spans="1:17">
      <c r="B55" s="90" t="s">
        <v>497</v>
      </c>
      <c r="C55" s="97">
        <f t="shared" ref="C55:P55" si="6">C37+C38-C39</f>
        <v>22841200000</v>
      </c>
      <c r="D55" s="97">
        <f t="shared" si="6"/>
        <v>34849200000</v>
      </c>
      <c r="E55" s="97">
        <f t="shared" si="6"/>
        <v>26193300000</v>
      </c>
      <c r="F55" s="97">
        <f t="shared" si="6"/>
        <v>21219500000</v>
      </c>
      <c r="G55" s="97">
        <f t="shared" si="6"/>
        <v>17804900000</v>
      </c>
      <c r="H55" s="97">
        <f t="shared" si="6"/>
        <v>17443600000</v>
      </c>
      <c r="I55" s="97">
        <f t="shared" si="6"/>
        <v>21029300000</v>
      </c>
      <c r="J55" s="97">
        <f t="shared" si="6"/>
        <v>23260900000</v>
      </c>
      <c r="K55" s="97">
        <f t="shared" si="6"/>
        <v>41647600000</v>
      </c>
      <c r="L55" s="97">
        <f t="shared" si="6"/>
        <v>37241060715.099625</v>
      </c>
      <c r="M55" s="97">
        <f t="shared" si="6"/>
        <v>49785719843.976921</v>
      </c>
      <c r="N55" s="97">
        <f t="shared" si="6"/>
        <v>52275005836.175766</v>
      </c>
      <c r="O55" s="97">
        <f t="shared" si="6"/>
        <v>54888756127.98455</v>
      </c>
      <c r="P55" s="97">
        <f t="shared" si="6"/>
        <v>57633193934.383789</v>
      </c>
    </row>
    <row r="56" spans="1:17">
      <c r="B56" s="90" t="s">
        <v>498</v>
      </c>
      <c r="D56" s="97">
        <f t="shared" ref="D56:P56" si="7">C55-D55</f>
        <v>-12008000000</v>
      </c>
      <c r="E56" s="97">
        <f t="shared" si="7"/>
        <v>8655900000</v>
      </c>
      <c r="F56" s="97">
        <f t="shared" si="7"/>
        <v>4973800000</v>
      </c>
      <c r="G56" s="97">
        <f t="shared" si="7"/>
        <v>3414600000</v>
      </c>
      <c r="H56" s="97">
        <f t="shared" si="7"/>
        <v>361300000</v>
      </c>
      <c r="I56" s="97">
        <f t="shared" si="7"/>
        <v>-3585700000</v>
      </c>
      <c r="J56" s="97">
        <f t="shared" si="7"/>
        <v>-2231600000</v>
      </c>
      <c r="K56" s="97">
        <f t="shared" si="7"/>
        <v>-18386700000</v>
      </c>
      <c r="L56" s="97">
        <f t="shared" si="7"/>
        <v>4406539284.9003754</v>
      </c>
      <c r="M56" s="97">
        <f t="shared" si="7"/>
        <v>-12544659128.877296</v>
      </c>
      <c r="N56" s="97">
        <f t="shared" si="7"/>
        <v>-2489285992.1988449</v>
      </c>
      <c r="O56" s="97">
        <f t="shared" si="7"/>
        <v>-2613750291.8087845</v>
      </c>
      <c r="P56" s="97">
        <f t="shared" si="7"/>
        <v>-2744437806.3992386</v>
      </c>
    </row>
    <row r="58" spans="1:17" ht="18.5">
      <c r="A58" s="2"/>
      <c r="B58" s="87" t="s">
        <v>499</v>
      </c>
      <c r="C58" s="2"/>
      <c r="D58" s="2"/>
      <c r="E58" s="2"/>
      <c r="F58" s="2"/>
      <c r="G58" s="2"/>
      <c r="H58" s="2"/>
      <c r="I58" s="2"/>
      <c r="J58" s="2"/>
      <c r="K58" s="2"/>
      <c r="L58" s="2"/>
      <c r="M58" s="2"/>
      <c r="N58" s="2"/>
      <c r="O58" s="2"/>
      <c r="P58" s="2"/>
      <c r="Q58" s="2"/>
    </row>
    <row r="59" spans="1:17">
      <c r="B59" s="88" t="s">
        <v>500</v>
      </c>
    </row>
    <row r="61" spans="1:17" ht="15.5">
      <c r="A61" s="2"/>
      <c r="B61" s="3" t="s">
        <v>501</v>
      </c>
      <c r="C61" s="2"/>
      <c r="D61" s="2"/>
      <c r="E61" s="2"/>
      <c r="F61" s="2"/>
      <c r="G61" s="2"/>
      <c r="H61" s="2"/>
      <c r="I61" s="2"/>
      <c r="J61" s="2"/>
      <c r="K61" s="2"/>
      <c r="L61" s="2"/>
      <c r="M61" s="2"/>
      <c r="N61" s="2"/>
      <c r="O61" s="2"/>
      <c r="P61" s="2"/>
      <c r="Q61" s="2"/>
    </row>
    <row r="63" spans="1:17">
      <c r="C63" s="89" t="s">
        <v>459</v>
      </c>
      <c r="D63" s="89" t="s">
        <v>460</v>
      </c>
      <c r="E63" s="89" t="s">
        <v>461</v>
      </c>
      <c r="F63" s="89" t="s">
        <v>462</v>
      </c>
      <c r="G63" s="89" t="s">
        <v>463</v>
      </c>
      <c r="H63" s="89" t="s">
        <v>464</v>
      </c>
      <c r="I63" s="89" t="s">
        <v>465</v>
      </c>
      <c r="J63" s="89" t="s">
        <v>466</v>
      </c>
      <c r="K63" s="89" t="s">
        <v>467</v>
      </c>
      <c r="L63" s="89" t="s">
        <v>40</v>
      </c>
      <c r="M63" s="89" t="s">
        <v>41</v>
      </c>
      <c r="N63" s="89" t="s">
        <v>42</v>
      </c>
      <c r="O63" s="89" t="s">
        <v>43</v>
      </c>
      <c r="P63" s="89" t="s">
        <v>44</v>
      </c>
    </row>
    <row r="64" spans="1:17">
      <c r="B64" s="92" t="s">
        <v>502</v>
      </c>
      <c r="L64" s="94">
        <f>L14*L34</f>
        <v>2286845400</v>
      </c>
      <c r="M64" s="94">
        <f>M14*M34</f>
        <v>2401187670</v>
      </c>
      <c r="N64" s="94">
        <f>N14*N34</f>
        <v>2521247053.5</v>
      </c>
      <c r="O64" s="94">
        <f>O14*O34</f>
        <v>2647309406.1750002</v>
      </c>
      <c r="P64" s="94">
        <f>P14*P34</f>
        <v>2779674876.4837499</v>
      </c>
    </row>
    <row r="65" spans="2:16">
      <c r="B65" s="92" t="s">
        <v>503</v>
      </c>
      <c r="L65" s="94">
        <f>-$K$80/$L$17</f>
        <v>-411030000</v>
      </c>
      <c r="M65" s="94">
        <f>-$K$80/$L$17</f>
        <v>-411030000</v>
      </c>
      <c r="N65" s="94">
        <f>-$K$80/$L$17</f>
        <v>-411030000</v>
      </c>
      <c r="O65" s="94">
        <f>-$K$80/$L$17</f>
        <v>-411030000</v>
      </c>
      <c r="P65" s="94">
        <f>-$K$80/$L$17</f>
        <v>-411030000</v>
      </c>
    </row>
    <row r="66" spans="2:16">
      <c r="B66" s="92" t="s">
        <v>504</v>
      </c>
      <c r="L66" s="94">
        <f>-(L64)/$L$17</f>
        <v>-114342270</v>
      </c>
      <c r="M66" s="94">
        <f>-(L64+M64)/$L$17</f>
        <v>-234401653.5</v>
      </c>
      <c r="N66" s="94">
        <f>-(L64+M64+N64)/$L$17</f>
        <v>-360464006.17500001</v>
      </c>
      <c r="O66" s="94">
        <f>-(L64+M64+N64+O64)/$L$17</f>
        <v>-492829476.48374999</v>
      </c>
      <c r="P66" s="94">
        <f>-(L64+M64+N64+O64+P64)/$L$17</f>
        <v>-631813220.30793738</v>
      </c>
    </row>
    <row r="68" spans="2:16">
      <c r="B68" s="90" t="s">
        <v>397</v>
      </c>
      <c r="D68" s="97">
        <f t="shared" ref="D68:P68" si="8">C80</f>
        <v>14201800000</v>
      </c>
      <c r="E68" s="97">
        <f t="shared" si="8"/>
        <v>12673200000</v>
      </c>
      <c r="F68" s="97">
        <f t="shared" si="8"/>
        <v>11473200000</v>
      </c>
      <c r="G68" s="97">
        <f t="shared" si="8"/>
        <v>10484300000</v>
      </c>
      <c r="H68" s="97">
        <f t="shared" si="8"/>
        <v>9353100000</v>
      </c>
      <c r="I68" s="97">
        <f t="shared" si="8"/>
        <v>9073300000</v>
      </c>
      <c r="J68" s="97">
        <f t="shared" si="8"/>
        <v>7784500000</v>
      </c>
      <c r="K68" s="97">
        <f t="shared" si="8"/>
        <v>8095100000</v>
      </c>
      <c r="L68" s="97">
        <f t="shared" si="8"/>
        <v>8220600000</v>
      </c>
      <c r="M68" s="97">
        <f t="shared" si="8"/>
        <v>9982073130</v>
      </c>
      <c r="N68" s="97">
        <f t="shared" si="8"/>
        <v>11737829146.5</v>
      </c>
      <c r="O68" s="97">
        <f t="shared" si="8"/>
        <v>13487582193.825001</v>
      </c>
      <c r="P68" s="97">
        <f t="shared" si="8"/>
        <v>15231032123.516251</v>
      </c>
    </row>
    <row r="69" spans="2:16">
      <c r="B69" s="90" t="s">
        <v>505</v>
      </c>
      <c r="C69" s="100">
        <f>HS_CONSOLIDATED!E564</f>
        <v>4467700000</v>
      </c>
      <c r="D69" s="100">
        <f>HS_CONSOLIDATED!F564</f>
        <v>5109400000</v>
      </c>
      <c r="E69" s="100">
        <f>HS_CONSOLIDATED!G564</f>
        <v>1373800000</v>
      </c>
      <c r="F69" s="100">
        <f>HS_CONSOLIDATED!H564</f>
        <v>402100000</v>
      </c>
      <c r="G69" s="100">
        <f>HS_CONSOLIDATED!I564</f>
        <v>231300000</v>
      </c>
      <c r="H69" s="100">
        <f>HS_CONSOLIDATED!J564</f>
        <v>1288300000</v>
      </c>
      <c r="I69" s="100">
        <f>HS_CONSOLIDATED!K564</f>
        <v>907300000</v>
      </c>
      <c r="J69" s="100">
        <f>HS_CONSOLIDATED!L564</f>
        <v>1831600000</v>
      </c>
      <c r="K69" s="100">
        <f>HS_CONSOLIDATED!M564</f>
        <v>2111000000</v>
      </c>
      <c r="L69" s="97">
        <f>L64</f>
        <v>2286845400</v>
      </c>
      <c r="M69" s="97">
        <f>M64</f>
        <v>2401187670</v>
      </c>
      <c r="N69" s="97">
        <f>N64</f>
        <v>2521247053.5</v>
      </c>
      <c r="O69" s="97">
        <f>O64</f>
        <v>2647309406.1750002</v>
      </c>
      <c r="P69" s="97">
        <f>P64</f>
        <v>2779674876.4837499</v>
      </c>
    </row>
    <row r="70" spans="2:16">
      <c r="B70" s="92" t="s">
        <v>506</v>
      </c>
      <c r="C70" s="91">
        <f>HS_CONSOLIDATED!E565</f>
        <v>0</v>
      </c>
      <c r="D70" s="91">
        <f>HS_CONSOLIDATED!F565</f>
        <v>0</v>
      </c>
      <c r="E70" s="91">
        <f>HS_CONSOLIDATED!G565</f>
        <v>0</v>
      </c>
      <c r="F70" s="91">
        <f>HS_CONSOLIDATED!H565</f>
        <v>818300000</v>
      </c>
      <c r="G70" s="91">
        <f>HS_CONSOLIDATED!I565</f>
        <v>0</v>
      </c>
      <c r="H70" s="91">
        <f>HS_CONSOLIDATED!J565</f>
        <v>0</v>
      </c>
      <c r="I70" s="91">
        <f>HS_CONSOLIDATED!K565</f>
        <v>0</v>
      </c>
      <c r="J70" s="91">
        <f>HS_CONSOLIDATED!L565</f>
        <v>0</v>
      </c>
      <c r="K70" s="91">
        <f>HS_CONSOLIDATED!M565</f>
        <v>221700000</v>
      </c>
    </row>
    <row r="71" spans="2:16">
      <c r="B71" s="92" t="s">
        <v>507</v>
      </c>
      <c r="C71" s="91">
        <f>HS_CONSOLIDATED!E566</f>
        <v>-7000000</v>
      </c>
      <c r="D71" s="91">
        <f>HS_CONSOLIDATED!F566</f>
        <v>12600000</v>
      </c>
      <c r="E71" s="91">
        <f>HS_CONSOLIDATED!G566</f>
        <v>28800000</v>
      </c>
      <c r="F71" s="91">
        <f>HS_CONSOLIDATED!H566</f>
        <v>47600000</v>
      </c>
      <c r="G71" s="91">
        <f>HS_CONSOLIDATED!I566</f>
        <v>37700000</v>
      </c>
      <c r="H71" s="91">
        <f>HS_CONSOLIDATED!J566</f>
        <v>0</v>
      </c>
      <c r="I71" s="91">
        <f>HS_CONSOLIDATED!K566</f>
        <v>0</v>
      </c>
      <c r="J71" s="91">
        <f>HS_CONSOLIDATED!L566</f>
        <v>0</v>
      </c>
      <c r="K71" s="91">
        <f>HS_CONSOLIDATED!M566</f>
        <v>0</v>
      </c>
    </row>
    <row r="72" spans="2:16">
      <c r="B72" s="90" t="s">
        <v>401</v>
      </c>
      <c r="C72" s="100">
        <f>HS_CONSOLIDATED!E569</f>
        <v>-2316400000</v>
      </c>
      <c r="D72" s="100">
        <f>HS_CONSOLIDATED!F569</f>
        <v>-2321800000</v>
      </c>
      <c r="E72" s="100">
        <f>HS_CONSOLIDATED!G569</f>
        <v>-2420400000</v>
      </c>
      <c r="F72" s="100">
        <f>HS_CONSOLIDATED!H569</f>
        <v>-1141300000</v>
      </c>
      <c r="G72" s="100">
        <f>HS_CONSOLIDATED!I569</f>
        <v>-1163600000</v>
      </c>
      <c r="H72" s="100">
        <f>HS_CONSOLIDATED!J569</f>
        <v>-1205800000</v>
      </c>
      <c r="I72" s="100">
        <f>HS_CONSOLIDATED!K569</f>
        <v>-1401700000</v>
      </c>
      <c r="J72" s="100">
        <f>HS_CONSOLIDATED!L569</f>
        <v>-1393900000</v>
      </c>
      <c r="K72" s="100">
        <f>HS_CONSOLIDATED!M569</f>
        <v>-1903700000</v>
      </c>
      <c r="L72" s="97">
        <f>L65+L66</f>
        <v>-525372270</v>
      </c>
      <c r="M72" s="97">
        <f>M65+M66</f>
        <v>-645431653.5</v>
      </c>
      <c r="N72" s="97">
        <f>N65+N66</f>
        <v>-771494006.17499995</v>
      </c>
      <c r="O72" s="97">
        <f>O65+O66</f>
        <v>-903859476.48374999</v>
      </c>
      <c r="P72" s="97">
        <f>P65+P66</f>
        <v>-1042843220.3079374</v>
      </c>
    </row>
    <row r="73" spans="2:16">
      <c r="B73" s="92" t="s">
        <v>508</v>
      </c>
      <c r="C73" s="91">
        <f>HS_CONSOLIDATED!E570</f>
        <v>0</v>
      </c>
      <c r="D73" s="91">
        <f>HS_CONSOLIDATED!F570</f>
        <v>0</v>
      </c>
      <c r="E73" s="91">
        <f>HS_CONSOLIDATED!G570</f>
        <v>0</v>
      </c>
      <c r="F73" s="91">
        <f>HS_CONSOLIDATED!H570</f>
        <v>-1656000000</v>
      </c>
      <c r="G73" s="91">
        <f>HS_CONSOLIDATED!I570</f>
        <v>-163100000</v>
      </c>
      <c r="H73" s="91">
        <f>HS_CONSOLIDATED!J570</f>
        <v>-206300000</v>
      </c>
      <c r="I73" s="91">
        <f>HS_CONSOLIDATED!K570</f>
        <v>-216900000</v>
      </c>
      <c r="J73" s="91">
        <f>HS_CONSOLIDATED!L570</f>
        <v>0</v>
      </c>
      <c r="K73" s="91">
        <f>HS_CONSOLIDATED!M570</f>
        <v>-75900000</v>
      </c>
    </row>
    <row r="74" spans="2:16">
      <c r="B74" s="92" t="s">
        <v>403</v>
      </c>
      <c r="C74" s="91">
        <f>HS_CONSOLIDATED!E571</f>
        <v>0</v>
      </c>
      <c r="D74" s="91">
        <f>HS_CONSOLIDATED!F571</f>
        <v>0</v>
      </c>
      <c r="E74" s="91">
        <f>HS_CONSOLIDATED!G571</f>
        <v>0</v>
      </c>
      <c r="F74" s="91">
        <f>HS_CONSOLIDATED!H571</f>
        <v>0</v>
      </c>
      <c r="G74" s="91">
        <f>HS_CONSOLIDATED!I571</f>
        <v>0</v>
      </c>
      <c r="H74" s="91">
        <f>HS_CONSOLIDATED!J571</f>
        <v>0</v>
      </c>
      <c r="I74" s="91">
        <f>HS_CONSOLIDATED!K571</f>
        <v>243400000</v>
      </c>
      <c r="J74" s="91">
        <f>HS_CONSOLIDATED!L571</f>
        <v>0</v>
      </c>
      <c r="K74" s="91">
        <f>HS_CONSOLIDATED!M571</f>
        <v>0</v>
      </c>
    </row>
    <row r="75" spans="2:16">
      <c r="B75" s="92" t="s">
        <v>404</v>
      </c>
      <c r="C75" s="91">
        <f>HS_CONSOLIDATED!E572</f>
        <v>0</v>
      </c>
      <c r="D75" s="91">
        <f>HS_CONSOLIDATED!F572</f>
        <v>0</v>
      </c>
      <c r="E75" s="91">
        <f>HS_CONSOLIDATED!G572</f>
        <v>0</v>
      </c>
      <c r="F75" s="91">
        <f>HS_CONSOLIDATED!H572</f>
        <v>937600000</v>
      </c>
      <c r="G75" s="91">
        <f>HS_CONSOLIDATED!I572</f>
        <v>0</v>
      </c>
      <c r="H75" s="91">
        <f>HS_CONSOLIDATED!J572</f>
        <v>0</v>
      </c>
      <c r="I75" s="91">
        <f>HS_CONSOLIDATED!K572</f>
        <v>0</v>
      </c>
      <c r="J75" s="91">
        <f>HS_CONSOLIDATED!L572</f>
        <v>-3700000</v>
      </c>
      <c r="K75" s="91">
        <f>HS_CONSOLIDATED!M572</f>
        <v>4300000</v>
      </c>
    </row>
    <row r="76" spans="2:16">
      <c r="B76" s="92" t="s">
        <v>509</v>
      </c>
      <c r="C76" s="91">
        <f>HS_CONSOLIDATED!E574</f>
        <v>100000</v>
      </c>
      <c r="D76" s="91">
        <f>HS_CONSOLIDATED!F574</f>
        <v>-9600000</v>
      </c>
      <c r="E76" s="91">
        <f>HS_CONSOLIDATED!G574</f>
        <v>-13500000</v>
      </c>
      <c r="F76" s="91">
        <f>HS_CONSOLIDATED!H574</f>
        <v>-386800000</v>
      </c>
      <c r="G76" s="91">
        <f>HS_CONSOLIDATED!I574</f>
        <v>-19900000</v>
      </c>
      <c r="H76" s="91">
        <f>HS_CONSOLIDATED!J574</f>
        <v>800000</v>
      </c>
      <c r="I76" s="91">
        <f>HS_CONSOLIDATED!K574</f>
        <v>-641600000</v>
      </c>
      <c r="J76" s="91">
        <f>HS_CONSOLIDATED!L574</f>
        <v>-123400000</v>
      </c>
      <c r="K76" s="91">
        <f>HS_CONSOLIDATED!M574</f>
        <v>-1252600000</v>
      </c>
    </row>
    <row r="77" spans="2:16">
      <c r="B77" s="92" t="s">
        <v>510</v>
      </c>
      <c r="C77" s="91">
        <f>-HS_CONSOLIDATED!E578</f>
        <v>-287900000</v>
      </c>
      <c r="D77" s="91">
        <f>-HS_CONSOLIDATED!F578</f>
        <v>-472800000</v>
      </c>
      <c r="E77" s="91">
        <f>-HS_CONSOLIDATED!G578</f>
        <v>-168700000</v>
      </c>
      <c r="F77" s="91">
        <f>-HS_CONSOLIDATED!H578</f>
        <v>-10400000</v>
      </c>
      <c r="G77" s="91">
        <f>-HS_CONSOLIDATED!I578</f>
        <v>-53600000</v>
      </c>
      <c r="H77" s="91">
        <f>-HS_CONSOLIDATED!J578</f>
        <v>-156800000</v>
      </c>
      <c r="I77" s="91">
        <f>-HS_CONSOLIDATED!K578</f>
        <v>-179300000</v>
      </c>
      <c r="J77" s="91">
        <f>-HS_CONSOLIDATED!L578</f>
        <v>0</v>
      </c>
      <c r="K77" s="91">
        <f>-HS_CONSOLIDATED!M578</f>
        <v>1013300000</v>
      </c>
    </row>
    <row r="78" spans="2:16">
      <c r="B78" s="92" t="s">
        <v>511</v>
      </c>
      <c r="C78" s="91">
        <f>-HS_CONSOLIDATED!E579</f>
        <v>0</v>
      </c>
      <c r="D78" s="91">
        <f>-HS_CONSOLIDATED!F579</f>
        <v>-3846400000</v>
      </c>
      <c r="E78" s="91">
        <f>-HS_CONSOLIDATED!G579</f>
        <v>0</v>
      </c>
      <c r="F78" s="91">
        <f>-HS_CONSOLIDATED!H579</f>
        <v>0</v>
      </c>
      <c r="G78" s="91">
        <f>-HS_CONSOLIDATED!I579</f>
        <v>0</v>
      </c>
      <c r="H78" s="91">
        <f>-HS_CONSOLIDATED!J579</f>
        <v>0</v>
      </c>
      <c r="I78" s="91">
        <f>-HS_CONSOLIDATED!K579</f>
        <v>0</v>
      </c>
      <c r="J78" s="91">
        <f>-HS_CONSOLIDATED!L579</f>
        <v>0</v>
      </c>
      <c r="K78" s="91">
        <f>-HS_CONSOLIDATED!M579</f>
        <v>0</v>
      </c>
    </row>
    <row r="79" spans="2:16">
      <c r="B79" s="92" t="s">
        <v>512</v>
      </c>
      <c r="C79" s="91">
        <f>-HS_CONSOLIDATED!E580</f>
        <v>0</v>
      </c>
      <c r="D79" s="91">
        <f>-HS_CONSOLIDATED!F580</f>
        <v>0</v>
      </c>
      <c r="E79" s="91">
        <f>-HS_CONSOLIDATED!G580</f>
        <v>0</v>
      </c>
      <c r="F79" s="91">
        <f>-HS_CONSOLIDATED!H580</f>
        <v>0</v>
      </c>
      <c r="G79" s="91">
        <f>-HS_CONSOLIDATED!I580</f>
        <v>0</v>
      </c>
      <c r="H79" s="91">
        <f>-HS_CONSOLIDATED!J580</f>
        <v>0</v>
      </c>
      <c r="I79" s="91">
        <f>-HS_CONSOLIDATED!K580</f>
        <v>0</v>
      </c>
      <c r="J79" s="91">
        <f>-HS_CONSOLIDATED!L580</f>
        <v>0</v>
      </c>
      <c r="K79" s="91">
        <f>-HS_CONSOLIDATED!M580</f>
        <v>7400000</v>
      </c>
    </row>
    <row r="80" spans="2:16">
      <c r="B80" s="90" t="s">
        <v>409</v>
      </c>
      <c r="C80" s="100">
        <f>HS_CONSOLIDATED!E582</f>
        <v>14201800000</v>
      </c>
      <c r="D80" s="97">
        <f t="shared" ref="D80:P80" si="9">SUM(D68:D79)</f>
        <v>12673200000</v>
      </c>
      <c r="E80" s="97">
        <f t="shared" si="9"/>
        <v>11473200000</v>
      </c>
      <c r="F80" s="97">
        <f t="shared" si="9"/>
        <v>10484300000</v>
      </c>
      <c r="G80" s="97">
        <f t="shared" si="9"/>
        <v>9353100000</v>
      </c>
      <c r="H80" s="97">
        <f t="shared" si="9"/>
        <v>9073300000</v>
      </c>
      <c r="I80" s="97">
        <f t="shared" si="9"/>
        <v>7784500000</v>
      </c>
      <c r="J80" s="97">
        <f t="shared" si="9"/>
        <v>8095100000</v>
      </c>
      <c r="K80" s="97">
        <f t="shared" si="9"/>
        <v>8220600000</v>
      </c>
      <c r="L80" s="97">
        <f t="shared" si="9"/>
        <v>9982073130</v>
      </c>
      <c r="M80" s="97">
        <f t="shared" si="9"/>
        <v>11737829146.5</v>
      </c>
      <c r="N80" s="97">
        <f t="shared" si="9"/>
        <v>13487582193.825001</v>
      </c>
      <c r="O80" s="97">
        <f t="shared" si="9"/>
        <v>15231032123.516251</v>
      </c>
      <c r="P80" s="97">
        <f t="shared" si="9"/>
        <v>16967863779.692062</v>
      </c>
    </row>
    <row r="81" spans="2:11">
      <c r="B81" s="1" t="s">
        <v>513</v>
      </c>
      <c r="D81" s="101">
        <f>D80-HS_CONSOLIDATED!F582</f>
        <v>0</v>
      </c>
      <c r="E81" s="101">
        <f>E80-HS_CONSOLIDATED!G582</f>
        <v>0</v>
      </c>
      <c r="F81" s="101">
        <f>F80-HS_CONSOLIDATED!H582</f>
        <v>0</v>
      </c>
      <c r="G81" s="101">
        <f>G80-HS_CONSOLIDATED!I582</f>
        <v>0</v>
      </c>
      <c r="H81" s="101">
        <f>H80-HS_CONSOLIDATED!J582</f>
        <v>0</v>
      </c>
      <c r="I81" s="101">
        <f>I80-HS_CONSOLIDATED!K582</f>
        <v>0</v>
      </c>
      <c r="J81" s="101">
        <f>J80-HS_CONSOLIDATED!L582</f>
        <v>0</v>
      </c>
      <c r="K81" s="101">
        <f>K80-HS_CONSOLIDATED!M582</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32"/>
  <sheetViews>
    <sheetView showGridLines="0" workbookViewId="0"/>
  </sheetViews>
  <sheetFormatPr defaultRowHeight="14.5"/>
  <cols>
    <col min="1" max="1" width="3.453125" customWidth="1"/>
    <col min="2" max="2" width="65" customWidth="1"/>
    <col min="3" max="23" width="17" customWidth="1"/>
  </cols>
  <sheetData>
    <row r="1" spans="1:22" ht="21">
      <c r="A1" t="s">
        <v>27</v>
      </c>
      <c r="B1" s="137" t="s">
        <v>514</v>
      </c>
    </row>
    <row r="5" spans="1:22">
      <c r="B5" s="115" t="s">
        <v>515</v>
      </c>
      <c r="C5" s="115" t="s">
        <v>30</v>
      </c>
      <c r="D5" s="115" t="s">
        <v>31</v>
      </c>
      <c r="E5" s="115" t="s">
        <v>32</v>
      </c>
      <c r="F5" s="115" t="s">
        <v>33</v>
      </c>
      <c r="G5" s="115" t="s">
        <v>34</v>
      </c>
      <c r="H5" s="115" t="s">
        <v>35</v>
      </c>
      <c r="I5" s="115" t="s">
        <v>36</v>
      </c>
      <c r="J5" s="115" t="s">
        <v>37</v>
      </c>
      <c r="K5" s="115" t="s">
        <v>38</v>
      </c>
      <c r="L5" s="115" t="s">
        <v>39</v>
      </c>
      <c r="M5" s="115" t="s">
        <v>40</v>
      </c>
      <c r="N5" s="115" t="s">
        <v>41</v>
      </c>
      <c r="O5" s="115" t="s">
        <v>42</v>
      </c>
      <c r="P5" s="115" t="s">
        <v>43</v>
      </c>
      <c r="Q5" s="115" t="s">
        <v>44</v>
      </c>
      <c r="R5" s="115" t="s">
        <v>45</v>
      </c>
      <c r="S5" s="115" t="s">
        <v>46</v>
      </c>
      <c r="T5" s="115" t="s">
        <v>47</v>
      </c>
      <c r="U5" s="115" t="s">
        <v>48</v>
      </c>
      <c r="V5" s="115" t="s">
        <v>49</v>
      </c>
    </row>
    <row r="7" spans="1:22">
      <c r="B7" s="92" t="s">
        <v>270</v>
      </c>
      <c r="C7" s="128">
        <f>Schedules!C8</f>
        <v>0</v>
      </c>
      <c r="D7" s="128">
        <f>Schedules!D8</f>
        <v>127143700000</v>
      </c>
      <c r="E7" s="128">
        <f>Schedules!E8</f>
        <v>83338400000</v>
      </c>
      <c r="F7" s="128">
        <f>Schedules!F8</f>
        <v>50246900000</v>
      </c>
      <c r="G7" s="128">
        <f>Schedules!G8</f>
        <v>29728500000</v>
      </c>
      <c r="H7" s="128">
        <f>Schedules!H8</f>
        <v>33457200000</v>
      </c>
      <c r="I7" s="128">
        <f>Schedules!I8</f>
        <v>65817800000</v>
      </c>
      <c r="J7" s="128">
        <f>Schedules!J8</f>
        <v>59705300000</v>
      </c>
      <c r="K7" s="128">
        <f>Schedules!K8</f>
        <v>65290900000</v>
      </c>
      <c r="L7" s="128">
        <f>Schedules!L8</f>
        <v>108897400000</v>
      </c>
      <c r="M7" s="135">
        <f>Schedules!M8</f>
        <v>145359847496.91858</v>
      </c>
      <c r="N7" s="135">
        <f>Schedules!N8</f>
        <v>189411491985.76163</v>
      </c>
      <c r="O7" s="135">
        <f>Schedules!O8</f>
        <v>241585821472.39908</v>
      </c>
      <c r="P7" s="135">
        <f>Schedules!P8</f>
        <v>302192074630.65253</v>
      </c>
      <c r="Q7" s="135">
        <f>Schedules!Q8</f>
        <v>371383279743.49591</v>
      </c>
      <c r="R7" s="135">
        <f>Schedules!R8</f>
        <v>449169507685.77106</v>
      </c>
      <c r="S7" s="135">
        <f>Schedules!S8</f>
        <v>535439119250.71887</v>
      </c>
      <c r="T7" s="135">
        <f>Schedules!T8</f>
        <v>629984912916.38306</v>
      </c>
      <c r="U7" s="135">
        <f>Schedules!U8</f>
        <v>732532260395.85693</v>
      </c>
      <c r="V7" s="135">
        <f>Schedules!V8</f>
        <v>842766798644.92957</v>
      </c>
    </row>
    <row r="8" spans="1:22">
      <c r="B8" s="92" t="s">
        <v>516</v>
      </c>
      <c r="C8" s="128">
        <f>Schedules!C32</f>
        <v>0</v>
      </c>
      <c r="D8" s="128">
        <f>Schedules!D32</f>
        <v>-75428900000</v>
      </c>
      <c r="E8" s="128">
        <f>Schedules!E32</f>
        <v>-51157100000</v>
      </c>
      <c r="F8" s="128">
        <f>Schedules!F32</f>
        <v>-29983500000</v>
      </c>
      <c r="G8" s="128">
        <f>Schedules!G32</f>
        <v>-18735100000</v>
      </c>
      <c r="H8" s="128">
        <f>Schedules!H32</f>
        <v>-15772700000</v>
      </c>
      <c r="I8" s="128">
        <f>Schedules!I32</f>
        <v>-43315600000</v>
      </c>
      <c r="J8" s="128">
        <f>Schedules!J32</f>
        <v>-37826600000</v>
      </c>
      <c r="K8" s="128">
        <f>Schedules!K32</f>
        <v>-39821300000</v>
      </c>
      <c r="L8" s="128">
        <f>Schedules!L32</f>
        <v>-68866000000</v>
      </c>
      <c r="M8" s="135">
        <f>Schedules!M32</f>
        <v>-90891302865.531525</v>
      </c>
      <c r="N8" s="135">
        <f>Schedules!N32</f>
        <v>-118436126487.09616</v>
      </c>
      <c r="O8" s="135">
        <f>Schedules!O32</f>
        <v>-151059941555.94812</v>
      </c>
      <c r="P8" s="135">
        <f>Schedules!P32</f>
        <v>-188956110313.7522</v>
      </c>
      <c r="Q8" s="135">
        <f>Schedules!Q32</f>
        <v>-232220319019.5014</v>
      </c>
      <c r="R8" s="135">
        <f>Schedules!R32</f>
        <v>-280858864838.13593</v>
      </c>
      <c r="S8" s="135">
        <f>Schedules!S32</f>
        <v>-334801941470.81921</v>
      </c>
      <c r="T8" s="135">
        <f>Schedules!T32</f>
        <v>-393919988955.76929</v>
      </c>
      <c r="U8" s="135">
        <f>Schedules!U32</f>
        <v>-458041286400.10889</v>
      </c>
      <c r="V8" s="135">
        <f>Schedules!V32</f>
        <v>-526969267371.26996</v>
      </c>
    </row>
    <row r="9" spans="1:22">
      <c r="B9" s="92" t="s">
        <v>517</v>
      </c>
      <c r="C9" s="128">
        <f>-IFERROR(INDEX(HS_CONSOLIDATED!D:D,MATCH("EmployeeBenefitExpense",HS_CONSOLIDATED!$C:$C,0)),0)</f>
        <v>0</v>
      </c>
      <c r="D9" s="128">
        <f>-IFERROR(INDEX(HS_CONSOLIDATED!E:E,MATCH("EmployeeBenefitExpense",HS_CONSOLIDATED!$C:$C,0)),0)</f>
        <v>-10464800000</v>
      </c>
      <c r="E9" s="128">
        <f>-IFERROR(INDEX(HS_CONSOLIDATED!F:F,MATCH("EmployeeBenefitExpense",HS_CONSOLIDATED!$C:$C,0)),0)</f>
        <v>-8046800000</v>
      </c>
      <c r="F9" s="128">
        <f>-IFERROR(INDEX(HS_CONSOLIDATED!G:G,MATCH("EmployeeBenefitExpense",HS_CONSOLIDATED!$C:$C,0)),0)</f>
        <v>-8741600000</v>
      </c>
      <c r="G9" s="128">
        <f>-IFERROR(INDEX(HS_CONSOLIDATED!H:H,MATCH("EmployeeBenefitExpense",HS_CONSOLIDATED!$C:$C,0)),0)</f>
        <v>-7962500000</v>
      </c>
      <c r="H9" s="128">
        <f>-IFERROR(INDEX(HS_CONSOLIDATED!I:I,MATCH("EmployeeBenefitExpense",HS_CONSOLIDATED!$C:$C,0)),0)</f>
        <v>-5532100000</v>
      </c>
      <c r="I9" s="128">
        <f>-IFERROR(INDEX(HS_CONSOLIDATED!J:J,MATCH("EmployeeBenefitExpense",HS_CONSOLIDATED!$C:$C,0)),0)</f>
        <v>-5453600000</v>
      </c>
      <c r="J9" s="128">
        <f>-IFERROR(INDEX(HS_CONSOLIDATED!K:K,MATCH("EmployeeBenefitExpense",HS_CONSOLIDATED!$C:$C,0)),0)</f>
        <v>-6092200000</v>
      </c>
      <c r="K9" s="128">
        <f>-IFERROR(INDEX(HS_CONSOLIDATED!L:L,MATCH("EmployeeBenefitExpense",HS_CONSOLIDATED!$C:$C,0)),0)</f>
        <v>-7029000000</v>
      </c>
      <c r="L9" s="128">
        <f>-IFERROR(INDEX(HS_CONSOLIDATED!M:M,MATCH("EmployeeBenefitExpense",HS_CONSOLIDATED!$C:$C,0)),0)</f>
        <v>-9415300000</v>
      </c>
      <c r="M9" s="135">
        <f>-M7*IF('Inputs &amp; Assumptions'!C87="",'Inputs &amp; Assumptions'!C86,'Inputs &amp; Assumptions'!C87)</f>
        <v>-14005950582.291716</v>
      </c>
      <c r="N9" s="135">
        <f>-N7*IF('Inputs &amp; Assumptions'!D87="",'Inputs &amp; Assumptions'!D86,'Inputs &amp; Assumptions'!D87)</f>
        <v>-18250486927.120354</v>
      </c>
      <c r="O9" s="135">
        <f>-O7*IF('Inputs &amp; Assumptions'!E87="",'Inputs &amp; Assumptions'!E86,'Inputs &amp; Assumptions'!E87)</f>
        <v>-23277673547.34256</v>
      </c>
      <c r="P9" s="135">
        <f>-P7*IF('Inputs &amp; Assumptions'!F87="",'Inputs &amp; Assumptions'!F86,'Inputs &amp; Assumptions'!F87)</f>
        <v>-29117306715.163223</v>
      </c>
      <c r="Q9" s="135">
        <f>-Q7*IF('Inputs &amp; Assumptions'!G87="",'Inputs &amp; Assumptions'!G86,'Inputs &amp; Assumptions'!G87)</f>
        <v>-35784131262.844711</v>
      </c>
      <c r="R9" s="135">
        <f>-R7*IF('Inputs &amp; Assumptions'!H87="",'Inputs &amp; Assumptions'!H86,'Inputs &amp; Assumptions'!H87)</f>
        <v>-43279117555.847527</v>
      </c>
      <c r="S9" s="135">
        <f>-S7*IF('Inputs &amp; Assumptions'!I87="",'Inputs &amp; Assumptions'!I86,'Inputs &amp; Assumptions'!I87)</f>
        <v>-51591508750.106148</v>
      </c>
      <c r="T9" s="135">
        <f>-T7*IF('Inputs &amp; Assumptions'!J87="",'Inputs &amp; Assumptions'!J86,'Inputs &amp; Assumptions'!J87)</f>
        <v>-60701340224.529732</v>
      </c>
      <c r="U9" s="135">
        <f>-U7*IF('Inputs &amp; Assumptions'!K87="",'Inputs &amp; Assumptions'!K86,'Inputs &amp; Assumptions'!K87)</f>
        <v>-70582150543.71402</v>
      </c>
      <c r="V9" s="135">
        <f>-V7*IF('Inputs &amp; Assumptions'!L87="",'Inputs &amp; Assumptions'!L86,'Inputs &amp; Assumptions'!L87)</f>
        <v>-81203649683.708557</v>
      </c>
    </row>
    <row r="10" spans="1:22">
      <c r="B10" s="92" t="s">
        <v>518</v>
      </c>
      <c r="C10" s="128">
        <f>-IFERROR(INDEX(HS_CONSOLIDATED!D:D,MATCH("OtherExpenses",HS_CONSOLIDATED!$C:$C,0)),0)</f>
        <v>0</v>
      </c>
      <c r="D10" s="128">
        <f>-IFERROR(INDEX(HS_CONSOLIDATED!E:E,MATCH("OtherExpenses",HS_CONSOLIDATED!$C:$C,0)),0)</f>
        <v>-16256100000</v>
      </c>
      <c r="E10" s="128">
        <f>-IFERROR(INDEX(HS_CONSOLIDATED!F:F,MATCH("OtherExpenses",HS_CONSOLIDATED!$C:$C,0)),0)</f>
        <v>-14103900000</v>
      </c>
      <c r="F10" s="128">
        <f>-IFERROR(INDEX(HS_CONSOLIDATED!G:G,MATCH("OtherExpenses",HS_CONSOLIDATED!$C:$C,0)),0)</f>
        <v>-11609300000</v>
      </c>
      <c r="G10" s="128">
        <f>-IFERROR(INDEX(HS_CONSOLIDATED!H:H,MATCH("OtherExpenses",HS_CONSOLIDATED!$C:$C,0)),0)</f>
        <v>-11628200000</v>
      </c>
      <c r="H10" s="128">
        <f>-IFERROR(INDEX(HS_CONSOLIDATED!I:I,MATCH("OtherExpenses",HS_CONSOLIDATED!$C:$C,0)),0)</f>
        <v>-6809600000</v>
      </c>
      <c r="I10" s="128">
        <f>-IFERROR(INDEX(HS_CONSOLIDATED!J:J,MATCH("OtherExpenses",HS_CONSOLIDATED!$C:$C,0)),0)</f>
        <v>-8154100000</v>
      </c>
      <c r="J10" s="128">
        <f>-IFERROR(INDEX(HS_CONSOLIDATED!K:K,MATCH("OtherExpenses",HS_CONSOLIDATED!$C:$C,0)),0)</f>
        <v>-7467300000</v>
      </c>
      <c r="K10" s="128">
        <f>-IFERROR(INDEX(HS_CONSOLIDATED!L:L,MATCH("OtherExpenses",HS_CONSOLIDATED!$C:$C,0)),0)</f>
        <v>-8151800000</v>
      </c>
      <c r="L10" s="128">
        <f>-IFERROR(INDEX(HS_CONSOLIDATED!M:M,MATCH("OtherExpenses",HS_CONSOLIDATED!$C:$C,0)),0)</f>
        <v>-12043800000</v>
      </c>
      <c r="M10" s="135">
        <f>-M7*IF('Inputs &amp; Assumptions'!C90="",'Inputs &amp; Assumptions'!C89,'Inputs &amp; Assumptions'!C90)</f>
        <v>-17191898048.18306</v>
      </c>
      <c r="N10" s="135">
        <f>-N7*IF('Inputs &amp; Assumptions'!D90="",'Inputs &amp; Assumptions'!D89,'Inputs &amp; Assumptions'!D90)</f>
        <v>-22401943283.839001</v>
      </c>
      <c r="O10" s="135">
        <f>-O7*IF('Inputs &amp; Assumptions'!E90="",'Inputs &amp; Assumptions'!E89,'Inputs &amp; Assumptions'!E90)</f>
        <v>-28572669029.032127</v>
      </c>
      <c r="P10" s="135">
        <f>-P7*IF('Inputs &amp; Assumptions'!F90="",'Inputs &amp; Assumptions'!F89,'Inputs &amp; Assumptions'!F90)</f>
        <v>-35740649343.548851</v>
      </c>
      <c r="Q10" s="135">
        <f>-Q7*IF('Inputs &amp; Assumptions'!G90="",'Inputs &amp; Assumptions'!G89,'Inputs &amp; Assumptions'!G90)</f>
        <v>-43923983081.265808</v>
      </c>
      <c r="R10" s="135">
        <f>-R7*IF('Inputs &amp; Assumptions'!H90="",'Inputs &amp; Assumptions'!H89,'Inputs &amp; Assumptions'!H90)</f>
        <v>-53123861337.636925</v>
      </c>
      <c r="S10" s="135">
        <f>-S7*IF('Inputs &amp; Assumptions'!I90="",'Inputs &amp; Assumptions'!I89,'Inputs &amp; Assumptions'!I90)</f>
        <v>-63327080398.611641</v>
      </c>
      <c r="T10" s="135">
        <f>-T7*IF('Inputs &amp; Assumptions'!J90="",'Inputs &amp; Assumptions'!J89,'Inputs &amp; Assumptions'!J90)</f>
        <v>-74509134270.944626</v>
      </c>
      <c r="U10" s="135">
        <f>-U7*IF('Inputs &amp; Assumptions'!K90="",'Inputs &amp; Assumptions'!K89,'Inputs &amp; Assumptions'!K90)</f>
        <v>-86637542310.283615</v>
      </c>
      <c r="V10" s="135">
        <f>-V7*IF('Inputs &amp; Assumptions'!L90="",'Inputs &amp; Assumptions'!L89,'Inputs &amp; Assumptions'!L90)</f>
        <v>-99675124390.897491</v>
      </c>
    </row>
    <row r="11" spans="1:22">
      <c r="B11" s="138" t="s">
        <v>125</v>
      </c>
      <c r="C11" s="130">
        <f t="shared" ref="C11:V11" si="0">C7+C8+C9+C10</f>
        <v>0</v>
      </c>
      <c r="D11" s="130">
        <f t="shared" si="0"/>
        <v>24993900000</v>
      </c>
      <c r="E11" s="130">
        <f t="shared" si="0"/>
        <v>10030600000</v>
      </c>
      <c r="F11" s="130">
        <f t="shared" si="0"/>
        <v>-87500000</v>
      </c>
      <c r="G11" s="130">
        <f t="shared" si="0"/>
        <v>-8597300000</v>
      </c>
      <c r="H11" s="130">
        <f t="shared" si="0"/>
        <v>5342800000</v>
      </c>
      <c r="I11" s="130">
        <f t="shared" si="0"/>
        <v>8894500000</v>
      </c>
      <c r="J11" s="130">
        <f t="shared" si="0"/>
        <v>8319200000</v>
      </c>
      <c r="K11" s="130">
        <f t="shared" si="0"/>
        <v>10288800000</v>
      </c>
      <c r="L11" s="130">
        <f t="shared" si="0"/>
        <v>18572300000</v>
      </c>
      <c r="M11" s="130">
        <f t="shared" si="0"/>
        <v>23270696000.912277</v>
      </c>
      <c r="N11" s="130">
        <f t="shared" si="0"/>
        <v>30322935287.706112</v>
      </c>
      <c r="O11" s="130">
        <f t="shared" si="0"/>
        <v>38675537340.076271</v>
      </c>
      <c r="P11" s="130">
        <f t="shared" si="0"/>
        <v>48378008258.188255</v>
      </c>
      <c r="Q11" s="130">
        <f t="shared" si="0"/>
        <v>59454846379.883987</v>
      </c>
      <c r="R11" s="130">
        <f t="shared" si="0"/>
        <v>71907663954.150665</v>
      </c>
      <c r="S11" s="130">
        <f t="shared" si="0"/>
        <v>85718588631.181885</v>
      </c>
      <c r="T11" s="130">
        <f t="shared" si="0"/>
        <v>100854449465.13942</v>
      </c>
      <c r="U11" s="130">
        <f t="shared" si="0"/>
        <v>117271281141.75041</v>
      </c>
      <c r="V11" s="130">
        <f t="shared" si="0"/>
        <v>134918757199.05356</v>
      </c>
    </row>
    <row r="13" spans="1:22">
      <c r="B13" s="92" t="s">
        <v>519</v>
      </c>
      <c r="C13" s="128">
        <f>-IFERROR(INDEX(HS_CONSOLIDATED!D:D,MATCH("DepreciationDepletionAndAmortisationExpense",HS_CONSOLIDATED!$C:$C,0)),0)</f>
        <v>0</v>
      </c>
      <c r="D13" s="128">
        <f>-IFERROR(INDEX(HS_CONSOLIDATED!E:E,MATCH("DepreciationDepletionAndAmortisationExpense",HS_CONSOLIDATED!$C:$C,0)),0)</f>
        <v>-3890300000</v>
      </c>
      <c r="E13" s="128">
        <f>-IFERROR(INDEX(HS_CONSOLIDATED!F:F,MATCH("DepreciationDepletionAndAmortisationExpense",HS_CONSOLIDATED!$C:$C,0)),0)</f>
        <v>-3416100000</v>
      </c>
      <c r="F13" s="128">
        <f>-IFERROR(INDEX(HS_CONSOLIDATED!G:G,MATCH("DepreciationDepletionAndAmortisationExpense",HS_CONSOLIDATED!$C:$C,0)),0)</f>
        <v>-3418500000</v>
      </c>
      <c r="G13" s="128">
        <f>-IFERROR(INDEX(HS_CONSOLIDATED!H:H,MATCH("DepreciationDepletionAndAmortisationExpense",HS_CONSOLIDATED!$C:$C,0)),0)</f>
        <v>-4186100000</v>
      </c>
      <c r="H13" s="128">
        <f>-IFERROR(INDEX(HS_CONSOLIDATED!I:I,MATCH("DepreciationDepletionAndAmortisationExpense",HS_CONSOLIDATED!$C:$C,0)),0)</f>
        <v>-2583800000</v>
      </c>
      <c r="I13" s="128">
        <f>-IFERROR(INDEX(HS_CONSOLIDATED!J:J,MATCH("DepreciationDepletionAndAmortisationExpense",HS_CONSOLIDATED!$C:$C,0)),0)</f>
        <v>-2598400000</v>
      </c>
      <c r="J13" s="128">
        <f>-IFERROR(INDEX(HS_CONSOLIDATED!K:K,MATCH("DepreciationDepletionAndAmortisationExpense",HS_CONSOLIDATED!$C:$C,0)),0)</f>
        <v>-2596800000</v>
      </c>
      <c r="K13" s="128">
        <f>-IFERROR(INDEX(HS_CONSOLIDATED!L:L,MATCH("DepreciationDepletionAndAmortisationExpense",HS_CONSOLIDATED!$C:$C,0)),0)</f>
        <v>-1896000000</v>
      </c>
      <c r="L13" s="128">
        <f>-IFERROR(INDEX(HS_CONSOLIDATED!M:M,MATCH("DepreciationDepletionAndAmortisationExpense",HS_CONSOLIDATED!$C:$C,0)),0)</f>
        <v>-2591900000</v>
      </c>
      <c r="M13" s="135">
        <f>Schedules!M56*IF('Inputs &amp; Assumptions'!C96="",'Inputs &amp; Assumptions'!C95,'Inputs &amp; Assumptions'!C96)</f>
        <v>-1896063247.1659889</v>
      </c>
      <c r="N13" s="135">
        <f>Schedules!N56*IF('Inputs &amp; Assumptions'!D96="",'Inputs &amp; Assumptions'!D95,'Inputs &amp; Assumptions'!D96)</f>
        <v>-2131598964.4396296</v>
      </c>
      <c r="O13" s="135">
        <f>Schedules!O56*IF('Inputs &amp; Assumptions'!E96="",'Inputs &amp; Assumptions'!E95,'Inputs &amp; Assumptions'!E96)</f>
        <v>-2378455701.0528398</v>
      </c>
      <c r="P13" s="135">
        <f>Schedules!P56*IF('Inputs &amp; Assumptions'!F96="",'Inputs &amp; Assumptions'!F95,'Inputs &amp; Assumptions'!F96)</f>
        <v>-2637232409.5320134</v>
      </c>
      <c r="Q13" s="135">
        <f>Schedules!Q56*IF('Inputs &amp; Assumptions'!G96="",'Inputs &amp; Assumptions'!G95,'Inputs &amp; Assumptions'!G96)</f>
        <v>-2908555855.7117505</v>
      </c>
      <c r="R13" s="135">
        <f>Schedules!R56*IF('Inputs &amp; Assumptions'!H96="",'Inputs &amp; Assumptions'!H95,'Inputs &amp; Assumptions'!H96)</f>
        <v>-3193082178.3346224</v>
      </c>
      <c r="S13" s="135">
        <f>Schedules!S56*IF('Inputs &amp; Assumptions'!I96="",'Inputs &amp; Assumptions'!I95,'Inputs &amp; Assumptions'!I96)</f>
        <v>-3491498511.8681073</v>
      </c>
      <c r="T13" s="135">
        <f>Schedules!T56*IF('Inputs &amp; Assumptions'!J96="",'Inputs &amp; Assumptions'!J95,'Inputs &amp; Assumptions'!J96)</f>
        <v>-2133248768.6529977</v>
      </c>
      <c r="U13" s="135">
        <f>Schedules!U56*IF('Inputs &amp; Assumptions'!K96="",'Inputs &amp; Assumptions'!K95,'Inputs &amp; Assumptions'!K96)</f>
        <v>-2461639037.6835961</v>
      </c>
      <c r="V13" s="135">
        <f>Schedules!V56*IF('Inputs &amp; Assumptions'!L96="",'Inputs &amp; Assumptions'!L95,'Inputs &amp; Assumptions'!L96)</f>
        <v>-2806183973.8295474</v>
      </c>
    </row>
    <row r="14" spans="1:22">
      <c r="B14" s="138" t="s">
        <v>127</v>
      </c>
      <c r="C14" s="130">
        <f t="shared" ref="C14:V14" si="1">C11+C13</f>
        <v>0</v>
      </c>
      <c r="D14" s="130">
        <f t="shared" si="1"/>
        <v>21103600000</v>
      </c>
      <c r="E14" s="130">
        <f t="shared" si="1"/>
        <v>6614500000</v>
      </c>
      <c r="F14" s="130">
        <f t="shared" si="1"/>
        <v>-3506000000</v>
      </c>
      <c r="G14" s="130">
        <f t="shared" si="1"/>
        <v>-12783400000</v>
      </c>
      <c r="H14" s="130">
        <f t="shared" si="1"/>
        <v>2759000000</v>
      </c>
      <c r="I14" s="130">
        <f t="shared" si="1"/>
        <v>6296100000</v>
      </c>
      <c r="J14" s="130">
        <f t="shared" si="1"/>
        <v>5722400000</v>
      </c>
      <c r="K14" s="130">
        <f t="shared" si="1"/>
        <v>8392800000</v>
      </c>
      <c r="L14" s="130">
        <f t="shared" si="1"/>
        <v>15980400000</v>
      </c>
      <c r="M14" s="130">
        <f t="shared" si="1"/>
        <v>21374632753.746288</v>
      </c>
      <c r="N14" s="130">
        <f t="shared" si="1"/>
        <v>28191336323.266483</v>
      </c>
      <c r="O14" s="130">
        <f t="shared" si="1"/>
        <v>36297081639.02343</v>
      </c>
      <c r="P14" s="130">
        <f t="shared" si="1"/>
        <v>45740775848.656242</v>
      </c>
      <c r="Q14" s="130">
        <f t="shared" si="1"/>
        <v>56546290524.172234</v>
      </c>
      <c r="R14" s="130">
        <f t="shared" si="1"/>
        <v>68714581775.81604</v>
      </c>
      <c r="S14" s="130">
        <f t="shared" si="1"/>
        <v>82227090119.313782</v>
      </c>
      <c r="T14" s="130">
        <f t="shared" si="1"/>
        <v>98721200696.48642</v>
      </c>
      <c r="U14" s="130">
        <f t="shared" si="1"/>
        <v>114809642104.06682</v>
      </c>
      <c r="V14" s="130">
        <f t="shared" si="1"/>
        <v>132112573225.22401</v>
      </c>
    </row>
    <row r="16" spans="1:22">
      <c r="B16" s="92" t="s">
        <v>520</v>
      </c>
      <c r="C16" s="128">
        <f>IFERROR(INDEX(HS_CONSOLIDATED!D:D,MATCH("OtherIncome",HS_CONSOLIDATED!$C:$C,0)),0)</f>
        <v>0</v>
      </c>
      <c r="D16" s="128">
        <f>IFERROR(INDEX(HS_CONSOLIDATED!E:E,MATCH("OtherIncome",HS_CONSOLIDATED!$C:$C,0)),0)</f>
        <v>888200000</v>
      </c>
      <c r="E16" s="128">
        <f>IFERROR(INDEX(HS_CONSOLIDATED!F:F,MATCH("OtherIncome",HS_CONSOLIDATED!$C:$C,0)),0)</f>
        <v>791700000</v>
      </c>
      <c r="F16" s="128">
        <f>IFERROR(INDEX(HS_CONSOLIDATED!G:G,MATCH("OtherIncome",HS_CONSOLIDATED!$C:$C,0)),0)</f>
        <v>499500000</v>
      </c>
      <c r="G16" s="128">
        <f>IFERROR(INDEX(HS_CONSOLIDATED!H:H,MATCH("OtherIncome",HS_CONSOLIDATED!$C:$C,0)),0)</f>
        <v>275700000</v>
      </c>
      <c r="H16" s="128">
        <f>IFERROR(INDEX(HS_CONSOLIDATED!I:I,MATCH("OtherIncome",HS_CONSOLIDATED!$C:$C,0)),0)</f>
        <v>198700000</v>
      </c>
      <c r="I16" s="128">
        <f>IFERROR(INDEX(HS_CONSOLIDATED!J:J,MATCH("OtherIncome",HS_CONSOLIDATED!$C:$C,0)),0)</f>
        <v>221900000</v>
      </c>
      <c r="J16" s="128">
        <f>IFERROR(INDEX(HS_CONSOLIDATED!K:K,MATCH("OtherIncome",HS_CONSOLIDATED!$C:$C,0)),0)</f>
        <v>196300000</v>
      </c>
      <c r="K16" s="128">
        <f>IFERROR(INDEX(HS_CONSOLIDATED!L:L,MATCH("OtherIncome",HS_CONSOLIDATED!$C:$C,0)),0)</f>
        <v>384200000</v>
      </c>
      <c r="L16" s="128">
        <f>IFERROR(INDEX(HS_CONSOLIDATED!M:M,MATCH("OtherIncome",HS_CONSOLIDATED!$C:$C,0)),0)</f>
        <v>1033900000</v>
      </c>
      <c r="M16" s="135">
        <f>M7*IF('Inputs &amp; Assumptions'!C93="",'Inputs &amp; Assumptions'!C92,'Inputs &amp; Assumptions'!C93)</f>
        <v>1003314916.6929981</v>
      </c>
      <c r="N16" s="135">
        <f>N7*IF('Inputs &amp; Assumptions'!D93="",'Inputs &amp; Assumptions'!D92,'Inputs &amp; Assumptions'!D93)</f>
        <v>1307371867.6432943</v>
      </c>
      <c r="O16" s="135">
        <f>O7*IF('Inputs &amp; Assumptions'!E93="",'Inputs &amp; Assumptions'!E92,'Inputs &amp; Assumptions'!E93)</f>
        <v>1667493895.450928</v>
      </c>
      <c r="P16" s="135">
        <f>P7*IF('Inputs &amp; Assumptions'!F93="",'Inputs &amp; Assumptions'!F92,'Inputs &amp; Assumptions'!F93)</f>
        <v>2085815453.1963489</v>
      </c>
      <c r="Q16" s="135">
        <f>Q7*IF('Inputs &amp; Assumptions'!G93="",'Inputs &amp; Assumptions'!G92,'Inputs &amp; Assumptions'!G93)</f>
        <v>2563392785.5140109</v>
      </c>
      <c r="R16" s="135">
        <f>R7*IF('Inputs &amp; Assumptions'!H93="",'Inputs &amp; Assumptions'!H92,'Inputs &amp; Assumptions'!H93)</f>
        <v>3100295404.4399204</v>
      </c>
      <c r="S16" s="135">
        <f>S7*IF('Inputs &amp; Assumptions'!I93="",'Inputs &amp; Assumptions'!I92,'Inputs &amp; Assumptions'!I93)</f>
        <v>3695752744.4887791</v>
      </c>
      <c r="T16" s="135">
        <f>T7*IF('Inputs &amp; Assumptions'!J93="",'Inputs &amp; Assumptions'!J92,'Inputs &amp; Assumptions'!J93)</f>
        <v>4348334641.9577494</v>
      </c>
      <c r="U16" s="135">
        <f>U7*IF('Inputs &amp; Assumptions'!K93="",'Inputs &amp; Assumptions'!K92,'Inputs &amp; Assumptions'!K93)</f>
        <v>5056145534.4783764</v>
      </c>
      <c r="V16" s="135">
        <f>V7*IF('Inputs &amp; Assumptions'!L93="",'Inputs &amp; Assumptions'!L92,'Inputs &amp; Assumptions'!L93)</f>
        <v>5817015599.1116238</v>
      </c>
    </row>
    <row r="17" spans="2:22">
      <c r="B17" s="92" t="s">
        <v>521</v>
      </c>
      <c r="C17" s="128">
        <f>-IFERROR(INDEX(HS_CONSOLIDATED!D:D,MATCH("FinanceCosts",HS_CONSOLIDATED!$C:$C,0)),0)</f>
        <v>0</v>
      </c>
      <c r="D17" s="128">
        <f>-IFERROR(INDEX(HS_CONSOLIDATED!E:E,MATCH("FinanceCosts",HS_CONSOLIDATED!$C:$C,0)),0)</f>
        <v>-12875900000</v>
      </c>
      <c r="E17" s="128">
        <f>-IFERROR(INDEX(HS_CONSOLIDATED!F:F,MATCH("FinanceCosts",HS_CONSOLIDATED!$C:$C,0)),0)</f>
        <v>-15809800000</v>
      </c>
      <c r="F17" s="128">
        <f>-IFERROR(INDEX(HS_CONSOLIDATED!G:G,MATCH("FinanceCosts",HS_CONSOLIDATED!$C:$C,0)),0)</f>
        <v>-12699100000</v>
      </c>
      <c r="G17" s="128">
        <f>-IFERROR(INDEX(HS_CONSOLIDATED!H:H,MATCH("FinanceCosts",HS_CONSOLIDATED!$C:$C,0)),0)</f>
        <v>-13672900000</v>
      </c>
      <c r="H17" s="128">
        <f>-IFERROR(INDEX(HS_CONSOLIDATED!I:I,MATCH("FinanceCosts",HS_CONSOLIDATED!$C:$C,0)),0)</f>
        <v>-9962600000</v>
      </c>
      <c r="I17" s="128">
        <f>-IFERROR(INDEX(HS_CONSOLIDATED!J:J,MATCH("FinanceCosts",HS_CONSOLIDATED!$C:$C,0)),0)</f>
        <v>-7345200000</v>
      </c>
      <c r="J17" s="128">
        <f>-IFERROR(INDEX(HS_CONSOLIDATED!K:K,MATCH("FinanceCosts",HS_CONSOLIDATED!$C:$C,0)),0)</f>
        <v>-4207600000</v>
      </c>
      <c r="K17" s="128">
        <f>-IFERROR(INDEX(HS_CONSOLIDATED!L:L,MATCH("FinanceCosts",HS_CONSOLIDATED!$C:$C,0)),0)</f>
        <v>-1643200000</v>
      </c>
      <c r="L17" s="128">
        <f>-IFERROR(INDEX(HS_CONSOLIDATED!M:M,MATCH("FinanceCosts",HS_CONSOLIDATED!$C:$C,0)),0)</f>
        <v>-2548000000</v>
      </c>
      <c r="M17" s="135">
        <f>-Schedules!M98*IF('Inputs &amp; Assumptions'!C99="",'Inputs &amp; Assumptions'!C98,'Inputs &amp; Assumptions'!C99)</f>
        <v>-531206213.71244812</v>
      </c>
      <c r="N17" s="135">
        <f>-Schedules!N98*IF('Inputs &amp; Assumptions'!D99="",'Inputs &amp; Assumptions'!D98,'Inputs &amp; Assumptions'!D99)</f>
        <v>-601815227.84087288</v>
      </c>
      <c r="O17" s="135">
        <f>-Schedules!O98*IF('Inputs &amp; Assumptions'!E99="",'Inputs &amp; Assumptions'!E98,'Inputs &amp; Assumptions'!E99)</f>
        <v>-766488180.93764222</v>
      </c>
      <c r="P17" s="135">
        <f>-Schedules!P98*IF('Inputs &amp; Assumptions'!F99="",'Inputs &amp; Assumptions'!F98,'Inputs &amp; Assumptions'!F99)</f>
        <v>-981637754.37312722</v>
      </c>
      <c r="Q17" s="135">
        <f>-Schedules!Q98*IF('Inputs &amp; Assumptions'!G99="",'Inputs &amp; Assumptions'!G98,'Inputs &amp; Assumptions'!G99)</f>
        <v>-1255211092.5216494</v>
      </c>
      <c r="R17" s="135">
        <f>-Schedules!R98*IF('Inputs &amp; Assumptions'!H99="",'Inputs &amp; Assumptions'!H98,'Inputs &amp; Assumptions'!H99)</f>
        <v>-1596024217.5774407</v>
      </c>
      <c r="S17" s="135">
        <f>-Schedules!S98*IF('Inputs &amp; Assumptions'!I99="",'Inputs &amp; Assumptions'!I98,'Inputs &amp; Assumptions'!I99)</f>
        <v>-2012923067.5190685</v>
      </c>
      <c r="T17" s="135">
        <f>-Schedules!T98*IF('Inputs &amp; Assumptions'!J99="",'Inputs &amp; Assumptions'!J98,'Inputs &amp; Assumptions'!J99)</f>
        <v>-2514636504.067203</v>
      </c>
      <c r="U17" s="135">
        <f>-Schedules!U98*IF('Inputs &amp; Assumptions'!K99="",'Inputs &amp; Assumptions'!K98,'Inputs &amp; Assumptions'!K99)</f>
        <v>-3115098549.0232806</v>
      </c>
      <c r="V17" s="135">
        <f>-Schedules!V98*IF('Inputs &amp; Assumptions'!L99="",'Inputs &amp; Assumptions'!L98,'Inputs &amp; Assumptions'!L99)</f>
        <v>-3822462471.714819</v>
      </c>
    </row>
    <row r="18" spans="2:22">
      <c r="B18" s="92" t="s">
        <v>522</v>
      </c>
      <c r="C18" s="128">
        <f>IFERROR(INDEX(HS_CONSOLIDATED!D:D,MATCH("ExceptionalItemsBeforeTax",HS_CONSOLIDATED!$C:$C,0)),0)</f>
        <v>0</v>
      </c>
      <c r="D18" s="128">
        <f>IFERROR(INDEX(HS_CONSOLIDATED!E:E,MATCH("ExceptionalItemsBeforeTax",HS_CONSOLIDATED!$C:$C,0)),0)</f>
        <v>0</v>
      </c>
      <c r="E18" s="128">
        <f>IFERROR(INDEX(HS_CONSOLIDATED!F:F,MATCH("ExceptionalItemsBeforeTax",HS_CONSOLIDATED!$C:$C,0)),0)</f>
        <v>4496200000</v>
      </c>
      <c r="F18" s="128">
        <f>IFERROR(INDEX(HS_CONSOLIDATED!G:G,MATCH("ExceptionalItemsBeforeTax",HS_CONSOLIDATED!$C:$C,0)),0)</f>
        <v>275700000</v>
      </c>
      <c r="G18" s="128">
        <f>IFERROR(INDEX(HS_CONSOLIDATED!H:H,MATCH("ExceptionalItemsBeforeTax",HS_CONSOLIDATED!$C:$C,0)),0)</f>
        <v>-658900000</v>
      </c>
      <c r="H18" s="128">
        <f>IFERROR(INDEX(HS_CONSOLIDATED!I:I,MATCH("ExceptionalItemsBeforeTax",HS_CONSOLIDATED!$C:$C,0)),0)</f>
        <v>8054600000</v>
      </c>
      <c r="I18" s="128">
        <f>IFERROR(INDEX(HS_CONSOLIDATED!J:J,MATCH("ExceptionalItemsBeforeTax",HS_CONSOLIDATED!$C:$C,0)),0)</f>
        <v>831200000</v>
      </c>
      <c r="J18" s="128">
        <f>IFERROR(INDEX(HS_CONSOLIDATED!K:K,MATCH("ExceptionalItemsBeforeTax",HS_CONSOLIDATED!$C:$C,0)),0)</f>
        <v>27206000000</v>
      </c>
      <c r="K18" s="128">
        <f>IFERROR(INDEX(HS_CONSOLIDATED!L:L,MATCH("ExceptionalItemsBeforeTax",HS_CONSOLIDATED!$C:$C,0)),0)</f>
        <v>-538900000</v>
      </c>
      <c r="L18" s="128">
        <f>IFERROR(INDEX(HS_CONSOLIDATED!M:M,MATCH("ExceptionalItemsBeforeTax",HS_CONSOLIDATED!$C:$C,0)),0)</f>
        <v>0</v>
      </c>
      <c r="M18" s="135">
        <v>0</v>
      </c>
      <c r="N18" s="135">
        <v>0</v>
      </c>
      <c r="O18" s="135">
        <v>0</v>
      </c>
      <c r="P18" s="135">
        <v>0</v>
      </c>
      <c r="Q18" s="135">
        <v>0</v>
      </c>
      <c r="R18" s="135">
        <v>0</v>
      </c>
      <c r="S18" s="135">
        <v>0</v>
      </c>
      <c r="T18" s="135">
        <v>0</v>
      </c>
      <c r="U18" s="135">
        <v>0</v>
      </c>
      <c r="V18" s="135">
        <v>0</v>
      </c>
    </row>
    <row r="19" spans="2:22">
      <c r="B19" s="138" t="s">
        <v>523</v>
      </c>
      <c r="C19" s="130">
        <f t="shared" ref="C19:V19" si="2">C14+C16+C17+C18</f>
        <v>0</v>
      </c>
      <c r="D19" s="130">
        <f t="shared" si="2"/>
        <v>9115900000</v>
      </c>
      <c r="E19" s="130">
        <f t="shared" si="2"/>
        <v>-3907400000</v>
      </c>
      <c r="F19" s="130">
        <f t="shared" si="2"/>
        <v>-15429900000</v>
      </c>
      <c r="G19" s="130">
        <f t="shared" si="2"/>
        <v>-26839500000</v>
      </c>
      <c r="H19" s="130">
        <f t="shared" si="2"/>
        <v>1049700000</v>
      </c>
      <c r="I19" s="130">
        <f t="shared" si="2"/>
        <v>4000000</v>
      </c>
      <c r="J19" s="130">
        <f t="shared" si="2"/>
        <v>28917100000</v>
      </c>
      <c r="K19" s="130">
        <f t="shared" si="2"/>
        <v>6594900000</v>
      </c>
      <c r="L19" s="130">
        <f t="shared" si="2"/>
        <v>14466300000</v>
      </c>
      <c r="M19" s="130">
        <f t="shared" si="2"/>
        <v>21846741456.726837</v>
      </c>
      <c r="N19" s="130">
        <f t="shared" si="2"/>
        <v>28896892963.068905</v>
      </c>
      <c r="O19" s="130">
        <f t="shared" si="2"/>
        <v>37198087353.536713</v>
      </c>
      <c r="P19" s="130">
        <f t="shared" si="2"/>
        <v>46844953547.479462</v>
      </c>
      <c r="Q19" s="130">
        <f t="shared" si="2"/>
        <v>57854472217.164589</v>
      </c>
      <c r="R19" s="130">
        <f t="shared" si="2"/>
        <v>70218852962.678528</v>
      </c>
      <c r="S19" s="130">
        <f t="shared" si="2"/>
        <v>83909919796.283493</v>
      </c>
      <c r="T19" s="130">
        <f t="shared" si="2"/>
        <v>100554898834.37697</v>
      </c>
      <c r="U19" s="130">
        <f t="shared" si="2"/>
        <v>116750689089.52191</v>
      </c>
      <c r="V19" s="130">
        <f t="shared" si="2"/>
        <v>134107126352.62082</v>
      </c>
    </row>
    <row r="21" spans="2:22">
      <c r="B21" s="92" t="s">
        <v>524</v>
      </c>
      <c r="C21" s="128">
        <f>-Schedules!C107</f>
        <v>0</v>
      </c>
      <c r="D21" s="128">
        <f>-Schedules!D107</f>
        <v>-117000000</v>
      </c>
      <c r="E21" s="128">
        <f>-Schedules!E107</f>
        <v>15600000</v>
      </c>
      <c r="F21" s="128">
        <f>-Schedules!F107</f>
        <v>119000000</v>
      </c>
      <c r="G21" s="128">
        <f>-Schedules!G107</f>
        <v>-74400000</v>
      </c>
      <c r="H21" s="128">
        <f>-Schedules!H107</f>
        <v>-46300000</v>
      </c>
      <c r="I21" s="128">
        <f>-Schedules!I107</f>
        <v>-1665900000</v>
      </c>
      <c r="J21" s="128">
        <f>-Schedules!J107</f>
        <v>-44200000</v>
      </c>
      <c r="K21" s="128">
        <f>-Schedules!K107</f>
        <v>8600000</v>
      </c>
      <c r="L21" s="128">
        <f>-Schedules!L107</f>
        <v>6250000000</v>
      </c>
      <c r="M21" s="135">
        <f>-Schedules!M107</f>
        <v>-5615046170.9643288</v>
      </c>
      <c r="N21" s="135">
        <f>-Schedules!N107</f>
        <v>-7273347958.8044424</v>
      </c>
      <c r="O21" s="135">
        <f>-Schedules!O107</f>
        <v>-9362758586.8851891</v>
      </c>
      <c r="P21" s="135">
        <f>-Schedules!P107</f>
        <v>-11790874807.900579</v>
      </c>
      <c r="Q21" s="135">
        <f>-Schedules!Q107</f>
        <v>-14561970657.060326</v>
      </c>
      <c r="R21" s="135">
        <f>-Schedules!R107</f>
        <v>-17674085290.706184</v>
      </c>
      <c r="S21" s="135">
        <f>-Schedules!S107</f>
        <v>-21120126812.724552</v>
      </c>
      <c r="T21" s="135">
        <f>-Schedules!T107</f>
        <v>-25309668036.612682</v>
      </c>
      <c r="U21" s="135">
        <f>-Schedules!U107</f>
        <v>-29386148443.832664</v>
      </c>
      <c r="V21" s="135">
        <f>-Schedules!V107</f>
        <v>-33754763702.954659</v>
      </c>
    </row>
    <row r="22" spans="2:22" ht="15.5">
      <c r="B22" s="112" t="s">
        <v>261</v>
      </c>
      <c r="C22" s="139">
        <f t="shared" ref="C22:V22" si="3">C19+C21</f>
        <v>0</v>
      </c>
      <c r="D22" s="139">
        <f t="shared" si="3"/>
        <v>8998900000</v>
      </c>
      <c r="E22" s="139">
        <f t="shared" si="3"/>
        <v>-3891800000</v>
      </c>
      <c r="F22" s="139">
        <f t="shared" si="3"/>
        <v>-15310900000</v>
      </c>
      <c r="G22" s="139">
        <f t="shared" si="3"/>
        <v>-26913900000</v>
      </c>
      <c r="H22" s="139">
        <f t="shared" si="3"/>
        <v>1003400000</v>
      </c>
      <c r="I22" s="139">
        <f t="shared" si="3"/>
        <v>-1661900000</v>
      </c>
      <c r="J22" s="139">
        <f t="shared" si="3"/>
        <v>28872900000</v>
      </c>
      <c r="K22" s="139">
        <f t="shared" si="3"/>
        <v>6603500000</v>
      </c>
      <c r="L22" s="139">
        <f t="shared" si="3"/>
        <v>20716300000</v>
      </c>
      <c r="M22" s="139">
        <f t="shared" si="3"/>
        <v>16231695285.762508</v>
      </c>
      <c r="N22" s="139">
        <f t="shared" si="3"/>
        <v>21623545004.264462</v>
      </c>
      <c r="O22" s="139">
        <f t="shared" si="3"/>
        <v>27835328766.651524</v>
      </c>
      <c r="P22" s="139">
        <f t="shared" si="3"/>
        <v>35054078739.57888</v>
      </c>
      <c r="Q22" s="139">
        <f t="shared" si="3"/>
        <v>43292501560.104263</v>
      </c>
      <c r="R22" s="139">
        <f t="shared" si="3"/>
        <v>52544767671.972343</v>
      </c>
      <c r="S22" s="139">
        <f t="shared" si="3"/>
        <v>62789792983.558945</v>
      </c>
      <c r="T22" s="139">
        <f t="shared" si="3"/>
        <v>75245230797.764282</v>
      </c>
      <c r="U22" s="139">
        <f t="shared" si="3"/>
        <v>87364540645.68924</v>
      </c>
      <c r="V22" s="139">
        <f t="shared" si="3"/>
        <v>100352362649.66617</v>
      </c>
    </row>
    <row r="23" spans="2:22">
      <c r="B23" s="99" t="s">
        <v>410</v>
      </c>
      <c r="C23" s="131">
        <f>C19-IFERROR(INDEX(HS_CONSOLIDATED!D:D,MATCH("ProfitBeforeTax",HS_CONSOLIDATED!$C:$C,0)),0)</f>
        <v>0</v>
      </c>
      <c r="D23" s="131">
        <f>D19-IFERROR(INDEX(HS_CONSOLIDATED!E:E,MATCH("ProfitBeforeTax",HS_CONSOLIDATED!$C:$C,0)),0)</f>
        <v>0</v>
      </c>
      <c r="E23" s="131">
        <f>E19-IFERROR(INDEX(HS_CONSOLIDATED!F:F,MATCH("ProfitBeforeTax",HS_CONSOLIDATED!$C:$C,0)),0)</f>
        <v>0</v>
      </c>
      <c r="F23" s="131">
        <f>F19-IFERROR(INDEX(HS_CONSOLIDATED!G:G,MATCH("ProfitBeforeTax",HS_CONSOLIDATED!$C:$C,0)),0)</f>
        <v>0</v>
      </c>
      <c r="G23" s="131">
        <f>G19-IFERROR(INDEX(HS_CONSOLIDATED!H:H,MATCH("ProfitBeforeTax",HS_CONSOLIDATED!$C:$C,0)),0)</f>
        <v>0</v>
      </c>
      <c r="H23" s="131">
        <f>H19-IFERROR(INDEX(HS_CONSOLIDATED!I:I,MATCH("ProfitBeforeTax",HS_CONSOLIDATED!$C:$C,0)),0)</f>
        <v>0</v>
      </c>
      <c r="I23" s="131">
        <f>I19-IFERROR(INDEX(HS_CONSOLIDATED!J:J,MATCH("ProfitBeforeTax",HS_CONSOLIDATED!$C:$C,0)),0)</f>
        <v>0</v>
      </c>
      <c r="J23" s="131">
        <f>J19-IFERROR(INDEX(HS_CONSOLIDATED!K:K,MATCH("ProfitBeforeTax",HS_CONSOLIDATED!$C:$C,0)),0)</f>
        <v>0</v>
      </c>
      <c r="K23" s="131">
        <f>K19-IFERROR(INDEX(HS_CONSOLIDATED!L:L,MATCH("ProfitBeforeTax",HS_CONSOLIDATED!$C:$C,0)),0)</f>
        <v>0</v>
      </c>
      <c r="L23" s="131">
        <f>L19-IFERROR(INDEX(HS_CONSOLIDATED!M:M,MATCH("ProfitBeforeTax",HS_CONSOLIDATED!$C:$C,0)),0)</f>
        <v>0</v>
      </c>
    </row>
    <row r="30" spans="2:22">
      <c r="B30" s="1" t="s">
        <v>525</v>
      </c>
      <c r="C30" s="132">
        <f>IFERROR(ABS(C13)/ABS(Schedules!C56),1)</f>
        <v>1</v>
      </c>
      <c r="D30" s="132">
        <f>IFERROR(ABS(D13)/ABS(Schedules!D56),1)</f>
        <v>1.679459506130202</v>
      </c>
      <c r="E30" s="132">
        <f>IFERROR(ABS(E13)/ABS(Schedules!E56),1)</f>
        <v>1.4713153587733654</v>
      </c>
      <c r="F30" s="132">
        <f>IFERROR(ABS(F13)/ABS(Schedules!F56),1)</f>
        <v>1.4123698562221121</v>
      </c>
      <c r="G30" s="132">
        <f>IFERROR(ABS(G13)/ABS(Schedules!G56),1)</f>
        <v>3.6678349250854287</v>
      </c>
      <c r="H30" s="132">
        <f>IFERROR(ABS(H13)/ABS(Schedules!H56),1)</f>
        <v>2.2205225163286353</v>
      </c>
      <c r="I30" s="132">
        <f>IFERROR(ABS(I13)/ABS(Schedules!I56),1)</f>
        <v>2.1549178968319787</v>
      </c>
      <c r="J30" s="132">
        <f>IFERROR(ABS(J13)/ABS(Schedules!J56),1)</f>
        <v>1.852607547977456</v>
      </c>
      <c r="K30" s="132">
        <f>IFERROR(ABS(K13)/ABS(Schedules!K56),1)</f>
        <v>1.3602123538273907</v>
      </c>
      <c r="L30" s="132">
        <f>IFERROR(ABS(L13)/ABS(Schedules!L56),1)</f>
        <v>1.361506539895992</v>
      </c>
    </row>
    <row r="32" spans="2:22">
      <c r="B32" s="1" t="s">
        <v>526</v>
      </c>
      <c r="C32" s="132">
        <f>IFERROR(ABS(C17)/ABS(Schedules!C98),1)</f>
        <v>1</v>
      </c>
      <c r="D32" s="132">
        <f>IFERROR(ABS(D17)/ABS(Schedules!D98),1)</f>
        <v>1.1636496732971233</v>
      </c>
      <c r="E32" s="132">
        <f>IFERROR(ABS(E17)/ABS(Schedules!E98),1)</f>
        <v>1.4299876084262702</v>
      </c>
      <c r="F32" s="132">
        <f>IFERROR(ABS(F17)/ABS(Schedules!F98),1)</f>
        <v>1.0771259902627695</v>
      </c>
      <c r="G32" s="132">
        <f>IFERROR(ABS(G17)/ABS(Schedules!G98),1)</f>
        <v>1.0598079263330051</v>
      </c>
      <c r="H32" s="132">
        <f>IFERROR(ABS(H17)/ABS(Schedules!H98),1)</f>
        <v>1.0406217032077463</v>
      </c>
      <c r="I32" s="132">
        <f>IFERROR(ABS(I17)/ABS(Schedules!I98),1)</f>
        <v>1.0454758956402921</v>
      </c>
      <c r="J32" s="132">
        <f>IFERROR(ABS(J17)/ABS(Schedules!J98),1)</f>
        <v>1.0986761365119984</v>
      </c>
      <c r="K32" s="132">
        <f>IFERROR(ABS(K17)/ABS(Schedules!K98),1)</f>
        <v>1.5553241836251774</v>
      </c>
      <c r="L32" s="132">
        <f>IFERROR(ABS(L17)/ABS(Schedules!L98),1)</f>
        <v>2.4110522331566995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9"/>
  <sheetViews>
    <sheetView showGridLines="0" workbookViewId="0"/>
  </sheetViews>
  <sheetFormatPr defaultRowHeight="14.5"/>
  <cols>
    <col min="1" max="1" width="3.453125" customWidth="1"/>
    <col min="2" max="2" width="65" customWidth="1"/>
    <col min="3" max="23" width="17" customWidth="1"/>
  </cols>
  <sheetData>
    <row r="1" spans="1:3" ht="21">
      <c r="A1" t="s">
        <v>27</v>
      </c>
      <c r="B1" s="137" t="s">
        <v>18</v>
      </c>
    </row>
    <row r="4" spans="1:3">
      <c r="B4" s="140" t="s">
        <v>527</v>
      </c>
      <c r="C4" s="118" t="s">
        <v>528</v>
      </c>
    </row>
    <row r="6" spans="1:3">
      <c r="B6" t="s">
        <v>529</v>
      </c>
      <c r="C6" s="141">
        <v>56.04</v>
      </c>
    </row>
    <row r="7" spans="1:3">
      <c r="B7" t="s">
        <v>530</v>
      </c>
      <c r="C7" s="141">
        <v>13658950000</v>
      </c>
    </row>
    <row r="8" spans="1:3">
      <c r="B8" s="24" t="s">
        <v>531</v>
      </c>
      <c r="C8" s="142">
        <f>IF(OR(C6="",C7="",C6&lt;=0,C7&lt;=0),NA(),C6*C7)</f>
        <v>765447558000</v>
      </c>
    </row>
    <row r="11" spans="1:3">
      <c r="B11" s="140" t="s">
        <v>532</v>
      </c>
      <c r="C11" s="118" t="s">
        <v>533</v>
      </c>
    </row>
    <row r="12" spans="1:3">
      <c r="B12" s="140" t="s">
        <v>534</v>
      </c>
      <c r="C12" s="118" t="s">
        <v>535</v>
      </c>
    </row>
    <row r="13" spans="1:3">
      <c r="B13" t="s">
        <v>536</v>
      </c>
      <c r="C13" s="143">
        <f>IF($C$12="Global",INDEX('Damodaran Data'!$F$194:$F$289,MATCH($C$11,'Damodaran Data'!$A$194:$A$289,0)),IF($C$12="India",INDEX('Damodaran Data'!$F$293:$F$388,MATCH($C$11,'Damodaran Data'!$A$293:$A$388,0)),INDEX('Damodaran Data'!$F$392:$F$487,MATCH($C$11,'Damodaran Data'!$A$392:$A$487,0))))</f>
        <v>0.43459824489068882</v>
      </c>
    </row>
    <row r="14" spans="1:3">
      <c r="B14" t="s">
        <v>537</v>
      </c>
      <c r="C14" s="119">
        <f>'Inputs &amp; Assumptions'!C68/(1-'Inputs &amp; Assumptions'!C68)</f>
        <v>4.640402769861704E-2</v>
      </c>
    </row>
    <row r="15" spans="1:3">
      <c r="B15" t="s">
        <v>538</v>
      </c>
      <c r="C15" s="120">
        <v>0.3</v>
      </c>
    </row>
    <row r="16" spans="1:3">
      <c r="B16" s="24" t="s">
        <v>539</v>
      </c>
      <c r="C16" s="144">
        <f>C13*(1+(1-C15)*C14)</f>
        <v>0.44871522118626328</v>
      </c>
    </row>
    <row r="19" spans="2:3">
      <c r="B19" t="s">
        <v>540</v>
      </c>
      <c r="C19" s="120">
        <v>6.59E-2</v>
      </c>
    </row>
    <row r="20" spans="2:3">
      <c r="B20" t="s">
        <v>541</v>
      </c>
      <c r="C20" s="119">
        <f>INDEX('Damodaran Data'!$D$8:$D$187,MATCH(C4,'Damodaran Data'!$A$8:$A$187,0))</f>
        <v>1.8677954087398561E-2</v>
      </c>
    </row>
    <row r="21" spans="2:3">
      <c r="B21" s="24" t="s">
        <v>542</v>
      </c>
      <c r="C21" s="145">
        <f>C19-C20</f>
        <v>4.7222045912601443E-2</v>
      </c>
    </row>
    <row r="22" spans="2:3">
      <c r="B22" t="s">
        <v>543</v>
      </c>
      <c r="C22" s="119">
        <f>INDEX('Damodaran Data'!$E$8:$E$187,MATCH(C4,'Damodaran Data'!$A$8:$A$187,0))</f>
        <v>7.0753586800058929E-2</v>
      </c>
    </row>
    <row r="23" spans="2:3">
      <c r="B23" s="146" t="s">
        <v>544</v>
      </c>
      <c r="C23" s="147">
        <f>C21+C16*C22</f>
        <v>7.8970257263311361E-2</v>
      </c>
    </row>
    <row r="26" spans="2:3">
      <c r="B26" t="s">
        <v>545</v>
      </c>
      <c r="C26" s="91">
        <f>'P&amp;L Schedule'!L14</f>
        <v>15980400000</v>
      </c>
    </row>
    <row r="27" spans="2:3">
      <c r="B27" t="s">
        <v>546</v>
      </c>
      <c r="C27" s="91">
        <f>ABS('P&amp;L Schedule'!L17)</f>
        <v>2548000000</v>
      </c>
    </row>
    <row r="28" spans="2:3">
      <c r="B28" s="24" t="s">
        <v>547</v>
      </c>
      <c r="C28" s="148">
        <f>IFERROR(C26/C27,999)</f>
        <v>6.2717425431711149</v>
      </c>
    </row>
    <row r="29" spans="2:3">
      <c r="B29" t="s">
        <v>548</v>
      </c>
      <c r="C29" s="119">
        <f>IFERROR(INDEX('Damodaran Data'!$D$492:$D$506,MATCH(C28,'Damodaran Data'!$A$492:$A$506,1)),0)</f>
        <v>7.0000000000000001E-3</v>
      </c>
    </row>
    <row r="30" spans="2:3">
      <c r="B30" s="24" t="s">
        <v>549</v>
      </c>
      <c r="C30" s="145">
        <f>C21+C20+C29</f>
        <v>7.2900000000000006E-2</v>
      </c>
    </row>
    <row r="31" spans="2:3">
      <c r="B31" s="146" t="s">
        <v>550</v>
      </c>
      <c r="C31" s="147">
        <f>C30*(1-C15)</f>
        <v>5.1029999999999999E-2</v>
      </c>
    </row>
    <row r="32" spans="2:3" ht="45" customHeight="1">
      <c r="B32" s="133" t="str">
        <f>IF(C27&lt;=0,_xlfn._LONGTEXT("⚠ Interest Expense is zero or negative (company appears debt-free on Borrowings). Interest Coverage defaulted to 999x -&gt; near-riskless Cost of Debt. Verify Total Debt below is really ~0 -- Lease Liabilities are NOT included in Book Value of Debt by this p","ipeline, so a lease-heavy but Borrowings-free company would show debt-free here even if it is not."),"")</f>
        <v/>
      </c>
    </row>
    <row r="34" spans="2:3">
      <c r="B34" t="s">
        <v>551</v>
      </c>
      <c r="C34" s="91">
        <f>Schedules!L93</f>
        <v>2833300000</v>
      </c>
    </row>
    <row r="35" spans="2:3">
      <c r="B35" t="s">
        <v>552</v>
      </c>
      <c r="C35" s="149">
        <f>C8+C34</f>
        <v>768280858000</v>
      </c>
    </row>
    <row r="36" spans="2:3">
      <c r="B36" t="s">
        <v>553</v>
      </c>
      <c r="C36" s="119">
        <f>C8/C35</f>
        <v>0.9963121559381608</v>
      </c>
    </row>
    <row r="37" spans="2:3">
      <c r="B37" t="s">
        <v>554</v>
      </c>
      <c r="C37" s="119">
        <f>C34/C35</f>
        <v>3.6878440618391666E-3</v>
      </c>
    </row>
    <row r="39" spans="2:3" ht="17">
      <c r="B39" s="150" t="s">
        <v>6</v>
      </c>
      <c r="C39" s="151">
        <f>C36*C23+C37*C31</f>
        <v>7.8867217951476595E-2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45"/>
  <sheetViews>
    <sheetView showGridLines="0" workbookViewId="0"/>
  </sheetViews>
  <sheetFormatPr defaultRowHeight="14.5"/>
  <cols>
    <col min="1" max="1" width="3.453125" customWidth="1"/>
    <col min="2" max="2" width="65" customWidth="1"/>
    <col min="3" max="23" width="17" customWidth="1"/>
  </cols>
  <sheetData>
    <row r="1" spans="1:12" ht="21">
      <c r="A1" t="s">
        <v>27</v>
      </c>
      <c r="B1" s="137" t="s">
        <v>555</v>
      </c>
    </row>
    <row r="5" spans="1:12">
      <c r="B5" s="115" t="s">
        <v>515</v>
      </c>
      <c r="C5" s="115" t="s">
        <v>40</v>
      </c>
      <c r="D5" s="115" t="s">
        <v>41</v>
      </c>
      <c r="E5" s="115" t="s">
        <v>42</v>
      </c>
      <c r="F5" s="115" t="s">
        <v>43</v>
      </c>
      <c r="G5" s="115" t="s">
        <v>44</v>
      </c>
      <c r="H5" s="115" t="s">
        <v>45</v>
      </c>
      <c r="I5" s="115" t="s">
        <v>46</v>
      </c>
      <c r="J5" s="115" t="s">
        <v>47</v>
      </c>
      <c r="K5" s="115" t="s">
        <v>48</v>
      </c>
      <c r="L5" s="115" t="s">
        <v>49</v>
      </c>
    </row>
    <row r="7" spans="1:12">
      <c r="B7" t="s">
        <v>127</v>
      </c>
      <c r="C7" s="128">
        <f>'P&amp;L Schedule'!M14</f>
        <v>21374632753.746288</v>
      </c>
      <c r="D7" s="128">
        <f>'P&amp;L Schedule'!N14</f>
        <v>28191336323.266483</v>
      </c>
      <c r="E7" s="128">
        <f>'P&amp;L Schedule'!O14</f>
        <v>36297081639.02343</v>
      </c>
      <c r="F7" s="128">
        <f>'P&amp;L Schedule'!P14</f>
        <v>45740775848.656242</v>
      </c>
      <c r="G7" s="128">
        <f>'P&amp;L Schedule'!Q14</f>
        <v>56546290524.172234</v>
      </c>
      <c r="H7" s="128">
        <f>'P&amp;L Schedule'!R14</f>
        <v>68714581775.81604</v>
      </c>
      <c r="I7" s="128">
        <f>'P&amp;L Schedule'!S14</f>
        <v>82227090119.313782</v>
      </c>
      <c r="J7" s="128">
        <f>'P&amp;L Schedule'!T14</f>
        <v>98721200696.48642</v>
      </c>
      <c r="K7" s="128">
        <f>'P&amp;L Schedule'!U14</f>
        <v>114809642104.06682</v>
      </c>
      <c r="L7" s="128">
        <f>'P&amp;L Schedule'!V14</f>
        <v>132112573225.22401</v>
      </c>
    </row>
    <row r="8" spans="1:12">
      <c r="B8" s="152" t="s">
        <v>556</v>
      </c>
      <c r="C8" s="131">
        <f>IFERROR(Schedules!M107/Schedules!M106,0)</f>
        <v>0.25701984811265288</v>
      </c>
      <c r="D8" s="131">
        <f>IFERROR(Schedules!N107/Schedules!N106,0)</f>
        <v>0.25169999999999998</v>
      </c>
      <c r="E8" s="131">
        <f>IFERROR(Schedules!O107/Schedules!O106,0)</f>
        <v>0.25169999999999998</v>
      </c>
      <c r="F8" s="131">
        <f>IFERROR(Schedules!P107/Schedules!P106,0)</f>
        <v>0.25169999999999998</v>
      </c>
      <c r="G8" s="131">
        <f>IFERROR(Schedules!Q107/Schedules!Q106,0)</f>
        <v>0.25169999999999998</v>
      </c>
      <c r="H8" s="131">
        <f>IFERROR(Schedules!R107/Schedules!R106,0)</f>
        <v>0.25169999999999998</v>
      </c>
      <c r="I8" s="131">
        <f>IFERROR(Schedules!S107/Schedules!S106,0)</f>
        <v>0.25169999999999998</v>
      </c>
      <c r="J8" s="131">
        <f>IFERROR(Schedules!T107/Schedules!T106,0)</f>
        <v>0.25169999999999998</v>
      </c>
      <c r="K8" s="131">
        <f>IFERROR(Schedules!U107/Schedules!U106,0)</f>
        <v>0.25169999999999998</v>
      </c>
      <c r="L8" s="131">
        <f>IFERROR(Schedules!V107/Schedules!V106,0)</f>
        <v>0.25169999999999998</v>
      </c>
    </row>
    <row r="9" spans="1:12">
      <c r="B9" s="24" t="s">
        <v>557</v>
      </c>
      <c r="C9" s="130">
        <f t="shared" ref="C9:L9" si="0">C7*(1-C8)</f>
        <v>15880927889.914682</v>
      </c>
      <c r="D9" s="130">
        <f t="shared" si="0"/>
        <v>21095576970.70031</v>
      </c>
      <c r="E9" s="130">
        <f t="shared" si="0"/>
        <v>27161106190.481232</v>
      </c>
      <c r="F9" s="130">
        <f t="shared" si="0"/>
        <v>34227822567.549465</v>
      </c>
      <c r="G9" s="130">
        <f t="shared" si="0"/>
        <v>42313589199.238083</v>
      </c>
      <c r="H9" s="130">
        <f t="shared" si="0"/>
        <v>51419121542.84314</v>
      </c>
      <c r="I9" s="130">
        <f t="shared" si="0"/>
        <v>61530531536.282501</v>
      </c>
      <c r="J9" s="130">
        <f t="shared" si="0"/>
        <v>73873074481.180786</v>
      </c>
      <c r="K9" s="130">
        <f t="shared" si="0"/>
        <v>85912055186.47319</v>
      </c>
      <c r="L9" s="130">
        <f t="shared" si="0"/>
        <v>98859838544.43512</v>
      </c>
    </row>
    <row r="10" spans="1:12">
      <c r="B10" t="s">
        <v>558</v>
      </c>
      <c r="C10" s="128">
        <f>-'P&amp;L Schedule'!M13</f>
        <v>1896063247.1659889</v>
      </c>
      <c r="D10" s="128">
        <f>-'P&amp;L Schedule'!N13</f>
        <v>2131598964.4396296</v>
      </c>
      <c r="E10" s="128">
        <f>-'P&amp;L Schedule'!O13</f>
        <v>2378455701.0528398</v>
      </c>
      <c r="F10" s="128">
        <f>-'P&amp;L Schedule'!P13</f>
        <v>2637232409.5320134</v>
      </c>
      <c r="G10" s="128">
        <f>-'P&amp;L Schedule'!Q13</f>
        <v>2908555855.7117505</v>
      </c>
      <c r="H10" s="128">
        <f>-'P&amp;L Schedule'!R13</f>
        <v>3193082178.3346224</v>
      </c>
      <c r="I10" s="128">
        <f>-'P&amp;L Schedule'!S13</f>
        <v>3491498511.8681073</v>
      </c>
      <c r="J10" s="128">
        <f>-'P&amp;L Schedule'!T13</f>
        <v>2133248768.6529977</v>
      </c>
      <c r="K10" s="128">
        <f>-'P&amp;L Schedule'!U13</f>
        <v>2461639037.6835961</v>
      </c>
      <c r="L10" s="128">
        <f>-'P&amp;L Schedule'!V13</f>
        <v>2806183973.8295474</v>
      </c>
    </row>
    <row r="11" spans="1:12">
      <c r="B11" t="s">
        <v>559</v>
      </c>
      <c r="C11" s="128">
        <f>-Schedules!M53</f>
        <v>-2211348568.6029263</v>
      </c>
      <c r="D11" s="128">
        <f>-Schedules!N53</f>
        <v>-2317085895.0269527</v>
      </c>
      <c r="E11" s="128">
        <f>-Schedules!O53</f>
        <v>-2428456580.257534</v>
      </c>
      <c r="F11" s="128">
        <f>-Schedules!P53</f>
        <v>-2545719469.2980781</v>
      </c>
      <c r="G11" s="128">
        <f>-Schedules!Q53</f>
        <v>-2669148175.9549241</v>
      </c>
      <c r="H11" s="128">
        <f>-Schedules!R53</f>
        <v>-2799031656.618835</v>
      </c>
      <c r="I11" s="128">
        <f>-Schedules!S53</f>
        <v>-2935674832.1647387</v>
      </c>
      <c r="J11" s="128">
        <f>-Schedules!T53</f>
        <v>-3079399257.6039958</v>
      </c>
      <c r="K11" s="128">
        <f>-Schedules!U53</f>
        <v>-3230543839.5608463</v>
      </c>
      <c r="L11" s="128">
        <f>-Schedules!V53</f>
        <v>-3389465602.0226808</v>
      </c>
    </row>
    <row r="12" spans="1:12">
      <c r="B12" t="s">
        <v>560</v>
      </c>
      <c r="C12" s="128">
        <f>Schedules!M45</f>
        <v>-11190833493.428467</v>
      </c>
      <c r="D12" s="128">
        <f>Schedules!N45</f>
        <v>-16012811843.719299</v>
      </c>
      <c r="E12" s="128">
        <f>Schedules!O45</f>
        <v>-18965415044.910217</v>
      </c>
      <c r="F12" s="128">
        <f>Schedules!P45</f>
        <v>-22030426778.31752</v>
      </c>
      <c r="G12" s="128">
        <f>Schedules!Q45</f>
        <v>-25151064428.31572</v>
      </c>
      <c r="H12" s="128">
        <f>Schedules!R45</f>
        <v>-28275362850.251343</v>
      </c>
      <c r="I12" s="128">
        <f>Schedules!S45</f>
        <v>-31359080321.510559</v>
      </c>
      <c r="J12" s="128">
        <f>Schedules!T45</f>
        <v>-34367479855.75946</v>
      </c>
      <c r="K12" s="128">
        <f>Schedules!U45</f>
        <v>-37276051764.133453</v>
      </c>
      <c r="L12" s="128">
        <f>Schedules!V45</f>
        <v>-40070352427.109528</v>
      </c>
    </row>
    <row r="13" spans="1:12">
      <c r="B13" s="146" t="s">
        <v>561</v>
      </c>
      <c r="C13" s="139">
        <f t="shared" ref="C13:L13" si="1">C9+C10+C11+C12</f>
        <v>4374809075.0492802</v>
      </c>
      <c r="D13" s="139">
        <f t="shared" si="1"/>
        <v>4897278196.3936844</v>
      </c>
      <c r="E13" s="139">
        <f t="shared" si="1"/>
        <v>8145690266.3663216</v>
      </c>
      <c r="F13" s="139">
        <f t="shared" si="1"/>
        <v>12288908729.465885</v>
      </c>
      <c r="G13" s="139">
        <f t="shared" si="1"/>
        <v>17401932450.679192</v>
      </c>
      <c r="H13" s="139">
        <f t="shared" si="1"/>
        <v>23537809214.307587</v>
      </c>
      <c r="I13" s="139">
        <f t="shared" si="1"/>
        <v>30727274894.475311</v>
      </c>
      <c r="J13" s="139">
        <f t="shared" si="1"/>
        <v>38559444136.470337</v>
      </c>
      <c r="K13" s="139">
        <f t="shared" si="1"/>
        <v>47867098620.462479</v>
      </c>
      <c r="L13" s="139">
        <f t="shared" si="1"/>
        <v>58206204489.132462</v>
      </c>
    </row>
    <row r="15" spans="1:12">
      <c r="B15" s="152" t="s">
        <v>562</v>
      </c>
      <c r="C15" s="153">
        <f>1/(1+'WACC Schedule'!$C39)^1</f>
        <v>0.92689812366230984</v>
      </c>
      <c r="D15" s="153">
        <f>1/(1+'WACC Schedule'!$C39)^2</f>
        <v>0.85914013164871061</v>
      </c>
      <c r="E15" s="153">
        <f>1/(1+'WACC Schedule'!$C39)^3</f>
        <v>0.79633537598817961</v>
      </c>
      <c r="F15" s="153">
        <f>1/(1+'WACC Schedule'!$C39)^4</f>
        <v>0.73812176580936373</v>
      </c>
      <c r="G15" s="153">
        <f>1/(1+'WACC Schedule'!$C39)^5</f>
        <v>0.68416367976301018</v>
      </c>
      <c r="H15" s="153">
        <f>1/(1+'WACC Schedule'!$C39)^6</f>
        <v>0.63415003105023549</v>
      </c>
      <c r="I15" s="153">
        <f>1/(1+'WACC Schedule'!$C39)^7</f>
        <v>0.58779247390085876</v>
      </c>
      <c r="J15" s="153">
        <f>1/(1+'WACC Schedule'!$C39)^8</f>
        <v>0.54482374116153331</v>
      </c>
      <c r="K15" s="153">
        <f>1/(1+'WACC Schedule'!$C39)^9</f>
        <v>0.50499610340930523</v>
      </c>
      <c r="L15" s="153">
        <f>1/(1+'WACC Schedule'!$C39)^10</f>
        <v>0.46807994070686271</v>
      </c>
    </row>
    <row r="16" spans="1:12">
      <c r="B16" s="24" t="s">
        <v>563</v>
      </c>
      <c r="C16" s="130">
        <f t="shared" ref="C16:L16" si="2">C13*C15</f>
        <v>4055002323.044023</v>
      </c>
      <c r="D16" s="130">
        <f t="shared" si="2"/>
        <v>4207448234.3700299</v>
      </c>
      <c r="E16" s="130">
        <f t="shared" si="2"/>
        <v>6486701320.9500799</v>
      </c>
      <c r="F16" s="130">
        <f t="shared" si="2"/>
        <v>9070711011.263464</v>
      </c>
      <c r="G16" s="130">
        <f t="shared" si="2"/>
        <v>11905770140.444014</v>
      </c>
      <c r="H16" s="130">
        <f t="shared" si="2"/>
        <v>14926502444.107676</v>
      </c>
      <c r="I16" s="130">
        <f t="shared" si="2"/>
        <v>18061260926.455391</v>
      </c>
      <c r="J16" s="130">
        <f t="shared" si="2"/>
        <v>21008100611.540916</v>
      </c>
      <c r="K16" s="130">
        <f t="shared" si="2"/>
        <v>24172698284.84248</v>
      </c>
      <c r="L16" s="130">
        <f t="shared" si="2"/>
        <v>27245156746.044647</v>
      </c>
    </row>
    <row r="18" spans="1:3">
      <c r="B18" s="146" t="s">
        <v>564</v>
      </c>
      <c r="C18" s="154">
        <f>SUM(C16:L16)</f>
        <v>141139352043.06274</v>
      </c>
    </row>
    <row r="20" spans="1:3" ht="17">
      <c r="A20" t="s">
        <v>27</v>
      </c>
      <c r="B20" s="150" t="s">
        <v>565</v>
      </c>
    </row>
    <row r="22" spans="1:3">
      <c r="B22" t="s">
        <v>7</v>
      </c>
      <c r="C22" s="155">
        <f>IF('Inputs &amp; Assumptions'!C13="",'Inputs &amp; Assumptions'!C12,'Inputs &amp; Assumptions'!C13)</f>
        <v>5.0099999999999999E-2</v>
      </c>
    </row>
    <row r="23" spans="1:3">
      <c r="B23" t="s">
        <v>566</v>
      </c>
      <c r="C23" s="155">
        <f>'Inputs &amp; Assumptions'!C73</f>
        <v>0.25169999999999998</v>
      </c>
    </row>
    <row r="24" spans="1:3">
      <c r="B24" t="s">
        <v>567</v>
      </c>
      <c r="C24" s="149">
        <f>L7*(1+C22)*(1-C23)</f>
        <v>103812716455.51132</v>
      </c>
    </row>
    <row r="25" spans="1:3">
      <c r="B25" s="152" t="s">
        <v>568</v>
      </c>
      <c r="C25" s="156">
        <f>C22/'WACC Schedule'!$C39</f>
        <v>0.63524492560171508</v>
      </c>
    </row>
    <row r="26" spans="1:3">
      <c r="B26" s="146" t="s">
        <v>569</v>
      </c>
      <c r="C26" s="157">
        <f>C24*(1-C25)/('WACC Schedule'!$C39-C22)</f>
        <v>1316297431961.9407</v>
      </c>
    </row>
    <row r="27" spans="1:3">
      <c r="B27" t="s">
        <v>570</v>
      </c>
      <c r="C27" s="149">
        <f>C26*L15</f>
        <v>616132423905.34082</v>
      </c>
    </row>
    <row r="29" spans="1:3" ht="15.5">
      <c r="B29" s="112" t="s">
        <v>571</v>
      </c>
      <c r="C29" s="158">
        <f>C18+C27</f>
        <v>757271775948.40356</v>
      </c>
    </row>
    <row r="30" spans="1:3">
      <c r="B30" t="s">
        <v>572</v>
      </c>
      <c r="C30" s="91">
        <f>-Schedules!$L$93</f>
        <v>-2833300000</v>
      </c>
    </row>
    <row r="31" spans="1:3">
      <c r="B31" t="s">
        <v>573</v>
      </c>
      <c r="C31" s="91">
        <f>IFERROR(INDEX(HS_CONSOLIDATED!M:M,MATCH("CashAndCashEquivalents",HS_CONSOLIDATED!$C:$C,0)),0)</f>
        <v>11128300000</v>
      </c>
    </row>
    <row r="32" spans="1:3" ht="15.5">
      <c r="B32" s="112" t="s">
        <v>574</v>
      </c>
      <c r="C32" s="158">
        <f>C29+C30+C31</f>
        <v>765566775948.40356</v>
      </c>
    </row>
    <row r="33" spans="1:22" ht="17">
      <c r="B33" s="150" t="s">
        <v>575</v>
      </c>
      <c r="C33" s="159">
        <f>C32/'WACC Schedule'!$C7</f>
        <v>56.048728192752996</v>
      </c>
    </row>
    <row r="36" spans="1:22" ht="17">
      <c r="A36" t="s">
        <v>27</v>
      </c>
      <c r="B36" s="150" t="s">
        <v>576</v>
      </c>
    </row>
    <row r="38" spans="1:22">
      <c r="B38" s="115" t="s">
        <v>515</v>
      </c>
      <c r="C38" s="115" t="s">
        <v>30</v>
      </c>
      <c r="D38" s="115" t="s">
        <v>31</v>
      </c>
      <c r="E38" s="115" t="s">
        <v>32</v>
      </c>
      <c r="F38" s="115" t="s">
        <v>33</v>
      </c>
      <c r="G38" s="115" t="s">
        <v>34</v>
      </c>
      <c r="H38" s="115" t="s">
        <v>35</v>
      </c>
      <c r="I38" s="115" t="s">
        <v>36</v>
      </c>
      <c r="J38" s="115" t="s">
        <v>37</v>
      </c>
      <c r="K38" s="115" t="s">
        <v>38</v>
      </c>
      <c r="L38" s="115" t="s">
        <v>39</v>
      </c>
      <c r="M38" s="115" t="s">
        <v>40</v>
      </c>
      <c r="N38" s="115" t="s">
        <v>41</v>
      </c>
      <c r="O38" s="115" t="s">
        <v>42</v>
      </c>
      <c r="P38" s="115" t="s">
        <v>43</v>
      </c>
      <c r="Q38" s="115" t="s">
        <v>44</v>
      </c>
      <c r="R38" s="115" t="s">
        <v>45</v>
      </c>
      <c r="S38" s="115" t="s">
        <v>46</v>
      </c>
      <c r="T38" s="115" t="s">
        <v>47</v>
      </c>
      <c r="U38" s="115" t="s">
        <v>48</v>
      </c>
      <c r="V38" s="115" t="s">
        <v>49</v>
      </c>
    </row>
    <row r="39" spans="1:22">
      <c r="B39" s="1" t="s">
        <v>577</v>
      </c>
      <c r="C39" s="1" t="s">
        <v>329</v>
      </c>
      <c r="D39" s="132">
        <f>Schedules!C64+Schedules!C44</f>
        <v>0</v>
      </c>
      <c r="E39" s="132">
        <f>Schedules!D64+Schedules!D44</f>
        <v>37043000000</v>
      </c>
      <c r="F39" s="132">
        <f>Schedules!E64+Schedules!E44</f>
        <v>47522400000</v>
      </c>
      <c r="G39" s="132">
        <f>Schedules!F64+Schedules!F44</f>
        <v>37666500000</v>
      </c>
      <c r="H39" s="132">
        <f>Schedules!G64+Schedules!G44</f>
        <v>31703800000</v>
      </c>
      <c r="I39" s="132">
        <f>Schedules!H64+Schedules!H44</f>
        <v>27158000000</v>
      </c>
      <c r="J39" s="132">
        <f>Schedules!I64+Schedules!I44</f>
        <v>26516900000</v>
      </c>
      <c r="K39" s="132">
        <f>Schedules!J64+Schedules!J44</f>
        <v>28813800000</v>
      </c>
      <c r="L39" s="132">
        <f>Schedules!K64+Schedules!K44</f>
        <v>31356000000</v>
      </c>
      <c r="M39" s="132">
        <f>Schedules!L64+Schedules!L44</f>
        <v>49868200000</v>
      </c>
      <c r="N39" s="132">
        <f>Schedules!M64+Schedules!M44</f>
        <v>62026878824.124527</v>
      </c>
      <c r="O39" s="132">
        <f>Schedules!N64+Schedules!N44</f>
        <v>78958800931.962128</v>
      </c>
      <c r="P39" s="132">
        <f>Schedules!O64+Schedules!O44</f>
        <v>98792799820.870712</v>
      </c>
      <c r="Q39" s="132">
        <f>Schedules!P64+Schedules!P44</f>
        <v>121639358700.94061</v>
      </c>
      <c r="R39" s="132">
        <f>Schedules!Q64+Schedules!Q44</f>
        <v>147552040725.93524</v>
      </c>
      <c r="S39" s="132">
        <f>Schedules!R64+Schedules!R44</f>
        <v>176532302543.08813</v>
      </c>
      <c r="T39" s="132">
        <f>Schedules!S64+Schedules!S44</f>
        <v>208537213351.56848</v>
      </c>
      <c r="U39" s="132">
        <f>Schedules!T64+Schedules!T44</f>
        <v>244585034835.89676</v>
      </c>
      <c r="V39" s="132">
        <f>Schedules!U64+Schedules!U44</f>
        <v>283477203221.25177</v>
      </c>
    </row>
    <row r="40" spans="1:22">
      <c r="B40" s="1" t="s">
        <v>578</v>
      </c>
      <c r="C40" s="132">
        <f>'P&amp;L Schedule'!C14*(1-(IF(AND(ABS(Schedules!C106)&gt;0,IFERROR(Schedules!C107/Schedules!C106,-1)&gt;=0,IFERROR(Schedules!C107/Schedules!C106,2)&lt;=0.6),Schedules!C107/Schedules!C106,'Inputs &amp; Assumptions'!$C$73)))</f>
        <v>0</v>
      </c>
      <c r="D40" s="132">
        <f>'P&amp;L Schedule'!D14*(1-(IF(AND(ABS(Schedules!D106)&gt;0,IFERROR(Schedules!D107/Schedules!D106,-1)&gt;=0,IFERROR(Schedules!D107/Schedules!D106,2)&lt;=0.6),Schedules!D107/Schedules!D106,'Inputs &amp; Assumptions'!$C$73)))</f>
        <v>20832741258.67989</v>
      </c>
      <c r="E40" s="132">
        <f>'P&amp;L Schedule'!E14*(1-(IF(AND(ABS(Schedules!E106)&gt;0,IFERROR(Schedules!E107/Schedules!E106,-1)&gt;=0,IFERROR(Schedules!E107/Schedules!E106,2)&lt;=0.6),Schedules!E107/Schedules!E106,'Inputs &amp; Assumptions'!$C$73)))</f>
        <v>6588092107.2836151</v>
      </c>
      <c r="F40" s="132">
        <f>'P&amp;L Schedule'!F14*(1-(IF(AND(ABS(Schedules!F106)&gt;0,IFERROR(Schedules!F107/Schedules!F106,-1)&gt;=0,IFERROR(Schedules!F107/Schedules!F106,2)&lt;=0.6),Schedules!F107/Schedules!F106,'Inputs &amp; Assumptions'!$C$73)))</f>
        <v>-3478960680.2377205</v>
      </c>
      <c r="G40" s="132">
        <f>'P&amp;L Schedule'!G14*(1-(IF(AND(ABS(Schedules!G106)&gt;0,IFERROR(Schedules!G107/Schedules!G106,-1)&gt;=0,IFERROR(Schedules!G107/Schedules!G106,2)&lt;=0.6),Schedules!G107/Schedules!G106,'Inputs &amp; Assumptions'!$C$73)))</f>
        <v>-9565818220</v>
      </c>
      <c r="H40" s="132">
        <f>'P&amp;L Schedule'!H14*(1-(IF(AND(ABS(Schedules!H106)&gt;0,IFERROR(Schedules!H107/Schedules!H106,-1)&gt;=0,IFERROR(Schedules!H107/Schedules!H106,2)&lt;=0.6),Schedules!H107/Schedules!H106,'Inputs &amp; Assumptions'!$C$73)))</f>
        <v>2637306468.5148139</v>
      </c>
      <c r="I40" s="132">
        <f>'P&amp;L Schedule'!I14*(1-(IF(AND(ABS(Schedules!I106)&gt;0,IFERROR(Schedules!I107/Schedules!I106,-1)&gt;=0,IFERROR(Schedules!I107/Schedules!I106,2)&lt;=0.6),Schedules!I107/Schedules!I106,'Inputs &amp; Assumptions'!$C$73)))</f>
        <v>4711371630</v>
      </c>
      <c r="J40" s="132">
        <f>'P&amp;L Schedule'!J14*(1-(IF(AND(ABS(Schedules!J106)&gt;0,IFERROR(Schedules!J107/Schedules!J106,-1)&gt;=0,IFERROR(Schedules!J107/Schedules!J106,2)&lt;=0.6),Schedules!J107/Schedules!J106,'Inputs &amp; Assumptions'!$C$73)))</f>
        <v>5713653269.5187273</v>
      </c>
      <c r="K40" s="132">
        <f>'P&amp;L Schedule'!K14*(1-(IF(AND(ABS(Schedules!K106)&gt;0,IFERROR(Schedules!K107/Schedules!K106,-1)&gt;=0,IFERROR(Schedules!K107/Schedules!K106,2)&lt;=0.6),Schedules!K107/Schedules!K106,'Inputs &amp; Assumptions'!$C$73)))</f>
        <v>6280332240</v>
      </c>
      <c r="L40" s="132">
        <f>'P&amp;L Schedule'!L14*(1-(IF(AND(ABS(Schedules!L106)&gt;0,IFERROR(Schedules!L107/Schedules!L106,-1)&gt;=0,IFERROR(Schedules!L107/Schedules!L106,2)&lt;=0.6),Schedules!L107/Schedules!L106,'Inputs &amp; Assumptions'!$C$73)))</f>
        <v>11958133320</v>
      </c>
      <c r="M40" s="132">
        <f t="shared" ref="M40:V40" si="3">C7*(1-(C8))</f>
        <v>15880927889.914682</v>
      </c>
      <c r="N40" s="132">
        <f t="shared" si="3"/>
        <v>21095576970.70031</v>
      </c>
      <c r="O40" s="132">
        <f t="shared" si="3"/>
        <v>27161106190.481232</v>
      </c>
      <c r="P40" s="132">
        <f t="shared" si="3"/>
        <v>34227822567.549465</v>
      </c>
      <c r="Q40" s="132">
        <f t="shared" si="3"/>
        <v>42313589199.238083</v>
      </c>
      <c r="R40" s="132">
        <f t="shared" si="3"/>
        <v>51419121542.84314</v>
      </c>
      <c r="S40" s="132">
        <f t="shared" si="3"/>
        <v>61530531536.282501</v>
      </c>
      <c r="T40" s="132">
        <f t="shared" si="3"/>
        <v>73873074481.180786</v>
      </c>
      <c r="U40" s="132">
        <f t="shared" si="3"/>
        <v>85912055186.47319</v>
      </c>
      <c r="V40" s="132">
        <f t="shared" si="3"/>
        <v>98859838544.43512</v>
      </c>
    </row>
    <row r="41" spans="1:22">
      <c r="B41" s="24" t="s">
        <v>579</v>
      </c>
      <c r="C41" s="1" t="s">
        <v>329</v>
      </c>
      <c r="D41" s="160" t="str">
        <f t="shared" ref="D41:V41" si="4">IFERROR(D40/D39,"")</f>
        <v/>
      </c>
      <c r="E41" s="160">
        <f t="shared" si="4"/>
        <v>0.17784985307031329</v>
      </c>
      <c r="F41" s="160">
        <f t="shared" si="4"/>
        <v>-7.3206754714360403E-2</v>
      </c>
      <c r="G41" s="160">
        <f t="shared" si="4"/>
        <v>-0.25396089947300654</v>
      </c>
      <c r="H41" s="160">
        <f t="shared" si="4"/>
        <v>8.3185815849040612E-2</v>
      </c>
      <c r="I41" s="160">
        <f t="shared" si="4"/>
        <v>0.17348006591059725</v>
      </c>
      <c r="J41" s="160">
        <f t="shared" si="4"/>
        <v>0.21547214303024589</v>
      </c>
      <c r="K41" s="160">
        <f t="shared" si="4"/>
        <v>0.21796265122961914</v>
      </c>
      <c r="L41" s="160">
        <f t="shared" si="4"/>
        <v>0.38136667049368544</v>
      </c>
      <c r="M41" s="160">
        <f t="shared" si="4"/>
        <v>0.31845801312088029</v>
      </c>
      <c r="N41" s="160">
        <f t="shared" si="4"/>
        <v>0.34010379646082506</v>
      </c>
      <c r="O41" s="160">
        <f t="shared" si="4"/>
        <v>0.34399086447482452</v>
      </c>
      <c r="P41" s="160">
        <f t="shared" si="4"/>
        <v>0.34646069986487604</v>
      </c>
      <c r="Q41" s="160">
        <f t="shared" si="4"/>
        <v>0.34786100199088671</v>
      </c>
      <c r="R41" s="160">
        <f t="shared" si="4"/>
        <v>0.34848126321986678</v>
      </c>
      <c r="S41" s="160">
        <f t="shared" si="4"/>
        <v>0.34855111868981647</v>
      </c>
      <c r="T41" s="160">
        <f t="shared" si="4"/>
        <v>0.35424408571452298</v>
      </c>
      <c r="U41" s="160">
        <f t="shared" si="4"/>
        <v>0.35125638510187468</v>
      </c>
      <c r="V41" s="160">
        <f t="shared" si="4"/>
        <v>0.34873999538959671</v>
      </c>
    </row>
    <row r="44" spans="1:22">
      <c r="B44" t="s">
        <v>580</v>
      </c>
      <c r="C44" s="123">
        <f>AVERAGE(J41:L41)</f>
        <v>0.27160048825118349</v>
      </c>
    </row>
    <row r="45" spans="1:22" ht="40" customHeight="1">
      <c r="B45" s="133" t="str">
        <f>IF(ABS(M41-C44)&gt;0.15,"⚠ Implied ROIC in the first forecast year ("&amp;TEXT(M41,"0.0%")&amp;") differs from the last 3yr average historical ROIC ("&amp;TEXT(C44,"0.0%")&amp;_xlfn._LONGTEXT(") by more than 15 percentage points. The assumed growth and reinvestment levels imply a return on capital very different from what this company has actually earned -- confirm this is deliberate (e.g. a genuine margin/efficiency inflection) before relying ","on the DCF."),"")</f>
        <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1"/>
  <sheetViews>
    <sheetView showGridLines="0" workbookViewId="0"/>
  </sheetViews>
  <sheetFormatPr defaultRowHeight="14.5"/>
  <cols>
    <col min="1" max="1" width="3.453125" customWidth="1"/>
    <col min="2" max="2" width="65" customWidth="1"/>
    <col min="3" max="23" width="17" customWidth="1"/>
  </cols>
  <sheetData>
    <row r="1" spans="1:7" ht="21">
      <c r="A1" t="s">
        <v>27</v>
      </c>
      <c r="B1" s="137" t="s">
        <v>20</v>
      </c>
    </row>
    <row r="4" spans="1:7" ht="17">
      <c r="A4" t="s">
        <v>27</v>
      </c>
      <c r="B4" s="150" t="s">
        <v>581</v>
      </c>
    </row>
    <row r="6" spans="1:7">
      <c r="B6" s="161" t="s">
        <v>7</v>
      </c>
    </row>
    <row r="7" spans="1:7">
      <c r="B7" s="161" t="s">
        <v>6</v>
      </c>
      <c r="C7" s="162">
        <f>(IF('Inputs &amp; Assumptions'!$C$13="",'Inputs &amp; Assumptions'!$C$12,'Inputs &amp; Assumptions'!$C$13))+(-0.02)</f>
        <v>3.0099999999999998E-2</v>
      </c>
      <c r="D7" s="162">
        <f>(IF('Inputs &amp; Assumptions'!$C$13="",'Inputs &amp; Assumptions'!$C$12,'Inputs &amp; Assumptions'!$C$13))+(-0.01)</f>
        <v>4.0099999999999997E-2</v>
      </c>
      <c r="E7" s="162">
        <f>(IF('Inputs &amp; Assumptions'!$C$13="",'Inputs &amp; Assumptions'!$C$12,'Inputs &amp; Assumptions'!$C$13))+(0)</f>
        <v>5.0099999999999999E-2</v>
      </c>
      <c r="F7" s="162">
        <f>(IF('Inputs &amp; Assumptions'!$C$13="",'Inputs &amp; Assumptions'!$C$12,'Inputs &amp; Assumptions'!$C$13))+(0.01)</f>
        <v>6.0100000000000001E-2</v>
      </c>
      <c r="G7" s="162">
        <f>(IF('Inputs &amp; Assumptions'!$C$13="",'Inputs &amp; Assumptions'!$C$12,'Inputs &amp; Assumptions'!$C$13))+(0.02)</f>
        <v>7.0099999999999996E-2</v>
      </c>
    </row>
    <row r="8" spans="1:7">
      <c r="B8" s="145">
        <f>'WACC Schedule'!$C39+(-0.02)</f>
        <v>5.8867217951476591E-2</v>
      </c>
      <c r="C8" s="163">
        <f>(((((((('P&amp;L Schedule'!M14)*(1-(IFERROR(Schedules!M107/Schedules!M106,0))))+((-'P&amp;L Schedule'!M13))+((-Schedules!M53))+((Schedules!M45*(1)))))*(1/(1+$B8)^1)+(((('P&amp;L Schedule'!N14)*(1-(IFERROR(Schedules!N107/Schedules!N106,0))))+((-'P&amp;L Schedule'!N13))+((-Schedules!N53))+((Schedules!N45*(1)))))*(1/(1+$B8)^2)+(((('P&amp;L Schedule'!O14)*(1-(IFERROR(Schedules!O107/Schedules!O106,0))))+((-'P&amp;L Schedule'!O13))+((-Schedules!O53))+((Schedules!O45*(1)))))*(1/(1+$B8)^3)+(((('P&amp;L Schedule'!P14)*(1-(IFERROR(Schedules!P107/Schedules!P106,0))))+((-'P&amp;L Schedule'!P13))+((-Schedules!P53))+((Schedules!P45*(1)))))*(1/(1+$B8)^4)+(((('P&amp;L Schedule'!Q14)*(1-(IFERROR(Schedules!Q107/Schedules!Q106,0))))+((-'P&amp;L Schedule'!Q13))+((-Schedules!Q53))+((Schedules!Q45*(1)))))*(1/(1+$B8)^5)+(((('P&amp;L Schedule'!R14)*(1-(IFERROR(Schedules!R107/Schedules!R106,0))))+((-'P&amp;L Schedule'!R13))+((-Schedules!R53))+((Schedules!R45*(1)))))*(1/(1+$B8)^6)+(((('P&amp;L Schedule'!S14)*(1-(IFERROR(Schedules!S107/Schedules!S106,0))))+((-'P&amp;L Schedule'!S13))+((-Schedules!S53))+((Schedules!S45*(1)))))*(1/(1+$B8)^7)+(((('P&amp;L Schedule'!T14)*(1-(IFERROR(Schedules!T107/Schedules!T106,0))))+((-'P&amp;L Schedule'!T13))+((-Schedules!T53))+((Schedules!T45*(1)))))*(1/(1+$B8)^8)+(((('P&amp;L Schedule'!U14)*(1-(IFERROR(Schedules!U107/Schedules!U106,0))))+((-'P&amp;L Schedule'!U13))+((-Schedules!U53))+((Schedules!U45*(1)))))*(1/(1+$B8)^9)+(((('P&amp;L Schedule'!V14)*(1-(IFERROR(Schedules!V107/Schedules!V106,0))))+((-'P&amp;L Schedule'!V13))+((-Schedules!V53))+((Schedules!V45*(1)))))*(1/(1+$B8)^10))+((((('P&amp;L Schedule'!V14)*(1+(C$7))*(1-('Inputs &amp; Assumptions'!$C$73)))*(1-(((C$7)/($B8))))/(($B8)-(C$7))))*(1/(1+$B8)^10))))-(Schedules!$L$93)+(IFERROR(INDEX(HS_CONSOLIDATED!M:M,MATCH("CashAndCashEquivalents",HS_CONSOLIDATED!$C:$C,0)),0)))/'WACC Schedule'!$C7</f>
        <v>83.902047876229844</v>
      </c>
      <c r="D8" s="163">
        <f>(((((((('P&amp;L Schedule'!M14)*(1-(IFERROR(Schedules!M107/Schedules!M106,0))))+((-'P&amp;L Schedule'!M13))+((-Schedules!M53))+((Schedules!M45*(1)))))*(1/(1+$B8)^1)+(((('P&amp;L Schedule'!N14)*(1-(IFERROR(Schedules!N107/Schedules!N106,0))))+((-'P&amp;L Schedule'!N13))+((-Schedules!N53))+((Schedules!N45*(1)))))*(1/(1+$B8)^2)+(((('P&amp;L Schedule'!O14)*(1-(IFERROR(Schedules!O107/Schedules!O106,0))))+((-'P&amp;L Schedule'!O13))+((-Schedules!O53))+((Schedules!O45*(1)))))*(1/(1+$B8)^3)+(((('P&amp;L Schedule'!P14)*(1-(IFERROR(Schedules!P107/Schedules!P106,0))))+((-'P&amp;L Schedule'!P13))+((-Schedules!P53))+((Schedules!P45*(1)))))*(1/(1+$B8)^4)+(((('P&amp;L Schedule'!Q14)*(1-(IFERROR(Schedules!Q107/Schedules!Q106,0))))+((-'P&amp;L Schedule'!Q13))+((-Schedules!Q53))+((Schedules!Q45*(1)))))*(1/(1+$B8)^5)+(((('P&amp;L Schedule'!R14)*(1-(IFERROR(Schedules!R107/Schedules!R106,0))))+((-'P&amp;L Schedule'!R13))+((-Schedules!R53))+((Schedules!R45*(1)))))*(1/(1+$B8)^6)+(((('P&amp;L Schedule'!S14)*(1-(IFERROR(Schedules!S107/Schedules!S106,0))))+((-'P&amp;L Schedule'!S13))+((-Schedules!S53))+((Schedules!S45*(1)))))*(1/(1+$B8)^7)+(((('P&amp;L Schedule'!T14)*(1-(IFERROR(Schedules!T107/Schedules!T106,0))))+((-'P&amp;L Schedule'!T13))+((-Schedules!T53))+((Schedules!T45*(1)))))*(1/(1+$B8)^8)+(((('P&amp;L Schedule'!U14)*(1-(IFERROR(Schedules!U107/Schedules!U106,0))))+((-'P&amp;L Schedule'!U13))+((-Schedules!U53))+((Schedules!U45*(1)))))*(1/(1+$B8)^9)+(((('P&amp;L Schedule'!V14)*(1-(IFERROR(Schedules!V107/Schedules!V106,0))))+((-'P&amp;L Schedule'!V13))+((-Schedules!V53))+((Schedules!V45*(1)))))*(1/(1+$B8)^10))+((((('P&amp;L Schedule'!V14)*(1+(D$7))*(1-('Inputs &amp; Assumptions'!$C$73)))*(1-(((D$7)/($B8))))/(($B8)-(D$7))))*(1/(1+$B8)^10))))-(Schedules!$L$93)+(IFERROR(INDEX(HS_CONSOLIDATED!M:M,MATCH("CashAndCashEquivalents",HS_CONSOLIDATED!$C:$C,0)),0)))/'WACC Schedule'!$C7</f>
        <v>84.595975283076655</v>
      </c>
      <c r="E8" s="163">
        <f>(((((((('P&amp;L Schedule'!M14)*(1-(IFERROR(Schedules!M107/Schedules!M106,0))))+((-'P&amp;L Schedule'!M13))+((-Schedules!M53))+((Schedules!M45*(1)))))*(1/(1+$B8)^1)+(((('P&amp;L Schedule'!N14)*(1-(IFERROR(Schedules!N107/Schedules!N106,0))))+((-'P&amp;L Schedule'!N13))+((-Schedules!N53))+((Schedules!N45*(1)))))*(1/(1+$B8)^2)+(((('P&amp;L Schedule'!O14)*(1-(IFERROR(Schedules!O107/Schedules!O106,0))))+((-'P&amp;L Schedule'!O13))+((-Schedules!O53))+((Schedules!O45*(1)))))*(1/(1+$B8)^3)+(((('P&amp;L Schedule'!P14)*(1-(IFERROR(Schedules!P107/Schedules!P106,0))))+((-'P&amp;L Schedule'!P13))+((-Schedules!P53))+((Schedules!P45*(1)))))*(1/(1+$B8)^4)+(((('P&amp;L Schedule'!Q14)*(1-(IFERROR(Schedules!Q107/Schedules!Q106,0))))+((-'P&amp;L Schedule'!Q13))+((-Schedules!Q53))+((Schedules!Q45*(1)))))*(1/(1+$B8)^5)+(((('P&amp;L Schedule'!R14)*(1-(IFERROR(Schedules!R107/Schedules!R106,0))))+((-'P&amp;L Schedule'!R13))+((-Schedules!R53))+((Schedules!R45*(1)))))*(1/(1+$B8)^6)+(((('P&amp;L Schedule'!S14)*(1-(IFERROR(Schedules!S107/Schedules!S106,0))))+((-'P&amp;L Schedule'!S13))+((-Schedules!S53))+((Schedules!S45*(1)))))*(1/(1+$B8)^7)+(((('P&amp;L Schedule'!T14)*(1-(IFERROR(Schedules!T107/Schedules!T106,0))))+((-'P&amp;L Schedule'!T13))+((-Schedules!T53))+((Schedules!T45*(1)))))*(1/(1+$B8)^8)+(((('P&amp;L Schedule'!U14)*(1-(IFERROR(Schedules!U107/Schedules!U106,0))))+((-'P&amp;L Schedule'!U13))+((-Schedules!U53))+((Schedules!U45*(1)))))*(1/(1+$B8)^9)+(((('P&amp;L Schedule'!V14)*(1-(IFERROR(Schedules!V107/Schedules!V106,0))))+((-'P&amp;L Schedule'!V13))+((-Schedules!V53))+((Schedules!V45*(1)))))*(1/(1+$B8)^10))+((((('P&amp;L Schedule'!V14)*(1+(E$7))*(1-('Inputs &amp; Assumptions'!$C$73)))*(1-(((E$7)/($B8))))/(($B8)-(E$7))))*(1/(1+$B8)^10))))-(Schedules!$L$93)+(IFERROR(INDEX(HS_CONSOLIDATED!M:M,MATCH("CashAndCashEquivalents",HS_CONSOLIDATED!$C:$C,0)),0)))/'WACC Schedule'!$C7</f>
        <v>85.289902689923508</v>
      </c>
      <c r="F8" s="163">
        <f>(((((((('P&amp;L Schedule'!M14)*(1-(IFERROR(Schedules!M107/Schedules!M106,0))))+((-'P&amp;L Schedule'!M13))+((-Schedules!M53))+((Schedules!M45*(1)))))*(1/(1+$B8)^1)+(((('P&amp;L Schedule'!N14)*(1-(IFERROR(Schedules!N107/Schedules!N106,0))))+((-'P&amp;L Schedule'!N13))+((-Schedules!N53))+((Schedules!N45*(1)))))*(1/(1+$B8)^2)+(((('P&amp;L Schedule'!O14)*(1-(IFERROR(Schedules!O107/Schedules!O106,0))))+((-'P&amp;L Schedule'!O13))+((-Schedules!O53))+((Schedules!O45*(1)))))*(1/(1+$B8)^3)+(((('P&amp;L Schedule'!P14)*(1-(IFERROR(Schedules!P107/Schedules!P106,0))))+((-'P&amp;L Schedule'!P13))+((-Schedules!P53))+((Schedules!P45*(1)))))*(1/(1+$B8)^4)+(((('P&amp;L Schedule'!Q14)*(1-(IFERROR(Schedules!Q107/Schedules!Q106,0))))+((-'P&amp;L Schedule'!Q13))+((-Schedules!Q53))+((Schedules!Q45*(1)))))*(1/(1+$B8)^5)+(((('P&amp;L Schedule'!R14)*(1-(IFERROR(Schedules!R107/Schedules!R106,0))))+((-'P&amp;L Schedule'!R13))+((-Schedules!R53))+((Schedules!R45*(1)))))*(1/(1+$B8)^6)+(((('P&amp;L Schedule'!S14)*(1-(IFERROR(Schedules!S107/Schedules!S106,0))))+((-'P&amp;L Schedule'!S13))+((-Schedules!S53))+((Schedules!S45*(1)))))*(1/(1+$B8)^7)+(((('P&amp;L Schedule'!T14)*(1-(IFERROR(Schedules!T107/Schedules!T106,0))))+((-'P&amp;L Schedule'!T13))+((-Schedules!T53))+((Schedules!T45*(1)))))*(1/(1+$B8)^8)+(((('P&amp;L Schedule'!U14)*(1-(IFERROR(Schedules!U107/Schedules!U106,0))))+((-'P&amp;L Schedule'!U13))+((-Schedules!U53))+((Schedules!U45*(1)))))*(1/(1+$B8)^9)+(((('P&amp;L Schedule'!V14)*(1-(IFERROR(Schedules!V107/Schedules!V106,0))))+((-'P&amp;L Schedule'!V13))+((-Schedules!V53))+((Schedules!V45*(1)))))*(1/(1+$B8)^10))+((((('P&amp;L Schedule'!V14)*(1+(F$7))*(1-('Inputs &amp; Assumptions'!$C$73)))*(1-(((F$7)/($B8))))/(($B8)-(F$7))))*(1/(1+$B8)^10))))-(Schedules!$L$93)+(IFERROR(INDEX(HS_CONSOLIDATED!M:M,MATCH("CashAndCashEquivalents",HS_CONSOLIDATED!$C:$C,0)),0)))/'WACC Schedule'!$C7</f>
        <v>85.983830096770234</v>
      </c>
      <c r="G8" s="163">
        <f>(((((((('P&amp;L Schedule'!M14)*(1-(IFERROR(Schedules!M107/Schedules!M106,0))))+((-'P&amp;L Schedule'!M13))+((-Schedules!M53))+((Schedules!M45*(1)))))*(1/(1+$B8)^1)+(((('P&amp;L Schedule'!N14)*(1-(IFERROR(Schedules!N107/Schedules!N106,0))))+((-'P&amp;L Schedule'!N13))+((-Schedules!N53))+((Schedules!N45*(1)))))*(1/(1+$B8)^2)+(((('P&amp;L Schedule'!O14)*(1-(IFERROR(Schedules!O107/Schedules!O106,0))))+((-'P&amp;L Schedule'!O13))+((-Schedules!O53))+((Schedules!O45*(1)))))*(1/(1+$B8)^3)+(((('P&amp;L Schedule'!P14)*(1-(IFERROR(Schedules!P107/Schedules!P106,0))))+((-'P&amp;L Schedule'!P13))+((-Schedules!P53))+((Schedules!P45*(1)))))*(1/(1+$B8)^4)+(((('P&amp;L Schedule'!Q14)*(1-(IFERROR(Schedules!Q107/Schedules!Q106,0))))+((-'P&amp;L Schedule'!Q13))+((-Schedules!Q53))+((Schedules!Q45*(1)))))*(1/(1+$B8)^5)+(((('P&amp;L Schedule'!R14)*(1-(IFERROR(Schedules!R107/Schedules!R106,0))))+((-'P&amp;L Schedule'!R13))+((-Schedules!R53))+((Schedules!R45*(1)))))*(1/(1+$B8)^6)+(((('P&amp;L Schedule'!S14)*(1-(IFERROR(Schedules!S107/Schedules!S106,0))))+((-'P&amp;L Schedule'!S13))+((-Schedules!S53))+((Schedules!S45*(1)))))*(1/(1+$B8)^7)+(((('P&amp;L Schedule'!T14)*(1-(IFERROR(Schedules!T107/Schedules!T106,0))))+((-'P&amp;L Schedule'!T13))+((-Schedules!T53))+((Schedules!T45*(1)))))*(1/(1+$B8)^8)+(((('P&amp;L Schedule'!U14)*(1-(IFERROR(Schedules!U107/Schedules!U106,0))))+((-'P&amp;L Schedule'!U13))+((-Schedules!U53))+((Schedules!U45*(1)))))*(1/(1+$B8)^9)+(((('P&amp;L Schedule'!V14)*(1-(IFERROR(Schedules!V107/Schedules!V106,0))))+((-'P&amp;L Schedule'!V13))+((-Schedules!V53))+((Schedules!V45*(1)))))*(1/(1+$B8)^10))+((((('P&amp;L Schedule'!V14)*(1+(G$7))*(1-('Inputs &amp; Assumptions'!$C$73)))*(1-(((G$7)/($B8))))/(($B8)-(G$7))))*(1/(1+$B8)^10))))-(Schedules!$L$93)+(IFERROR(INDEX(HS_CONSOLIDATED!M:M,MATCH("CashAndCashEquivalents",HS_CONSOLIDATED!$C:$C,0)),0)))/'WACC Schedule'!$C7</f>
        <v>86.677757503617158</v>
      </c>
    </row>
    <row r="9" spans="1:7">
      <c r="B9" s="145">
        <f>'WACC Schedule'!$C39+(-0.01)</f>
        <v>6.88672179514766E-2</v>
      </c>
      <c r="C9" s="163">
        <f>(((((((('P&amp;L Schedule'!M14)*(1-(IFERROR(Schedules!M107/Schedules!M106,0))))+((-'P&amp;L Schedule'!M13))+((-Schedules!M53))+((Schedules!M45*(1)))))*(1/(1+$B9)^1)+(((('P&amp;L Schedule'!N14)*(1-(IFERROR(Schedules!N107/Schedules!N106,0))))+((-'P&amp;L Schedule'!N13))+((-Schedules!N53))+((Schedules!N45*(1)))))*(1/(1+$B9)^2)+(((('P&amp;L Schedule'!O14)*(1-(IFERROR(Schedules!O107/Schedules!O106,0))))+((-'P&amp;L Schedule'!O13))+((-Schedules!O53))+((Schedules!O45*(1)))))*(1/(1+$B9)^3)+(((('P&amp;L Schedule'!P14)*(1-(IFERROR(Schedules!P107/Schedules!P106,0))))+((-'P&amp;L Schedule'!P13))+((-Schedules!P53))+((Schedules!P45*(1)))))*(1/(1+$B9)^4)+(((('P&amp;L Schedule'!Q14)*(1-(IFERROR(Schedules!Q107/Schedules!Q106,0))))+((-'P&amp;L Schedule'!Q13))+((-Schedules!Q53))+((Schedules!Q45*(1)))))*(1/(1+$B9)^5)+(((('P&amp;L Schedule'!R14)*(1-(IFERROR(Schedules!R107/Schedules!R106,0))))+((-'P&amp;L Schedule'!R13))+((-Schedules!R53))+((Schedules!R45*(1)))))*(1/(1+$B9)^6)+(((('P&amp;L Schedule'!S14)*(1-(IFERROR(Schedules!S107/Schedules!S106,0))))+((-'P&amp;L Schedule'!S13))+((-Schedules!S53))+((Schedules!S45*(1)))))*(1/(1+$B9)^7)+(((('P&amp;L Schedule'!T14)*(1-(IFERROR(Schedules!T107/Schedules!T106,0))))+((-'P&amp;L Schedule'!T13))+((-Schedules!T53))+((Schedules!T45*(1)))))*(1/(1+$B9)^8)+(((('P&amp;L Schedule'!U14)*(1-(IFERROR(Schedules!U107/Schedules!U106,0))))+((-'P&amp;L Schedule'!U13))+((-Schedules!U53))+((Schedules!U45*(1)))))*(1/(1+$B9)^9)+(((('P&amp;L Schedule'!V14)*(1-(IFERROR(Schedules!V107/Schedules!V106,0))))+((-'P&amp;L Schedule'!V13))+((-Schedules!V53))+((Schedules!V45*(1)))))*(1/(1+$B9)^10))+((((('P&amp;L Schedule'!V14)*(1+(C$7))*(1-('Inputs &amp; Assumptions'!$C$73)))*(1-(((C$7)/($B9))))/(($B9)-(C$7))))*(1/(1+$B9)^10))))-(Schedules!$L$93)+(IFERROR(INDEX(HS_CONSOLIDATED!M:M,MATCH("CashAndCashEquivalents",HS_CONSOLIDATED!$C:$C,0)),0)))/'WACC Schedule'!$C7</f>
        <v>67.269484187503124</v>
      </c>
      <c r="D9" s="163">
        <f>(((((((('P&amp;L Schedule'!M14)*(1-(IFERROR(Schedules!M107/Schedules!M106,0))))+((-'P&amp;L Schedule'!M13))+((-Schedules!M53))+((Schedules!M45*(1)))))*(1/(1+$B9)^1)+(((('P&amp;L Schedule'!N14)*(1-(IFERROR(Schedules!N107/Schedules!N106,0))))+((-'P&amp;L Schedule'!N13))+((-Schedules!N53))+((Schedules!N45*(1)))))*(1/(1+$B9)^2)+(((('P&amp;L Schedule'!O14)*(1-(IFERROR(Schedules!O107/Schedules!O106,0))))+((-'P&amp;L Schedule'!O13))+((-Schedules!O53))+((Schedules!O45*(1)))))*(1/(1+$B9)^3)+(((('P&amp;L Schedule'!P14)*(1-(IFERROR(Schedules!P107/Schedules!P106,0))))+((-'P&amp;L Schedule'!P13))+((-Schedules!P53))+((Schedules!P45*(1)))))*(1/(1+$B9)^4)+(((('P&amp;L Schedule'!Q14)*(1-(IFERROR(Schedules!Q107/Schedules!Q106,0))))+((-'P&amp;L Schedule'!Q13))+((-Schedules!Q53))+((Schedules!Q45*(1)))))*(1/(1+$B9)^5)+(((('P&amp;L Schedule'!R14)*(1-(IFERROR(Schedules!R107/Schedules!R106,0))))+((-'P&amp;L Schedule'!R13))+((-Schedules!R53))+((Schedules!R45*(1)))))*(1/(1+$B9)^6)+(((('P&amp;L Schedule'!S14)*(1-(IFERROR(Schedules!S107/Schedules!S106,0))))+((-'P&amp;L Schedule'!S13))+((-Schedules!S53))+((Schedules!S45*(1)))))*(1/(1+$B9)^7)+(((('P&amp;L Schedule'!T14)*(1-(IFERROR(Schedules!T107/Schedules!T106,0))))+((-'P&amp;L Schedule'!T13))+((-Schedules!T53))+((Schedules!T45*(1)))))*(1/(1+$B9)^8)+(((('P&amp;L Schedule'!U14)*(1-(IFERROR(Schedules!U107/Schedules!U106,0))))+((-'P&amp;L Schedule'!U13))+((-Schedules!U53))+((Schedules!U45*(1)))))*(1/(1+$B9)^9)+(((('P&amp;L Schedule'!V14)*(1-(IFERROR(Schedules!V107/Schedules!V106,0))))+((-'P&amp;L Schedule'!V13))+((-Schedules!V53))+((Schedules!V45*(1)))))*(1/(1+$B9)^10))+((((('P&amp;L Schedule'!V14)*(1+(D$7))*(1-('Inputs &amp; Assumptions'!$C$73)))*(1-(((D$7)/($B9))))/(($B9)-(D$7))))*(1/(1+$B9)^10))))-(Schedules!$L$93)+(IFERROR(INDEX(HS_CONSOLIDATED!M:M,MATCH("CashAndCashEquivalents",HS_CONSOLIDATED!$C:$C,0)),0)))/'WACC Schedule'!$C7</f>
        <v>67.80943284723385</v>
      </c>
      <c r="E9" s="163">
        <f>(((((((('P&amp;L Schedule'!M14)*(1-(IFERROR(Schedules!M107/Schedules!M106,0))))+((-'P&amp;L Schedule'!M13))+((-Schedules!M53))+((Schedules!M45*(1)))))*(1/(1+$B9)^1)+(((('P&amp;L Schedule'!N14)*(1-(IFERROR(Schedules!N107/Schedules!N106,0))))+((-'P&amp;L Schedule'!N13))+((-Schedules!N53))+((Schedules!N45*(1)))))*(1/(1+$B9)^2)+(((('P&amp;L Schedule'!O14)*(1-(IFERROR(Schedules!O107/Schedules!O106,0))))+((-'P&amp;L Schedule'!O13))+((-Schedules!O53))+((Schedules!O45*(1)))))*(1/(1+$B9)^3)+(((('P&amp;L Schedule'!P14)*(1-(IFERROR(Schedules!P107/Schedules!P106,0))))+((-'P&amp;L Schedule'!P13))+((-Schedules!P53))+((Schedules!P45*(1)))))*(1/(1+$B9)^4)+(((('P&amp;L Schedule'!Q14)*(1-(IFERROR(Schedules!Q107/Schedules!Q106,0))))+((-'P&amp;L Schedule'!Q13))+((-Schedules!Q53))+((Schedules!Q45*(1)))))*(1/(1+$B9)^5)+(((('P&amp;L Schedule'!R14)*(1-(IFERROR(Schedules!R107/Schedules!R106,0))))+((-'P&amp;L Schedule'!R13))+((-Schedules!R53))+((Schedules!R45*(1)))))*(1/(1+$B9)^6)+(((('P&amp;L Schedule'!S14)*(1-(IFERROR(Schedules!S107/Schedules!S106,0))))+((-'P&amp;L Schedule'!S13))+((-Schedules!S53))+((Schedules!S45*(1)))))*(1/(1+$B9)^7)+(((('P&amp;L Schedule'!T14)*(1-(IFERROR(Schedules!T107/Schedules!T106,0))))+((-'P&amp;L Schedule'!T13))+((-Schedules!T53))+((Schedules!T45*(1)))))*(1/(1+$B9)^8)+(((('P&amp;L Schedule'!U14)*(1-(IFERROR(Schedules!U107/Schedules!U106,0))))+((-'P&amp;L Schedule'!U13))+((-Schedules!U53))+((Schedules!U45*(1)))))*(1/(1+$B9)^9)+(((('P&amp;L Schedule'!V14)*(1-(IFERROR(Schedules!V107/Schedules!V106,0))))+((-'P&amp;L Schedule'!V13))+((-Schedules!V53))+((Schedules!V45*(1)))))*(1/(1+$B9)^10))+((((('P&amp;L Schedule'!V14)*(1+(E$7))*(1-('Inputs &amp; Assumptions'!$C$73)))*(1-(((E$7)/($B9))))/(($B9)-(E$7))))*(1/(1+$B9)^10))))-(Schedules!$L$93)+(IFERROR(INDEX(HS_CONSOLIDATED!M:M,MATCH("CashAndCashEquivalents",HS_CONSOLIDATED!$C:$C,0)),0)))/'WACC Schedule'!$C7</f>
        <v>68.34938150696459</v>
      </c>
      <c r="F9" s="163">
        <f>(((((((('P&amp;L Schedule'!M14)*(1-(IFERROR(Schedules!M107/Schedules!M106,0))))+((-'P&amp;L Schedule'!M13))+((-Schedules!M53))+((Schedules!M45*(1)))))*(1/(1+$B9)^1)+(((('P&amp;L Schedule'!N14)*(1-(IFERROR(Schedules!N107/Schedules!N106,0))))+((-'P&amp;L Schedule'!N13))+((-Schedules!N53))+((Schedules!N45*(1)))))*(1/(1+$B9)^2)+(((('P&amp;L Schedule'!O14)*(1-(IFERROR(Schedules!O107/Schedules!O106,0))))+((-'P&amp;L Schedule'!O13))+((-Schedules!O53))+((Schedules!O45*(1)))))*(1/(1+$B9)^3)+(((('P&amp;L Schedule'!P14)*(1-(IFERROR(Schedules!P107/Schedules!P106,0))))+((-'P&amp;L Schedule'!P13))+((-Schedules!P53))+((Schedules!P45*(1)))))*(1/(1+$B9)^4)+(((('P&amp;L Schedule'!Q14)*(1-(IFERROR(Schedules!Q107/Schedules!Q106,0))))+((-'P&amp;L Schedule'!Q13))+((-Schedules!Q53))+((Schedules!Q45*(1)))))*(1/(1+$B9)^5)+(((('P&amp;L Schedule'!R14)*(1-(IFERROR(Schedules!R107/Schedules!R106,0))))+((-'P&amp;L Schedule'!R13))+((-Schedules!R53))+((Schedules!R45*(1)))))*(1/(1+$B9)^6)+(((('P&amp;L Schedule'!S14)*(1-(IFERROR(Schedules!S107/Schedules!S106,0))))+((-'P&amp;L Schedule'!S13))+((-Schedules!S53))+((Schedules!S45*(1)))))*(1/(1+$B9)^7)+(((('P&amp;L Schedule'!T14)*(1-(IFERROR(Schedules!T107/Schedules!T106,0))))+((-'P&amp;L Schedule'!T13))+((-Schedules!T53))+((Schedules!T45*(1)))))*(1/(1+$B9)^8)+(((('P&amp;L Schedule'!U14)*(1-(IFERROR(Schedules!U107/Schedules!U106,0))))+((-'P&amp;L Schedule'!U13))+((-Schedules!U53))+((Schedules!U45*(1)))))*(1/(1+$B9)^9)+(((('P&amp;L Schedule'!V14)*(1-(IFERROR(Schedules!V107/Schedules!V106,0))))+((-'P&amp;L Schedule'!V13))+((-Schedules!V53))+((Schedules!V45*(1)))))*(1/(1+$B9)^10))+((((('P&amp;L Schedule'!V14)*(1+(F$7))*(1-('Inputs &amp; Assumptions'!$C$73)))*(1-(((F$7)/($B9))))/(($B9)-(F$7))))*(1/(1+$B9)^10))))-(Schedules!$L$93)+(IFERROR(INDEX(HS_CONSOLIDATED!M:M,MATCH("CashAndCashEquivalents",HS_CONSOLIDATED!$C:$C,0)),0)))/'WACC Schedule'!$C7</f>
        <v>68.889330166695345</v>
      </c>
      <c r="G9" s="163">
        <f>(((((((('P&amp;L Schedule'!M14)*(1-(IFERROR(Schedules!M107/Schedules!M106,0))))+((-'P&amp;L Schedule'!M13))+((-Schedules!M53))+((Schedules!M45*(1)))))*(1/(1+$B9)^1)+(((('P&amp;L Schedule'!N14)*(1-(IFERROR(Schedules!N107/Schedules!N106,0))))+((-'P&amp;L Schedule'!N13))+((-Schedules!N53))+((Schedules!N45*(1)))))*(1/(1+$B9)^2)+(((('P&amp;L Schedule'!O14)*(1-(IFERROR(Schedules!O107/Schedules!O106,0))))+((-'P&amp;L Schedule'!O13))+((-Schedules!O53))+((Schedules!O45*(1)))))*(1/(1+$B9)^3)+(((('P&amp;L Schedule'!P14)*(1-(IFERROR(Schedules!P107/Schedules!P106,0))))+((-'P&amp;L Schedule'!P13))+((-Schedules!P53))+((Schedules!P45*(1)))))*(1/(1+$B9)^4)+(((('P&amp;L Schedule'!Q14)*(1-(IFERROR(Schedules!Q107/Schedules!Q106,0))))+((-'P&amp;L Schedule'!Q13))+((-Schedules!Q53))+((Schedules!Q45*(1)))))*(1/(1+$B9)^5)+(((('P&amp;L Schedule'!R14)*(1-(IFERROR(Schedules!R107/Schedules!R106,0))))+((-'P&amp;L Schedule'!R13))+((-Schedules!R53))+((Schedules!R45*(1)))))*(1/(1+$B9)^6)+(((('P&amp;L Schedule'!S14)*(1-(IFERROR(Schedules!S107/Schedules!S106,0))))+((-'P&amp;L Schedule'!S13))+((-Schedules!S53))+((Schedules!S45*(1)))))*(1/(1+$B9)^7)+(((('P&amp;L Schedule'!T14)*(1-(IFERROR(Schedules!T107/Schedules!T106,0))))+((-'P&amp;L Schedule'!T13))+((-Schedules!T53))+((Schedules!T45*(1)))))*(1/(1+$B9)^8)+(((('P&amp;L Schedule'!U14)*(1-(IFERROR(Schedules!U107/Schedules!U106,0))))+((-'P&amp;L Schedule'!U13))+((-Schedules!U53))+((Schedules!U45*(1)))))*(1/(1+$B9)^9)+(((('P&amp;L Schedule'!V14)*(1-(IFERROR(Schedules!V107/Schedules!V106,0))))+((-'P&amp;L Schedule'!V13))+((-Schedules!V53))+((Schedules!V45*(1)))))*(1/(1+$B9)^10))+((((('P&amp;L Schedule'!V14)*(1+(G$7))*(1-('Inputs &amp; Assumptions'!$C$73)))*(1-(((G$7)/($B9))))/(($B9)-(G$7))))*(1/(1+$B9)^10))))-(Schedules!$L$93)+(IFERROR(INDEX(HS_CONSOLIDATED!M:M,MATCH("CashAndCashEquivalents",HS_CONSOLIDATED!$C:$C,0)),0)))/'WACC Schedule'!$C7</f>
        <v>69.429278826426057</v>
      </c>
    </row>
    <row r="10" spans="1:7">
      <c r="B10" s="145">
        <f>'WACC Schedule'!$C39+(0)</f>
        <v>7.8867217951476595E-2</v>
      </c>
      <c r="C10" s="163">
        <f>(((((((('P&amp;L Schedule'!M14)*(1-(IFERROR(Schedules!M107/Schedules!M106,0))))+((-'P&amp;L Schedule'!M13))+((-Schedules!M53))+((Schedules!M45*(1)))))*(1/(1+$B10)^1)+(((('P&amp;L Schedule'!N14)*(1-(IFERROR(Schedules!N107/Schedules!N106,0))))+((-'P&amp;L Schedule'!N13))+((-Schedules!N53))+((Schedules!N45*(1)))))*(1/(1+$B10)^2)+(((('P&amp;L Schedule'!O14)*(1-(IFERROR(Schedules!O107/Schedules!O106,0))))+((-'P&amp;L Schedule'!O13))+((-Schedules!O53))+((Schedules!O45*(1)))))*(1/(1+$B10)^3)+(((('P&amp;L Schedule'!P14)*(1-(IFERROR(Schedules!P107/Schedules!P106,0))))+((-'P&amp;L Schedule'!P13))+((-Schedules!P53))+((Schedules!P45*(1)))))*(1/(1+$B10)^4)+(((('P&amp;L Schedule'!Q14)*(1-(IFERROR(Schedules!Q107/Schedules!Q106,0))))+((-'P&amp;L Schedule'!Q13))+((-Schedules!Q53))+((Schedules!Q45*(1)))))*(1/(1+$B10)^5)+(((('P&amp;L Schedule'!R14)*(1-(IFERROR(Schedules!R107/Schedules!R106,0))))+((-'P&amp;L Schedule'!R13))+((-Schedules!R53))+((Schedules!R45*(1)))))*(1/(1+$B10)^6)+(((('P&amp;L Schedule'!S14)*(1-(IFERROR(Schedules!S107/Schedules!S106,0))))+((-'P&amp;L Schedule'!S13))+((-Schedules!S53))+((Schedules!S45*(1)))))*(1/(1+$B10)^7)+(((('P&amp;L Schedule'!T14)*(1-(IFERROR(Schedules!T107/Schedules!T106,0))))+((-'P&amp;L Schedule'!T13))+((-Schedules!T53))+((Schedules!T45*(1)))))*(1/(1+$B10)^8)+(((('P&amp;L Schedule'!U14)*(1-(IFERROR(Schedules!U107/Schedules!U106,0))))+((-'P&amp;L Schedule'!U13))+((-Schedules!U53))+((Schedules!U45*(1)))))*(1/(1+$B10)^9)+(((('P&amp;L Schedule'!V14)*(1-(IFERROR(Schedules!V107/Schedules!V106,0))))+((-'P&amp;L Schedule'!V13))+((-Schedules!V53))+((Schedules!V45*(1)))))*(1/(1+$B10)^10))+((((('P&amp;L Schedule'!V14)*(1+(C$7))*(1-('Inputs &amp; Assumptions'!$C$73)))*(1-(((C$7)/($B10))))/(($B10)-(C$7))))*(1/(1+$B10)^10))))-(Schedules!$L$93)+(IFERROR(INDEX(HS_CONSOLIDATED!M:M,MATCH("CashAndCashEquivalents",HS_CONSOLIDATED!$C:$C,0)),0)))/'WACC Schedule'!$C7</f>
        <v>55.18960372862287</v>
      </c>
      <c r="D10" s="163">
        <f>(((((((('P&amp;L Schedule'!M14)*(1-(IFERROR(Schedules!M107/Schedules!M106,0))))+((-'P&amp;L Schedule'!M13))+((-Schedules!M53))+((Schedules!M45*(1)))))*(1/(1+$B10)^1)+(((('P&amp;L Schedule'!N14)*(1-(IFERROR(Schedules!N107/Schedules!N106,0))))+((-'P&amp;L Schedule'!N13))+((-Schedules!N53))+((Schedules!N45*(1)))))*(1/(1+$B10)^2)+(((('P&amp;L Schedule'!O14)*(1-(IFERROR(Schedules!O107/Schedules!O106,0))))+((-'P&amp;L Schedule'!O13))+((-Schedules!O53))+((Schedules!O45*(1)))))*(1/(1+$B10)^3)+(((('P&amp;L Schedule'!P14)*(1-(IFERROR(Schedules!P107/Schedules!P106,0))))+((-'P&amp;L Schedule'!P13))+((-Schedules!P53))+((Schedules!P45*(1)))))*(1/(1+$B10)^4)+(((('P&amp;L Schedule'!Q14)*(1-(IFERROR(Schedules!Q107/Schedules!Q106,0))))+((-'P&amp;L Schedule'!Q13))+((-Schedules!Q53))+((Schedules!Q45*(1)))))*(1/(1+$B10)^5)+(((('P&amp;L Schedule'!R14)*(1-(IFERROR(Schedules!R107/Schedules!R106,0))))+((-'P&amp;L Schedule'!R13))+((-Schedules!R53))+((Schedules!R45*(1)))))*(1/(1+$B10)^6)+(((('P&amp;L Schedule'!S14)*(1-(IFERROR(Schedules!S107/Schedules!S106,0))))+((-'P&amp;L Schedule'!S13))+((-Schedules!S53))+((Schedules!S45*(1)))))*(1/(1+$B10)^7)+(((('P&amp;L Schedule'!T14)*(1-(IFERROR(Schedules!T107/Schedules!T106,0))))+((-'P&amp;L Schedule'!T13))+((-Schedules!T53))+((Schedules!T45*(1)))))*(1/(1+$B10)^8)+(((('P&amp;L Schedule'!U14)*(1-(IFERROR(Schedules!U107/Schedules!U106,0))))+((-'P&amp;L Schedule'!U13))+((-Schedules!U53))+((Schedules!U45*(1)))))*(1/(1+$B10)^9)+(((('P&amp;L Schedule'!V14)*(1-(IFERROR(Schedules!V107/Schedules!V106,0))))+((-'P&amp;L Schedule'!V13))+((-Schedules!V53))+((Schedules!V45*(1)))))*(1/(1+$B10)^10))+((((('P&amp;L Schedule'!V14)*(1+(D$7))*(1-('Inputs &amp; Assumptions'!$C$73)))*(1-(((D$7)/($B10))))/(($B10)-(D$7))))*(1/(1+$B10)^10))))-(Schedules!$L$93)+(IFERROR(INDEX(HS_CONSOLIDATED!M:M,MATCH("CashAndCashEquivalents",HS_CONSOLIDATED!$C:$C,0)),0)))/'WACC Schedule'!$C7</f>
        <v>55.61916596068793</v>
      </c>
      <c r="E10" s="163">
        <f>(((((((('P&amp;L Schedule'!M14)*(1-(IFERROR(Schedules!M107/Schedules!M106,0))))+((-'P&amp;L Schedule'!M13))+((-Schedules!M53))+((Schedules!M45*(1)))))*(1/(1+$B10)^1)+(((('P&amp;L Schedule'!N14)*(1-(IFERROR(Schedules!N107/Schedules!N106,0))))+((-'P&amp;L Schedule'!N13))+((-Schedules!N53))+((Schedules!N45*(1)))))*(1/(1+$B10)^2)+(((('P&amp;L Schedule'!O14)*(1-(IFERROR(Schedules!O107/Schedules!O106,0))))+((-'P&amp;L Schedule'!O13))+((-Schedules!O53))+((Schedules!O45*(1)))))*(1/(1+$B10)^3)+(((('P&amp;L Schedule'!P14)*(1-(IFERROR(Schedules!P107/Schedules!P106,0))))+((-'P&amp;L Schedule'!P13))+((-Schedules!P53))+((Schedules!P45*(1)))))*(1/(1+$B10)^4)+(((('P&amp;L Schedule'!Q14)*(1-(IFERROR(Schedules!Q107/Schedules!Q106,0))))+((-'P&amp;L Schedule'!Q13))+((-Schedules!Q53))+((Schedules!Q45*(1)))))*(1/(1+$B10)^5)+(((('P&amp;L Schedule'!R14)*(1-(IFERROR(Schedules!R107/Schedules!R106,0))))+((-'P&amp;L Schedule'!R13))+((-Schedules!R53))+((Schedules!R45*(1)))))*(1/(1+$B10)^6)+(((('P&amp;L Schedule'!S14)*(1-(IFERROR(Schedules!S107/Schedules!S106,0))))+((-'P&amp;L Schedule'!S13))+((-Schedules!S53))+((Schedules!S45*(1)))))*(1/(1+$B10)^7)+(((('P&amp;L Schedule'!T14)*(1-(IFERROR(Schedules!T107/Schedules!T106,0))))+((-'P&amp;L Schedule'!T13))+((-Schedules!T53))+((Schedules!T45*(1)))))*(1/(1+$B10)^8)+(((('P&amp;L Schedule'!U14)*(1-(IFERROR(Schedules!U107/Schedules!U106,0))))+((-'P&amp;L Schedule'!U13))+((-Schedules!U53))+((Schedules!U45*(1)))))*(1/(1+$B10)^9)+(((('P&amp;L Schedule'!V14)*(1-(IFERROR(Schedules!V107/Schedules!V106,0))))+((-'P&amp;L Schedule'!V13))+((-Schedules!V53))+((Schedules!V45*(1)))))*(1/(1+$B10)^10))+((((('P&amp;L Schedule'!V14)*(1+(E$7))*(1-('Inputs &amp; Assumptions'!$C$73)))*(1-(((E$7)/($B10))))/(($B10)-(E$7))))*(1/(1+$B10)^10))))-(Schedules!$L$93)+(IFERROR(INDEX(HS_CONSOLIDATED!M:M,MATCH("CashAndCashEquivalents",HS_CONSOLIDATED!$C:$C,0)),0)))/'WACC Schedule'!$C7</f>
        <v>56.048728192752996</v>
      </c>
      <c r="F10" s="163">
        <f>(((((((('P&amp;L Schedule'!M14)*(1-(IFERROR(Schedules!M107/Schedules!M106,0))))+((-'P&amp;L Schedule'!M13))+((-Schedules!M53))+((Schedules!M45*(1)))))*(1/(1+$B10)^1)+(((('P&amp;L Schedule'!N14)*(1-(IFERROR(Schedules!N107/Schedules!N106,0))))+((-'P&amp;L Schedule'!N13))+((-Schedules!N53))+((Schedules!N45*(1)))))*(1/(1+$B10)^2)+(((('P&amp;L Schedule'!O14)*(1-(IFERROR(Schedules!O107/Schedules!O106,0))))+((-'P&amp;L Schedule'!O13))+((-Schedules!O53))+((Schedules!O45*(1)))))*(1/(1+$B10)^3)+(((('P&amp;L Schedule'!P14)*(1-(IFERROR(Schedules!P107/Schedules!P106,0))))+((-'P&amp;L Schedule'!P13))+((-Schedules!P53))+((Schedules!P45*(1)))))*(1/(1+$B10)^4)+(((('P&amp;L Schedule'!Q14)*(1-(IFERROR(Schedules!Q107/Schedules!Q106,0))))+((-'P&amp;L Schedule'!Q13))+((-Schedules!Q53))+((Schedules!Q45*(1)))))*(1/(1+$B10)^5)+(((('P&amp;L Schedule'!R14)*(1-(IFERROR(Schedules!R107/Schedules!R106,0))))+((-'P&amp;L Schedule'!R13))+((-Schedules!R53))+((Schedules!R45*(1)))))*(1/(1+$B10)^6)+(((('P&amp;L Schedule'!S14)*(1-(IFERROR(Schedules!S107/Schedules!S106,0))))+((-'P&amp;L Schedule'!S13))+((-Schedules!S53))+((Schedules!S45*(1)))))*(1/(1+$B10)^7)+(((('P&amp;L Schedule'!T14)*(1-(IFERROR(Schedules!T107/Schedules!T106,0))))+((-'P&amp;L Schedule'!T13))+((-Schedules!T53))+((Schedules!T45*(1)))))*(1/(1+$B10)^8)+(((('P&amp;L Schedule'!U14)*(1-(IFERROR(Schedules!U107/Schedules!U106,0))))+((-'P&amp;L Schedule'!U13))+((-Schedules!U53))+((Schedules!U45*(1)))))*(1/(1+$B10)^9)+(((('P&amp;L Schedule'!V14)*(1-(IFERROR(Schedules!V107/Schedules!V106,0))))+((-'P&amp;L Schedule'!V13))+((-Schedules!V53))+((Schedules!V45*(1)))))*(1/(1+$B10)^10))+((((('P&amp;L Schedule'!V14)*(1+(F$7))*(1-('Inputs &amp; Assumptions'!$C$73)))*(1-(((F$7)/($B10))))/(($B10)-(F$7))))*(1/(1+$B10)^10))))-(Schedules!$L$93)+(IFERROR(INDEX(HS_CONSOLIDATED!M:M,MATCH("CashAndCashEquivalents",HS_CONSOLIDATED!$C:$C,0)),0)))/'WACC Schedule'!$C7</f>
        <v>56.478290424818063</v>
      </c>
      <c r="G10" s="163">
        <f>(((((((('P&amp;L Schedule'!M14)*(1-(IFERROR(Schedules!M107/Schedules!M106,0))))+((-'P&amp;L Schedule'!M13))+((-Schedules!M53))+((Schedules!M45*(1)))))*(1/(1+$B10)^1)+(((('P&amp;L Schedule'!N14)*(1-(IFERROR(Schedules!N107/Schedules!N106,0))))+((-'P&amp;L Schedule'!N13))+((-Schedules!N53))+((Schedules!N45*(1)))))*(1/(1+$B10)^2)+(((('P&amp;L Schedule'!O14)*(1-(IFERROR(Schedules!O107/Schedules!O106,0))))+((-'P&amp;L Schedule'!O13))+((-Schedules!O53))+((Schedules!O45*(1)))))*(1/(1+$B10)^3)+(((('P&amp;L Schedule'!P14)*(1-(IFERROR(Schedules!P107/Schedules!P106,0))))+((-'P&amp;L Schedule'!P13))+((-Schedules!P53))+((Schedules!P45*(1)))))*(1/(1+$B10)^4)+(((('P&amp;L Schedule'!Q14)*(1-(IFERROR(Schedules!Q107/Schedules!Q106,0))))+((-'P&amp;L Schedule'!Q13))+((-Schedules!Q53))+((Schedules!Q45*(1)))))*(1/(1+$B10)^5)+(((('P&amp;L Schedule'!R14)*(1-(IFERROR(Schedules!R107/Schedules!R106,0))))+((-'P&amp;L Schedule'!R13))+((-Schedules!R53))+((Schedules!R45*(1)))))*(1/(1+$B10)^6)+(((('P&amp;L Schedule'!S14)*(1-(IFERROR(Schedules!S107/Schedules!S106,0))))+((-'P&amp;L Schedule'!S13))+((-Schedules!S53))+((Schedules!S45*(1)))))*(1/(1+$B10)^7)+(((('P&amp;L Schedule'!T14)*(1-(IFERROR(Schedules!T107/Schedules!T106,0))))+((-'P&amp;L Schedule'!T13))+((-Schedules!T53))+((Schedules!T45*(1)))))*(1/(1+$B10)^8)+(((('P&amp;L Schedule'!U14)*(1-(IFERROR(Schedules!U107/Schedules!U106,0))))+((-'P&amp;L Schedule'!U13))+((-Schedules!U53))+((Schedules!U45*(1)))))*(1/(1+$B10)^9)+(((('P&amp;L Schedule'!V14)*(1-(IFERROR(Schedules!V107/Schedules!V106,0))))+((-'P&amp;L Schedule'!V13))+((-Schedules!V53))+((Schedules!V45*(1)))))*(1/(1+$B10)^10))+((((('P&amp;L Schedule'!V14)*(1+(G$7))*(1-('Inputs &amp; Assumptions'!$C$73)))*(1-(((G$7)/($B10))))/(($B10)-(G$7))))*(1/(1+$B10)^10))))-(Schedules!$L$93)+(IFERROR(INDEX(HS_CONSOLIDATED!M:M,MATCH("CashAndCashEquivalents",HS_CONSOLIDATED!$C:$C,0)),0)))/'WACC Schedule'!$C7</f>
        <v>56.907852656883158</v>
      </c>
    </row>
    <row r="11" spans="1:7">
      <c r="B11" s="145">
        <f>'WACC Schedule'!$C39+(0.01)</f>
        <v>8.886721795147659E-2</v>
      </c>
      <c r="C11" s="163">
        <f>(((((((('P&amp;L Schedule'!M14)*(1-(IFERROR(Schedules!M107/Schedules!M106,0))))+((-'P&amp;L Schedule'!M13))+((-Schedules!M53))+((Schedules!M45*(1)))))*(1/(1+$B11)^1)+(((('P&amp;L Schedule'!N14)*(1-(IFERROR(Schedules!N107/Schedules!N106,0))))+((-'P&amp;L Schedule'!N13))+((-Schedules!N53))+((Schedules!N45*(1)))))*(1/(1+$B11)^2)+(((('P&amp;L Schedule'!O14)*(1-(IFERROR(Schedules!O107/Schedules!O106,0))))+((-'P&amp;L Schedule'!O13))+((-Schedules!O53))+((Schedules!O45*(1)))))*(1/(1+$B11)^3)+(((('P&amp;L Schedule'!P14)*(1-(IFERROR(Schedules!P107/Schedules!P106,0))))+((-'P&amp;L Schedule'!P13))+((-Schedules!P53))+((Schedules!P45*(1)))))*(1/(1+$B11)^4)+(((('P&amp;L Schedule'!Q14)*(1-(IFERROR(Schedules!Q107/Schedules!Q106,0))))+((-'P&amp;L Schedule'!Q13))+((-Schedules!Q53))+((Schedules!Q45*(1)))))*(1/(1+$B11)^5)+(((('P&amp;L Schedule'!R14)*(1-(IFERROR(Schedules!R107/Schedules!R106,0))))+((-'P&amp;L Schedule'!R13))+((-Schedules!R53))+((Schedules!R45*(1)))))*(1/(1+$B11)^6)+(((('P&amp;L Schedule'!S14)*(1-(IFERROR(Schedules!S107/Schedules!S106,0))))+((-'P&amp;L Schedule'!S13))+((-Schedules!S53))+((Schedules!S45*(1)))))*(1/(1+$B11)^7)+(((('P&amp;L Schedule'!T14)*(1-(IFERROR(Schedules!T107/Schedules!T106,0))))+((-'P&amp;L Schedule'!T13))+((-Schedules!T53))+((Schedules!T45*(1)))))*(1/(1+$B11)^8)+(((('P&amp;L Schedule'!U14)*(1-(IFERROR(Schedules!U107/Schedules!U106,0))))+((-'P&amp;L Schedule'!U13))+((-Schedules!U53))+((Schedules!U45*(1)))))*(1/(1+$B11)^9)+(((('P&amp;L Schedule'!V14)*(1-(IFERROR(Schedules!V107/Schedules!V106,0))))+((-'P&amp;L Schedule'!V13))+((-Schedules!V53))+((Schedules!V45*(1)))))*(1/(1+$B11)^10))+((((('P&amp;L Schedule'!V14)*(1+(C$7))*(1-('Inputs &amp; Assumptions'!$C$73)))*(1-(((C$7)/($B11))))/(($B11)-(C$7))))*(1/(1+$B11)^10))))-(Schedules!$L$93)+(IFERROR(INDEX(HS_CONSOLIDATED!M:M,MATCH("CashAndCashEquivalents",HS_CONSOLIDATED!$C:$C,0)),0)))/'WACC Schedule'!$C7</f>
        <v>46.09682814333884</v>
      </c>
      <c r="D11" s="163">
        <f>(((((((('P&amp;L Schedule'!M14)*(1-(IFERROR(Schedules!M107/Schedules!M106,0))))+((-'P&amp;L Schedule'!M13))+((-Schedules!M53))+((Schedules!M45*(1)))))*(1/(1+$B11)^1)+(((('P&amp;L Schedule'!N14)*(1-(IFERROR(Schedules!N107/Schedules!N106,0))))+((-'P&amp;L Schedule'!N13))+((-Schedules!N53))+((Schedules!N45*(1)))))*(1/(1+$B11)^2)+(((('P&amp;L Schedule'!O14)*(1-(IFERROR(Schedules!O107/Schedules!O106,0))))+((-'P&amp;L Schedule'!O13))+((-Schedules!O53))+((Schedules!O45*(1)))))*(1/(1+$B11)^3)+(((('P&amp;L Schedule'!P14)*(1-(IFERROR(Schedules!P107/Schedules!P106,0))))+((-'P&amp;L Schedule'!P13))+((-Schedules!P53))+((Schedules!P45*(1)))))*(1/(1+$B11)^4)+(((('P&amp;L Schedule'!Q14)*(1-(IFERROR(Schedules!Q107/Schedules!Q106,0))))+((-'P&amp;L Schedule'!Q13))+((-Schedules!Q53))+((Schedules!Q45*(1)))))*(1/(1+$B11)^5)+(((('P&amp;L Schedule'!R14)*(1-(IFERROR(Schedules!R107/Schedules!R106,0))))+((-'P&amp;L Schedule'!R13))+((-Schedules!R53))+((Schedules!R45*(1)))))*(1/(1+$B11)^6)+(((('P&amp;L Schedule'!S14)*(1-(IFERROR(Schedules!S107/Schedules!S106,0))))+((-'P&amp;L Schedule'!S13))+((-Schedules!S53))+((Schedules!S45*(1)))))*(1/(1+$B11)^7)+(((('P&amp;L Schedule'!T14)*(1-(IFERROR(Schedules!T107/Schedules!T106,0))))+((-'P&amp;L Schedule'!T13))+((-Schedules!T53))+((Schedules!T45*(1)))))*(1/(1+$B11)^8)+(((('P&amp;L Schedule'!U14)*(1-(IFERROR(Schedules!U107/Schedules!U106,0))))+((-'P&amp;L Schedule'!U13))+((-Schedules!U53))+((Schedules!U45*(1)))))*(1/(1+$B11)^9)+(((('P&amp;L Schedule'!V14)*(1-(IFERROR(Schedules!V107/Schedules!V106,0))))+((-'P&amp;L Schedule'!V13))+((-Schedules!V53))+((Schedules!V45*(1)))))*(1/(1+$B11)^10))+((((('P&amp;L Schedule'!V14)*(1+(D$7))*(1-('Inputs &amp; Assumptions'!$C$73)))*(1-(((D$7)/($B11))))/(($B11)-(D$7))))*(1/(1+$B11)^10))))-(Schedules!$L$93)+(IFERROR(INDEX(HS_CONSOLIDATED!M:M,MATCH("CashAndCashEquivalents",HS_CONSOLIDATED!$C:$C,0)),0)))/'WACC Schedule'!$C7</f>
        <v>46.444453756734063</v>
      </c>
      <c r="E11" s="163">
        <f>(((((((('P&amp;L Schedule'!M14)*(1-(IFERROR(Schedules!M107/Schedules!M106,0))))+((-'P&amp;L Schedule'!M13))+((-Schedules!M53))+((Schedules!M45*(1)))))*(1/(1+$B11)^1)+(((('P&amp;L Schedule'!N14)*(1-(IFERROR(Schedules!N107/Schedules!N106,0))))+((-'P&amp;L Schedule'!N13))+((-Schedules!N53))+((Schedules!N45*(1)))))*(1/(1+$B11)^2)+(((('P&amp;L Schedule'!O14)*(1-(IFERROR(Schedules!O107/Schedules!O106,0))))+((-'P&amp;L Schedule'!O13))+((-Schedules!O53))+((Schedules!O45*(1)))))*(1/(1+$B11)^3)+(((('P&amp;L Schedule'!P14)*(1-(IFERROR(Schedules!P107/Schedules!P106,0))))+((-'P&amp;L Schedule'!P13))+((-Schedules!P53))+((Schedules!P45*(1)))))*(1/(1+$B11)^4)+(((('P&amp;L Schedule'!Q14)*(1-(IFERROR(Schedules!Q107/Schedules!Q106,0))))+((-'P&amp;L Schedule'!Q13))+((-Schedules!Q53))+((Schedules!Q45*(1)))))*(1/(1+$B11)^5)+(((('P&amp;L Schedule'!R14)*(1-(IFERROR(Schedules!R107/Schedules!R106,0))))+((-'P&amp;L Schedule'!R13))+((-Schedules!R53))+((Schedules!R45*(1)))))*(1/(1+$B11)^6)+(((('P&amp;L Schedule'!S14)*(1-(IFERROR(Schedules!S107/Schedules!S106,0))))+((-'P&amp;L Schedule'!S13))+((-Schedules!S53))+((Schedules!S45*(1)))))*(1/(1+$B11)^7)+(((('P&amp;L Schedule'!T14)*(1-(IFERROR(Schedules!T107/Schedules!T106,0))))+((-'P&amp;L Schedule'!T13))+((-Schedules!T53))+((Schedules!T45*(1)))))*(1/(1+$B11)^8)+(((('P&amp;L Schedule'!U14)*(1-(IFERROR(Schedules!U107/Schedules!U106,0))))+((-'P&amp;L Schedule'!U13))+((-Schedules!U53))+((Schedules!U45*(1)))))*(1/(1+$B11)^9)+(((('P&amp;L Schedule'!V14)*(1-(IFERROR(Schedules!V107/Schedules!V106,0))))+((-'P&amp;L Schedule'!V13))+((-Schedules!V53))+((Schedules!V45*(1)))))*(1/(1+$B11)^10))+((((('P&amp;L Schedule'!V14)*(1+(E$7))*(1-('Inputs &amp; Assumptions'!$C$73)))*(1-(((E$7)/($B11))))/(($B11)-(E$7))))*(1/(1+$B11)^10))))-(Schedules!$L$93)+(IFERROR(INDEX(HS_CONSOLIDATED!M:M,MATCH("CashAndCashEquivalents",HS_CONSOLIDATED!$C:$C,0)),0)))/'WACC Schedule'!$C7</f>
        <v>46.792079370129287</v>
      </c>
      <c r="F11" s="163">
        <f>(((((((('P&amp;L Schedule'!M14)*(1-(IFERROR(Schedules!M107/Schedules!M106,0))))+((-'P&amp;L Schedule'!M13))+((-Schedules!M53))+((Schedules!M45*(1)))))*(1/(1+$B11)^1)+(((('P&amp;L Schedule'!N14)*(1-(IFERROR(Schedules!N107/Schedules!N106,0))))+((-'P&amp;L Schedule'!N13))+((-Schedules!N53))+((Schedules!N45*(1)))))*(1/(1+$B11)^2)+(((('P&amp;L Schedule'!O14)*(1-(IFERROR(Schedules!O107/Schedules!O106,0))))+((-'P&amp;L Schedule'!O13))+((-Schedules!O53))+((Schedules!O45*(1)))))*(1/(1+$B11)^3)+(((('P&amp;L Schedule'!P14)*(1-(IFERROR(Schedules!P107/Schedules!P106,0))))+((-'P&amp;L Schedule'!P13))+((-Schedules!P53))+((Schedules!P45*(1)))))*(1/(1+$B11)^4)+(((('P&amp;L Schedule'!Q14)*(1-(IFERROR(Schedules!Q107/Schedules!Q106,0))))+((-'P&amp;L Schedule'!Q13))+((-Schedules!Q53))+((Schedules!Q45*(1)))))*(1/(1+$B11)^5)+(((('P&amp;L Schedule'!R14)*(1-(IFERROR(Schedules!R107/Schedules!R106,0))))+((-'P&amp;L Schedule'!R13))+((-Schedules!R53))+((Schedules!R45*(1)))))*(1/(1+$B11)^6)+(((('P&amp;L Schedule'!S14)*(1-(IFERROR(Schedules!S107/Schedules!S106,0))))+((-'P&amp;L Schedule'!S13))+((-Schedules!S53))+((Schedules!S45*(1)))))*(1/(1+$B11)^7)+(((('P&amp;L Schedule'!T14)*(1-(IFERROR(Schedules!T107/Schedules!T106,0))))+((-'P&amp;L Schedule'!T13))+((-Schedules!T53))+((Schedules!T45*(1)))))*(1/(1+$B11)^8)+(((('P&amp;L Schedule'!U14)*(1-(IFERROR(Schedules!U107/Schedules!U106,0))))+((-'P&amp;L Schedule'!U13))+((-Schedules!U53))+((Schedules!U45*(1)))))*(1/(1+$B11)^9)+(((('P&amp;L Schedule'!V14)*(1-(IFERROR(Schedules!V107/Schedules!V106,0))))+((-'P&amp;L Schedule'!V13))+((-Schedules!V53))+((Schedules!V45*(1)))))*(1/(1+$B11)^10))+((((('P&amp;L Schedule'!V14)*(1+(F$7))*(1-('Inputs &amp; Assumptions'!$C$73)))*(1-(((F$7)/($B11))))/(($B11)-(F$7))))*(1/(1+$B11)^10))))-(Schedules!$L$93)+(IFERROR(INDEX(HS_CONSOLIDATED!M:M,MATCH("CashAndCashEquivalents",HS_CONSOLIDATED!$C:$C,0)),0)))/'WACC Schedule'!$C7</f>
        <v>47.139704983524524</v>
      </c>
      <c r="G11" s="163">
        <f>(((((((('P&amp;L Schedule'!M14)*(1-(IFERROR(Schedules!M107/Schedules!M106,0))))+((-'P&amp;L Schedule'!M13))+((-Schedules!M53))+((Schedules!M45*(1)))))*(1/(1+$B11)^1)+(((('P&amp;L Schedule'!N14)*(1-(IFERROR(Schedules!N107/Schedules!N106,0))))+((-'P&amp;L Schedule'!N13))+((-Schedules!N53))+((Schedules!N45*(1)))))*(1/(1+$B11)^2)+(((('P&amp;L Schedule'!O14)*(1-(IFERROR(Schedules!O107/Schedules!O106,0))))+((-'P&amp;L Schedule'!O13))+((-Schedules!O53))+((Schedules!O45*(1)))))*(1/(1+$B11)^3)+(((('P&amp;L Schedule'!P14)*(1-(IFERROR(Schedules!P107/Schedules!P106,0))))+((-'P&amp;L Schedule'!P13))+((-Schedules!P53))+((Schedules!P45*(1)))))*(1/(1+$B11)^4)+(((('P&amp;L Schedule'!Q14)*(1-(IFERROR(Schedules!Q107/Schedules!Q106,0))))+((-'P&amp;L Schedule'!Q13))+((-Schedules!Q53))+((Schedules!Q45*(1)))))*(1/(1+$B11)^5)+(((('P&amp;L Schedule'!R14)*(1-(IFERROR(Schedules!R107/Schedules!R106,0))))+((-'P&amp;L Schedule'!R13))+((-Schedules!R53))+((Schedules!R45*(1)))))*(1/(1+$B11)^6)+(((('P&amp;L Schedule'!S14)*(1-(IFERROR(Schedules!S107/Schedules!S106,0))))+((-'P&amp;L Schedule'!S13))+((-Schedules!S53))+((Schedules!S45*(1)))))*(1/(1+$B11)^7)+(((('P&amp;L Schedule'!T14)*(1-(IFERROR(Schedules!T107/Schedules!T106,0))))+((-'P&amp;L Schedule'!T13))+((-Schedules!T53))+((Schedules!T45*(1)))))*(1/(1+$B11)^8)+(((('P&amp;L Schedule'!U14)*(1-(IFERROR(Schedules!U107/Schedules!U106,0))))+((-'P&amp;L Schedule'!U13))+((-Schedules!U53))+((Schedules!U45*(1)))))*(1/(1+$B11)^9)+(((('P&amp;L Schedule'!V14)*(1-(IFERROR(Schedules!V107/Schedules!V106,0))))+((-'P&amp;L Schedule'!V13))+((-Schedules!V53))+((Schedules!V45*(1)))))*(1/(1+$B11)^10))+((((('P&amp;L Schedule'!V14)*(1+(G$7))*(1-('Inputs &amp; Assumptions'!$C$73)))*(1-(((G$7)/($B11))))/(($B11)-(G$7))))*(1/(1+$B11)^10))))-(Schedules!$L$93)+(IFERROR(INDEX(HS_CONSOLIDATED!M:M,MATCH("CashAndCashEquivalents",HS_CONSOLIDATED!$C:$C,0)),0)))/'WACC Schedule'!$C7</f>
        <v>47.487330596919747</v>
      </c>
    </row>
    <row r="12" spans="1:7">
      <c r="B12" s="145">
        <f>'WACC Schedule'!$C39+(0.02)</f>
        <v>9.8867217951476599E-2</v>
      </c>
      <c r="C12" s="163">
        <f>(((((((('P&amp;L Schedule'!M14)*(1-(IFERROR(Schedules!M107/Schedules!M106,0))))+((-'P&amp;L Schedule'!M13))+((-Schedules!M53))+((Schedules!M45*(1)))))*(1/(1+$B12)^1)+(((('P&amp;L Schedule'!N14)*(1-(IFERROR(Schedules!N107/Schedules!N106,0))))+((-'P&amp;L Schedule'!N13))+((-Schedules!N53))+((Schedules!N45*(1)))))*(1/(1+$B12)^2)+(((('P&amp;L Schedule'!O14)*(1-(IFERROR(Schedules!O107/Schedules!O106,0))))+((-'P&amp;L Schedule'!O13))+((-Schedules!O53))+((Schedules!O45*(1)))))*(1/(1+$B12)^3)+(((('P&amp;L Schedule'!P14)*(1-(IFERROR(Schedules!P107/Schedules!P106,0))))+((-'P&amp;L Schedule'!P13))+((-Schedules!P53))+((Schedules!P45*(1)))))*(1/(1+$B12)^4)+(((('P&amp;L Schedule'!Q14)*(1-(IFERROR(Schedules!Q107/Schedules!Q106,0))))+((-'P&amp;L Schedule'!Q13))+((-Schedules!Q53))+((Schedules!Q45*(1)))))*(1/(1+$B12)^5)+(((('P&amp;L Schedule'!R14)*(1-(IFERROR(Schedules!R107/Schedules!R106,0))))+((-'P&amp;L Schedule'!R13))+((-Schedules!R53))+((Schedules!R45*(1)))))*(1/(1+$B12)^6)+(((('P&amp;L Schedule'!S14)*(1-(IFERROR(Schedules!S107/Schedules!S106,0))))+((-'P&amp;L Schedule'!S13))+((-Schedules!S53))+((Schedules!S45*(1)))))*(1/(1+$B12)^7)+(((('P&amp;L Schedule'!T14)*(1-(IFERROR(Schedules!T107/Schedules!T106,0))))+((-'P&amp;L Schedule'!T13))+((-Schedules!T53))+((Schedules!T45*(1)))))*(1/(1+$B12)^8)+(((('P&amp;L Schedule'!U14)*(1-(IFERROR(Schedules!U107/Schedules!U106,0))))+((-'P&amp;L Schedule'!U13))+((-Schedules!U53))+((Schedules!U45*(1)))))*(1/(1+$B12)^9)+(((('P&amp;L Schedule'!V14)*(1-(IFERROR(Schedules!V107/Schedules!V106,0))))+((-'P&amp;L Schedule'!V13))+((-Schedules!V53))+((Schedules!V45*(1)))))*(1/(1+$B12)^10))+((((('P&amp;L Schedule'!V14)*(1+(C$7))*(1-('Inputs &amp; Assumptions'!$C$73)))*(1-(((C$7)/($B12))))/(($B12)-(C$7))))*(1/(1+$B12)^10))))-(Schedules!$L$93)+(IFERROR(INDEX(HS_CONSOLIDATED!M:M,MATCH("CashAndCashEquivalents",HS_CONSOLIDATED!$C:$C,0)),0)))/'WACC Schedule'!$C7</f>
        <v>39.061733576802659</v>
      </c>
      <c r="D12" s="163">
        <f>(((((((('P&amp;L Schedule'!M14)*(1-(IFERROR(Schedules!M107/Schedules!M106,0))))+((-'P&amp;L Schedule'!M13))+((-Schedules!M53))+((Schedules!M45*(1)))))*(1/(1+$B12)^1)+(((('P&amp;L Schedule'!N14)*(1-(IFERROR(Schedules!N107/Schedules!N106,0))))+((-'P&amp;L Schedule'!N13))+((-Schedules!N53))+((Schedules!N45*(1)))))*(1/(1+$B12)^2)+(((('P&amp;L Schedule'!O14)*(1-(IFERROR(Schedules!O107/Schedules!O106,0))))+((-'P&amp;L Schedule'!O13))+((-Schedules!O53))+((Schedules!O45*(1)))))*(1/(1+$B12)^3)+(((('P&amp;L Schedule'!P14)*(1-(IFERROR(Schedules!P107/Schedules!P106,0))))+((-'P&amp;L Schedule'!P13))+((-Schedules!P53))+((Schedules!P45*(1)))))*(1/(1+$B12)^4)+(((('P&amp;L Schedule'!Q14)*(1-(IFERROR(Schedules!Q107/Schedules!Q106,0))))+((-'P&amp;L Schedule'!Q13))+((-Schedules!Q53))+((Schedules!Q45*(1)))))*(1/(1+$B12)^5)+(((('P&amp;L Schedule'!R14)*(1-(IFERROR(Schedules!R107/Schedules!R106,0))))+((-'P&amp;L Schedule'!R13))+((-Schedules!R53))+((Schedules!R45*(1)))))*(1/(1+$B12)^6)+(((('P&amp;L Schedule'!S14)*(1-(IFERROR(Schedules!S107/Schedules!S106,0))))+((-'P&amp;L Schedule'!S13))+((-Schedules!S53))+((Schedules!S45*(1)))))*(1/(1+$B12)^7)+(((('P&amp;L Schedule'!T14)*(1-(IFERROR(Schedules!T107/Schedules!T106,0))))+((-'P&amp;L Schedule'!T13))+((-Schedules!T53))+((Schedules!T45*(1)))))*(1/(1+$B12)^8)+(((('P&amp;L Schedule'!U14)*(1-(IFERROR(Schedules!U107/Schedules!U106,0))))+((-'P&amp;L Schedule'!U13))+((-Schedules!U53))+((Schedules!U45*(1)))))*(1/(1+$B12)^9)+(((('P&amp;L Schedule'!V14)*(1-(IFERROR(Schedules!V107/Schedules!V106,0))))+((-'P&amp;L Schedule'!V13))+((-Schedules!V53))+((Schedules!V45*(1)))))*(1/(1+$B12)^10))+((((('P&amp;L Schedule'!V14)*(1+(D$7))*(1-('Inputs &amp; Assumptions'!$C$73)))*(1-(((D$7)/($B12))))/(($B12)-(D$7))))*(1/(1+$B12)^10))))-(Schedules!$L$93)+(IFERROR(INDEX(HS_CONSOLIDATED!M:M,MATCH("CashAndCashEquivalents",HS_CONSOLIDATED!$C:$C,0)),0)))/'WACC Schedule'!$C7</f>
        <v>39.346899806369187</v>
      </c>
      <c r="E12" s="163">
        <f>(((((((('P&amp;L Schedule'!M14)*(1-(IFERROR(Schedules!M107/Schedules!M106,0))))+((-'P&amp;L Schedule'!M13))+((-Schedules!M53))+((Schedules!M45*(1)))))*(1/(1+$B12)^1)+(((('P&amp;L Schedule'!N14)*(1-(IFERROR(Schedules!N107/Schedules!N106,0))))+((-'P&amp;L Schedule'!N13))+((-Schedules!N53))+((Schedules!N45*(1)))))*(1/(1+$B12)^2)+(((('P&amp;L Schedule'!O14)*(1-(IFERROR(Schedules!O107/Schedules!O106,0))))+((-'P&amp;L Schedule'!O13))+((-Schedules!O53))+((Schedules!O45*(1)))))*(1/(1+$B12)^3)+(((('P&amp;L Schedule'!P14)*(1-(IFERROR(Schedules!P107/Schedules!P106,0))))+((-'P&amp;L Schedule'!P13))+((-Schedules!P53))+((Schedules!P45*(1)))))*(1/(1+$B12)^4)+(((('P&amp;L Schedule'!Q14)*(1-(IFERROR(Schedules!Q107/Schedules!Q106,0))))+((-'P&amp;L Schedule'!Q13))+((-Schedules!Q53))+((Schedules!Q45*(1)))))*(1/(1+$B12)^5)+(((('P&amp;L Schedule'!R14)*(1-(IFERROR(Schedules!R107/Schedules!R106,0))))+((-'P&amp;L Schedule'!R13))+((-Schedules!R53))+((Schedules!R45*(1)))))*(1/(1+$B12)^6)+(((('P&amp;L Schedule'!S14)*(1-(IFERROR(Schedules!S107/Schedules!S106,0))))+((-'P&amp;L Schedule'!S13))+((-Schedules!S53))+((Schedules!S45*(1)))))*(1/(1+$B12)^7)+(((('P&amp;L Schedule'!T14)*(1-(IFERROR(Schedules!T107/Schedules!T106,0))))+((-'P&amp;L Schedule'!T13))+((-Schedules!T53))+((Schedules!T45*(1)))))*(1/(1+$B12)^8)+(((('P&amp;L Schedule'!U14)*(1-(IFERROR(Schedules!U107/Schedules!U106,0))))+((-'P&amp;L Schedule'!U13))+((-Schedules!U53))+((Schedules!U45*(1)))))*(1/(1+$B12)^9)+(((('P&amp;L Schedule'!V14)*(1-(IFERROR(Schedules!V107/Schedules!V106,0))))+((-'P&amp;L Schedule'!V13))+((-Schedules!V53))+((Schedules!V45*(1)))))*(1/(1+$B12)^10))+((((('P&amp;L Schedule'!V14)*(1+(E$7))*(1-('Inputs &amp; Assumptions'!$C$73)))*(1-(((E$7)/($B12))))/(($B12)-(E$7))))*(1/(1+$B12)^10))))-(Schedules!$L$93)+(IFERROR(INDEX(HS_CONSOLIDATED!M:M,MATCH("CashAndCashEquivalents",HS_CONSOLIDATED!$C:$C,0)),0)))/'WACC Schedule'!$C7</f>
        <v>39.632066035935715</v>
      </c>
      <c r="F12" s="163">
        <f>(((((((('P&amp;L Schedule'!M14)*(1-(IFERROR(Schedules!M107/Schedules!M106,0))))+((-'P&amp;L Schedule'!M13))+((-Schedules!M53))+((Schedules!M45*(1)))))*(1/(1+$B12)^1)+(((('P&amp;L Schedule'!N14)*(1-(IFERROR(Schedules!N107/Schedules!N106,0))))+((-'P&amp;L Schedule'!N13))+((-Schedules!N53))+((Schedules!N45*(1)))))*(1/(1+$B12)^2)+(((('P&amp;L Schedule'!O14)*(1-(IFERROR(Schedules!O107/Schedules!O106,0))))+((-'P&amp;L Schedule'!O13))+((-Schedules!O53))+((Schedules!O45*(1)))))*(1/(1+$B12)^3)+(((('P&amp;L Schedule'!P14)*(1-(IFERROR(Schedules!P107/Schedules!P106,0))))+((-'P&amp;L Schedule'!P13))+((-Schedules!P53))+((Schedules!P45*(1)))))*(1/(1+$B12)^4)+(((('P&amp;L Schedule'!Q14)*(1-(IFERROR(Schedules!Q107/Schedules!Q106,0))))+((-'P&amp;L Schedule'!Q13))+((-Schedules!Q53))+((Schedules!Q45*(1)))))*(1/(1+$B12)^5)+(((('P&amp;L Schedule'!R14)*(1-(IFERROR(Schedules!R107/Schedules!R106,0))))+((-'P&amp;L Schedule'!R13))+((-Schedules!R53))+((Schedules!R45*(1)))))*(1/(1+$B12)^6)+(((('P&amp;L Schedule'!S14)*(1-(IFERROR(Schedules!S107/Schedules!S106,0))))+((-'P&amp;L Schedule'!S13))+((-Schedules!S53))+((Schedules!S45*(1)))))*(1/(1+$B12)^7)+(((('P&amp;L Schedule'!T14)*(1-(IFERROR(Schedules!T107/Schedules!T106,0))))+((-'P&amp;L Schedule'!T13))+((-Schedules!T53))+((Schedules!T45*(1)))))*(1/(1+$B12)^8)+(((('P&amp;L Schedule'!U14)*(1-(IFERROR(Schedules!U107/Schedules!U106,0))))+((-'P&amp;L Schedule'!U13))+((-Schedules!U53))+((Schedules!U45*(1)))))*(1/(1+$B12)^9)+(((('P&amp;L Schedule'!V14)*(1-(IFERROR(Schedules!V107/Schedules!V106,0))))+((-'P&amp;L Schedule'!V13))+((-Schedules!V53))+((Schedules!V45*(1)))))*(1/(1+$B12)^10))+((((('P&amp;L Schedule'!V14)*(1+(F$7))*(1-('Inputs &amp; Assumptions'!$C$73)))*(1-(((F$7)/($B12))))/(($B12)-(F$7))))*(1/(1+$B12)^10))))-(Schedules!$L$93)+(IFERROR(INDEX(HS_CONSOLIDATED!M:M,MATCH("CashAndCashEquivalents",HS_CONSOLIDATED!$C:$C,0)),0)))/'WACC Schedule'!$C7</f>
        <v>39.917232265502243</v>
      </c>
      <c r="G12" s="163">
        <f>(((((((('P&amp;L Schedule'!M14)*(1-(IFERROR(Schedules!M107/Schedules!M106,0))))+((-'P&amp;L Schedule'!M13))+((-Schedules!M53))+((Schedules!M45*(1)))))*(1/(1+$B12)^1)+(((('P&amp;L Schedule'!N14)*(1-(IFERROR(Schedules!N107/Schedules!N106,0))))+((-'P&amp;L Schedule'!N13))+((-Schedules!N53))+((Schedules!N45*(1)))))*(1/(1+$B12)^2)+(((('P&amp;L Schedule'!O14)*(1-(IFERROR(Schedules!O107/Schedules!O106,0))))+((-'P&amp;L Schedule'!O13))+((-Schedules!O53))+((Schedules!O45*(1)))))*(1/(1+$B12)^3)+(((('P&amp;L Schedule'!P14)*(1-(IFERROR(Schedules!P107/Schedules!P106,0))))+((-'P&amp;L Schedule'!P13))+((-Schedules!P53))+((Schedules!P45*(1)))))*(1/(1+$B12)^4)+(((('P&amp;L Schedule'!Q14)*(1-(IFERROR(Schedules!Q107/Schedules!Q106,0))))+((-'P&amp;L Schedule'!Q13))+((-Schedules!Q53))+((Schedules!Q45*(1)))))*(1/(1+$B12)^5)+(((('P&amp;L Schedule'!R14)*(1-(IFERROR(Schedules!R107/Schedules!R106,0))))+((-'P&amp;L Schedule'!R13))+((-Schedules!R53))+((Schedules!R45*(1)))))*(1/(1+$B12)^6)+(((('P&amp;L Schedule'!S14)*(1-(IFERROR(Schedules!S107/Schedules!S106,0))))+((-'P&amp;L Schedule'!S13))+((-Schedules!S53))+((Schedules!S45*(1)))))*(1/(1+$B12)^7)+(((('P&amp;L Schedule'!T14)*(1-(IFERROR(Schedules!T107/Schedules!T106,0))))+((-'P&amp;L Schedule'!T13))+((-Schedules!T53))+((Schedules!T45*(1)))))*(1/(1+$B12)^8)+(((('P&amp;L Schedule'!U14)*(1-(IFERROR(Schedules!U107/Schedules!U106,0))))+((-'P&amp;L Schedule'!U13))+((-Schedules!U53))+((Schedules!U45*(1)))))*(1/(1+$B12)^9)+(((('P&amp;L Schedule'!V14)*(1-(IFERROR(Schedules!V107/Schedules!V106,0))))+((-'P&amp;L Schedule'!V13))+((-Schedules!V53))+((Schedules!V45*(1)))))*(1/(1+$B12)^10))+((((('P&amp;L Schedule'!V14)*(1+(G$7))*(1-('Inputs &amp; Assumptions'!$C$73)))*(1-(((G$7)/($B12))))/(($B12)-(G$7))))*(1/(1+$B12)^10))))-(Schedules!$L$93)+(IFERROR(INDEX(HS_CONSOLIDATED!M:M,MATCH("CashAndCashEquivalents",HS_CONSOLIDATED!$C:$C,0)),0)))/'WACC Schedule'!$C7</f>
        <v>40.202398495068778</v>
      </c>
    </row>
    <row r="15" spans="1:7" ht="17">
      <c r="A15" t="s">
        <v>27</v>
      </c>
      <c r="B15" s="150" t="s">
        <v>582</v>
      </c>
    </row>
    <row r="17" spans="1:7">
      <c r="B17" s="161" t="s">
        <v>583</v>
      </c>
    </row>
    <row r="18" spans="1:7">
      <c r="B18" s="161" t="s">
        <v>584</v>
      </c>
      <c r="C18" s="162">
        <f>'WACC Schedule'!$C39+(-0.02)</f>
        <v>5.8867217951476591E-2</v>
      </c>
      <c r="D18" s="162">
        <f>'WACC Schedule'!$C39+(-0.01)</f>
        <v>6.88672179514766E-2</v>
      </c>
      <c r="E18" s="162">
        <f>'WACC Schedule'!$C39+(0)</f>
        <v>7.8867217951476595E-2</v>
      </c>
      <c r="F18" s="162">
        <f>'WACC Schedule'!$C39+(0.01)</f>
        <v>8.886721795147659E-2</v>
      </c>
      <c r="G18" s="162">
        <f>'WACC Schedule'!$C39+(0.02)</f>
        <v>9.8867217951476599E-2</v>
      </c>
    </row>
    <row r="19" spans="1:7">
      <c r="B19" s="148">
        <v>0.7</v>
      </c>
      <c r="C19" s="163">
        <f>(((((((('P&amp;L Schedule'!M14)*(1-(IFERROR(Schedules!M107/Schedules!M106,0))))+((-'P&amp;L Schedule'!M13))+((-Schedules!M53))+((Schedules!M45*($B19)))))*(1/(1+C$18)^1)+(((('P&amp;L Schedule'!N14)*(1-(IFERROR(Schedules!N107/Schedules!N106,0))))+((-'P&amp;L Schedule'!N13))+((-Schedules!N53))+((Schedules!N45*($B19)))))*(1/(1+C$18)^2)+(((('P&amp;L Schedule'!O14)*(1-(IFERROR(Schedules!O107/Schedules!O106,0))))+((-'P&amp;L Schedule'!O13))+((-Schedules!O53))+((Schedules!O45*($B19)))))*(1/(1+C$18)^3)+(((('P&amp;L Schedule'!P14)*(1-(IFERROR(Schedules!P107/Schedules!P106,0))))+((-'P&amp;L Schedule'!P13))+((-Schedules!P53))+((Schedules!P45*($B19)))))*(1/(1+C$18)^4)+(((('P&amp;L Schedule'!Q14)*(1-(IFERROR(Schedules!Q107/Schedules!Q106,0))))+((-'P&amp;L Schedule'!Q13))+((-Schedules!Q53))+((Schedules!Q45*($B19)))))*(1/(1+C$18)^5)+(((('P&amp;L Schedule'!R14)*(1-(IFERROR(Schedules!R107/Schedules!R106,0))))+((-'P&amp;L Schedule'!R13))+((-Schedules!R53))+((Schedules!R45*($B19)))))*(1/(1+C$18)^6)+(((('P&amp;L Schedule'!S14)*(1-(IFERROR(Schedules!S107/Schedules!S106,0))))+((-'P&amp;L Schedule'!S13))+((-Schedules!S53))+((Schedules!S45*($B19)))))*(1/(1+C$18)^7)+(((('P&amp;L Schedule'!T14)*(1-(IFERROR(Schedules!T107/Schedules!T106,0))))+((-'P&amp;L Schedule'!T13))+((-Schedules!T53))+((Schedules!T45*($B19)))))*(1/(1+C$18)^8)+(((('P&amp;L Schedule'!U14)*(1-(IFERROR(Schedules!U107/Schedules!U106,0))))+((-'P&amp;L Schedule'!U13))+((-Schedules!U53))+((Schedules!U45*($B19)))))*(1/(1+C$18)^9)+(((('P&amp;L Schedule'!V14)*(1-(IFERROR(Schedules!V107/Schedules!V106,0))))+((-'P&amp;L Schedule'!V13))+((-Schedules!V53))+((Schedules!V45*($B19)))))*(1/(1+C$18)^10))+((((('P&amp;L Schedule'!V14)*(1+((IF('Inputs &amp; Assumptions'!$C$13="",'Inputs &amp; Assumptions'!$C$12,'Inputs &amp; Assumptions'!$C$13))))*(1-('Inputs &amp; Assumptions'!$C$73)))*(1-((((IF('Inputs &amp; Assumptions'!$C$13="",'Inputs &amp; Assumptions'!$C$12,'Inputs &amp; Assumptions'!$C$13)))/(C$18))))/((C$18)-((IF('Inputs &amp; Assumptions'!$C$13="",'Inputs &amp; Assumptions'!$C$12,'Inputs &amp; Assumptions'!$C$13))))))*(1/(1+C$18)^10))))-(Schedules!$L$93)+(IFERROR(INDEX(HS_CONSOLIDATED!M:M,MATCH("CashAndCashEquivalents",HS_CONSOLIDATED!$C:$C,0)),0)))/'WACC Schedule'!$C7</f>
        <v>89.352281583745622</v>
      </c>
      <c r="D19" s="163">
        <f>(((((((('P&amp;L Schedule'!M14)*(1-(IFERROR(Schedules!M107/Schedules!M106,0))))+((-'P&amp;L Schedule'!M13))+((-Schedules!M53))+((Schedules!M45*($B19)))))*(1/(1+D$18)^1)+(((('P&amp;L Schedule'!N14)*(1-(IFERROR(Schedules!N107/Schedules!N106,0))))+((-'P&amp;L Schedule'!N13))+((-Schedules!N53))+((Schedules!N45*($B19)))))*(1/(1+D$18)^2)+(((('P&amp;L Schedule'!O14)*(1-(IFERROR(Schedules!O107/Schedules!O106,0))))+((-'P&amp;L Schedule'!O13))+((-Schedules!O53))+((Schedules!O45*($B19)))))*(1/(1+D$18)^3)+(((('P&amp;L Schedule'!P14)*(1-(IFERROR(Schedules!P107/Schedules!P106,0))))+((-'P&amp;L Schedule'!P13))+((-Schedules!P53))+((Schedules!P45*($B19)))))*(1/(1+D$18)^4)+(((('P&amp;L Schedule'!Q14)*(1-(IFERROR(Schedules!Q107/Schedules!Q106,0))))+((-'P&amp;L Schedule'!Q13))+((-Schedules!Q53))+((Schedules!Q45*($B19)))))*(1/(1+D$18)^5)+(((('P&amp;L Schedule'!R14)*(1-(IFERROR(Schedules!R107/Schedules!R106,0))))+((-'P&amp;L Schedule'!R13))+((-Schedules!R53))+((Schedules!R45*($B19)))))*(1/(1+D$18)^6)+(((('P&amp;L Schedule'!S14)*(1-(IFERROR(Schedules!S107/Schedules!S106,0))))+((-'P&amp;L Schedule'!S13))+((-Schedules!S53))+((Schedules!S45*($B19)))))*(1/(1+D$18)^7)+(((('P&amp;L Schedule'!T14)*(1-(IFERROR(Schedules!T107/Schedules!T106,0))))+((-'P&amp;L Schedule'!T13))+((-Schedules!T53))+((Schedules!T45*($B19)))))*(1/(1+D$18)^8)+(((('P&amp;L Schedule'!U14)*(1-(IFERROR(Schedules!U107/Schedules!U106,0))))+((-'P&amp;L Schedule'!U13))+((-Schedules!U53))+((Schedules!U45*($B19)))))*(1/(1+D$18)^9)+(((('P&amp;L Schedule'!V14)*(1-(IFERROR(Schedules!V107/Schedules!V106,0))))+((-'P&amp;L Schedule'!V13))+((-Schedules!V53))+((Schedules!V45*($B19)))))*(1/(1+D$18)^10))+((((('P&amp;L Schedule'!V14)*(1+((IF('Inputs &amp; Assumptions'!$C$13="",'Inputs &amp; Assumptions'!$C$12,'Inputs &amp; Assumptions'!$C$13))))*(1-('Inputs &amp; Assumptions'!$C$73)))*(1-((((IF('Inputs &amp; Assumptions'!$C$13="",'Inputs &amp; Assumptions'!$C$12,'Inputs &amp; Assumptions'!$C$13)))/(D$18))))/((D$18)-((IF('Inputs &amp; Assumptions'!$C$13="",'Inputs &amp; Assumptions'!$C$12,'Inputs &amp; Assumptions'!$C$13))))))*(1/(1+D$18)^10))))-(Schedules!$L$93)+(IFERROR(INDEX(HS_CONSOLIDATED!M:M,MATCH("CashAndCashEquivalents",HS_CONSOLIDATED!$C:$C,0)),0)))/'WACC Schedule'!$C7</f>
        <v>72.188327879988776</v>
      </c>
      <c r="E19" s="163">
        <f>(((((((('P&amp;L Schedule'!M14)*(1-(IFERROR(Schedules!M107/Schedules!M106,0))))+((-'P&amp;L Schedule'!M13))+((-Schedules!M53))+((Schedules!M45*($B19)))))*(1/(1+E$18)^1)+(((('P&amp;L Schedule'!N14)*(1-(IFERROR(Schedules!N107/Schedules!N106,0))))+((-'P&amp;L Schedule'!N13))+((-Schedules!N53))+((Schedules!N45*($B19)))))*(1/(1+E$18)^2)+(((('P&amp;L Schedule'!O14)*(1-(IFERROR(Schedules!O107/Schedules!O106,0))))+((-'P&amp;L Schedule'!O13))+((-Schedules!O53))+((Schedules!O45*($B19)))))*(1/(1+E$18)^3)+(((('P&amp;L Schedule'!P14)*(1-(IFERROR(Schedules!P107/Schedules!P106,0))))+((-'P&amp;L Schedule'!P13))+((-Schedules!P53))+((Schedules!P45*($B19)))))*(1/(1+E$18)^4)+(((('P&amp;L Schedule'!Q14)*(1-(IFERROR(Schedules!Q107/Schedules!Q106,0))))+((-'P&amp;L Schedule'!Q13))+((-Schedules!Q53))+((Schedules!Q45*($B19)))))*(1/(1+E$18)^5)+(((('P&amp;L Schedule'!R14)*(1-(IFERROR(Schedules!R107/Schedules!R106,0))))+((-'P&amp;L Schedule'!R13))+((-Schedules!R53))+((Schedules!R45*($B19)))))*(1/(1+E$18)^6)+(((('P&amp;L Schedule'!S14)*(1-(IFERROR(Schedules!S107/Schedules!S106,0))))+((-'P&amp;L Schedule'!S13))+((-Schedules!S53))+((Schedules!S45*($B19)))))*(1/(1+E$18)^7)+(((('P&amp;L Schedule'!T14)*(1-(IFERROR(Schedules!T107/Schedules!T106,0))))+((-'P&amp;L Schedule'!T13))+((-Schedules!T53))+((Schedules!T45*($B19)))))*(1/(1+E$18)^8)+(((('P&amp;L Schedule'!U14)*(1-(IFERROR(Schedules!U107/Schedules!U106,0))))+((-'P&amp;L Schedule'!U13))+((-Schedules!U53))+((Schedules!U45*($B19)))))*(1/(1+E$18)^9)+(((('P&amp;L Schedule'!V14)*(1-(IFERROR(Schedules!V107/Schedules!V106,0))))+((-'P&amp;L Schedule'!V13))+((-Schedules!V53))+((Schedules!V45*($B19)))))*(1/(1+E$18)^10))+((((('P&amp;L Schedule'!V14)*(1+((IF('Inputs &amp; Assumptions'!$C$13="",'Inputs &amp; Assumptions'!$C$12,'Inputs &amp; Assumptions'!$C$13))))*(1-('Inputs &amp; Assumptions'!$C$73)))*(1-((((IF('Inputs &amp; Assumptions'!$C$13="",'Inputs &amp; Assumptions'!$C$12,'Inputs &amp; Assumptions'!$C$13)))/(E$18))))/((E$18)-((IF('Inputs &amp; Assumptions'!$C$13="",'Inputs &amp; Assumptions'!$C$12,'Inputs &amp; Assumptions'!$C$13))))))*(1/(1+E$18)^10))))-(Schedules!$L$93)+(IFERROR(INDEX(HS_CONSOLIDATED!M:M,MATCH("CashAndCashEquivalents",HS_CONSOLIDATED!$C:$C,0)),0)))/'WACC Schedule'!$C7</f>
        <v>59.680840911390334</v>
      </c>
      <c r="F19" s="163">
        <f>(((((((('P&amp;L Schedule'!M14)*(1-(IFERROR(Schedules!M107/Schedules!M106,0))))+((-'P&amp;L Schedule'!M13))+((-Schedules!M53))+((Schedules!M45*($B19)))))*(1/(1+F$18)^1)+(((('P&amp;L Schedule'!N14)*(1-(IFERROR(Schedules!N107/Schedules!N106,0))))+((-'P&amp;L Schedule'!N13))+((-Schedules!N53))+((Schedules!N45*($B19)))))*(1/(1+F$18)^2)+(((('P&amp;L Schedule'!O14)*(1-(IFERROR(Schedules!O107/Schedules!O106,0))))+((-'P&amp;L Schedule'!O13))+((-Schedules!O53))+((Schedules!O45*($B19)))))*(1/(1+F$18)^3)+(((('P&amp;L Schedule'!P14)*(1-(IFERROR(Schedules!P107/Schedules!P106,0))))+((-'P&amp;L Schedule'!P13))+((-Schedules!P53))+((Schedules!P45*($B19)))))*(1/(1+F$18)^4)+(((('P&amp;L Schedule'!Q14)*(1-(IFERROR(Schedules!Q107/Schedules!Q106,0))))+((-'P&amp;L Schedule'!Q13))+((-Schedules!Q53))+((Schedules!Q45*($B19)))))*(1/(1+F$18)^5)+(((('P&amp;L Schedule'!R14)*(1-(IFERROR(Schedules!R107/Schedules!R106,0))))+((-'P&amp;L Schedule'!R13))+((-Schedules!R53))+((Schedules!R45*($B19)))))*(1/(1+F$18)^6)+(((('P&amp;L Schedule'!S14)*(1-(IFERROR(Schedules!S107/Schedules!S106,0))))+((-'P&amp;L Schedule'!S13))+((-Schedules!S53))+((Schedules!S45*($B19)))))*(1/(1+F$18)^7)+(((('P&amp;L Schedule'!T14)*(1-(IFERROR(Schedules!T107/Schedules!T106,0))))+((-'P&amp;L Schedule'!T13))+((-Schedules!T53))+((Schedules!T45*($B19)))))*(1/(1+F$18)^8)+(((('P&amp;L Schedule'!U14)*(1-(IFERROR(Schedules!U107/Schedules!U106,0))))+((-'P&amp;L Schedule'!U13))+((-Schedules!U53))+((Schedules!U45*($B19)))))*(1/(1+F$18)^9)+(((('P&amp;L Schedule'!V14)*(1-(IFERROR(Schedules!V107/Schedules!V106,0))))+((-'P&amp;L Schedule'!V13))+((-Schedules!V53))+((Schedules!V45*($B19)))))*(1/(1+F$18)^10))+((((('P&amp;L Schedule'!V14)*(1+((IF('Inputs &amp; Assumptions'!$C$13="",'Inputs &amp; Assumptions'!$C$12,'Inputs &amp; Assumptions'!$C$13))))*(1-('Inputs &amp; Assumptions'!$C$73)))*(1-((((IF('Inputs &amp; Assumptions'!$C$13="",'Inputs &amp; Assumptions'!$C$12,'Inputs &amp; Assumptions'!$C$13)))/(F$18))))/((F$18)-((IF('Inputs &amp; Assumptions'!$C$13="",'Inputs &amp; Assumptions'!$C$12,'Inputs &amp; Assumptions'!$C$13))))))*(1/(1+F$18)^10))))-(Schedules!$L$93)+(IFERROR(INDEX(HS_CONSOLIDATED!M:M,MATCH("CashAndCashEquivalents",HS_CONSOLIDATED!$C:$C,0)),0)))/'WACC Schedule'!$C7</f>
        <v>50.232498024417538</v>
      </c>
      <c r="G19" s="163">
        <f>(((((((('P&amp;L Schedule'!M14)*(1-(IFERROR(Schedules!M107/Schedules!M106,0))))+((-'P&amp;L Schedule'!M13))+((-Schedules!M53))+((Schedules!M45*($B19)))))*(1/(1+G$18)^1)+(((('P&amp;L Schedule'!N14)*(1-(IFERROR(Schedules!N107/Schedules!N106,0))))+((-'P&amp;L Schedule'!N13))+((-Schedules!N53))+((Schedules!N45*($B19)))))*(1/(1+G$18)^2)+(((('P&amp;L Schedule'!O14)*(1-(IFERROR(Schedules!O107/Schedules!O106,0))))+((-'P&amp;L Schedule'!O13))+((-Schedules!O53))+((Schedules!O45*($B19)))))*(1/(1+G$18)^3)+(((('P&amp;L Schedule'!P14)*(1-(IFERROR(Schedules!P107/Schedules!P106,0))))+((-'P&amp;L Schedule'!P13))+((-Schedules!P53))+((Schedules!P45*($B19)))))*(1/(1+G$18)^4)+(((('P&amp;L Schedule'!Q14)*(1-(IFERROR(Schedules!Q107/Schedules!Q106,0))))+((-'P&amp;L Schedule'!Q13))+((-Schedules!Q53))+((Schedules!Q45*($B19)))))*(1/(1+G$18)^5)+(((('P&amp;L Schedule'!R14)*(1-(IFERROR(Schedules!R107/Schedules!R106,0))))+((-'P&amp;L Schedule'!R13))+((-Schedules!R53))+((Schedules!R45*($B19)))))*(1/(1+G$18)^6)+(((('P&amp;L Schedule'!S14)*(1-(IFERROR(Schedules!S107/Schedules!S106,0))))+((-'P&amp;L Schedule'!S13))+((-Schedules!S53))+((Schedules!S45*($B19)))))*(1/(1+G$18)^7)+(((('P&amp;L Schedule'!T14)*(1-(IFERROR(Schedules!T107/Schedules!T106,0))))+((-'P&amp;L Schedule'!T13))+((-Schedules!T53))+((Schedules!T45*($B19)))))*(1/(1+G$18)^8)+(((('P&amp;L Schedule'!U14)*(1-(IFERROR(Schedules!U107/Schedules!U106,0))))+((-'P&amp;L Schedule'!U13))+((-Schedules!U53))+((Schedules!U45*($B19)))))*(1/(1+G$18)^9)+(((('P&amp;L Schedule'!V14)*(1-(IFERROR(Schedules!V107/Schedules!V106,0))))+((-'P&amp;L Schedule'!V13))+((-Schedules!V53))+((Schedules!V45*($B19)))))*(1/(1+G$18)^10))+((((('P&amp;L Schedule'!V14)*(1+((IF('Inputs &amp; Assumptions'!$C$13="",'Inputs &amp; Assumptions'!$C$12,'Inputs &amp; Assumptions'!$C$13))))*(1-('Inputs &amp; Assumptions'!$C$73)))*(1-((((IF('Inputs &amp; Assumptions'!$C$13="",'Inputs &amp; Assumptions'!$C$12,'Inputs &amp; Assumptions'!$C$13)))/(G$18))))/((G$18)-((IF('Inputs &amp; Assumptions'!$C$13="",'Inputs &amp; Assumptions'!$C$12,'Inputs &amp; Assumptions'!$C$13))))))*(1/(1+G$18)^10))))-(Schedules!$L$93)+(IFERROR(INDEX(HS_CONSOLIDATED!M:M,MATCH("CashAndCashEquivalents",HS_CONSOLIDATED!$C:$C,0)),0)))/'WACC Schedule'!$C7</f>
        <v>42.894615713455451</v>
      </c>
    </row>
    <row r="20" spans="1:7">
      <c r="B20" s="148">
        <v>0.85</v>
      </c>
      <c r="C20" s="163">
        <f>(((((((('P&amp;L Schedule'!M14)*(1-(IFERROR(Schedules!M107/Schedules!M106,0))))+((-'P&amp;L Schedule'!M13))+((-Schedules!M53))+((Schedules!M45*($B20)))))*(1/(1+C$18)^1)+(((('P&amp;L Schedule'!N14)*(1-(IFERROR(Schedules!N107/Schedules!N106,0))))+((-'P&amp;L Schedule'!N13))+((-Schedules!N53))+((Schedules!N45*($B20)))))*(1/(1+C$18)^2)+(((('P&amp;L Schedule'!O14)*(1-(IFERROR(Schedules!O107/Schedules!O106,0))))+((-'P&amp;L Schedule'!O13))+((-Schedules!O53))+((Schedules!O45*($B20)))))*(1/(1+C$18)^3)+(((('P&amp;L Schedule'!P14)*(1-(IFERROR(Schedules!P107/Schedules!P106,0))))+((-'P&amp;L Schedule'!P13))+((-Schedules!P53))+((Schedules!P45*($B20)))))*(1/(1+C$18)^4)+(((('P&amp;L Schedule'!Q14)*(1-(IFERROR(Schedules!Q107/Schedules!Q106,0))))+((-'P&amp;L Schedule'!Q13))+((-Schedules!Q53))+((Schedules!Q45*($B20)))))*(1/(1+C$18)^5)+(((('P&amp;L Schedule'!R14)*(1-(IFERROR(Schedules!R107/Schedules!R106,0))))+((-'P&amp;L Schedule'!R13))+((-Schedules!R53))+((Schedules!R45*($B20)))))*(1/(1+C$18)^6)+(((('P&amp;L Schedule'!S14)*(1-(IFERROR(Schedules!S107/Schedules!S106,0))))+((-'P&amp;L Schedule'!S13))+((-Schedules!S53))+((Schedules!S45*($B20)))))*(1/(1+C$18)^7)+(((('P&amp;L Schedule'!T14)*(1-(IFERROR(Schedules!T107/Schedules!T106,0))))+((-'P&amp;L Schedule'!T13))+((-Schedules!T53))+((Schedules!T45*($B20)))))*(1/(1+C$18)^8)+(((('P&amp;L Schedule'!U14)*(1-(IFERROR(Schedules!U107/Schedules!U106,0))))+((-'P&amp;L Schedule'!U13))+((-Schedules!U53))+((Schedules!U45*($B20)))))*(1/(1+C$18)^9)+(((('P&amp;L Schedule'!V14)*(1-(IFERROR(Schedules!V107/Schedules!V106,0))))+((-'P&amp;L Schedule'!V13))+((-Schedules!V53))+((Schedules!V45*($B20)))))*(1/(1+C$18)^10))+((((('P&amp;L Schedule'!V14)*(1+((IF('Inputs &amp; Assumptions'!$C$13="",'Inputs &amp; Assumptions'!$C$12,'Inputs &amp; Assumptions'!$C$13))))*(1-('Inputs &amp; Assumptions'!$C$73)))*(1-((((IF('Inputs &amp; Assumptions'!$C$13="",'Inputs &amp; Assumptions'!$C$12,'Inputs &amp; Assumptions'!$C$13)))/(C$18))))/((C$18)-((IF('Inputs &amp; Assumptions'!$C$13="",'Inputs &amp; Assumptions'!$C$12,'Inputs &amp; Assumptions'!$C$13))))))*(1/(1+C$18)^10))))-(Schedules!$L$93)+(IFERROR(INDEX(HS_CONSOLIDATED!M:M,MATCH("CashAndCashEquivalents",HS_CONSOLIDATED!$C:$C,0)),0)))/'WACC Schedule'!$C7</f>
        <v>87.321092136834565</v>
      </c>
      <c r="D20" s="163">
        <f>(((((((('P&amp;L Schedule'!M14)*(1-(IFERROR(Schedules!M107/Schedules!M106,0))))+((-'P&amp;L Schedule'!M13))+((-Schedules!M53))+((Schedules!M45*($B20)))))*(1/(1+D$18)^1)+(((('P&amp;L Schedule'!N14)*(1-(IFERROR(Schedules!N107/Schedules!N106,0))))+((-'P&amp;L Schedule'!N13))+((-Schedules!N53))+((Schedules!N45*($B20)))))*(1/(1+D$18)^2)+(((('P&amp;L Schedule'!O14)*(1-(IFERROR(Schedules!O107/Schedules!O106,0))))+((-'P&amp;L Schedule'!O13))+((-Schedules!O53))+((Schedules!O45*($B20)))))*(1/(1+D$18)^3)+(((('P&amp;L Schedule'!P14)*(1-(IFERROR(Schedules!P107/Schedules!P106,0))))+((-'P&amp;L Schedule'!P13))+((-Schedules!P53))+((Schedules!P45*($B20)))))*(1/(1+D$18)^4)+(((('P&amp;L Schedule'!Q14)*(1-(IFERROR(Schedules!Q107/Schedules!Q106,0))))+((-'P&amp;L Schedule'!Q13))+((-Schedules!Q53))+((Schedules!Q45*($B20)))))*(1/(1+D$18)^5)+(((('P&amp;L Schedule'!R14)*(1-(IFERROR(Schedules!R107/Schedules!R106,0))))+((-'P&amp;L Schedule'!R13))+((-Schedules!R53))+((Schedules!R45*($B20)))))*(1/(1+D$18)^6)+(((('P&amp;L Schedule'!S14)*(1-(IFERROR(Schedules!S107/Schedules!S106,0))))+((-'P&amp;L Schedule'!S13))+((-Schedules!S53))+((Schedules!S45*($B20)))))*(1/(1+D$18)^7)+(((('P&amp;L Schedule'!T14)*(1-(IFERROR(Schedules!T107/Schedules!T106,0))))+((-'P&amp;L Schedule'!T13))+((-Schedules!T53))+((Schedules!T45*($B20)))))*(1/(1+D$18)^8)+(((('P&amp;L Schedule'!U14)*(1-(IFERROR(Schedules!U107/Schedules!U106,0))))+((-'P&amp;L Schedule'!U13))+((-Schedules!U53))+((Schedules!U45*($B20)))))*(1/(1+D$18)^9)+(((('P&amp;L Schedule'!V14)*(1-(IFERROR(Schedules!V107/Schedules!V106,0))))+((-'P&amp;L Schedule'!V13))+((-Schedules!V53))+((Schedules!V45*($B20)))))*(1/(1+D$18)^10))+((((('P&amp;L Schedule'!V14)*(1+((IF('Inputs &amp; Assumptions'!$C$13="",'Inputs &amp; Assumptions'!$C$12,'Inputs &amp; Assumptions'!$C$13))))*(1-('Inputs &amp; Assumptions'!$C$73)))*(1-((((IF('Inputs &amp; Assumptions'!$C$13="",'Inputs &amp; Assumptions'!$C$12,'Inputs &amp; Assumptions'!$C$13)))/(D$18))))/((D$18)-((IF('Inputs &amp; Assumptions'!$C$13="",'Inputs &amp; Assumptions'!$C$12,'Inputs &amp; Assumptions'!$C$13))))))*(1/(1+D$18)^10))))-(Schedules!$L$93)+(IFERROR(INDEX(HS_CONSOLIDATED!M:M,MATCH("CashAndCashEquivalents",HS_CONSOLIDATED!$C:$C,0)),0)))/'WACC Schedule'!$C7</f>
        <v>70.268854693476683</v>
      </c>
      <c r="E20" s="163">
        <f>(((((((('P&amp;L Schedule'!M14)*(1-(IFERROR(Schedules!M107/Schedules!M106,0))))+((-'P&amp;L Schedule'!M13))+((-Schedules!M53))+((Schedules!M45*($B20)))))*(1/(1+E$18)^1)+(((('P&amp;L Schedule'!N14)*(1-(IFERROR(Schedules!N107/Schedules!N106,0))))+((-'P&amp;L Schedule'!N13))+((-Schedules!N53))+((Schedules!N45*($B20)))))*(1/(1+E$18)^2)+(((('P&amp;L Schedule'!O14)*(1-(IFERROR(Schedules!O107/Schedules!O106,0))))+((-'P&amp;L Schedule'!O13))+((-Schedules!O53))+((Schedules!O45*($B20)))))*(1/(1+E$18)^3)+(((('P&amp;L Schedule'!P14)*(1-(IFERROR(Schedules!P107/Schedules!P106,0))))+((-'P&amp;L Schedule'!P13))+((-Schedules!P53))+((Schedules!P45*($B20)))))*(1/(1+E$18)^4)+(((('P&amp;L Schedule'!Q14)*(1-(IFERROR(Schedules!Q107/Schedules!Q106,0))))+((-'P&amp;L Schedule'!Q13))+((-Schedules!Q53))+((Schedules!Q45*($B20)))))*(1/(1+E$18)^5)+(((('P&amp;L Schedule'!R14)*(1-(IFERROR(Schedules!R107/Schedules!R106,0))))+((-'P&amp;L Schedule'!R13))+((-Schedules!R53))+((Schedules!R45*($B20)))))*(1/(1+E$18)^6)+(((('P&amp;L Schedule'!S14)*(1-(IFERROR(Schedules!S107/Schedules!S106,0))))+((-'P&amp;L Schedule'!S13))+((-Schedules!S53))+((Schedules!S45*($B20)))))*(1/(1+E$18)^7)+(((('P&amp;L Schedule'!T14)*(1-(IFERROR(Schedules!T107/Schedules!T106,0))))+((-'P&amp;L Schedule'!T13))+((-Schedules!T53))+((Schedules!T45*($B20)))))*(1/(1+E$18)^8)+(((('P&amp;L Schedule'!U14)*(1-(IFERROR(Schedules!U107/Schedules!U106,0))))+((-'P&amp;L Schedule'!U13))+((-Schedules!U53))+((Schedules!U45*($B20)))))*(1/(1+E$18)^9)+(((('P&amp;L Schedule'!V14)*(1-(IFERROR(Schedules!V107/Schedules!V106,0))))+((-'P&amp;L Schedule'!V13))+((-Schedules!V53))+((Schedules!V45*($B20)))))*(1/(1+E$18)^10))+((((('P&amp;L Schedule'!V14)*(1+((IF('Inputs &amp; Assumptions'!$C$13="",'Inputs &amp; Assumptions'!$C$12,'Inputs &amp; Assumptions'!$C$13))))*(1-('Inputs &amp; Assumptions'!$C$73)))*(1-((((IF('Inputs &amp; Assumptions'!$C$13="",'Inputs &amp; Assumptions'!$C$12,'Inputs &amp; Assumptions'!$C$13)))/(E$18))))/((E$18)-((IF('Inputs &amp; Assumptions'!$C$13="",'Inputs &amp; Assumptions'!$C$12,'Inputs &amp; Assumptions'!$C$13))))))*(1/(1+E$18)^10))))-(Schedules!$L$93)+(IFERROR(INDEX(HS_CONSOLIDATED!M:M,MATCH("CashAndCashEquivalents",HS_CONSOLIDATED!$C:$C,0)),0)))/'WACC Schedule'!$C7</f>
        <v>57.864784552071669</v>
      </c>
      <c r="F20" s="163">
        <f>(((((((('P&amp;L Schedule'!M14)*(1-(IFERROR(Schedules!M107/Schedules!M106,0))))+((-'P&amp;L Schedule'!M13))+((-Schedules!M53))+((Schedules!M45*($B20)))))*(1/(1+F$18)^1)+(((('P&amp;L Schedule'!N14)*(1-(IFERROR(Schedules!N107/Schedules!N106,0))))+((-'P&amp;L Schedule'!N13))+((-Schedules!N53))+((Schedules!N45*($B20)))))*(1/(1+F$18)^2)+(((('P&amp;L Schedule'!O14)*(1-(IFERROR(Schedules!O107/Schedules!O106,0))))+((-'P&amp;L Schedule'!O13))+((-Schedules!O53))+((Schedules!O45*($B20)))))*(1/(1+F$18)^3)+(((('P&amp;L Schedule'!P14)*(1-(IFERROR(Schedules!P107/Schedules!P106,0))))+((-'P&amp;L Schedule'!P13))+((-Schedules!P53))+((Schedules!P45*($B20)))))*(1/(1+F$18)^4)+(((('P&amp;L Schedule'!Q14)*(1-(IFERROR(Schedules!Q107/Schedules!Q106,0))))+((-'P&amp;L Schedule'!Q13))+((-Schedules!Q53))+((Schedules!Q45*($B20)))))*(1/(1+F$18)^5)+(((('P&amp;L Schedule'!R14)*(1-(IFERROR(Schedules!R107/Schedules!R106,0))))+((-'P&amp;L Schedule'!R13))+((-Schedules!R53))+((Schedules!R45*($B20)))))*(1/(1+F$18)^6)+(((('P&amp;L Schedule'!S14)*(1-(IFERROR(Schedules!S107/Schedules!S106,0))))+((-'P&amp;L Schedule'!S13))+((-Schedules!S53))+((Schedules!S45*($B20)))))*(1/(1+F$18)^7)+(((('P&amp;L Schedule'!T14)*(1-(IFERROR(Schedules!T107/Schedules!T106,0))))+((-'P&amp;L Schedule'!T13))+((-Schedules!T53))+((Schedules!T45*($B20)))))*(1/(1+F$18)^8)+(((('P&amp;L Schedule'!U14)*(1-(IFERROR(Schedules!U107/Schedules!U106,0))))+((-'P&amp;L Schedule'!U13))+((-Schedules!U53))+((Schedules!U45*($B20)))))*(1/(1+F$18)^9)+(((('P&amp;L Schedule'!V14)*(1-(IFERROR(Schedules!V107/Schedules!V106,0))))+((-'P&amp;L Schedule'!V13))+((-Schedules!V53))+((Schedules!V45*($B20)))))*(1/(1+F$18)^10))+((((('P&amp;L Schedule'!V14)*(1+((IF('Inputs &amp; Assumptions'!$C$13="",'Inputs &amp; Assumptions'!$C$12,'Inputs &amp; Assumptions'!$C$13))))*(1-('Inputs &amp; Assumptions'!$C$73)))*(1-((((IF('Inputs &amp; Assumptions'!$C$13="",'Inputs &amp; Assumptions'!$C$12,'Inputs &amp; Assumptions'!$C$13)))/(F$18))))/((F$18)-((IF('Inputs &amp; Assumptions'!$C$13="",'Inputs &amp; Assumptions'!$C$12,'Inputs &amp; Assumptions'!$C$13))))))*(1/(1+F$18)^10))))-(Schedules!$L$93)+(IFERROR(INDEX(HS_CONSOLIDATED!M:M,MATCH("CashAndCashEquivalents",HS_CONSOLIDATED!$C:$C,0)),0)))/'WACC Schedule'!$C7</f>
        <v>48.512288697273412</v>
      </c>
      <c r="G20" s="163">
        <f>(((((((('P&amp;L Schedule'!M14)*(1-(IFERROR(Schedules!M107/Schedules!M106,0))))+((-'P&amp;L Schedule'!M13))+((-Schedules!M53))+((Schedules!M45*($B20)))))*(1/(1+G$18)^1)+(((('P&amp;L Schedule'!N14)*(1-(IFERROR(Schedules!N107/Schedules!N106,0))))+((-'P&amp;L Schedule'!N13))+((-Schedules!N53))+((Schedules!N45*($B20)))))*(1/(1+G$18)^2)+(((('P&amp;L Schedule'!O14)*(1-(IFERROR(Schedules!O107/Schedules!O106,0))))+((-'P&amp;L Schedule'!O13))+((-Schedules!O53))+((Schedules!O45*($B20)))))*(1/(1+G$18)^3)+(((('P&amp;L Schedule'!P14)*(1-(IFERROR(Schedules!P107/Schedules!P106,0))))+((-'P&amp;L Schedule'!P13))+((-Schedules!P53))+((Schedules!P45*($B20)))))*(1/(1+G$18)^4)+(((('P&amp;L Schedule'!Q14)*(1-(IFERROR(Schedules!Q107/Schedules!Q106,0))))+((-'P&amp;L Schedule'!Q13))+((-Schedules!Q53))+((Schedules!Q45*($B20)))))*(1/(1+G$18)^5)+(((('P&amp;L Schedule'!R14)*(1-(IFERROR(Schedules!R107/Schedules!R106,0))))+((-'P&amp;L Schedule'!R13))+((-Schedules!R53))+((Schedules!R45*($B20)))))*(1/(1+G$18)^6)+(((('P&amp;L Schedule'!S14)*(1-(IFERROR(Schedules!S107/Schedules!S106,0))))+((-'P&amp;L Schedule'!S13))+((-Schedules!S53))+((Schedules!S45*($B20)))))*(1/(1+G$18)^7)+(((('P&amp;L Schedule'!T14)*(1-(IFERROR(Schedules!T107/Schedules!T106,0))))+((-'P&amp;L Schedule'!T13))+((-Schedules!T53))+((Schedules!T45*($B20)))))*(1/(1+G$18)^8)+(((('P&amp;L Schedule'!U14)*(1-(IFERROR(Schedules!U107/Schedules!U106,0))))+((-'P&amp;L Schedule'!U13))+((-Schedules!U53))+((Schedules!U45*($B20)))))*(1/(1+G$18)^9)+(((('P&amp;L Schedule'!V14)*(1-(IFERROR(Schedules!V107/Schedules!V106,0))))+((-'P&amp;L Schedule'!V13))+((-Schedules!V53))+((Schedules!V45*($B20)))))*(1/(1+G$18)^10))+((((('P&amp;L Schedule'!V14)*(1+((IF('Inputs &amp; Assumptions'!$C$13="",'Inputs &amp; Assumptions'!$C$12,'Inputs &amp; Assumptions'!$C$13))))*(1-('Inputs &amp; Assumptions'!$C$73)))*(1-((((IF('Inputs &amp; Assumptions'!$C$13="",'Inputs &amp; Assumptions'!$C$12,'Inputs &amp; Assumptions'!$C$13)))/(G$18))))/((G$18)-((IF('Inputs &amp; Assumptions'!$C$13="",'Inputs &amp; Assumptions'!$C$12,'Inputs &amp; Assumptions'!$C$13))))))*(1/(1+G$18)^10))))-(Schedules!$L$93)+(IFERROR(INDEX(HS_CONSOLIDATED!M:M,MATCH("CashAndCashEquivalents",HS_CONSOLIDATED!$C:$C,0)),0)))/'WACC Schedule'!$C7</f>
        <v>41.263340874695594</v>
      </c>
    </row>
    <row r="21" spans="1:7">
      <c r="B21" s="148">
        <v>1</v>
      </c>
      <c r="C21" s="163">
        <f>(((((((('P&amp;L Schedule'!M14)*(1-(IFERROR(Schedules!M107/Schedules!M106,0))))+((-'P&amp;L Schedule'!M13))+((-Schedules!M53))+((Schedules!M45*($B21)))))*(1/(1+C$18)^1)+(((('P&amp;L Schedule'!N14)*(1-(IFERROR(Schedules!N107/Schedules!N106,0))))+((-'P&amp;L Schedule'!N13))+((-Schedules!N53))+((Schedules!N45*($B21)))))*(1/(1+C$18)^2)+(((('P&amp;L Schedule'!O14)*(1-(IFERROR(Schedules!O107/Schedules!O106,0))))+((-'P&amp;L Schedule'!O13))+((-Schedules!O53))+((Schedules!O45*($B21)))))*(1/(1+C$18)^3)+(((('P&amp;L Schedule'!P14)*(1-(IFERROR(Schedules!P107/Schedules!P106,0))))+((-'P&amp;L Schedule'!P13))+((-Schedules!P53))+((Schedules!P45*($B21)))))*(1/(1+C$18)^4)+(((('P&amp;L Schedule'!Q14)*(1-(IFERROR(Schedules!Q107/Schedules!Q106,0))))+((-'P&amp;L Schedule'!Q13))+((-Schedules!Q53))+((Schedules!Q45*($B21)))))*(1/(1+C$18)^5)+(((('P&amp;L Schedule'!R14)*(1-(IFERROR(Schedules!R107/Schedules!R106,0))))+((-'P&amp;L Schedule'!R13))+((-Schedules!R53))+((Schedules!R45*($B21)))))*(1/(1+C$18)^6)+(((('P&amp;L Schedule'!S14)*(1-(IFERROR(Schedules!S107/Schedules!S106,0))))+((-'P&amp;L Schedule'!S13))+((-Schedules!S53))+((Schedules!S45*($B21)))))*(1/(1+C$18)^7)+(((('P&amp;L Schedule'!T14)*(1-(IFERROR(Schedules!T107/Schedules!T106,0))))+((-'P&amp;L Schedule'!T13))+((-Schedules!T53))+((Schedules!T45*($B21)))))*(1/(1+C$18)^8)+(((('P&amp;L Schedule'!U14)*(1-(IFERROR(Schedules!U107/Schedules!U106,0))))+((-'P&amp;L Schedule'!U13))+((-Schedules!U53))+((Schedules!U45*($B21)))))*(1/(1+C$18)^9)+(((('P&amp;L Schedule'!V14)*(1-(IFERROR(Schedules!V107/Schedules!V106,0))))+((-'P&amp;L Schedule'!V13))+((-Schedules!V53))+((Schedules!V45*($B21)))))*(1/(1+C$18)^10))+((((('P&amp;L Schedule'!V14)*(1+((IF('Inputs &amp; Assumptions'!$C$13="",'Inputs &amp; Assumptions'!$C$12,'Inputs &amp; Assumptions'!$C$13))))*(1-('Inputs &amp; Assumptions'!$C$73)))*(1-((((IF('Inputs &amp; Assumptions'!$C$13="",'Inputs &amp; Assumptions'!$C$12,'Inputs &amp; Assumptions'!$C$13)))/(C$18))))/((C$18)-((IF('Inputs &amp; Assumptions'!$C$13="",'Inputs &amp; Assumptions'!$C$12,'Inputs &amp; Assumptions'!$C$13))))))*(1/(1+C$18)^10))))-(Schedules!$L$93)+(IFERROR(INDEX(HS_CONSOLIDATED!M:M,MATCH("CashAndCashEquivalents",HS_CONSOLIDATED!$C:$C,0)),0)))/'WACC Schedule'!$C7</f>
        <v>85.289902689923508</v>
      </c>
      <c r="D21" s="163">
        <f>(((((((('P&amp;L Schedule'!M14)*(1-(IFERROR(Schedules!M107/Schedules!M106,0))))+((-'P&amp;L Schedule'!M13))+((-Schedules!M53))+((Schedules!M45*($B21)))))*(1/(1+D$18)^1)+(((('P&amp;L Schedule'!N14)*(1-(IFERROR(Schedules!N107/Schedules!N106,0))))+((-'P&amp;L Schedule'!N13))+((-Schedules!N53))+((Schedules!N45*($B21)))))*(1/(1+D$18)^2)+(((('P&amp;L Schedule'!O14)*(1-(IFERROR(Schedules!O107/Schedules!O106,0))))+((-'P&amp;L Schedule'!O13))+((-Schedules!O53))+((Schedules!O45*($B21)))))*(1/(1+D$18)^3)+(((('P&amp;L Schedule'!P14)*(1-(IFERROR(Schedules!P107/Schedules!P106,0))))+((-'P&amp;L Schedule'!P13))+((-Schedules!P53))+((Schedules!P45*($B21)))))*(1/(1+D$18)^4)+(((('P&amp;L Schedule'!Q14)*(1-(IFERROR(Schedules!Q107/Schedules!Q106,0))))+((-'P&amp;L Schedule'!Q13))+((-Schedules!Q53))+((Schedules!Q45*($B21)))))*(1/(1+D$18)^5)+(((('P&amp;L Schedule'!R14)*(1-(IFERROR(Schedules!R107/Schedules!R106,0))))+((-'P&amp;L Schedule'!R13))+((-Schedules!R53))+((Schedules!R45*($B21)))))*(1/(1+D$18)^6)+(((('P&amp;L Schedule'!S14)*(1-(IFERROR(Schedules!S107/Schedules!S106,0))))+((-'P&amp;L Schedule'!S13))+((-Schedules!S53))+((Schedules!S45*($B21)))))*(1/(1+D$18)^7)+(((('P&amp;L Schedule'!T14)*(1-(IFERROR(Schedules!T107/Schedules!T106,0))))+((-'P&amp;L Schedule'!T13))+((-Schedules!T53))+((Schedules!T45*($B21)))))*(1/(1+D$18)^8)+(((('P&amp;L Schedule'!U14)*(1-(IFERROR(Schedules!U107/Schedules!U106,0))))+((-'P&amp;L Schedule'!U13))+((-Schedules!U53))+((Schedules!U45*($B21)))))*(1/(1+D$18)^9)+(((('P&amp;L Schedule'!V14)*(1-(IFERROR(Schedules!V107/Schedules!V106,0))))+((-'P&amp;L Schedule'!V13))+((-Schedules!V53))+((Schedules!V45*($B21)))))*(1/(1+D$18)^10))+((((('P&amp;L Schedule'!V14)*(1+((IF('Inputs &amp; Assumptions'!$C$13="",'Inputs &amp; Assumptions'!$C$12,'Inputs &amp; Assumptions'!$C$13))))*(1-('Inputs &amp; Assumptions'!$C$73)))*(1-((((IF('Inputs &amp; Assumptions'!$C$13="",'Inputs &amp; Assumptions'!$C$12,'Inputs &amp; Assumptions'!$C$13)))/(D$18))))/((D$18)-((IF('Inputs &amp; Assumptions'!$C$13="",'Inputs &amp; Assumptions'!$C$12,'Inputs &amp; Assumptions'!$C$13))))))*(1/(1+D$18)^10))))-(Schedules!$L$93)+(IFERROR(INDEX(HS_CONSOLIDATED!M:M,MATCH("CashAndCashEquivalents",HS_CONSOLIDATED!$C:$C,0)),0)))/'WACC Schedule'!$C7</f>
        <v>68.34938150696459</v>
      </c>
      <c r="E21" s="163">
        <f>(((((((('P&amp;L Schedule'!M14)*(1-(IFERROR(Schedules!M107/Schedules!M106,0))))+((-'P&amp;L Schedule'!M13))+((-Schedules!M53))+((Schedules!M45*($B21)))))*(1/(1+E$18)^1)+(((('P&amp;L Schedule'!N14)*(1-(IFERROR(Schedules!N107/Schedules!N106,0))))+((-'P&amp;L Schedule'!N13))+((-Schedules!N53))+((Schedules!N45*($B21)))))*(1/(1+E$18)^2)+(((('P&amp;L Schedule'!O14)*(1-(IFERROR(Schedules!O107/Schedules!O106,0))))+((-'P&amp;L Schedule'!O13))+((-Schedules!O53))+((Schedules!O45*($B21)))))*(1/(1+E$18)^3)+(((('P&amp;L Schedule'!P14)*(1-(IFERROR(Schedules!P107/Schedules!P106,0))))+((-'P&amp;L Schedule'!P13))+((-Schedules!P53))+((Schedules!P45*($B21)))))*(1/(1+E$18)^4)+(((('P&amp;L Schedule'!Q14)*(1-(IFERROR(Schedules!Q107/Schedules!Q106,0))))+((-'P&amp;L Schedule'!Q13))+((-Schedules!Q53))+((Schedules!Q45*($B21)))))*(1/(1+E$18)^5)+(((('P&amp;L Schedule'!R14)*(1-(IFERROR(Schedules!R107/Schedules!R106,0))))+((-'P&amp;L Schedule'!R13))+((-Schedules!R53))+((Schedules!R45*($B21)))))*(1/(1+E$18)^6)+(((('P&amp;L Schedule'!S14)*(1-(IFERROR(Schedules!S107/Schedules!S106,0))))+((-'P&amp;L Schedule'!S13))+((-Schedules!S53))+((Schedules!S45*($B21)))))*(1/(1+E$18)^7)+(((('P&amp;L Schedule'!T14)*(1-(IFERROR(Schedules!T107/Schedules!T106,0))))+((-'P&amp;L Schedule'!T13))+((-Schedules!T53))+((Schedules!T45*($B21)))))*(1/(1+E$18)^8)+(((('P&amp;L Schedule'!U14)*(1-(IFERROR(Schedules!U107/Schedules!U106,0))))+((-'P&amp;L Schedule'!U13))+((-Schedules!U53))+((Schedules!U45*($B21)))))*(1/(1+E$18)^9)+(((('P&amp;L Schedule'!V14)*(1-(IFERROR(Schedules!V107/Schedules!V106,0))))+((-'P&amp;L Schedule'!V13))+((-Schedules!V53))+((Schedules!V45*($B21)))))*(1/(1+E$18)^10))+((((('P&amp;L Schedule'!V14)*(1+((IF('Inputs &amp; Assumptions'!$C$13="",'Inputs &amp; Assumptions'!$C$12,'Inputs &amp; Assumptions'!$C$13))))*(1-('Inputs &amp; Assumptions'!$C$73)))*(1-((((IF('Inputs &amp; Assumptions'!$C$13="",'Inputs &amp; Assumptions'!$C$12,'Inputs &amp; Assumptions'!$C$13)))/(E$18))))/((E$18)-((IF('Inputs &amp; Assumptions'!$C$13="",'Inputs &amp; Assumptions'!$C$12,'Inputs &amp; Assumptions'!$C$13))))))*(1/(1+E$18)^10))))-(Schedules!$L$93)+(IFERROR(INDEX(HS_CONSOLIDATED!M:M,MATCH("CashAndCashEquivalents",HS_CONSOLIDATED!$C:$C,0)),0)))/'WACC Schedule'!$C7</f>
        <v>56.048728192752996</v>
      </c>
      <c r="F21" s="163">
        <f>(((((((('P&amp;L Schedule'!M14)*(1-(IFERROR(Schedules!M107/Schedules!M106,0))))+((-'P&amp;L Schedule'!M13))+((-Schedules!M53))+((Schedules!M45*($B21)))))*(1/(1+F$18)^1)+(((('P&amp;L Schedule'!N14)*(1-(IFERROR(Schedules!N107/Schedules!N106,0))))+((-'P&amp;L Schedule'!N13))+((-Schedules!N53))+((Schedules!N45*($B21)))))*(1/(1+F$18)^2)+(((('P&amp;L Schedule'!O14)*(1-(IFERROR(Schedules!O107/Schedules!O106,0))))+((-'P&amp;L Schedule'!O13))+((-Schedules!O53))+((Schedules!O45*($B21)))))*(1/(1+F$18)^3)+(((('P&amp;L Schedule'!P14)*(1-(IFERROR(Schedules!P107/Schedules!P106,0))))+((-'P&amp;L Schedule'!P13))+((-Schedules!P53))+((Schedules!P45*($B21)))))*(1/(1+F$18)^4)+(((('P&amp;L Schedule'!Q14)*(1-(IFERROR(Schedules!Q107/Schedules!Q106,0))))+((-'P&amp;L Schedule'!Q13))+((-Schedules!Q53))+((Schedules!Q45*($B21)))))*(1/(1+F$18)^5)+(((('P&amp;L Schedule'!R14)*(1-(IFERROR(Schedules!R107/Schedules!R106,0))))+((-'P&amp;L Schedule'!R13))+((-Schedules!R53))+((Schedules!R45*($B21)))))*(1/(1+F$18)^6)+(((('P&amp;L Schedule'!S14)*(1-(IFERROR(Schedules!S107/Schedules!S106,0))))+((-'P&amp;L Schedule'!S13))+((-Schedules!S53))+((Schedules!S45*($B21)))))*(1/(1+F$18)^7)+(((('P&amp;L Schedule'!T14)*(1-(IFERROR(Schedules!T107/Schedules!T106,0))))+((-'P&amp;L Schedule'!T13))+((-Schedules!T53))+((Schedules!T45*($B21)))))*(1/(1+F$18)^8)+(((('P&amp;L Schedule'!U14)*(1-(IFERROR(Schedules!U107/Schedules!U106,0))))+((-'P&amp;L Schedule'!U13))+((-Schedules!U53))+((Schedules!U45*($B21)))))*(1/(1+F$18)^9)+(((('P&amp;L Schedule'!V14)*(1-(IFERROR(Schedules!V107/Schedules!V106,0))))+((-'P&amp;L Schedule'!V13))+((-Schedules!V53))+((Schedules!V45*($B21)))))*(1/(1+F$18)^10))+((((('P&amp;L Schedule'!V14)*(1+((IF('Inputs &amp; Assumptions'!$C$13="",'Inputs &amp; Assumptions'!$C$12,'Inputs &amp; Assumptions'!$C$13))))*(1-('Inputs &amp; Assumptions'!$C$73)))*(1-((((IF('Inputs &amp; Assumptions'!$C$13="",'Inputs &amp; Assumptions'!$C$12,'Inputs &amp; Assumptions'!$C$13)))/(F$18))))/((F$18)-((IF('Inputs &amp; Assumptions'!$C$13="",'Inputs &amp; Assumptions'!$C$12,'Inputs &amp; Assumptions'!$C$13))))))*(1/(1+F$18)^10))))-(Schedules!$L$93)+(IFERROR(INDEX(HS_CONSOLIDATED!M:M,MATCH("CashAndCashEquivalents",HS_CONSOLIDATED!$C:$C,0)),0)))/'WACC Schedule'!$C7</f>
        <v>46.792079370129287</v>
      </c>
      <c r="G21" s="163">
        <f>(((((((('P&amp;L Schedule'!M14)*(1-(IFERROR(Schedules!M107/Schedules!M106,0))))+((-'P&amp;L Schedule'!M13))+((-Schedules!M53))+((Schedules!M45*($B21)))))*(1/(1+G$18)^1)+(((('P&amp;L Schedule'!N14)*(1-(IFERROR(Schedules!N107/Schedules!N106,0))))+((-'P&amp;L Schedule'!N13))+((-Schedules!N53))+((Schedules!N45*($B21)))))*(1/(1+G$18)^2)+(((('P&amp;L Schedule'!O14)*(1-(IFERROR(Schedules!O107/Schedules!O106,0))))+((-'P&amp;L Schedule'!O13))+((-Schedules!O53))+((Schedules!O45*($B21)))))*(1/(1+G$18)^3)+(((('P&amp;L Schedule'!P14)*(1-(IFERROR(Schedules!P107/Schedules!P106,0))))+((-'P&amp;L Schedule'!P13))+((-Schedules!P53))+((Schedules!P45*($B21)))))*(1/(1+G$18)^4)+(((('P&amp;L Schedule'!Q14)*(1-(IFERROR(Schedules!Q107/Schedules!Q106,0))))+((-'P&amp;L Schedule'!Q13))+((-Schedules!Q53))+((Schedules!Q45*($B21)))))*(1/(1+G$18)^5)+(((('P&amp;L Schedule'!R14)*(1-(IFERROR(Schedules!R107/Schedules!R106,0))))+((-'P&amp;L Schedule'!R13))+((-Schedules!R53))+((Schedules!R45*($B21)))))*(1/(1+G$18)^6)+(((('P&amp;L Schedule'!S14)*(1-(IFERROR(Schedules!S107/Schedules!S106,0))))+((-'P&amp;L Schedule'!S13))+((-Schedules!S53))+((Schedules!S45*($B21)))))*(1/(1+G$18)^7)+(((('P&amp;L Schedule'!T14)*(1-(IFERROR(Schedules!T107/Schedules!T106,0))))+((-'P&amp;L Schedule'!T13))+((-Schedules!T53))+((Schedules!T45*($B21)))))*(1/(1+G$18)^8)+(((('P&amp;L Schedule'!U14)*(1-(IFERROR(Schedules!U107/Schedules!U106,0))))+((-'P&amp;L Schedule'!U13))+((-Schedules!U53))+((Schedules!U45*($B21)))))*(1/(1+G$18)^9)+(((('P&amp;L Schedule'!V14)*(1-(IFERROR(Schedules!V107/Schedules!V106,0))))+((-'P&amp;L Schedule'!V13))+((-Schedules!V53))+((Schedules!V45*($B21)))))*(1/(1+G$18)^10))+((((('P&amp;L Schedule'!V14)*(1+((IF('Inputs &amp; Assumptions'!$C$13="",'Inputs &amp; Assumptions'!$C$12,'Inputs &amp; Assumptions'!$C$13))))*(1-('Inputs &amp; Assumptions'!$C$73)))*(1-((((IF('Inputs &amp; Assumptions'!$C$13="",'Inputs &amp; Assumptions'!$C$12,'Inputs &amp; Assumptions'!$C$13)))/(G$18))))/((G$18)-((IF('Inputs &amp; Assumptions'!$C$13="",'Inputs &amp; Assumptions'!$C$12,'Inputs &amp; Assumptions'!$C$13))))))*(1/(1+G$18)^10))))-(Schedules!$L$93)+(IFERROR(INDEX(HS_CONSOLIDATED!M:M,MATCH("CashAndCashEquivalents",HS_CONSOLIDATED!$C:$C,0)),0)))/'WACC Schedule'!$C7</f>
        <v>39.632066035935715</v>
      </c>
    </row>
    <row r="22" spans="1:7">
      <c r="B22" s="148">
        <v>1.1499999999999999</v>
      </c>
      <c r="C22" s="163">
        <f>(((((((('P&amp;L Schedule'!M14)*(1-(IFERROR(Schedules!M107/Schedules!M106,0))))+((-'P&amp;L Schedule'!M13))+((-Schedules!M53))+((Schedules!M45*($B22)))))*(1/(1+C$18)^1)+(((('P&amp;L Schedule'!N14)*(1-(IFERROR(Schedules!N107/Schedules!N106,0))))+((-'P&amp;L Schedule'!N13))+((-Schedules!N53))+((Schedules!N45*($B22)))))*(1/(1+C$18)^2)+(((('P&amp;L Schedule'!O14)*(1-(IFERROR(Schedules!O107/Schedules!O106,0))))+((-'P&amp;L Schedule'!O13))+((-Schedules!O53))+((Schedules!O45*($B22)))))*(1/(1+C$18)^3)+(((('P&amp;L Schedule'!P14)*(1-(IFERROR(Schedules!P107/Schedules!P106,0))))+((-'P&amp;L Schedule'!P13))+((-Schedules!P53))+((Schedules!P45*($B22)))))*(1/(1+C$18)^4)+(((('P&amp;L Schedule'!Q14)*(1-(IFERROR(Schedules!Q107/Schedules!Q106,0))))+((-'P&amp;L Schedule'!Q13))+((-Schedules!Q53))+((Schedules!Q45*($B22)))))*(1/(1+C$18)^5)+(((('P&amp;L Schedule'!R14)*(1-(IFERROR(Schedules!R107/Schedules!R106,0))))+((-'P&amp;L Schedule'!R13))+((-Schedules!R53))+((Schedules!R45*($B22)))))*(1/(1+C$18)^6)+(((('P&amp;L Schedule'!S14)*(1-(IFERROR(Schedules!S107/Schedules!S106,0))))+((-'P&amp;L Schedule'!S13))+((-Schedules!S53))+((Schedules!S45*($B22)))))*(1/(1+C$18)^7)+(((('P&amp;L Schedule'!T14)*(1-(IFERROR(Schedules!T107/Schedules!T106,0))))+((-'P&amp;L Schedule'!T13))+((-Schedules!T53))+((Schedules!T45*($B22)))))*(1/(1+C$18)^8)+(((('P&amp;L Schedule'!U14)*(1-(IFERROR(Schedules!U107/Schedules!U106,0))))+((-'P&amp;L Schedule'!U13))+((-Schedules!U53))+((Schedules!U45*($B22)))))*(1/(1+C$18)^9)+(((('P&amp;L Schedule'!V14)*(1-(IFERROR(Schedules!V107/Schedules!V106,0))))+((-'P&amp;L Schedule'!V13))+((-Schedules!V53))+((Schedules!V45*($B22)))))*(1/(1+C$18)^10))+((((('P&amp;L Schedule'!V14)*(1+((IF('Inputs &amp; Assumptions'!$C$13="",'Inputs &amp; Assumptions'!$C$12,'Inputs &amp; Assumptions'!$C$13))))*(1-('Inputs &amp; Assumptions'!$C$73)))*(1-((((IF('Inputs &amp; Assumptions'!$C$13="",'Inputs &amp; Assumptions'!$C$12,'Inputs &amp; Assumptions'!$C$13)))/(C$18))))/((C$18)-((IF('Inputs &amp; Assumptions'!$C$13="",'Inputs &amp; Assumptions'!$C$12,'Inputs &amp; Assumptions'!$C$13))))))*(1/(1+C$18)^10))))-(Schedules!$L$93)+(IFERROR(INDEX(HS_CONSOLIDATED!M:M,MATCH("CashAndCashEquivalents",HS_CONSOLIDATED!$C:$C,0)),0)))/'WACC Schedule'!$C7</f>
        <v>83.258713243012465</v>
      </c>
      <c r="D22" s="163">
        <f>(((((((('P&amp;L Schedule'!M14)*(1-(IFERROR(Schedules!M107/Schedules!M106,0))))+((-'P&amp;L Schedule'!M13))+((-Schedules!M53))+((Schedules!M45*($B22)))))*(1/(1+D$18)^1)+(((('P&amp;L Schedule'!N14)*(1-(IFERROR(Schedules!N107/Schedules!N106,0))))+((-'P&amp;L Schedule'!N13))+((-Schedules!N53))+((Schedules!N45*($B22)))))*(1/(1+D$18)^2)+(((('P&amp;L Schedule'!O14)*(1-(IFERROR(Schedules!O107/Schedules!O106,0))))+((-'P&amp;L Schedule'!O13))+((-Schedules!O53))+((Schedules!O45*($B22)))))*(1/(1+D$18)^3)+(((('P&amp;L Schedule'!P14)*(1-(IFERROR(Schedules!P107/Schedules!P106,0))))+((-'P&amp;L Schedule'!P13))+((-Schedules!P53))+((Schedules!P45*($B22)))))*(1/(1+D$18)^4)+(((('P&amp;L Schedule'!Q14)*(1-(IFERROR(Schedules!Q107/Schedules!Q106,0))))+((-'P&amp;L Schedule'!Q13))+((-Schedules!Q53))+((Schedules!Q45*($B22)))))*(1/(1+D$18)^5)+(((('P&amp;L Schedule'!R14)*(1-(IFERROR(Schedules!R107/Schedules!R106,0))))+((-'P&amp;L Schedule'!R13))+((-Schedules!R53))+((Schedules!R45*($B22)))))*(1/(1+D$18)^6)+(((('P&amp;L Schedule'!S14)*(1-(IFERROR(Schedules!S107/Schedules!S106,0))))+((-'P&amp;L Schedule'!S13))+((-Schedules!S53))+((Schedules!S45*($B22)))))*(1/(1+D$18)^7)+(((('P&amp;L Schedule'!T14)*(1-(IFERROR(Schedules!T107/Schedules!T106,0))))+((-'P&amp;L Schedule'!T13))+((-Schedules!T53))+((Schedules!T45*($B22)))))*(1/(1+D$18)^8)+(((('P&amp;L Schedule'!U14)*(1-(IFERROR(Schedules!U107/Schedules!U106,0))))+((-'P&amp;L Schedule'!U13))+((-Schedules!U53))+((Schedules!U45*($B22)))))*(1/(1+D$18)^9)+(((('P&amp;L Schedule'!V14)*(1-(IFERROR(Schedules!V107/Schedules!V106,0))))+((-'P&amp;L Schedule'!V13))+((-Schedules!V53))+((Schedules!V45*($B22)))))*(1/(1+D$18)^10))+((((('P&amp;L Schedule'!V14)*(1+((IF('Inputs &amp; Assumptions'!$C$13="",'Inputs &amp; Assumptions'!$C$12,'Inputs &amp; Assumptions'!$C$13))))*(1-('Inputs &amp; Assumptions'!$C$73)))*(1-((((IF('Inputs &amp; Assumptions'!$C$13="",'Inputs &amp; Assumptions'!$C$12,'Inputs &amp; Assumptions'!$C$13)))/(D$18))))/((D$18)-((IF('Inputs &amp; Assumptions'!$C$13="",'Inputs &amp; Assumptions'!$C$12,'Inputs &amp; Assumptions'!$C$13))))))*(1/(1+D$18)^10))))-(Schedules!$L$93)+(IFERROR(INDEX(HS_CONSOLIDATED!M:M,MATCH("CashAndCashEquivalents",HS_CONSOLIDATED!$C:$C,0)),0)))/'WACC Schedule'!$C7</f>
        <v>66.429908320452512</v>
      </c>
      <c r="E22" s="163">
        <f>(((((((('P&amp;L Schedule'!M14)*(1-(IFERROR(Schedules!M107/Schedules!M106,0))))+((-'P&amp;L Schedule'!M13))+((-Schedules!M53))+((Schedules!M45*($B22)))))*(1/(1+E$18)^1)+(((('P&amp;L Schedule'!N14)*(1-(IFERROR(Schedules!N107/Schedules!N106,0))))+((-'P&amp;L Schedule'!N13))+((-Schedules!N53))+((Schedules!N45*($B22)))))*(1/(1+E$18)^2)+(((('P&amp;L Schedule'!O14)*(1-(IFERROR(Schedules!O107/Schedules!O106,0))))+((-'P&amp;L Schedule'!O13))+((-Schedules!O53))+((Schedules!O45*($B22)))))*(1/(1+E$18)^3)+(((('P&amp;L Schedule'!P14)*(1-(IFERROR(Schedules!P107/Schedules!P106,0))))+((-'P&amp;L Schedule'!P13))+((-Schedules!P53))+((Schedules!P45*($B22)))))*(1/(1+E$18)^4)+(((('P&amp;L Schedule'!Q14)*(1-(IFERROR(Schedules!Q107/Schedules!Q106,0))))+((-'P&amp;L Schedule'!Q13))+((-Schedules!Q53))+((Schedules!Q45*($B22)))))*(1/(1+E$18)^5)+(((('P&amp;L Schedule'!R14)*(1-(IFERROR(Schedules!R107/Schedules!R106,0))))+((-'P&amp;L Schedule'!R13))+((-Schedules!R53))+((Schedules!R45*($B22)))))*(1/(1+E$18)^6)+(((('P&amp;L Schedule'!S14)*(1-(IFERROR(Schedules!S107/Schedules!S106,0))))+((-'P&amp;L Schedule'!S13))+((-Schedules!S53))+((Schedules!S45*($B22)))))*(1/(1+E$18)^7)+(((('P&amp;L Schedule'!T14)*(1-(IFERROR(Schedules!T107/Schedules!T106,0))))+((-'P&amp;L Schedule'!T13))+((-Schedules!T53))+((Schedules!T45*($B22)))))*(1/(1+E$18)^8)+(((('P&amp;L Schedule'!U14)*(1-(IFERROR(Schedules!U107/Schedules!U106,0))))+((-'P&amp;L Schedule'!U13))+((-Schedules!U53))+((Schedules!U45*($B22)))))*(1/(1+E$18)^9)+(((('P&amp;L Schedule'!V14)*(1-(IFERROR(Schedules!V107/Schedules!V106,0))))+((-'P&amp;L Schedule'!V13))+((-Schedules!V53))+((Schedules!V45*($B22)))))*(1/(1+E$18)^10))+((((('P&amp;L Schedule'!V14)*(1+((IF('Inputs &amp; Assumptions'!$C$13="",'Inputs &amp; Assumptions'!$C$12,'Inputs &amp; Assumptions'!$C$13))))*(1-('Inputs &amp; Assumptions'!$C$73)))*(1-((((IF('Inputs &amp; Assumptions'!$C$13="",'Inputs &amp; Assumptions'!$C$12,'Inputs &amp; Assumptions'!$C$13)))/(E$18))))/((E$18)-((IF('Inputs &amp; Assumptions'!$C$13="",'Inputs &amp; Assumptions'!$C$12,'Inputs &amp; Assumptions'!$C$13))))))*(1/(1+E$18)^10))))-(Schedules!$L$93)+(IFERROR(INDEX(HS_CONSOLIDATED!M:M,MATCH("CashAndCashEquivalents",HS_CONSOLIDATED!$C:$C,0)),0)))/'WACC Schedule'!$C7</f>
        <v>54.232671833434331</v>
      </c>
      <c r="F22" s="163">
        <f>(((((((('P&amp;L Schedule'!M14)*(1-(IFERROR(Schedules!M107/Schedules!M106,0))))+((-'P&amp;L Schedule'!M13))+((-Schedules!M53))+((Schedules!M45*($B22)))))*(1/(1+F$18)^1)+(((('P&amp;L Schedule'!N14)*(1-(IFERROR(Schedules!N107/Schedules!N106,0))))+((-'P&amp;L Schedule'!N13))+((-Schedules!N53))+((Schedules!N45*($B22)))))*(1/(1+F$18)^2)+(((('P&amp;L Schedule'!O14)*(1-(IFERROR(Schedules!O107/Schedules!O106,0))))+((-'P&amp;L Schedule'!O13))+((-Schedules!O53))+((Schedules!O45*($B22)))))*(1/(1+F$18)^3)+(((('P&amp;L Schedule'!P14)*(1-(IFERROR(Schedules!P107/Schedules!P106,0))))+((-'P&amp;L Schedule'!P13))+((-Schedules!P53))+((Schedules!P45*($B22)))))*(1/(1+F$18)^4)+(((('P&amp;L Schedule'!Q14)*(1-(IFERROR(Schedules!Q107/Schedules!Q106,0))))+((-'P&amp;L Schedule'!Q13))+((-Schedules!Q53))+((Schedules!Q45*($B22)))))*(1/(1+F$18)^5)+(((('P&amp;L Schedule'!R14)*(1-(IFERROR(Schedules!R107/Schedules!R106,0))))+((-'P&amp;L Schedule'!R13))+((-Schedules!R53))+((Schedules!R45*($B22)))))*(1/(1+F$18)^6)+(((('P&amp;L Schedule'!S14)*(1-(IFERROR(Schedules!S107/Schedules!S106,0))))+((-'P&amp;L Schedule'!S13))+((-Schedules!S53))+((Schedules!S45*($B22)))))*(1/(1+F$18)^7)+(((('P&amp;L Schedule'!T14)*(1-(IFERROR(Schedules!T107/Schedules!T106,0))))+((-'P&amp;L Schedule'!T13))+((-Schedules!T53))+((Schedules!T45*($B22)))))*(1/(1+F$18)^8)+(((('P&amp;L Schedule'!U14)*(1-(IFERROR(Schedules!U107/Schedules!U106,0))))+((-'P&amp;L Schedule'!U13))+((-Schedules!U53))+((Schedules!U45*($B22)))))*(1/(1+F$18)^9)+(((('P&amp;L Schedule'!V14)*(1-(IFERROR(Schedules!V107/Schedules!V106,0))))+((-'P&amp;L Schedule'!V13))+((-Schedules!V53))+((Schedules!V45*($B22)))))*(1/(1+F$18)^10))+((((('P&amp;L Schedule'!V14)*(1+((IF('Inputs &amp; Assumptions'!$C$13="",'Inputs &amp; Assumptions'!$C$12,'Inputs &amp; Assumptions'!$C$13))))*(1-('Inputs &amp; Assumptions'!$C$73)))*(1-((((IF('Inputs &amp; Assumptions'!$C$13="",'Inputs &amp; Assumptions'!$C$12,'Inputs &amp; Assumptions'!$C$13)))/(F$18))))/((F$18)-((IF('Inputs &amp; Assumptions'!$C$13="",'Inputs &amp; Assumptions'!$C$12,'Inputs &amp; Assumptions'!$C$13))))))*(1/(1+F$18)^10))))-(Schedules!$L$93)+(IFERROR(INDEX(HS_CONSOLIDATED!M:M,MATCH("CashAndCashEquivalents",HS_CONSOLIDATED!$C:$C,0)),0)))/'WACC Schedule'!$C7</f>
        <v>45.071870042985161</v>
      </c>
      <c r="G22" s="163">
        <f>(((((((('P&amp;L Schedule'!M14)*(1-(IFERROR(Schedules!M107/Schedules!M106,0))))+((-'P&amp;L Schedule'!M13))+((-Schedules!M53))+((Schedules!M45*($B22)))))*(1/(1+G$18)^1)+(((('P&amp;L Schedule'!N14)*(1-(IFERROR(Schedules!N107/Schedules!N106,0))))+((-'P&amp;L Schedule'!N13))+((-Schedules!N53))+((Schedules!N45*($B22)))))*(1/(1+G$18)^2)+(((('P&amp;L Schedule'!O14)*(1-(IFERROR(Schedules!O107/Schedules!O106,0))))+((-'P&amp;L Schedule'!O13))+((-Schedules!O53))+((Schedules!O45*($B22)))))*(1/(1+G$18)^3)+(((('P&amp;L Schedule'!P14)*(1-(IFERROR(Schedules!P107/Schedules!P106,0))))+((-'P&amp;L Schedule'!P13))+((-Schedules!P53))+((Schedules!P45*($B22)))))*(1/(1+G$18)^4)+(((('P&amp;L Schedule'!Q14)*(1-(IFERROR(Schedules!Q107/Schedules!Q106,0))))+((-'P&amp;L Schedule'!Q13))+((-Schedules!Q53))+((Schedules!Q45*($B22)))))*(1/(1+G$18)^5)+(((('P&amp;L Schedule'!R14)*(1-(IFERROR(Schedules!R107/Schedules!R106,0))))+((-'P&amp;L Schedule'!R13))+((-Schedules!R53))+((Schedules!R45*($B22)))))*(1/(1+G$18)^6)+(((('P&amp;L Schedule'!S14)*(1-(IFERROR(Schedules!S107/Schedules!S106,0))))+((-'P&amp;L Schedule'!S13))+((-Schedules!S53))+((Schedules!S45*($B22)))))*(1/(1+G$18)^7)+(((('P&amp;L Schedule'!T14)*(1-(IFERROR(Schedules!T107/Schedules!T106,0))))+((-'P&amp;L Schedule'!T13))+((-Schedules!T53))+((Schedules!T45*($B22)))))*(1/(1+G$18)^8)+(((('P&amp;L Schedule'!U14)*(1-(IFERROR(Schedules!U107/Schedules!U106,0))))+((-'P&amp;L Schedule'!U13))+((-Schedules!U53))+((Schedules!U45*($B22)))))*(1/(1+G$18)^9)+(((('P&amp;L Schedule'!V14)*(1-(IFERROR(Schedules!V107/Schedules!V106,0))))+((-'P&amp;L Schedule'!V13))+((-Schedules!V53))+((Schedules!V45*($B22)))))*(1/(1+G$18)^10))+((((('P&amp;L Schedule'!V14)*(1+((IF('Inputs &amp; Assumptions'!$C$13="",'Inputs &amp; Assumptions'!$C$12,'Inputs &amp; Assumptions'!$C$13))))*(1-('Inputs &amp; Assumptions'!$C$73)))*(1-((((IF('Inputs &amp; Assumptions'!$C$13="",'Inputs &amp; Assumptions'!$C$12,'Inputs &amp; Assumptions'!$C$13)))/(G$18))))/((G$18)-((IF('Inputs &amp; Assumptions'!$C$13="",'Inputs &amp; Assumptions'!$C$12,'Inputs &amp; Assumptions'!$C$13))))))*(1/(1+G$18)^10))))-(Schedules!$L$93)+(IFERROR(INDEX(HS_CONSOLIDATED!M:M,MATCH("CashAndCashEquivalents",HS_CONSOLIDATED!$C:$C,0)),0)))/'WACC Schedule'!$C7</f>
        <v>38.00079119717585</v>
      </c>
    </row>
    <row r="23" spans="1:7">
      <c r="B23" s="148">
        <v>1.3</v>
      </c>
      <c r="C23" s="163">
        <f>(((((((('P&amp;L Schedule'!M14)*(1-(IFERROR(Schedules!M107/Schedules!M106,0))))+((-'P&amp;L Schedule'!M13))+((-Schedules!M53))+((Schedules!M45*($B23)))))*(1/(1+C$18)^1)+(((('P&amp;L Schedule'!N14)*(1-(IFERROR(Schedules!N107/Schedules!N106,0))))+((-'P&amp;L Schedule'!N13))+((-Schedules!N53))+((Schedules!N45*($B23)))))*(1/(1+C$18)^2)+(((('P&amp;L Schedule'!O14)*(1-(IFERROR(Schedules!O107/Schedules!O106,0))))+((-'P&amp;L Schedule'!O13))+((-Schedules!O53))+((Schedules!O45*($B23)))))*(1/(1+C$18)^3)+(((('P&amp;L Schedule'!P14)*(1-(IFERROR(Schedules!P107/Schedules!P106,0))))+((-'P&amp;L Schedule'!P13))+((-Schedules!P53))+((Schedules!P45*($B23)))))*(1/(1+C$18)^4)+(((('P&amp;L Schedule'!Q14)*(1-(IFERROR(Schedules!Q107/Schedules!Q106,0))))+((-'P&amp;L Schedule'!Q13))+((-Schedules!Q53))+((Schedules!Q45*($B23)))))*(1/(1+C$18)^5)+(((('P&amp;L Schedule'!R14)*(1-(IFERROR(Schedules!R107/Schedules!R106,0))))+((-'P&amp;L Schedule'!R13))+((-Schedules!R53))+((Schedules!R45*($B23)))))*(1/(1+C$18)^6)+(((('P&amp;L Schedule'!S14)*(1-(IFERROR(Schedules!S107/Schedules!S106,0))))+((-'P&amp;L Schedule'!S13))+((-Schedules!S53))+((Schedules!S45*($B23)))))*(1/(1+C$18)^7)+(((('P&amp;L Schedule'!T14)*(1-(IFERROR(Schedules!T107/Schedules!T106,0))))+((-'P&amp;L Schedule'!T13))+((-Schedules!T53))+((Schedules!T45*($B23)))))*(1/(1+C$18)^8)+(((('P&amp;L Schedule'!U14)*(1-(IFERROR(Schedules!U107/Schedules!U106,0))))+((-'P&amp;L Schedule'!U13))+((-Schedules!U53))+((Schedules!U45*($B23)))))*(1/(1+C$18)^9)+(((('P&amp;L Schedule'!V14)*(1-(IFERROR(Schedules!V107/Schedules!V106,0))))+((-'P&amp;L Schedule'!V13))+((-Schedules!V53))+((Schedules!V45*($B23)))))*(1/(1+C$18)^10))+((((('P&amp;L Schedule'!V14)*(1+((IF('Inputs &amp; Assumptions'!$C$13="",'Inputs &amp; Assumptions'!$C$12,'Inputs &amp; Assumptions'!$C$13))))*(1-('Inputs &amp; Assumptions'!$C$73)))*(1-((((IF('Inputs &amp; Assumptions'!$C$13="",'Inputs &amp; Assumptions'!$C$12,'Inputs &amp; Assumptions'!$C$13)))/(C$18))))/((C$18)-((IF('Inputs &amp; Assumptions'!$C$13="",'Inputs &amp; Assumptions'!$C$12,'Inputs &amp; Assumptions'!$C$13))))))*(1/(1+C$18)^10))))-(Schedules!$L$93)+(IFERROR(INDEX(HS_CONSOLIDATED!M:M,MATCH("CashAndCashEquivalents",HS_CONSOLIDATED!$C:$C,0)),0)))/'WACC Schedule'!$C7</f>
        <v>81.22752379610138</v>
      </c>
      <c r="D23" s="163">
        <f>(((((((('P&amp;L Schedule'!M14)*(1-(IFERROR(Schedules!M107/Schedules!M106,0))))+((-'P&amp;L Schedule'!M13))+((-Schedules!M53))+((Schedules!M45*($B23)))))*(1/(1+D$18)^1)+(((('P&amp;L Schedule'!N14)*(1-(IFERROR(Schedules!N107/Schedules!N106,0))))+((-'P&amp;L Schedule'!N13))+((-Schedules!N53))+((Schedules!N45*($B23)))))*(1/(1+D$18)^2)+(((('P&amp;L Schedule'!O14)*(1-(IFERROR(Schedules!O107/Schedules!O106,0))))+((-'P&amp;L Schedule'!O13))+((-Schedules!O53))+((Schedules!O45*($B23)))))*(1/(1+D$18)^3)+(((('P&amp;L Schedule'!P14)*(1-(IFERROR(Schedules!P107/Schedules!P106,0))))+((-'P&amp;L Schedule'!P13))+((-Schedules!P53))+((Schedules!P45*($B23)))))*(1/(1+D$18)^4)+(((('P&amp;L Schedule'!Q14)*(1-(IFERROR(Schedules!Q107/Schedules!Q106,0))))+((-'P&amp;L Schedule'!Q13))+((-Schedules!Q53))+((Schedules!Q45*($B23)))))*(1/(1+D$18)^5)+(((('P&amp;L Schedule'!R14)*(1-(IFERROR(Schedules!R107/Schedules!R106,0))))+((-'P&amp;L Schedule'!R13))+((-Schedules!R53))+((Schedules!R45*($B23)))))*(1/(1+D$18)^6)+(((('P&amp;L Schedule'!S14)*(1-(IFERROR(Schedules!S107/Schedules!S106,0))))+((-'P&amp;L Schedule'!S13))+((-Schedules!S53))+((Schedules!S45*($B23)))))*(1/(1+D$18)^7)+(((('P&amp;L Schedule'!T14)*(1-(IFERROR(Schedules!T107/Schedules!T106,0))))+((-'P&amp;L Schedule'!T13))+((-Schedules!T53))+((Schedules!T45*($B23)))))*(1/(1+D$18)^8)+(((('P&amp;L Schedule'!U14)*(1-(IFERROR(Schedules!U107/Schedules!U106,0))))+((-'P&amp;L Schedule'!U13))+((-Schedules!U53))+((Schedules!U45*($B23)))))*(1/(1+D$18)^9)+(((('P&amp;L Schedule'!V14)*(1-(IFERROR(Schedules!V107/Schedules!V106,0))))+((-'P&amp;L Schedule'!V13))+((-Schedules!V53))+((Schedules!V45*($B23)))))*(1/(1+D$18)^10))+((((('P&amp;L Schedule'!V14)*(1+((IF('Inputs &amp; Assumptions'!$C$13="",'Inputs &amp; Assumptions'!$C$12,'Inputs &amp; Assumptions'!$C$13))))*(1-('Inputs &amp; Assumptions'!$C$73)))*(1-((((IF('Inputs &amp; Assumptions'!$C$13="",'Inputs &amp; Assumptions'!$C$12,'Inputs &amp; Assumptions'!$C$13)))/(D$18))))/((D$18)-((IF('Inputs &amp; Assumptions'!$C$13="",'Inputs &amp; Assumptions'!$C$12,'Inputs &amp; Assumptions'!$C$13))))))*(1/(1+D$18)^10))))-(Schedules!$L$93)+(IFERROR(INDEX(HS_CONSOLIDATED!M:M,MATCH("CashAndCashEquivalents",HS_CONSOLIDATED!$C:$C,0)),0)))/'WACC Schedule'!$C7</f>
        <v>64.510435133940419</v>
      </c>
      <c r="E23" s="163">
        <f>(((((((('P&amp;L Schedule'!M14)*(1-(IFERROR(Schedules!M107/Schedules!M106,0))))+((-'P&amp;L Schedule'!M13))+((-Schedules!M53))+((Schedules!M45*($B23)))))*(1/(1+E$18)^1)+(((('P&amp;L Schedule'!N14)*(1-(IFERROR(Schedules!N107/Schedules!N106,0))))+((-'P&amp;L Schedule'!N13))+((-Schedules!N53))+((Schedules!N45*($B23)))))*(1/(1+E$18)^2)+(((('P&amp;L Schedule'!O14)*(1-(IFERROR(Schedules!O107/Schedules!O106,0))))+((-'P&amp;L Schedule'!O13))+((-Schedules!O53))+((Schedules!O45*($B23)))))*(1/(1+E$18)^3)+(((('P&amp;L Schedule'!P14)*(1-(IFERROR(Schedules!P107/Schedules!P106,0))))+((-'P&amp;L Schedule'!P13))+((-Schedules!P53))+((Schedules!P45*($B23)))))*(1/(1+E$18)^4)+(((('P&amp;L Schedule'!Q14)*(1-(IFERROR(Schedules!Q107/Schedules!Q106,0))))+((-'P&amp;L Schedule'!Q13))+((-Schedules!Q53))+((Schedules!Q45*($B23)))))*(1/(1+E$18)^5)+(((('P&amp;L Schedule'!R14)*(1-(IFERROR(Schedules!R107/Schedules!R106,0))))+((-'P&amp;L Schedule'!R13))+((-Schedules!R53))+((Schedules!R45*($B23)))))*(1/(1+E$18)^6)+(((('P&amp;L Schedule'!S14)*(1-(IFERROR(Schedules!S107/Schedules!S106,0))))+((-'P&amp;L Schedule'!S13))+((-Schedules!S53))+((Schedules!S45*($B23)))))*(1/(1+E$18)^7)+(((('P&amp;L Schedule'!T14)*(1-(IFERROR(Schedules!T107/Schedules!T106,0))))+((-'P&amp;L Schedule'!T13))+((-Schedules!T53))+((Schedules!T45*($B23)))))*(1/(1+E$18)^8)+(((('P&amp;L Schedule'!U14)*(1-(IFERROR(Schedules!U107/Schedules!U106,0))))+((-'P&amp;L Schedule'!U13))+((-Schedules!U53))+((Schedules!U45*($B23)))))*(1/(1+E$18)^9)+(((('P&amp;L Schedule'!V14)*(1-(IFERROR(Schedules!V107/Schedules!V106,0))))+((-'P&amp;L Schedule'!V13))+((-Schedules!V53))+((Schedules!V45*($B23)))))*(1/(1+E$18)^10))+((((('P&amp;L Schedule'!V14)*(1+((IF('Inputs &amp; Assumptions'!$C$13="",'Inputs &amp; Assumptions'!$C$12,'Inputs &amp; Assumptions'!$C$13))))*(1-('Inputs &amp; Assumptions'!$C$73)))*(1-((((IF('Inputs &amp; Assumptions'!$C$13="",'Inputs &amp; Assumptions'!$C$12,'Inputs &amp; Assumptions'!$C$13)))/(E$18))))/((E$18)-((IF('Inputs &amp; Assumptions'!$C$13="",'Inputs &amp; Assumptions'!$C$12,'Inputs &amp; Assumptions'!$C$13))))))*(1/(1+E$18)^10))))-(Schedules!$L$93)+(IFERROR(INDEX(HS_CONSOLIDATED!M:M,MATCH("CashAndCashEquivalents",HS_CONSOLIDATED!$C:$C,0)),0)))/'WACC Schedule'!$C7</f>
        <v>52.416615474115659</v>
      </c>
      <c r="F23" s="163">
        <f>(((((((('P&amp;L Schedule'!M14)*(1-(IFERROR(Schedules!M107/Schedules!M106,0))))+((-'P&amp;L Schedule'!M13))+((-Schedules!M53))+((Schedules!M45*($B23)))))*(1/(1+F$18)^1)+(((('P&amp;L Schedule'!N14)*(1-(IFERROR(Schedules!N107/Schedules!N106,0))))+((-'P&amp;L Schedule'!N13))+((-Schedules!N53))+((Schedules!N45*($B23)))))*(1/(1+F$18)^2)+(((('P&amp;L Schedule'!O14)*(1-(IFERROR(Schedules!O107/Schedules!O106,0))))+((-'P&amp;L Schedule'!O13))+((-Schedules!O53))+((Schedules!O45*($B23)))))*(1/(1+F$18)^3)+(((('P&amp;L Schedule'!P14)*(1-(IFERROR(Schedules!P107/Schedules!P106,0))))+((-'P&amp;L Schedule'!P13))+((-Schedules!P53))+((Schedules!P45*($B23)))))*(1/(1+F$18)^4)+(((('P&amp;L Schedule'!Q14)*(1-(IFERROR(Schedules!Q107/Schedules!Q106,0))))+((-'P&amp;L Schedule'!Q13))+((-Schedules!Q53))+((Schedules!Q45*($B23)))))*(1/(1+F$18)^5)+(((('P&amp;L Schedule'!R14)*(1-(IFERROR(Schedules!R107/Schedules!R106,0))))+((-'P&amp;L Schedule'!R13))+((-Schedules!R53))+((Schedules!R45*($B23)))))*(1/(1+F$18)^6)+(((('P&amp;L Schedule'!S14)*(1-(IFERROR(Schedules!S107/Schedules!S106,0))))+((-'P&amp;L Schedule'!S13))+((-Schedules!S53))+((Schedules!S45*($B23)))))*(1/(1+F$18)^7)+(((('P&amp;L Schedule'!T14)*(1-(IFERROR(Schedules!T107/Schedules!T106,0))))+((-'P&amp;L Schedule'!T13))+((-Schedules!T53))+((Schedules!T45*($B23)))))*(1/(1+F$18)^8)+(((('P&amp;L Schedule'!U14)*(1-(IFERROR(Schedules!U107/Schedules!U106,0))))+((-'P&amp;L Schedule'!U13))+((-Schedules!U53))+((Schedules!U45*($B23)))))*(1/(1+F$18)^9)+(((('P&amp;L Schedule'!V14)*(1-(IFERROR(Schedules!V107/Schedules!V106,0))))+((-'P&amp;L Schedule'!V13))+((-Schedules!V53))+((Schedules!V45*($B23)))))*(1/(1+F$18)^10))+((((('P&amp;L Schedule'!V14)*(1+((IF('Inputs &amp; Assumptions'!$C$13="",'Inputs &amp; Assumptions'!$C$12,'Inputs &amp; Assumptions'!$C$13))))*(1-('Inputs &amp; Assumptions'!$C$73)))*(1-((((IF('Inputs &amp; Assumptions'!$C$13="",'Inputs &amp; Assumptions'!$C$12,'Inputs &amp; Assumptions'!$C$13)))/(F$18))))/((F$18)-((IF('Inputs &amp; Assumptions'!$C$13="",'Inputs &amp; Assumptions'!$C$12,'Inputs &amp; Assumptions'!$C$13))))))*(1/(1+F$18)^10))))-(Schedules!$L$93)+(IFERROR(INDEX(HS_CONSOLIDATED!M:M,MATCH("CashAndCashEquivalents",HS_CONSOLIDATED!$C:$C,0)),0)))/'WACC Schedule'!$C7</f>
        <v>43.351660715841028</v>
      </c>
      <c r="G23" s="163">
        <f>(((((((('P&amp;L Schedule'!M14)*(1-(IFERROR(Schedules!M107/Schedules!M106,0))))+((-'P&amp;L Schedule'!M13))+((-Schedules!M53))+((Schedules!M45*($B23)))))*(1/(1+G$18)^1)+(((('P&amp;L Schedule'!N14)*(1-(IFERROR(Schedules!N107/Schedules!N106,0))))+((-'P&amp;L Schedule'!N13))+((-Schedules!N53))+((Schedules!N45*($B23)))))*(1/(1+G$18)^2)+(((('P&amp;L Schedule'!O14)*(1-(IFERROR(Schedules!O107/Schedules!O106,0))))+((-'P&amp;L Schedule'!O13))+((-Schedules!O53))+((Schedules!O45*($B23)))))*(1/(1+G$18)^3)+(((('P&amp;L Schedule'!P14)*(1-(IFERROR(Schedules!P107/Schedules!P106,0))))+((-'P&amp;L Schedule'!P13))+((-Schedules!P53))+((Schedules!P45*($B23)))))*(1/(1+G$18)^4)+(((('P&amp;L Schedule'!Q14)*(1-(IFERROR(Schedules!Q107/Schedules!Q106,0))))+((-'P&amp;L Schedule'!Q13))+((-Schedules!Q53))+((Schedules!Q45*($B23)))))*(1/(1+G$18)^5)+(((('P&amp;L Schedule'!R14)*(1-(IFERROR(Schedules!R107/Schedules!R106,0))))+((-'P&amp;L Schedule'!R13))+((-Schedules!R53))+((Schedules!R45*($B23)))))*(1/(1+G$18)^6)+(((('P&amp;L Schedule'!S14)*(1-(IFERROR(Schedules!S107/Schedules!S106,0))))+((-'P&amp;L Schedule'!S13))+((-Schedules!S53))+((Schedules!S45*($B23)))))*(1/(1+G$18)^7)+(((('P&amp;L Schedule'!T14)*(1-(IFERROR(Schedules!T107/Schedules!T106,0))))+((-'P&amp;L Schedule'!T13))+((-Schedules!T53))+((Schedules!T45*($B23)))))*(1/(1+G$18)^8)+(((('P&amp;L Schedule'!U14)*(1-(IFERROR(Schedules!U107/Schedules!U106,0))))+((-'P&amp;L Schedule'!U13))+((-Schedules!U53))+((Schedules!U45*($B23)))))*(1/(1+G$18)^9)+(((('P&amp;L Schedule'!V14)*(1-(IFERROR(Schedules!V107/Schedules!V106,0))))+((-'P&amp;L Schedule'!V13))+((-Schedules!V53))+((Schedules!V45*($B23)))))*(1/(1+G$18)^10))+((((('P&amp;L Schedule'!V14)*(1+((IF('Inputs &amp; Assumptions'!$C$13="",'Inputs &amp; Assumptions'!$C$12,'Inputs &amp; Assumptions'!$C$13))))*(1-('Inputs &amp; Assumptions'!$C$73)))*(1-((((IF('Inputs &amp; Assumptions'!$C$13="",'Inputs &amp; Assumptions'!$C$12,'Inputs &amp; Assumptions'!$C$13)))/(G$18))))/((G$18)-((IF('Inputs &amp; Assumptions'!$C$13="",'Inputs &amp; Assumptions'!$C$12,'Inputs &amp; Assumptions'!$C$13))))))*(1/(1+G$18)^10))))-(Schedules!$L$93)+(IFERROR(INDEX(HS_CONSOLIDATED!M:M,MATCH("CashAndCashEquivalents",HS_CONSOLIDATED!$C:$C,0)),0)))/'WACC Schedule'!$C7</f>
        <v>36.369516358415979</v>
      </c>
    </row>
    <row r="26" spans="1:7" ht="17">
      <c r="A26" t="s">
        <v>27</v>
      </c>
      <c r="B26" s="150" t="s">
        <v>585</v>
      </c>
    </row>
    <row r="27" spans="1:7">
      <c r="B27" s="1" t="s">
        <v>586</v>
      </c>
    </row>
    <row r="29" spans="1:7">
      <c r="B29" s="161" t="s">
        <v>583</v>
      </c>
    </row>
    <row r="30" spans="1:7">
      <c r="B30" s="161" t="s">
        <v>587</v>
      </c>
      <c r="C30" s="162">
        <f>'WACC Schedule'!$C39+(-0.02)</f>
        <v>5.8867217951476591E-2</v>
      </c>
      <c r="D30" s="162">
        <f>'WACC Schedule'!$C39+(-0.01)</f>
        <v>6.88672179514766E-2</v>
      </c>
      <c r="E30" s="162">
        <f>'WACC Schedule'!$C39+(0)</f>
        <v>7.8867217951476595E-2</v>
      </c>
      <c r="F30" s="162">
        <f>'WACC Schedule'!$C39+(0.01)</f>
        <v>8.886721795147659E-2</v>
      </c>
      <c r="G30" s="162">
        <f>'WACC Schedule'!$C39+(0.02)</f>
        <v>9.8867217951476599E-2</v>
      </c>
    </row>
    <row r="31" spans="1:7">
      <c r="B31" s="88" t="s">
        <v>588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49"/>
  <sheetViews>
    <sheetView showGridLines="0" workbookViewId="0"/>
  </sheetViews>
  <sheetFormatPr defaultRowHeight="14.5"/>
  <cols>
    <col min="1" max="1" width="3.453125" customWidth="1"/>
    <col min="2" max="2" width="58" customWidth="1"/>
    <col min="3" max="3" width="16" customWidth="1"/>
    <col min="4" max="4" width="70" customWidth="1"/>
    <col min="5" max="23" width="17" customWidth="1"/>
  </cols>
  <sheetData>
    <row r="1" spans="1:4" ht="21">
      <c r="A1" t="s">
        <v>27</v>
      </c>
      <c r="B1" s="137" t="s">
        <v>589</v>
      </c>
    </row>
    <row r="2" spans="1:4" ht="28" customHeight="1">
      <c r="B2" s="114" t="s">
        <v>590</v>
      </c>
    </row>
    <row r="4" spans="1:4">
      <c r="A4" s="115" t="s">
        <v>27</v>
      </c>
      <c r="B4" s="115" t="s">
        <v>591</v>
      </c>
      <c r="C4" s="115" t="s">
        <v>592</v>
      </c>
      <c r="D4" s="115" t="s">
        <v>593</v>
      </c>
    </row>
    <row r="6" spans="1:4" ht="24">
      <c r="B6" s="24" t="s">
        <v>594</v>
      </c>
      <c r="C6" s="155">
        <f>'Inputs &amp; Assumptions'!C12</f>
        <v>4.7222045912601443E-2</v>
      </c>
      <c r="D6" s="114" t="s">
        <v>595</v>
      </c>
    </row>
    <row r="8" spans="1:4">
      <c r="B8" s="24" t="s">
        <v>596</v>
      </c>
    </row>
    <row r="9" spans="1:4">
      <c r="B9" s="152" t="s">
        <v>597</v>
      </c>
      <c r="C9" s="164">
        <f>DCF!C44</f>
        <v>0.27160048825118349</v>
      </c>
    </row>
    <row r="10" spans="1:4">
      <c r="B10" s="152" t="s">
        <v>598</v>
      </c>
      <c r="C10" s="164">
        <f>AVERAGE(IFERROR(((Schedules!J53)-((-'P&amp;L Schedule'!J13))-(Schedules!J45))/(DCF!J40),""),IFERROR(((Schedules!K53)-((-'P&amp;L Schedule'!K13))-(Schedules!K45))/(DCF!K40),""),IFERROR(((Schedules!L53)-((-'P&amp;L Schedule'!L13))-(Schedules!L45))/(DCF!L40),""))</f>
        <v>0.72477439663329823</v>
      </c>
    </row>
    <row r="11" spans="1:4" ht="48">
      <c r="B11" s="24" t="s">
        <v>599</v>
      </c>
      <c r="C11" s="165">
        <f>C9*C10</f>
        <v>0.19684907999756071</v>
      </c>
      <c r="D11" s="114" t="s">
        <v>600</v>
      </c>
    </row>
    <row r="13" spans="1:4">
      <c r="B13" s="24" t="s">
        <v>601</v>
      </c>
    </row>
    <row r="14" spans="1:4" ht="36">
      <c r="B14" s="140" t="s">
        <v>602</v>
      </c>
      <c r="C14" s="120">
        <v>0.48499999999999999</v>
      </c>
      <c r="D14" s="114" t="s">
        <v>1784</v>
      </c>
    </row>
    <row r="16" spans="1:4">
      <c r="B16" s="24" t="s">
        <v>603</v>
      </c>
    </row>
    <row r="17" spans="2:4" ht="36">
      <c r="B17" s="140" t="s">
        <v>604</v>
      </c>
      <c r="C17" s="120">
        <v>0.13600000000000001</v>
      </c>
      <c r="D17" s="114" t="s">
        <v>1785</v>
      </c>
    </row>
    <row r="19" spans="2:4">
      <c r="B19" s="24" t="s">
        <v>605</v>
      </c>
    </row>
    <row r="20" spans="2:4" ht="36">
      <c r="B20" s="140" t="s">
        <v>606</v>
      </c>
      <c r="C20" s="120"/>
      <c r="D20" s="114" t="s">
        <v>607</v>
      </c>
    </row>
    <row r="22" spans="2:4">
      <c r="B22" s="24" t="s">
        <v>608</v>
      </c>
    </row>
    <row r="23" spans="2:4" ht="48">
      <c r="B23" s="140" t="s">
        <v>609</v>
      </c>
      <c r="C23" s="166">
        <v>200000000000</v>
      </c>
      <c r="D23" s="114" t="s">
        <v>1786</v>
      </c>
    </row>
    <row r="24" spans="2:4" ht="36">
      <c r="B24" s="140" t="s">
        <v>610</v>
      </c>
      <c r="C24" s="120">
        <v>0.54300000000000004</v>
      </c>
      <c r="D24" s="114" t="s">
        <v>1787</v>
      </c>
    </row>
    <row r="25" spans="2:4">
      <c r="B25" s="24" t="s">
        <v>611</v>
      </c>
      <c r="C25" s="142">
        <f>IF(C23="","",C23*C24)</f>
        <v>108600000000.00002</v>
      </c>
    </row>
    <row r="26" spans="2:4" ht="48">
      <c r="B26" s="24" t="s">
        <v>612</v>
      </c>
      <c r="C26" s="165">
        <f>IF(C25="","",IFERROR(C25/(Schedules!L8)-1,""))</f>
        <v>-2.7310110250564623E-3</v>
      </c>
      <c r="D26" s="114" t="s">
        <v>613</v>
      </c>
    </row>
    <row r="28" spans="2:4">
      <c r="B28" s="24" t="s">
        <v>614</v>
      </c>
    </row>
    <row r="29" spans="2:4" ht="28" customHeight="1">
      <c r="B29" s="114" t="s">
        <v>615</v>
      </c>
    </row>
    <row r="30" spans="2:4">
      <c r="B30" s="24" t="s">
        <v>616</v>
      </c>
      <c r="C30" s="167">
        <f>'WACC Schedule'!$C6</f>
        <v>56.04</v>
      </c>
    </row>
    <row r="32" spans="2:4">
      <c r="B32" s="115" t="s">
        <v>617</v>
      </c>
      <c r="C32" s="115" t="s">
        <v>618</v>
      </c>
      <c r="D32" s="115" t="s">
        <v>619</v>
      </c>
    </row>
    <row r="33" spans="2:4">
      <c r="B33" s="145">
        <f>'WACC Schedule'!$C39-(15*0.01)</f>
        <v>-7.1132782048523399E-2</v>
      </c>
      <c r="C33" s="163">
        <f>(((((((('P&amp;L Schedule'!M14)*(1-(IFERROR(Schedules!M107/Schedules!M106,0))))+((-'P&amp;L Schedule'!M13))+((-Schedules!M53))+((Schedules!M45*(1)))))*(1/(1+'WACC Schedule'!$C39)^1)+(((('P&amp;L Schedule'!N14)*(1-(IFERROR(Schedules!N107/Schedules!N106,0))))+((-'P&amp;L Schedule'!N13))+((-Schedules!N53))+((Schedules!N45*(1)))))*(1/(1+'WACC Schedule'!$C39)^2)+(((('P&amp;L Schedule'!O14)*(1-(IFERROR(Schedules!O107/Schedules!O106,0))))+((-'P&amp;L Schedule'!O13))+((-Schedules!O53))+((Schedules!O45*(1)))))*(1/(1+'WACC Schedule'!$C39)^3)+(((('P&amp;L Schedule'!P14)*(1-(IFERROR(Schedules!P107/Schedules!P106,0))))+((-'P&amp;L Schedule'!P13))+((-Schedules!P53))+((Schedules!P45*(1)))))*(1/(1+'WACC Schedule'!$C39)^4)+(((('P&amp;L Schedule'!Q14)*(1-(IFERROR(Schedules!Q107/Schedules!Q106,0))))+((-'P&amp;L Schedule'!Q13))+((-Schedules!Q53))+((Schedules!Q45*(1)))))*(1/(1+'WACC Schedule'!$C39)^5)+(((('P&amp;L Schedule'!R14)*(1-(IFERROR(Schedules!R107/Schedules!R106,0))))+((-'P&amp;L Schedule'!R13))+((-Schedules!R53))+((Schedules!R45*(1)))))*(1/(1+'WACC Schedule'!$C39)^6)+(((('P&amp;L Schedule'!S14)*(1-(IFERROR(Schedules!S107/Schedules!S106,0))))+((-'P&amp;L Schedule'!S13))+((-Schedules!S53))+((Schedules!S45*(1)))))*(1/(1+'WACC Schedule'!$C39)^7)+(((('P&amp;L Schedule'!T14)*(1-(IFERROR(Schedules!T107/Schedules!T106,0))))+((-'P&amp;L Schedule'!T13))+((-Schedules!T53))+((Schedules!T45*(1)))))*(1/(1+'WACC Schedule'!$C39)^8)+(((('P&amp;L Schedule'!U14)*(1-(IFERROR(Schedules!U107/Schedules!U106,0))))+((-'P&amp;L Schedule'!U13))+((-Schedules!U53))+((Schedules!U45*(1)))))*(1/(1+'WACC Schedule'!$C39)^9)+(((('P&amp;L Schedule'!V14)*(1-(IFERROR(Schedules!V107/Schedules!V106,0))))+((-'P&amp;L Schedule'!V13))+((-Schedules!V53))+((Schedules!V45*(1)))))*(1/(1+'WACC Schedule'!$C39)^10))+((((('P&amp;L Schedule'!V14)*(1+($B33))*(1-('Inputs &amp; Assumptions'!$C$73)))*(1-((($B33)/('WACC Schedule'!$C39))))/(('WACC Schedule'!$C39)-($B33))))*(1/(1+'WACC Schedule'!$C39)^10))))-(Schedules!$L$93)+(IFERROR(INDEX(HS_CONSOLIDATED!M:M,MATCH("CashAndCashEquivalents",HS_CONSOLIDATED!$C:$C,0)),0)))/'WACC Schedule'!$C7</f>
        <v>50.841025747130836</v>
      </c>
      <c r="D33" s="168">
        <f>IFERROR(C33-C30,"")</f>
        <v>-5.1989742528691636</v>
      </c>
    </row>
    <row r="34" spans="2:4">
      <c r="B34" s="145">
        <f>'WACC Schedule'!$C39-(14*0.01)</f>
        <v>-6.1132782048523418E-2</v>
      </c>
      <c r="C34" s="163">
        <f>(((((((('P&amp;L Schedule'!M14)*(1-(IFERROR(Schedules!M107/Schedules!M106,0))))+((-'P&amp;L Schedule'!M13))+((-Schedules!M53))+((Schedules!M45*(1)))))*(1/(1+'WACC Schedule'!$C39)^1)+(((('P&amp;L Schedule'!N14)*(1-(IFERROR(Schedules!N107/Schedules!N106,0))))+((-'P&amp;L Schedule'!N13))+((-Schedules!N53))+((Schedules!N45*(1)))))*(1/(1+'WACC Schedule'!$C39)^2)+(((('P&amp;L Schedule'!O14)*(1-(IFERROR(Schedules!O107/Schedules!O106,0))))+((-'P&amp;L Schedule'!O13))+((-Schedules!O53))+((Schedules!O45*(1)))))*(1/(1+'WACC Schedule'!$C39)^3)+(((('P&amp;L Schedule'!P14)*(1-(IFERROR(Schedules!P107/Schedules!P106,0))))+((-'P&amp;L Schedule'!P13))+((-Schedules!P53))+((Schedules!P45*(1)))))*(1/(1+'WACC Schedule'!$C39)^4)+(((('P&amp;L Schedule'!Q14)*(1-(IFERROR(Schedules!Q107/Schedules!Q106,0))))+((-'P&amp;L Schedule'!Q13))+((-Schedules!Q53))+((Schedules!Q45*(1)))))*(1/(1+'WACC Schedule'!$C39)^5)+(((('P&amp;L Schedule'!R14)*(1-(IFERROR(Schedules!R107/Schedules!R106,0))))+((-'P&amp;L Schedule'!R13))+((-Schedules!R53))+((Schedules!R45*(1)))))*(1/(1+'WACC Schedule'!$C39)^6)+(((('P&amp;L Schedule'!S14)*(1-(IFERROR(Schedules!S107/Schedules!S106,0))))+((-'P&amp;L Schedule'!S13))+((-Schedules!S53))+((Schedules!S45*(1)))))*(1/(1+'WACC Schedule'!$C39)^7)+(((('P&amp;L Schedule'!T14)*(1-(IFERROR(Schedules!T107/Schedules!T106,0))))+((-'P&amp;L Schedule'!T13))+((-Schedules!T53))+((Schedules!T45*(1)))))*(1/(1+'WACC Schedule'!$C39)^8)+(((('P&amp;L Schedule'!U14)*(1-(IFERROR(Schedules!U107/Schedules!U106,0))))+((-'P&amp;L Schedule'!U13))+((-Schedules!U53))+((Schedules!U45*(1)))))*(1/(1+'WACC Schedule'!$C39)^9)+(((('P&amp;L Schedule'!V14)*(1-(IFERROR(Schedules!V107/Schedules!V106,0))))+((-'P&amp;L Schedule'!V13))+((-Schedules!V53))+((Schedules!V45*(1)))))*(1/(1+'WACC Schedule'!$C39)^10))+((((('P&amp;L Schedule'!V14)*(1+($B34))*(1-('Inputs &amp; Assumptions'!$C$73)))*(1-((($B34)/('WACC Schedule'!$C39))))/(('WACC Schedule'!$C39)-($B34))))*(1/(1+'WACC Schedule'!$C39)^10))))-(Schedules!$L$93)+(IFERROR(INDEX(HS_CONSOLIDATED!M:M,MATCH("CashAndCashEquivalents",HS_CONSOLIDATED!$C:$C,0)),0)))/'WACC Schedule'!$C7</f>
        <v>51.270587979195902</v>
      </c>
      <c r="D34" s="168">
        <f>IFERROR(C34-C30,"")</f>
        <v>-4.7694120208040971</v>
      </c>
    </row>
    <row r="35" spans="2:4">
      <c r="B35" s="145">
        <f>'WACC Schedule'!$C39-(13*0.01)</f>
        <v>-5.1132782048523409E-2</v>
      </c>
      <c r="C35" s="163">
        <f>(((((((('P&amp;L Schedule'!M14)*(1-(IFERROR(Schedules!M107/Schedules!M106,0))))+((-'P&amp;L Schedule'!M13))+((-Schedules!M53))+((Schedules!M45*(1)))))*(1/(1+'WACC Schedule'!$C39)^1)+(((('P&amp;L Schedule'!N14)*(1-(IFERROR(Schedules!N107/Schedules!N106,0))))+((-'P&amp;L Schedule'!N13))+((-Schedules!N53))+((Schedules!N45*(1)))))*(1/(1+'WACC Schedule'!$C39)^2)+(((('P&amp;L Schedule'!O14)*(1-(IFERROR(Schedules!O107/Schedules!O106,0))))+((-'P&amp;L Schedule'!O13))+((-Schedules!O53))+((Schedules!O45*(1)))))*(1/(1+'WACC Schedule'!$C39)^3)+(((('P&amp;L Schedule'!P14)*(1-(IFERROR(Schedules!P107/Schedules!P106,0))))+((-'P&amp;L Schedule'!P13))+((-Schedules!P53))+((Schedules!P45*(1)))))*(1/(1+'WACC Schedule'!$C39)^4)+(((('P&amp;L Schedule'!Q14)*(1-(IFERROR(Schedules!Q107/Schedules!Q106,0))))+((-'P&amp;L Schedule'!Q13))+((-Schedules!Q53))+((Schedules!Q45*(1)))))*(1/(1+'WACC Schedule'!$C39)^5)+(((('P&amp;L Schedule'!R14)*(1-(IFERROR(Schedules!R107/Schedules!R106,0))))+((-'P&amp;L Schedule'!R13))+((-Schedules!R53))+((Schedules!R45*(1)))))*(1/(1+'WACC Schedule'!$C39)^6)+(((('P&amp;L Schedule'!S14)*(1-(IFERROR(Schedules!S107/Schedules!S106,0))))+((-'P&amp;L Schedule'!S13))+((-Schedules!S53))+((Schedules!S45*(1)))))*(1/(1+'WACC Schedule'!$C39)^7)+(((('P&amp;L Schedule'!T14)*(1-(IFERROR(Schedules!T107/Schedules!T106,0))))+((-'P&amp;L Schedule'!T13))+((-Schedules!T53))+((Schedules!T45*(1)))))*(1/(1+'WACC Schedule'!$C39)^8)+(((('P&amp;L Schedule'!U14)*(1-(IFERROR(Schedules!U107/Schedules!U106,0))))+((-'P&amp;L Schedule'!U13))+((-Schedules!U53))+((Schedules!U45*(1)))))*(1/(1+'WACC Schedule'!$C39)^9)+(((('P&amp;L Schedule'!V14)*(1-(IFERROR(Schedules!V107/Schedules!V106,0))))+((-'P&amp;L Schedule'!V13))+((-Schedules!V53))+((Schedules!V45*(1)))))*(1/(1+'WACC Schedule'!$C39)^10))+((((('P&amp;L Schedule'!V14)*(1+($B35))*(1-('Inputs &amp; Assumptions'!$C$73)))*(1-((($B35)/('WACC Schedule'!$C39))))/(('WACC Schedule'!$C39)-($B35))))*(1/(1+'WACC Schedule'!$C39)^10))))-(Schedules!$L$93)+(IFERROR(INDEX(HS_CONSOLIDATED!M:M,MATCH("CashAndCashEquivalents",HS_CONSOLIDATED!$C:$C,0)),0)))/'WACC Schedule'!$C7</f>
        <v>51.700150211260969</v>
      </c>
      <c r="D35" s="168">
        <f>IFERROR(C35-C30,"")</f>
        <v>-4.3398497887390306</v>
      </c>
    </row>
    <row r="36" spans="2:4">
      <c r="B36" s="145">
        <f>'WACC Schedule'!$C39-(12*0.01)</f>
        <v>-4.11327820485234E-2</v>
      </c>
      <c r="C36" s="163">
        <f>(((((((('P&amp;L Schedule'!M14)*(1-(IFERROR(Schedules!M107/Schedules!M106,0))))+((-'P&amp;L Schedule'!M13))+((-Schedules!M53))+((Schedules!M45*(1)))))*(1/(1+'WACC Schedule'!$C39)^1)+(((('P&amp;L Schedule'!N14)*(1-(IFERROR(Schedules!N107/Schedules!N106,0))))+((-'P&amp;L Schedule'!N13))+((-Schedules!N53))+((Schedules!N45*(1)))))*(1/(1+'WACC Schedule'!$C39)^2)+(((('P&amp;L Schedule'!O14)*(1-(IFERROR(Schedules!O107/Schedules!O106,0))))+((-'P&amp;L Schedule'!O13))+((-Schedules!O53))+((Schedules!O45*(1)))))*(1/(1+'WACC Schedule'!$C39)^3)+(((('P&amp;L Schedule'!P14)*(1-(IFERROR(Schedules!P107/Schedules!P106,0))))+((-'P&amp;L Schedule'!P13))+((-Schedules!P53))+((Schedules!P45*(1)))))*(1/(1+'WACC Schedule'!$C39)^4)+(((('P&amp;L Schedule'!Q14)*(1-(IFERROR(Schedules!Q107/Schedules!Q106,0))))+((-'P&amp;L Schedule'!Q13))+((-Schedules!Q53))+((Schedules!Q45*(1)))))*(1/(1+'WACC Schedule'!$C39)^5)+(((('P&amp;L Schedule'!R14)*(1-(IFERROR(Schedules!R107/Schedules!R106,0))))+((-'P&amp;L Schedule'!R13))+((-Schedules!R53))+((Schedules!R45*(1)))))*(1/(1+'WACC Schedule'!$C39)^6)+(((('P&amp;L Schedule'!S14)*(1-(IFERROR(Schedules!S107/Schedules!S106,0))))+((-'P&amp;L Schedule'!S13))+((-Schedules!S53))+((Schedules!S45*(1)))))*(1/(1+'WACC Schedule'!$C39)^7)+(((('P&amp;L Schedule'!T14)*(1-(IFERROR(Schedules!T107/Schedules!T106,0))))+((-'P&amp;L Schedule'!T13))+((-Schedules!T53))+((Schedules!T45*(1)))))*(1/(1+'WACC Schedule'!$C39)^8)+(((('P&amp;L Schedule'!U14)*(1-(IFERROR(Schedules!U107/Schedules!U106,0))))+((-'P&amp;L Schedule'!U13))+((-Schedules!U53))+((Schedules!U45*(1)))))*(1/(1+'WACC Schedule'!$C39)^9)+(((('P&amp;L Schedule'!V14)*(1-(IFERROR(Schedules!V107/Schedules!V106,0))))+((-'P&amp;L Schedule'!V13))+((-Schedules!V53))+((Schedules!V45*(1)))))*(1/(1+'WACC Schedule'!$C39)^10))+((((('P&amp;L Schedule'!V14)*(1+($B36))*(1-('Inputs &amp; Assumptions'!$C$73)))*(1-((($B36)/('WACC Schedule'!$C39))))/(('WACC Schedule'!$C39)-($B36))))*(1/(1+'WACC Schedule'!$C39)^10))))-(Schedules!$L$93)+(IFERROR(INDEX(HS_CONSOLIDATED!M:M,MATCH("CashAndCashEquivalents",HS_CONSOLIDATED!$C:$C,0)),0)))/'WACC Schedule'!$C7</f>
        <v>52.129712443326035</v>
      </c>
      <c r="D36" s="168">
        <f>IFERROR(C36-C30,"")</f>
        <v>-3.9102875566739641</v>
      </c>
    </row>
    <row r="37" spans="2:4">
      <c r="B37" s="145">
        <f>'WACC Schedule'!$C39-(11*0.01)</f>
        <v>-3.1132782048523405E-2</v>
      </c>
      <c r="C37" s="163">
        <f>(((((((('P&amp;L Schedule'!M14)*(1-(IFERROR(Schedules!M107/Schedules!M106,0))))+((-'P&amp;L Schedule'!M13))+((-Schedules!M53))+((Schedules!M45*(1)))))*(1/(1+'WACC Schedule'!$C39)^1)+(((('P&amp;L Schedule'!N14)*(1-(IFERROR(Schedules!N107/Schedules!N106,0))))+((-'P&amp;L Schedule'!N13))+((-Schedules!N53))+((Schedules!N45*(1)))))*(1/(1+'WACC Schedule'!$C39)^2)+(((('P&amp;L Schedule'!O14)*(1-(IFERROR(Schedules!O107/Schedules!O106,0))))+((-'P&amp;L Schedule'!O13))+((-Schedules!O53))+((Schedules!O45*(1)))))*(1/(1+'WACC Schedule'!$C39)^3)+(((('P&amp;L Schedule'!P14)*(1-(IFERROR(Schedules!P107/Schedules!P106,0))))+((-'P&amp;L Schedule'!P13))+((-Schedules!P53))+((Schedules!P45*(1)))))*(1/(1+'WACC Schedule'!$C39)^4)+(((('P&amp;L Schedule'!Q14)*(1-(IFERROR(Schedules!Q107/Schedules!Q106,0))))+((-'P&amp;L Schedule'!Q13))+((-Schedules!Q53))+((Schedules!Q45*(1)))))*(1/(1+'WACC Schedule'!$C39)^5)+(((('P&amp;L Schedule'!R14)*(1-(IFERROR(Schedules!R107/Schedules!R106,0))))+((-'P&amp;L Schedule'!R13))+((-Schedules!R53))+((Schedules!R45*(1)))))*(1/(1+'WACC Schedule'!$C39)^6)+(((('P&amp;L Schedule'!S14)*(1-(IFERROR(Schedules!S107/Schedules!S106,0))))+((-'P&amp;L Schedule'!S13))+((-Schedules!S53))+((Schedules!S45*(1)))))*(1/(1+'WACC Schedule'!$C39)^7)+(((('P&amp;L Schedule'!T14)*(1-(IFERROR(Schedules!T107/Schedules!T106,0))))+((-'P&amp;L Schedule'!T13))+((-Schedules!T53))+((Schedules!T45*(1)))))*(1/(1+'WACC Schedule'!$C39)^8)+(((('P&amp;L Schedule'!U14)*(1-(IFERROR(Schedules!U107/Schedules!U106,0))))+((-'P&amp;L Schedule'!U13))+((-Schedules!U53))+((Schedules!U45*(1)))))*(1/(1+'WACC Schedule'!$C39)^9)+(((('P&amp;L Schedule'!V14)*(1-(IFERROR(Schedules!V107/Schedules!V106,0))))+((-'P&amp;L Schedule'!V13))+((-Schedules!V53))+((Schedules!V45*(1)))))*(1/(1+'WACC Schedule'!$C39)^10))+((((('P&amp;L Schedule'!V14)*(1+($B37))*(1-('Inputs &amp; Assumptions'!$C$73)))*(1-((($B37)/('WACC Schedule'!$C39))))/(('WACC Schedule'!$C39)-($B37))))*(1/(1+'WACC Schedule'!$C39)^10))))-(Schedules!$L$93)+(IFERROR(INDEX(HS_CONSOLIDATED!M:M,MATCH("CashAndCashEquivalents",HS_CONSOLIDATED!$C:$C,0)),0)))/'WACC Schedule'!$C7</f>
        <v>52.559274675391109</v>
      </c>
      <c r="D37" s="168">
        <f>IFERROR(C37-C30,"")</f>
        <v>-3.4807253246088905</v>
      </c>
    </row>
    <row r="38" spans="2:4">
      <c r="B38" s="145">
        <f>'WACC Schedule'!$C39-(10*0.01)</f>
        <v>-2.113278204852341E-2</v>
      </c>
      <c r="C38" s="163">
        <f>(((((((('P&amp;L Schedule'!M14)*(1-(IFERROR(Schedules!M107/Schedules!M106,0))))+((-'P&amp;L Schedule'!M13))+((-Schedules!M53))+((Schedules!M45*(1)))))*(1/(1+'WACC Schedule'!$C39)^1)+(((('P&amp;L Schedule'!N14)*(1-(IFERROR(Schedules!N107/Schedules!N106,0))))+((-'P&amp;L Schedule'!N13))+((-Schedules!N53))+((Schedules!N45*(1)))))*(1/(1+'WACC Schedule'!$C39)^2)+(((('P&amp;L Schedule'!O14)*(1-(IFERROR(Schedules!O107/Schedules!O106,0))))+((-'P&amp;L Schedule'!O13))+((-Schedules!O53))+((Schedules!O45*(1)))))*(1/(1+'WACC Schedule'!$C39)^3)+(((('P&amp;L Schedule'!P14)*(1-(IFERROR(Schedules!P107/Schedules!P106,0))))+((-'P&amp;L Schedule'!P13))+((-Schedules!P53))+((Schedules!P45*(1)))))*(1/(1+'WACC Schedule'!$C39)^4)+(((('P&amp;L Schedule'!Q14)*(1-(IFERROR(Schedules!Q107/Schedules!Q106,0))))+((-'P&amp;L Schedule'!Q13))+((-Schedules!Q53))+((Schedules!Q45*(1)))))*(1/(1+'WACC Schedule'!$C39)^5)+(((('P&amp;L Schedule'!R14)*(1-(IFERROR(Schedules!R107/Schedules!R106,0))))+((-'P&amp;L Schedule'!R13))+((-Schedules!R53))+((Schedules!R45*(1)))))*(1/(1+'WACC Schedule'!$C39)^6)+(((('P&amp;L Schedule'!S14)*(1-(IFERROR(Schedules!S107/Schedules!S106,0))))+((-'P&amp;L Schedule'!S13))+((-Schedules!S53))+((Schedules!S45*(1)))))*(1/(1+'WACC Schedule'!$C39)^7)+(((('P&amp;L Schedule'!T14)*(1-(IFERROR(Schedules!T107/Schedules!T106,0))))+((-'P&amp;L Schedule'!T13))+((-Schedules!T53))+((Schedules!T45*(1)))))*(1/(1+'WACC Schedule'!$C39)^8)+(((('P&amp;L Schedule'!U14)*(1-(IFERROR(Schedules!U107/Schedules!U106,0))))+((-'P&amp;L Schedule'!U13))+((-Schedules!U53))+((Schedules!U45*(1)))))*(1/(1+'WACC Schedule'!$C39)^9)+(((('P&amp;L Schedule'!V14)*(1-(IFERROR(Schedules!V107/Schedules!V106,0))))+((-'P&amp;L Schedule'!V13))+((-Schedules!V53))+((Schedules!V45*(1)))))*(1/(1+'WACC Schedule'!$C39)^10))+((((('P&amp;L Schedule'!V14)*(1+($B38))*(1-('Inputs &amp; Assumptions'!$C$73)))*(1-((($B38)/('WACC Schedule'!$C39))))/(('WACC Schedule'!$C39)-($B38))))*(1/(1+'WACC Schedule'!$C39)^10))))-(Schedules!$L$93)+(IFERROR(INDEX(HS_CONSOLIDATED!M:M,MATCH("CashAndCashEquivalents",HS_CONSOLIDATED!$C:$C,0)),0)))/'WACC Schedule'!$C7</f>
        <v>52.988836907456168</v>
      </c>
      <c r="D38" s="168">
        <f>IFERROR(C38-C30,"")</f>
        <v>-3.0511630925438311</v>
      </c>
    </row>
    <row r="39" spans="2:4">
      <c r="B39" s="145">
        <f>'WACC Schedule'!$C39-(9*0.01)</f>
        <v>-1.1132782048523401E-2</v>
      </c>
      <c r="C39" s="163">
        <f>(((((((('P&amp;L Schedule'!M14)*(1-(IFERROR(Schedules!M107/Schedules!M106,0))))+((-'P&amp;L Schedule'!M13))+((-Schedules!M53))+((Schedules!M45*(1)))))*(1/(1+'WACC Schedule'!$C39)^1)+(((('P&amp;L Schedule'!N14)*(1-(IFERROR(Schedules!N107/Schedules!N106,0))))+((-'P&amp;L Schedule'!N13))+((-Schedules!N53))+((Schedules!N45*(1)))))*(1/(1+'WACC Schedule'!$C39)^2)+(((('P&amp;L Schedule'!O14)*(1-(IFERROR(Schedules!O107/Schedules!O106,0))))+((-'P&amp;L Schedule'!O13))+((-Schedules!O53))+((Schedules!O45*(1)))))*(1/(1+'WACC Schedule'!$C39)^3)+(((('P&amp;L Schedule'!P14)*(1-(IFERROR(Schedules!P107/Schedules!P106,0))))+((-'P&amp;L Schedule'!P13))+((-Schedules!P53))+((Schedules!P45*(1)))))*(1/(1+'WACC Schedule'!$C39)^4)+(((('P&amp;L Schedule'!Q14)*(1-(IFERROR(Schedules!Q107/Schedules!Q106,0))))+((-'P&amp;L Schedule'!Q13))+((-Schedules!Q53))+((Schedules!Q45*(1)))))*(1/(1+'WACC Schedule'!$C39)^5)+(((('P&amp;L Schedule'!R14)*(1-(IFERROR(Schedules!R107/Schedules!R106,0))))+((-'P&amp;L Schedule'!R13))+((-Schedules!R53))+((Schedules!R45*(1)))))*(1/(1+'WACC Schedule'!$C39)^6)+(((('P&amp;L Schedule'!S14)*(1-(IFERROR(Schedules!S107/Schedules!S106,0))))+((-'P&amp;L Schedule'!S13))+((-Schedules!S53))+((Schedules!S45*(1)))))*(1/(1+'WACC Schedule'!$C39)^7)+(((('P&amp;L Schedule'!T14)*(1-(IFERROR(Schedules!T107/Schedules!T106,0))))+((-'P&amp;L Schedule'!T13))+((-Schedules!T53))+((Schedules!T45*(1)))))*(1/(1+'WACC Schedule'!$C39)^8)+(((('P&amp;L Schedule'!U14)*(1-(IFERROR(Schedules!U107/Schedules!U106,0))))+((-'P&amp;L Schedule'!U13))+((-Schedules!U53))+((Schedules!U45*(1)))))*(1/(1+'WACC Schedule'!$C39)^9)+(((('P&amp;L Schedule'!V14)*(1-(IFERROR(Schedules!V107/Schedules!V106,0))))+((-'P&amp;L Schedule'!V13))+((-Schedules!V53))+((Schedules!V45*(1)))))*(1/(1+'WACC Schedule'!$C39)^10))+((((('P&amp;L Schedule'!V14)*(1+($B39))*(1-('Inputs &amp; Assumptions'!$C$73)))*(1-((($B39)/('WACC Schedule'!$C39))))/(('WACC Schedule'!$C39)-($B39))))*(1/(1+'WACC Schedule'!$C39)^10))))-(Schedules!$L$93)+(IFERROR(INDEX(HS_CONSOLIDATED!M:M,MATCH("CashAndCashEquivalents",HS_CONSOLIDATED!$C:$C,0)),0)))/'WACC Schedule'!$C7</f>
        <v>53.418399139521235</v>
      </c>
      <c r="D39" s="168">
        <f>IFERROR(C39-C30,"")</f>
        <v>-2.6216008604787646</v>
      </c>
    </row>
    <row r="40" spans="2:4">
      <c r="B40" s="145">
        <f>'WACC Schedule'!$C39-(8*0.01)</f>
        <v>-1.1327820485234064E-3</v>
      </c>
      <c r="C40" s="163">
        <f>(((((((('P&amp;L Schedule'!M14)*(1-(IFERROR(Schedules!M107/Schedules!M106,0))))+((-'P&amp;L Schedule'!M13))+((-Schedules!M53))+((Schedules!M45*(1)))))*(1/(1+'WACC Schedule'!$C39)^1)+(((('P&amp;L Schedule'!N14)*(1-(IFERROR(Schedules!N107/Schedules!N106,0))))+((-'P&amp;L Schedule'!N13))+((-Schedules!N53))+((Schedules!N45*(1)))))*(1/(1+'WACC Schedule'!$C39)^2)+(((('P&amp;L Schedule'!O14)*(1-(IFERROR(Schedules!O107/Schedules!O106,0))))+((-'P&amp;L Schedule'!O13))+((-Schedules!O53))+((Schedules!O45*(1)))))*(1/(1+'WACC Schedule'!$C39)^3)+(((('P&amp;L Schedule'!P14)*(1-(IFERROR(Schedules!P107/Schedules!P106,0))))+((-'P&amp;L Schedule'!P13))+((-Schedules!P53))+((Schedules!P45*(1)))))*(1/(1+'WACC Schedule'!$C39)^4)+(((('P&amp;L Schedule'!Q14)*(1-(IFERROR(Schedules!Q107/Schedules!Q106,0))))+((-'P&amp;L Schedule'!Q13))+((-Schedules!Q53))+((Schedules!Q45*(1)))))*(1/(1+'WACC Schedule'!$C39)^5)+(((('P&amp;L Schedule'!R14)*(1-(IFERROR(Schedules!R107/Schedules!R106,0))))+((-'P&amp;L Schedule'!R13))+((-Schedules!R53))+((Schedules!R45*(1)))))*(1/(1+'WACC Schedule'!$C39)^6)+(((('P&amp;L Schedule'!S14)*(1-(IFERROR(Schedules!S107/Schedules!S106,0))))+((-'P&amp;L Schedule'!S13))+((-Schedules!S53))+((Schedules!S45*(1)))))*(1/(1+'WACC Schedule'!$C39)^7)+(((('P&amp;L Schedule'!T14)*(1-(IFERROR(Schedules!T107/Schedules!T106,0))))+((-'P&amp;L Schedule'!T13))+((-Schedules!T53))+((Schedules!T45*(1)))))*(1/(1+'WACC Schedule'!$C39)^8)+(((('P&amp;L Schedule'!U14)*(1-(IFERROR(Schedules!U107/Schedules!U106,0))))+((-'P&amp;L Schedule'!U13))+((-Schedules!U53))+((Schedules!U45*(1)))))*(1/(1+'WACC Schedule'!$C39)^9)+(((('P&amp;L Schedule'!V14)*(1-(IFERROR(Schedules!V107/Schedules!V106,0))))+((-'P&amp;L Schedule'!V13))+((-Schedules!V53))+((Schedules!V45*(1)))))*(1/(1+'WACC Schedule'!$C39)^10))+((((('P&amp;L Schedule'!V14)*(1+($B40))*(1-('Inputs &amp; Assumptions'!$C$73)))*(1-((($B40)/('WACC Schedule'!$C39))))/(('WACC Schedule'!$C39)-($B40))))*(1/(1+'WACC Schedule'!$C39)^10))))-(Schedules!$L$93)+(IFERROR(INDEX(HS_CONSOLIDATED!M:M,MATCH("CashAndCashEquivalents",HS_CONSOLIDATED!$C:$C,0)),0)))/'WACC Schedule'!$C7</f>
        <v>53.847961371586301</v>
      </c>
      <c r="D40" s="168">
        <f>IFERROR(C40-C30,"")</f>
        <v>-2.1920386284136981</v>
      </c>
    </row>
    <row r="41" spans="2:4">
      <c r="B41" s="145">
        <f>'WACC Schedule'!$C39-(7*0.01)</f>
        <v>8.8672179514765886E-3</v>
      </c>
      <c r="C41" s="163">
        <f>(((((((('P&amp;L Schedule'!M14)*(1-(IFERROR(Schedules!M107/Schedules!M106,0))))+((-'P&amp;L Schedule'!M13))+((-Schedules!M53))+((Schedules!M45*(1)))))*(1/(1+'WACC Schedule'!$C39)^1)+(((('P&amp;L Schedule'!N14)*(1-(IFERROR(Schedules!N107/Schedules!N106,0))))+((-'P&amp;L Schedule'!N13))+((-Schedules!N53))+((Schedules!N45*(1)))))*(1/(1+'WACC Schedule'!$C39)^2)+(((('P&amp;L Schedule'!O14)*(1-(IFERROR(Schedules!O107/Schedules!O106,0))))+((-'P&amp;L Schedule'!O13))+((-Schedules!O53))+((Schedules!O45*(1)))))*(1/(1+'WACC Schedule'!$C39)^3)+(((('P&amp;L Schedule'!P14)*(1-(IFERROR(Schedules!P107/Schedules!P106,0))))+((-'P&amp;L Schedule'!P13))+((-Schedules!P53))+((Schedules!P45*(1)))))*(1/(1+'WACC Schedule'!$C39)^4)+(((('P&amp;L Schedule'!Q14)*(1-(IFERROR(Schedules!Q107/Schedules!Q106,0))))+((-'P&amp;L Schedule'!Q13))+((-Schedules!Q53))+((Schedules!Q45*(1)))))*(1/(1+'WACC Schedule'!$C39)^5)+(((('P&amp;L Schedule'!R14)*(1-(IFERROR(Schedules!R107/Schedules!R106,0))))+((-'P&amp;L Schedule'!R13))+((-Schedules!R53))+((Schedules!R45*(1)))))*(1/(1+'WACC Schedule'!$C39)^6)+(((('P&amp;L Schedule'!S14)*(1-(IFERROR(Schedules!S107/Schedules!S106,0))))+((-'P&amp;L Schedule'!S13))+((-Schedules!S53))+((Schedules!S45*(1)))))*(1/(1+'WACC Schedule'!$C39)^7)+(((('P&amp;L Schedule'!T14)*(1-(IFERROR(Schedules!T107/Schedules!T106,0))))+((-'P&amp;L Schedule'!T13))+((-Schedules!T53))+((Schedules!T45*(1)))))*(1/(1+'WACC Schedule'!$C39)^8)+(((('P&amp;L Schedule'!U14)*(1-(IFERROR(Schedules!U107/Schedules!U106,0))))+((-'P&amp;L Schedule'!U13))+((-Schedules!U53))+((Schedules!U45*(1)))))*(1/(1+'WACC Schedule'!$C39)^9)+(((('P&amp;L Schedule'!V14)*(1-(IFERROR(Schedules!V107/Schedules!V106,0))))+((-'P&amp;L Schedule'!V13))+((-Schedules!V53))+((Schedules!V45*(1)))))*(1/(1+'WACC Schedule'!$C39)^10))+((((('P&amp;L Schedule'!V14)*(1+($B41))*(1-('Inputs &amp; Assumptions'!$C$73)))*(1-((($B41)/('WACC Schedule'!$C39))))/(('WACC Schedule'!$C39)-($B41))))*(1/(1+'WACC Schedule'!$C39)^10))))-(Schedules!$L$93)+(IFERROR(INDEX(HS_CONSOLIDATED!M:M,MATCH("CashAndCashEquivalents",HS_CONSOLIDATED!$C:$C,0)),0)))/'WACC Schedule'!$C7</f>
        <v>54.277523603651389</v>
      </c>
      <c r="D41" s="168">
        <f>IFERROR(C41-C30,"")</f>
        <v>-1.7624763963486103</v>
      </c>
    </row>
    <row r="42" spans="2:4">
      <c r="B42" s="145">
        <f>'WACC Schedule'!$C39-(6*0.01)</f>
        <v>1.8867217951476598E-2</v>
      </c>
      <c r="C42" s="163">
        <f>(((((((('P&amp;L Schedule'!M14)*(1-(IFERROR(Schedules!M107/Schedules!M106,0))))+((-'P&amp;L Schedule'!M13))+((-Schedules!M53))+((Schedules!M45*(1)))))*(1/(1+'WACC Schedule'!$C39)^1)+(((('P&amp;L Schedule'!N14)*(1-(IFERROR(Schedules!N107/Schedules!N106,0))))+((-'P&amp;L Schedule'!N13))+((-Schedules!N53))+((Schedules!N45*(1)))))*(1/(1+'WACC Schedule'!$C39)^2)+(((('P&amp;L Schedule'!O14)*(1-(IFERROR(Schedules!O107/Schedules!O106,0))))+((-'P&amp;L Schedule'!O13))+((-Schedules!O53))+((Schedules!O45*(1)))))*(1/(1+'WACC Schedule'!$C39)^3)+(((('P&amp;L Schedule'!P14)*(1-(IFERROR(Schedules!P107/Schedules!P106,0))))+((-'P&amp;L Schedule'!P13))+((-Schedules!P53))+((Schedules!P45*(1)))))*(1/(1+'WACC Schedule'!$C39)^4)+(((('P&amp;L Schedule'!Q14)*(1-(IFERROR(Schedules!Q107/Schedules!Q106,0))))+((-'P&amp;L Schedule'!Q13))+((-Schedules!Q53))+((Schedules!Q45*(1)))))*(1/(1+'WACC Schedule'!$C39)^5)+(((('P&amp;L Schedule'!R14)*(1-(IFERROR(Schedules!R107/Schedules!R106,0))))+((-'P&amp;L Schedule'!R13))+((-Schedules!R53))+((Schedules!R45*(1)))))*(1/(1+'WACC Schedule'!$C39)^6)+(((('P&amp;L Schedule'!S14)*(1-(IFERROR(Schedules!S107/Schedules!S106,0))))+((-'P&amp;L Schedule'!S13))+((-Schedules!S53))+((Schedules!S45*(1)))))*(1/(1+'WACC Schedule'!$C39)^7)+(((('P&amp;L Schedule'!T14)*(1-(IFERROR(Schedules!T107/Schedules!T106,0))))+((-'P&amp;L Schedule'!T13))+((-Schedules!T53))+((Schedules!T45*(1)))))*(1/(1+'WACC Schedule'!$C39)^8)+(((('P&amp;L Schedule'!U14)*(1-(IFERROR(Schedules!U107/Schedules!U106,0))))+((-'P&amp;L Schedule'!U13))+((-Schedules!U53))+((Schedules!U45*(1)))))*(1/(1+'WACC Schedule'!$C39)^9)+(((('P&amp;L Schedule'!V14)*(1-(IFERROR(Schedules!V107/Schedules!V106,0))))+((-'P&amp;L Schedule'!V13))+((-Schedules!V53))+((Schedules!V45*(1)))))*(1/(1+'WACC Schedule'!$C39)^10))+((((('P&amp;L Schedule'!V14)*(1+($B42))*(1-('Inputs &amp; Assumptions'!$C$73)))*(1-((($B42)/('WACC Schedule'!$C39))))/(('WACC Schedule'!$C39)-($B42))))*(1/(1+'WACC Schedule'!$C39)^10))))-(Schedules!$L$93)+(IFERROR(INDEX(HS_CONSOLIDATED!M:M,MATCH("CashAndCashEquivalents",HS_CONSOLIDATED!$C:$C,0)),0)))/'WACC Schedule'!$C7</f>
        <v>54.707085835716448</v>
      </c>
      <c r="D42" s="168">
        <f>IFERROR(C42-C30,"")</f>
        <v>-1.3329141642835509</v>
      </c>
    </row>
    <row r="43" spans="2:4">
      <c r="B43" s="145">
        <f>'WACC Schedule'!$C39-(5*0.01)</f>
        <v>2.8867217951476593E-2</v>
      </c>
      <c r="C43" s="163">
        <f>(((((((('P&amp;L Schedule'!M14)*(1-(IFERROR(Schedules!M107/Schedules!M106,0))))+((-'P&amp;L Schedule'!M13))+((-Schedules!M53))+((Schedules!M45*(1)))))*(1/(1+'WACC Schedule'!$C39)^1)+(((('P&amp;L Schedule'!N14)*(1-(IFERROR(Schedules!N107/Schedules!N106,0))))+((-'P&amp;L Schedule'!N13))+((-Schedules!N53))+((Schedules!N45*(1)))))*(1/(1+'WACC Schedule'!$C39)^2)+(((('P&amp;L Schedule'!O14)*(1-(IFERROR(Schedules!O107/Schedules!O106,0))))+((-'P&amp;L Schedule'!O13))+((-Schedules!O53))+((Schedules!O45*(1)))))*(1/(1+'WACC Schedule'!$C39)^3)+(((('P&amp;L Schedule'!P14)*(1-(IFERROR(Schedules!P107/Schedules!P106,0))))+((-'P&amp;L Schedule'!P13))+((-Schedules!P53))+((Schedules!P45*(1)))))*(1/(1+'WACC Schedule'!$C39)^4)+(((('P&amp;L Schedule'!Q14)*(1-(IFERROR(Schedules!Q107/Schedules!Q106,0))))+((-'P&amp;L Schedule'!Q13))+((-Schedules!Q53))+((Schedules!Q45*(1)))))*(1/(1+'WACC Schedule'!$C39)^5)+(((('P&amp;L Schedule'!R14)*(1-(IFERROR(Schedules!R107/Schedules!R106,0))))+((-'P&amp;L Schedule'!R13))+((-Schedules!R53))+((Schedules!R45*(1)))))*(1/(1+'WACC Schedule'!$C39)^6)+(((('P&amp;L Schedule'!S14)*(1-(IFERROR(Schedules!S107/Schedules!S106,0))))+((-'P&amp;L Schedule'!S13))+((-Schedules!S53))+((Schedules!S45*(1)))))*(1/(1+'WACC Schedule'!$C39)^7)+(((('P&amp;L Schedule'!T14)*(1-(IFERROR(Schedules!T107/Schedules!T106,0))))+((-'P&amp;L Schedule'!T13))+((-Schedules!T53))+((Schedules!T45*(1)))))*(1/(1+'WACC Schedule'!$C39)^8)+(((('P&amp;L Schedule'!U14)*(1-(IFERROR(Schedules!U107/Schedules!U106,0))))+((-'P&amp;L Schedule'!U13))+((-Schedules!U53))+((Schedules!U45*(1)))))*(1/(1+'WACC Schedule'!$C39)^9)+(((('P&amp;L Schedule'!V14)*(1-(IFERROR(Schedules!V107/Schedules!V106,0))))+((-'P&amp;L Schedule'!V13))+((-Schedules!V53))+((Schedules!V45*(1)))))*(1/(1+'WACC Schedule'!$C39)^10))+((((('P&amp;L Schedule'!V14)*(1+($B43))*(1-('Inputs &amp; Assumptions'!$C$73)))*(1-((($B43)/('WACC Schedule'!$C39))))/(('WACC Schedule'!$C39)-($B43))))*(1/(1+'WACC Schedule'!$C39)^10))))-(Schedules!$L$93)+(IFERROR(INDEX(HS_CONSOLIDATED!M:M,MATCH("CashAndCashEquivalents",HS_CONSOLIDATED!$C:$C,0)),0)))/'WACC Schedule'!$C7</f>
        <v>55.136648067781515</v>
      </c>
      <c r="D43" s="168">
        <f>IFERROR(C43-C30,"")</f>
        <v>-0.90335193221848442</v>
      </c>
    </row>
    <row r="44" spans="2:4">
      <c r="B44" s="145">
        <f>'WACC Schedule'!$C39-(4*0.01)</f>
        <v>3.8867217951476594E-2</v>
      </c>
      <c r="C44" s="163">
        <f>(((((((('P&amp;L Schedule'!M14)*(1-(IFERROR(Schedules!M107/Schedules!M106,0))))+((-'P&amp;L Schedule'!M13))+((-Schedules!M53))+((Schedules!M45*(1)))))*(1/(1+'WACC Schedule'!$C39)^1)+(((('P&amp;L Schedule'!N14)*(1-(IFERROR(Schedules!N107/Schedules!N106,0))))+((-'P&amp;L Schedule'!N13))+((-Schedules!N53))+((Schedules!N45*(1)))))*(1/(1+'WACC Schedule'!$C39)^2)+(((('P&amp;L Schedule'!O14)*(1-(IFERROR(Schedules!O107/Schedules!O106,0))))+((-'P&amp;L Schedule'!O13))+((-Schedules!O53))+((Schedules!O45*(1)))))*(1/(1+'WACC Schedule'!$C39)^3)+(((('P&amp;L Schedule'!P14)*(1-(IFERROR(Schedules!P107/Schedules!P106,0))))+((-'P&amp;L Schedule'!P13))+((-Schedules!P53))+((Schedules!P45*(1)))))*(1/(1+'WACC Schedule'!$C39)^4)+(((('P&amp;L Schedule'!Q14)*(1-(IFERROR(Schedules!Q107/Schedules!Q106,0))))+((-'P&amp;L Schedule'!Q13))+((-Schedules!Q53))+((Schedules!Q45*(1)))))*(1/(1+'WACC Schedule'!$C39)^5)+(((('P&amp;L Schedule'!R14)*(1-(IFERROR(Schedules!R107/Schedules!R106,0))))+((-'P&amp;L Schedule'!R13))+((-Schedules!R53))+((Schedules!R45*(1)))))*(1/(1+'WACC Schedule'!$C39)^6)+(((('P&amp;L Schedule'!S14)*(1-(IFERROR(Schedules!S107/Schedules!S106,0))))+((-'P&amp;L Schedule'!S13))+((-Schedules!S53))+((Schedules!S45*(1)))))*(1/(1+'WACC Schedule'!$C39)^7)+(((('P&amp;L Schedule'!T14)*(1-(IFERROR(Schedules!T107/Schedules!T106,0))))+((-'P&amp;L Schedule'!T13))+((-Schedules!T53))+((Schedules!T45*(1)))))*(1/(1+'WACC Schedule'!$C39)^8)+(((('P&amp;L Schedule'!U14)*(1-(IFERROR(Schedules!U107/Schedules!U106,0))))+((-'P&amp;L Schedule'!U13))+((-Schedules!U53))+((Schedules!U45*(1)))))*(1/(1+'WACC Schedule'!$C39)^9)+(((('P&amp;L Schedule'!V14)*(1-(IFERROR(Schedules!V107/Schedules!V106,0))))+((-'P&amp;L Schedule'!V13))+((-Schedules!V53))+((Schedules!V45*(1)))))*(1/(1+'WACC Schedule'!$C39)^10))+((((('P&amp;L Schedule'!V14)*(1+($B44))*(1-('Inputs &amp; Assumptions'!$C$73)))*(1-((($B44)/('WACC Schedule'!$C39))))/(('WACC Schedule'!$C39)-($B44))))*(1/(1+'WACC Schedule'!$C39)^10))))-(Schedules!$L$93)+(IFERROR(INDEX(HS_CONSOLIDATED!M:M,MATCH("CashAndCashEquivalents",HS_CONSOLIDATED!$C:$C,0)),0)))/'WACC Schedule'!$C7</f>
        <v>55.566210299846588</v>
      </c>
      <c r="D44" s="168">
        <f>IFERROR(C44-C30,"")</f>
        <v>-0.47378970015341082</v>
      </c>
    </row>
    <row r="45" spans="2:4">
      <c r="B45" s="145">
        <f>'WACC Schedule'!$C39-(3*0.01)</f>
        <v>4.8867217951476596E-2</v>
      </c>
      <c r="C45" s="163">
        <f>(((((((('P&amp;L Schedule'!M14)*(1-(IFERROR(Schedules!M107/Schedules!M106,0))))+((-'P&amp;L Schedule'!M13))+((-Schedules!M53))+((Schedules!M45*(1)))))*(1/(1+'WACC Schedule'!$C39)^1)+(((('P&amp;L Schedule'!N14)*(1-(IFERROR(Schedules!N107/Schedules!N106,0))))+((-'P&amp;L Schedule'!N13))+((-Schedules!N53))+((Schedules!N45*(1)))))*(1/(1+'WACC Schedule'!$C39)^2)+(((('P&amp;L Schedule'!O14)*(1-(IFERROR(Schedules!O107/Schedules!O106,0))))+((-'P&amp;L Schedule'!O13))+((-Schedules!O53))+((Schedules!O45*(1)))))*(1/(1+'WACC Schedule'!$C39)^3)+(((('P&amp;L Schedule'!P14)*(1-(IFERROR(Schedules!P107/Schedules!P106,0))))+((-'P&amp;L Schedule'!P13))+((-Schedules!P53))+((Schedules!P45*(1)))))*(1/(1+'WACC Schedule'!$C39)^4)+(((('P&amp;L Schedule'!Q14)*(1-(IFERROR(Schedules!Q107/Schedules!Q106,0))))+((-'P&amp;L Schedule'!Q13))+((-Schedules!Q53))+((Schedules!Q45*(1)))))*(1/(1+'WACC Schedule'!$C39)^5)+(((('P&amp;L Schedule'!R14)*(1-(IFERROR(Schedules!R107/Schedules!R106,0))))+((-'P&amp;L Schedule'!R13))+((-Schedules!R53))+((Schedules!R45*(1)))))*(1/(1+'WACC Schedule'!$C39)^6)+(((('P&amp;L Schedule'!S14)*(1-(IFERROR(Schedules!S107/Schedules!S106,0))))+((-'P&amp;L Schedule'!S13))+((-Schedules!S53))+((Schedules!S45*(1)))))*(1/(1+'WACC Schedule'!$C39)^7)+(((('P&amp;L Schedule'!T14)*(1-(IFERROR(Schedules!T107/Schedules!T106,0))))+((-'P&amp;L Schedule'!T13))+((-Schedules!T53))+((Schedules!T45*(1)))))*(1/(1+'WACC Schedule'!$C39)^8)+(((('P&amp;L Schedule'!U14)*(1-(IFERROR(Schedules!U107/Schedules!U106,0))))+((-'P&amp;L Schedule'!U13))+((-Schedules!U53))+((Schedules!U45*(1)))))*(1/(1+'WACC Schedule'!$C39)^9)+(((('P&amp;L Schedule'!V14)*(1-(IFERROR(Schedules!V107/Schedules!V106,0))))+((-'P&amp;L Schedule'!V13))+((-Schedules!V53))+((Schedules!V45*(1)))))*(1/(1+'WACC Schedule'!$C39)^10))+((((('P&amp;L Schedule'!V14)*(1+($B45))*(1-('Inputs &amp; Assumptions'!$C$73)))*(1-((($B45)/('WACC Schedule'!$C39))))/(('WACC Schedule'!$C39)-($B45))))*(1/(1+'WACC Schedule'!$C39)^10))))-(Schedules!$L$93)+(IFERROR(INDEX(HS_CONSOLIDATED!M:M,MATCH("CashAndCashEquivalents",HS_CONSOLIDATED!$C:$C,0)),0)))/'WACC Schedule'!$C7</f>
        <v>55.995772531911669</v>
      </c>
      <c r="D45" s="168">
        <f>IFERROR(C45-C30,"")</f>
        <v>-4.4227468088330113E-2</v>
      </c>
    </row>
    <row r="46" spans="2:4">
      <c r="B46" s="145">
        <f>'WACC Schedule'!$C39-(2*0.01)</f>
        <v>5.8867217951476591E-2</v>
      </c>
      <c r="C46" s="163">
        <f>(((((((('P&amp;L Schedule'!M14)*(1-(IFERROR(Schedules!M107/Schedules!M106,0))))+((-'P&amp;L Schedule'!M13))+((-Schedules!M53))+((Schedules!M45*(1)))))*(1/(1+'WACC Schedule'!$C39)^1)+(((('P&amp;L Schedule'!N14)*(1-(IFERROR(Schedules!N107/Schedules!N106,0))))+((-'P&amp;L Schedule'!N13))+((-Schedules!N53))+((Schedules!N45*(1)))))*(1/(1+'WACC Schedule'!$C39)^2)+(((('P&amp;L Schedule'!O14)*(1-(IFERROR(Schedules!O107/Schedules!O106,0))))+((-'P&amp;L Schedule'!O13))+((-Schedules!O53))+((Schedules!O45*(1)))))*(1/(1+'WACC Schedule'!$C39)^3)+(((('P&amp;L Schedule'!P14)*(1-(IFERROR(Schedules!P107/Schedules!P106,0))))+((-'P&amp;L Schedule'!P13))+((-Schedules!P53))+((Schedules!P45*(1)))))*(1/(1+'WACC Schedule'!$C39)^4)+(((('P&amp;L Schedule'!Q14)*(1-(IFERROR(Schedules!Q107/Schedules!Q106,0))))+((-'P&amp;L Schedule'!Q13))+((-Schedules!Q53))+((Schedules!Q45*(1)))))*(1/(1+'WACC Schedule'!$C39)^5)+(((('P&amp;L Schedule'!R14)*(1-(IFERROR(Schedules!R107/Schedules!R106,0))))+((-'P&amp;L Schedule'!R13))+((-Schedules!R53))+((Schedules!R45*(1)))))*(1/(1+'WACC Schedule'!$C39)^6)+(((('P&amp;L Schedule'!S14)*(1-(IFERROR(Schedules!S107/Schedules!S106,0))))+((-'P&amp;L Schedule'!S13))+((-Schedules!S53))+((Schedules!S45*(1)))))*(1/(1+'WACC Schedule'!$C39)^7)+(((('P&amp;L Schedule'!T14)*(1-(IFERROR(Schedules!T107/Schedules!T106,0))))+((-'P&amp;L Schedule'!T13))+((-Schedules!T53))+((Schedules!T45*(1)))))*(1/(1+'WACC Schedule'!$C39)^8)+(((('P&amp;L Schedule'!U14)*(1-(IFERROR(Schedules!U107/Schedules!U106,0))))+((-'P&amp;L Schedule'!U13))+((-Schedules!U53))+((Schedules!U45*(1)))))*(1/(1+'WACC Schedule'!$C39)^9)+(((('P&amp;L Schedule'!V14)*(1-(IFERROR(Schedules!V107/Schedules!V106,0))))+((-'P&amp;L Schedule'!V13))+((-Schedules!V53))+((Schedules!V45*(1)))))*(1/(1+'WACC Schedule'!$C39)^10))+((((('P&amp;L Schedule'!V14)*(1+($B46))*(1-('Inputs &amp; Assumptions'!$C$73)))*(1-((($B46)/('WACC Schedule'!$C39))))/(('WACC Schedule'!$C39)-($B46))))*(1/(1+'WACC Schedule'!$C39)^10))))-(Schedules!$L$93)+(IFERROR(INDEX(HS_CONSOLIDATED!M:M,MATCH("CashAndCashEquivalents",HS_CONSOLIDATED!$C:$C,0)),0)))/'WACC Schedule'!$C7</f>
        <v>56.425334763976728</v>
      </c>
      <c r="D46" s="168">
        <f>IFERROR(C46-C30,"")</f>
        <v>0.38533476397672928</v>
      </c>
    </row>
    <row r="47" spans="2:4">
      <c r="B47" s="145">
        <f>'WACC Schedule'!$C39-(1*0.01)</f>
        <v>6.88672179514766E-2</v>
      </c>
      <c r="C47" s="163">
        <f>(((((((('P&amp;L Schedule'!M14)*(1-(IFERROR(Schedules!M107/Schedules!M106,0))))+((-'P&amp;L Schedule'!M13))+((-Schedules!M53))+((Schedules!M45*(1)))))*(1/(1+'WACC Schedule'!$C39)^1)+(((('P&amp;L Schedule'!N14)*(1-(IFERROR(Schedules!N107/Schedules!N106,0))))+((-'P&amp;L Schedule'!N13))+((-Schedules!N53))+((Schedules!N45*(1)))))*(1/(1+'WACC Schedule'!$C39)^2)+(((('P&amp;L Schedule'!O14)*(1-(IFERROR(Schedules!O107/Schedules!O106,0))))+((-'P&amp;L Schedule'!O13))+((-Schedules!O53))+((Schedules!O45*(1)))))*(1/(1+'WACC Schedule'!$C39)^3)+(((('P&amp;L Schedule'!P14)*(1-(IFERROR(Schedules!P107/Schedules!P106,0))))+((-'P&amp;L Schedule'!P13))+((-Schedules!P53))+((Schedules!P45*(1)))))*(1/(1+'WACC Schedule'!$C39)^4)+(((('P&amp;L Schedule'!Q14)*(1-(IFERROR(Schedules!Q107/Schedules!Q106,0))))+((-'P&amp;L Schedule'!Q13))+((-Schedules!Q53))+((Schedules!Q45*(1)))))*(1/(1+'WACC Schedule'!$C39)^5)+(((('P&amp;L Schedule'!R14)*(1-(IFERROR(Schedules!R107/Schedules!R106,0))))+((-'P&amp;L Schedule'!R13))+((-Schedules!R53))+((Schedules!R45*(1)))))*(1/(1+'WACC Schedule'!$C39)^6)+(((('P&amp;L Schedule'!S14)*(1-(IFERROR(Schedules!S107/Schedules!S106,0))))+((-'P&amp;L Schedule'!S13))+((-Schedules!S53))+((Schedules!S45*(1)))))*(1/(1+'WACC Schedule'!$C39)^7)+(((('P&amp;L Schedule'!T14)*(1-(IFERROR(Schedules!T107/Schedules!T106,0))))+((-'P&amp;L Schedule'!T13))+((-Schedules!T53))+((Schedules!T45*(1)))))*(1/(1+'WACC Schedule'!$C39)^8)+(((('P&amp;L Schedule'!U14)*(1-(IFERROR(Schedules!U107/Schedules!U106,0))))+((-'P&amp;L Schedule'!U13))+((-Schedules!U53))+((Schedules!U45*(1)))))*(1/(1+'WACC Schedule'!$C39)^9)+(((('P&amp;L Schedule'!V14)*(1-(IFERROR(Schedules!V107/Schedules!V106,0))))+((-'P&amp;L Schedule'!V13))+((-Schedules!V53))+((Schedules!V45*(1)))))*(1/(1+'WACC Schedule'!$C39)^10))+((((('P&amp;L Schedule'!V14)*(1+($B47))*(1-('Inputs &amp; Assumptions'!$C$73)))*(1-((($B47)/('WACC Schedule'!$C39))))/(('WACC Schedule'!$C39)-($B47))))*(1/(1+'WACC Schedule'!$C39)^10))))-(Schedules!$L$93)+(IFERROR(INDEX(HS_CONSOLIDATED!M:M,MATCH("CashAndCashEquivalents",HS_CONSOLIDATED!$C:$C,0)),0)))/'WACC Schedule'!$C7</f>
        <v>56.854896996041816</v>
      </c>
      <c r="D47" s="168">
        <f>IFERROR(C47-C30,"")</f>
        <v>0.81489699604181709</v>
      </c>
    </row>
    <row r="49" spans="1:4" ht="36">
      <c r="A49" t="s">
        <v>27</v>
      </c>
      <c r="B49" s="150" t="s">
        <v>620</v>
      </c>
      <c r="C49" s="169">
        <v>5.0099999999999999E-2</v>
      </c>
      <c r="D49" s="114" t="s">
        <v>621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0000"/>
  </sheetPr>
  <dimension ref="A1:I14"/>
  <sheetViews>
    <sheetView showGridLines="0" workbookViewId="0"/>
  </sheetViews>
  <sheetFormatPr defaultRowHeight="14.5"/>
  <cols>
    <col min="1" max="1" width="3" customWidth="1"/>
    <col min="2" max="2" width="30" customWidth="1"/>
  </cols>
  <sheetData>
    <row r="1" spans="1:9">
      <c r="A1" s="59"/>
      <c r="B1" s="59"/>
      <c r="C1" s="59"/>
      <c r="D1" s="59"/>
      <c r="E1" s="59"/>
      <c r="F1" s="59"/>
      <c r="G1" s="59"/>
      <c r="H1" s="59"/>
      <c r="I1" s="59"/>
    </row>
    <row r="2" spans="1:9">
      <c r="A2" s="59"/>
      <c r="B2" s="59"/>
      <c r="C2" s="59"/>
      <c r="D2" s="59"/>
      <c r="E2" s="59"/>
      <c r="F2" s="59"/>
      <c r="G2" s="59"/>
      <c r="H2" s="59"/>
      <c r="I2" s="59"/>
    </row>
    <row r="3" spans="1:9">
      <c r="A3" s="59"/>
      <c r="B3" s="59"/>
      <c r="C3" s="59"/>
      <c r="D3" s="59"/>
      <c r="E3" s="59"/>
      <c r="F3" s="59"/>
      <c r="G3" s="59"/>
      <c r="H3" s="59"/>
      <c r="I3" s="59"/>
    </row>
    <row r="4" spans="1:9">
      <c r="A4" s="59"/>
      <c r="B4" s="59"/>
      <c r="C4" s="59"/>
      <c r="D4" s="59"/>
      <c r="E4" s="59"/>
      <c r="F4" s="59"/>
      <c r="G4" s="59"/>
      <c r="H4" s="59"/>
      <c r="I4" s="59"/>
    </row>
    <row r="5" spans="1:9">
      <c r="A5" s="59"/>
      <c r="B5" s="59"/>
      <c r="C5" s="59"/>
      <c r="D5" s="59"/>
      <c r="E5" s="59"/>
      <c r="F5" s="59"/>
      <c r="G5" s="59"/>
      <c r="H5" s="59"/>
      <c r="I5" s="59"/>
    </row>
    <row r="6" spans="1:9" ht="23.5">
      <c r="A6" s="59"/>
      <c r="B6" s="60" t="s">
        <v>622</v>
      </c>
      <c r="C6" s="59"/>
      <c r="D6" s="59"/>
      <c r="E6" s="59"/>
      <c r="F6" s="59"/>
      <c r="G6" s="59"/>
      <c r="H6" s="59"/>
      <c r="I6" s="59"/>
    </row>
    <row r="7" spans="1:9">
      <c r="A7" s="59"/>
      <c r="B7" s="59"/>
      <c r="C7" s="59"/>
      <c r="D7" s="59"/>
      <c r="E7" s="59"/>
      <c r="F7" s="59"/>
      <c r="G7" s="59"/>
      <c r="H7" s="59"/>
      <c r="I7" s="59"/>
    </row>
    <row r="8" spans="1:9">
      <c r="A8" s="59"/>
      <c r="B8" s="59"/>
      <c r="C8" s="59"/>
      <c r="D8" s="59"/>
      <c r="E8" s="59"/>
      <c r="F8" s="59"/>
      <c r="G8" s="59"/>
      <c r="H8" s="59"/>
      <c r="I8" s="59"/>
    </row>
    <row r="9" spans="1:9">
      <c r="A9" s="59"/>
      <c r="B9" s="59"/>
      <c r="C9" s="59"/>
      <c r="D9" s="59"/>
      <c r="E9" s="59"/>
      <c r="F9" s="59"/>
      <c r="G9" s="59"/>
      <c r="H9" s="59"/>
      <c r="I9" s="59"/>
    </row>
    <row r="10" spans="1:9">
      <c r="A10" s="59"/>
      <c r="B10" s="59"/>
      <c r="C10" s="59"/>
      <c r="D10" s="59"/>
      <c r="E10" s="59"/>
      <c r="F10" s="59"/>
      <c r="G10" s="59"/>
      <c r="H10" s="59"/>
      <c r="I10" s="59"/>
    </row>
    <row r="11" spans="1:9">
      <c r="A11" s="59"/>
      <c r="B11" s="59"/>
      <c r="C11" s="59"/>
      <c r="D11" s="59"/>
      <c r="E11" s="59"/>
      <c r="F11" s="59"/>
      <c r="G11" s="59"/>
      <c r="H11" s="59"/>
      <c r="I11" s="59"/>
    </row>
    <row r="12" spans="1:9">
      <c r="A12" s="59"/>
      <c r="B12" s="59"/>
      <c r="C12" s="59"/>
      <c r="D12" s="59"/>
      <c r="E12" s="59"/>
      <c r="F12" s="59"/>
      <c r="G12" s="59"/>
      <c r="H12" s="59"/>
      <c r="I12" s="59"/>
    </row>
    <row r="13" spans="1:9">
      <c r="A13" s="59"/>
      <c r="B13" s="59"/>
      <c r="C13" s="59"/>
      <c r="D13" s="59"/>
      <c r="E13" s="59"/>
      <c r="F13" s="59"/>
      <c r="G13" s="59"/>
      <c r="H13" s="59"/>
      <c r="I13" s="59"/>
    </row>
    <row r="14" spans="1:9">
      <c r="A14" s="59"/>
      <c r="B14" s="59"/>
      <c r="C14" s="59"/>
      <c r="D14" s="59"/>
      <c r="E14" s="59"/>
      <c r="F14" s="59"/>
      <c r="G14" s="59"/>
      <c r="H14" s="59"/>
      <c r="I14" s="59"/>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761"/>
  <sheetViews>
    <sheetView workbookViewId="0"/>
  </sheetViews>
  <sheetFormatPr defaultRowHeight="14.5"/>
  <cols>
    <col min="1" max="1" width="3" customWidth="1"/>
    <col min="2" max="2" width="62" customWidth="1"/>
    <col min="3" max="3" width="42" customWidth="1"/>
    <col min="4" max="13" width="22" customWidth="1"/>
  </cols>
  <sheetData>
    <row r="1" spans="1:13" ht="18.5">
      <c r="B1" s="61" t="s">
        <v>623</v>
      </c>
    </row>
    <row r="3" spans="1:13">
      <c r="A3" t="s">
        <v>27</v>
      </c>
      <c r="B3" s="24" t="s">
        <v>113</v>
      </c>
    </row>
    <row r="4" spans="1:13">
      <c r="B4" t="s">
        <v>624</v>
      </c>
    </row>
    <row r="6" spans="1:13">
      <c r="C6" s="62" t="s">
        <v>625</v>
      </c>
      <c r="D6" s="24" t="s">
        <v>30</v>
      </c>
      <c r="E6" s="24" t="s">
        <v>31</v>
      </c>
      <c r="F6" s="24" t="s">
        <v>32</v>
      </c>
      <c r="G6" s="24" t="s">
        <v>33</v>
      </c>
      <c r="H6" s="24" t="s">
        <v>34</v>
      </c>
      <c r="I6" s="24" t="s">
        <v>35</v>
      </c>
      <c r="J6" s="24" t="s">
        <v>36</v>
      </c>
      <c r="K6" s="24" t="s">
        <v>37</v>
      </c>
      <c r="L6" s="24" t="s">
        <v>38</v>
      </c>
      <c r="M6" s="24" t="s">
        <v>39</v>
      </c>
    </row>
    <row r="7" spans="1:13" ht="15.5">
      <c r="B7" s="42" t="s">
        <v>114</v>
      </c>
    </row>
    <row r="8" spans="1:13">
      <c r="B8" s="63" t="s">
        <v>115</v>
      </c>
      <c r="C8" s="64" t="s">
        <v>626</v>
      </c>
      <c r="D8" s="65">
        <v>0</v>
      </c>
      <c r="E8" s="65">
        <v>127143700000</v>
      </c>
      <c r="F8" s="65">
        <v>83338400000</v>
      </c>
      <c r="G8" s="65">
        <v>50246900000</v>
      </c>
      <c r="H8" s="65">
        <v>29728500000</v>
      </c>
      <c r="I8" s="65">
        <v>33457200000</v>
      </c>
      <c r="J8" s="65">
        <v>65817800000</v>
      </c>
      <c r="K8" s="65">
        <v>59705300000</v>
      </c>
      <c r="L8" s="65">
        <v>65290900000</v>
      </c>
      <c r="M8" s="65">
        <v>108897400000</v>
      </c>
    </row>
    <row r="9" spans="1:13">
      <c r="B9" s="63" t="s">
        <v>116</v>
      </c>
      <c r="C9" s="64" t="s">
        <v>627</v>
      </c>
      <c r="D9" s="65">
        <v>0</v>
      </c>
      <c r="E9" s="65">
        <v>888200000</v>
      </c>
      <c r="F9" s="65">
        <v>791700000</v>
      </c>
      <c r="G9" s="65">
        <v>499500000</v>
      </c>
      <c r="H9" s="65">
        <v>275700000</v>
      </c>
      <c r="I9" s="65">
        <v>198700000</v>
      </c>
      <c r="J9" s="65">
        <v>221900000</v>
      </c>
      <c r="K9" s="65">
        <v>196300000</v>
      </c>
      <c r="L9" s="65">
        <v>384200000</v>
      </c>
      <c r="M9" s="65">
        <v>1033900000</v>
      </c>
    </row>
    <row r="10" spans="1:13">
      <c r="B10" s="66" t="s">
        <v>117</v>
      </c>
      <c r="C10" s="64" t="s">
        <v>628</v>
      </c>
      <c r="D10" s="67">
        <v>0</v>
      </c>
      <c r="E10" s="67">
        <v>128031900000</v>
      </c>
      <c r="F10" s="67">
        <v>84130100000</v>
      </c>
      <c r="G10" s="67">
        <v>50746400000</v>
      </c>
      <c r="H10" s="67">
        <v>30004200000</v>
      </c>
      <c r="I10" s="67">
        <v>33655900000</v>
      </c>
      <c r="J10" s="67">
        <v>66039700000</v>
      </c>
      <c r="K10" s="67">
        <v>59901600000</v>
      </c>
      <c r="L10" s="67">
        <v>65675100000</v>
      </c>
      <c r="M10" s="67">
        <v>109931300000</v>
      </c>
    </row>
    <row r="11" spans="1:13" ht="15.5">
      <c r="B11" s="42" t="s">
        <v>629</v>
      </c>
    </row>
    <row r="12" spans="1:13">
      <c r="B12" s="63" t="s">
        <v>119</v>
      </c>
      <c r="C12" s="64" t="s">
        <v>630</v>
      </c>
      <c r="D12" s="65">
        <v>0</v>
      </c>
      <c r="E12" s="65">
        <v>82914400000</v>
      </c>
      <c r="F12" s="65">
        <v>40319900000</v>
      </c>
      <c r="G12" s="65">
        <v>29565000000</v>
      </c>
      <c r="H12" s="65">
        <v>14044100000</v>
      </c>
      <c r="I12" s="65">
        <v>16107500000</v>
      </c>
      <c r="J12" s="65">
        <v>40919500000</v>
      </c>
      <c r="K12" s="65">
        <v>36267600000</v>
      </c>
      <c r="L12" s="65">
        <v>40186500000</v>
      </c>
      <c r="M12" s="65">
        <v>71391700000</v>
      </c>
    </row>
    <row r="13" spans="1:13">
      <c r="B13" s="63" t="s">
        <v>120</v>
      </c>
      <c r="C13" s="64" t="s">
        <v>631</v>
      </c>
      <c r="D13" s="65">
        <v>0</v>
      </c>
      <c r="E13" s="65">
        <v>0</v>
      </c>
      <c r="F13" s="65">
        <v>9879500000</v>
      </c>
      <c r="G13" s="65">
        <v>0</v>
      </c>
      <c r="H13" s="65">
        <v>0</v>
      </c>
      <c r="I13" s="65">
        <v>0</v>
      </c>
      <c r="J13" s="65">
        <v>0</v>
      </c>
      <c r="K13" s="65">
        <v>0</v>
      </c>
      <c r="L13" s="65">
        <v>0</v>
      </c>
      <c r="M13" s="65">
        <v>0</v>
      </c>
    </row>
    <row r="14" spans="1:13">
      <c r="B14" s="63" t="s">
        <v>121</v>
      </c>
      <c r="C14" s="64" t="s">
        <v>632</v>
      </c>
      <c r="D14" s="65">
        <v>0</v>
      </c>
      <c r="E14" s="65">
        <v>-7485500000</v>
      </c>
      <c r="F14" s="65">
        <v>957700000</v>
      </c>
      <c r="G14" s="65">
        <v>418500000</v>
      </c>
      <c r="H14" s="65">
        <v>4691000000</v>
      </c>
      <c r="I14" s="65">
        <v>-334800000</v>
      </c>
      <c r="J14" s="65">
        <v>2396100000</v>
      </c>
      <c r="K14" s="65">
        <v>1559000000</v>
      </c>
      <c r="L14" s="65">
        <v>-365200000</v>
      </c>
      <c r="M14" s="65">
        <v>-2525700000</v>
      </c>
    </row>
    <row r="15" spans="1:13">
      <c r="B15" s="63" t="s">
        <v>633</v>
      </c>
      <c r="C15" s="64" t="s">
        <v>634</v>
      </c>
      <c r="D15" s="65">
        <v>0</v>
      </c>
      <c r="E15" s="65">
        <v>10464800000</v>
      </c>
      <c r="F15" s="65">
        <v>8046800000</v>
      </c>
      <c r="G15" s="65">
        <v>8741600000</v>
      </c>
      <c r="H15" s="65">
        <v>7962500000</v>
      </c>
      <c r="I15" s="65">
        <v>5532100000</v>
      </c>
      <c r="J15" s="65">
        <v>5453600000</v>
      </c>
      <c r="K15" s="65">
        <v>6092200000</v>
      </c>
      <c r="L15" s="65">
        <v>7029000000</v>
      </c>
      <c r="M15" s="65">
        <v>9415300000</v>
      </c>
    </row>
    <row r="16" spans="1:13">
      <c r="B16" s="63" t="s">
        <v>128</v>
      </c>
      <c r="C16" s="64" t="s">
        <v>635</v>
      </c>
      <c r="D16" s="65">
        <v>0</v>
      </c>
      <c r="E16" s="65">
        <v>12875900000</v>
      </c>
      <c r="F16" s="65">
        <v>15809800000</v>
      </c>
      <c r="G16" s="65">
        <v>12699100000</v>
      </c>
      <c r="H16" s="65">
        <v>13672900000</v>
      </c>
      <c r="I16" s="65">
        <v>9962600000</v>
      </c>
      <c r="J16" s="65">
        <v>7345200000</v>
      </c>
      <c r="K16" s="65">
        <v>4207600000</v>
      </c>
      <c r="L16" s="65">
        <v>1643200000</v>
      </c>
      <c r="M16" s="65">
        <v>2548000000</v>
      </c>
    </row>
    <row r="17" spans="2:13">
      <c r="B17" s="63" t="s">
        <v>636</v>
      </c>
      <c r="C17" s="64" t="s">
        <v>637</v>
      </c>
      <c r="D17" s="65">
        <v>0</v>
      </c>
      <c r="E17" s="65">
        <v>3890300000</v>
      </c>
      <c r="F17" s="65">
        <v>3416100000</v>
      </c>
      <c r="G17" s="65">
        <v>3418500000</v>
      </c>
      <c r="H17" s="65">
        <v>4186100000</v>
      </c>
      <c r="I17" s="65">
        <v>2583800000</v>
      </c>
      <c r="J17" s="65">
        <v>2598400000</v>
      </c>
      <c r="K17" s="65">
        <v>2596800000</v>
      </c>
      <c r="L17" s="65">
        <v>1896000000</v>
      </c>
      <c r="M17" s="65">
        <v>2591900000</v>
      </c>
    </row>
    <row r="18" spans="2:13">
      <c r="B18" s="63" t="s">
        <v>124</v>
      </c>
      <c r="C18" s="64" t="s">
        <v>638</v>
      </c>
      <c r="D18" s="65">
        <v>0</v>
      </c>
      <c r="E18" s="65">
        <v>16256100000</v>
      </c>
      <c r="F18" s="65">
        <v>14103900000</v>
      </c>
      <c r="G18" s="65">
        <v>11609300000</v>
      </c>
      <c r="H18" s="65">
        <v>11628200000</v>
      </c>
      <c r="I18" s="65">
        <v>6809600000</v>
      </c>
      <c r="J18" s="65">
        <v>8154100000</v>
      </c>
      <c r="K18" s="65">
        <v>7467300000</v>
      </c>
      <c r="L18" s="65">
        <v>8151800000</v>
      </c>
      <c r="M18" s="65">
        <v>12043800000</v>
      </c>
    </row>
    <row r="19" spans="2:13">
      <c r="B19" s="66" t="s">
        <v>639</v>
      </c>
      <c r="C19" s="64" t="s">
        <v>640</v>
      </c>
      <c r="D19" s="67">
        <v>0</v>
      </c>
      <c r="E19" s="67">
        <v>118916000000</v>
      </c>
      <c r="F19" s="67">
        <v>92533700000</v>
      </c>
      <c r="G19" s="67">
        <v>66452000000</v>
      </c>
      <c r="H19" s="67">
        <v>56184800000</v>
      </c>
      <c r="I19" s="67">
        <v>40660800000</v>
      </c>
      <c r="J19" s="67">
        <v>66866900000</v>
      </c>
      <c r="K19" s="67">
        <v>58190500000</v>
      </c>
      <c r="L19" s="67">
        <v>58541300000</v>
      </c>
      <c r="M19" s="67">
        <v>95465000000</v>
      </c>
    </row>
    <row r="20" spans="2:13">
      <c r="B20" s="10" t="s">
        <v>641</v>
      </c>
      <c r="C20" s="64" t="s">
        <v>642</v>
      </c>
      <c r="D20" s="67">
        <v>0</v>
      </c>
      <c r="E20" s="67">
        <v>9115900000</v>
      </c>
      <c r="F20" s="67">
        <v>-8403600000</v>
      </c>
      <c r="G20" s="67">
        <v>-15705600000</v>
      </c>
      <c r="H20" s="67">
        <v>-26180600000</v>
      </c>
      <c r="I20" s="67">
        <v>-7004900000</v>
      </c>
      <c r="J20" s="67">
        <v>-827200000</v>
      </c>
      <c r="K20" s="67">
        <v>1711100000</v>
      </c>
      <c r="L20" s="67">
        <v>7133800000</v>
      </c>
      <c r="M20" s="67">
        <v>14466300000</v>
      </c>
    </row>
    <row r="21" spans="2:13">
      <c r="B21" s="7" t="s">
        <v>129</v>
      </c>
      <c r="C21" s="64" t="s">
        <v>643</v>
      </c>
      <c r="D21" s="65">
        <v>0</v>
      </c>
      <c r="E21" s="65">
        <v>0</v>
      </c>
      <c r="F21" s="65">
        <v>4496200000</v>
      </c>
      <c r="G21" s="65">
        <v>275700000</v>
      </c>
      <c r="H21" s="65">
        <v>-658900000</v>
      </c>
      <c r="I21" s="65">
        <v>8054600000</v>
      </c>
      <c r="J21" s="65">
        <v>831200000</v>
      </c>
      <c r="K21" s="65">
        <v>27206000000</v>
      </c>
      <c r="L21" s="65">
        <v>-538900000</v>
      </c>
      <c r="M21" s="65">
        <v>0</v>
      </c>
    </row>
    <row r="22" spans="2:13">
      <c r="B22" s="10" t="s">
        <v>203</v>
      </c>
      <c r="C22" s="64" t="s">
        <v>644</v>
      </c>
      <c r="D22" s="67">
        <v>0</v>
      </c>
      <c r="E22" s="67">
        <v>9115900000</v>
      </c>
      <c r="F22" s="67">
        <v>-3907400000</v>
      </c>
      <c r="G22" s="67">
        <v>-15429900000</v>
      </c>
      <c r="H22" s="67">
        <v>-26839500000</v>
      </c>
      <c r="I22" s="67">
        <v>1049700000</v>
      </c>
      <c r="J22" s="67">
        <v>4000000</v>
      </c>
      <c r="K22" s="67">
        <v>28917100000</v>
      </c>
      <c r="L22" s="67">
        <v>6594900000</v>
      </c>
      <c r="M22" s="67">
        <v>14466300000</v>
      </c>
    </row>
    <row r="23" spans="2:13" ht="15.5">
      <c r="B23" s="42" t="s">
        <v>645</v>
      </c>
    </row>
    <row r="24" spans="2:13">
      <c r="B24" s="63" t="s">
        <v>131</v>
      </c>
      <c r="C24" s="64" t="s">
        <v>646</v>
      </c>
      <c r="D24" s="65">
        <v>0</v>
      </c>
      <c r="E24" s="65">
        <v>117000000</v>
      </c>
      <c r="F24" s="65">
        <v>-15600000</v>
      </c>
      <c r="G24" s="65">
        <v>30900000</v>
      </c>
      <c r="H24" s="65">
        <v>74400000</v>
      </c>
      <c r="I24" s="65">
        <v>46300000</v>
      </c>
      <c r="J24" s="65">
        <v>1840700000</v>
      </c>
      <c r="K24" s="65">
        <v>46100000</v>
      </c>
      <c r="L24" s="65">
        <v>29000000</v>
      </c>
      <c r="M24" s="65">
        <v>144200000</v>
      </c>
    </row>
    <row r="25" spans="2:13">
      <c r="B25" s="63" t="s">
        <v>132</v>
      </c>
      <c r="C25" s="64" t="s">
        <v>647</v>
      </c>
      <c r="D25" s="65">
        <v>0</v>
      </c>
      <c r="E25" s="65">
        <v>0</v>
      </c>
      <c r="F25" s="65">
        <v>0</v>
      </c>
      <c r="G25" s="65">
        <v>-149900000</v>
      </c>
      <c r="H25" s="65">
        <v>0</v>
      </c>
      <c r="I25" s="65">
        <v>0</v>
      </c>
      <c r="J25" s="65">
        <v>-174800000</v>
      </c>
      <c r="K25" s="65">
        <v>-1900000</v>
      </c>
      <c r="L25" s="65">
        <v>-37600000</v>
      </c>
      <c r="M25" s="65">
        <v>-6394200000</v>
      </c>
    </row>
    <row r="26" spans="2:13">
      <c r="B26" s="66" t="s">
        <v>133</v>
      </c>
      <c r="C26" s="64" t="s">
        <v>648</v>
      </c>
      <c r="D26" s="67">
        <v>0</v>
      </c>
      <c r="E26" s="67">
        <v>117000000</v>
      </c>
      <c r="F26" s="67">
        <v>-15600000</v>
      </c>
      <c r="G26" s="67">
        <v>-119000000</v>
      </c>
      <c r="H26" s="67">
        <v>74400000</v>
      </c>
      <c r="I26" s="67">
        <v>46300000</v>
      </c>
      <c r="J26" s="67">
        <v>1665900000</v>
      </c>
      <c r="K26" s="67">
        <v>44200000</v>
      </c>
      <c r="L26" s="67">
        <v>-8600000</v>
      </c>
      <c r="M26" s="67">
        <v>-6250000000</v>
      </c>
    </row>
    <row r="27" spans="2:13">
      <c r="B27" s="10" t="s">
        <v>649</v>
      </c>
      <c r="C27" s="64" t="s">
        <v>650</v>
      </c>
      <c r="D27" s="67">
        <v>0</v>
      </c>
      <c r="E27" s="67">
        <v>8998900000</v>
      </c>
      <c r="F27" s="67">
        <v>-3891800000</v>
      </c>
      <c r="G27" s="67">
        <v>-15310900000</v>
      </c>
      <c r="H27" s="67">
        <v>-26913900000</v>
      </c>
      <c r="I27" s="67">
        <v>1003400000</v>
      </c>
      <c r="J27" s="67">
        <v>-1661900000</v>
      </c>
      <c r="K27" s="67">
        <v>28872900000</v>
      </c>
      <c r="L27" s="67">
        <v>6603500000</v>
      </c>
      <c r="M27" s="67">
        <v>20716300000</v>
      </c>
    </row>
    <row r="28" spans="2:13">
      <c r="B28" s="7" t="s">
        <v>651</v>
      </c>
      <c r="C28" s="64" t="s">
        <v>652</v>
      </c>
      <c r="D28" s="65">
        <v>0</v>
      </c>
      <c r="E28" s="65">
        <v>-482500000</v>
      </c>
      <c r="F28" s="65">
        <v>51700000</v>
      </c>
      <c r="G28" s="65">
        <v>-61000000</v>
      </c>
      <c r="H28" s="65">
        <v>-4500000</v>
      </c>
      <c r="I28" s="65">
        <v>32500000</v>
      </c>
      <c r="J28" s="65">
        <v>-103600000</v>
      </c>
      <c r="K28" s="65">
        <v>0</v>
      </c>
      <c r="L28" s="65">
        <v>0</v>
      </c>
      <c r="M28" s="65">
        <v>0</v>
      </c>
    </row>
    <row r="29" spans="2:13">
      <c r="B29" s="10" t="s">
        <v>653</v>
      </c>
      <c r="C29" s="64" t="s">
        <v>654</v>
      </c>
      <c r="D29" s="67">
        <v>0</v>
      </c>
      <c r="E29" s="67">
        <v>8516400000</v>
      </c>
      <c r="F29" s="67">
        <v>-3840100000</v>
      </c>
      <c r="G29" s="67">
        <v>-15371900000</v>
      </c>
      <c r="H29" s="67">
        <v>-26918400000</v>
      </c>
      <c r="I29" s="67">
        <v>1035900000</v>
      </c>
      <c r="J29" s="67">
        <v>-1765500000</v>
      </c>
      <c r="K29" s="67">
        <v>28872900000</v>
      </c>
      <c r="L29" s="67">
        <v>6603500000</v>
      </c>
      <c r="M29" s="67">
        <v>20716300000</v>
      </c>
    </row>
    <row r="30" spans="2:13">
      <c r="B30" s="63" t="s">
        <v>655</v>
      </c>
      <c r="C30" s="64" t="s">
        <v>656</v>
      </c>
      <c r="D30" s="65">
        <v>0</v>
      </c>
      <c r="E30" s="65">
        <v>8577100000</v>
      </c>
      <c r="F30" s="65">
        <v>-3769800000</v>
      </c>
      <c r="G30" s="65">
        <v>-15271800000</v>
      </c>
      <c r="H30" s="65">
        <v>-26422300000</v>
      </c>
      <c r="I30" s="65">
        <v>1041800000</v>
      </c>
      <c r="J30" s="65">
        <v>-1995900000</v>
      </c>
      <c r="K30" s="65">
        <v>28490100000</v>
      </c>
      <c r="L30" s="65">
        <v>6603500000</v>
      </c>
      <c r="M30" s="65">
        <v>20716300000</v>
      </c>
    </row>
    <row r="31" spans="2:13">
      <c r="B31" s="63" t="s">
        <v>657</v>
      </c>
      <c r="C31" s="64" t="s">
        <v>658</v>
      </c>
      <c r="D31" s="65">
        <v>0</v>
      </c>
      <c r="E31" s="65">
        <v>-60700000</v>
      </c>
      <c r="F31" s="65">
        <v>-70300000</v>
      </c>
      <c r="G31" s="65">
        <v>100100000</v>
      </c>
      <c r="H31" s="65">
        <v>496100000</v>
      </c>
      <c r="I31" s="65">
        <v>5900000</v>
      </c>
      <c r="J31" s="65">
        <v>230400000</v>
      </c>
      <c r="K31" s="65">
        <v>382800000</v>
      </c>
      <c r="L31" s="65">
        <v>0</v>
      </c>
      <c r="M31" s="65">
        <v>0</v>
      </c>
    </row>
    <row r="32" spans="2:13">
      <c r="B32" s="7" t="s">
        <v>655</v>
      </c>
      <c r="C32" s="64" t="s">
        <v>656</v>
      </c>
      <c r="D32" s="65">
        <v>0</v>
      </c>
      <c r="E32" s="65">
        <v>8577100000</v>
      </c>
      <c r="F32" s="65">
        <v>-3769800000</v>
      </c>
      <c r="G32" s="65">
        <v>-15271800000</v>
      </c>
      <c r="H32" s="65">
        <v>-26422300000</v>
      </c>
      <c r="I32" s="65">
        <v>1041800000</v>
      </c>
      <c r="J32" s="65">
        <v>-1995900000</v>
      </c>
      <c r="K32" s="65">
        <v>28490100000</v>
      </c>
      <c r="L32" s="65">
        <v>6603500000</v>
      </c>
      <c r="M32" s="65">
        <v>20716300000</v>
      </c>
    </row>
    <row r="33" spans="2:13">
      <c r="B33" s="7" t="s">
        <v>657</v>
      </c>
      <c r="C33" s="64" t="s">
        <v>658</v>
      </c>
      <c r="D33" s="65">
        <v>0</v>
      </c>
      <c r="E33" s="65">
        <v>-60700000</v>
      </c>
      <c r="F33" s="65">
        <v>-70300000</v>
      </c>
      <c r="G33" s="65">
        <v>100100000</v>
      </c>
      <c r="H33" s="65">
        <v>496100000</v>
      </c>
      <c r="I33" s="65">
        <v>5900000</v>
      </c>
      <c r="J33" s="65">
        <v>230400000</v>
      </c>
      <c r="K33" s="65">
        <v>382800000</v>
      </c>
      <c r="L33" s="65">
        <v>0</v>
      </c>
      <c r="M33" s="65">
        <v>0</v>
      </c>
    </row>
    <row r="34" spans="2:13" ht="15.5">
      <c r="B34" s="42" t="s">
        <v>659</v>
      </c>
    </row>
    <row r="35" spans="2:13">
      <c r="B35" s="68" t="s">
        <v>660</v>
      </c>
    </row>
    <row r="36" spans="2:13">
      <c r="B36" s="69" t="s">
        <v>661</v>
      </c>
      <c r="C36" s="64" t="s">
        <v>662</v>
      </c>
      <c r="D36" s="65">
        <v>0</v>
      </c>
      <c r="E36" s="65">
        <v>-158600000</v>
      </c>
      <c r="F36" s="65">
        <v>116500000</v>
      </c>
      <c r="G36" s="65">
        <v>5600000</v>
      </c>
      <c r="H36" s="65">
        <v>66100000</v>
      </c>
      <c r="I36" s="65">
        <v>-3800000</v>
      </c>
      <c r="J36" s="65">
        <v>33300000</v>
      </c>
      <c r="K36" s="65">
        <v>-92200000</v>
      </c>
      <c r="L36" s="65">
        <v>31700000</v>
      </c>
      <c r="M36" s="65">
        <v>64400000</v>
      </c>
    </row>
    <row r="37" spans="2:13">
      <c r="B37" s="69" t="s">
        <v>663</v>
      </c>
      <c r="C37" s="64" t="s">
        <v>664</v>
      </c>
      <c r="D37" s="65">
        <v>0</v>
      </c>
      <c r="E37" s="65">
        <v>-158600000</v>
      </c>
      <c r="F37" s="65">
        <v>116500000</v>
      </c>
      <c r="G37" s="65">
        <v>5600000</v>
      </c>
      <c r="H37" s="65">
        <v>66100000</v>
      </c>
      <c r="I37" s="65">
        <v>-3800000</v>
      </c>
      <c r="J37" s="65">
        <v>33300000</v>
      </c>
      <c r="K37" s="65">
        <v>-92200000</v>
      </c>
      <c r="L37" s="65">
        <v>31700000</v>
      </c>
      <c r="M37" s="65">
        <v>64400000</v>
      </c>
    </row>
    <row r="38" spans="2:13">
      <c r="B38" s="69" t="s">
        <v>665</v>
      </c>
      <c r="C38" s="64" t="s">
        <v>666</v>
      </c>
      <c r="D38" s="65">
        <v>0</v>
      </c>
      <c r="E38" s="65">
        <v>-2238200000</v>
      </c>
      <c r="F38" s="65">
        <v>-2009200000</v>
      </c>
      <c r="G38" s="65">
        <v>-403400000</v>
      </c>
      <c r="H38" s="65">
        <v>1340800000</v>
      </c>
      <c r="I38" s="65">
        <v>316200000</v>
      </c>
      <c r="J38" s="65">
        <v>-851600000</v>
      </c>
      <c r="K38" s="65">
        <v>-256600000</v>
      </c>
      <c r="L38" s="65">
        <v>633000000</v>
      </c>
      <c r="M38" s="65">
        <v>-297700000</v>
      </c>
    </row>
    <row r="39" spans="2:13">
      <c r="B39" s="69" t="s">
        <v>667</v>
      </c>
      <c r="C39" s="64" t="s">
        <v>668</v>
      </c>
      <c r="D39" s="65">
        <v>0</v>
      </c>
      <c r="E39" s="65">
        <v>-2238200000</v>
      </c>
      <c r="F39" s="65">
        <v>-2009200000</v>
      </c>
      <c r="G39" s="65">
        <v>-403400000</v>
      </c>
      <c r="H39" s="65">
        <v>1340800000</v>
      </c>
      <c r="I39" s="65">
        <v>316200000</v>
      </c>
      <c r="J39" s="65">
        <v>-851600000</v>
      </c>
      <c r="K39" s="65">
        <v>-256600000</v>
      </c>
      <c r="L39" s="65">
        <v>633000000</v>
      </c>
      <c r="M39" s="65">
        <v>-297700000</v>
      </c>
    </row>
    <row r="40" spans="2:13">
      <c r="B40" s="69" t="s">
        <v>669</v>
      </c>
      <c r="C40" s="64" t="s">
        <v>670</v>
      </c>
      <c r="D40" s="65">
        <v>0</v>
      </c>
      <c r="E40" s="65">
        <v>-2396800000</v>
      </c>
      <c r="F40" s="65">
        <v>-1892700000</v>
      </c>
      <c r="G40" s="65">
        <v>-397800000</v>
      </c>
      <c r="H40" s="65">
        <v>1406900000</v>
      </c>
      <c r="I40" s="65">
        <v>312400000</v>
      </c>
      <c r="J40" s="65">
        <v>-818300000</v>
      </c>
      <c r="K40" s="65">
        <v>-348800000</v>
      </c>
      <c r="L40" s="65">
        <v>664700000</v>
      </c>
      <c r="M40" s="65">
        <v>-233300000</v>
      </c>
    </row>
    <row r="41" spans="2:13">
      <c r="B41" s="70" t="s">
        <v>671</v>
      </c>
    </row>
    <row r="42" spans="2:13">
      <c r="B42" s="71" t="s">
        <v>672</v>
      </c>
      <c r="C42" s="64" t="s">
        <v>673</v>
      </c>
      <c r="D42" s="65">
        <v>0</v>
      </c>
      <c r="E42" s="65">
        <v>6119600000</v>
      </c>
      <c r="F42" s="65">
        <v>-5732800000</v>
      </c>
      <c r="G42" s="65">
        <v>-15769700000</v>
      </c>
      <c r="H42" s="65">
        <v>-25511500000</v>
      </c>
      <c r="I42" s="65">
        <v>1348300000</v>
      </c>
      <c r="J42" s="65">
        <v>-2583800000</v>
      </c>
      <c r="K42" s="65">
        <v>28524100000</v>
      </c>
      <c r="L42" s="65">
        <v>7268200000</v>
      </c>
      <c r="M42" s="65">
        <v>20483000000</v>
      </c>
    </row>
    <row r="43" spans="2:13">
      <c r="B43" s="72" t="s">
        <v>674</v>
      </c>
    </row>
    <row r="44" spans="2:13">
      <c r="B44" s="73" t="s">
        <v>675</v>
      </c>
      <c r="C44" s="64" t="s">
        <v>676</v>
      </c>
      <c r="D44" s="65">
        <v>0</v>
      </c>
      <c r="E44" s="65">
        <v>6029700000</v>
      </c>
      <c r="F44" s="65">
        <v>-5662500000</v>
      </c>
      <c r="G44" s="65">
        <v>-15669600000</v>
      </c>
      <c r="H44" s="65">
        <v>-25015400000</v>
      </c>
      <c r="I44" s="65">
        <v>1354200000</v>
      </c>
      <c r="J44" s="65">
        <v>-2814200000</v>
      </c>
      <c r="K44" s="65">
        <v>28141300000</v>
      </c>
      <c r="L44" s="65">
        <v>7268200000</v>
      </c>
      <c r="M44" s="65">
        <v>20483000000</v>
      </c>
    </row>
    <row r="45" spans="2:13">
      <c r="B45" s="73" t="s">
        <v>677</v>
      </c>
      <c r="C45" s="64" t="s">
        <v>678</v>
      </c>
      <c r="D45" s="65">
        <v>0</v>
      </c>
      <c r="E45" s="65">
        <v>89900000</v>
      </c>
      <c r="F45" s="65">
        <v>-70300000</v>
      </c>
      <c r="G45" s="65">
        <v>-100100000</v>
      </c>
      <c r="H45" s="65">
        <v>-496100000</v>
      </c>
      <c r="I45" s="65">
        <v>-5900000</v>
      </c>
      <c r="J45" s="65">
        <v>230400000</v>
      </c>
      <c r="K45" s="65">
        <v>382800000</v>
      </c>
      <c r="L45" s="65">
        <v>0</v>
      </c>
      <c r="M45" s="65">
        <v>0</v>
      </c>
    </row>
    <row r="46" spans="2:13">
      <c r="B46" s="63" t="s">
        <v>672</v>
      </c>
      <c r="C46" s="64" t="s">
        <v>673</v>
      </c>
      <c r="D46" s="65">
        <v>0</v>
      </c>
      <c r="E46" s="65">
        <v>6119600000</v>
      </c>
      <c r="F46" s="65">
        <v>-5732800000</v>
      </c>
      <c r="G46" s="65">
        <v>-15769700000</v>
      </c>
      <c r="H46" s="65">
        <v>-25511500000</v>
      </c>
      <c r="I46" s="65">
        <v>1348300000</v>
      </c>
      <c r="J46" s="65">
        <v>-2583800000</v>
      </c>
      <c r="K46" s="65">
        <v>28524100000</v>
      </c>
      <c r="L46" s="65">
        <v>7268200000</v>
      </c>
      <c r="M46" s="65">
        <v>20483000000</v>
      </c>
    </row>
    <row r="47" spans="2:13">
      <c r="B47" s="68" t="s">
        <v>674</v>
      </c>
    </row>
    <row r="48" spans="2:13">
      <c r="B48" s="69" t="s">
        <v>675</v>
      </c>
      <c r="C48" s="64" t="s">
        <v>676</v>
      </c>
      <c r="D48" s="65">
        <v>0</v>
      </c>
      <c r="E48" s="65">
        <v>6029700000</v>
      </c>
      <c r="F48" s="65">
        <v>-5662500000</v>
      </c>
      <c r="G48" s="65">
        <v>-15669600000</v>
      </c>
      <c r="H48" s="65">
        <v>-25015400000</v>
      </c>
      <c r="I48" s="65">
        <v>1354200000</v>
      </c>
      <c r="J48" s="65">
        <v>-2814200000</v>
      </c>
      <c r="K48" s="65">
        <v>28141300000</v>
      </c>
      <c r="L48" s="65">
        <v>7268200000</v>
      </c>
      <c r="M48" s="65">
        <v>20483000000</v>
      </c>
    </row>
    <row r="49" spans="2:13">
      <c r="B49" s="69" t="s">
        <v>677</v>
      </c>
      <c r="C49" s="64" t="s">
        <v>678</v>
      </c>
      <c r="D49" s="65">
        <v>0</v>
      </c>
      <c r="E49" s="65">
        <v>89900000</v>
      </c>
      <c r="F49" s="65">
        <v>-70300000</v>
      </c>
      <c r="G49" s="65">
        <v>-100100000</v>
      </c>
      <c r="H49" s="65">
        <v>-496100000</v>
      </c>
      <c r="I49" s="65">
        <v>-5900000</v>
      </c>
      <c r="J49" s="65">
        <v>230400000</v>
      </c>
      <c r="K49" s="65">
        <v>382800000</v>
      </c>
      <c r="L49" s="65">
        <v>0</v>
      </c>
      <c r="M49" s="65">
        <v>0</v>
      </c>
    </row>
    <row r="50" spans="2:13" ht="15.5">
      <c r="B50" s="42" t="s">
        <v>679</v>
      </c>
    </row>
    <row r="51" spans="2:13">
      <c r="B51" s="68" t="s">
        <v>680</v>
      </c>
    </row>
    <row r="52" spans="2:13">
      <c r="B52" s="69" t="s">
        <v>669</v>
      </c>
      <c r="C52" s="64" t="s">
        <v>670</v>
      </c>
      <c r="D52" s="65">
        <v>0</v>
      </c>
      <c r="E52" s="65">
        <v>-2396800000</v>
      </c>
      <c r="F52" s="65">
        <v>-1892700000</v>
      </c>
      <c r="G52" s="65">
        <v>-397800000</v>
      </c>
      <c r="H52" s="65">
        <v>1406900000</v>
      </c>
      <c r="I52" s="65">
        <v>312400000</v>
      </c>
      <c r="J52" s="65">
        <v>-818300000</v>
      </c>
      <c r="K52" s="65">
        <v>-348800000</v>
      </c>
      <c r="L52" s="65">
        <v>664700000</v>
      </c>
      <c r="M52" s="65">
        <v>-233300000</v>
      </c>
    </row>
    <row r="53" spans="2:13">
      <c r="B53" s="70" t="s">
        <v>681</v>
      </c>
    </row>
    <row r="54" spans="2:13">
      <c r="B54" s="71" t="s">
        <v>672</v>
      </c>
      <c r="C54" s="64" t="s">
        <v>673</v>
      </c>
      <c r="D54" s="65">
        <v>0</v>
      </c>
      <c r="E54" s="65">
        <v>6119600000</v>
      </c>
      <c r="F54" s="65">
        <v>-5732800000</v>
      </c>
      <c r="G54" s="65">
        <v>-15769700000</v>
      </c>
      <c r="H54" s="65">
        <v>-25511500000</v>
      </c>
      <c r="I54" s="65">
        <v>1348300000</v>
      </c>
      <c r="J54" s="65">
        <v>-2583800000</v>
      </c>
      <c r="K54" s="65">
        <v>28524100000</v>
      </c>
      <c r="L54" s="65">
        <v>7268200000</v>
      </c>
      <c r="M54" s="65">
        <v>20483000000</v>
      </c>
    </row>
    <row r="55" spans="2:13">
      <c r="B55" s="72" t="s">
        <v>682</v>
      </c>
    </row>
    <row r="56" spans="2:13">
      <c r="B56" s="73" t="s">
        <v>675</v>
      </c>
      <c r="C56" s="64" t="s">
        <v>676</v>
      </c>
      <c r="D56" s="65">
        <v>0</v>
      </c>
      <c r="E56" s="65">
        <v>6029700000</v>
      </c>
      <c r="F56" s="65">
        <v>-5662500000</v>
      </c>
      <c r="G56" s="65">
        <v>-15669600000</v>
      </c>
      <c r="H56" s="65">
        <v>-25015400000</v>
      </c>
      <c r="I56" s="65">
        <v>1354200000</v>
      </c>
      <c r="J56" s="65">
        <v>-2814200000</v>
      </c>
      <c r="K56" s="65">
        <v>28141300000</v>
      </c>
      <c r="L56" s="65">
        <v>7268200000</v>
      </c>
      <c r="M56" s="65">
        <v>20483000000</v>
      </c>
    </row>
    <row r="57" spans="2:13">
      <c r="B57" s="73" t="s">
        <v>677</v>
      </c>
      <c r="C57" s="64" t="s">
        <v>678</v>
      </c>
      <c r="D57" s="65">
        <v>0</v>
      </c>
      <c r="E57" s="65">
        <v>89900000</v>
      </c>
      <c r="F57" s="65">
        <v>-70300000</v>
      </c>
      <c r="G57" s="65">
        <v>-100100000</v>
      </c>
      <c r="H57" s="65">
        <v>-496100000</v>
      </c>
      <c r="I57" s="65">
        <v>-5900000</v>
      </c>
      <c r="J57" s="65">
        <v>230400000</v>
      </c>
      <c r="K57" s="65">
        <v>382800000</v>
      </c>
      <c r="L57" s="65">
        <v>0</v>
      </c>
      <c r="M57" s="65">
        <v>0</v>
      </c>
    </row>
    <row r="58" spans="2:13">
      <c r="B58" s="70" t="s">
        <v>683</v>
      </c>
    </row>
    <row r="59" spans="2:13">
      <c r="B59" s="71" t="s">
        <v>684</v>
      </c>
      <c r="C59" s="64" t="s">
        <v>685</v>
      </c>
      <c r="D59" s="65">
        <v>0</v>
      </c>
      <c r="E59" s="65">
        <v>1.71</v>
      </c>
      <c r="F59" s="65">
        <v>-0.72</v>
      </c>
      <c r="G59" s="65">
        <v>-2.87</v>
      </c>
      <c r="H59" s="65">
        <v>-4.97</v>
      </c>
      <c r="I59" s="65">
        <v>0.14000000000000001</v>
      </c>
      <c r="J59" s="65">
        <v>-0.22</v>
      </c>
      <c r="K59" s="65">
        <v>2.64</v>
      </c>
      <c r="L59" s="65">
        <v>0.5</v>
      </c>
      <c r="M59" s="65">
        <v>1.52</v>
      </c>
    </row>
    <row r="60" spans="2:13">
      <c r="B60" s="74" t="s">
        <v>686</v>
      </c>
      <c r="C60" s="64" t="s">
        <v>687</v>
      </c>
      <c r="D60" s="67">
        <v>0</v>
      </c>
      <c r="E60" s="67">
        <v>1.71</v>
      </c>
      <c r="F60" s="67">
        <v>-0.72</v>
      </c>
      <c r="G60" s="67">
        <v>-2.87</v>
      </c>
      <c r="H60" s="67">
        <v>-4.97</v>
      </c>
      <c r="I60" s="67">
        <v>0.14000000000000001</v>
      </c>
      <c r="J60" s="67">
        <v>-0.22</v>
      </c>
      <c r="K60" s="67">
        <v>2.64</v>
      </c>
      <c r="L60" s="67">
        <v>0.5</v>
      </c>
      <c r="M60" s="67">
        <v>1.52</v>
      </c>
    </row>
    <row r="61" spans="2:13">
      <c r="B61" s="70" t="s">
        <v>688</v>
      </c>
    </row>
    <row r="62" spans="2:13">
      <c r="B62" s="71" t="s">
        <v>689</v>
      </c>
      <c r="C62" s="64" t="s">
        <v>690</v>
      </c>
      <c r="D62" s="65">
        <v>0</v>
      </c>
      <c r="E62" s="65">
        <v>1.6</v>
      </c>
      <c r="F62" s="65">
        <v>-0.72</v>
      </c>
      <c r="G62" s="65">
        <v>-2.87</v>
      </c>
      <c r="H62" s="65">
        <v>-4.97</v>
      </c>
      <c r="I62" s="65">
        <v>0.12</v>
      </c>
      <c r="J62" s="65">
        <v>-0.22</v>
      </c>
      <c r="K62" s="65">
        <v>2.64</v>
      </c>
      <c r="L62" s="65">
        <v>0.5</v>
      </c>
      <c r="M62" s="65">
        <v>1.51</v>
      </c>
    </row>
    <row r="63" spans="2:13">
      <c r="B63" s="74" t="s">
        <v>691</v>
      </c>
      <c r="C63" s="64" t="s">
        <v>692</v>
      </c>
      <c r="D63" s="67">
        <v>0</v>
      </c>
      <c r="E63" s="67">
        <v>1.6</v>
      </c>
      <c r="F63" s="67">
        <v>-0.72</v>
      </c>
      <c r="G63" s="67">
        <v>-2.87</v>
      </c>
      <c r="H63" s="67">
        <v>-4.97</v>
      </c>
      <c r="I63" s="67">
        <v>0.12</v>
      </c>
      <c r="J63" s="67">
        <v>-0.22</v>
      </c>
      <c r="K63" s="67">
        <v>2.64</v>
      </c>
      <c r="L63" s="67">
        <v>0.5</v>
      </c>
      <c r="M63" s="67">
        <v>1.51</v>
      </c>
    </row>
    <row r="64" spans="2:13">
      <c r="B64" s="63" t="s">
        <v>672</v>
      </c>
      <c r="C64" s="64" t="s">
        <v>673</v>
      </c>
      <c r="D64" s="65">
        <v>0</v>
      </c>
      <c r="E64" s="65">
        <v>6119600000</v>
      </c>
      <c r="F64" s="65">
        <v>-5732800000</v>
      </c>
      <c r="G64" s="65">
        <v>-15769700000</v>
      </c>
      <c r="H64" s="65">
        <v>-25511500000</v>
      </c>
      <c r="I64" s="65">
        <v>1348300000</v>
      </c>
      <c r="J64" s="65">
        <v>-2583800000</v>
      </c>
      <c r="K64" s="65">
        <v>28524100000</v>
      </c>
      <c r="L64" s="65">
        <v>7268200000</v>
      </c>
      <c r="M64" s="65">
        <v>20483000000</v>
      </c>
    </row>
    <row r="65" spans="1:13">
      <c r="B65" s="68" t="s">
        <v>682</v>
      </c>
    </row>
    <row r="66" spans="1:13">
      <c r="B66" s="69" t="s">
        <v>675</v>
      </c>
      <c r="C66" s="64" t="s">
        <v>676</v>
      </c>
      <c r="D66" s="65">
        <v>0</v>
      </c>
      <c r="E66" s="65">
        <v>6029700000</v>
      </c>
      <c r="F66" s="65">
        <v>-5662500000</v>
      </c>
      <c r="G66" s="65">
        <v>-15669600000</v>
      </c>
      <c r="H66" s="65">
        <v>-25015400000</v>
      </c>
      <c r="I66" s="65">
        <v>1354200000</v>
      </c>
      <c r="J66" s="65">
        <v>-2814200000</v>
      </c>
      <c r="K66" s="65">
        <v>28141300000</v>
      </c>
      <c r="L66" s="65">
        <v>7268200000</v>
      </c>
      <c r="M66" s="65">
        <v>20483000000</v>
      </c>
    </row>
    <row r="67" spans="1:13">
      <c r="B67" s="69" t="s">
        <v>677</v>
      </c>
      <c r="C67" s="64" t="s">
        <v>678</v>
      </c>
      <c r="D67" s="65">
        <v>0</v>
      </c>
      <c r="E67" s="65">
        <v>89900000</v>
      </c>
      <c r="F67" s="65">
        <v>-70300000</v>
      </c>
      <c r="G67" s="65">
        <v>-100100000</v>
      </c>
      <c r="H67" s="65">
        <v>-496100000</v>
      </c>
      <c r="I67" s="65">
        <v>-5900000</v>
      </c>
      <c r="J67" s="65">
        <v>230400000</v>
      </c>
      <c r="K67" s="65">
        <v>382800000</v>
      </c>
      <c r="L67" s="65">
        <v>0</v>
      </c>
      <c r="M67" s="65">
        <v>0</v>
      </c>
    </row>
    <row r="68" spans="1:13" ht="15.5">
      <c r="B68" s="42" t="s">
        <v>693</v>
      </c>
    </row>
    <row r="69" spans="1:13">
      <c r="B69" s="68" t="s">
        <v>694</v>
      </c>
    </row>
    <row r="70" spans="1:13">
      <c r="B70" s="70" t="s">
        <v>695</v>
      </c>
    </row>
    <row r="71" spans="1:13">
      <c r="B71" s="72" t="s">
        <v>683</v>
      </c>
    </row>
    <row r="72" spans="1:13">
      <c r="B72" s="73" t="s">
        <v>684</v>
      </c>
      <c r="C72" s="64" t="s">
        <v>685</v>
      </c>
      <c r="D72" s="65">
        <v>0</v>
      </c>
      <c r="E72" s="65">
        <v>1.71</v>
      </c>
      <c r="F72" s="65">
        <v>-0.72</v>
      </c>
      <c r="G72" s="65">
        <v>-2.87</v>
      </c>
      <c r="H72" s="65">
        <v>-4.97</v>
      </c>
      <c r="I72" s="65">
        <v>0.14000000000000001</v>
      </c>
      <c r="J72" s="65">
        <v>-0.22</v>
      </c>
      <c r="K72" s="65">
        <v>2.64</v>
      </c>
      <c r="L72" s="65">
        <v>0.5</v>
      </c>
      <c r="M72" s="65">
        <v>1.52</v>
      </c>
    </row>
    <row r="73" spans="1:13">
      <c r="B73" s="75" t="s">
        <v>686</v>
      </c>
      <c r="C73" s="64" t="s">
        <v>687</v>
      </c>
      <c r="D73" s="67">
        <v>0</v>
      </c>
      <c r="E73" s="67">
        <v>1.71</v>
      </c>
      <c r="F73" s="67">
        <v>-0.72</v>
      </c>
      <c r="G73" s="67">
        <v>-2.87</v>
      </c>
      <c r="H73" s="67">
        <v>-4.97</v>
      </c>
      <c r="I73" s="67">
        <v>0.14000000000000001</v>
      </c>
      <c r="J73" s="67">
        <v>-0.22</v>
      </c>
      <c r="K73" s="67">
        <v>2.64</v>
      </c>
      <c r="L73" s="67">
        <v>0.5</v>
      </c>
      <c r="M73" s="67">
        <v>1.52</v>
      </c>
    </row>
    <row r="74" spans="1:13">
      <c r="B74" s="72" t="s">
        <v>688</v>
      </c>
    </row>
    <row r="75" spans="1:13">
      <c r="B75" s="73" t="s">
        <v>689</v>
      </c>
      <c r="C75" s="64" t="s">
        <v>690</v>
      </c>
      <c r="D75" s="65">
        <v>0</v>
      </c>
      <c r="E75" s="65">
        <v>1.6</v>
      </c>
      <c r="F75" s="65">
        <v>-0.72</v>
      </c>
      <c r="G75" s="65">
        <v>-2.87</v>
      </c>
      <c r="H75" s="65">
        <v>-4.97</v>
      </c>
      <c r="I75" s="65">
        <v>0.12</v>
      </c>
      <c r="J75" s="65">
        <v>-0.22</v>
      </c>
      <c r="K75" s="65">
        <v>2.64</v>
      </c>
      <c r="L75" s="65">
        <v>0.5</v>
      </c>
      <c r="M75" s="65">
        <v>1.51</v>
      </c>
    </row>
    <row r="76" spans="1:13">
      <c r="B76" s="75" t="s">
        <v>691</v>
      </c>
      <c r="C76" s="64" t="s">
        <v>692</v>
      </c>
      <c r="D76" s="67">
        <v>0</v>
      </c>
      <c r="E76" s="67">
        <v>1.6</v>
      </c>
      <c r="F76" s="67">
        <v>-0.72</v>
      </c>
      <c r="G76" s="67">
        <v>-2.87</v>
      </c>
      <c r="H76" s="67">
        <v>-4.97</v>
      </c>
      <c r="I76" s="67">
        <v>0.12</v>
      </c>
      <c r="J76" s="67">
        <v>-0.22</v>
      </c>
      <c r="K76" s="67">
        <v>2.64</v>
      </c>
      <c r="L76" s="67">
        <v>0.5</v>
      </c>
      <c r="M76" s="67">
        <v>1.51</v>
      </c>
    </row>
    <row r="79" spans="1:13">
      <c r="A79" t="s">
        <v>27</v>
      </c>
      <c r="B79" s="24" t="s">
        <v>135</v>
      </c>
    </row>
    <row r="80" spans="1:13">
      <c r="B80" t="s">
        <v>624</v>
      </c>
    </row>
    <row r="82" spans="2:13">
      <c r="C82" s="62" t="s">
        <v>625</v>
      </c>
      <c r="D82" s="24" t="s">
        <v>30</v>
      </c>
      <c r="E82" s="24" t="s">
        <v>31</v>
      </c>
      <c r="F82" s="24" t="s">
        <v>32</v>
      </c>
      <c r="G82" s="24" t="s">
        <v>33</v>
      </c>
      <c r="H82" s="24" t="s">
        <v>34</v>
      </c>
      <c r="I82" s="24" t="s">
        <v>35</v>
      </c>
      <c r="J82" s="24" t="s">
        <v>36</v>
      </c>
      <c r="K82" s="24" t="s">
        <v>37</v>
      </c>
      <c r="L82" s="24" t="s">
        <v>38</v>
      </c>
      <c r="M82" s="24" t="s">
        <v>39</v>
      </c>
    </row>
    <row r="83" spans="2:13" ht="15.5">
      <c r="B83" s="42" t="s">
        <v>136</v>
      </c>
    </row>
    <row r="84" spans="2:13">
      <c r="B84" s="68" t="s">
        <v>137</v>
      </c>
    </row>
    <row r="85" spans="2:13">
      <c r="B85" s="69" t="s">
        <v>139</v>
      </c>
      <c r="C85" s="64" t="s">
        <v>696</v>
      </c>
      <c r="D85" s="65">
        <v>0</v>
      </c>
      <c r="E85" s="65">
        <v>14201800000</v>
      </c>
      <c r="F85" s="65">
        <v>12673200000</v>
      </c>
      <c r="G85" s="65">
        <v>11473200000</v>
      </c>
      <c r="H85" s="65">
        <v>10484300000</v>
      </c>
      <c r="I85" s="65">
        <v>9353100000</v>
      </c>
      <c r="J85" s="65">
        <v>9073300000</v>
      </c>
      <c r="K85" s="65">
        <v>7784500000</v>
      </c>
      <c r="L85" s="65">
        <v>8095100000</v>
      </c>
      <c r="M85" s="65">
        <v>8220600000</v>
      </c>
    </row>
    <row r="86" spans="2:13">
      <c r="B86" s="69" t="s">
        <v>140</v>
      </c>
      <c r="C86" s="64" t="s">
        <v>697</v>
      </c>
      <c r="D86" s="65">
        <v>0</v>
      </c>
      <c r="E86" s="65">
        <v>1185600000</v>
      </c>
      <c r="F86" s="65">
        <v>1734200000</v>
      </c>
      <c r="G86" s="65">
        <v>2183300000</v>
      </c>
      <c r="H86" s="65">
        <v>1100800000</v>
      </c>
      <c r="I86" s="65">
        <v>1039300000</v>
      </c>
      <c r="J86" s="65">
        <v>152100000</v>
      </c>
      <c r="K86" s="65">
        <v>25700000</v>
      </c>
      <c r="L86" s="65">
        <v>162100000</v>
      </c>
      <c r="M86" s="65">
        <v>886700000</v>
      </c>
    </row>
    <row r="87" spans="2:13">
      <c r="B87" s="69" t="s">
        <v>148</v>
      </c>
      <c r="C87" s="64" t="s">
        <v>698</v>
      </c>
      <c r="D87" s="65">
        <v>0</v>
      </c>
      <c r="E87" s="65">
        <v>341400000</v>
      </c>
      <c r="F87" s="65">
        <v>407900000</v>
      </c>
      <c r="G87" s="65">
        <v>373600000</v>
      </c>
      <c r="H87" s="65">
        <v>346700000</v>
      </c>
      <c r="I87" s="65">
        <v>326400000</v>
      </c>
      <c r="J87" s="65">
        <v>308600000</v>
      </c>
      <c r="K87" s="65">
        <v>292100000</v>
      </c>
      <c r="L87" s="65">
        <v>270100000</v>
      </c>
      <c r="M87" s="65">
        <v>257500000</v>
      </c>
    </row>
    <row r="88" spans="2:13">
      <c r="B88" s="69" t="s">
        <v>141</v>
      </c>
      <c r="C88" s="64" t="s">
        <v>699</v>
      </c>
      <c r="D88" s="65">
        <v>0</v>
      </c>
      <c r="E88" s="65">
        <v>76200000</v>
      </c>
      <c r="F88" s="65">
        <v>76300000</v>
      </c>
      <c r="G88" s="65">
        <v>76300000</v>
      </c>
      <c r="H88" s="65">
        <v>76300000</v>
      </c>
      <c r="I88" s="65">
        <v>76300000</v>
      </c>
      <c r="J88" s="65">
        <v>0</v>
      </c>
      <c r="K88" s="65">
        <v>0</v>
      </c>
      <c r="L88" s="65">
        <v>0</v>
      </c>
      <c r="M88" s="65">
        <v>4798300000</v>
      </c>
    </row>
    <row r="89" spans="2:13">
      <c r="B89" s="69" t="s">
        <v>142</v>
      </c>
      <c r="C89" s="64" t="s">
        <v>700</v>
      </c>
      <c r="D89" s="65">
        <v>0</v>
      </c>
      <c r="E89" s="65">
        <v>2033500000</v>
      </c>
      <c r="F89" s="65">
        <v>1471200000</v>
      </c>
      <c r="G89" s="65">
        <v>3274400000</v>
      </c>
      <c r="H89" s="65">
        <v>2675000000</v>
      </c>
      <c r="I89" s="65">
        <v>1904600000</v>
      </c>
      <c r="J89" s="65">
        <v>1211100000</v>
      </c>
      <c r="K89" s="65">
        <v>584800000</v>
      </c>
      <c r="L89" s="65">
        <v>499400000</v>
      </c>
      <c r="M89" s="65">
        <v>4519200000</v>
      </c>
    </row>
    <row r="90" spans="2:13">
      <c r="B90" s="69" t="s">
        <v>143</v>
      </c>
      <c r="C90" s="64" t="s">
        <v>701</v>
      </c>
      <c r="D90" s="65">
        <v>0</v>
      </c>
      <c r="E90" s="65">
        <v>874300000</v>
      </c>
      <c r="F90" s="65">
        <v>1798200000</v>
      </c>
      <c r="G90" s="65">
        <v>104100000</v>
      </c>
      <c r="H90" s="65">
        <v>123000000</v>
      </c>
      <c r="I90" s="65">
        <v>35200000</v>
      </c>
      <c r="J90" s="65">
        <v>44200000</v>
      </c>
      <c r="K90" s="65">
        <v>34300000</v>
      </c>
      <c r="L90" s="65">
        <v>35100000</v>
      </c>
      <c r="M90" s="65">
        <v>164300000</v>
      </c>
    </row>
    <row r="91" spans="2:13">
      <c r="B91" s="69" t="s">
        <v>149</v>
      </c>
      <c r="C91" s="64" t="s">
        <v>702</v>
      </c>
      <c r="D91" s="65">
        <v>0</v>
      </c>
      <c r="E91" s="65">
        <v>0</v>
      </c>
      <c r="F91" s="65">
        <v>668600000</v>
      </c>
      <c r="G91" s="65">
        <v>203000000</v>
      </c>
      <c r="H91" s="65">
        <v>197100000</v>
      </c>
      <c r="I91" s="65">
        <v>229700000</v>
      </c>
      <c r="J91" s="65">
        <v>0</v>
      </c>
      <c r="K91" s="65">
        <v>0</v>
      </c>
      <c r="L91" s="65">
        <v>0</v>
      </c>
      <c r="M91" s="65">
        <v>0</v>
      </c>
    </row>
    <row r="92" spans="2:13">
      <c r="B92" s="70" t="s">
        <v>703</v>
      </c>
    </row>
    <row r="93" spans="2:13">
      <c r="B93" s="71" t="s">
        <v>150</v>
      </c>
      <c r="C93" s="64" t="s">
        <v>704</v>
      </c>
      <c r="D93" s="65">
        <v>0</v>
      </c>
      <c r="E93" s="65">
        <v>1885500000</v>
      </c>
      <c r="F93" s="65">
        <v>1300000</v>
      </c>
      <c r="G93" s="65">
        <v>1300000</v>
      </c>
      <c r="H93" s="65">
        <v>300000</v>
      </c>
      <c r="I93" s="65">
        <v>300000</v>
      </c>
      <c r="J93" s="65">
        <v>300000</v>
      </c>
      <c r="K93" s="65">
        <v>300000</v>
      </c>
      <c r="L93" s="65">
        <v>300000</v>
      </c>
      <c r="M93" s="65">
        <v>300000</v>
      </c>
    </row>
    <row r="94" spans="2:13">
      <c r="B94" s="71" t="s">
        <v>144</v>
      </c>
      <c r="C94" s="64" t="s">
        <v>705</v>
      </c>
      <c r="D94" s="65">
        <v>0</v>
      </c>
      <c r="E94" s="65">
        <v>457700000</v>
      </c>
      <c r="F94" s="65">
        <v>48400000</v>
      </c>
      <c r="G94" s="65">
        <v>0</v>
      </c>
      <c r="H94" s="65">
        <v>0</v>
      </c>
      <c r="I94" s="65">
        <v>0</v>
      </c>
      <c r="J94" s="65">
        <v>0</v>
      </c>
      <c r="K94" s="65">
        <v>0</v>
      </c>
      <c r="L94" s="65">
        <v>0</v>
      </c>
      <c r="M94" s="65">
        <v>0</v>
      </c>
    </row>
    <row r="95" spans="2:13">
      <c r="B95" s="71" t="s">
        <v>151</v>
      </c>
      <c r="C95" s="64" t="s">
        <v>706</v>
      </c>
      <c r="D95" s="65">
        <v>0</v>
      </c>
      <c r="E95" s="65">
        <v>59600000</v>
      </c>
      <c r="F95" s="65">
        <v>11200000</v>
      </c>
      <c r="G95" s="65">
        <v>0</v>
      </c>
      <c r="H95" s="65">
        <v>0</v>
      </c>
      <c r="I95" s="65">
        <v>0</v>
      </c>
      <c r="J95" s="65">
        <v>0</v>
      </c>
      <c r="K95" s="65">
        <v>0</v>
      </c>
      <c r="L95" s="65">
        <v>0</v>
      </c>
      <c r="M95" s="65">
        <v>0</v>
      </c>
    </row>
    <row r="96" spans="2:13">
      <c r="B96" s="71" t="s">
        <v>152</v>
      </c>
      <c r="C96" s="64" t="s">
        <v>707</v>
      </c>
      <c r="D96" s="65">
        <v>0</v>
      </c>
      <c r="E96" s="65">
        <v>7118400000</v>
      </c>
      <c r="F96" s="65">
        <v>5811500000</v>
      </c>
      <c r="G96" s="65">
        <v>4838100000</v>
      </c>
      <c r="H96" s="65">
        <v>2844000000</v>
      </c>
      <c r="I96" s="65">
        <v>4026300000</v>
      </c>
      <c r="J96" s="65">
        <v>2643100000</v>
      </c>
      <c r="K96" s="65">
        <v>4331400000</v>
      </c>
      <c r="L96" s="65">
        <v>9029200000</v>
      </c>
      <c r="M96" s="65">
        <v>11035000000</v>
      </c>
    </row>
    <row r="97" spans="2:13">
      <c r="B97" s="74" t="s">
        <v>155</v>
      </c>
      <c r="C97" s="64" t="s">
        <v>708</v>
      </c>
      <c r="D97" s="67">
        <v>0</v>
      </c>
      <c r="E97" s="67">
        <v>9521200000</v>
      </c>
      <c r="F97" s="67">
        <v>5872400000</v>
      </c>
      <c r="G97" s="67">
        <v>4839400000</v>
      </c>
      <c r="H97" s="67">
        <v>2844300000</v>
      </c>
      <c r="I97" s="67">
        <v>4026600000</v>
      </c>
      <c r="J97" s="67">
        <v>2643400000</v>
      </c>
      <c r="K97" s="67">
        <v>4331700000</v>
      </c>
      <c r="L97" s="67">
        <v>9029500000</v>
      </c>
      <c r="M97" s="67">
        <v>11035300000</v>
      </c>
    </row>
    <row r="98" spans="2:13">
      <c r="B98" s="69" t="s">
        <v>153</v>
      </c>
      <c r="C98" s="64" t="s">
        <v>709</v>
      </c>
      <c r="D98" s="65">
        <v>0</v>
      </c>
      <c r="E98" s="65">
        <v>0</v>
      </c>
      <c r="F98" s="65">
        <v>0</v>
      </c>
      <c r="G98" s="65">
        <v>0</v>
      </c>
      <c r="H98" s="65">
        <v>0</v>
      </c>
      <c r="I98" s="65">
        <v>0</v>
      </c>
      <c r="J98" s="65">
        <v>174800000</v>
      </c>
      <c r="K98" s="65">
        <v>2000000</v>
      </c>
      <c r="L98" s="65">
        <v>37700000</v>
      </c>
      <c r="M98" s="65">
        <v>6445500000</v>
      </c>
    </row>
    <row r="99" spans="2:13">
      <c r="B99" s="69" t="s">
        <v>145</v>
      </c>
      <c r="C99" s="64" t="s">
        <v>710</v>
      </c>
      <c r="D99" s="65">
        <v>0</v>
      </c>
      <c r="E99" s="65">
        <v>1661600000</v>
      </c>
      <c r="F99" s="65">
        <v>1393800000</v>
      </c>
      <c r="G99" s="65">
        <v>1038400000</v>
      </c>
      <c r="H99" s="65">
        <v>510500000</v>
      </c>
      <c r="I99" s="65">
        <v>544600000</v>
      </c>
      <c r="J99" s="65">
        <v>292400000</v>
      </c>
      <c r="K99" s="65">
        <v>402200000</v>
      </c>
      <c r="L99" s="65">
        <v>784300000</v>
      </c>
      <c r="M99" s="65">
        <v>751400000</v>
      </c>
    </row>
    <row r="100" spans="2:13">
      <c r="B100" s="76" t="s">
        <v>711</v>
      </c>
      <c r="C100" s="64" t="s">
        <v>712</v>
      </c>
      <c r="D100" s="67">
        <v>0</v>
      </c>
      <c r="E100" s="67">
        <v>29895600000</v>
      </c>
      <c r="F100" s="67">
        <v>26095800000</v>
      </c>
      <c r="G100" s="67">
        <v>23565700000</v>
      </c>
      <c r="H100" s="67">
        <v>18358000000</v>
      </c>
      <c r="I100" s="67">
        <v>17535800000</v>
      </c>
      <c r="J100" s="67">
        <v>13899900000</v>
      </c>
      <c r="K100" s="67">
        <v>13457300000</v>
      </c>
      <c r="L100" s="67">
        <v>18913300000</v>
      </c>
      <c r="M100" s="67">
        <v>37078800000</v>
      </c>
    </row>
    <row r="101" spans="2:13">
      <c r="B101" s="68" t="s">
        <v>713</v>
      </c>
    </row>
    <row r="102" spans="2:13">
      <c r="B102" s="69" t="s">
        <v>158</v>
      </c>
      <c r="C102" s="64" t="s">
        <v>158</v>
      </c>
      <c r="D102" s="65">
        <v>0</v>
      </c>
      <c r="E102" s="65">
        <v>34688400000</v>
      </c>
      <c r="F102" s="65">
        <v>30263700000</v>
      </c>
      <c r="G102" s="65">
        <v>29139300000</v>
      </c>
      <c r="H102" s="65">
        <v>20555900000</v>
      </c>
      <c r="I102" s="65">
        <v>21727600000</v>
      </c>
      <c r="J102" s="65">
        <v>22079000000</v>
      </c>
      <c r="K102" s="65">
        <v>18271300000</v>
      </c>
      <c r="L102" s="65">
        <v>22922900000</v>
      </c>
      <c r="M102" s="65">
        <v>32335500000</v>
      </c>
    </row>
    <row r="103" spans="2:13">
      <c r="B103" s="70" t="s">
        <v>714</v>
      </c>
    </row>
    <row r="104" spans="2:13">
      <c r="B104" s="71" t="s">
        <v>161</v>
      </c>
      <c r="C104" s="64" t="s">
        <v>715</v>
      </c>
      <c r="D104" s="65">
        <v>0</v>
      </c>
      <c r="E104" s="65">
        <v>4811000000</v>
      </c>
      <c r="F104" s="65">
        <v>0</v>
      </c>
      <c r="G104" s="65">
        <v>0</v>
      </c>
      <c r="H104" s="65">
        <v>0</v>
      </c>
      <c r="I104" s="65">
        <v>0</v>
      </c>
      <c r="J104" s="65">
        <v>0</v>
      </c>
      <c r="K104" s="65">
        <v>0</v>
      </c>
      <c r="L104" s="65">
        <v>83500000</v>
      </c>
      <c r="M104" s="65">
        <v>429100000</v>
      </c>
    </row>
    <row r="105" spans="2:13">
      <c r="B105" s="71" t="s">
        <v>159</v>
      </c>
      <c r="C105" s="64" t="s">
        <v>716</v>
      </c>
      <c r="D105" s="65">
        <v>0</v>
      </c>
      <c r="E105" s="65">
        <v>36275300000</v>
      </c>
      <c r="F105" s="65">
        <v>29851500000</v>
      </c>
      <c r="G105" s="65">
        <v>18805900000</v>
      </c>
      <c r="H105" s="65">
        <v>13645400000</v>
      </c>
      <c r="I105" s="65">
        <v>11897200000</v>
      </c>
      <c r="J105" s="65">
        <v>13769500000</v>
      </c>
      <c r="K105" s="65">
        <v>11704400000</v>
      </c>
      <c r="L105" s="65">
        <v>18295800000</v>
      </c>
      <c r="M105" s="65">
        <v>38663500000</v>
      </c>
    </row>
    <row r="106" spans="2:13">
      <c r="B106" s="71" t="s">
        <v>162</v>
      </c>
      <c r="C106" s="64" t="s">
        <v>717</v>
      </c>
      <c r="D106" s="65">
        <v>0</v>
      </c>
      <c r="E106" s="65">
        <v>3361200000</v>
      </c>
      <c r="F106" s="65">
        <v>5810700000</v>
      </c>
      <c r="G106" s="65">
        <v>746200000</v>
      </c>
      <c r="H106" s="65">
        <v>823300000</v>
      </c>
      <c r="I106" s="65">
        <v>2625000000</v>
      </c>
      <c r="J106" s="65">
        <v>5004300000</v>
      </c>
      <c r="K106" s="65">
        <v>3673100000</v>
      </c>
      <c r="L106" s="65">
        <v>4268400000</v>
      </c>
      <c r="M106" s="65">
        <v>11128300000</v>
      </c>
    </row>
    <row r="107" spans="2:13">
      <c r="B107" s="71" t="s">
        <v>163</v>
      </c>
      <c r="C107" s="64" t="s">
        <v>718</v>
      </c>
      <c r="D107" s="65">
        <v>0</v>
      </c>
      <c r="E107" s="65">
        <v>494000000</v>
      </c>
      <c r="F107" s="65">
        <v>499300000</v>
      </c>
      <c r="G107" s="65">
        <v>115200000</v>
      </c>
      <c r="H107" s="65">
        <v>224500000</v>
      </c>
      <c r="I107" s="65">
        <v>212700000</v>
      </c>
      <c r="J107" s="65">
        <v>9600000</v>
      </c>
      <c r="K107" s="65">
        <v>6100000</v>
      </c>
      <c r="L107" s="65">
        <v>2600000</v>
      </c>
      <c r="M107" s="65">
        <v>2700000</v>
      </c>
    </row>
    <row r="108" spans="2:13">
      <c r="B108" s="71" t="s">
        <v>164</v>
      </c>
      <c r="C108" s="64" t="s">
        <v>719</v>
      </c>
      <c r="D108" s="65">
        <v>0</v>
      </c>
      <c r="E108" s="65">
        <v>1486000000</v>
      </c>
      <c r="F108" s="65">
        <v>2663600000</v>
      </c>
      <c r="G108" s="65">
        <v>3163100000</v>
      </c>
      <c r="H108" s="65">
        <v>1087100000</v>
      </c>
      <c r="I108" s="65">
        <v>1759700000</v>
      </c>
      <c r="J108" s="65">
        <v>1205000000</v>
      </c>
      <c r="K108" s="65">
        <v>1490500000</v>
      </c>
      <c r="L108" s="65">
        <v>1349800000</v>
      </c>
      <c r="M108" s="65">
        <v>1883800000</v>
      </c>
    </row>
    <row r="109" spans="2:13">
      <c r="B109" s="74" t="s">
        <v>166</v>
      </c>
      <c r="C109" s="64" t="s">
        <v>720</v>
      </c>
      <c r="D109" s="67">
        <v>0</v>
      </c>
      <c r="E109" s="67">
        <v>46427500000</v>
      </c>
      <c r="F109" s="67">
        <v>38825100000</v>
      </c>
      <c r="G109" s="67">
        <v>22830400000</v>
      </c>
      <c r="H109" s="67">
        <v>15780300000</v>
      </c>
      <c r="I109" s="67">
        <v>16494600000</v>
      </c>
      <c r="J109" s="67">
        <v>19988400000</v>
      </c>
      <c r="K109" s="67">
        <v>16874100000</v>
      </c>
      <c r="L109" s="67">
        <v>24000100000</v>
      </c>
      <c r="M109" s="67">
        <v>52107400000</v>
      </c>
    </row>
    <row r="110" spans="2:13">
      <c r="B110" s="69" t="s">
        <v>165</v>
      </c>
      <c r="C110" s="64" t="s">
        <v>721</v>
      </c>
      <c r="D110" s="65">
        <v>0</v>
      </c>
      <c r="E110" s="65">
        <v>451900000</v>
      </c>
      <c r="F110" s="65">
        <v>93300000</v>
      </c>
      <c r="G110" s="65">
        <v>160800000</v>
      </c>
      <c r="H110" s="65">
        <v>204600000</v>
      </c>
      <c r="I110" s="65">
        <v>61200000</v>
      </c>
      <c r="J110" s="65">
        <v>11100000</v>
      </c>
      <c r="K110" s="65">
        <v>5400000</v>
      </c>
      <c r="L110" s="65">
        <v>11500000</v>
      </c>
      <c r="M110" s="65">
        <v>503800000</v>
      </c>
    </row>
    <row r="111" spans="2:13">
      <c r="B111" s="69" t="s">
        <v>160</v>
      </c>
      <c r="C111" s="64" t="s">
        <v>722</v>
      </c>
      <c r="D111" s="65">
        <v>0</v>
      </c>
      <c r="E111" s="65">
        <v>10137600000</v>
      </c>
      <c r="F111" s="65">
        <v>9306100000</v>
      </c>
      <c r="G111" s="65">
        <v>12119300000</v>
      </c>
      <c r="H111" s="65">
        <v>9894700000</v>
      </c>
      <c r="I111" s="65">
        <v>9695800000</v>
      </c>
      <c r="J111" s="65">
        <v>8112600000</v>
      </c>
      <c r="K111" s="65">
        <v>6271000000</v>
      </c>
      <c r="L111" s="65">
        <v>5942400000</v>
      </c>
      <c r="M111" s="65">
        <v>7570400000</v>
      </c>
    </row>
    <row r="112" spans="2:13">
      <c r="B112" s="76" t="s">
        <v>723</v>
      </c>
      <c r="C112" s="64" t="s">
        <v>724</v>
      </c>
      <c r="D112" s="67">
        <v>0</v>
      </c>
      <c r="E112" s="67">
        <v>91705400000</v>
      </c>
      <c r="F112" s="67">
        <v>78488200000</v>
      </c>
      <c r="G112" s="67">
        <v>64249800000</v>
      </c>
      <c r="H112" s="67">
        <v>46435500000</v>
      </c>
      <c r="I112" s="67">
        <v>47979200000</v>
      </c>
      <c r="J112" s="67">
        <v>50191100000</v>
      </c>
      <c r="K112" s="67">
        <v>41421800000</v>
      </c>
      <c r="L112" s="67">
        <v>52876900000</v>
      </c>
      <c r="M112" s="67">
        <v>92517100000</v>
      </c>
    </row>
    <row r="113" spans="2:13">
      <c r="B113" s="63" t="s">
        <v>168</v>
      </c>
      <c r="C113" s="64" t="s">
        <v>725</v>
      </c>
      <c r="D113" s="65">
        <v>0</v>
      </c>
      <c r="E113" s="65">
        <v>0</v>
      </c>
      <c r="F113" s="65">
        <v>6621700000</v>
      </c>
      <c r="G113" s="65">
        <v>893600000</v>
      </c>
      <c r="H113" s="65">
        <v>510000000</v>
      </c>
      <c r="I113" s="65">
        <v>495900000</v>
      </c>
      <c r="J113" s="65">
        <v>657600000</v>
      </c>
      <c r="K113" s="65">
        <v>354700000</v>
      </c>
      <c r="L113" s="65">
        <v>0</v>
      </c>
      <c r="M113" s="65">
        <v>0</v>
      </c>
    </row>
    <row r="114" spans="2:13">
      <c r="B114" s="66" t="s">
        <v>726</v>
      </c>
      <c r="C114" s="64" t="s">
        <v>727</v>
      </c>
      <c r="D114" s="67">
        <v>0</v>
      </c>
      <c r="E114" s="67">
        <v>121601000000</v>
      </c>
      <c r="F114" s="67">
        <v>111205700000</v>
      </c>
      <c r="G114" s="67">
        <v>88709100000</v>
      </c>
      <c r="H114" s="67">
        <v>65303500000</v>
      </c>
      <c r="I114" s="67">
        <v>66010900000</v>
      </c>
      <c r="J114" s="67">
        <v>64748600000</v>
      </c>
      <c r="K114" s="67">
        <v>55233800000</v>
      </c>
      <c r="L114" s="67">
        <v>71790200000</v>
      </c>
      <c r="M114" s="67">
        <v>129595900000</v>
      </c>
    </row>
    <row r="115" spans="2:13" ht="15.5">
      <c r="B115" s="42" t="s">
        <v>728</v>
      </c>
    </row>
    <row r="116" spans="2:13">
      <c r="B116" s="68" t="s">
        <v>729</v>
      </c>
    </row>
    <row r="117" spans="2:13">
      <c r="B117" s="70" t="s">
        <v>730</v>
      </c>
    </row>
    <row r="118" spans="2:13">
      <c r="B118" s="71" t="s">
        <v>172</v>
      </c>
      <c r="C118" s="64" t="s">
        <v>731</v>
      </c>
      <c r="D118" s="65">
        <v>0</v>
      </c>
      <c r="E118" s="65">
        <v>10048800000</v>
      </c>
      <c r="F118" s="65">
        <v>10639500000</v>
      </c>
      <c r="G118" s="65">
        <v>10639500000</v>
      </c>
      <c r="H118" s="65">
        <v>10639500000</v>
      </c>
      <c r="I118" s="65">
        <v>17016000000</v>
      </c>
      <c r="J118" s="65">
        <v>18434900000</v>
      </c>
      <c r="K118" s="65">
        <v>24544000000</v>
      </c>
      <c r="L118" s="65">
        <v>27217200000</v>
      </c>
      <c r="M118" s="65">
        <v>27317900000</v>
      </c>
    </row>
    <row r="119" spans="2:13">
      <c r="B119" s="71" t="s">
        <v>173</v>
      </c>
      <c r="C119" s="64" t="s">
        <v>732</v>
      </c>
      <c r="D119" s="65">
        <v>0</v>
      </c>
      <c r="E119" s="65">
        <v>-78462100000</v>
      </c>
      <c r="F119" s="65">
        <v>-80308000000</v>
      </c>
      <c r="G119" s="65">
        <v>-95615600000</v>
      </c>
      <c r="H119" s="65">
        <v>-120468900000</v>
      </c>
      <c r="I119" s="65">
        <v>-50446300000</v>
      </c>
      <c r="J119" s="65">
        <v>-53692200000</v>
      </c>
      <c r="K119" s="65">
        <v>-13552600000</v>
      </c>
      <c r="L119" s="65">
        <v>11985900000</v>
      </c>
      <c r="M119" s="65">
        <v>33739300000</v>
      </c>
    </row>
    <row r="120" spans="2:13">
      <c r="B120" s="74" t="s">
        <v>174</v>
      </c>
      <c r="C120" s="64" t="s">
        <v>733</v>
      </c>
      <c r="D120" s="67">
        <v>0</v>
      </c>
      <c r="E120" s="67">
        <v>-68413300000</v>
      </c>
      <c r="F120" s="67">
        <v>-69668500000</v>
      </c>
      <c r="G120" s="67">
        <v>-84976100000</v>
      </c>
      <c r="H120" s="67">
        <v>-109829400000</v>
      </c>
      <c r="I120" s="67">
        <v>-33430300000</v>
      </c>
      <c r="J120" s="67">
        <v>-35257300000</v>
      </c>
      <c r="K120" s="67">
        <v>10991400000</v>
      </c>
      <c r="L120" s="67">
        <v>39203100000</v>
      </c>
      <c r="M120" s="67">
        <v>61057200000</v>
      </c>
    </row>
    <row r="121" spans="2:13">
      <c r="B121" s="69" t="s">
        <v>175</v>
      </c>
      <c r="C121" s="64" t="s">
        <v>734</v>
      </c>
      <c r="D121" s="65">
        <v>0</v>
      </c>
      <c r="E121" s="65">
        <v>86800000</v>
      </c>
      <c r="F121" s="65">
        <v>101900000</v>
      </c>
      <c r="G121" s="65">
        <v>-54800000</v>
      </c>
      <c r="H121" s="65">
        <v>-589000000</v>
      </c>
      <c r="I121" s="65">
        <v>-576800000</v>
      </c>
      <c r="J121" s="65">
        <v>-360800000</v>
      </c>
      <c r="K121" s="65">
        <v>0</v>
      </c>
      <c r="L121" s="65">
        <v>0</v>
      </c>
      <c r="M121" s="65">
        <v>0</v>
      </c>
    </row>
    <row r="122" spans="2:13">
      <c r="B122" s="76" t="s">
        <v>176</v>
      </c>
      <c r="C122" s="64" t="s">
        <v>262</v>
      </c>
      <c r="D122" s="67">
        <v>0</v>
      </c>
      <c r="E122" s="67">
        <v>-68326500000</v>
      </c>
      <c r="F122" s="67">
        <v>-69566600000</v>
      </c>
      <c r="G122" s="67">
        <v>-85030900000</v>
      </c>
      <c r="H122" s="67">
        <v>-110418400000</v>
      </c>
      <c r="I122" s="67">
        <v>-34007100000</v>
      </c>
      <c r="J122" s="67">
        <v>-35618100000</v>
      </c>
      <c r="K122" s="67">
        <v>10991400000</v>
      </c>
      <c r="L122" s="67">
        <v>39203100000</v>
      </c>
      <c r="M122" s="67">
        <v>61057200000</v>
      </c>
    </row>
    <row r="123" spans="2:13">
      <c r="B123" s="68" t="s">
        <v>735</v>
      </c>
    </row>
    <row r="124" spans="2:13">
      <c r="B124" s="70" t="s">
        <v>736</v>
      </c>
    </row>
    <row r="125" spans="2:13">
      <c r="B125" s="72" t="s">
        <v>737</v>
      </c>
    </row>
    <row r="126" spans="2:13">
      <c r="B126" s="73" t="s">
        <v>180</v>
      </c>
      <c r="C126" s="64" t="s">
        <v>738</v>
      </c>
      <c r="D126" s="65">
        <v>0</v>
      </c>
      <c r="E126" s="65">
        <v>48409800000</v>
      </c>
      <c r="F126" s="65">
        <v>77157100000</v>
      </c>
      <c r="G126" s="65">
        <v>62441400000</v>
      </c>
      <c r="H126" s="65">
        <v>8417700000</v>
      </c>
      <c r="I126" s="65">
        <v>60272000000</v>
      </c>
      <c r="J126" s="65">
        <v>55924400000</v>
      </c>
      <c r="K126" s="65">
        <v>15172700000</v>
      </c>
      <c r="L126" s="65">
        <v>498700000</v>
      </c>
      <c r="M126" s="65">
        <v>1291900000</v>
      </c>
    </row>
    <row r="127" spans="2:13">
      <c r="B127" s="73" t="s">
        <v>182</v>
      </c>
      <c r="C127" s="64" t="s">
        <v>739</v>
      </c>
      <c r="D127" s="65">
        <v>0</v>
      </c>
      <c r="E127" s="65">
        <v>2254600000</v>
      </c>
      <c r="F127" s="65">
        <v>553300000</v>
      </c>
      <c r="G127" s="65">
        <v>504900000</v>
      </c>
      <c r="H127" s="65">
        <v>910900000</v>
      </c>
      <c r="I127" s="65">
        <v>775400000</v>
      </c>
      <c r="J127" s="65">
        <v>792100000</v>
      </c>
      <c r="K127" s="65">
        <v>375200000</v>
      </c>
      <c r="L127" s="65">
        <v>341300000</v>
      </c>
      <c r="M127" s="65">
        <v>6546100000</v>
      </c>
    </row>
    <row r="128" spans="2:13">
      <c r="B128" s="75" t="s">
        <v>183</v>
      </c>
      <c r="C128" s="64" t="s">
        <v>740</v>
      </c>
      <c r="D128" s="67">
        <v>0</v>
      </c>
      <c r="E128" s="67">
        <v>50664400000</v>
      </c>
      <c r="F128" s="67">
        <v>77710400000</v>
      </c>
      <c r="G128" s="67">
        <v>62946300000</v>
      </c>
      <c r="H128" s="67">
        <v>9328600000</v>
      </c>
      <c r="I128" s="67">
        <v>61047400000</v>
      </c>
      <c r="J128" s="67">
        <v>56716500000</v>
      </c>
      <c r="K128" s="67">
        <v>15547900000</v>
      </c>
      <c r="L128" s="67">
        <v>840000000</v>
      </c>
      <c r="M128" s="67">
        <v>7838000000</v>
      </c>
    </row>
    <row r="129" spans="2:13">
      <c r="B129" s="71" t="s">
        <v>184</v>
      </c>
      <c r="C129" s="64" t="s">
        <v>741</v>
      </c>
      <c r="D129" s="65">
        <v>0</v>
      </c>
      <c r="E129" s="65">
        <v>1272000000</v>
      </c>
      <c r="F129" s="65">
        <v>1204300000</v>
      </c>
      <c r="G129" s="65">
        <v>1184600000</v>
      </c>
      <c r="H129" s="65">
        <v>932700000</v>
      </c>
      <c r="I129" s="65">
        <v>825100000</v>
      </c>
      <c r="J129" s="65">
        <v>1304300000</v>
      </c>
      <c r="K129" s="65">
        <v>1681800000</v>
      </c>
      <c r="L129" s="65">
        <v>1653800000</v>
      </c>
      <c r="M129" s="65">
        <v>1549800000</v>
      </c>
    </row>
    <row r="130" spans="2:13">
      <c r="B130" s="71" t="s">
        <v>185</v>
      </c>
      <c r="C130" s="64" t="s">
        <v>742</v>
      </c>
      <c r="D130" s="65">
        <v>0</v>
      </c>
      <c r="E130" s="65">
        <v>400200000</v>
      </c>
      <c r="F130" s="65">
        <v>299800000</v>
      </c>
      <c r="G130" s="65">
        <v>117000000</v>
      </c>
      <c r="H130" s="65">
        <v>8900000</v>
      </c>
      <c r="I130" s="65">
        <v>7700000</v>
      </c>
      <c r="J130" s="65">
        <v>1900000</v>
      </c>
      <c r="K130" s="65">
        <v>4800000</v>
      </c>
      <c r="L130" s="65">
        <v>4800000</v>
      </c>
      <c r="M130" s="65">
        <v>4500000</v>
      </c>
    </row>
    <row r="131" spans="2:13">
      <c r="B131" s="74" t="s">
        <v>186</v>
      </c>
      <c r="C131" s="64" t="s">
        <v>743</v>
      </c>
      <c r="D131" s="67">
        <v>0</v>
      </c>
      <c r="E131" s="67">
        <v>52336600000</v>
      </c>
      <c r="F131" s="67">
        <v>79214500000</v>
      </c>
      <c r="G131" s="67">
        <v>64247900000</v>
      </c>
      <c r="H131" s="67">
        <v>10270200000</v>
      </c>
      <c r="I131" s="67">
        <v>61880200000</v>
      </c>
      <c r="J131" s="67">
        <v>58022700000</v>
      </c>
      <c r="K131" s="67">
        <v>17234500000</v>
      </c>
      <c r="L131" s="67">
        <v>2498600000</v>
      </c>
      <c r="M131" s="67">
        <v>9392300000</v>
      </c>
    </row>
    <row r="132" spans="2:13">
      <c r="B132" s="70" t="s">
        <v>744</v>
      </c>
    </row>
    <row r="133" spans="2:13">
      <c r="B133" s="72" t="s">
        <v>745</v>
      </c>
    </row>
    <row r="134" spans="2:13">
      <c r="B134" s="73" t="s">
        <v>189</v>
      </c>
      <c r="C134" s="64" t="s">
        <v>746</v>
      </c>
      <c r="D134" s="65">
        <v>0</v>
      </c>
      <c r="E134" s="65">
        <v>20763800000</v>
      </c>
      <c r="F134" s="65">
        <v>38894500000</v>
      </c>
      <c r="G134" s="65">
        <v>33797900000</v>
      </c>
      <c r="H134" s="65">
        <v>88438500000</v>
      </c>
      <c r="I134" s="65">
        <v>1753400000</v>
      </c>
      <c r="J134" s="65">
        <v>7981200000</v>
      </c>
      <c r="K134" s="65">
        <v>3876100000</v>
      </c>
      <c r="L134" s="65">
        <v>600800000</v>
      </c>
      <c r="M134" s="65">
        <v>1541400000</v>
      </c>
    </row>
    <row r="135" spans="2:13">
      <c r="B135" s="77" t="s">
        <v>747</v>
      </c>
    </row>
    <row r="136" spans="2:13">
      <c r="B136" s="78" t="s">
        <v>191</v>
      </c>
      <c r="C136" s="64" t="s">
        <v>748</v>
      </c>
      <c r="D136" s="67">
        <v>0</v>
      </c>
      <c r="E136" s="67">
        <v>48122500000</v>
      </c>
      <c r="F136" s="67">
        <v>25266000000</v>
      </c>
      <c r="G136" s="67">
        <v>21751900000</v>
      </c>
      <c r="H136" s="67">
        <v>12981800000</v>
      </c>
      <c r="I136" s="67">
        <v>15819900000</v>
      </c>
      <c r="J136" s="67">
        <v>18404900000</v>
      </c>
      <c r="K136" s="67">
        <v>8946400000</v>
      </c>
      <c r="L136" s="67">
        <v>17957800000</v>
      </c>
      <c r="M136" s="67">
        <v>29351400000</v>
      </c>
    </row>
    <row r="137" spans="2:13">
      <c r="B137" s="73" t="s">
        <v>192</v>
      </c>
      <c r="C137" s="64" t="s">
        <v>749</v>
      </c>
      <c r="D137" s="65">
        <v>0</v>
      </c>
      <c r="E137" s="65">
        <v>49265400000</v>
      </c>
      <c r="F137" s="65">
        <v>15979300000</v>
      </c>
      <c r="G137" s="65">
        <v>30606500000</v>
      </c>
      <c r="H137" s="65">
        <v>53105400000</v>
      </c>
      <c r="I137" s="65">
        <v>10241800000</v>
      </c>
      <c r="J137" s="65">
        <v>3803800000</v>
      </c>
      <c r="K137" s="65">
        <v>2165300000</v>
      </c>
      <c r="L137" s="65">
        <v>1889300000</v>
      </c>
      <c r="M137" s="65">
        <v>4140400000</v>
      </c>
    </row>
    <row r="138" spans="2:13">
      <c r="B138" s="75" t="s">
        <v>193</v>
      </c>
      <c r="C138" s="64" t="s">
        <v>750</v>
      </c>
      <c r="D138" s="67">
        <v>0</v>
      </c>
      <c r="E138" s="67">
        <v>118151700000</v>
      </c>
      <c r="F138" s="67">
        <v>80139800000</v>
      </c>
      <c r="G138" s="67">
        <v>86156300000</v>
      </c>
      <c r="H138" s="67">
        <v>154525700000</v>
      </c>
      <c r="I138" s="67">
        <v>27815100000</v>
      </c>
      <c r="J138" s="67">
        <v>30189900000</v>
      </c>
      <c r="K138" s="67">
        <v>14987800000</v>
      </c>
      <c r="L138" s="67">
        <v>20447900000</v>
      </c>
      <c r="M138" s="67">
        <v>35033200000</v>
      </c>
    </row>
    <row r="139" spans="2:13">
      <c r="B139" s="71" t="s">
        <v>194</v>
      </c>
      <c r="C139" s="64" t="s">
        <v>751</v>
      </c>
      <c r="D139" s="65">
        <v>0</v>
      </c>
      <c r="E139" s="65">
        <v>11221300000</v>
      </c>
      <c r="F139" s="65">
        <v>10363800000</v>
      </c>
      <c r="G139" s="65">
        <v>15940600000</v>
      </c>
      <c r="H139" s="65">
        <v>3869400000</v>
      </c>
      <c r="I139" s="65">
        <v>4931300000</v>
      </c>
      <c r="J139" s="65">
        <v>5582900000</v>
      </c>
      <c r="K139" s="65">
        <v>6311700000</v>
      </c>
      <c r="L139" s="65">
        <v>4105200000</v>
      </c>
      <c r="M139" s="65">
        <v>18391200000</v>
      </c>
    </row>
    <row r="140" spans="2:13">
      <c r="B140" s="71" t="s">
        <v>195</v>
      </c>
      <c r="C140" s="64" t="s">
        <v>752</v>
      </c>
      <c r="D140" s="65">
        <v>0</v>
      </c>
      <c r="E140" s="65">
        <v>8217900000</v>
      </c>
      <c r="F140" s="65">
        <v>8185800000</v>
      </c>
      <c r="G140" s="65">
        <v>7395200000</v>
      </c>
      <c r="H140" s="65">
        <v>7056600000</v>
      </c>
      <c r="I140" s="65">
        <v>5391400000</v>
      </c>
      <c r="J140" s="65">
        <v>6571200000</v>
      </c>
      <c r="K140" s="65">
        <v>5708400000</v>
      </c>
      <c r="L140" s="65">
        <v>5515800000</v>
      </c>
      <c r="M140" s="65">
        <v>5637300000</v>
      </c>
    </row>
    <row r="141" spans="2:13">
      <c r="B141" s="71" t="s">
        <v>196</v>
      </c>
      <c r="C141" s="64" t="s">
        <v>753</v>
      </c>
      <c r="D141" s="65">
        <v>0</v>
      </c>
      <c r="E141" s="65">
        <v>0</v>
      </c>
      <c r="F141" s="65">
        <v>0</v>
      </c>
      <c r="G141" s="65">
        <v>0</v>
      </c>
      <c r="H141" s="65">
        <v>0</v>
      </c>
      <c r="I141" s="65">
        <v>0</v>
      </c>
      <c r="J141" s="65">
        <v>0</v>
      </c>
      <c r="K141" s="65">
        <v>0</v>
      </c>
      <c r="L141" s="65">
        <v>19600000</v>
      </c>
      <c r="M141" s="65">
        <v>84700000</v>
      </c>
    </row>
    <row r="142" spans="2:13">
      <c r="B142" s="74" t="s">
        <v>197</v>
      </c>
      <c r="C142" s="64" t="s">
        <v>754</v>
      </c>
      <c r="D142" s="67">
        <v>0</v>
      </c>
      <c r="E142" s="67">
        <v>137590900000</v>
      </c>
      <c r="F142" s="67">
        <v>98689400000</v>
      </c>
      <c r="G142" s="67">
        <v>109492100000</v>
      </c>
      <c r="H142" s="67">
        <v>165451700000</v>
      </c>
      <c r="I142" s="67">
        <v>38137800000</v>
      </c>
      <c r="J142" s="67">
        <v>42344000000</v>
      </c>
      <c r="K142" s="67">
        <v>27007900000</v>
      </c>
      <c r="L142" s="67">
        <v>30088500000</v>
      </c>
      <c r="M142" s="67">
        <v>59146400000</v>
      </c>
    </row>
    <row r="143" spans="2:13">
      <c r="B143" s="69" t="s">
        <v>198</v>
      </c>
      <c r="C143" s="64" t="s">
        <v>755</v>
      </c>
      <c r="D143" s="65">
        <v>0</v>
      </c>
      <c r="E143" s="65">
        <v>0</v>
      </c>
      <c r="F143" s="65">
        <v>2868400000</v>
      </c>
      <c r="G143" s="65">
        <v>0</v>
      </c>
      <c r="H143" s="65">
        <v>0</v>
      </c>
      <c r="I143" s="65">
        <v>0</v>
      </c>
      <c r="J143" s="65">
        <v>0</v>
      </c>
      <c r="K143" s="65">
        <v>0</v>
      </c>
      <c r="L143" s="65">
        <v>0</v>
      </c>
      <c r="M143" s="65">
        <v>0</v>
      </c>
    </row>
    <row r="144" spans="2:13">
      <c r="B144" s="76" t="s">
        <v>177</v>
      </c>
      <c r="C144" s="64" t="s">
        <v>177</v>
      </c>
      <c r="D144" s="67">
        <v>0</v>
      </c>
      <c r="E144" s="67">
        <v>189927500000</v>
      </c>
      <c r="F144" s="67">
        <v>180772300000</v>
      </c>
      <c r="G144" s="67">
        <v>173740000000</v>
      </c>
      <c r="H144" s="67">
        <v>175721900000</v>
      </c>
      <c r="I144" s="67">
        <v>100018000000</v>
      </c>
      <c r="J144" s="67">
        <v>100366700000</v>
      </c>
      <c r="K144" s="67">
        <v>44242400000</v>
      </c>
      <c r="L144" s="67">
        <v>32587100000</v>
      </c>
      <c r="M144" s="67">
        <v>68538700000</v>
      </c>
    </row>
    <row r="145" spans="1:13">
      <c r="B145" s="66" t="s">
        <v>199</v>
      </c>
      <c r="C145" s="64" t="s">
        <v>756</v>
      </c>
      <c r="D145" s="67">
        <v>0</v>
      </c>
      <c r="E145" s="67">
        <v>121601000000</v>
      </c>
      <c r="F145" s="67">
        <v>111205700000</v>
      </c>
      <c r="G145" s="67">
        <v>88709100000</v>
      </c>
      <c r="H145" s="67">
        <v>65303500000</v>
      </c>
      <c r="I145" s="67">
        <v>66010900000</v>
      </c>
      <c r="J145" s="67">
        <v>64748600000</v>
      </c>
      <c r="K145" s="67">
        <v>55233800000</v>
      </c>
      <c r="L145" s="67">
        <v>71790200000</v>
      </c>
      <c r="M145" s="67">
        <v>129595900000</v>
      </c>
    </row>
    <row r="148" spans="1:13">
      <c r="A148" t="s">
        <v>27</v>
      </c>
      <c r="B148" s="24" t="s">
        <v>201</v>
      </c>
    </row>
    <row r="149" spans="1:13">
      <c r="B149" t="s">
        <v>624</v>
      </c>
    </row>
    <row r="151" spans="1:13">
      <c r="C151" s="62" t="s">
        <v>625</v>
      </c>
      <c r="D151" s="24" t="s">
        <v>30</v>
      </c>
      <c r="E151" s="24" t="s">
        <v>31</v>
      </c>
      <c r="F151" s="24" t="s">
        <v>32</v>
      </c>
      <c r="G151" s="24" t="s">
        <v>33</v>
      </c>
      <c r="H151" s="24" t="s">
        <v>34</v>
      </c>
      <c r="I151" s="24" t="s">
        <v>35</v>
      </c>
      <c r="J151" s="24" t="s">
        <v>36</v>
      </c>
      <c r="K151" s="24" t="s">
        <v>37</v>
      </c>
      <c r="L151" s="24" t="s">
        <v>38</v>
      </c>
      <c r="M151" s="24" t="s">
        <v>39</v>
      </c>
    </row>
    <row r="152" spans="1:13" ht="15.5">
      <c r="B152" s="42" t="s">
        <v>757</v>
      </c>
    </row>
    <row r="153" spans="1:13">
      <c r="B153" s="63" t="s">
        <v>203</v>
      </c>
      <c r="C153" s="64" t="s">
        <v>644</v>
      </c>
      <c r="D153" s="65">
        <v>0</v>
      </c>
      <c r="E153" s="65">
        <v>9115900000</v>
      </c>
      <c r="F153" s="65">
        <v>-3907400000</v>
      </c>
      <c r="G153" s="65">
        <v>-15429900000</v>
      </c>
      <c r="H153" s="65">
        <v>-26839500000</v>
      </c>
      <c r="I153" s="65">
        <v>1049700000</v>
      </c>
      <c r="J153" s="65">
        <v>4000000</v>
      </c>
      <c r="K153" s="65">
        <v>28917100000</v>
      </c>
      <c r="L153" s="65">
        <v>6594900000</v>
      </c>
      <c r="M153" s="65">
        <v>14466300000</v>
      </c>
    </row>
    <row r="154" spans="1:13">
      <c r="B154" s="68" t="s">
        <v>758</v>
      </c>
    </row>
    <row r="155" spans="1:13">
      <c r="B155" s="69" t="s">
        <v>205</v>
      </c>
      <c r="C155" s="64" t="s">
        <v>759</v>
      </c>
      <c r="D155" s="65">
        <v>0</v>
      </c>
      <c r="E155" s="65">
        <v>11485000000</v>
      </c>
      <c r="F155" s="65">
        <v>14012500000</v>
      </c>
      <c r="G155" s="65">
        <v>11795000000</v>
      </c>
      <c r="H155" s="65">
        <v>12901200000</v>
      </c>
      <c r="I155" s="65">
        <v>9573700000</v>
      </c>
      <c r="J155" s="65">
        <v>7025700000</v>
      </c>
      <c r="K155" s="65">
        <v>3829700000</v>
      </c>
      <c r="L155" s="65">
        <v>1056500000</v>
      </c>
      <c r="M155" s="65">
        <v>1056800000</v>
      </c>
    </row>
    <row r="156" spans="1:13">
      <c r="B156" s="69" t="s">
        <v>206</v>
      </c>
      <c r="C156" s="64" t="s">
        <v>760</v>
      </c>
      <c r="D156" s="65">
        <v>0</v>
      </c>
      <c r="E156" s="65">
        <v>-9441900000</v>
      </c>
      <c r="F156" s="65">
        <v>4008300000</v>
      </c>
      <c r="G156" s="65">
        <v>1124400000</v>
      </c>
      <c r="H156" s="65">
        <v>8583400000</v>
      </c>
      <c r="I156" s="65">
        <v>-1171700000</v>
      </c>
      <c r="J156" s="65">
        <v>-485200000</v>
      </c>
      <c r="K156" s="65">
        <v>3807700000</v>
      </c>
      <c r="L156" s="65">
        <v>-4651600000</v>
      </c>
      <c r="M156" s="65">
        <v>-8187300000</v>
      </c>
    </row>
    <row r="157" spans="1:13">
      <c r="B157" s="69" t="s">
        <v>207</v>
      </c>
      <c r="C157" s="64" t="s">
        <v>761</v>
      </c>
      <c r="D157" s="65">
        <v>0</v>
      </c>
      <c r="E157" s="65">
        <v>-10467400000</v>
      </c>
      <c r="F157" s="65">
        <v>6875000000</v>
      </c>
      <c r="G157" s="65">
        <v>10066900000</v>
      </c>
      <c r="H157" s="65">
        <v>1889100000</v>
      </c>
      <c r="I157" s="65">
        <v>677600000</v>
      </c>
      <c r="J157" s="65">
        <v>-2304900000</v>
      </c>
      <c r="K157" s="65">
        <v>1930800000</v>
      </c>
      <c r="L157" s="65">
        <v>-6769100000</v>
      </c>
      <c r="M157" s="65">
        <v>-20068300000</v>
      </c>
    </row>
    <row r="158" spans="1:13">
      <c r="B158" s="69" t="s">
        <v>208</v>
      </c>
      <c r="C158" s="64" t="s">
        <v>762</v>
      </c>
      <c r="D158" s="65">
        <v>0</v>
      </c>
      <c r="E158" s="65">
        <v>-3151500000</v>
      </c>
      <c r="F158" s="65">
        <v>4300000</v>
      </c>
      <c r="G158" s="65">
        <v>-1817300000</v>
      </c>
      <c r="H158" s="65">
        <v>5910200000</v>
      </c>
      <c r="I158" s="65">
        <v>-1640500000</v>
      </c>
      <c r="J158" s="65">
        <v>3534800000</v>
      </c>
      <c r="K158" s="65">
        <v>5900000</v>
      </c>
      <c r="L158" s="65">
        <v>0</v>
      </c>
      <c r="M158" s="65">
        <v>0</v>
      </c>
    </row>
    <row r="159" spans="1:13">
      <c r="B159" s="69" t="s">
        <v>209</v>
      </c>
      <c r="C159" s="64" t="s">
        <v>763</v>
      </c>
      <c r="D159" s="65">
        <v>0</v>
      </c>
      <c r="E159" s="65">
        <v>0</v>
      </c>
      <c r="F159" s="65">
        <v>0</v>
      </c>
      <c r="G159" s="65">
        <v>0</v>
      </c>
      <c r="H159" s="65">
        <v>0</v>
      </c>
      <c r="I159" s="65">
        <v>0</v>
      </c>
      <c r="J159" s="65">
        <v>0</v>
      </c>
      <c r="K159" s="65">
        <v>0</v>
      </c>
      <c r="L159" s="65">
        <v>-3996900000</v>
      </c>
      <c r="M159" s="65">
        <v>-3687400000</v>
      </c>
    </row>
    <row r="160" spans="1:13">
      <c r="B160" s="69" t="s">
        <v>210</v>
      </c>
      <c r="C160" s="64" t="s">
        <v>764</v>
      </c>
      <c r="D160" s="65">
        <v>0</v>
      </c>
      <c r="E160" s="65">
        <v>15067900000</v>
      </c>
      <c r="F160" s="65">
        <v>-23565000000</v>
      </c>
      <c r="G160" s="65">
        <v>-433900000</v>
      </c>
      <c r="H160" s="65">
        <v>-22331600000</v>
      </c>
      <c r="I160" s="65">
        <v>540500000</v>
      </c>
      <c r="J160" s="65">
        <v>825400000</v>
      </c>
      <c r="K160" s="65">
        <v>-11176600000</v>
      </c>
      <c r="L160" s="65">
        <v>0</v>
      </c>
      <c r="M160" s="65">
        <v>0</v>
      </c>
    </row>
    <row r="161" spans="2:13">
      <c r="B161" s="69" t="s">
        <v>211</v>
      </c>
      <c r="C161" s="64" t="s">
        <v>765</v>
      </c>
      <c r="D161" s="65">
        <v>0</v>
      </c>
      <c r="E161" s="65">
        <v>3890300000</v>
      </c>
      <c r="F161" s="65">
        <v>3416100000</v>
      </c>
      <c r="G161" s="65">
        <v>3418500000</v>
      </c>
      <c r="H161" s="65">
        <v>4186100000</v>
      </c>
      <c r="I161" s="65">
        <v>2583800000</v>
      </c>
      <c r="J161" s="65">
        <v>2598400000</v>
      </c>
      <c r="K161" s="65">
        <v>2596800000</v>
      </c>
      <c r="L161" s="65">
        <v>1896000000</v>
      </c>
      <c r="M161" s="65">
        <v>2591900000</v>
      </c>
    </row>
    <row r="162" spans="2:13">
      <c r="B162" s="69" t="s">
        <v>212</v>
      </c>
      <c r="C162" s="64" t="s">
        <v>766</v>
      </c>
      <c r="D162" s="65">
        <v>0</v>
      </c>
      <c r="E162" s="65">
        <v>0</v>
      </c>
      <c r="F162" s="65">
        <v>-219300000</v>
      </c>
      <c r="G162" s="65">
        <v>-114500000</v>
      </c>
      <c r="H162" s="65">
        <v>-52500000</v>
      </c>
      <c r="I162" s="65">
        <v>24300000</v>
      </c>
      <c r="J162" s="65">
        <v>12400000</v>
      </c>
      <c r="K162" s="65">
        <v>-32300000</v>
      </c>
      <c r="L162" s="65">
        <v>54800000</v>
      </c>
      <c r="M162" s="65">
        <v>195200000</v>
      </c>
    </row>
    <row r="163" spans="2:13">
      <c r="B163" s="69" t="s">
        <v>213</v>
      </c>
      <c r="C163" s="64" t="s">
        <v>767</v>
      </c>
      <c r="D163" s="65">
        <v>0</v>
      </c>
      <c r="E163" s="65">
        <v>0</v>
      </c>
      <c r="F163" s="65">
        <v>0</v>
      </c>
      <c r="G163" s="65">
        <v>0</v>
      </c>
      <c r="H163" s="65">
        <v>0</v>
      </c>
      <c r="I163" s="65">
        <v>0</v>
      </c>
      <c r="J163" s="65">
        <v>0</v>
      </c>
      <c r="K163" s="65">
        <v>0</v>
      </c>
      <c r="L163" s="65">
        <v>4807200000</v>
      </c>
      <c r="M163" s="65">
        <v>23040800000</v>
      </c>
    </row>
    <row r="164" spans="2:13">
      <c r="B164" s="69" t="s">
        <v>214</v>
      </c>
      <c r="C164" s="64" t="s">
        <v>768</v>
      </c>
      <c r="D164" s="65">
        <v>0</v>
      </c>
      <c r="E164" s="65">
        <v>-1215600000</v>
      </c>
      <c r="F164" s="65">
        <v>514700000</v>
      </c>
      <c r="G164" s="65">
        <v>2403600000</v>
      </c>
      <c r="H164" s="65">
        <v>4976300000</v>
      </c>
      <c r="I164" s="65">
        <v>455200000</v>
      </c>
      <c r="J164" s="65">
        <v>322700000</v>
      </c>
      <c r="K164" s="65">
        <v>111100000</v>
      </c>
      <c r="L164" s="65">
        <v>0</v>
      </c>
      <c r="M164" s="65">
        <v>0</v>
      </c>
    </row>
    <row r="165" spans="2:13">
      <c r="B165" s="69" t="s">
        <v>215</v>
      </c>
      <c r="C165" s="64" t="s">
        <v>769</v>
      </c>
      <c r="D165" s="65">
        <v>0</v>
      </c>
      <c r="E165" s="65">
        <v>0</v>
      </c>
      <c r="F165" s="65">
        <v>0</v>
      </c>
      <c r="G165" s="65">
        <v>0</v>
      </c>
      <c r="H165" s="65">
        <v>0</v>
      </c>
      <c r="I165" s="65">
        <v>0</v>
      </c>
      <c r="J165" s="65">
        <v>0</v>
      </c>
      <c r="K165" s="65">
        <v>0</v>
      </c>
      <c r="L165" s="65">
        <v>383000000</v>
      </c>
      <c r="M165" s="65">
        <v>1029800000</v>
      </c>
    </row>
    <row r="166" spans="2:13">
      <c r="B166" s="69" t="s">
        <v>216</v>
      </c>
      <c r="C166" s="64" t="s">
        <v>770</v>
      </c>
      <c r="D166" s="65">
        <v>0</v>
      </c>
      <c r="E166" s="65">
        <v>192800000</v>
      </c>
      <c r="F166" s="65">
        <v>0</v>
      </c>
      <c r="G166" s="65">
        <v>0</v>
      </c>
      <c r="H166" s="65">
        <v>0</v>
      </c>
      <c r="I166" s="65">
        <v>0</v>
      </c>
      <c r="J166" s="65">
        <v>0</v>
      </c>
      <c r="K166" s="65">
        <v>0</v>
      </c>
      <c r="L166" s="65">
        <v>291400000</v>
      </c>
      <c r="M166" s="65">
        <v>1149500000</v>
      </c>
    </row>
    <row r="167" spans="2:13">
      <c r="B167" s="69" t="s">
        <v>217</v>
      </c>
      <c r="C167" s="64" t="s">
        <v>771</v>
      </c>
      <c r="D167" s="65">
        <v>0</v>
      </c>
      <c r="E167" s="65">
        <v>-417800000</v>
      </c>
      <c r="F167" s="65">
        <v>-405500000</v>
      </c>
      <c r="G167" s="65">
        <v>-149900000</v>
      </c>
      <c r="H167" s="65">
        <v>39700000</v>
      </c>
      <c r="I167" s="65">
        <v>0</v>
      </c>
      <c r="J167" s="65">
        <v>0</v>
      </c>
      <c r="K167" s="65">
        <v>0</v>
      </c>
      <c r="L167" s="65">
        <v>0</v>
      </c>
      <c r="M167" s="65">
        <v>0</v>
      </c>
    </row>
    <row r="168" spans="2:13">
      <c r="B168" s="69" t="s">
        <v>218</v>
      </c>
      <c r="C168" s="64" t="s">
        <v>772</v>
      </c>
      <c r="D168" s="65">
        <v>0</v>
      </c>
      <c r="E168" s="65">
        <v>3634300000</v>
      </c>
      <c r="F168" s="65">
        <v>1729200000</v>
      </c>
      <c r="G168" s="65">
        <v>1268500000</v>
      </c>
      <c r="H168" s="65">
        <v>1816000000</v>
      </c>
      <c r="I168" s="65">
        <v>309500000</v>
      </c>
      <c r="J168" s="65">
        <v>2586000000</v>
      </c>
      <c r="K168" s="65">
        <v>2031600000</v>
      </c>
      <c r="L168" s="65">
        <v>2098200000</v>
      </c>
      <c r="M168" s="65">
        <v>1407300000</v>
      </c>
    </row>
    <row r="169" spans="2:13">
      <c r="B169" s="69" t="s">
        <v>219</v>
      </c>
      <c r="C169" s="64" t="s">
        <v>773</v>
      </c>
      <c r="D169" s="65">
        <v>0</v>
      </c>
      <c r="E169" s="65">
        <v>-1987800000</v>
      </c>
      <c r="F169" s="65">
        <v>-4151100000</v>
      </c>
      <c r="G169" s="65">
        <v>439000000</v>
      </c>
      <c r="H169" s="65">
        <v>-292800000</v>
      </c>
      <c r="I169" s="65">
        <v>-7231000000</v>
      </c>
      <c r="J169" s="65">
        <v>-1194600000</v>
      </c>
      <c r="K169" s="65">
        <v>-27205900000</v>
      </c>
      <c r="L169" s="65">
        <v>0</v>
      </c>
      <c r="M169" s="65">
        <v>0</v>
      </c>
    </row>
    <row r="170" spans="2:13">
      <c r="B170" s="76" t="s">
        <v>220</v>
      </c>
      <c r="C170" s="64" t="s">
        <v>774</v>
      </c>
      <c r="D170" s="67">
        <v>0</v>
      </c>
      <c r="E170" s="67">
        <v>7588300000</v>
      </c>
      <c r="F170" s="67">
        <v>2219200000</v>
      </c>
      <c r="G170" s="67">
        <v>28000300000</v>
      </c>
      <c r="H170" s="67">
        <v>17625100000</v>
      </c>
      <c r="I170" s="67">
        <v>4121400000</v>
      </c>
      <c r="J170" s="67">
        <v>12920700000</v>
      </c>
      <c r="K170" s="67">
        <v>-24101200000</v>
      </c>
      <c r="L170" s="67">
        <v>-5596500000</v>
      </c>
      <c r="M170" s="67">
        <v>-3531300000</v>
      </c>
    </row>
    <row r="171" spans="2:13">
      <c r="B171" s="66" t="s">
        <v>221</v>
      </c>
      <c r="C171" s="64" t="s">
        <v>775</v>
      </c>
      <c r="D171" s="67">
        <v>0</v>
      </c>
      <c r="E171" s="67">
        <v>16704200000</v>
      </c>
      <c r="F171" s="67">
        <v>-1688200000</v>
      </c>
      <c r="G171" s="67">
        <v>12570400000</v>
      </c>
      <c r="H171" s="67">
        <v>-9214400000</v>
      </c>
      <c r="I171" s="67">
        <v>5171100000</v>
      </c>
      <c r="J171" s="67">
        <v>12924700000</v>
      </c>
      <c r="K171" s="67">
        <v>4815900000</v>
      </c>
      <c r="L171" s="67">
        <v>998400000</v>
      </c>
      <c r="M171" s="67">
        <v>10935000000</v>
      </c>
    </row>
    <row r="172" spans="2:13">
      <c r="B172" s="63" t="s">
        <v>222</v>
      </c>
      <c r="C172" s="64" t="s">
        <v>776</v>
      </c>
      <c r="D172" s="65">
        <v>0</v>
      </c>
      <c r="E172" s="65">
        <v>615900000</v>
      </c>
      <c r="F172" s="65">
        <v>-593800000</v>
      </c>
      <c r="G172" s="65">
        <v>-97000000</v>
      </c>
      <c r="H172" s="65">
        <v>76000000</v>
      </c>
      <c r="I172" s="65">
        <v>-133900000</v>
      </c>
      <c r="J172" s="65">
        <v>-94300000</v>
      </c>
      <c r="K172" s="65">
        <v>149300000</v>
      </c>
      <c r="L172" s="65">
        <v>203100000</v>
      </c>
      <c r="M172" s="65">
        <v>15400000</v>
      </c>
    </row>
    <row r="173" spans="2:13">
      <c r="B173" s="66" t="s">
        <v>223</v>
      </c>
      <c r="C173" s="64" t="s">
        <v>777</v>
      </c>
      <c r="D173" s="67">
        <v>0</v>
      </c>
      <c r="E173" s="67">
        <v>16088300000</v>
      </c>
      <c r="F173" s="67">
        <v>-1094400000</v>
      </c>
      <c r="G173" s="67">
        <v>12667400000</v>
      </c>
      <c r="H173" s="67">
        <v>-9290400000</v>
      </c>
      <c r="I173" s="67">
        <v>5305000000</v>
      </c>
      <c r="J173" s="67">
        <v>13019000000</v>
      </c>
      <c r="K173" s="67">
        <v>4666600000</v>
      </c>
      <c r="L173" s="67">
        <v>795300000</v>
      </c>
      <c r="M173" s="67">
        <v>10919600000</v>
      </c>
    </row>
    <row r="174" spans="2:13" ht="15.5">
      <c r="B174" s="42" t="s">
        <v>224</v>
      </c>
    </row>
    <row r="175" spans="2:13">
      <c r="B175" s="63" t="s">
        <v>225</v>
      </c>
      <c r="C175" s="64" t="s">
        <v>778</v>
      </c>
      <c r="D175" s="65">
        <v>0</v>
      </c>
      <c r="E175" s="65">
        <v>0</v>
      </c>
      <c r="F175" s="65">
        <v>0</v>
      </c>
      <c r="G175" s="65">
        <v>0</v>
      </c>
      <c r="H175" s="65">
        <v>0</v>
      </c>
      <c r="I175" s="65">
        <v>0</v>
      </c>
      <c r="J175" s="65">
        <v>0</v>
      </c>
      <c r="K175" s="65">
        <v>0</v>
      </c>
      <c r="L175" s="65">
        <v>0</v>
      </c>
      <c r="M175" s="65">
        <v>4413300000</v>
      </c>
    </row>
    <row r="176" spans="2:13">
      <c r="B176" s="63" t="s">
        <v>226</v>
      </c>
      <c r="C176" s="64" t="s">
        <v>779</v>
      </c>
      <c r="D176" s="65">
        <v>0</v>
      </c>
      <c r="E176" s="65">
        <v>85500000</v>
      </c>
      <c r="F176" s="65">
        <v>800000</v>
      </c>
      <c r="G176" s="65">
        <v>2855300000</v>
      </c>
      <c r="H176" s="65">
        <v>305100000</v>
      </c>
      <c r="I176" s="65">
        <v>0</v>
      </c>
      <c r="J176" s="65">
        <v>0</v>
      </c>
      <c r="K176" s="65">
        <v>0</v>
      </c>
      <c r="L176" s="65">
        <v>0</v>
      </c>
      <c r="M176" s="65">
        <v>0</v>
      </c>
    </row>
    <row r="177" spans="2:13">
      <c r="B177" s="63" t="s">
        <v>227</v>
      </c>
      <c r="C177" s="64" t="s">
        <v>780</v>
      </c>
      <c r="D177" s="65">
        <v>0</v>
      </c>
      <c r="E177" s="65">
        <v>1525600000</v>
      </c>
      <c r="F177" s="65">
        <v>307200000</v>
      </c>
      <c r="G177" s="65">
        <v>68100000</v>
      </c>
      <c r="H177" s="65">
        <v>0</v>
      </c>
      <c r="I177" s="65">
        <v>0</v>
      </c>
      <c r="J177" s="65">
        <v>0</v>
      </c>
      <c r="K177" s="65">
        <v>0</v>
      </c>
      <c r="L177" s="65">
        <v>0</v>
      </c>
      <c r="M177" s="65">
        <v>0</v>
      </c>
    </row>
    <row r="178" spans="2:13">
      <c r="B178" s="63" t="s">
        <v>228</v>
      </c>
      <c r="C178" s="64" t="s">
        <v>781</v>
      </c>
      <c r="D178" s="65">
        <v>0</v>
      </c>
      <c r="E178" s="65">
        <v>0</v>
      </c>
      <c r="F178" s="65">
        <v>0</v>
      </c>
      <c r="G178" s="65">
        <v>0</v>
      </c>
      <c r="H178" s="65">
        <v>0</v>
      </c>
      <c r="I178" s="65">
        <v>0</v>
      </c>
      <c r="J178" s="65">
        <v>106700000</v>
      </c>
      <c r="K178" s="65">
        <v>769600000</v>
      </c>
      <c r="L178" s="65">
        <v>436800000</v>
      </c>
      <c r="M178" s="65">
        <v>0</v>
      </c>
    </row>
    <row r="179" spans="2:13">
      <c r="B179" s="63" t="s">
        <v>229</v>
      </c>
      <c r="C179" s="64" t="s">
        <v>782</v>
      </c>
      <c r="D179" s="65">
        <v>0</v>
      </c>
      <c r="E179" s="65">
        <v>226800000</v>
      </c>
      <c r="F179" s="65">
        <v>552200000</v>
      </c>
      <c r="G179" s="65">
        <v>356300000</v>
      </c>
      <c r="H179" s="65">
        <v>6800000</v>
      </c>
      <c r="I179" s="65">
        <v>29500000</v>
      </c>
      <c r="J179" s="65">
        <v>9000000</v>
      </c>
      <c r="K179" s="65">
        <v>864800000</v>
      </c>
      <c r="L179" s="65">
        <v>9700000</v>
      </c>
      <c r="M179" s="65">
        <v>21900000</v>
      </c>
    </row>
    <row r="180" spans="2:13">
      <c r="B180" s="63" t="s">
        <v>230</v>
      </c>
      <c r="C180" s="64" t="s">
        <v>783</v>
      </c>
      <c r="D180" s="65">
        <v>0</v>
      </c>
      <c r="E180" s="65">
        <v>4139600000</v>
      </c>
      <c r="F180" s="65">
        <v>7095500000</v>
      </c>
      <c r="G180" s="65">
        <v>2825700000</v>
      </c>
      <c r="H180" s="65">
        <v>1004900000</v>
      </c>
      <c r="I180" s="65">
        <v>519300000</v>
      </c>
      <c r="J180" s="65">
        <v>767200000</v>
      </c>
      <c r="K180" s="65">
        <v>1006800000</v>
      </c>
      <c r="L180" s="65">
        <v>2273600000</v>
      </c>
      <c r="M180" s="65">
        <v>3706100000</v>
      </c>
    </row>
    <row r="181" spans="2:13">
      <c r="B181" s="63" t="s">
        <v>231</v>
      </c>
      <c r="C181" s="64" t="s">
        <v>784</v>
      </c>
      <c r="D181" s="65">
        <v>0</v>
      </c>
      <c r="E181" s="65">
        <v>0</v>
      </c>
      <c r="F181" s="65">
        <v>0</v>
      </c>
      <c r="G181" s="65">
        <v>497300000</v>
      </c>
      <c r="H181" s="65">
        <v>254200000</v>
      </c>
      <c r="I181" s="65">
        <v>133300000</v>
      </c>
      <c r="J181" s="65">
        <v>99300000</v>
      </c>
      <c r="K181" s="65">
        <v>101700000</v>
      </c>
      <c r="L181" s="65">
        <v>142100000</v>
      </c>
      <c r="M181" s="65">
        <v>148700000</v>
      </c>
    </row>
    <row r="182" spans="2:13">
      <c r="B182" s="63" t="s">
        <v>232</v>
      </c>
      <c r="C182" s="64" t="s">
        <v>785</v>
      </c>
      <c r="D182" s="65">
        <v>0</v>
      </c>
      <c r="E182" s="65">
        <v>0</v>
      </c>
      <c r="F182" s="65">
        <v>0</v>
      </c>
      <c r="G182" s="65">
        <v>294000000</v>
      </c>
      <c r="H182" s="65">
        <v>0</v>
      </c>
      <c r="I182" s="65">
        <v>0</v>
      </c>
      <c r="J182" s="65">
        <v>0</v>
      </c>
      <c r="K182" s="65">
        <v>0</v>
      </c>
      <c r="L182" s="65">
        <v>0</v>
      </c>
      <c r="M182" s="65">
        <v>0</v>
      </c>
    </row>
    <row r="183" spans="2:13">
      <c r="B183" s="63" t="s">
        <v>233</v>
      </c>
      <c r="C183" s="64" t="s">
        <v>786</v>
      </c>
      <c r="D183" s="65">
        <v>0</v>
      </c>
      <c r="E183" s="65">
        <v>343400000</v>
      </c>
      <c r="F183" s="65">
        <v>368500000</v>
      </c>
      <c r="G183" s="65">
        <v>335100000</v>
      </c>
      <c r="H183" s="65">
        <v>265000000</v>
      </c>
      <c r="I183" s="65">
        <v>87200000</v>
      </c>
      <c r="J183" s="65">
        <v>164800000</v>
      </c>
      <c r="K183" s="65">
        <v>119800000</v>
      </c>
      <c r="L183" s="65">
        <v>251800000</v>
      </c>
      <c r="M183" s="65">
        <v>772800000</v>
      </c>
    </row>
    <row r="184" spans="2:13">
      <c r="B184" s="63" t="s">
        <v>234</v>
      </c>
      <c r="C184" s="64" t="s">
        <v>787</v>
      </c>
      <c r="D184" s="65">
        <v>0</v>
      </c>
      <c r="E184" s="65">
        <v>-1493200000</v>
      </c>
      <c r="F184" s="65">
        <v>5146600000</v>
      </c>
      <c r="G184" s="65">
        <v>395300000</v>
      </c>
      <c r="H184" s="65">
        <v>-150800000</v>
      </c>
      <c r="I184" s="65">
        <v>32000000</v>
      </c>
      <c r="J184" s="65">
        <v>203100000</v>
      </c>
      <c r="K184" s="65">
        <v>0</v>
      </c>
      <c r="L184" s="65">
        <v>-82300000</v>
      </c>
      <c r="M184" s="65">
        <v>-341400000</v>
      </c>
    </row>
    <row r="185" spans="2:13">
      <c r="B185" s="66" t="s">
        <v>235</v>
      </c>
      <c r="C185" s="64" t="s">
        <v>788</v>
      </c>
      <c r="D185" s="67">
        <v>0</v>
      </c>
      <c r="E185" s="67">
        <v>-6502700000</v>
      </c>
      <c r="F185" s="67">
        <v>-1334600000</v>
      </c>
      <c r="G185" s="67">
        <v>1251500000</v>
      </c>
      <c r="H185" s="67">
        <v>-324600000</v>
      </c>
      <c r="I185" s="67">
        <v>-237300000</v>
      </c>
      <c r="J185" s="67">
        <v>-184300000</v>
      </c>
      <c r="K185" s="67">
        <v>849100000</v>
      </c>
      <c r="L185" s="67">
        <v>-1515500000</v>
      </c>
      <c r="M185" s="67">
        <v>-7517400000</v>
      </c>
    </row>
    <row r="186" spans="2:13" ht="15.5">
      <c r="B186" s="42" t="s">
        <v>236</v>
      </c>
    </row>
    <row r="187" spans="2:13">
      <c r="B187" s="63" t="s">
        <v>237</v>
      </c>
      <c r="C187" s="64" t="s">
        <v>789</v>
      </c>
      <c r="D187" s="65">
        <v>0</v>
      </c>
      <c r="E187" s="65">
        <v>0</v>
      </c>
      <c r="F187" s="65">
        <v>0</v>
      </c>
      <c r="G187" s="65">
        <v>0</v>
      </c>
      <c r="H187" s="65">
        <v>0</v>
      </c>
      <c r="I187" s="65">
        <v>3421600000</v>
      </c>
      <c r="J187" s="65">
        <v>0</v>
      </c>
      <c r="K187" s="65">
        <v>0</v>
      </c>
      <c r="L187" s="65">
        <v>20652100000</v>
      </c>
      <c r="M187" s="65">
        <v>221600000</v>
      </c>
    </row>
    <row r="188" spans="2:13">
      <c r="B188" s="63" t="s">
        <v>238</v>
      </c>
      <c r="C188" s="64" t="s">
        <v>790</v>
      </c>
      <c r="D188" s="65">
        <v>0</v>
      </c>
      <c r="E188" s="65">
        <v>0</v>
      </c>
      <c r="F188" s="65">
        <v>0</v>
      </c>
      <c r="G188" s="65">
        <v>0</v>
      </c>
      <c r="H188" s="65">
        <v>0</v>
      </c>
      <c r="I188" s="65">
        <v>0</v>
      </c>
      <c r="J188" s="65">
        <v>0</v>
      </c>
      <c r="K188" s="65">
        <v>10796700000</v>
      </c>
      <c r="L188" s="65">
        <v>0</v>
      </c>
      <c r="M188" s="65">
        <v>0</v>
      </c>
    </row>
    <row r="189" spans="2:13">
      <c r="B189" s="63" t="s">
        <v>239</v>
      </c>
      <c r="C189" s="64" t="s">
        <v>791</v>
      </c>
      <c r="D189" s="65">
        <v>0</v>
      </c>
      <c r="E189" s="65">
        <v>0</v>
      </c>
      <c r="F189" s="65">
        <v>0</v>
      </c>
      <c r="G189" s="65">
        <v>0</v>
      </c>
      <c r="H189" s="65">
        <v>0</v>
      </c>
      <c r="I189" s="65">
        <v>499800000</v>
      </c>
      <c r="J189" s="65">
        <v>0</v>
      </c>
      <c r="K189" s="65">
        <v>0</v>
      </c>
      <c r="L189" s="65">
        <v>0</v>
      </c>
      <c r="M189" s="65">
        <v>0</v>
      </c>
    </row>
    <row r="190" spans="2:13">
      <c r="B190" s="63" t="s">
        <v>240</v>
      </c>
      <c r="C190" s="64" t="s">
        <v>792</v>
      </c>
      <c r="D190" s="65">
        <v>0</v>
      </c>
      <c r="E190" s="65">
        <v>4760100000</v>
      </c>
      <c r="F190" s="65">
        <v>20617300000</v>
      </c>
      <c r="G190" s="65">
        <v>-4922000000</v>
      </c>
      <c r="H190" s="65">
        <v>55872200000</v>
      </c>
      <c r="I190" s="65">
        <v>-1184800000</v>
      </c>
      <c r="J190" s="65">
        <v>-1485500000</v>
      </c>
      <c r="K190" s="65">
        <v>30447000000</v>
      </c>
      <c r="L190" s="65">
        <v>0</v>
      </c>
      <c r="M190" s="65">
        <v>0</v>
      </c>
    </row>
    <row r="191" spans="2:13">
      <c r="B191" s="63" t="s">
        <v>241</v>
      </c>
      <c r="C191" s="64" t="s">
        <v>793</v>
      </c>
      <c r="D191" s="65">
        <v>0</v>
      </c>
      <c r="E191" s="65">
        <v>6970000000</v>
      </c>
      <c r="F191" s="65">
        <v>5216100000</v>
      </c>
      <c r="G191" s="65">
        <v>3035700000</v>
      </c>
      <c r="H191" s="65">
        <v>41745300000</v>
      </c>
      <c r="I191" s="65">
        <v>1914200000</v>
      </c>
      <c r="J191" s="65">
        <v>5748100000</v>
      </c>
      <c r="K191" s="65">
        <v>43835300000</v>
      </c>
      <c r="L191" s="65">
        <v>18033600000</v>
      </c>
      <c r="M191" s="65">
        <v>-4194600000</v>
      </c>
    </row>
    <row r="192" spans="2:13">
      <c r="B192" s="63" t="s">
        <v>242</v>
      </c>
      <c r="C192" s="64" t="s">
        <v>794</v>
      </c>
      <c r="D192" s="65">
        <v>0</v>
      </c>
      <c r="E192" s="65">
        <v>0</v>
      </c>
      <c r="F192" s="65">
        <v>0</v>
      </c>
      <c r="G192" s="65">
        <v>0</v>
      </c>
      <c r="H192" s="65">
        <v>0</v>
      </c>
      <c r="I192" s="65">
        <v>0</v>
      </c>
      <c r="J192" s="65">
        <v>0</v>
      </c>
      <c r="K192" s="65">
        <v>0</v>
      </c>
      <c r="L192" s="65">
        <v>231600000</v>
      </c>
      <c r="M192" s="65">
        <v>283700000</v>
      </c>
    </row>
    <row r="193" spans="1:13">
      <c r="B193" s="63" t="s">
        <v>243</v>
      </c>
      <c r="C193" s="64" t="s">
        <v>795</v>
      </c>
      <c r="D193" s="65">
        <v>0</v>
      </c>
      <c r="E193" s="65">
        <v>10280300000</v>
      </c>
      <c r="F193" s="65">
        <v>10477400000</v>
      </c>
      <c r="G193" s="65">
        <v>11025700000</v>
      </c>
      <c r="H193" s="65">
        <v>4434500000</v>
      </c>
      <c r="I193" s="65">
        <v>4088400000</v>
      </c>
      <c r="J193" s="65">
        <v>3215900000</v>
      </c>
      <c r="K193" s="65">
        <v>4253300000</v>
      </c>
      <c r="L193" s="65">
        <v>0</v>
      </c>
      <c r="M193" s="65">
        <v>0</v>
      </c>
    </row>
    <row r="194" spans="1:13">
      <c r="B194" s="63" t="s">
        <v>234</v>
      </c>
      <c r="C194" s="64" t="s">
        <v>796</v>
      </c>
      <c r="D194" s="65">
        <v>0</v>
      </c>
      <c r="E194" s="65">
        <v>0</v>
      </c>
      <c r="F194" s="65">
        <v>0</v>
      </c>
      <c r="G194" s="65">
        <v>0</v>
      </c>
      <c r="H194" s="65">
        <v>0</v>
      </c>
      <c r="I194" s="65">
        <v>0</v>
      </c>
      <c r="J194" s="65">
        <v>0</v>
      </c>
      <c r="K194" s="65">
        <v>0</v>
      </c>
      <c r="L194" s="65">
        <v>-1070600000</v>
      </c>
      <c r="M194" s="65">
        <v>-702400000</v>
      </c>
    </row>
    <row r="195" spans="1:13">
      <c r="B195" s="66" t="s">
        <v>244</v>
      </c>
      <c r="C195" s="64" t="s">
        <v>797</v>
      </c>
      <c r="D195" s="67">
        <v>0</v>
      </c>
      <c r="E195" s="67">
        <v>-12490200000</v>
      </c>
      <c r="F195" s="67">
        <v>4923800000</v>
      </c>
      <c r="G195" s="67">
        <v>-18983400000</v>
      </c>
      <c r="H195" s="67">
        <v>9692400000</v>
      </c>
      <c r="I195" s="67">
        <v>-3266000000</v>
      </c>
      <c r="J195" s="67">
        <v>-10449500000</v>
      </c>
      <c r="K195" s="67">
        <v>-6844900000</v>
      </c>
      <c r="L195" s="67">
        <v>1316300000</v>
      </c>
      <c r="M195" s="67">
        <v>3430100000</v>
      </c>
    </row>
    <row r="196" spans="1:13">
      <c r="B196" s="10" t="s">
        <v>245</v>
      </c>
      <c r="C196" s="64" t="s">
        <v>798</v>
      </c>
      <c r="D196" s="67">
        <v>0</v>
      </c>
      <c r="E196" s="67">
        <v>-2904600000</v>
      </c>
      <c r="F196" s="67">
        <v>2494800000</v>
      </c>
      <c r="G196" s="67">
        <v>-5064500000</v>
      </c>
      <c r="H196" s="67">
        <v>77400000</v>
      </c>
      <c r="I196" s="67">
        <v>1801700000</v>
      </c>
      <c r="J196" s="67">
        <v>2385200000</v>
      </c>
      <c r="K196" s="67">
        <v>-1329200000</v>
      </c>
      <c r="L196" s="67">
        <v>596100000</v>
      </c>
      <c r="M196" s="67">
        <v>6832300000</v>
      </c>
    </row>
    <row r="197" spans="1:13" ht="15.5">
      <c r="B197" s="42" t="s">
        <v>799</v>
      </c>
    </row>
    <row r="198" spans="1:13">
      <c r="B198" s="63" t="s">
        <v>246</v>
      </c>
      <c r="C198" s="64" t="s">
        <v>800</v>
      </c>
      <c r="D198" s="65">
        <v>0</v>
      </c>
      <c r="E198" s="65">
        <v>0</v>
      </c>
      <c r="F198" s="65">
        <v>-45300000</v>
      </c>
      <c r="G198" s="65">
        <v>0</v>
      </c>
      <c r="H198" s="65">
        <v>-300000</v>
      </c>
      <c r="I198" s="65">
        <v>0</v>
      </c>
      <c r="J198" s="65">
        <v>-5900000</v>
      </c>
      <c r="K198" s="65">
        <v>-2000000</v>
      </c>
      <c r="L198" s="65">
        <v>-800000</v>
      </c>
      <c r="M198" s="65">
        <v>27600000</v>
      </c>
    </row>
    <row r="199" spans="1:13">
      <c r="B199" s="10" t="s">
        <v>247</v>
      </c>
      <c r="C199" s="64" t="s">
        <v>801</v>
      </c>
      <c r="D199" s="67">
        <v>0</v>
      </c>
      <c r="E199" s="67">
        <v>-2904600000</v>
      </c>
      <c r="F199" s="67">
        <v>2449500000</v>
      </c>
      <c r="G199" s="67">
        <v>-5064500000</v>
      </c>
      <c r="H199" s="67">
        <v>77100000</v>
      </c>
      <c r="I199" s="67">
        <v>1801700000</v>
      </c>
      <c r="J199" s="67">
        <v>2379300000</v>
      </c>
      <c r="K199" s="67">
        <v>-1331200000</v>
      </c>
      <c r="L199" s="67">
        <v>595300000</v>
      </c>
      <c r="M199" s="67">
        <v>6859900000</v>
      </c>
    </row>
    <row r="202" spans="1:13" ht="21">
      <c r="A202" t="s">
        <v>27</v>
      </c>
      <c r="B202" s="79" t="s">
        <v>802</v>
      </c>
    </row>
    <row r="204" spans="1:13" ht="15.5">
      <c r="A204" t="s">
        <v>27</v>
      </c>
      <c r="B204" s="42" t="s">
        <v>803</v>
      </c>
    </row>
    <row r="206" spans="1:13">
      <c r="C206" s="62" t="s">
        <v>625</v>
      </c>
      <c r="D206" s="24" t="s">
        <v>30</v>
      </c>
      <c r="E206" s="24" t="s">
        <v>31</v>
      </c>
      <c r="F206" s="24" t="s">
        <v>32</v>
      </c>
      <c r="G206" s="24" t="s">
        <v>33</v>
      </c>
      <c r="H206" s="24" t="s">
        <v>34</v>
      </c>
      <c r="I206" s="24" t="s">
        <v>35</v>
      </c>
      <c r="J206" s="24" t="s">
        <v>36</v>
      </c>
      <c r="K206" s="24" t="s">
        <v>37</v>
      </c>
      <c r="L206" s="24" t="s">
        <v>38</v>
      </c>
      <c r="M206" s="24" t="s">
        <v>39</v>
      </c>
    </row>
    <row r="207" spans="1:13" ht="15.5">
      <c r="B207" s="42" t="s">
        <v>804</v>
      </c>
    </row>
    <row r="208" spans="1:13">
      <c r="B208" s="68" t="s">
        <v>805</v>
      </c>
    </row>
    <row r="209" spans="2:13">
      <c r="B209" s="70" t="s">
        <v>806</v>
      </c>
    </row>
    <row r="210" spans="2:13">
      <c r="B210" s="71" t="s">
        <v>807</v>
      </c>
      <c r="C210" s="64" t="s">
        <v>808</v>
      </c>
      <c r="D210" s="65">
        <v>0</v>
      </c>
      <c r="E210" s="65">
        <v>0</v>
      </c>
      <c r="F210" s="65">
        <v>0</v>
      </c>
      <c r="G210" s="65">
        <v>0</v>
      </c>
      <c r="H210" s="65">
        <v>-1656000000</v>
      </c>
      <c r="I210" s="65">
        <v>-163100000</v>
      </c>
      <c r="J210" s="65">
        <v>-206300000</v>
      </c>
      <c r="K210" s="65">
        <v>-216900000</v>
      </c>
      <c r="L210" s="65">
        <v>0</v>
      </c>
      <c r="M210" s="65">
        <v>-75900000</v>
      </c>
    </row>
    <row r="211" spans="2:13">
      <c r="B211" s="71" t="s">
        <v>809</v>
      </c>
      <c r="C211" s="64" t="s">
        <v>810</v>
      </c>
      <c r="D211" s="65">
        <v>0</v>
      </c>
      <c r="E211" s="65">
        <v>0</v>
      </c>
      <c r="F211" s="65">
        <v>0</v>
      </c>
      <c r="G211" s="65">
        <v>0</v>
      </c>
      <c r="H211" s="65">
        <v>0</v>
      </c>
      <c r="I211" s="65">
        <v>0</v>
      </c>
      <c r="J211" s="65">
        <v>0</v>
      </c>
      <c r="K211" s="65">
        <v>243400000</v>
      </c>
      <c r="L211" s="65">
        <v>0</v>
      </c>
      <c r="M211" s="65">
        <v>0</v>
      </c>
    </row>
    <row r="212" spans="2:13">
      <c r="B212" s="74" t="s">
        <v>811</v>
      </c>
      <c r="C212" s="64" t="s">
        <v>812</v>
      </c>
      <c r="D212" s="67">
        <v>0</v>
      </c>
      <c r="E212" s="67">
        <v>0</v>
      </c>
      <c r="F212" s="67">
        <v>0</v>
      </c>
      <c r="G212" s="67">
        <v>0</v>
      </c>
      <c r="H212" s="67">
        <v>-1656000000</v>
      </c>
      <c r="I212" s="67">
        <v>-163100000</v>
      </c>
      <c r="J212" s="67">
        <v>-206300000</v>
      </c>
      <c r="K212" s="67">
        <v>-460300000</v>
      </c>
      <c r="L212" s="67">
        <v>0</v>
      </c>
      <c r="M212" s="67">
        <v>-75900000</v>
      </c>
    </row>
    <row r="213" spans="2:13">
      <c r="B213" s="68" t="s">
        <v>813</v>
      </c>
    </row>
    <row r="214" spans="2:13">
      <c r="B214" s="69" t="s">
        <v>814</v>
      </c>
      <c r="C214" s="64" t="s">
        <v>815</v>
      </c>
      <c r="D214" s="65">
        <v>0</v>
      </c>
      <c r="E214" s="65">
        <v>-252300000</v>
      </c>
      <c r="F214" s="65">
        <v>-33400000</v>
      </c>
      <c r="G214" s="65">
        <v>-63700000</v>
      </c>
      <c r="H214" s="65">
        <v>-4500000</v>
      </c>
      <c r="I214" s="65">
        <v>32500000</v>
      </c>
      <c r="J214" s="65">
        <v>-103600000</v>
      </c>
      <c r="K214" s="65">
        <v>0</v>
      </c>
      <c r="L214" s="65">
        <v>0</v>
      </c>
      <c r="M214" s="65">
        <v>0</v>
      </c>
    </row>
    <row r="215" spans="2:13">
      <c r="B215" s="69" t="s">
        <v>816</v>
      </c>
      <c r="C215" s="64" t="s">
        <v>817</v>
      </c>
      <c r="D215" s="65">
        <v>0</v>
      </c>
      <c r="E215" s="65">
        <v>-230200000</v>
      </c>
      <c r="F215" s="65">
        <v>85100000</v>
      </c>
      <c r="G215" s="65">
        <v>2700000</v>
      </c>
      <c r="H215" s="65">
        <v>0</v>
      </c>
      <c r="I215" s="65">
        <v>0</v>
      </c>
      <c r="J215" s="65">
        <v>0</v>
      </c>
      <c r="K215" s="65">
        <v>0</v>
      </c>
      <c r="L215" s="65">
        <v>0</v>
      </c>
      <c r="M215" s="65">
        <v>0</v>
      </c>
    </row>
    <row r="216" spans="2:13">
      <c r="B216" s="76" t="s">
        <v>651</v>
      </c>
      <c r="C216" s="64" t="s">
        <v>652</v>
      </c>
      <c r="D216" s="67">
        <v>0</v>
      </c>
      <c r="E216" s="67">
        <v>-482500000</v>
      </c>
      <c r="F216" s="67">
        <v>51700000</v>
      </c>
      <c r="G216" s="67">
        <v>-61000000</v>
      </c>
      <c r="H216" s="67">
        <v>-4500000</v>
      </c>
      <c r="I216" s="67">
        <v>32500000</v>
      </c>
      <c r="J216" s="67">
        <v>-103600000</v>
      </c>
      <c r="K216" s="67">
        <v>0</v>
      </c>
      <c r="L216" s="67">
        <v>0</v>
      </c>
      <c r="M216" s="67">
        <v>0</v>
      </c>
    </row>
    <row r="217" spans="2:13">
      <c r="B217" s="68" t="s">
        <v>818</v>
      </c>
    </row>
    <row r="218" spans="2:13">
      <c r="B218" s="69" t="s">
        <v>819</v>
      </c>
      <c r="C218" s="64" t="s">
        <v>820</v>
      </c>
      <c r="D218" s="65">
        <v>0</v>
      </c>
      <c r="E218" s="65">
        <v>-7485500000</v>
      </c>
      <c r="F218" s="65">
        <v>957700000</v>
      </c>
      <c r="G218" s="65">
        <v>418500000</v>
      </c>
      <c r="H218" s="65">
        <v>4691000000</v>
      </c>
      <c r="I218" s="65">
        <v>-334800000</v>
      </c>
      <c r="J218" s="65">
        <v>2396100000</v>
      </c>
      <c r="K218" s="65">
        <v>1559000000</v>
      </c>
      <c r="L218" s="65">
        <v>-365200000</v>
      </c>
      <c r="M218" s="65">
        <v>-2525700000</v>
      </c>
    </row>
    <row r="219" spans="2:13">
      <c r="B219" s="76" t="s">
        <v>121</v>
      </c>
      <c r="C219" s="64" t="s">
        <v>632</v>
      </c>
      <c r="D219" s="67">
        <v>0</v>
      </c>
      <c r="E219" s="67">
        <v>-7485500000</v>
      </c>
      <c r="F219" s="67">
        <v>957700000</v>
      </c>
      <c r="G219" s="67">
        <v>418500000</v>
      </c>
      <c r="H219" s="67">
        <v>4691000000</v>
      </c>
      <c r="I219" s="67">
        <v>-334800000</v>
      </c>
      <c r="J219" s="67">
        <v>2396100000</v>
      </c>
      <c r="K219" s="67">
        <v>1559000000</v>
      </c>
      <c r="L219" s="67">
        <v>-365200000</v>
      </c>
      <c r="M219" s="67">
        <v>-2525700000</v>
      </c>
    </row>
    <row r="220" spans="2:13">
      <c r="B220" s="68" t="s">
        <v>821</v>
      </c>
    </row>
    <row r="221" spans="2:13">
      <c r="B221" s="70" t="s">
        <v>822</v>
      </c>
    </row>
    <row r="222" spans="2:13">
      <c r="B222" s="71" t="s">
        <v>129</v>
      </c>
      <c r="C222" s="64" t="s">
        <v>643</v>
      </c>
      <c r="D222" s="65">
        <v>0</v>
      </c>
      <c r="E222" s="65">
        <v>0</v>
      </c>
      <c r="F222" s="65">
        <v>4496200000</v>
      </c>
      <c r="G222" s="65">
        <v>275700000</v>
      </c>
      <c r="H222" s="65">
        <v>-658900000</v>
      </c>
      <c r="I222" s="65">
        <v>8054600000</v>
      </c>
      <c r="J222" s="65">
        <v>831200000</v>
      </c>
      <c r="K222" s="65">
        <v>27206000000</v>
      </c>
      <c r="L222" s="65">
        <v>-538900000</v>
      </c>
      <c r="M222" s="65">
        <v>0</v>
      </c>
    </row>
    <row r="223" spans="2:13">
      <c r="B223" s="74" t="s">
        <v>823</v>
      </c>
      <c r="C223" s="64" t="s">
        <v>824</v>
      </c>
      <c r="D223" s="67">
        <v>0</v>
      </c>
      <c r="E223" s="67">
        <v>0</v>
      </c>
      <c r="F223" s="67">
        <v>4496200000</v>
      </c>
      <c r="G223" s="67">
        <v>275700000</v>
      </c>
      <c r="H223" s="67">
        <v>-658900000</v>
      </c>
      <c r="I223" s="67">
        <v>8054600000</v>
      </c>
      <c r="J223" s="67">
        <v>831200000</v>
      </c>
      <c r="K223" s="67">
        <v>27206000000</v>
      </c>
      <c r="L223" s="67">
        <v>-538900000</v>
      </c>
      <c r="M223" s="67">
        <v>0</v>
      </c>
    </row>
    <row r="224" spans="2:13">
      <c r="B224" s="68" t="s">
        <v>825</v>
      </c>
    </row>
    <row r="225" spans="1:13">
      <c r="B225" s="70" t="s">
        <v>826</v>
      </c>
    </row>
    <row r="226" spans="1:13">
      <c r="B226" s="74" t="s">
        <v>827</v>
      </c>
      <c r="C226" s="64" t="s">
        <v>828</v>
      </c>
      <c r="D226" s="67">
        <v>0</v>
      </c>
      <c r="E226" s="67">
        <v>111422000000</v>
      </c>
      <c r="F226" s="67">
        <v>66371900000</v>
      </c>
      <c r="G226" s="67">
        <v>49784600000</v>
      </c>
      <c r="H226" s="67">
        <v>10153800000</v>
      </c>
      <c r="I226" s="67">
        <v>14746800000</v>
      </c>
      <c r="J226" s="67">
        <v>42100500000</v>
      </c>
      <c r="K226" s="67">
        <v>41240400000</v>
      </c>
      <c r="L226" s="67">
        <v>60041100000</v>
      </c>
      <c r="M226" s="67">
        <v>103573800000</v>
      </c>
    </row>
    <row r="227" spans="1:13">
      <c r="B227" s="70" t="s">
        <v>829</v>
      </c>
    </row>
    <row r="228" spans="1:13">
      <c r="B228" s="74" t="s">
        <v>830</v>
      </c>
      <c r="C228" s="64" t="s">
        <v>831</v>
      </c>
      <c r="D228" s="67">
        <v>0</v>
      </c>
      <c r="E228" s="67">
        <v>15503300000</v>
      </c>
      <c r="F228" s="67">
        <v>16550600000</v>
      </c>
      <c r="G228" s="67">
        <v>0</v>
      </c>
      <c r="H228" s="67">
        <v>19178200000</v>
      </c>
      <c r="I228" s="67">
        <v>18199700000</v>
      </c>
      <c r="J228" s="67">
        <v>23099000000</v>
      </c>
      <c r="K228" s="67">
        <v>18228000000</v>
      </c>
      <c r="L228" s="67">
        <v>4927300000</v>
      </c>
      <c r="M228" s="67">
        <v>4939400000</v>
      </c>
    </row>
    <row r="233" spans="1:13" ht="15.5">
      <c r="A233" t="s">
        <v>27</v>
      </c>
      <c r="B233" s="42" t="s">
        <v>832</v>
      </c>
    </row>
    <row r="235" spans="1:13">
      <c r="C235" s="62" t="s">
        <v>625</v>
      </c>
      <c r="D235" s="24" t="s">
        <v>30</v>
      </c>
      <c r="E235" s="24" t="s">
        <v>31</v>
      </c>
      <c r="F235" s="24" t="s">
        <v>32</v>
      </c>
      <c r="G235" s="24" t="s">
        <v>33</v>
      </c>
      <c r="H235" s="24" t="s">
        <v>34</v>
      </c>
      <c r="I235" s="24" t="s">
        <v>35</v>
      </c>
      <c r="J235" s="24" t="s">
        <v>36</v>
      </c>
      <c r="K235" s="24" t="s">
        <v>37</v>
      </c>
      <c r="L235" s="24" t="s">
        <v>38</v>
      </c>
      <c r="M235" s="24" t="s">
        <v>39</v>
      </c>
    </row>
    <row r="236" spans="1:13">
      <c r="B236" s="68" t="s">
        <v>694</v>
      </c>
    </row>
    <row r="237" spans="1:13">
      <c r="B237" s="70" t="s">
        <v>695</v>
      </c>
    </row>
    <row r="238" spans="1:13">
      <c r="B238" s="72" t="s">
        <v>683</v>
      </c>
    </row>
    <row r="239" spans="1:13">
      <c r="B239" s="73" t="s">
        <v>684</v>
      </c>
      <c r="C239" s="64" t="s">
        <v>685</v>
      </c>
      <c r="D239" s="65">
        <v>0</v>
      </c>
      <c r="E239" s="65">
        <v>1.71</v>
      </c>
      <c r="F239" s="65">
        <v>-0.72</v>
      </c>
      <c r="G239" s="65">
        <v>-2.87</v>
      </c>
      <c r="H239" s="65">
        <v>-4.97</v>
      </c>
      <c r="I239" s="65">
        <v>0.14000000000000001</v>
      </c>
      <c r="J239" s="65">
        <v>-0.22</v>
      </c>
      <c r="K239" s="65">
        <v>2.64</v>
      </c>
      <c r="L239" s="65">
        <v>0.5</v>
      </c>
      <c r="M239" s="65">
        <v>1.52</v>
      </c>
    </row>
    <row r="240" spans="1:13">
      <c r="B240" s="75" t="s">
        <v>686</v>
      </c>
      <c r="C240" s="64" t="s">
        <v>687</v>
      </c>
      <c r="D240" s="67">
        <v>0</v>
      </c>
      <c r="E240" s="67">
        <v>1.71</v>
      </c>
      <c r="F240" s="67">
        <v>-0.72</v>
      </c>
      <c r="G240" s="67">
        <v>-2.87</v>
      </c>
      <c r="H240" s="67">
        <v>-4.97</v>
      </c>
      <c r="I240" s="67">
        <v>0.14000000000000001</v>
      </c>
      <c r="J240" s="67">
        <v>-0.22</v>
      </c>
      <c r="K240" s="67">
        <v>2.64</v>
      </c>
      <c r="L240" s="67">
        <v>0.5</v>
      </c>
      <c r="M240" s="67">
        <v>1.52</v>
      </c>
    </row>
    <row r="241" spans="2:13">
      <c r="B241" s="72" t="s">
        <v>688</v>
      </c>
    </row>
    <row r="242" spans="2:13">
      <c r="B242" s="73" t="s">
        <v>689</v>
      </c>
      <c r="C242" s="64" t="s">
        <v>690</v>
      </c>
      <c r="D242" s="65">
        <v>0</v>
      </c>
      <c r="E242" s="65">
        <v>1.6</v>
      </c>
      <c r="F242" s="65">
        <v>-0.72</v>
      </c>
      <c r="G242" s="65">
        <v>-2.87</v>
      </c>
      <c r="H242" s="65">
        <v>-4.97</v>
      </c>
      <c r="I242" s="65">
        <v>0.12</v>
      </c>
      <c r="J242" s="65">
        <v>-0.22</v>
      </c>
      <c r="K242" s="65">
        <v>2.64</v>
      </c>
      <c r="L242" s="65">
        <v>0.5</v>
      </c>
      <c r="M242" s="65">
        <v>1.51</v>
      </c>
    </row>
    <row r="243" spans="2:13">
      <c r="B243" s="75" t="s">
        <v>691</v>
      </c>
      <c r="C243" s="64" t="s">
        <v>692</v>
      </c>
      <c r="D243" s="67">
        <v>0</v>
      </c>
      <c r="E243" s="67">
        <v>1.6</v>
      </c>
      <c r="F243" s="67">
        <v>-0.72</v>
      </c>
      <c r="G243" s="67">
        <v>-2.87</v>
      </c>
      <c r="H243" s="67">
        <v>-4.97</v>
      </c>
      <c r="I243" s="67">
        <v>0.12</v>
      </c>
      <c r="J243" s="67">
        <v>-0.22</v>
      </c>
      <c r="K243" s="67">
        <v>2.64</v>
      </c>
      <c r="L243" s="67">
        <v>0.5</v>
      </c>
      <c r="M243" s="67">
        <v>1.51</v>
      </c>
    </row>
    <row r="244" spans="2:13">
      <c r="B244" s="72" t="s">
        <v>833</v>
      </c>
    </row>
    <row r="245" spans="2:13">
      <c r="B245" s="73" t="s">
        <v>834</v>
      </c>
      <c r="C245" s="64" t="s">
        <v>835</v>
      </c>
      <c r="D245" s="65">
        <v>0</v>
      </c>
      <c r="E245" s="65">
        <v>8577100000</v>
      </c>
      <c r="F245" s="65">
        <v>-3769800000</v>
      </c>
      <c r="G245" s="65">
        <v>-15271800000</v>
      </c>
      <c r="H245" s="65">
        <v>-26422300000</v>
      </c>
      <c r="I245" s="65">
        <v>1041800000</v>
      </c>
      <c r="J245" s="65">
        <v>-1995900000</v>
      </c>
      <c r="K245" s="65">
        <v>0</v>
      </c>
      <c r="L245" s="65">
        <v>0</v>
      </c>
      <c r="M245" s="65">
        <v>0</v>
      </c>
    </row>
    <row r="246" spans="2:13">
      <c r="B246" s="73" t="s">
        <v>836</v>
      </c>
      <c r="C246" s="64" t="s">
        <v>837</v>
      </c>
      <c r="D246" s="65">
        <v>0</v>
      </c>
      <c r="E246" s="65">
        <v>9608700000</v>
      </c>
      <c r="F246" s="65">
        <v>-3251600000</v>
      </c>
      <c r="G246" s="65">
        <v>-15271800000</v>
      </c>
      <c r="H246" s="65">
        <v>-26422300000</v>
      </c>
      <c r="I246" s="65">
        <v>1041800000</v>
      </c>
      <c r="J246" s="65">
        <v>-1995900000</v>
      </c>
      <c r="K246" s="65">
        <v>0</v>
      </c>
      <c r="L246" s="65">
        <v>0</v>
      </c>
      <c r="M246" s="65">
        <v>0</v>
      </c>
    </row>
    <row r="247" spans="2:13">
      <c r="B247" s="72" t="s">
        <v>838</v>
      </c>
    </row>
    <row r="248" spans="2:13">
      <c r="B248" s="73" t="s">
        <v>839</v>
      </c>
      <c r="C248" s="64" t="s">
        <v>840</v>
      </c>
      <c r="D248" s="65">
        <v>0</v>
      </c>
      <c r="E248" s="65">
        <v>5022862081</v>
      </c>
      <c r="F248" s="65">
        <v>5257378830</v>
      </c>
      <c r="G248" s="65">
        <v>5319774121</v>
      </c>
      <c r="H248" s="65">
        <v>5319774121</v>
      </c>
      <c r="I248" s="65">
        <v>7581705498</v>
      </c>
      <c r="J248" s="65">
        <v>8926947969</v>
      </c>
      <c r="K248" s="65">
        <v>0</v>
      </c>
      <c r="L248" s="65">
        <v>0</v>
      </c>
      <c r="M248" s="65">
        <v>0</v>
      </c>
    </row>
    <row r="249" spans="2:13">
      <c r="B249" s="73" t="s">
        <v>841</v>
      </c>
      <c r="C249" s="64" t="s">
        <v>842</v>
      </c>
      <c r="D249" s="65">
        <v>0</v>
      </c>
      <c r="E249" s="65">
        <v>5993602765</v>
      </c>
      <c r="F249" s="65">
        <v>5993732816</v>
      </c>
      <c r="G249" s="65">
        <v>5989814254</v>
      </c>
      <c r="H249" s="65">
        <v>5989814254</v>
      </c>
      <c r="I249" s="65">
        <v>8760692965</v>
      </c>
      <c r="J249" s="65">
        <v>9811893086</v>
      </c>
      <c r="K249" s="65">
        <v>0</v>
      </c>
      <c r="L249" s="65">
        <v>0</v>
      </c>
      <c r="M249" s="65">
        <v>0</v>
      </c>
    </row>
    <row r="251" spans="2:13" ht="15.5">
      <c r="B251" s="42" t="s">
        <v>843</v>
      </c>
    </row>
    <row r="252" spans="2:13">
      <c r="B252" s="63" t="s">
        <v>834</v>
      </c>
      <c r="C252" s="64" t="s">
        <v>835</v>
      </c>
      <c r="D252" s="65">
        <v>0</v>
      </c>
      <c r="E252" s="65">
        <v>8577100000</v>
      </c>
      <c r="F252" s="65">
        <v>-3769800000</v>
      </c>
      <c r="G252" s="65">
        <v>-15271800000</v>
      </c>
      <c r="H252" s="65">
        <v>-26422300000</v>
      </c>
      <c r="I252" s="65">
        <v>1041800000</v>
      </c>
      <c r="J252" s="65">
        <v>-1995900000</v>
      </c>
      <c r="K252" s="65">
        <v>0</v>
      </c>
      <c r="L252" s="65">
        <v>0</v>
      </c>
      <c r="M252" s="65">
        <v>0</v>
      </c>
    </row>
    <row r="253" spans="2:13">
      <c r="B253" s="63" t="s">
        <v>836</v>
      </c>
      <c r="C253" s="64" t="s">
        <v>837</v>
      </c>
      <c r="D253" s="65">
        <v>0</v>
      </c>
      <c r="E253" s="65">
        <v>9608700000</v>
      </c>
      <c r="F253" s="65">
        <v>-3251600000</v>
      </c>
      <c r="G253" s="65">
        <v>-15271800000</v>
      </c>
      <c r="H253" s="65">
        <v>-26422300000</v>
      </c>
      <c r="I253" s="65">
        <v>1041800000</v>
      </c>
      <c r="J253" s="65">
        <v>-1995900000</v>
      </c>
      <c r="K253" s="65">
        <v>0</v>
      </c>
      <c r="L253" s="65">
        <v>0</v>
      </c>
      <c r="M253" s="65">
        <v>0</v>
      </c>
    </row>
    <row r="255" spans="2:13" ht="15.5">
      <c r="B255" s="42" t="s">
        <v>844</v>
      </c>
    </row>
    <row r="256" spans="2:13">
      <c r="B256" s="68" t="s">
        <v>845</v>
      </c>
    </row>
    <row r="257" spans="1:13">
      <c r="B257" s="70" t="s">
        <v>846</v>
      </c>
    </row>
    <row r="258" spans="1:13">
      <c r="B258" s="72" t="s">
        <v>683</v>
      </c>
    </row>
    <row r="259" spans="1:13">
      <c r="B259" s="73" t="s">
        <v>684</v>
      </c>
      <c r="C259" s="64" t="s">
        <v>685</v>
      </c>
      <c r="D259" s="65">
        <v>0</v>
      </c>
      <c r="E259" s="65">
        <v>1.71</v>
      </c>
      <c r="F259" s="65">
        <v>-0.72</v>
      </c>
      <c r="G259" s="65">
        <v>-2.87</v>
      </c>
      <c r="H259" s="65">
        <v>-4.97</v>
      </c>
      <c r="I259" s="65">
        <v>0.14000000000000001</v>
      </c>
      <c r="J259" s="65">
        <v>-0.22</v>
      </c>
      <c r="K259" s="65">
        <v>2.64</v>
      </c>
      <c r="L259" s="65">
        <v>0.5</v>
      </c>
      <c r="M259" s="65">
        <v>1.52</v>
      </c>
    </row>
    <row r="260" spans="1:13">
      <c r="B260" s="75" t="s">
        <v>686</v>
      </c>
      <c r="C260" s="64" t="s">
        <v>687</v>
      </c>
      <c r="D260" s="67">
        <v>0</v>
      </c>
      <c r="E260" s="67">
        <v>1.71</v>
      </c>
      <c r="F260" s="67">
        <v>-0.72</v>
      </c>
      <c r="G260" s="67">
        <v>-2.87</v>
      </c>
      <c r="H260" s="67">
        <v>-4.97</v>
      </c>
      <c r="I260" s="67">
        <v>0.14000000000000001</v>
      </c>
      <c r="J260" s="67">
        <v>-0.22</v>
      </c>
      <c r="K260" s="67">
        <v>2.64</v>
      </c>
      <c r="L260" s="67">
        <v>0.5</v>
      </c>
      <c r="M260" s="67">
        <v>1.52</v>
      </c>
    </row>
    <row r="261" spans="1:13">
      <c r="B261" s="72" t="s">
        <v>688</v>
      </c>
    </row>
    <row r="262" spans="1:13">
      <c r="B262" s="73" t="s">
        <v>689</v>
      </c>
      <c r="C262" s="64" t="s">
        <v>690</v>
      </c>
      <c r="D262" s="65">
        <v>0</v>
      </c>
      <c r="E262" s="65">
        <v>1.6</v>
      </c>
      <c r="F262" s="65">
        <v>-0.72</v>
      </c>
      <c r="G262" s="65">
        <v>-2.87</v>
      </c>
      <c r="H262" s="65">
        <v>-4.97</v>
      </c>
      <c r="I262" s="65">
        <v>0.12</v>
      </c>
      <c r="J262" s="65">
        <v>-0.22</v>
      </c>
      <c r="K262" s="65">
        <v>2.64</v>
      </c>
      <c r="L262" s="65">
        <v>0.5</v>
      </c>
      <c r="M262" s="65">
        <v>1.51</v>
      </c>
    </row>
    <row r="263" spans="1:13">
      <c r="B263" s="75" t="s">
        <v>691</v>
      </c>
      <c r="C263" s="64" t="s">
        <v>692</v>
      </c>
      <c r="D263" s="67">
        <v>0</v>
      </c>
      <c r="E263" s="67">
        <v>1.6</v>
      </c>
      <c r="F263" s="67">
        <v>-0.72</v>
      </c>
      <c r="G263" s="67">
        <v>-2.87</v>
      </c>
      <c r="H263" s="67">
        <v>-4.97</v>
      </c>
      <c r="I263" s="67">
        <v>0.12</v>
      </c>
      <c r="J263" s="67">
        <v>-0.22</v>
      </c>
      <c r="K263" s="67">
        <v>2.64</v>
      </c>
      <c r="L263" s="67">
        <v>0.5</v>
      </c>
      <c r="M263" s="67">
        <v>1.51</v>
      </c>
    </row>
    <row r="264" spans="1:13">
      <c r="B264" s="72" t="s">
        <v>838</v>
      </c>
    </row>
    <row r="265" spans="1:13">
      <c r="B265" s="73" t="s">
        <v>839</v>
      </c>
      <c r="C265" s="64" t="s">
        <v>840</v>
      </c>
      <c r="D265" s="65">
        <v>0</v>
      </c>
      <c r="E265" s="65">
        <v>5022862081</v>
      </c>
      <c r="F265" s="65">
        <v>5257378830</v>
      </c>
      <c r="G265" s="65">
        <v>5319774121</v>
      </c>
      <c r="H265" s="65">
        <v>5319774121</v>
      </c>
      <c r="I265" s="65">
        <v>7581705498</v>
      </c>
      <c r="J265" s="65">
        <v>8926947969</v>
      </c>
      <c r="K265" s="65">
        <v>0</v>
      </c>
      <c r="L265" s="65">
        <v>0</v>
      </c>
      <c r="M265" s="65">
        <v>0</v>
      </c>
    </row>
    <row r="266" spans="1:13">
      <c r="B266" s="73" t="s">
        <v>841</v>
      </c>
      <c r="C266" s="64" t="s">
        <v>842</v>
      </c>
      <c r="D266" s="65">
        <v>0</v>
      </c>
      <c r="E266" s="65">
        <v>5993602765</v>
      </c>
      <c r="F266" s="65">
        <v>5993732816</v>
      </c>
      <c r="G266" s="65">
        <v>5989814254</v>
      </c>
      <c r="H266" s="65">
        <v>5989814254</v>
      </c>
      <c r="I266" s="65">
        <v>8760692965</v>
      </c>
      <c r="J266" s="65">
        <v>9811893086</v>
      </c>
      <c r="K266" s="65">
        <v>0</v>
      </c>
      <c r="L266" s="65">
        <v>0</v>
      </c>
      <c r="M266" s="65">
        <v>0</v>
      </c>
    </row>
    <row r="269" spans="1:13" ht="15.5">
      <c r="A269" t="s">
        <v>27</v>
      </c>
      <c r="B269" s="42" t="s">
        <v>847</v>
      </c>
    </row>
    <row r="271" spans="1:13">
      <c r="C271" s="62" t="s">
        <v>625</v>
      </c>
      <c r="D271" s="24" t="s">
        <v>30</v>
      </c>
      <c r="E271" s="24" t="s">
        <v>31</v>
      </c>
      <c r="F271" s="24" t="s">
        <v>32</v>
      </c>
      <c r="G271" s="24" t="s">
        <v>33</v>
      </c>
      <c r="H271" s="24" t="s">
        <v>34</v>
      </c>
      <c r="I271" s="24" t="s">
        <v>35</v>
      </c>
      <c r="J271" s="24" t="s">
        <v>36</v>
      </c>
      <c r="K271" s="24" t="s">
        <v>37</v>
      </c>
      <c r="L271" s="24" t="s">
        <v>38</v>
      </c>
      <c r="M271" s="24" t="s">
        <v>39</v>
      </c>
    </row>
    <row r="272" spans="1:13" ht="15.5">
      <c r="B272" s="42" t="s">
        <v>848</v>
      </c>
    </row>
    <row r="273" spans="2:13">
      <c r="B273" s="68" t="s">
        <v>849</v>
      </c>
    </row>
    <row r="274" spans="2:13">
      <c r="B274" s="69" t="s">
        <v>850</v>
      </c>
      <c r="C274" s="64" t="s">
        <v>851</v>
      </c>
      <c r="D274" s="65">
        <v>0</v>
      </c>
      <c r="E274" s="65">
        <v>41300000</v>
      </c>
      <c r="F274" s="65">
        <v>75600000</v>
      </c>
      <c r="G274" s="65">
        <v>86800000</v>
      </c>
      <c r="H274" s="65">
        <v>66500000</v>
      </c>
      <c r="I274" s="65">
        <v>68100000</v>
      </c>
      <c r="J274" s="65">
        <v>1840700000</v>
      </c>
      <c r="K274" s="65">
        <v>46100000</v>
      </c>
      <c r="L274" s="65">
        <v>29000000</v>
      </c>
      <c r="M274" s="65">
        <v>65000000</v>
      </c>
    </row>
    <row r="275" spans="2:13">
      <c r="B275" s="69" t="s">
        <v>852</v>
      </c>
      <c r="C275" s="64" t="s">
        <v>853</v>
      </c>
      <c r="D275" s="65">
        <v>0</v>
      </c>
      <c r="E275" s="65">
        <v>75700000</v>
      </c>
      <c r="F275" s="65">
        <v>-91200000</v>
      </c>
      <c r="G275" s="65">
        <v>-55900000</v>
      </c>
      <c r="H275" s="65">
        <v>7900000</v>
      </c>
      <c r="I275" s="65">
        <v>-21800000</v>
      </c>
      <c r="J275" s="65">
        <v>0</v>
      </c>
      <c r="K275" s="65">
        <v>0</v>
      </c>
      <c r="L275" s="65">
        <v>0</v>
      </c>
      <c r="M275" s="65">
        <v>79200000</v>
      </c>
    </row>
    <row r="276" spans="2:13">
      <c r="B276" s="76" t="s">
        <v>854</v>
      </c>
      <c r="C276" s="64" t="s">
        <v>855</v>
      </c>
      <c r="D276" s="67">
        <v>0</v>
      </c>
      <c r="E276" s="67">
        <v>117000000</v>
      </c>
      <c r="F276" s="67">
        <v>-15600000</v>
      </c>
      <c r="G276" s="67">
        <v>30900000</v>
      </c>
      <c r="H276" s="67">
        <v>74400000</v>
      </c>
      <c r="I276" s="67">
        <v>46300000</v>
      </c>
      <c r="J276" s="67">
        <v>1840700000</v>
      </c>
      <c r="K276" s="67">
        <v>46100000</v>
      </c>
      <c r="L276" s="67">
        <v>29000000</v>
      </c>
      <c r="M276" s="67">
        <v>144200000</v>
      </c>
    </row>
    <row r="277" spans="2:13">
      <c r="B277" s="63" t="s">
        <v>856</v>
      </c>
      <c r="C277" s="64" t="s">
        <v>857</v>
      </c>
      <c r="D277" s="65">
        <v>0</v>
      </c>
      <c r="E277" s="65">
        <v>0</v>
      </c>
      <c r="F277" s="65">
        <v>0</v>
      </c>
      <c r="G277" s="65">
        <v>0</v>
      </c>
      <c r="H277" s="65">
        <v>0</v>
      </c>
      <c r="I277" s="65">
        <v>0</v>
      </c>
      <c r="J277" s="65">
        <v>-174800000</v>
      </c>
      <c r="K277" s="65">
        <v>-1900000</v>
      </c>
      <c r="L277" s="65">
        <v>-37600000</v>
      </c>
      <c r="M277" s="65">
        <v>-6394200000</v>
      </c>
    </row>
    <row r="278" spans="2:13">
      <c r="B278" s="63" t="s">
        <v>858</v>
      </c>
      <c r="C278" s="64" t="s">
        <v>859</v>
      </c>
      <c r="D278" s="65">
        <v>0</v>
      </c>
      <c r="E278" s="65">
        <v>0</v>
      </c>
      <c r="F278" s="65">
        <v>0</v>
      </c>
      <c r="G278" s="65">
        <v>-149900000</v>
      </c>
      <c r="H278" s="65">
        <v>0</v>
      </c>
      <c r="I278" s="65">
        <v>0</v>
      </c>
      <c r="J278" s="65">
        <v>0</v>
      </c>
      <c r="K278" s="65">
        <v>0</v>
      </c>
      <c r="L278" s="65">
        <v>0</v>
      </c>
      <c r="M278" s="65">
        <v>0</v>
      </c>
    </row>
    <row r="279" spans="2:13">
      <c r="B279" s="66" t="s">
        <v>860</v>
      </c>
      <c r="C279" s="64" t="s">
        <v>861</v>
      </c>
      <c r="D279" s="67">
        <v>0</v>
      </c>
      <c r="E279" s="67">
        <v>117000000</v>
      </c>
      <c r="F279" s="67">
        <v>-15600000</v>
      </c>
      <c r="G279" s="67">
        <v>-119000000</v>
      </c>
      <c r="H279" s="67">
        <v>74400000</v>
      </c>
      <c r="I279" s="67">
        <v>46300000</v>
      </c>
      <c r="J279" s="67">
        <v>1665900000</v>
      </c>
      <c r="K279" s="67">
        <v>44200000</v>
      </c>
      <c r="L279" s="67">
        <v>-8600000</v>
      </c>
      <c r="M279" s="67">
        <v>-6250000000</v>
      </c>
    </row>
    <row r="283" spans="2:13">
      <c r="B283" s="68" t="s">
        <v>862</v>
      </c>
    </row>
    <row r="284" spans="2:13">
      <c r="B284" s="70" t="s">
        <v>863</v>
      </c>
    </row>
    <row r="285" spans="2:13">
      <c r="B285" s="72" t="s">
        <v>864</v>
      </c>
    </row>
    <row r="286" spans="2:13">
      <c r="B286" s="73" t="s">
        <v>865</v>
      </c>
      <c r="C286" s="64" t="s">
        <v>866</v>
      </c>
      <c r="D286" s="65">
        <v>0</v>
      </c>
      <c r="E286" s="65">
        <v>0</v>
      </c>
      <c r="F286" s="65">
        <v>0</v>
      </c>
      <c r="G286" s="65">
        <v>0</v>
      </c>
      <c r="H286" s="65">
        <v>0</v>
      </c>
      <c r="I286" s="65">
        <v>0</v>
      </c>
      <c r="J286" s="65">
        <v>174800000</v>
      </c>
      <c r="K286" s="65">
        <v>1900000</v>
      </c>
      <c r="L286" s="65">
        <v>37600000</v>
      </c>
      <c r="M286" s="65">
        <v>6394200000</v>
      </c>
    </row>
    <row r="287" spans="2:13">
      <c r="B287" s="75" t="s">
        <v>867</v>
      </c>
      <c r="C287" s="64" t="s">
        <v>868</v>
      </c>
      <c r="D287" s="67">
        <v>0</v>
      </c>
      <c r="E287" s="67">
        <v>0</v>
      </c>
      <c r="F287" s="67">
        <v>0</v>
      </c>
      <c r="G287" s="67">
        <v>0</v>
      </c>
      <c r="H287" s="67">
        <v>0</v>
      </c>
      <c r="I287" s="67">
        <v>0</v>
      </c>
      <c r="J287" s="67">
        <v>-174800000</v>
      </c>
      <c r="K287" s="67">
        <v>-1900000</v>
      </c>
      <c r="L287" s="67">
        <v>-37600000</v>
      </c>
      <c r="M287" s="67">
        <v>-6394200000</v>
      </c>
    </row>
    <row r="288" spans="2:13">
      <c r="B288" s="72" t="s">
        <v>869</v>
      </c>
    </row>
    <row r="289" spans="2:13">
      <c r="B289" s="73" t="s">
        <v>870</v>
      </c>
      <c r="C289" s="64" t="s">
        <v>871</v>
      </c>
      <c r="D289" s="65">
        <v>0</v>
      </c>
      <c r="E289" s="65">
        <v>0</v>
      </c>
      <c r="F289" s="65">
        <v>0</v>
      </c>
      <c r="G289" s="65">
        <v>0</v>
      </c>
      <c r="H289" s="65">
        <v>0</v>
      </c>
      <c r="I289" s="65">
        <v>0</v>
      </c>
      <c r="J289" s="65">
        <v>0</v>
      </c>
      <c r="K289" s="65">
        <v>0</v>
      </c>
      <c r="L289" s="65">
        <v>0</v>
      </c>
      <c r="M289" s="65">
        <v>-6394200000</v>
      </c>
    </row>
    <row r="290" spans="2:13">
      <c r="B290" s="72" t="s">
        <v>872</v>
      </c>
    </row>
    <row r="291" spans="2:13">
      <c r="B291" s="80" t="s">
        <v>873</v>
      </c>
      <c r="C291" s="64" t="s">
        <v>874</v>
      </c>
      <c r="D291" s="65">
        <v>0</v>
      </c>
      <c r="E291" s="65">
        <v>0</v>
      </c>
      <c r="F291" s="65">
        <v>0</v>
      </c>
      <c r="G291" s="65">
        <v>0</v>
      </c>
      <c r="H291" s="65">
        <v>0</v>
      </c>
      <c r="I291" s="65">
        <v>0</v>
      </c>
      <c r="J291" s="65">
        <v>-174800000</v>
      </c>
      <c r="K291" s="65">
        <v>172900000</v>
      </c>
      <c r="L291" s="65">
        <v>-35700000</v>
      </c>
      <c r="M291" s="65">
        <v>0</v>
      </c>
    </row>
    <row r="292" spans="2:13">
      <c r="B292" s="72" t="s">
        <v>875</v>
      </c>
    </row>
    <row r="293" spans="2:13">
      <c r="B293" s="75" t="s">
        <v>867</v>
      </c>
      <c r="C293" s="64" t="s">
        <v>868</v>
      </c>
      <c r="D293" s="67">
        <v>0</v>
      </c>
      <c r="E293" s="67">
        <v>0</v>
      </c>
      <c r="F293" s="67">
        <v>0</v>
      </c>
      <c r="G293" s="67">
        <v>0</v>
      </c>
      <c r="H293" s="67">
        <v>0</v>
      </c>
      <c r="I293" s="67">
        <v>0</v>
      </c>
      <c r="J293" s="67">
        <v>-174800000</v>
      </c>
      <c r="K293" s="67">
        <v>-1900000</v>
      </c>
      <c r="L293" s="67">
        <v>-37600000</v>
      </c>
      <c r="M293" s="67">
        <v>-6394200000</v>
      </c>
    </row>
    <row r="294" spans="2:13">
      <c r="B294" s="77" t="s">
        <v>876</v>
      </c>
    </row>
    <row r="295" spans="2:13">
      <c r="B295" s="80" t="s">
        <v>873</v>
      </c>
      <c r="C295" s="64" t="s">
        <v>874</v>
      </c>
      <c r="D295" s="65">
        <v>0</v>
      </c>
      <c r="E295" s="65">
        <v>0</v>
      </c>
      <c r="F295" s="65">
        <v>0</v>
      </c>
      <c r="G295" s="65">
        <v>0</v>
      </c>
      <c r="H295" s="65">
        <v>0</v>
      </c>
      <c r="I295" s="65">
        <v>0</v>
      </c>
      <c r="J295" s="65">
        <v>-174800000</v>
      </c>
      <c r="K295" s="65">
        <v>172900000</v>
      </c>
      <c r="L295" s="65">
        <v>-35700000</v>
      </c>
      <c r="M295" s="65">
        <v>0</v>
      </c>
    </row>
    <row r="296" spans="2:13">
      <c r="B296" s="80" t="s">
        <v>877</v>
      </c>
      <c r="C296" s="64" t="s">
        <v>878</v>
      </c>
      <c r="D296" s="65">
        <v>0</v>
      </c>
      <c r="E296" s="65">
        <v>0</v>
      </c>
      <c r="F296" s="65">
        <v>0</v>
      </c>
      <c r="G296" s="65">
        <v>0</v>
      </c>
      <c r="H296" s="65">
        <v>0</v>
      </c>
      <c r="I296" s="65">
        <v>0</v>
      </c>
      <c r="J296" s="65">
        <v>0</v>
      </c>
      <c r="K296" s="65">
        <v>0</v>
      </c>
      <c r="L296" s="65">
        <v>0</v>
      </c>
      <c r="M296" s="65">
        <v>-6356600000</v>
      </c>
    </row>
    <row r="297" spans="2:13">
      <c r="B297" s="78" t="s">
        <v>879</v>
      </c>
      <c r="C297" s="64" t="s">
        <v>880</v>
      </c>
      <c r="D297" s="67">
        <v>0</v>
      </c>
      <c r="E297" s="67">
        <v>0</v>
      </c>
      <c r="F297" s="67">
        <v>0</v>
      </c>
      <c r="G297" s="67">
        <v>0</v>
      </c>
      <c r="H297" s="67">
        <v>0</v>
      </c>
      <c r="I297" s="67">
        <v>0</v>
      </c>
      <c r="J297" s="67">
        <v>-174800000</v>
      </c>
      <c r="K297" s="67">
        <v>172900000</v>
      </c>
      <c r="L297" s="67">
        <v>-35700000</v>
      </c>
      <c r="M297" s="67">
        <v>-6356600000</v>
      </c>
    </row>
    <row r="298" spans="2:13">
      <c r="B298" s="75" t="s">
        <v>867</v>
      </c>
      <c r="C298" s="64" t="s">
        <v>868</v>
      </c>
      <c r="D298" s="67">
        <v>0</v>
      </c>
      <c r="E298" s="67">
        <v>0</v>
      </c>
      <c r="F298" s="67">
        <v>0</v>
      </c>
      <c r="G298" s="67">
        <v>0</v>
      </c>
      <c r="H298" s="67">
        <v>0</v>
      </c>
      <c r="I298" s="67">
        <v>0</v>
      </c>
      <c r="J298" s="67">
        <v>-174800000</v>
      </c>
      <c r="K298" s="67">
        <v>-1900000</v>
      </c>
      <c r="L298" s="67">
        <v>-37600000</v>
      </c>
      <c r="M298" s="67">
        <v>-6394200000</v>
      </c>
    </row>
    <row r="300" spans="2:13" ht="15.5">
      <c r="B300" s="42" t="s">
        <v>881</v>
      </c>
    </row>
    <row r="301" spans="2:13">
      <c r="B301" s="63" t="s">
        <v>882</v>
      </c>
      <c r="C301" s="64" t="s">
        <v>883</v>
      </c>
      <c r="D301" s="65">
        <v>0</v>
      </c>
      <c r="E301" s="65">
        <v>9115900000</v>
      </c>
      <c r="F301" s="65">
        <v>-3907400000</v>
      </c>
      <c r="G301" s="65">
        <v>-15429900000</v>
      </c>
      <c r="H301" s="65">
        <v>-26839500000</v>
      </c>
      <c r="I301" s="65">
        <v>1049700000</v>
      </c>
      <c r="J301" s="65">
        <v>4000000</v>
      </c>
      <c r="K301" s="65">
        <v>28917100000</v>
      </c>
      <c r="L301" s="65">
        <v>6594900000</v>
      </c>
      <c r="M301" s="65">
        <v>14466300000</v>
      </c>
    </row>
    <row r="302" spans="2:13">
      <c r="B302" s="63" t="s">
        <v>884</v>
      </c>
      <c r="C302" s="64" t="s">
        <v>885</v>
      </c>
      <c r="D302" s="65">
        <v>0</v>
      </c>
      <c r="E302" s="65">
        <v>0</v>
      </c>
      <c r="F302" s="65">
        <v>0</v>
      </c>
      <c r="G302" s="65">
        <v>0</v>
      </c>
      <c r="H302" s="65">
        <v>0</v>
      </c>
      <c r="I302" s="65">
        <v>0</v>
      </c>
      <c r="J302" s="65">
        <v>0</v>
      </c>
      <c r="K302" s="65">
        <v>0</v>
      </c>
      <c r="L302" s="65">
        <v>1659800000</v>
      </c>
      <c r="M302" s="65">
        <v>3640900000</v>
      </c>
    </row>
    <row r="303" spans="2:13">
      <c r="B303" s="63" t="s">
        <v>886</v>
      </c>
      <c r="C303" s="64" t="s">
        <v>887</v>
      </c>
      <c r="D303" s="65">
        <v>0</v>
      </c>
      <c r="E303" s="65">
        <v>-3154800000</v>
      </c>
      <c r="F303" s="65">
        <v>1352300000</v>
      </c>
      <c r="G303" s="65">
        <v>5391800000</v>
      </c>
      <c r="H303" s="65">
        <v>9378800000</v>
      </c>
      <c r="I303" s="65">
        <v>-366800000</v>
      </c>
      <c r="J303" s="65">
        <v>-1000000</v>
      </c>
      <c r="K303" s="65">
        <v>-7277900000</v>
      </c>
      <c r="L303" s="65">
        <v>0</v>
      </c>
      <c r="M303" s="65">
        <v>0</v>
      </c>
    </row>
    <row r="304" spans="2:13">
      <c r="B304" s="63" t="s">
        <v>888</v>
      </c>
      <c r="C304" s="64" t="s">
        <v>889</v>
      </c>
      <c r="D304" s="65">
        <v>0</v>
      </c>
      <c r="E304" s="65">
        <v>63600000</v>
      </c>
      <c r="F304" s="65">
        <v>719200000</v>
      </c>
      <c r="G304" s="65">
        <v>214000000</v>
      </c>
      <c r="H304" s="65">
        <v>48800000</v>
      </c>
      <c r="I304" s="65">
        <v>747700000</v>
      </c>
      <c r="J304" s="65">
        <v>3382300000</v>
      </c>
      <c r="K304" s="65">
        <v>3253400000</v>
      </c>
      <c r="L304" s="65">
        <v>880800000</v>
      </c>
      <c r="M304" s="65">
        <v>1538900000</v>
      </c>
    </row>
    <row r="305" spans="1:13">
      <c r="B305" s="63" t="s">
        <v>890</v>
      </c>
      <c r="C305" s="64" t="s">
        <v>891</v>
      </c>
      <c r="D305" s="65">
        <v>0</v>
      </c>
      <c r="E305" s="65">
        <v>-4235700000</v>
      </c>
      <c r="F305" s="65">
        <v>478600000</v>
      </c>
      <c r="G305" s="65">
        <v>4130900000</v>
      </c>
      <c r="H305" s="65">
        <v>8504300000</v>
      </c>
      <c r="I305" s="65">
        <v>829400000</v>
      </c>
      <c r="J305" s="65">
        <v>-971500000</v>
      </c>
      <c r="K305" s="65">
        <v>-395000000</v>
      </c>
      <c r="L305" s="65">
        <v>49900000</v>
      </c>
      <c r="M305" s="65">
        <v>4122200000</v>
      </c>
    </row>
    <row r="306" spans="1:13">
      <c r="B306" s="63" t="s">
        <v>892</v>
      </c>
      <c r="C306" s="64" t="s">
        <v>893</v>
      </c>
      <c r="D306" s="65">
        <v>0</v>
      </c>
      <c r="E306" s="65">
        <v>75700000</v>
      </c>
      <c r="F306" s="65">
        <v>-91200000</v>
      </c>
      <c r="G306" s="65">
        <v>-56000000</v>
      </c>
      <c r="H306" s="65">
        <v>-12200000</v>
      </c>
      <c r="I306" s="65">
        <v>-1200000</v>
      </c>
      <c r="J306" s="65">
        <v>-900000</v>
      </c>
      <c r="K306" s="65">
        <v>0</v>
      </c>
      <c r="L306" s="65">
        <v>0</v>
      </c>
      <c r="M306" s="65">
        <v>0</v>
      </c>
    </row>
    <row r="307" spans="1:13">
      <c r="B307" s="63" t="s">
        <v>894</v>
      </c>
      <c r="C307" s="64" t="s">
        <v>895</v>
      </c>
      <c r="D307" s="65">
        <v>0</v>
      </c>
      <c r="E307" s="65">
        <v>1058600000</v>
      </c>
      <c r="F307" s="65">
        <v>230100000</v>
      </c>
      <c r="G307" s="65">
        <v>983900000</v>
      </c>
      <c r="H307" s="65">
        <v>912300000</v>
      </c>
      <c r="I307" s="65">
        <v>-1896400000</v>
      </c>
      <c r="J307" s="65">
        <v>-745000000</v>
      </c>
      <c r="K307" s="65">
        <v>-10092100000</v>
      </c>
      <c r="L307" s="65">
        <v>-2599100000</v>
      </c>
      <c r="M307" s="65">
        <v>-15552000000</v>
      </c>
    </row>
    <row r="308" spans="1:13">
      <c r="B308" s="66" t="s">
        <v>860</v>
      </c>
      <c r="C308" s="64" t="s">
        <v>861</v>
      </c>
      <c r="D308" s="67">
        <v>0</v>
      </c>
      <c r="E308" s="67">
        <v>117000000</v>
      </c>
      <c r="F308" s="67">
        <v>-15600000</v>
      </c>
      <c r="G308" s="67">
        <v>-119000000</v>
      </c>
      <c r="H308" s="67">
        <v>74400000</v>
      </c>
      <c r="I308" s="67">
        <v>46300000</v>
      </c>
      <c r="J308" s="67">
        <v>1665900000</v>
      </c>
      <c r="K308" s="67">
        <v>44200000</v>
      </c>
      <c r="L308" s="67">
        <v>-8600000</v>
      </c>
      <c r="M308" s="67">
        <v>-6250000000</v>
      </c>
    </row>
    <row r="310" spans="1:13" ht="15.5">
      <c r="B310" s="42" t="s">
        <v>896</v>
      </c>
    </row>
    <row r="311" spans="1:13">
      <c r="B311" s="63" t="s">
        <v>882</v>
      </c>
      <c r="C311" s="64" t="s">
        <v>883</v>
      </c>
      <c r="D311" s="65">
        <v>0</v>
      </c>
      <c r="E311" s="65">
        <v>9115900000</v>
      </c>
      <c r="F311" s="65">
        <v>-3907400000</v>
      </c>
      <c r="G311" s="65">
        <v>-15429900000</v>
      </c>
      <c r="H311" s="65">
        <v>-26839500000</v>
      </c>
      <c r="I311" s="65">
        <v>1049700000</v>
      </c>
      <c r="J311" s="65">
        <v>4000000</v>
      </c>
      <c r="K311" s="65">
        <v>28917100000</v>
      </c>
      <c r="L311" s="65">
        <v>6594900000</v>
      </c>
      <c r="M311" s="65">
        <v>14466300000</v>
      </c>
    </row>
    <row r="312" spans="1:13">
      <c r="B312" s="63" t="s">
        <v>897</v>
      </c>
      <c r="C312" s="64" t="s">
        <v>898</v>
      </c>
      <c r="D312" s="65">
        <v>0</v>
      </c>
      <c r="E312" s="65">
        <v>0</v>
      </c>
      <c r="F312" s="65">
        <v>0</v>
      </c>
      <c r="G312" s="65">
        <v>0</v>
      </c>
      <c r="H312" s="65">
        <v>0</v>
      </c>
      <c r="I312" s="65">
        <v>0</v>
      </c>
      <c r="J312" s="65">
        <v>0</v>
      </c>
      <c r="K312" s="65">
        <v>0</v>
      </c>
      <c r="L312" s="65">
        <v>0</v>
      </c>
      <c r="M312" s="65">
        <v>0.25169999999999998</v>
      </c>
    </row>
    <row r="313" spans="1:13">
      <c r="B313" s="66" t="s">
        <v>899</v>
      </c>
      <c r="C313" s="64" t="s">
        <v>900</v>
      </c>
      <c r="D313" s="67">
        <v>0</v>
      </c>
      <c r="E313" s="67">
        <v>0</v>
      </c>
      <c r="F313" s="67">
        <v>0</v>
      </c>
      <c r="G313" s="67">
        <v>0</v>
      </c>
      <c r="H313" s="67">
        <v>0</v>
      </c>
      <c r="I313" s="67">
        <v>0</v>
      </c>
      <c r="J313" s="67">
        <v>0</v>
      </c>
      <c r="K313" s="67">
        <v>0</v>
      </c>
      <c r="L313" s="67">
        <v>0</v>
      </c>
      <c r="M313" s="67">
        <v>0.25169999999999998</v>
      </c>
    </row>
    <row r="316" spans="1:13" ht="15.5">
      <c r="A316" t="s">
        <v>27</v>
      </c>
      <c r="B316" s="42" t="s">
        <v>901</v>
      </c>
    </row>
    <row r="318" spans="1:13">
      <c r="C318" s="62" t="s">
        <v>625</v>
      </c>
      <c r="D318" s="24" t="s">
        <v>30</v>
      </c>
      <c r="E318" s="24" t="s">
        <v>31</v>
      </c>
      <c r="F318" s="24" t="s">
        <v>32</v>
      </c>
      <c r="G318" s="24" t="s">
        <v>33</v>
      </c>
      <c r="H318" s="24" t="s">
        <v>34</v>
      </c>
      <c r="I318" s="24" t="s">
        <v>35</v>
      </c>
      <c r="J318" s="24" t="s">
        <v>36</v>
      </c>
      <c r="K318" s="24" t="s">
        <v>37</v>
      </c>
      <c r="L318" s="24" t="s">
        <v>38</v>
      </c>
      <c r="M318" s="24" t="s">
        <v>39</v>
      </c>
    </row>
    <row r="319" spans="1:13" ht="15.5">
      <c r="B319" s="42" t="s">
        <v>902</v>
      </c>
    </row>
    <row r="320" spans="1:13">
      <c r="B320" s="68" t="s">
        <v>903</v>
      </c>
    </row>
    <row r="321" spans="2:13">
      <c r="B321" s="69" t="s">
        <v>827</v>
      </c>
      <c r="C321" s="64" t="s">
        <v>828</v>
      </c>
      <c r="D321" s="65">
        <v>0</v>
      </c>
      <c r="E321" s="65">
        <v>111422000000</v>
      </c>
      <c r="F321" s="65">
        <v>66371900000</v>
      </c>
      <c r="G321" s="65">
        <v>49784600000</v>
      </c>
      <c r="H321" s="65">
        <v>10153800000</v>
      </c>
      <c r="I321" s="65">
        <v>14746800000</v>
      </c>
      <c r="J321" s="65">
        <v>42100500000</v>
      </c>
      <c r="K321" s="65">
        <v>41240400000</v>
      </c>
      <c r="L321" s="65">
        <v>60041100000</v>
      </c>
      <c r="M321" s="65">
        <v>103573800000</v>
      </c>
    </row>
    <row r="322" spans="2:13">
      <c r="B322" s="69" t="s">
        <v>830</v>
      </c>
      <c r="C322" s="64" t="s">
        <v>831</v>
      </c>
      <c r="D322" s="65">
        <v>0</v>
      </c>
      <c r="E322" s="65">
        <v>15503300000</v>
      </c>
      <c r="F322" s="65">
        <v>16550600000</v>
      </c>
      <c r="G322" s="65">
        <v>0</v>
      </c>
      <c r="H322" s="65">
        <v>19178200000</v>
      </c>
      <c r="I322" s="65">
        <v>18199700000</v>
      </c>
      <c r="J322" s="65">
        <v>23099000000</v>
      </c>
      <c r="K322" s="65">
        <v>18228000000</v>
      </c>
      <c r="L322" s="65">
        <v>4927300000</v>
      </c>
      <c r="M322" s="65">
        <v>4939400000</v>
      </c>
    </row>
    <row r="323" spans="2:13">
      <c r="B323" s="76" t="s">
        <v>904</v>
      </c>
      <c r="C323" s="64" t="s">
        <v>905</v>
      </c>
      <c r="D323" s="67">
        <v>0</v>
      </c>
      <c r="E323" s="67">
        <v>218400000</v>
      </c>
      <c r="F323" s="67">
        <v>415900000</v>
      </c>
      <c r="G323" s="67">
        <v>462300000</v>
      </c>
      <c r="H323" s="67">
        <v>396500000</v>
      </c>
      <c r="I323" s="67">
        <v>510700000</v>
      </c>
      <c r="J323" s="67">
        <v>618300000</v>
      </c>
      <c r="K323" s="67">
        <v>236900000</v>
      </c>
      <c r="L323" s="67">
        <v>322500000</v>
      </c>
      <c r="M323" s="67">
        <v>384200000</v>
      </c>
    </row>
    <row r="324" spans="2:13">
      <c r="B324" s="76" t="s">
        <v>906</v>
      </c>
      <c r="C324" s="64" t="s">
        <v>907</v>
      </c>
      <c r="D324" s="67">
        <v>0</v>
      </c>
      <c r="E324" s="67">
        <v>127143700000</v>
      </c>
      <c r="F324" s="67">
        <v>83338400000</v>
      </c>
      <c r="G324" s="67">
        <v>50246900000</v>
      </c>
      <c r="H324" s="67">
        <v>29728500000</v>
      </c>
      <c r="I324" s="67">
        <v>33457200000</v>
      </c>
      <c r="J324" s="67">
        <v>65817800000</v>
      </c>
      <c r="K324" s="67">
        <v>59705300000</v>
      </c>
      <c r="L324" s="67">
        <v>65290900000</v>
      </c>
      <c r="M324" s="67">
        <v>108897400000</v>
      </c>
    </row>
    <row r="325" spans="2:13">
      <c r="B325" s="66" t="s">
        <v>115</v>
      </c>
      <c r="C325" s="64" t="s">
        <v>626</v>
      </c>
      <c r="D325" s="67">
        <v>0</v>
      </c>
      <c r="E325" s="67">
        <v>127143700000</v>
      </c>
      <c r="F325" s="67">
        <v>83338400000</v>
      </c>
      <c r="G325" s="67">
        <v>50246900000</v>
      </c>
      <c r="H325" s="67">
        <v>29728500000</v>
      </c>
      <c r="I325" s="67">
        <v>33457200000</v>
      </c>
      <c r="J325" s="67">
        <v>65817800000</v>
      </c>
      <c r="K325" s="67">
        <v>59705300000</v>
      </c>
      <c r="L325" s="67">
        <v>65290900000</v>
      </c>
      <c r="M325" s="67">
        <v>108897400000</v>
      </c>
    </row>
    <row r="327" spans="2:13" ht="15.5">
      <c r="B327" s="42" t="s">
        <v>908</v>
      </c>
    </row>
    <row r="328" spans="2:13">
      <c r="B328" s="68" t="s">
        <v>909</v>
      </c>
    </row>
    <row r="329" spans="2:13">
      <c r="B329" s="69" t="s">
        <v>910</v>
      </c>
      <c r="C329" s="64" t="s">
        <v>911</v>
      </c>
      <c r="D329" s="65">
        <v>0</v>
      </c>
      <c r="E329" s="65">
        <v>218400000</v>
      </c>
      <c r="F329" s="65">
        <v>415900000</v>
      </c>
      <c r="G329" s="65">
        <v>462300000</v>
      </c>
      <c r="H329" s="65">
        <v>396500000</v>
      </c>
      <c r="I329" s="65">
        <v>510700000</v>
      </c>
      <c r="J329" s="65">
        <v>618300000</v>
      </c>
      <c r="K329" s="65">
        <v>236900000</v>
      </c>
      <c r="L329" s="65">
        <v>322500000</v>
      </c>
      <c r="M329" s="65">
        <v>384200000</v>
      </c>
    </row>
    <row r="330" spans="2:13">
      <c r="B330" s="76" t="s">
        <v>904</v>
      </c>
      <c r="C330" s="64" t="s">
        <v>905</v>
      </c>
      <c r="D330" s="67">
        <v>0</v>
      </c>
      <c r="E330" s="67">
        <v>218400000</v>
      </c>
      <c r="F330" s="67">
        <v>415900000</v>
      </c>
      <c r="G330" s="67">
        <v>462300000</v>
      </c>
      <c r="H330" s="67">
        <v>396500000</v>
      </c>
      <c r="I330" s="67">
        <v>510700000</v>
      </c>
      <c r="J330" s="67">
        <v>618300000</v>
      </c>
      <c r="K330" s="67">
        <v>236900000</v>
      </c>
      <c r="L330" s="67">
        <v>322500000</v>
      </c>
      <c r="M330" s="67">
        <v>384200000</v>
      </c>
    </row>
    <row r="331" spans="2:13">
      <c r="B331" s="70" t="s">
        <v>912</v>
      </c>
    </row>
    <row r="332" spans="2:13">
      <c r="B332" s="72" t="s">
        <v>913</v>
      </c>
    </row>
    <row r="333" spans="2:13">
      <c r="B333" s="73" t="s">
        <v>910</v>
      </c>
      <c r="C333" s="64" t="s">
        <v>911</v>
      </c>
      <c r="D333" s="65">
        <v>0</v>
      </c>
      <c r="E333" s="65">
        <v>218400000</v>
      </c>
      <c r="F333" s="65">
        <v>415900000</v>
      </c>
      <c r="G333" s="65">
        <v>462300000</v>
      </c>
      <c r="H333" s="65">
        <v>396500000</v>
      </c>
      <c r="I333" s="65">
        <v>510700000</v>
      </c>
      <c r="J333" s="65">
        <v>618300000</v>
      </c>
      <c r="K333" s="65">
        <v>236900000</v>
      </c>
      <c r="L333" s="65">
        <v>322500000</v>
      </c>
      <c r="M333" s="65">
        <v>384200000</v>
      </c>
    </row>
    <row r="335" spans="2:13" ht="15.5">
      <c r="B335" s="42" t="s">
        <v>914</v>
      </c>
    </row>
    <row r="336" spans="2:13">
      <c r="B336" s="68" t="s">
        <v>915</v>
      </c>
    </row>
    <row r="337" spans="2:13">
      <c r="B337" s="70" t="s">
        <v>916</v>
      </c>
    </row>
    <row r="338" spans="2:13">
      <c r="B338" s="71" t="s">
        <v>917</v>
      </c>
      <c r="C338" s="64" t="s">
        <v>918</v>
      </c>
      <c r="D338" s="65">
        <v>0</v>
      </c>
      <c r="E338" s="65">
        <v>203000000</v>
      </c>
      <c r="F338" s="65">
        <v>228200000</v>
      </c>
      <c r="G338" s="65">
        <v>240500000</v>
      </c>
      <c r="H338" s="65">
        <v>146900000</v>
      </c>
      <c r="I338" s="65">
        <v>61500000</v>
      </c>
      <c r="J338" s="65">
        <v>106500000</v>
      </c>
      <c r="K338" s="65">
        <v>112600000</v>
      </c>
      <c r="L338" s="65">
        <v>331900000</v>
      </c>
      <c r="M338" s="65">
        <v>808100000</v>
      </c>
    </row>
    <row r="339" spans="2:13">
      <c r="B339" s="71" t="s">
        <v>919</v>
      </c>
      <c r="C339" s="64" t="s">
        <v>920</v>
      </c>
      <c r="D339" s="65">
        <v>0</v>
      </c>
      <c r="E339" s="65">
        <v>59700000</v>
      </c>
      <c r="F339" s="65">
        <v>5700000</v>
      </c>
      <c r="G339" s="65">
        <v>5900000</v>
      </c>
      <c r="H339" s="65">
        <v>20300000</v>
      </c>
      <c r="I339" s="65">
        <v>20200000</v>
      </c>
      <c r="J339" s="65">
        <v>16200000</v>
      </c>
      <c r="K339" s="65">
        <v>0</v>
      </c>
      <c r="L339" s="65">
        <v>0</v>
      </c>
      <c r="M339" s="65">
        <v>0</v>
      </c>
    </row>
    <row r="340" spans="2:13">
      <c r="B340" s="71" t="s">
        <v>921</v>
      </c>
      <c r="C340" s="64" t="s">
        <v>922</v>
      </c>
      <c r="D340" s="65">
        <v>0</v>
      </c>
      <c r="E340" s="65">
        <v>397400000</v>
      </c>
      <c r="F340" s="65">
        <v>400800000</v>
      </c>
      <c r="G340" s="65">
        <v>244900000</v>
      </c>
      <c r="H340" s="65">
        <v>104300000</v>
      </c>
      <c r="I340" s="65">
        <v>112700000</v>
      </c>
      <c r="J340" s="65">
        <v>95000000</v>
      </c>
      <c r="K340" s="65">
        <v>80400000</v>
      </c>
      <c r="L340" s="65">
        <v>38700000</v>
      </c>
      <c r="M340" s="65">
        <v>129100000</v>
      </c>
    </row>
    <row r="341" spans="2:13">
      <c r="B341" s="74" t="s">
        <v>923</v>
      </c>
      <c r="C341" s="64" t="s">
        <v>924</v>
      </c>
      <c r="D341" s="67">
        <v>0</v>
      </c>
      <c r="E341" s="67">
        <v>660100000</v>
      </c>
      <c r="F341" s="67">
        <v>634700000</v>
      </c>
      <c r="G341" s="67">
        <v>491300000</v>
      </c>
      <c r="H341" s="67">
        <v>271500000</v>
      </c>
      <c r="I341" s="67">
        <v>194400000</v>
      </c>
      <c r="J341" s="67">
        <v>217700000</v>
      </c>
      <c r="K341" s="67">
        <v>193000000</v>
      </c>
      <c r="L341" s="67">
        <v>370600000</v>
      </c>
      <c r="M341" s="67">
        <v>937200000</v>
      </c>
    </row>
    <row r="342" spans="2:13">
      <c r="B342" s="76" t="s">
        <v>925</v>
      </c>
      <c r="C342" s="64" t="s">
        <v>926</v>
      </c>
      <c r="D342" s="67">
        <v>0</v>
      </c>
      <c r="E342" s="67">
        <v>660100000</v>
      </c>
      <c r="F342" s="67">
        <v>634700000</v>
      </c>
      <c r="G342" s="67">
        <v>491300000</v>
      </c>
      <c r="H342" s="67">
        <v>271500000</v>
      </c>
      <c r="I342" s="67">
        <v>194400000</v>
      </c>
      <c r="J342" s="67">
        <v>217700000</v>
      </c>
      <c r="K342" s="67">
        <v>193000000</v>
      </c>
      <c r="L342" s="67">
        <v>370600000</v>
      </c>
      <c r="M342" s="67">
        <v>937200000</v>
      </c>
    </row>
    <row r="343" spans="2:13">
      <c r="B343" s="68" t="s">
        <v>927</v>
      </c>
    </row>
    <row r="344" spans="2:13">
      <c r="B344" s="69" t="s">
        <v>928</v>
      </c>
      <c r="C344" s="64" t="s">
        <v>929</v>
      </c>
      <c r="D344" s="65">
        <v>0</v>
      </c>
      <c r="E344" s="65">
        <v>216600000</v>
      </c>
      <c r="F344" s="65">
        <v>141900000</v>
      </c>
      <c r="G344" s="65">
        <v>2800000</v>
      </c>
      <c r="H344" s="65">
        <v>0</v>
      </c>
      <c r="I344" s="65">
        <v>0</v>
      </c>
      <c r="J344" s="65">
        <v>0</v>
      </c>
      <c r="K344" s="65">
        <v>0</v>
      </c>
      <c r="L344" s="65">
        <v>0</v>
      </c>
      <c r="M344" s="65">
        <v>0</v>
      </c>
    </row>
    <row r="345" spans="2:13">
      <c r="B345" s="76" t="s">
        <v>930</v>
      </c>
      <c r="C345" s="64" t="s">
        <v>931</v>
      </c>
      <c r="D345" s="67">
        <v>0</v>
      </c>
      <c r="E345" s="67">
        <v>216600000</v>
      </c>
      <c r="F345" s="67">
        <v>141900000</v>
      </c>
      <c r="G345" s="67">
        <v>2800000</v>
      </c>
      <c r="H345" s="67">
        <v>0</v>
      </c>
      <c r="I345" s="67">
        <v>0</v>
      </c>
      <c r="J345" s="67">
        <v>0</v>
      </c>
      <c r="K345" s="67">
        <v>0</v>
      </c>
      <c r="L345" s="67">
        <v>0</v>
      </c>
      <c r="M345" s="67">
        <v>0</v>
      </c>
    </row>
    <row r="346" spans="2:13">
      <c r="B346" s="68" t="s">
        <v>932</v>
      </c>
    </row>
    <row r="347" spans="2:13">
      <c r="B347" s="69" t="s">
        <v>933</v>
      </c>
      <c r="C347" s="64" t="s">
        <v>934</v>
      </c>
      <c r="D347" s="65">
        <v>0</v>
      </c>
      <c r="E347" s="65">
        <v>11500000</v>
      </c>
      <c r="F347" s="65">
        <v>12400000</v>
      </c>
      <c r="G347" s="65">
        <v>0</v>
      </c>
      <c r="H347" s="65">
        <v>0</v>
      </c>
      <c r="I347" s="65">
        <v>0</v>
      </c>
      <c r="J347" s="65">
        <v>0</v>
      </c>
      <c r="K347" s="65">
        <v>0</v>
      </c>
      <c r="L347" s="65">
        <v>0</v>
      </c>
      <c r="M347" s="65">
        <v>0</v>
      </c>
    </row>
    <row r="348" spans="2:13">
      <c r="B348" s="69" t="s">
        <v>935</v>
      </c>
      <c r="C348" s="64" t="s">
        <v>936</v>
      </c>
      <c r="D348" s="65">
        <v>0</v>
      </c>
      <c r="E348" s="65">
        <v>0</v>
      </c>
      <c r="F348" s="65">
        <v>2700000</v>
      </c>
      <c r="G348" s="65">
        <v>5400000</v>
      </c>
      <c r="H348" s="65">
        <v>4200000</v>
      </c>
      <c r="I348" s="65">
        <v>4300000</v>
      </c>
      <c r="J348" s="65">
        <v>4200000</v>
      </c>
      <c r="K348" s="65">
        <v>3300000</v>
      </c>
      <c r="L348" s="65">
        <v>13600000</v>
      </c>
      <c r="M348" s="65">
        <v>96700000</v>
      </c>
    </row>
    <row r="349" spans="2:13">
      <c r="B349" s="76" t="s">
        <v>937</v>
      </c>
      <c r="C349" s="64" t="s">
        <v>938</v>
      </c>
      <c r="D349" s="67">
        <v>0</v>
      </c>
      <c r="E349" s="67">
        <v>11500000</v>
      </c>
      <c r="F349" s="67">
        <v>15100000</v>
      </c>
      <c r="G349" s="67">
        <v>5400000</v>
      </c>
      <c r="H349" s="67">
        <v>4200000</v>
      </c>
      <c r="I349" s="67">
        <v>4300000</v>
      </c>
      <c r="J349" s="67">
        <v>4200000</v>
      </c>
      <c r="K349" s="67">
        <v>3300000</v>
      </c>
      <c r="L349" s="67">
        <v>13600000</v>
      </c>
      <c r="M349" s="67">
        <v>96700000</v>
      </c>
    </row>
    <row r="350" spans="2:13">
      <c r="B350" s="66" t="s">
        <v>116</v>
      </c>
      <c r="C350" s="64" t="s">
        <v>627</v>
      </c>
      <c r="D350" s="67">
        <v>0</v>
      </c>
      <c r="E350" s="67">
        <v>888200000</v>
      </c>
      <c r="F350" s="67">
        <v>791700000</v>
      </c>
      <c r="G350" s="67">
        <v>499500000</v>
      </c>
      <c r="H350" s="67">
        <v>275700000</v>
      </c>
      <c r="I350" s="67">
        <v>198700000</v>
      </c>
      <c r="J350" s="67">
        <v>221900000</v>
      </c>
      <c r="K350" s="67">
        <v>196300000</v>
      </c>
      <c r="L350" s="67">
        <v>384200000</v>
      </c>
      <c r="M350" s="67">
        <v>1033900000</v>
      </c>
    </row>
    <row r="352" spans="2:13" ht="15.5">
      <c r="B352" s="42" t="s">
        <v>939</v>
      </c>
    </row>
    <row r="353" spans="2:13">
      <c r="B353" s="68" t="s">
        <v>940</v>
      </c>
    </row>
    <row r="354" spans="2:13">
      <c r="B354" s="69" t="s">
        <v>941</v>
      </c>
      <c r="C354" s="64" t="s">
        <v>942</v>
      </c>
      <c r="D354" s="65">
        <v>0</v>
      </c>
      <c r="E354" s="65">
        <v>11065100000</v>
      </c>
      <c r="F354" s="65">
        <v>11055900000</v>
      </c>
      <c r="G354" s="65">
        <v>11789800000</v>
      </c>
      <c r="H354" s="65">
        <v>12901300000</v>
      </c>
      <c r="I354" s="65">
        <v>9573700000</v>
      </c>
      <c r="J354" s="65">
        <v>7025700000</v>
      </c>
      <c r="K354" s="65">
        <v>3829700000</v>
      </c>
      <c r="L354" s="65">
        <v>1056500000</v>
      </c>
      <c r="M354" s="65">
        <v>1056800000</v>
      </c>
    </row>
    <row r="355" spans="2:13">
      <c r="B355" s="76" t="s">
        <v>943</v>
      </c>
      <c r="C355" s="64" t="s">
        <v>944</v>
      </c>
      <c r="D355" s="67">
        <v>0</v>
      </c>
      <c r="E355" s="67">
        <v>11065100000</v>
      </c>
      <c r="F355" s="67">
        <v>11055900000</v>
      </c>
      <c r="G355" s="67">
        <v>11789800000</v>
      </c>
      <c r="H355" s="67">
        <v>12901300000</v>
      </c>
      <c r="I355" s="67">
        <v>9573700000</v>
      </c>
      <c r="J355" s="67">
        <v>7025700000</v>
      </c>
      <c r="K355" s="67">
        <v>3829700000</v>
      </c>
      <c r="L355" s="67">
        <v>1056500000</v>
      </c>
      <c r="M355" s="67">
        <v>1056800000</v>
      </c>
    </row>
    <row r="356" spans="2:13">
      <c r="B356" s="63" t="s">
        <v>945</v>
      </c>
      <c r="C356" s="64" t="s">
        <v>946</v>
      </c>
      <c r="D356" s="65">
        <v>0</v>
      </c>
      <c r="E356" s="65">
        <v>1704300000</v>
      </c>
      <c r="F356" s="65">
        <v>4584300000</v>
      </c>
      <c r="G356" s="65">
        <v>851600000</v>
      </c>
      <c r="H356" s="65">
        <v>763000000</v>
      </c>
      <c r="I356" s="65">
        <v>383600000</v>
      </c>
      <c r="J356" s="65">
        <v>319000000</v>
      </c>
      <c r="K356" s="65">
        <v>377900000</v>
      </c>
      <c r="L356" s="65">
        <v>586700000</v>
      </c>
      <c r="M356" s="65">
        <v>1491200000</v>
      </c>
    </row>
    <row r="357" spans="2:13">
      <c r="B357" s="63" t="s">
        <v>947</v>
      </c>
      <c r="C357" s="64" t="s">
        <v>948</v>
      </c>
      <c r="D357" s="65">
        <v>0</v>
      </c>
      <c r="E357" s="65">
        <v>106500000</v>
      </c>
      <c r="F357" s="65">
        <v>169600000</v>
      </c>
      <c r="G357" s="65">
        <v>57700000</v>
      </c>
      <c r="H357" s="65">
        <v>8600000</v>
      </c>
      <c r="I357" s="65">
        <v>5300000</v>
      </c>
      <c r="J357" s="65">
        <v>500000</v>
      </c>
      <c r="K357" s="65">
        <v>0</v>
      </c>
      <c r="L357" s="65">
        <v>0</v>
      </c>
      <c r="M357" s="65">
        <v>0</v>
      </c>
    </row>
    <row r="358" spans="2:13">
      <c r="B358" s="66" t="s">
        <v>128</v>
      </c>
      <c r="C358" s="64" t="s">
        <v>635</v>
      </c>
      <c r="D358" s="67">
        <v>0</v>
      </c>
      <c r="E358" s="67">
        <v>12875900000</v>
      </c>
      <c r="F358" s="67">
        <v>15809800000</v>
      </c>
      <c r="G358" s="67">
        <v>12699100000</v>
      </c>
      <c r="H358" s="67">
        <v>13672900000</v>
      </c>
      <c r="I358" s="67">
        <v>9962600000</v>
      </c>
      <c r="J358" s="67">
        <v>7345200000</v>
      </c>
      <c r="K358" s="67">
        <v>4207600000</v>
      </c>
      <c r="L358" s="67">
        <v>1643200000</v>
      </c>
      <c r="M358" s="67">
        <v>2548000000</v>
      </c>
    </row>
    <row r="360" spans="2:13" ht="15.5">
      <c r="B360" s="42" t="s">
        <v>949</v>
      </c>
    </row>
    <row r="361" spans="2:13">
      <c r="B361" s="63" t="s">
        <v>950</v>
      </c>
      <c r="C361" s="64" t="s">
        <v>951</v>
      </c>
      <c r="D361" s="65">
        <v>0</v>
      </c>
      <c r="E361" s="65">
        <v>8943900000</v>
      </c>
      <c r="F361" s="65">
        <v>6907000000</v>
      </c>
      <c r="G361" s="65">
        <v>7633400000</v>
      </c>
      <c r="H361" s="65">
        <v>6994800000</v>
      </c>
      <c r="I361" s="65">
        <v>4927700000</v>
      </c>
      <c r="J361" s="65">
        <v>4883100000</v>
      </c>
      <c r="K361" s="65">
        <v>5433600000</v>
      </c>
      <c r="L361" s="65">
        <v>5906900000</v>
      </c>
      <c r="M361" s="65">
        <v>7284800000</v>
      </c>
    </row>
    <row r="362" spans="2:13">
      <c r="B362" s="68" t="s">
        <v>952</v>
      </c>
    </row>
    <row r="363" spans="2:13">
      <c r="B363" s="69" t="s">
        <v>953</v>
      </c>
      <c r="C363" s="64" t="s">
        <v>954</v>
      </c>
      <c r="D363" s="65">
        <v>0</v>
      </c>
      <c r="E363" s="65">
        <v>778600000</v>
      </c>
      <c r="F363" s="65">
        <v>799900000</v>
      </c>
      <c r="G363" s="65">
        <v>786000000</v>
      </c>
      <c r="H363" s="65">
        <v>737700000</v>
      </c>
      <c r="I363" s="65">
        <v>425100000</v>
      </c>
      <c r="J363" s="65">
        <v>314000000</v>
      </c>
      <c r="K363" s="65">
        <v>237800000</v>
      </c>
      <c r="L363" s="65">
        <v>265600000</v>
      </c>
      <c r="M363" s="65">
        <v>310800000</v>
      </c>
    </row>
    <row r="364" spans="2:13">
      <c r="B364" s="76" t="s">
        <v>955</v>
      </c>
      <c r="C364" s="64" t="s">
        <v>956</v>
      </c>
      <c r="D364" s="67">
        <v>0</v>
      </c>
      <c r="E364" s="67">
        <v>778600000</v>
      </c>
      <c r="F364" s="67">
        <v>799900000</v>
      </c>
      <c r="G364" s="67">
        <v>786000000</v>
      </c>
      <c r="H364" s="67">
        <v>737700000</v>
      </c>
      <c r="I364" s="67">
        <v>425100000</v>
      </c>
      <c r="J364" s="67">
        <v>314000000</v>
      </c>
      <c r="K364" s="67">
        <v>237800000</v>
      </c>
      <c r="L364" s="67">
        <v>265600000</v>
      </c>
      <c r="M364" s="67">
        <v>310800000</v>
      </c>
    </row>
    <row r="365" spans="2:13">
      <c r="B365" s="68" t="s">
        <v>957</v>
      </c>
    </row>
    <row r="366" spans="2:13">
      <c r="B366" s="69" t="s">
        <v>958</v>
      </c>
      <c r="C366" s="64" t="s">
        <v>959</v>
      </c>
      <c r="D366" s="65">
        <v>0</v>
      </c>
      <c r="E366" s="65">
        <v>192800000</v>
      </c>
      <c r="F366" s="65">
        <v>0</v>
      </c>
      <c r="G366" s="65">
        <v>0</v>
      </c>
      <c r="H366" s="65">
        <v>0</v>
      </c>
      <c r="I366" s="65">
        <v>0</v>
      </c>
      <c r="J366" s="65">
        <v>0</v>
      </c>
      <c r="K366" s="65">
        <v>0</v>
      </c>
      <c r="L366" s="65">
        <v>291400000</v>
      </c>
      <c r="M366" s="65">
        <v>1149500000</v>
      </c>
    </row>
    <row r="367" spans="2:13">
      <c r="B367" s="76" t="s">
        <v>960</v>
      </c>
      <c r="C367" s="64" t="s">
        <v>961</v>
      </c>
      <c r="D367" s="67">
        <v>0</v>
      </c>
      <c r="E367" s="67">
        <v>192800000</v>
      </c>
      <c r="F367" s="67">
        <v>0</v>
      </c>
      <c r="G367" s="67">
        <v>0</v>
      </c>
      <c r="H367" s="67">
        <v>0</v>
      </c>
      <c r="I367" s="67">
        <v>0</v>
      </c>
      <c r="J367" s="67">
        <v>0</v>
      </c>
      <c r="K367" s="67">
        <v>0</v>
      </c>
      <c r="L367" s="67">
        <v>291400000</v>
      </c>
      <c r="M367" s="67">
        <v>1149500000</v>
      </c>
    </row>
    <row r="368" spans="2:13">
      <c r="B368" s="63" t="s">
        <v>962</v>
      </c>
      <c r="C368" s="64" t="s">
        <v>962</v>
      </c>
      <c r="D368" s="65">
        <v>0</v>
      </c>
      <c r="E368" s="65">
        <v>75100000</v>
      </c>
      <c r="F368" s="65">
        <v>0</v>
      </c>
      <c r="G368" s="65">
        <v>0</v>
      </c>
      <c r="H368" s="65">
        <v>0</v>
      </c>
      <c r="I368" s="65">
        <v>0</v>
      </c>
      <c r="J368" s="65">
        <v>0</v>
      </c>
      <c r="K368" s="65">
        <v>115100000</v>
      </c>
      <c r="L368" s="65">
        <v>139900000</v>
      </c>
      <c r="M368" s="65">
        <v>139700000</v>
      </c>
    </row>
    <row r="369" spans="2:13">
      <c r="B369" s="63" t="s">
        <v>963</v>
      </c>
      <c r="C369" s="64" t="s">
        <v>964</v>
      </c>
      <c r="D369" s="65">
        <v>0</v>
      </c>
      <c r="E369" s="65">
        <v>474400000</v>
      </c>
      <c r="F369" s="65">
        <v>339900000</v>
      </c>
      <c r="G369" s="65">
        <v>322200000</v>
      </c>
      <c r="H369" s="65">
        <v>230000000</v>
      </c>
      <c r="I369" s="65">
        <v>179300000</v>
      </c>
      <c r="J369" s="65">
        <v>256500000</v>
      </c>
      <c r="K369" s="65">
        <v>305700000</v>
      </c>
      <c r="L369" s="65">
        <v>425200000</v>
      </c>
      <c r="M369" s="65">
        <v>530500000</v>
      </c>
    </row>
    <row r="370" spans="2:13">
      <c r="B370" s="66" t="s">
        <v>633</v>
      </c>
      <c r="C370" s="64" t="s">
        <v>634</v>
      </c>
      <c r="D370" s="67">
        <v>0</v>
      </c>
      <c r="E370" s="67">
        <v>10464800000</v>
      </c>
      <c r="F370" s="67">
        <v>8046800000</v>
      </c>
      <c r="G370" s="67">
        <v>8741600000</v>
      </c>
      <c r="H370" s="67">
        <v>7962500000</v>
      </c>
      <c r="I370" s="67">
        <v>5532100000</v>
      </c>
      <c r="J370" s="67">
        <v>5453600000</v>
      </c>
      <c r="K370" s="67">
        <v>6092200000</v>
      </c>
      <c r="L370" s="67">
        <v>7029000000</v>
      </c>
      <c r="M370" s="67">
        <v>9415300000</v>
      </c>
    </row>
    <row r="372" spans="2:13" ht="15.5">
      <c r="B372" s="42" t="s">
        <v>965</v>
      </c>
    </row>
    <row r="373" spans="2:13">
      <c r="B373" s="63" t="s">
        <v>966</v>
      </c>
      <c r="C373" s="64" t="s">
        <v>967</v>
      </c>
      <c r="D373" s="65">
        <v>0</v>
      </c>
      <c r="E373" s="65">
        <v>2348500000</v>
      </c>
      <c r="F373" s="65">
        <v>2363100000</v>
      </c>
      <c r="G373" s="65">
        <v>2453700000</v>
      </c>
      <c r="H373" s="65">
        <v>2538400000</v>
      </c>
      <c r="I373" s="65">
        <v>1183900000</v>
      </c>
      <c r="J373" s="65">
        <v>1209500000</v>
      </c>
      <c r="K373" s="65">
        <v>1418200000</v>
      </c>
      <c r="L373" s="65">
        <v>1192400000</v>
      </c>
      <c r="M373" s="65">
        <v>1659100000</v>
      </c>
    </row>
    <row r="374" spans="2:13">
      <c r="B374" s="63" t="s">
        <v>968</v>
      </c>
      <c r="C374" s="64" t="s">
        <v>969</v>
      </c>
      <c r="D374" s="65">
        <v>0</v>
      </c>
      <c r="E374" s="65">
        <v>1541800000</v>
      </c>
      <c r="F374" s="65">
        <v>1053000000</v>
      </c>
      <c r="G374" s="65">
        <v>964800000</v>
      </c>
      <c r="H374" s="65">
        <v>1647700000</v>
      </c>
      <c r="I374" s="65">
        <v>1399900000</v>
      </c>
      <c r="J374" s="65">
        <v>1388900000</v>
      </c>
      <c r="K374" s="65">
        <v>1178600000</v>
      </c>
      <c r="L374" s="65">
        <v>703600000</v>
      </c>
      <c r="M374" s="65">
        <v>932800000</v>
      </c>
    </row>
    <row r="375" spans="2:13">
      <c r="B375" s="66" t="s">
        <v>636</v>
      </c>
      <c r="C375" s="64" t="s">
        <v>637</v>
      </c>
      <c r="D375" s="67">
        <v>0</v>
      </c>
      <c r="E375" s="67">
        <v>3890300000</v>
      </c>
      <c r="F375" s="67">
        <v>3416100000</v>
      </c>
      <c r="G375" s="67">
        <v>3418500000</v>
      </c>
      <c r="H375" s="67">
        <v>4186100000</v>
      </c>
      <c r="I375" s="67">
        <v>2583800000</v>
      </c>
      <c r="J375" s="67">
        <v>2598400000</v>
      </c>
      <c r="K375" s="67">
        <v>2596800000</v>
      </c>
      <c r="L375" s="67">
        <v>1896000000</v>
      </c>
      <c r="M375" s="67">
        <v>2591900000</v>
      </c>
    </row>
    <row r="377" spans="2:13" ht="15.5">
      <c r="B377" s="42" t="s">
        <v>970</v>
      </c>
    </row>
    <row r="378" spans="2:13">
      <c r="B378" s="63" t="s">
        <v>971</v>
      </c>
      <c r="C378" s="64" t="s">
        <v>972</v>
      </c>
      <c r="D378" s="65">
        <v>0</v>
      </c>
      <c r="E378" s="65">
        <v>1824100000</v>
      </c>
      <c r="F378" s="65">
        <v>1239100000</v>
      </c>
      <c r="G378" s="65">
        <v>824100000</v>
      </c>
      <c r="H378" s="65">
        <v>413900000</v>
      </c>
      <c r="I378" s="65">
        <v>342500000</v>
      </c>
      <c r="J378" s="65">
        <v>889200000</v>
      </c>
      <c r="K378" s="65">
        <v>895400000</v>
      </c>
      <c r="L378" s="65">
        <v>953100000</v>
      </c>
      <c r="M378" s="65">
        <v>1485300000</v>
      </c>
    </row>
    <row r="379" spans="2:13">
      <c r="B379" s="63" t="s">
        <v>973</v>
      </c>
      <c r="C379" s="64" t="s">
        <v>974</v>
      </c>
      <c r="D379" s="65">
        <v>0</v>
      </c>
      <c r="E379" s="65">
        <v>714400000</v>
      </c>
      <c r="F379" s="65">
        <v>593600000</v>
      </c>
      <c r="G379" s="65">
        <v>571000000</v>
      </c>
      <c r="H379" s="65">
        <v>610400000</v>
      </c>
      <c r="I379" s="65">
        <v>450500000</v>
      </c>
      <c r="J379" s="65">
        <v>575900000</v>
      </c>
      <c r="K379" s="65">
        <v>615400000</v>
      </c>
      <c r="L379" s="65">
        <v>587900000</v>
      </c>
      <c r="M379" s="65">
        <v>652900000</v>
      </c>
    </row>
    <row r="380" spans="2:13">
      <c r="B380" s="63" t="s">
        <v>975</v>
      </c>
      <c r="C380" s="64" t="s">
        <v>975</v>
      </c>
      <c r="D380" s="65">
        <v>0</v>
      </c>
      <c r="E380" s="65">
        <v>784800000</v>
      </c>
      <c r="F380" s="65">
        <v>692400000</v>
      </c>
      <c r="G380" s="65">
        <v>628200000</v>
      </c>
      <c r="H380" s="65">
        <v>451800000</v>
      </c>
      <c r="I380" s="65">
        <v>362900000</v>
      </c>
      <c r="J380" s="65">
        <v>249100000</v>
      </c>
      <c r="K380" s="65">
        <v>235000000</v>
      </c>
      <c r="L380" s="65">
        <v>228800000</v>
      </c>
      <c r="M380" s="65">
        <v>315700000</v>
      </c>
    </row>
    <row r="381" spans="2:13">
      <c r="B381" s="63" t="s">
        <v>976</v>
      </c>
      <c r="C381" s="64" t="s">
        <v>977</v>
      </c>
      <c r="D381" s="65">
        <v>0</v>
      </c>
      <c r="E381" s="65">
        <v>481000000</v>
      </c>
      <c r="F381" s="65">
        <v>390500000</v>
      </c>
      <c r="G381" s="65">
        <v>423400000</v>
      </c>
      <c r="H381" s="65">
        <v>290300000</v>
      </c>
      <c r="I381" s="65">
        <v>236700000</v>
      </c>
      <c r="J381" s="65">
        <v>333500000</v>
      </c>
      <c r="K381" s="65">
        <v>367500000</v>
      </c>
      <c r="L381" s="65">
        <v>467300000</v>
      </c>
      <c r="M381" s="65">
        <v>648100000</v>
      </c>
    </row>
    <row r="382" spans="2:13">
      <c r="B382" s="63" t="s">
        <v>978</v>
      </c>
      <c r="C382" s="64" t="s">
        <v>979</v>
      </c>
      <c r="D382" s="65">
        <v>0</v>
      </c>
      <c r="E382" s="65">
        <v>116500000</v>
      </c>
      <c r="F382" s="65">
        <v>153800000</v>
      </c>
      <c r="G382" s="65">
        <v>191200000</v>
      </c>
      <c r="H382" s="65">
        <v>54600000</v>
      </c>
      <c r="I382" s="65">
        <v>13200000</v>
      </c>
      <c r="J382" s="65">
        <v>3700000</v>
      </c>
      <c r="K382" s="65">
        <v>12400000</v>
      </c>
      <c r="L382" s="65">
        <v>2700000</v>
      </c>
      <c r="M382" s="65">
        <v>5200000</v>
      </c>
    </row>
    <row r="383" spans="2:13">
      <c r="B383" s="63" t="s">
        <v>980</v>
      </c>
      <c r="C383" s="64" t="s">
        <v>980</v>
      </c>
      <c r="D383" s="65">
        <v>0</v>
      </c>
      <c r="E383" s="65">
        <v>317100000</v>
      </c>
      <c r="F383" s="65">
        <v>254400000</v>
      </c>
      <c r="G383" s="65">
        <v>219100000</v>
      </c>
      <c r="H383" s="65">
        <v>210200000</v>
      </c>
      <c r="I383" s="65">
        <v>167700000</v>
      </c>
      <c r="J383" s="65">
        <v>196100000</v>
      </c>
      <c r="K383" s="65">
        <v>202600000</v>
      </c>
      <c r="L383" s="65">
        <v>231600000</v>
      </c>
      <c r="M383" s="65">
        <v>357700000</v>
      </c>
    </row>
    <row r="384" spans="2:13">
      <c r="B384" s="68" t="s">
        <v>981</v>
      </c>
    </row>
    <row r="385" spans="2:13">
      <c r="B385" s="69" t="s">
        <v>982</v>
      </c>
      <c r="C385" s="64" t="s">
        <v>983</v>
      </c>
      <c r="D385" s="65">
        <v>0</v>
      </c>
      <c r="E385" s="65">
        <v>306800000</v>
      </c>
      <c r="F385" s="65">
        <v>124400000</v>
      </c>
      <c r="G385" s="65">
        <v>107500000</v>
      </c>
      <c r="H385" s="65">
        <v>151300000</v>
      </c>
      <c r="I385" s="65">
        <v>186200000</v>
      </c>
      <c r="J385" s="65">
        <v>92100000</v>
      </c>
      <c r="K385" s="65">
        <v>157100000</v>
      </c>
      <c r="L385" s="65">
        <v>120300000</v>
      </c>
      <c r="M385" s="65">
        <v>153100000</v>
      </c>
    </row>
    <row r="386" spans="2:13">
      <c r="B386" s="76" t="s">
        <v>984</v>
      </c>
      <c r="C386" s="64" t="s">
        <v>985</v>
      </c>
      <c r="D386" s="67">
        <v>0</v>
      </c>
      <c r="E386" s="67">
        <v>306800000</v>
      </c>
      <c r="F386" s="67">
        <v>124400000</v>
      </c>
      <c r="G386" s="67">
        <v>107500000</v>
      </c>
      <c r="H386" s="67">
        <v>151300000</v>
      </c>
      <c r="I386" s="67">
        <v>186200000</v>
      </c>
      <c r="J386" s="67">
        <v>92100000</v>
      </c>
      <c r="K386" s="67">
        <v>157100000</v>
      </c>
      <c r="L386" s="67">
        <v>120300000</v>
      </c>
      <c r="M386" s="67">
        <v>153100000</v>
      </c>
    </row>
    <row r="387" spans="2:13">
      <c r="B387" s="63" t="s">
        <v>986</v>
      </c>
      <c r="C387" s="64" t="s">
        <v>987</v>
      </c>
      <c r="D387" s="65">
        <v>0</v>
      </c>
      <c r="E387" s="65">
        <v>236700000</v>
      </c>
      <c r="F387" s="65">
        <v>800000</v>
      </c>
      <c r="G387" s="65">
        <v>283400000</v>
      </c>
      <c r="H387" s="65">
        <v>17900000</v>
      </c>
      <c r="I387" s="65">
        <v>59600000</v>
      </c>
      <c r="J387" s="65">
        <v>41300000</v>
      </c>
      <c r="K387" s="65">
        <v>72300000</v>
      </c>
      <c r="L387" s="65">
        <v>101900000</v>
      </c>
      <c r="M387" s="65">
        <v>55100000</v>
      </c>
    </row>
    <row r="388" spans="2:13">
      <c r="B388" s="63" t="s">
        <v>988</v>
      </c>
      <c r="C388" s="64" t="s">
        <v>989</v>
      </c>
      <c r="D388" s="65">
        <v>0</v>
      </c>
      <c r="E388" s="65">
        <v>176300000</v>
      </c>
      <c r="F388" s="65">
        <v>167800000</v>
      </c>
      <c r="G388" s="65">
        <v>131200000</v>
      </c>
      <c r="H388" s="65">
        <v>119300000</v>
      </c>
      <c r="I388" s="65">
        <v>91600000</v>
      </c>
      <c r="J388" s="65">
        <v>82700000</v>
      </c>
      <c r="K388" s="65">
        <v>83000000</v>
      </c>
      <c r="L388" s="65">
        <v>99200000</v>
      </c>
      <c r="M388" s="65">
        <v>93000000</v>
      </c>
    </row>
    <row r="389" spans="2:13">
      <c r="B389" s="63" t="s">
        <v>990</v>
      </c>
      <c r="C389" s="64" t="s">
        <v>991</v>
      </c>
      <c r="D389" s="65">
        <v>0</v>
      </c>
      <c r="E389" s="65">
        <v>1332100000</v>
      </c>
      <c r="F389" s="65">
        <v>1145300000</v>
      </c>
      <c r="G389" s="65">
        <v>1107000000</v>
      </c>
      <c r="H389" s="65">
        <v>789000000</v>
      </c>
      <c r="I389" s="65">
        <v>575800000</v>
      </c>
      <c r="J389" s="65">
        <v>670000000</v>
      </c>
      <c r="K389" s="65">
        <v>864400000</v>
      </c>
      <c r="L389" s="65">
        <v>984600000</v>
      </c>
      <c r="M389" s="65">
        <v>1165200000</v>
      </c>
    </row>
    <row r="390" spans="2:13">
      <c r="B390" s="63" t="s">
        <v>992</v>
      </c>
      <c r="C390" s="64" t="s">
        <v>993</v>
      </c>
      <c r="D390" s="65">
        <v>0</v>
      </c>
      <c r="E390" s="65">
        <v>167000000</v>
      </c>
      <c r="F390" s="65">
        <v>139000000</v>
      </c>
      <c r="G390" s="65">
        <v>106100000</v>
      </c>
      <c r="H390" s="65">
        <v>20500000</v>
      </c>
      <c r="I390" s="65">
        <v>36700000</v>
      </c>
      <c r="J390" s="65">
        <v>54100000</v>
      </c>
      <c r="K390" s="65">
        <v>35500000</v>
      </c>
      <c r="L390" s="65">
        <v>107700000</v>
      </c>
      <c r="M390" s="65">
        <v>91300000</v>
      </c>
    </row>
    <row r="391" spans="2:13">
      <c r="B391" s="63" t="s">
        <v>994</v>
      </c>
      <c r="C391" s="64" t="s">
        <v>995</v>
      </c>
      <c r="D391" s="65">
        <v>0</v>
      </c>
      <c r="E391" s="65">
        <v>190100000</v>
      </c>
      <c r="F391" s="65">
        <v>99100000</v>
      </c>
      <c r="G391" s="65">
        <v>94800000</v>
      </c>
      <c r="H391" s="65">
        <v>8700000</v>
      </c>
      <c r="I391" s="65">
        <v>12700000</v>
      </c>
      <c r="J391" s="65">
        <v>14900000</v>
      </c>
      <c r="K391" s="65">
        <v>32200000</v>
      </c>
      <c r="L391" s="65">
        <v>91700000</v>
      </c>
      <c r="M391" s="65">
        <v>235800000</v>
      </c>
    </row>
    <row r="392" spans="2:13">
      <c r="B392" s="63" t="s">
        <v>996</v>
      </c>
      <c r="C392" s="64" t="s">
        <v>997</v>
      </c>
      <c r="D392" s="65">
        <v>0</v>
      </c>
      <c r="E392" s="65">
        <v>68800000</v>
      </c>
      <c r="F392" s="65">
        <v>127100000</v>
      </c>
      <c r="G392" s="65">
        <v>0</v>
      </c>
      <c r="H392" s="65">
        <v>0</v>
      </c>
      <c r="I392" s="65">
        <v>0</v>
      </c>
      <c r="J392" s="65">
        <v>0</v>
      </c>
      <c r="K392" s="65">
        <v>0</v>
      </c>
      <c r="L392" s="65">
        <v>0</v>
      </c>
      <c r="M392" s="65">
        <v>0</v>
      </c>
    </row>
    <row r="393" spans="2:13">
      <c r="B393" s="63" t="s">
        <v>998</v>
      </c>
      <c r="C393" s="64" t="s">
        <v>999</v>
      </c>
      <c r="D393" s="65">
        <v>0</v>
      </c>
      <c r="E393" s="65">
        <v>3320400000</v>
      </c>
      <c r="F393" s="65">
        <v>1724100000</v>
      </c>
      <c r="G393" s="65">
        <v>789700000</v>
      </c>
      <c r="H393" s="65">
        <v>298700000</v>
      </c>
      <c r="I393" s="65">
        <v>358700000</v>
      </c>
      <c r="J393" s="65">
        <v>673000000</v>
      </c>
      <c r="K393" s="65">
        <v>146500000</v>
      </c>
      <c r="L393" s="65">
        <v>80300000</v>
      </c>
      <c r="M393" s="65">
        <v>396300000</v>
      </c>
    </row>
    <row r="394" spans="2:13">
      <c r="B394" s="63" t="s">
        <v>1000</v>
      </c>
      <c r="C394" s="64" t="s">
        <v>1001</v>
      </c>
      <c r="D394" s="65">
        <v>0</v>
      </c>
      <c r="E394" s="65">
        <v>-201300000</v>
      </c>
      <c r="F394" s="65">
        <v>-263600000</v>
      </c>
      <c r="G394" s="65">
        <v>-147100000</v>
      </c>
      <c r="H394" s="65">
        <v>40000000</v>
      </c>
      <c r="I394" s="65">
        <v>24100000</v>
      </c>
      <c r="J394" s="65">
        <v>105300000</v>
      </c>
      <c r="K394" s="65">
        <v>13800000</v>
      </c>
      <c r="L394" s="65">
        <v>83100000</v>
      </c>
      <c r="M394" s="65">
        <v>62100000</v>
      </c>
    </row>
    <row r="395" spans="2:13">
      <c r="B395" s="68" t="s">
        <v>1002</v>
      </c>
    </row>
    <row r="396" spans="2:13">
      <c r="B396" s="69" t="s">
        <v>1003</v>
      </c>
      <c r="C396" s="64" t="s">
        <v>1004</v>
      </c>
      <c r="D396" s="65">
        <v>0</v>
      </c>
      <c r="E396" s="65">
        <v>43100000</v>
      </c>
      <c r="F396" s="65">
        <v>17600000</v>
      </c>
      <c r="G396" s="65">
        <v>31100000</v>
      </c>
      <c r="H396" s="65">
        <v>24100000</v>
      </c>
      <c r="I396" s="65">
        <v>28900000</v>
      </c>
      <c r="J396" s="65">
        <v>27700000</v>
      </c>
      <c r="K396" s="65">
        <v>23800000</v>
      </c>
      <c r="L396" s="65">
        <v>20800000</v>
      </c>
      <c r="M396" s="65">
        <v>23500000</v>
      </c>
    </row>
    <row r="397" spans="2:13">
      <c r="B397" s="76" t="s">
        <v>1005</v>
      </c>
      <c r="C397" s="64" t="s">
        <v>1006</v>
      </c>
      <c r="D397" s="67">
        <v>0</v>
      </c>
      <c r="E397" s="67">
        <v>43100000</v>
      </c>
      <c r="F397" s="67">
        <v>17600000</v>
      </c>
      <c r="G397" s="67">
        <v>31100000</v>
      </c>
      <c r="H397" s="67">
        <v>24100000</v>
      </c>
      <c r="I397" s="67">
        <v>28900000</v>
      </c>
      <c r="J397" s="67">
        <v>27700000</v>
      </c>
      <c r="K397" s="67">
        <v>23800000</v>
      </c>
      <c r="L397" s="67">
        <v>20800000</v>
      </c>
      <c r="M397" s="67">
        <v>23500000</v>
      </c>
    </row>
    <row r="398" spans="2:13">
      <c r="B398" s="63" t="s">
        <v>1007</v>
      </c>
      <c r="C398" s="64" t="s">
        <v>1008</v>
      </c>
      <c r="D398" s="65">
        <v>0</v>
      </c>
      <c r="E398" s="65">
        <v>5478100000</v>
      </c>
      <c r="F398" s="65">
        <v>6695800000</v>
      </c>
      <c r="G398" s="65">
        <v>5616500000</v>
      </c>
      <c r="H398" s="65">
        <v>7637300000</v>
      </c>
      <c r="I398" s="65">
        <v>3383500000</v>
      </c>
      <c r="J398" s="65">
        <v>3492800000</v>
      </c>
      <c r="K398" s="65">
        <v>3043200000</v>
      </c>
      <c r="L398" s="65">
        <v>3325300000</v>
      </c>
      <c r="M398" s="65">
        <v>5534200000</v>
      </c>
    </row>
    <row r="399" spans="2:13">
      <c r="B399" s="66" t="s">
        <v>124</v>
      </c>
      <c r="C399" s="64" t="s">
        <v>638</v>
      </c>
      <c r="D399" s="67">
        <v>0</v>
      </c>
      <c r="E399" s="67">
        <v>16256100000</v>
      </c>
      <c r="F399" s="67">
        <v>14103900000</v>
      </c>
      <c r="G399" s="67">
        <v>11609300000</v>
      </c>
      <c r="H399" s="67">
        <v>11628200000</v>
      </c>
      <c r="I399" s="67">
        <v>6809600000</v>
      </c>
      <c r="J399" s="67">
        <v>8154100000</v>
      </c>
      <c r="K399" s="67">
        <v>7467300000</v>
      </c>
      <c r="L399" s="67">
        <v>8151800000</v>
      </c>
      <c r="M399" s="67">
        <v>12043800000</v>
      </c>
    </row>
    <row r="402" spans="1:13" ht="15.5">
      <c r="B402" s="42" t="s">
        <v>1009</v>
      </c>
    </row>
    <row r="403" spans="1:13">
      <c r="B403" s="63" t="s">
        <v>1010</v>
      </c>
      <c r="C403" s="64" t="s">
        <v>1011</v>
      </c>
      <c r="D403" s="65">
        <v>0</v>
      </c>
      <c r="E403" s="65">
        <v>75700000</v>
      </c>
      <c r="F403" s="65">
        <v>-91200000</v>
      </c>
      <c r="G403" s="65">
        <v>-55900000</v>
      </c>
      <c r="H403" s="65">
        <v>7900000</v>
      </c>
      <c r="I403" s="65">
        <v>-21800000</v>
      </c>
      <c r="J403" s="65">
        <v>0</v>
      </c>
      <c r="K403" s="65">
        <v>0</v>
      </c>
      <c r="L403" s="65">
        <v>0</v>
      </c>
      <c r="M403" s="65">
        <v>0</v>
      </c>
    </row>
    <row r="404" spans="1:13">
      <c r="B404" s="63" t="s">
        <v>1012</v>
      </c>
      <c r="C404" s="64" t="s">
        <v>1013</v>
      </c>
      <c r="D404" s="65">
        <v>0</v>
      </c>
      <c r="E404" s="65">
        <v>41300000</v>
      </c>
      <c r="F404" s="65">
        <v>75600000</v>
      </c>
      <c r="G404" s="65">
        <v>86800000</v>
      </c>
      <c r="H404" s="65">
        <v>66500000</v>
      </c>
      <c r="I404" s="65">
        <v>68100000</v>
      </c>
      <c r="J404" s="65">
        <v>1840700000</v>
      </c>
      <c r="K404" s="65">
        <v>46100000</v>
      </c>
      <c r="L404" s="65">
        <v>29000000</v>
      </c>
      <c r="M404" s="65">
        <v>144200000</v>
      </c>
    </row>
    <row r="405" spans="1:13">
      <c r="B405" s="66" t="s">
        <v>131</v>
      </c>
      <c r="C405" s="64" t="s">
        <v>646</v>
      </c>
      <c r="D405" s="67">
        <v>0</v>
      </c>
      <c r="E405" s="67">
        <v>117000000</v>
      </c>
      <c r="F405" s="67">
        <v>-15600000</v>
      </c>
      <c r="G405" s="67">
        <v>30900000</v>
      </c>
      <c r="H405" s="67">
        <v>74400000</v>
      </c>
      <c r="I405" s="67">
        <v>46300000</v>
      </c>
      <c r="J405" s="67">
        <v>1840700000</v>
      </c>
      <c r="K405" s="67">
        <v>46100000</v>
      </c>
      <c r="L405" s="67">
        <v>29000000</v>
      </c>
      <c r="M405" s="67">
        <v>144200000</v>
      </c>
    </row>
    <row r="408" spans="1:13" ht="15.5">
      <c r="B408" s="42" t="s">
        <v>1014</v>
      </c>
    </row>
    <row r="409" spans="1:13">
      <c r="B409" s="63" t="s">
        <v>1015</v>
      </c>
      <c r="C409" s="64" t="s">
        <v>1016</v>
      </c>
      <c r="D409" s="65">
        <v>0</v>
      </c>
      <c r="E409" s="65">
        <v>900100000</v>
      </c>
      <c r="F409" s="65">
        <v>802700000</v>
      </c>
      <c r="G409" s="65">
        <v>632100000</v>
      </c>
      <c r="H409" s="65">
        <v>490200000</v>
      </c>
      <c r="I409" s="65">
        <v>478300000</v>
      </c>
      <c r="J409" s="65">
        <v>652700000</v>
      </c>
      <c r="K409" s="65">
        <v>667200000</v>
      </c>
      <c r="L409" s="65">
        <v>665500000</v>
      </c>
      <c r="M409" s="65">
        <v>769300000</v>
      </c>
    </row>
    <row r="410" spans="1:13">
      <c r="B410" s="66" t="s">
        <v>1017</v>
      </c>
      <c r="C410" s="64" t="s">
        <v>1018</v>
      </c>
      <c r="D410" s="67">
        <v>0</v>
      </c>
      <c r="E410" s="67">
        <v>900100000</v>
      </c>
      <c r="F410" s="67">
        <v>802700000</v>
      </c>
      <c r="G410" s="67">
        <v>632100000</v>
      </c>
      <c r="H410" s="67">
        <v>490200000</v>
      </c>
      <c r="I410" s="67">
        <v>478300000</v>
      </c>
      <c r="J410" s="67">
        <v>652700000</v>
      </c>
      <c r="K410" s="67">
        <v>667200000</v>
      </c>
      <c r="L410" s="67">
        <v>665500000</v>
      </c>
      <c r="M410" s="67">
        <v>769300000</v>
      </c>
    </row>
    <row r="413" spans="1:13" ht="15.5">
      <c r="A413" t="s">
        <v>27</v>
      </c>
      <c r="B413" s="42" t="s">
        <v>1019</v>
      </c>
    </row>
    <row r="415" spans="1:13">
      <c r="C415" s="62" t="s">
        <v>625</v>
      </c>
      <c r="D415" s="24" t="s">
        <v>30</v>
      </c>
      <c r="E415" s="24" t="s">
        <v>31</v>
      </c>
      <c r="F415" s="24" t="s">
        <v>32</v>
      </c>
      <c r="G415" s="24" t="s">
        <v>33</v>
      </c>
      <c r="H415" s="24" t="s">
        <v>34</v>
      </c>
      <c r="I415" s="24" t="s">
        <v>35</v>
      </c>
      <c r="J415" s="24" t="s">
        <v>36</v>
      </c>
      <c r="K415" s="24" t="s">
        <v>37</v>
      </c>
      <c r="L415" s="24" t="s">
        <v>38</v>
      </c>
      <c r="M415" s="24" t="s">
        <v>39</v>
      </c>
    </row>
    <row r="416" spans="1:13" ht="15.5">
      <c r="B416" s="42" t="s">
        <v>1020</v>
      </c>
    </row>
    <row r="417" spans="2:13">
      <c r="B417" s="68" t="s">
        <v>1021</v>
      </c>
    </row>
    <row r="418" spans="2:13">
      <c r="B418" s="70" t="s">
        <v>1022</v>
      </c>
    </row>
    <row r="419" spans="2:13">
      <c r="B419" s="71" t="s">
        <v>1023</v>
      </c>
      <c r="C419" s="64" t="s">
        <v>1024</v>
      </c>
      <c r="D419" s="65">
        <v>0</v>
      </c>
      <c r="E419" s="65">
        <v>3457700000</v>
      </c>
      <c r="F419" s="65">
        <v>3060000000</v>
      </c>
      <c r="G419" s="65">
        <v>1097500000</v>
      </c>
      <c r="H419" s="65">
        <v>1549900000</v>
      </c>
      <c r="I419" s="65">
        <v>1662600000</v>
      </c>
      <c r="J419" s="65">
        <v>1561500000</v>
      </c>
      <c r="K419" s="65">
        <v>1883200000</v>
      </c>
      <c r="L419" s="65">
        <v>1894400000</v>
      </c>
      <c r="M419" s="65">
        <v>2267600000</v>
      </c>
    </row>
    <row r="420" spans="2:13">
      <c r="B420" s="71" t="s">
        <v>1025</v>
      </c>
      <c r="C420" s="64" t="s">
        <v>1025</v>
      </c>
      <c r="D420" s="65">
        <v>0</v>
      </c>
      <c r="E420" s="65">
        <v>0</v>
      </c>
      <c r="F420" s="65">
        <v>0</v>
      </c>
      <c r="G420" s="65">
        <v>0</v>
      </c>
      <c r="H420" s="65">
        <v>0</v>
      </c>
      <c r="I420" s="65">
        <v>0</v>
      </c>
      <c r="J420" s="65">
        <v>0</v>
      </c>
      <c r="K420" s="65">
        <v>0</v>
      </c>
      <c r="L420" s="65">
        <v>0</v>
      </c>
      <c r="M420" s="65">
        <v>94800000</v>
      </c>
    </row>
    <row r="421" spans="2:13">
      <c r="B421" s="71" t="s">
        <v>1026</v>
      </c>
      <c r="C421" s="64" t="s">
        <v>1027</v>
      </c>
      <c r="D421" s="65">
        <v>0</v>
      </c>
      <c r="E421" s="65">
        <v>779800000</v>
      </c>
      <c r="F421" s="65">
        <v>1025600000</v>
      </c>
      <c r="G421" s="65">
        <v>2013500000</v>
      </c>
      <c r="H421" s="65">
        <v>2097800000</v>
      </c>
      <c r="I421" s="65">
        <v>15800000</v>
      </c>
      <c r="J421" s="65">
        <v>28500000</v>
      </c>
      <c r="K421" s="65">
        <v>33800000</v>
      </c>
      <c r="L421" s="65">
        <v>40600000</v>
      </c>
      <c r="M421" s="65">
        <v>0</v>
      </c>
    </row>
    <row r="422" spans="2:13">
      <c r="B422" s="74" t="s">
        <v>1028</v>
      </c>
      <c r="C422" s="64" t="s">
        <v>1029</v>
      </c>
      <c r="D422" s="67">
        <v>0</v>
      </c>
      <c r="E422" s="67">
        <v>4237500000</v>
      </c>
      <c r="F422" s="67">
        <v>4085600000</v>
      </c>
      <c r="G422" s="67">
        <v>3111000000</v>
      </c>
      <c r="H422" s="67">
        <v>3647700000</v>
      </c>
      <c r="I422" s="67">
        <v>1678400000</v>
      </c>
      <c r="J422" s="67">
        <v>1590000000</v>
      </c>
      <c r="K422" s="67">
        <v>1917000000</v>
      </c>
      <c r="L422" s="67">
        <v>1935000000</v>
      </c>
      <c r="M422" s="67">
        <v>2362400000</v>
      </c>
    </row>
    <row r="423" spans="2:13">
      <c r="B423" s="70" t="s">
        <v>1030</v>
      </c>
    </row>
    <row r="424" spans="2:13">
      <c r="B424" s="71" t="s">
        <v>1031</v>
      </c>
      <c r="C424" s="64" t="s">
        <v>1032</v>
      </c>
      <c r="D424" s="65">
        <v>0</v>
      </c>
      <c r="E424" s="65">
        <v>1095700000</v>
      </c>
      <c r="F424" s="65">
        <v>754600000</v>
      </c>
      <c r="G424" s="65">
        <v>569000000</v>
      </c>
      <c r="H424" s="65">
        <v>196000000</v>
      </c>
      <c r="I424" s="65">
        <v>188700000</v>
      </c>
      <c r="J424" s="65">
        <v>267400000</v>
      </c>
      <c r="K424" s="65">
        <v>187900000</v>
      </c>
      <c r="L424" s="65">
        <v>299500000</v>
      </c>
      <c r="M424" s="65">
        <v>1488900000</v>
      </c>
    </row>
    <row r="425" spans="2:13">
      <c r="B425" s="71" t="s">
        <v>1033</v>
      </c>
      <c r="C425" s="64" t="s">
        <v>1034</v>
      </c>
      <c r="D425" s="65">
        <v>0</v>
      </c>
      <c r="E425" s="65">
        <v>5163000000</v>
      </c>
      <c r="F425" s="65">
        <v>4050000000</v>
      </c>
      <c r="G425" s="65">
        <v>4050000000</v>
      </c>
      <c r="H425" s="65">
        <v>0</v>
      </c>
      <c r="I425" s="65">
        <v>0</v>
      </c>
      <c r="J425" s="65">
        <v>0</v>
      </c>
      <c r="K425" s="65">
        <v>0</v>
      </c>
      <c r="L425" s="65">
        <v>0</v>
      </c>
      <c r="M425" s="65">
        <v>0</v>
      </c>
    </row>
    <row r="426" spans="2:13">
      <c r="B426" s="74" t="s">
        <v>1035</v>
      </c>
      <c r="C426" s="64" t="s">
        <v>1036</v>
      </c>
      <c r="D426" s="67">
        <v>0</v>
      </c>
      <c r="E426" s="67">
        <v>6258700000</v>
      </c>
      <c r="F426" s="67">
        <v>4804600000</v>
      </c>
      <c r="G426" s="67">
        <v>4619000000</v>
      </c>
      <c r="H426" s="67">
        <v>196000000</v>
      </c>
      <c r="I426" s="67">
        <v>188700000</v>
      </c>
      <c r="J426" s="67">
        <v>267400000</v>
      </c>
      <c r="K426" s="67">
        <v>187900000</v>
      </c>
      <c r="L426" s="67">
        <v>299500000</v>
      </c>
      <c r="M426" s="67">
        <v>1488900000</v>
      </c>
    </row>
    <row r="427" spans="2:13">
      <c r="B427" s="76" t="s">
        <v>1037</v>
      </c>
      <c r="C427" s="64" t="s">
        <v>1038</v>
      </c>
      <c r="D427" s="67">
        <v>0</v>
      </c>
      <c r="E427" s="67">
        <v>10496200000</v>
      </c>
      <c r="F427" s="67">
        <v>8890200000</v>
      </c>
      <c r="G427" s="67">
        <v>7730000000</v>
      </c>
      <c r="H427" s="67">
        <v>3843700000</v>
      </c>
      <c r="I427" s="67">
        <v>1867100000</v>
      </c>
      <c r="J427" s="67">
        <v>1857400000</v>
      </c>
      <c r="K427" s="67">
        <v>2104900000</v>
      </c>
      <c r="L427" s="67">
        <v>2234500000</v>
      </c>
      <c r="M427" s="67">
        <v>3851300000</v>
      </c>
    </row>
    <row r="428" spans="2:13">
      <c r="B428" s="68" t="s">
        <v>1039</v>
      </c>
    </row>
    <row r="429" spans="2:13">
      <c r="B429" s="80" t="s">
        <v>140</v>
      </c>
      <c r="C429" s="64" t="s">
        <v>697</v>
      </c>
      <c r="D429" s="65">
        <v>0</v>
      </c>
      <c r="E429" s="65">
        <v>1185600000</v>
      </c>
      <c r="F429" s="65">
        <v>1734200000</v>
      </c>
      <c r="G429" s="65">
        <v>2183300000</v>
      </c>
      <c r="H429" s="65">
        <v>1100800000</v>
      </c>
      <c r="I429" s="65">
        <v>1039300000</v>
      </c>
      <c r="J429" s="65">
        <v>152100000</v>
      </c>
      <c r="K429" s="65">
        <v>25700000</v>
      </c>
      <c r="L429" s="65">
        <v>162100000</v>
      </c>
      <c r="M429" s="65">
        <v>886700000</v>
      </c>
    </row>
    <row r="430" spans="2:13">
      <c r="B430" s="80" t="s">
        <v>143</v>
      </c>
      <c r="C430" s="64" t="s">
        <v>701</v>
      </c>
      <c r="D430" s="65">
        <v>0</v>
      </c>
      <c r="E430" s="65">
        <v>874300000</v>
      </c>
      <c r="F430" s="65">
        <v>1798200000</v>
      </c>
      <c r="G430" s="65">
        <v>104100000</v>
      </c>
      <c r="H430" s="65">
        <v>123000000</v>
      </c>
      <c r="I430" s="65">
        <v>35200000</v>
      </c>
      <c r="J430" s="65">
        <v>44200000</v>
      </c>
      <c r="K430" s="65">
        <v>34300000</v>
      </c>
      <c r="L430" s="65">
        <v>35100000</v>
      </c>
      <c r="M430" s="65">
        <v>164300000</v>
      </c>
    </row>
    <row r="435" spans="1:13" ht="15.5">
      <c r="A435" t="s">
        <v>27</v>
      </c>
      <c r="B435" s="42" t="s">
        <v>1040</v>
      </c>
    </row>
    <row r="437" spans="1:13">
      <c r="C437" s="62" t="s">
        <v>625</v>
      </c>
      <c r="D437" s="24" t="s">
        <v>30</v>
      </c>
      <c r="E437" s="24" t="s">
        <v>31</v>
      </c>
      <c r="F437" s="24" t="s">
        <v>32</v>
      </c>
      <c r="G437" s="24" t="s">
        <v>33</v>
      </c>
      <c r="H437" s="24" t="s">
        <v>34</v>
      </c>
      <c r="I437" s="24" t="s">
        <v>35</v>
      </c>
      <c r="J437" s="24" t="s">
        <v>36</v>
      </c>
      <c r="K437" s="24" t="s">
        <v>37</v>
      </c>
      <c r="L437" s="24" t="s">
        <v>38</v>
      </c>
      <c r="M437" s="24" t="s">
        <v>39</v>
      </c>
    </row>
    <row r="438" spans="1:13" ht="15.5">
      <c r="B438" s="42" t="s">
        <v>1041</v>
      </c>
    </row>
    <row r="439" spans="1:13">
      <c r="B439" s="68" t="s">
        <v>1042</v>
      </c>
    </row>
    <row r="440" spans="1:13">
      <c r="B440" s="70" t="s">
        <v>1043</v>
      </c>
    </row>
    <row r="441" spans="1:13">
      <c r="B441" s="71" t="s">
        <v>161</v>
      </c>
      <c r="C441" s="64" t="s">
        <v>715</v>
      </c>
      <c r="D441" s="65">
        <v>0</v>
      </c>
      <c r="E441" s="65">
        <v>4811000000</v>
      </c>
      <c r="F441" s="65">
        <v>0</v>
      </c>
      <c r="G441" s="65">
        <v>0</v>
      </c>
      <c r="H441" s="65">
        <v>0</v>
      </c>
      <c r="I441" s="65">
        <v>0</v>
      </c>
      <c r="J441" s="65">
        <v>0</v>
      </c>
      <c r="K441" s="65">
        <v>0</v>
      </c>
      <c r="L441" s="65">
        <v>83500000</v>
      </c>
      <c r="M441" s="65">
        <v>429100000</v>
      </c>
    </row>
    <row r="442" spans="1:13">
      <c r="B442" s="63" t="s">
        <v>1044</v>
      </c>
      <c r="C442" s="64" t="s">
        <v>1045</v>
      </c>
      <c r="D442" s="65">
        <v>0</v>
      </c>
      <c r="E442" s="65">
        <v>4811000000</v>
      </c>
      <c r="F442" s="65">
        <v>0</v>
      </c>
      <c r="G442" s="65">
        <v>0</v>
      </c>
      <c r="H442" s="65">
        <v>0</v>
      </c>
      <c r="I442" s="65">
        <v>0</v>
      </c>
      <c r="J442" s="65">
        <v>0</v>
      </c>
      <c r="K442" s="65">
        <v>0</v>
      </c>
      <c r="L442" s="65">
        <v>0</v>
      </c>
      <c r="M442" s="65">
        <v>0</v>
      </c>
    </row>
    <row r="443" spans="1:13">
      <c r="B443" s="63" t="s">
        <v>1046</v>
      </c>
      <c r="C443" s="64" t="s">
        <v>1047</v>
      </c>
      <c r="D443" s="65">
        <v>0</v>
      </c>
      <c r="E443" s="65">
        <v>4811000000</v>
      </c>
      <c r="F443" s="65">
        <v>0</v>
      </c>
      <c r="G443" s="65">
        <v>0</v>
      </c>
      <c r="H443" s="65">
        <v>0</v>
      </c>
      <c r="I443" s="65">
        <v>0</v>
      </c>
      <c r="J443" s="65">
        <v>0</v>
      </c>
      <c r="K443" s="65">
        <v>0</v>
      </c>
      <c r="L443" s="65">
        <v>0</v>
      </c>
      <c r="M443" s="65">
        <v>0</v>
      </c>
    </row>
    <row r="444" spans="1:13">
      <c r="B444" s="63" t="s">
        <v>1048</v>
      </c>
      <c r="C444" s="64" t="s">
        <v>1049</v>
      </c>
      <c r="D444" s="65">
        <v>0</v>
      </c>
      <c r="E444" s="65">
        <v>0</v>
      </c>
      <c r="F444" s="65">
        <v>0</v>
      </c>
      <c r="G444" s="65">
        <v>0</v>
      </c>
      <c r="H444" s="65">
        <v>0</v>
      </c>
      <c r="I444" s="65">
        <v>0</v>
      </c>
      <c r="J444" s="65">
        <v>0</v>
      </c>
      <c r="K444" s="65">
        <v>0</v>
      </c>
      <c r="L444" s="65">
        <v>83500000</v>
      </c>
      <c r="M444" s="65">
        <v>429100000</v>
      </c>
    </row>
    <row r="447" spans="1:13" ht="15.5">
      <c r="A447" t="s">
        <v>27</v>
      </c>
      <c r="B447" s="42" t="s">
        <v>1050</v>
      </c>
    </row>
    <row r="449" spans="2:13">
      <c r="C449" s="62" t="s">
        <v>625</v>
      </c>
      <c r="D449" s="24" t="s">
        <v>30</v>
      </c>
      <c r="E449" s="24" t="s">
        <v>31</v>
      </c>
      <c r="F449" s="24" t="s">
        <v>32</v>
      </c>
      <c r="G449" s="24" t="s">
        <v>33</v>
      </c>
      <c r="H449" s="24" t="s">
        <v>34</v>
      </c>
      <c r="I449" s="24" t="s">
        <v>35</v>
      </c>
      <c r="J449" s="24" t="s">
        <v>36</v>
      </c>
      <c r="K449" s="24" t="s">
        <v>37</v>
      </c>
      <c r="L449" s="24" t="s">
        <v>38</v>
      </c>
      <c r="M449" s="24" t="s">
        <v>39</v>
      </c>
    </row>
    <row r="450" spans="2:13" ht="15.5">
      <c r="B450" s="42" t="s">
        <v>1051</v>
      </c>
    </row>
    <row r="451" spans="2:13">
      <c r="B451" s="68" t="s">
        <v>1052</v>
      </c>
    </row>
    <row r="452" spans="2:13">
      <c r="B452" s="69" t="s">
        <v>1053</v>
      </c>
      <c r="C452" s="64" t="s">
        <v>1054</v>
      </c>
      <c r="D452" s="65">
        <v>0</v>
      </c>
      <c r="E452" s="65">
        <v>12490000000</v>
      </c>
      <c r="F452" s="65">
        <v>12490000000</v>
      </c>
      <c r="G452" s="65">
        <v>12490000000</v>
      </c>
      <c r="H452" s="65">
        <v>12490000000</v>
      </c>
      <c r="I452" s="65">
        <v>46000000000</v>
      </c>
      <c r="J452" s="65">
        <v>55000000000</v>
      </c>
      <c r="K452" s="65">
        <v>55000000000</v>
      </c>
      <c r="L452" s="65">
        <v>55000000000</v>
      </c>
      <c r="M452" s="65">
        <v>105265000000</v>
      </c>
    </row>
    <row r="453" spans="2:13">
      <c r="B453" s="69" t="s">
        <v>1055</v>
      </c>
      <c r="C453" s="64" t="s">
        <v>1056</v>
      </c>
      <c r="D453" s="65">
        <v>0</v>
      </c>
      <c r="E453" s="65">
        <v>24980000000</v>
      </c>
      <c r="F453" s="65">
        <v>24980000000</v>
      </c>
      <c r="G453" s="65">
        <v>24980000000</v>
      </c>
      <c r="H453" s="65">
        <v>24980000000</v>
      </c>
      <c r="I453" s="65">
        <v>92000000000</v>
      </c>
      <c r="J453" s="65">
        <v>110000000000</v>
      </c>
      <c r="K453" s="65">
        <v>110000000000</v>
      </c>
      <c r="L453" s="65">
        <v>110000000000</v>
      </c>
      <c r="M453" s="65">
        <v>210530000000</v>
      </c>
    </row>
    <row r="454" spans="2:13">
      <c r="B454" s="69" t="s">
        <v>1057</v>
      </c>
      <c r="C454" s="64" t="s">
        <v>1058</v>
      </c>
      <c r="D454" s="65">
        <v>0</v>
      </c>
      <c r="E454" s="65">
        <v>5043330927</v>
      </c>
      <c r="F454" s="65">
        <v>5338706098</v>
      </c>
      <c r="G454" s="65">
        <v>5338706098</v>
      </c>
      <c r="H454" s="65">
        <v>5338706098</v>
      </c>
      <c r="I454" s="65">
        <v>8526944750</v>
      </c>
      <c r="J454" s="65">
        <v>9236376014</v>
      </c>
      <c r="K454" s="65">
        <v>12492019060</v>
      </c>
      <c r="L454" s="65">
        <v>13631620199</v>
      </c>
      <c r="M454" s="65">
        <v>13675852549</v>
      </c>
    </row>
    <row r="455" spans="2:13">
      <c r="B455" s="69" t="s">
        <v>1059</v>
      </c>
      <c r="C455" s="64" t="s">
        <v>1060</v>
      </c>
      <c r="D455" s="65">
        <v>0</v>
      </c>
      <c r="E455" s="65">
        <v>10086700000</v>
      </c>
      <c r="F455" s="65">
        <v>10677400000</v>
      </c>
      <c r="G455" s="65">
        <v>10677400000</v>
      </c>
      <c r="H455" s="65">
        <v>10677400000</v>
      </c>
      <c r="I455" s="65">
        <v>17053900000</v>
      </c>
      <c r="J455" s="65">
        <v>18472800000</v>
      </c>
      <c r="K455" s="65">
        <v>24984000000</v>
      </c>
      <c r="L455" s="65">
        <v>27263240398</v>
      </c>
      <c r="M455" s="65">
        <v>27351705098</v>
      </c>
    </row>
    <row r="456" spans="2:13">
      <c r="B456" s="69" t="s">
        <v>1061</v>
      </c>
      <c r="C456" s="64" t="s">
        <v>1062</v>
      </c>
      <c r="D456" s="65">
        <v>0</v>
      </c>
      <c r="E456" s="65">
        <v>5024398950</v>
      </c>
      <c r="F456" s="65">
        <v>5319774121</v>
      </c>
      <c r="G456" s="65">
        <v>5319774121</v>
      </c>
      <c r="H456" s="65">
        <v>5319774121</v>
      </c>
      <c r="I456" s="65">
        <v>8508012773</v>
      </c>
      <c r="J456" s="65">
        <v>9217444037</v>
      </c>
      <c r="K456" s="65">
        <v>12070909026</v>
      </c>
      <c r="L456" s="65">
        <v>13604494159</v>
      </c>
      <c r="M456" s="65">
        <v>13656920572</v>
      </c>
    </row>
    <row r="457" spans="2:13">
      <c r="B457" s="69" t="s">
        <v>1063</v>
      </c>
      <c r="C457" s="64" t="s">
        <v>1064</v>
      </c>
      <c r="D457" s="65">
        <v>0</v>
      </c>
      <c r="E457" s="65">
        <v>10048800000</v>
      </c>
      <c r="F457" s="65">
        <v>10639500000</v>
      </c>
      <c r="G457" s="65">
        <v>10639500000</v>
      </c>
      <c r="H457" s="65">
        <v>10639500000</v>
      </c>
      <c r="I457" s="65">
        <v>17016000000</v>
      </c>
      <c r="J457" s="65">
        <v>18434900000</v>
      </c>
      <c r="K457" s="65">
        <v>24141800000</v>
      </c>
      <c r="L457" s="65">
        <v>27209000000</v>
      </c>
      <c r="M457" s="65">
        <v>27310000000</v>
      </c>
    </row>
    <row r="458" spans="2:13">
      <c r="B458" s="69" t="s">
        <v>1065</v>
      </c>
      <c r="C458" s="64" t="s">
        <v>1066</v>
      </c>
      <c r="D458" s="65">
        <v>0</v>
      </c>
      <c r="E458" s="65">
        <v>0</v>
      </c>
      <c r="F458" s="65">
        <v>0</v>
      </c>
      <c r="G458" s="65">
        <v>0</v>
      </c>
      <c r="H458" s="65">
        <v>0</v>
      </c>
      <c r="I458" s="65">
        <v>0</v>
      </c>
      <c r="J458" s="65">
        <v>0</v>
      </c>
      <c r="K458" s="65">
        <v>402178057</v>
      </c>
      <c r="L458" s="65">
        <v>8194063</v>
      </c>
      <c r="M458" s="65">
        <v>0</v>
      </c>
    </row>
    <row r="459" spans="2:13">
      <c r="B459" s="69" t="s">
        <v>1067</v>
      </c>
      <c r="C459" s="64" t="s">
        <v>1068</v>
      </c>
      <c r="D459" s="65">
        <v>0</v>
      </c>
      <c r="E459" s="65">
        <v>0</v>
      </c>
      <c r="F459" s="65">
        <v>0</v>
      </c>
      <c r="G459" s="65">
        <v>0</v>
      </c>
      <c r="H459" s="65">
        <v>0</v>
      </c>
      <c r="I459" s="65">
        <v>0</v>
      </c>
      <c r="J459" s="65">
        <v>0</v>
      </c>
      <c r="K459" s="65">
        <v>402200000</v>
      </c>
      <c r="L459" s="65">
        <v>16400000</v>
      </c>
      <c r="M459" s="65">
        <v>0</v>
      </c>
    </row>
    <row r="460" spans="2:13">
      <c r="B460" s="76" t="s">
        <v>1069</v>
      </c>
      <c r="C460" s="64" t="s">
        <v>1070</v>
      </c>
      <c r="D460" s="67">
        <v>0</v>
      </c>
      <c r="E460" s="67">
        <v>5024398950</v>
      </c>
      <c r="F460" s="67">
        <v>5319774121</v>
      </c>
      <c r="G460" s="67">
        <v>5319774121</v>
      </c>
      <c r="H460" s="67">
        <v>5319774121</v>
      </c>
      <c r="I460" s="67">
        <v>8508012773</v>
      </c>
      <c r="J460" s="67">
        <v>9217444037</v>
      </c>
      <c r="K460" s="67">
        <v>12473087083</v>
      </c>
      <c r="L460" s="67">
        <v>13612688222</v>
      </c>
      <c r="M460" s="67">
        <v>13656920572</v>
      </c>
    </row>
    <row r="461" spans="2:13">
      <c r="B461" s="76" t="s">
        <v>1071</v>
      </c>
      <c r="C461" s="64" t="s">
        <v>1072</v>
      </c>
      <c r="D461" s="67">
        <v>0</v>
      </c>
      <c r="E461" s="67">
        <v>10048800000</v>
      </c>
      <c r="F461" s="67">
        <v>10639500000</v>
      </c>
      <c r="G461" s="67">
        <v>10639500000</v>
      </c>
      <c r="H461" s="67">
        <v>10639500000</v>
      </c>
      <c r="I461" s="67">
        <v>17016000000</v>
      </c>
      <c r="J461" s="67">
        <v>18434900000</v>
      </c>
      <c r="K461" s="67">
        <v>24544000000</v>
      </c>
      <c r="L461" s="67">
        <v>27225400000</v>
      </c>
      <c r="M461" s="67">
        <v>27310000000</v>
      </c>
    </row>
    <row r="462" spans="2:13">
      <c r="B462" s="70" t="s">
        <v>1073</v>
      </c>
    </row>
    <row r="463" spans="2:13">
      <c r="B463" s="71" t="s">
        <v>1074</v>
      </c>
      <c r="C463" s="64" t="s">
        <v>1075</v>
      </c>
      <c r="D463" s="65">
        <v>0</v>
      </c>
      <c r="E463" s="65">
        <v>5024398950</v>
      </c>
      <c r="F463" s="65">
        <v>5319774121</v>
      </c>
      <c r="G463" s="65">
        <v>5319774121</v>
      </c>
      <c r="H463" s="65">
        <v>5319774121</v>
      </c>
      <c r="I463" s="65">
        <v>8508012773</v>
      </c>
      <c r="J463" s="65">
        <v>9217444037</v>
      </c>
      <c r="K463" s="65">
        <v>12473087083</v>
      </c>
      <c r="L463" s="65">
        <v>13612688222</v>
      </c>
      <c r="M463" s="65">
        <v>13648726509</v>
      </c>
    </row>
    <row r="464" spans="2:13">
      <c r="B464" s="71" t="s">
        <v>1076</v>
      </c>
      <c r="C464" s="64" t="s">
        <v>1077</v>
      </c>
      <c r="D464" s="65">
        <v>0</v>
      </c>
      <c r="E464" s="65">
        <v>10048800000</v>
      </c>
      <c r="F464" s="65">
        <v>10639500000</v>
      </c>
      <c r="G464" s="65">
        <v>10639500000</v>
      </c>
      <c r="H464" s="65">
        <v>10639500000</v>
      </c>
      <c r="I464" s="65">
        <v>17016000000</v>
      </c>
      <c r="J464" s="65">
        <v>18434900000</v>
      </c>
      <c r="K464" s="65">
        <v>24544000000</v>
      </c>
      <c r="L464" s="65">
        <v>27217200000</v>
      </c>
      <c r="M464" s="65">
        <v>27297500000</v>
      </c>
    </row>
    <row r="465" spans="2:13">
      <c r="B465" s="71" t="s">
        <v>1078</v>
      </c>
      <c r="C465" s="64" t="s">
        <v>1079</v>
      </c>
      <c r="D465" s="65">
        <v>0</v>
      </c>
      <c r="E465" s="65">
        <v>0</v>
      </c>
      <c r="F465" s="65">
        <v>0</v>
      </c>
      <c r="G465" s="65">
        <v>0</v>
      </c>
      <c r="H465" s="65">
        <v>0</v>
      </c>
      <c r="I465" s="65">
        <v>0</v>
      </c>
      <c r="J465" s="65">
        <v>0</v>
      </c>
      <c r="K465" s="65">
        <v>0</v>
      </c>
      <c r="L465" s="65">
        <v>0</v>
      </c>
      <c r="M465" s="65">
        <v>20400000</v>
      </c>
    </row>
    <row r="466" spans="2:13">
      <c r="B466" s="74" t="s">
        <v>1080</v>
      </c>
      <c r="C466" s="64" t="s">
        <v>1081</v>
      </c>
      <c r="D466" s="67">
        <v>0</v>
      </c>
      <c r="E466" s="67">
        <v>10048800000</v>
      </c>
      <c r="F466" s="67">
        <v>10639500000</v>
      </c>
      <c r="G466" s="67">
        <v>10639500000</v>
      </c>
      <c r="H466" s="67">
        <v>10639500000</v>
      </c>
      <c r="I466" s="67">
        <v>17016000000</v>
      </c>
      <c r="J466" s="67">
        <v>18434900000</v>
      </c>
      <c r="K466" s="67">
        <v>24544000000</v>
      </c>
      <c r="L466" s="67">
        <v>27217200000</v>
      </c>
      <c r="M466" s="67">
        <v>27317900000</v>
      </c>
    </row>
    <row r="467" spans="2:13">
      <c r="B467" s="70" t="s">
        <v>1082</v>
      </c>
    </row>
    <row r="468" spans="2:13">
      <c r="B468" s="71" t="s">
        <v>1083</v>
      </c>
      <c r="C468" s="64" t="s">
        <v>1084</v>
      </c>
      <c r="D468" s="65">
        <v>0</v>
      </c>
      <c r="E468" s="65">
        <v>5024398950</v>
      </c>
      <c r="F468" s="65">
        <v>5319774121</v>
      </c>
      <c r="G468" s="65">
        <v>5319774121</v>
      </c>
      <c r="H468" s="65">
        <v>5319774121</v>
      </c>
      <c r="I468" s="65">
        <v>8508012773</v>
      </c>
      <c r="J468" s="65">
        <v>9217444037</v>
      </c>
      <c r="K468" s="65">
        <v>12473087083</v>
      </c>
      <c r="L468" s="65">
        <v>13612688222</v>
      </c>
      <c r="M468" s="65">
        <v>13648726509</v>
      </c>
    </row>
    <row r="469" spans="2:13">
      <c r="B469" s="72" t="s">
        <v>1085</v>
      </c>
    </row>
    <row r="470" spans="2:13">
      <c r="B470" s="77" t="s">
        <v>1086</v>
      </c>
    </row>
    <row r="471" spans="2:13">
      <c r="B471" s="78" t="s">
        <v>1087</v>
      </c>
      <c r="C471" s="64" t="s">
        <v>1088</v>
      </c>
      <c r="D471" s="67">
        <v>0</v>
      </c>
      <c r="E471" s="67">
        <v>3895536</v>
      </c>
      <c r="F471" s="67">
        <v>295375171</v>
      </c>
      <c r="G471" s="67">
        <v>0</v>
      </c>
      <c r="H471" s="67">
        <v>0</v>
      </c>
      <c r="I471" s="67">
        <v>3188238652</v>
      </c>
      <c r="J471" s="67">
        <v>709431264</v>
      </c>
      <c r="K471" s="67">
        <v>3255643046</v>
      </c>
      <c r="L471" s="67">
        <v>1139601139</v>
      </c>
      <c r="M471" s="67">
        <v>44232350</v>
      </c>
    </row>
    <row r="472" spans="2:13">
      <c r="B472" s="77" t="s">
        <v>1089</v>
      </c>
    </row>
    <row r="473" spans="2:13">
      <c r="B473" s="78" t="s">
        <v>1090</v>
      </c>
      <c r="C473" s="64" t="s">
        <v>1091</v>
      </c>
      <c r="D473" s="67">
        <v>0</v>
      </c>
      <c r="E473" s="67">
        <v>0</v>
      </c>
      <c r="F473" s="67">
        <v>0</v>
      </c>
      <c r="G473" s="67">
        <v>0</v>
      </c>
      <c r="H473" s="67">
        <v>0</v>
      </c>
      <c r="I473" s="67">
        <v>0</v>
      </c>
      <c r="J473" s="67">
        <v>0</v>
      </c>
      <c r="K473" s="67">
        <v>0</v>
      </c>
      <c r="L473" s="67">
        <v>0</v>
      </c>
      <c r="M473" s="67">
        <v>8194063</v>
      </c>
    </row>
    <row r="474" spans="2:13">
      <c r="B474" s="75" t="s">
        <v>1092</v>
      </c>
      <c r="C474" s="64" t="s">
        <v>1093</v>
      </c>
      <c r="D474" s="67">
        <v>0</v>
      </c>
      <c r="E474" s="67">
        <v>3895536</v>
      </c>
      <c r="F474" s="67">
        <v>295375171</v>
      </c>
      <c r="G474" s="67">
        <v>0</v>
      </c>
      <c r="H474" s="67">
        <v>0</v>
      </c>
      <c r="I474" s="67">
        <v>3188238652</v>
      </c>
      <c r="J474" s="67">
        <v>709431264</v>
      </c>
      <c r="K474" s="67">
        <v>3255643046</v>
      </c>
      <c r="L474" s="67">
        <v>1139601139</v>
      </c>
      <c r="M474" s="67">
        <v>36038287</v>
      </c>
    </row>
    <row r="475" spans="2:13">
      <c r="B475" s="71" t="s">
        <v>1083</v>
      </c>
      <c r="C475" s="64" t="s">
        <v>1084</v>
      </c>
      <c r="D475" s="65">
        <v>0</v>
      </c>
      <c r="E475" s="65">
        <v>5024398950</v>
      </c>
      <c r="F475" s="65">
        <v>5319774121</v>
      </c>
      <c r="G475" s="65">
        <v>5319774121</v>
      </c>
      <c r="H475" s="65">
        <v>5319774121</v>
      </c>
      <c r="I475" s="65">
        <v>8508012773</v>
      </c>
      <c r="J475" s="65">
        <v>9217444037</v>
      </c>
      <c r="K475" s="65">
        <v>12473087083</v>
      </c>
      <c r="L475" s="65">
        <v>13612688222</v>
      </c>
      <c r="M475" s="65">
        <v>13648726509</v>
      </c>
    </row>
    <row r="476" spans="2:13">
      <c r="B476" s="70" t="s">
        <v>1094</v>
      </c>
    </row>
    <row r="477" spans="2:13">
      <c r="B477" s="71" t="s">
        <v>172</v>
      </c>
      <c r="C477" s="64" t="s">
        <v>731</v>
      </c>
      <c r="D477" s="65">
        <v>0</v>
      </c>
      <c r="E477" s="65">
        <v>10048800000</v>
      </c>
      <c r="F477" s="65">
        <v>10639500000</v>
      </c>
      <c r="G477" s="65">
        <v>10639500000</v>
      </c>
      <c r="H477" s="65">
        <v>10639500000</v>
      </c>
      <c r="I477" s="65">
        <v>17016000000</v>
      </c>
      <c r="J477" s="65">
        <v>18434900000</v>
      </c>
      <c r="K477" s="65">
        <v>24544000000</v>
      </c>
      <c r="L477" s="65">
        <v>27217200000</v>
      </c>
      <c r="M477" s="65">
        <v>27317900000</v>
      </c>
    </row>
    <row r="478" spans="2:13">
      <c r="B478" s="72" t="s">
        <v>1095</v>
      </c>
    </row>
    <row r="479" spans="2:13">
      <c r="B479" s="77" t="s">
        <v>1096</v>
      </c>
    </row>
    <row r="480" spans="2:13">
      <c r="B480" s="80" t="s">
        <v>1097</v>
      </c>
      <c r="C480" s="64" t="s">
        <v>1098</v>
      </c>
      <c r="D480" s="65">
        <v>0</v>
      </c>
      <c r="E480" s="65">
        <v>0</v>
      </c>
      <c r="F480" s="65">
        <v>0</v>
      </c>
      <c r="G480" s="65">
        <v>0</v>
      </c>
      <c r="H480" s="65">
        <v>0</v>
      </c>
      <c r="I480" s="65">
        <v>0</v>
      </c>
      <c r="J480" s="65">
        <v>0</v>
      </c>
      <c r="K480" s="65">
        <v>4397800000</v>
      </c>
      <c r="L480" s="65">
        <v>394000000</v>
      </c>
      <c r="M480" s="65">
        <v>0</v>
      </c>
    </row>
    <row r="481" spans="1:13">
      <c r="B481" s="80" t="s">
        <v>1099</v>
      </c>
      <c r="C481" s="64" t="s">
        <v>1100</v>
      </c>
      <c r="D481" s="65">
        <v>0</v>
      </c>
      <c r="E481" s="65">
        <v>7800000</v>
      </c>
      <c r="F481" s="65">
        <v>0</v>
      </c>
      <c r="G481" s="65">
        <v>0</v>
      </c>
      <c r="H481" s="65">
        <v>0</v>
      </c>
      <c r="I481" s="65">
        <v>0</v>
      </c>
      <c r="J481" s="65">
        <v>408000000</v>
      </c>
      <c r="K481" s="65">
        <v>1142900000</v>
      </c>
      <c r="L481" s="65">
        <v>0</v>
      </c>
      <c r="M481" s="65">
        <v>0</v>
      </c>
    </row>
    <row r="482" spans="1:13">
      <c r="B482" s="80" t="s">
        <v>1101</v>
      </c>
      <c r="C482" s="64" t="s">
        <v>1102</v>
      </c>
      <c r="D482" s="65">
        <v>0</v>
      </c>
      <c r="E482" s="65">
        <v>0</v>
      </c>
      <c r="F482" s="65">
        <v>0</v>
      </c>
      <c r="G482" s="65">
        <v>0</v>
      </c>
      <c r="H482" s="65">
        <v>0</v>
      </c>
      <c r="I482" s="65">
        <v>4787500000</v>
      </c>
      <c r="J482" s="65">
        <v>0</v>
      </c>
      <c r="K482" s="65">
        <v>0</v>
      </c>
      <c r="L482" s="65">
        <v>0</v>
      </c>
      <c r="M482" s="65">
        <v>0</v>
      </c>
    </row>
    <row r="483" spans="1:13">
      <c r="B483" s="80" t="s">
        <v>1103</v>
      </c>
      <c r="C483" s="64" t="s">
        <v>1104</v>
      </c>
      <c r="D483" s="65">
        <v>0</v>
      </c>
      <c r="E483" s="65">
        <v>0</v>
      </c>
      <c r="F483" s="65">
        <v>0</v>
      </c>
      <c r="G483" s="65">
        <v>0</v>
      </c>
      <c r="H483" s="65">
        <v>0</v>
      </c>
      <c r="I483" s="65">
        <v>0</v>
      </c>
      <c r="J483" s="65">
        <v>0</v>
      </c>
      <c r="K483" s="65">
        <v>0</v>
      </c>
      <c r="L483" s="65">
        <v>2279200000</v>
      </c>
      <c r="M483" s="65">
        <v>0</v>
      </c>
    </row>
    <row r="484" spans="1:13">
      <c r="B484" s="80" t="s">
        <v>1105</v>
      </c>
      <c r="C484" s="64" t="s">
        <v>1106</v>
      </c>
      <c r="D484" s="65">
        <v>0</v>
      </c>
      <c r="E484" s="65">
        <v>0</v>
      </c>
      <c r="F484" s="65">
        <v>0</v>
      </c>
      <c r="G484" s="65">
        <v>0</v>
      </c>
      <c r="H484" s="65">
        <v>0</v>
      </c>
      <c r="I484" s="65">
        <v>0</v>
      </c>
      <c r="J484" s="65">
        <v>0</v>
      </c>
      <c r="K484" s="65">
        <v>0</v>
      </c>
      <c r="L484" s="65">
        <v>0</v>
      </c>
      <c r="M484" s="65">
        <v>20500000</v>
      </c>
    </row>
    <row r="485" spans="1:13">
      <c r="B485" s="80" t="s">
        <v>1107</v>
      </c>
      <c r="C485" s="64" t="s">
        <v>1108</v>
      </c>
      <c r="D485" s="65">
        <v>0</v>
      </c>
      <c r="E485" s="65">
        <v>0</v>
      </c>
      <c r="F485" s="65">
        <v>590700000</v>
      </c>
      <c r="G485" s="65">
        <v>0</v>
      </c>
      <c r="H485" s="65">
        <v>0</v>
      </c>
      <c r="I485" s="65">
        <v>1589000000</v>
      </c>
      <c r="J485" s="65">
        <v>1010900000</v>
      </c>
      <c r="K485" s="65">
        <v>568400000</v>
      </c>
      <c r="L485" s="65">
        <v>0</v>
      </c>
      <c r="M485" s="65">
        <v>88500000</v>
      </c>
    </row>
    <row r="486" spans="1:13">
      <c r="B486" s="78" t="s">
        <v>1109</v>
      </c>
      <c r="C486" s="64" t="s">
        <v>1110</v>
      </c>
      <c r="D486" s="67">
        <v>0</v>
      </c>
      <c r="E486" s="67">
        <v>7800000</v>
      </c>
      <c r="F486" s="67">
        <v>590700000</v>
      </c>
      <c r="G486" s="67">
        <v>0</v>
      </c>
      <c r="H486" s="67">
        <v>0</v>
      </c>
      <c r="I486" s="67">
        <v>6376500000</v>
      </c>
      <c r="J486" s="67">
        <v>1418900000</v>
      </c>
      <c r="K486" s="67">
        <v>6109100000</v>
      </c>
      <c r="L486" s="67">
        <v>2673200000</v>
      </c>
      <c r="M486" s="67">
        <v>109000000</v>
      </c>
    </row>
    <row r="487" spans="1:13">
      <c r="B487" s="77" t="s">
        <v>1111</v>
      </c>
    </row>
    <row r="488" spans="1:13">
      <c r="B488" s="80" t="s">
        <v>1112</v>
      </c>
      <c r="C488" s="64" t="s">
        <v>1113</v>
      </c>
      <c r="D488" s="65">
        <v>0</v>
      </c>
      <c r="E488" s="65">
        <v>0</v>
      </c>
      <c r="F488" s="65">
        <v>0</v>
      </c>
      <c r="G488" s="65">
        <v>0</v>
      </c>
      <c r="H488" s="65">
        <v>0</v>
      </c>
      <c r="I488" s="65">
        <v>0</v>
      </c>
      <c r="J488" s="65">
        <v>0</v>
      </c>
      <c r="K488" s="65">
        <v>0</v>
      </c>
      <c r="L488" s="65">
        <v>0</v>
      </c>
      <c r="M488" s="65">
        <v>8300000</v>
      </c>
    </row>
    <row r="489" spans="1:13">
      <c r="B489" s="78" t="s">
        <v>1114</v>
      </c>
      <c r="C489" s="64" t="s">
        <v>1115</v>
      </c>
      <c r="D489" s="67">
        <v>0</v>
      </c>
      <c r="E489" s="67">
        <v>0</v>
      </c>
      <c r="F489" s="67">
        <v>0</v>
      </c>
      <c r="G489" s="67">
        <v>0</v>
      </c>
      <c r="H489" s="67">
        <v>0</v>
      </c>
      <c r="I489" s="67">
        <v>0</v>
      </c>
      <c r="J489" s="67">
        <v>0</v>
      </c>
      <c r="K489" s="67">
        <v>0</v>
      </c>
      <c r="L489" s="67">
        <v>0</v>
      </c>
      <c r="M489" s="67">
        <v>8300000</v>
      </c>
    </row>
    <row r="490" spans="1:13">
      <c r="B490" s="75" t="s">
        <v>1116</v>
      </c>
      <c r="C490" s="64" t="s">
        <v>1117</v>
      </c>
      <c r="D490" s="67">
        <v>0</v>
      </c>
      <c r="E490" s="67">
        <v>7800000</v>
      </c>
      <c r="F490" s="67">
        <v>590700000</v>
      </c>
      <c r="G490" s="67">
        <v>0</v>
      </c>
      <c r="H490" s="67">
        <v>0</v>
      </c>
      <c r="I490" s="67">
        <v>6376500000</v>
      </c>
      <c r="J490" s="67">
        <v>1418900000</v>
      </c>
      <c r="K490" s="67">
        <v>6109100000</v>
      </c>
      <c r="L490" s="67">
        <v>2673200000</v>
      </c>
      <c r="M490" s="67">
        <v>100700000</v>
      </c>
    </row>
    <row r="491" spans="1:13">
      <c r="B491" s="71" t="s">
        <v>172</v>
      </c>
      <c r="C491" s="64" t="s">
        <v>731</v>
      </c>
      <c r="D491" s="65">
        <v>0</v>
      </c>
      <c r="E491" s="65">
        <v>10048800000</v>
      </c>
      <c r="F491" s="65">
        <v>10639500000</v>
      </c>
      <c r="G491" s="65">
        <v>10639500000</v>
      </c>
      <c r="H491" s="65">
        <v>10639500000</v>
      </c>
      <c r="I491" s="65">
        <v>17016000000</v>
      </c>
      <c r="J491" s="65">
        <v>18434900000</v>
      </c>
      <c r="K491" s="65">
        <v>24544000000</v>
      </c>
      <c r="L491" s="65">
        <v>27217200000</v>
      </c>
      <c r="M491" s="65">
        <v>27317900000</v>
      </c>
    </row>
    <row r="495" spans="1:13" ht="15.5">
      <c r="A495" t="s">
        <v>27</v>
      </c>
      <c r="B495" s="42" t="s">
        <v>1118</v>
      </c>
    </row>
    <row r="497" spans="1:13">
      <c r="C497" s="62" t="s">
        <v>625</v>
      </c>
      <c r="D497" s="24" t="s">
        <v>30</v>
      </c>
      <c r="E497" s="24" t="s">
        <v>31</v>
      </c>
      <c r="F497" s="24" t="s">
        <v>32</v>
      </c>
      <c r="G497" s="24" t="s">
        <v>33</v>
      </c>
      <c r="H497" s="24" t="s">
        <v>34</v>
      </c>
      <c r="I497" s="24" t="s">
        <v>35</v>
      </c>
      <c r="J497" s="24" t="s">
        <v>36</v>
      </c>
      <c r="K497" s="24" t="s">
        <v>37</v>
      </c>
      <c r="L497" s="24" t="s">
        <v>38</v>
      </c>
      <c r="M497" s="24" t="s">
        <v>39</v>
      </c>
    </row>
    <row r="498" spans="1:13" ht="15.5">
      <c r="B498" s="42" t="s">
        <v>1119</v>
      </c>
    </row>
    <row r="499" spans="1:13">
      <c r="B499" s="68" t="s">
        <v>1120</v>
      </c>
    </row>
    <row r="500" spans="1:13">
      <c r="B500" s="69" t="s">
        <v>141</v>
      </c>
      <c r="C500" s="64" t="s">
        <v>699</v>
      </c>
      <c r="D500" s="65">
        <v>0</v>
      </c>
      <c r="E500" s="65">
        <v>76200000</v>
      </c>
      <c r="F500" s="65">
        <v>76300000</v>
      </c>
      <c r="G500" s="65">
        <v>76300000</v>
      </c>
      <c r="H500" s="65">
        <v>76300000</v>
      </c>
      <c r="I500" s="65">
        <v>76300000</v>
      </c>
      <c r="J500" s="65">
        <v>0</v>
      </c>
      <c r="K500" s="65">
        <v>0</v>
      </c>
      <c r="L500" s="65">
        <v>0</v>
      </c>
      <c r="M500" s="65">
        <v>4798300000</v>
      </c>
    </row>
    <row r="501" spans="1:13">
      <c r="B501" s="69" t="s">
        <v>141</v>
      </c>
      <c r="C501" s="64" t="s">
        <v>699</v>
      </c>
      <c r="D501" s="65">
        <v>0</v>
      </c>
      <c r="E501" s="65">
        <v>76200000</v>
      </c>
      <c r="F501" s="65">
        <v>76300000</v>
      </c>
      <c r="G501" s="65">
        <v>76300000</v>
      </c>
      <c r="H501" s="65">
        <v>76300000</v>
      </c>
      <c r="I501" s="65">
        <v>76300000</v>
      </c>
      <c r="J501" s="65">
        <v>0</v>
      </c>
      <c r="K501" s="65">
        <v>0</v>
      </c>
      <c r="L501" s="65">
        <v>0</v>
      </c>
      <c r="M501" s="65">
        <v>4798300000</v>
      </c>
    </row>
    <row r="504" spans="1:13" ht="15.5">
      <c r="A504" t="s">
        <v>27</v>
      </c>
      <c r="B504" s="42" t="s">
        <v>1121</v>
      </c>
    </row>
    <row r="506" spans="1:13">
      <c r="C506" s="62" t="s">
        <v>625</v>
      </c>
      <c r="D506" s="24" t="s">
        <v>30</v>
      </c>
      <c r="E506" s="24" t="s">
        <v>31</v>
      </c>
      <c r="F506" s="24" t="s">
        <v>32</v>
      </c>
      <c r="G506" s="24" t="s">
        <v>33</v>
      </c>
      <c r="H506" s="24" t="s">
        <v>34</v>
      </c>
      <c r="I506" s="24" t="s">
        <v>35</v>
      </c>
      <c r="J506" s="24" t="s">
        <v>36</v>
      </c>
      <c r="K506" s="24" t="s">
        <v>37</v>
      </c>
      <c r="L506" s="24" t="s">
        <v>38</v>
      </c>
      <c r="M506" s="24" t="s">
        <v>39</v>
      </c>
    </row>
    <row r="507" spans="1:13">
      <c r="B507" s="68" t="s">
        <v>1122</v>
      </c>
    </row>
    <row r="508" spans="1:13">
      <c r="B508" s="70" t="s">
        <v>1123</v>
      </c>
    </row>
    <row r="509" spans="1:13">
      <c r="B509" s="72" t="s">
        <v>1124</v>
      </c>
    </row>
    <row r="510" spans="1:13">
      <c r="B510" s="73" t="s">
        <v>148</v>
      </c>
      <c r="C510" s="64" t="s">
        <v>698</v>
      </c>
      <c r="D510" s="65">
        <v>0</v>
      </c>
      <c r="E510" s="65">
        <v>341400000</v>
      </c>
      <c r="F510" s="65">
        <v>407900000</v>
      </c>
      <c r="G510" s="65">
        <v>373600000</v>
      </c>
      <c r="H510" s="65">
        <v>346700000</v>
      </c>
      <c r="I510" s="65">
        <v>326400000</v>
      </c>
      <c r="J510" s="65">
        <v>308600000</v>
      </c>
      <c r="K510" s="65">
        <v>292100000</v>
      </c>
      <c r="L510" s="65">
        <v>270100000</v>
      </c>
      <c r="M510" s="65">
        <v>257500000</v>
      </c>
    </row>
    <row r="511" spans="1:13">
      <c r="B511" s="73" t="s">
        <v>148</v>
      </c>
      <c r="C511" s="64" t="s">
        <v>698</v>
      </c>
      <c r="D511" s="65">
        <v>0</v>
      </c>
      <c r="E511" s="65">
        <v>341400000</v>
      </c>
      <c r="F511" s="65">
        <v>407900000</v>
      </c>
      <c r="G511" s="65">
        <v>373600000</v>
      </c>
      <c r="H511" s="65">
        <v>346700000</v>
      </c>
      <c r="I511" s="65">
        <v>326400000</v>
      </c>
      <c r="J511" s="65">
        <v>308600000</v>
      </c>
      <c r="K511" s="65">
        <v>292100000</v>
      </c>
      <c r="L511" s="65">
        <v>270100000</v>
      </c>
      <c r="M511" s="65">
        <v>257500000</v>
      </c>
    </row>
    <row r="513" spans="1:13" ht="15.5">
      <c r="B513" s="42" t="s">
        <v>1125</v>
      </c>
    </row>
    <row r="514" spans="1:13">
      <c r="B514" s="63" t="s">
        <v>1126</v>
      </c>
      <c r="C514" s="64" t="s">
        <v>1127</v>
      </c>
      <c r="D514" s="65">
        <v>0</v>
      </c>
      <c r="E514" s="65">
        <v>69200000</v>
      </c>
      <c r="F514" s="65">
        <v>151300000</v>
      </c>
      <c r="G514" s="65">
        <v>188300000</v>
      </c>
      <c r="H514" s="65">
        <v>195200000</v>
      </c>
      <c r="I514" s="65">
        <v>126800000</v>
      </c>
      <c r="J514" s="65">
        <v>92200000</v>
      </c>
      <c r="K514" s="65">
        <v>88800000</v>
      </c>
      <c r="L514" s="65">
        <v>116700000</v>
      </c>
      <c r="M514" s="65">
        <v>115700000</v>
      </c>
    </row>
    <row r="515" spans="1:13">
      <c r="B515" s="68" t="s">
        <v>1128</v>
      </c>
    </row>
    <row r="516" spans="1:13">
      <c r="B516" s="69" t="s">
        <v>1129</v>
      </c>
      <c r="C516" s="64" t="s">
        <v>1130</v>
      </c>
      <c r="D516" s="65">
        <v>0</v>
      </c>
      <c r="E516" s="65">
        <v>0</v>
      </c>
      <c r="F516" s="65">
        <v>0</v>
      </c>
      <c r="G516" s="65">
        <v>0</v>
      </c>
      <c r="H516" s="65">
        <v>0</v>
      </c>
      <c r="I516" s="65">
        <v>0</v>
      </c>
      <c r="J516" s="65">
        <v>0</v>
      </c>
      <c r="K516" s="65">
        <v>0</v>
      </c>
      <c r="L516" s="65">
        <v>32100000</v>
      </c>
      <c r="M516" s="65">
        <v>31000000</v>
      </c>
    </row>
    <row r="517" spans="1:13">
      <c r="B517" s="69" t="s">
        <v>1131</v>
      </c>
      <c r="C517" s="64" t="s">
        <v>1132</v>
      </c>
      <c r="D517" s="65">
        <v>0</v>
      </c>
      <c r="E517" s="65">
        <v>6700000</v>
      </c>
      <c r="F517" s="65">
        <v>11600000</v>
      </c>
      <c r="G517" s="65">
        <v>18100000</v>
      </c>
      <c r="H517" s="65">
        <v>17200000</v>
      </c>
      <c r="I517" s="65">
        <v>17500000</v>
      </c>
      <c r="J517" s="65">
        <v>19000000</v>
      </c>
      <c r="K517" s="65">
        <v>19600000</v>
      </c>
      <c r="L517" s="65">
        <v>0</v>
      </c>
      <c r="M517" s="65">
        <v>0</v>
      </c>
    </row>
    <row r="518" spans="1:13">
      <c r="B518" s="76" t="s">
        <v>1133</v>
      </c>
      <c r="C518" s="64" t="s">
        <v>1134</v>
      </c>
      <c r="D518" s="67">
        <v>0</v>
      </c>
      <c r="E518" s="67">
        <v>6700000</v>
      </c>
      <c r="F518" s="67">
        <v>11600000</v>
      </c>
      <c r="G518" s="67">
        <v>18100000</v>
      </c>
      <c r="H518" s="67">
        <v>17200000</v>
      </c>
      <c r="I518" s="67">
        <v>17500000</v>
      </c>
      <c r="J518" s="67">
        <v>19000000</v>
      </c>
      <c r="K518" s="67">
        <v>19600000</v>
      </c>
      <c r="L518" s="67">
        <v>32100000</v>
      </c>
      <c r="M518" s="67">
        <v>31000000</v>
      </c>
    </row>
    <row r="519" spans="1:13">
      <c r="B519" s="66" t="s">
        <v>1135</v>
      </c>
      <c r="C519" s="64" t="s">
        <v>1136</v>
      </c>
      <c r="D519" s="67">
        <v>0</v>
      </c>
      <c r="E519" s="67">
        <v>62500000</v>
      </c>
      <c r="F519" s="67">
        <v>139700000</v>
      </c>
      <c r="G519" s="67">
        <v>170200000</v>
      </c>
      <c r="H519" s="67">
        <v>178000000</v>
      </c>
      <c r="I519" s="67">
        <v>109300000</v>
      </c>
      <c r="J519" s="67">
        <v>73200000</v>
      </c>
      <c r="K519" s="67">
        <v>69200000</v>
      </c>
      <c r="L519" s="67">
        <v>84600000</v>
      </c>
      <c r="M519" s="67">
        <v>84700000</v>
      </c>
    </row>
    <row r="522" spans="1:13" ht="15.5">
      <c r="A522" t="s">
        <v>27</v>
      </c>
      <c r="B522" s="42" t="s">
        <v>1137</v>
      </c>
    </row>
    <row r="524" spans="1:13">
      <c r="C524" s="62" t="s">
        <v>625</v>
      </c>
      <c r="D524" s="24" t="s">
        <v>30</v>
      </c>
      <c r="E524" s="24" t="s">
        <v>31</v>
      </c>
      <c r="F524" s="24" t="s">
        <v>32</v>
      </c>
      <c r="G524" s="24" t="s">
        <v>33</v>
      </c>
      <c r="H524" s="24" t="s">
        <v>34</v>
      </c>
      <c r="I524" s="24" t="s">
        <v>35</v>
      </c>
      <c r="J524" s="24" t="s">
        <v>36</v>
      </c>
      <c r="K524" s="24" t="s">
        <v>37</v>
      </c>
      <c r="L524" s="24" t="s">
        <v>38</v>
      </c>
      <c r="M524" s="24" t="s">
        <v>39</v>
      </c>
    </row>
    <row r="525" spans="1:13" ht="15.5">
      <c r="B525" s="42" t="s">
        <v>1138</v>
      </c>
    </row>
    <row r="526" spans="1:13">
      <c r="B526" s="68" t="s">
        <v>1139</v>
      </c>
    </row>
    <row r="527" spans="1:13">
      <c r="B527" s="70" t="s">
        <v>1140</v>
      </c>
    </row>
    <row r="528" spans="1:13">
      <c r="B528" s="71" t="s">
        <v>150</v>
      </c>
      <c r="C528" s="64" t="s">
        <v>704</v>
      </c>
      <c r="D528" s="65">
        <v>0</v>
      </c>
      <c r="E528" s="65">
        <v>1885500000</v>
      </c>
      <c r="F528" s="65">
        <v>1300000</v>
      </c>
      <c r="G528" s="65">
        <v>1300000</v>
      </c>
      <c r="H528" s="65">
        <v>300000</v>
      </c>
      <c r="I528" s="65">
        <v>300000</v>
      </c>
      <c r="J528" s="65">
        <v>300000</v>
      </c>
      <c r="K528" s="65">
        <v>300000</v>
      </c>
      <c r="L528" s="65">
        <v>300000</v>
      </c>
      <c r="M528" s="65">
        <v>300000</v>
      </c>
    </row>
    <row r="529" spans="1:13">
      <c r="B529" s="63" t="s">
        <v>1141</v>
      </c>
      <c r="C529" s="64" t="s">
        <v>1142</v>
      </c>
      <c r="D529" s="65">
        <v>0</v>
      </c>
      <c r="E529" s="65">
        <v>0</v>
      </c>
      <c r="F529" s="65">
        <v>0</v>
      </c>
      <c r="G529" s="65">
        <v>0</v>
      </c>
      <c r="H529" s="65">
        <v>300000</v>
      </c>
      <c r="I529" s="65">
        <v>300000</v>
      </c>
      <c r="J529" s="65">
        <v>300000</v>
      </c>
      <c r="K529" s="65">
        <v>300000</v>
      </c>
      <c r="L529" s="65">
        <v>300000</v>
      </c>
      <c r="M529" s="65">
        <v>300000</v>
      </c>
    </row>
    <row r="530" spans="1:13">
      <c r="B530" s="63" t="s">
        <v>1143</v>
      </c>
      <c r="C530" s="64" t="s">
        <v>1144</v>
      </c>
      <c r="D530" s="65">
        <v>0</v>
      </c>
      <c r="E530" s="65">
        <v>1885500000</v>
      </c>
      <c r="F530" s="65">
        <v>1300000</v>
      </c>
      <c r="G530" s="65">
        <v>1300000</v>
      </c>
      <c r="H530" s="65">
        <v>0</v>
      </c>
      <c r="I530" s="65">
        <v>0</v>
      </c>
      <c r="J530" s="65">
        <v>0</v>
      </c>
      <c r="K530" s="65">
        <v>0</v>
      </c>
      <c r="L530" s="65">
        <v>0</v>
      </c>
      <c r="M530" s="65">
        <v>0</v>
      </c>
    </row>
    <row r="533" spans="1:13" ht="15.5">
      <c r="A533" t="s">
        <v>27</v>
      </c>
      <c r="B533" s="42" t="s">
        <v>1145</v>
      </c>
    </row>
    <row r="535" spans="1:13">
      <c r="C535" s="62" t="s">
        <v>625</v>
      </c>
      <c r="D535" s="24" t="s">
        <v>30</v>
      </c>
      <c r="E535" s="24" t="s">
        <v>31</v>
      </c>
      <c r="F535" s="24" t="s">
        <v>32</v>
      </c>
      <c r="G535" s="24" t="s">
        <v>33</v>
      </c>
      <c r="H535" s="24" t="s">
        <v>34</v>
      </c>
      <c r="I535" s="24" t="s">
        <v>35</v>
      </c>
      <c r="J535" s="24" t="s">
        <v>36</v>
      </c>
      <c r="K535" s="24" t="s">
        <v>37</v>
      </c>
      <c r="L535" s="24" t="s">
        <v>38</v>
      </c>
      <c r="M535" s="24" t="s">
        <v>39</v>
      </c>
    </row>
    <row r="536" spans="1:13">
      <c r="B536" s="68" t="s">
        <v>1146</v>
      </c>
    </row>
    <row r="537" spans="1:13">
      <c r="B537" s="70" t="s">
        <v>1147</v>
      </c>
    </row>
    <row r="538" spans="1:13">
      <c r="B538" s="72" t="s">
        <v>1148</v>
      </c>
    </row>
    <row r="539" spans="1:13">
      <c r="B539" s="73" t="s">
        <v>142</v>
      </c>
      <c r="C539" s="64" t="s">
        <v>700</v>
      </c>
      <c r="D539" s="65">
        <v>0</v>
      </c>
      <c r="E539" s="65">
        <v>2033500000</v>
      </c>
      <c r="F539" s="65">
        <v>1471200000</v>
      </c>
      <c r="G539" s="65">
        <v>3274400000</v>
      </c>
      <c r="H539" s="65">
        <v>2675000000</v>
      </c>
      <c r="I539" s="65">
        <v>1904600000</v>
      </c>
      <c r="J539" s="65">
        <v>1211100000</v>
      </c>
      <c r="K539" s="65">
        <v>584800000</v>
      </c>
      <c r="L539" s="65">
        <v>499400000</v>
      </c>
      <c r="M539" s="65">
        <v>4519200000</v>
      </c>
    </row>
    <row r="540" spans="1:13">
      <c r="B540" s="77" t="s">
        <v>1149</v>
      </c>
    </row>
    <row r="541" spans="1:13">
      <c r="B541" s="80" t="s">
        <v>1150</v>
      </c>
      <c r="C541" s="64" t="s">
        <v>1151</v>
      </c>
      <c r="D541" s="65">
        <v>0</v>
      </c>
      <c r="E541" s="65">
        <v>289800000</v>
      </c>
      <c r="F541" s="65">
        <v>488600000</v>
      </c>
      <c r="G541" s="65">
        <v>2753700000</v>
      </c>
      <c r="H541" s="65">
        <v>761100000</v>
      </c>
      <c r="I541" s="65">
        <v>465300000</v>
      </c>
      <c r="J541" s="65">
        <v>400400000</v>
      </c>
      <c r="K541" s="65">
        <v>334900000</v>
      </c>
      <c r="L541" s="65">
        <v>401400000</v>
      </c>
      <c r="M541" s="65">
        <v>3686600000</v>
      </c>
    </row>
    <row r="542" spans="1:13">
      <c r="B542" s="80" t="s">
        <v>1152</v>
      </c>
      <c r="C542" s="64" t="s">
        <v>1153</v>
      </c>
      <c r="D542" s="65">
        <v>0</v>
      </c>
      <c r="E542" s="65">
        <v>-39000000</v>
      </c>
      <c r="F542" s="65">
        <v>9100000</v>
      </c>
      <c r="G542" s="65">
        <v>115900000</v>
      </c>
      <c r="H542" s="65">
        <v>0</v>
      </c>
      <c r="I542" s="65">
        <v>0</v>
      </c>
      <c r="J542" s="65">
        <v>0</v>
      </c>
      <c r="K542" s="65">
        <v>0</v>
      </c>
      <c r="L542" s="65">
        <v>0</v>
      </c>
      <c r="M542" s="65">
        <v>0</v>
      </c>
    </row>
    <row r="543" spans="1:13">
      <c r="B543" s="80" t="s">
        <v>1154</v>
      </c>
      <c r="C543" s="64" t="s">
        <v>1155</v>
      </c>
      <c r="D543" s="65">
        <v>0</v>
      </c>
      <c r="E543" s="65">
        <v>-1541800000</v>
      </c>
      <c r="F543" s="65">
        <v>-1053000000</v>
      </c>
      <c r="G543" s="65">
        <v>-964800000</v>
      </c>
      <c r="H543" s="65">
        <v>-1361700000</v>
      </c>
      <c r="I543" s="65">
        <v>-1236800000</v>
      </c>
      <c r="J543" s="65">
        <v>-1093700000</v>
      </c>
      <c r="K543" s="65">
        <v>-961700000</v>
      </c>
      <c r="L543" s="65">
        <v>-486900000</v>
      </c>
      <c r="M543" s="65">
        <v>-674000000</v>
      </c>
    </row>
    <row r="544" spans="1:13">
      <c r="B544" s="80" t="s">
        <v>1156</v>
      </c>
      <c r="C544" s="64" t="s">
        <v>1157</v>
      </c>
      <c r="D544" s="65">
        <v>0</v>
      </c>
      <c r="E544" s="65">
        <v>0</v>
      </c>
      <c r="F544" s="65">
        <v>0</v>
      </c>
      <c r="G544" s="65">
        <v>0</v>
      </c>
      <c r="H544" s="65">
        <v>-300000</v>
      </c>
      <c r="I544" s="65">
        <v>0</v>
      </c>
      <c r="J544" s="65">
        <v>0</v>
      </c>
      <c r="K544" s="65">
        <v>0</v>
      </c>
      <c r="L544" s="65">
        <v>0</v>
      </c>
      <c r="M544" s="65">
        <v>-6500000</v>
      </c>
    </row>
    <row r="545" spans="1:13">
      <c r="B545" s="80" t="s">
        <v>1158</v>
      </c>
      <c r="C545" s="64" t="s">
        <v>1159</v>
      </c>
      <c r="D545" s="65">
        <v>0</v>
      </c>
      <c r="E545" s="65">
        <v>0</v>
      </c>
      <c r="F545" s="65">
        <v>0</v>
      </c>
      <c r="G545" s="65">
        <v>0</v>
      </c>
      <c r="H545" s="65">
        <v>0</v>
      </c>
      <c r="I545" s="65">
        <v>0</v>
      </c>
      <c r="J545" s="65">
        <v>0</v>
      </c>
      <c r="K545" s="65">
        <v>0</v>
      </c>
      <c r="L545" s="65">
        <v>800000</v>
      </c>
      <c r="M545" s="65">
        <v>1013700000</v>
      </c>
    </row>
    <row r="546" spans="1:13">
      <c r="B546" s="81" t="s">
        <v>1160</v>
      </c>
    </row>
    <row r="547" spans="1:13">
      <c r="B547" s="82" t="s">
        <v>1161</v>
      </c>
      <c r="C547" s="64" t="s">
        <v>1162</v>
      </c>
      <c r="D547" s="65">
        <v>0</v>
      </c>
      <c r="E547" s="65">
        <v>14800000</v>
      </c>
      <c r="F547" s="65">
        <v>-7000000</v>
      </c>
      <c r="G547" s="65">
        <v>-101600000</v>
      </c>
      <c r="H547" s="65">
        <v>1500000</v>
      </c>
      <c r="I547" s="65">
        <v>1100000</v>
      </c>
      <c r="J547" s="65">
        <v>0</v>
      </c>
      <c r="K547" s="65">
        <v>500000</v>
      </c>
      <c r="L547" s="65">
        <v>-6000000</v>
      </c>
      <c r="M547" s="65">
        <v>-100000</v>
      </c>
    </row>
    <row r="548" spans="1:13">
      <c r="B548" s="83" t="s">
        <v>1163</v>
      </c>
      <c r="C548" s="64" t="s">
        <v>1164</v>
      </c>
      <c r="D548" s="67">
        <v>0</v>
      </c>
      <c r="E548" s="67">
        <v>14800000</v>
      </c>
      <c r="F548" s="67">
        <v>-7000000</v>
      </c>
      <c r="G548" s="67">
        <v>-101600000</v>
      </c>
      <c r="H548" s="67">
        <v>1500000</v>
      </c>
      <c r="I548" s="67">
        <v>1100000</v>
      </c>
      <c r="J548" s="67">
        <v>0</v>
      </c>
      <c r="K548" s="67">
        <v>500000</v>
      </c>
      <c r="L548" s="67">
        <v>-6000000</v>
      </c>
      <c r="M548" s="67">
        <v>-100000</v>
      </c>
    </row>
    <row r="549" spans="1:13">
      <c r="B549" s="81" t="s">
        <v>1165</v>
      </c>
    </row>
    <row r="550" spans="1:13">
      <c r="B550" s="82" t="s">
        <v>1166</v>
      </c>
      <c r="C550" s="64" t="s">
        <v>1167</v>
      </c>
      <c r="D550" s="65">
        <v>0</v>
      </c>
      <c r="E550" s="65">
        <v>0</v>
      </c>
      <c r="F550" s="65">
        <v>0</v>
      </c>
      <c r="G550" s="65">
        <v>0</v>
      </c>
      <c r="H550" s="65">
        <v>0</v>
      </c>
      <c r="I550" s="65">
        <v>0</v>
      </c>
      <c r="J550" s="65">
        <v>200000</v>
      </c>
      <c r="K550" s="65">
        <v>0</v>
      </c>
      <c r="L550" s="65">
        <v>-5300000</v>
      </c>
      <c r="M550" s="65">
        <v>-100000</v>
      </c>
    </row>
    <row r="551" spans="1:13">
      <c r="B551" s="83" t="s">
        <v>1168</v>
      </c>
      <c r="C551" s="64" t="s">
        <v>1169</v>
      </c>
      <c r="D551" s="67">
        <v>0</v>
      </c>
      <c r="E551" s="67">
        <v>0</v>
      </c>
      <c r="F551" s="67">
        <v>0</v>
      </c>
      <c r="G551" s="67">
        <v>0</v>
      </c>
      <c r="H551" s="67">
        <v>0</v>
      </c>
      <c r="I551" s="67">
        <v>0</v>
      </c>
      <c r="J551" s="67">
        <v>200000</v>
      </c>
      <c r="K551" s="67">
        <v>0</v>
      </c>
      <c r="L551" s="67">
        <v>-5300000</v>
      </c>
      <c r="M551" s="67">
        <v>-100000</v>
      </c>
    </row>
    <row r="552" spans="1:13">
      <c r="B552" s="78" t="s">
        <v>1170</v>
      </c>
      <c r="C552" s="64" t="s">
        <v>1171</v>
      </c>
      <c r="D552" s="67">
        <v>0</v>
      </c>
      <c r="E552" s="67">
        <v>-1276200000</v>
      </c>
      <c r="F552" s="67">
        <v>-562300000</v>
      </c>
      <c r="G552" s="67">
        <v>1803200000</v>
      </c>
      <c r="H552" s="67">
        <v>-599400000</v>
      </c>
      <c r="I552" s="67">
        <v>-770400000</v>
      </c>
      <c r="J552" s="67">
        <v>-693500000</v>
      </c>
      <c r="K552" s="67">
        <v>-626300000</v>
      </c>
      <c r="L552" s="67">
        <v>-85400000</v>
      </c>
      <c r="M552" s="67">
        <v>4019800000</v>
      </c>
    </row>
    <row r="553" spans="1:13">
      <c r="B553" s="73" t="s">
        <v>142</v>
      </c>
      <c r="C553" s="64" t="s">
        <v>700</v>
      </c>
      <c r="D553" s="65">
        <v>0</v>
      </c>
      <c r="E553" s="65">
        <v>2033500000</v>
      </c>
      <c r="F553" s="65">
        <v>1471200000</v>
      </c>
      <c r="G553" s="65">
        <v>3274400000</v>
      </c>
      <c r="H553" s="65">
        <v>2675000000</v>
      </c>
      <c r="I553" s="65">
        <v>1904600000</v>
      </c>
      <c r="J553" s="65">
        <v>1211100000</v>
      </c>
      <c r="K553" s="65">
        <v>584800000</v>
      </c>
      <c r="L553" s="65">
        <v>499400000</v>
      </c>
      <c r="M553" s="65">
        <v>4519200000</v>
      </c>
    </row>
    <row r="556" spans="1:13" ht="15.5">
      <c r="A556" t="s">
        <v>27</v>
      </c>
      <c r="B556" s="42" t="s">
        <v>1172</v>
      </c>
    </row>
    <row r="558" spans="1:13">
      <c r="C558" s="62" t="s">
        <v>625</v>
      </c>
      <c r="D558" s="24" t="s">
        <v>30</v>
      </c>
      <c r="E558" s="24" t="s">
        <v>31</v>
      </c>
      <c r="F558" s="24" t="s">
        <v>32</v>
      </c>
      <c r="G558" s="24" t="s">
        <v>33</v>
      </c>
      <c r="H558" s="24" t="s">
        <v>34</v>
      </c>
      <c r="I558" s="24" t="s">
        <v>35</v>
      </c>
      <c r="J558" s="24" t="s">
        <v>36</v>
      </c>
      <c r="K558" s="24" t="s">
        <v>37</v>
      </c>
      <c r="L558" s="24" t="s">
        <v>38</v>
      </c>
      <c r="M558" s="24" t="s">
        <v>39</v>
      </c>
    </row>
    <row r="559" spans="1:13">
      <c r="B559" s="68" t="s">
        <v>1173</v>
      </c>
    </row>
    <row r="560" spans="1:13">
      <c r="B560" s="70" t="s">
        <v>1174</v>
      </c>
    </row>
    <row r="561" spans="2:13">
      <c r="B561" s="72" t="s">
        <v>1175</v>
      </c>
    </row>
    <row r="562" spans="2:13">
      <c r="B562" s="73" t="s">
        <v>139</v>
      </c>
      <c r="C562" s="64" t="s">
        <v>696</v>
      </c>
      <c r="D562" s="65">
        <v>0</v>
      </c>
      <c r="E562" s="65">
        <v>14201800000</v>
      </c>
      <c r="F562" s="65">
        <v>12673200000</v>
      </c>
      <c r="G562" s="65">
        <v>11473200000</v>
      </c>
      <c r="H562" s="65">
        <v>10484300000</v>
      </c>
      <c r="I562" s="65">
        <v>9353100000</v>
      </c>
      <c r="J562" s="65">
        <v>9073300000</v>
      </c>
      <c r="K562" s="65">
        <v>7784500000</v>
      </c>
      <c r="L562" s="65">
        <v>8095100000</v>
      </c>
      <c r="M562" s="65">
        <v>8220600000</v>
      </c>
    </row>
    <row r="563" spans="2:13">
      <c r="B563" s="77" t="s">
        <v>1176</v>
      </c>
    </row>
    <row r="564" spans="2:13">
      <c r="B564" s="80" t="s">
        <v>1177</v>
      </c>
      <c r="C564" s="64" t="s">
        <v>1178</v>
      </c>
      <c r="D564" s="65">
        <v>0</v>
      </c>
      <c r="E564" s="65">
        <v>4467700000</v>
      </c>
      <c r="F564" s="65">
        <v>5109400000</v>
      </c>
      <c r="G564" s="65">
        <v>1373800000</v>
      </c>
      <c r="H564" s="65">
        <v>402100000</v>
      </c>
      <c r="I564" s="65">
        <v>231300000</v>
      </c>
      <c r="J564" s="65">
        <v>1288300000</v>
      </c>
      <c r="K564" s="65">
        <v>907300000</v>
      </c>
      <c r="L564" s="65">
        <v>1831600000</v>
      </c>
      <c r="M564" s="65">
        <v>2111000000</v>
      </c>
    </row>
    <row r="565" spans="2:13">
      <c r="B565" s="80" t="s">
        <v>1179</v>
      </c>
      <c r="C565" s="64" t="s">
        <v>1180</v>
      </c>
      <c r="D565" s="65">
        <v>0</v>
      </c>
      <c r="E565" s="65">
        <v>0</v>
      </c>
      <c r="F565" s="65">
        <v>0</v>
      </c>
      <c r="G565" s="65">
        <v>0</v>
      </c>
      <c r="H565" s="65">
        <v>818300000</v>
      </c>
      <c r="I565" s="65">
        <v>0</v>
      </c>
      <c r="J565" s="65">
        <v>0</v>
      </c>
      <c r="K565" s="65">
        <v>0</v>
      </c>
      <c r="L565" s="65">
        <v>0</v>
      </c>
      <c r="M565" s="65">
        <v>221700000</v>
      </c>
    </row>
    <row r="566" spans="2:13">
      <c r="B566" s="80" t="s">
        <v>1181</v>
      </c>
      <c r="C566" s="64" t="s">
        <v>1182</v>
      </c>
      <c r="D566" s="65">
        <v>0</v>
      </c>
      <c r="E566" s="65">
        <v>-7000000</v>
      </c>
      <c r="F566" s="65">
        <v>12600000</v>
      </c>
      <c r="G566" s="65">
        <v>28800000</v>
      </c>
      <c r="H566" s="65">
        <v>47600000</v>
      </c>
      <c r="I566" s="65">
        <v>37700000</v>
      </c>
      <c r="J566" s="65">
        <v>0</v>
      </c>
      <c r="K566" s="65">
        <v>0</v>
      </c>
      <c r="L566" s="65">
        <v>0</v>
      </c>
      <c r="M566" s="65">
        <v>0</v>
      </c>
    </row>
    <row r="567" spans="2:13">
      <c r="B567" s="81" t="s">
        <v>1183</v>
      </c>
    </row>
    <row r="568" spans="2:13">
      <c r="B568" s="82" t="s">
        <v>1184</v>
      </c>
      <c r="C568" s="64" t="s">
        <v>1185</v>
      </c>
      <c r="D568" s="65">
        <v>0</v>
      </c>
      <c r="E568" s="65">
        <v>-2316400000</v>
      </c>
      <c r="F568" s="65">
        <v>-2321800000</v>
      </c>
      <c r="G568" s="65">
        <v>-2420400000</v>
      </c>
      <c r="H568" s="65">
        <v>-1141300000</v>
      </c>
      <c r="I568" s="65">
        <v>-1163600000</v>
      </c>
      <c r="J568" s="65">
        <v>-1205800000</v>
      </c>
      <c r="K568" s="65">
        <v>-1401700000</v>
      </c>
      <c r="L568" s="65">
        <v>-1393900000</v>
      </c>
      <c r="M568" s="65">
        <v>-1903700000</v>
      </c>
    </row>
    <row r="569" spans="2:13">
      <c r="B569" s="83" t="s">
        <v>1186</v>
      </c>
      <c r="C569" s="64" t="s">
        <v>1187</v>
      </c>
      <c r="D569" s="67">
        <v>0</v>
      </c>
      <c r="E569" s="67">
        <v>-2316400000</v>
      </c>
      <c r="F569" s="67">
        <v>-2321800000</v>
      </c>
      <c r="G569" s="67">
        <v>-2420400000</v>
      </c>
      <c r="H569" s="67">
        <v>-1141300000</v>
      </c>
      <c r="I569" s="67">
        <v>-1163600000</v>
      </c>
      <c r="J569" s="67">
        <v>-1205800000</v>
      </c>
      <c r="K569" s="67">
        <v>-1401700000</v>
      </c>
      <c r="L569" s="67">
        <v>-1393900000</v>
      </c>
      <c r="M569" s="67">
        <v>-1903700000</v>
      </c>
    </row>
    <row r="570" spans="2:13">
      <c r="B570" s="80" t="s">
        <v>807</v>
      </c>
      <c r="C570" s="64" t="s">
        <v>808</v>
      </c>
      <c r="D570" s="65">
        <v>0</v>
      </c>
      <c r="E570" s="65">
        <v>0</v>
      </c>
      <c r="F570" s="65">
        <v>0</v>
      </c>
      <c r="G570" s="65">
        <v>0</v>
      </c>
      <c r="H570" s="65">
        <v>-1656000000</v>
      </c>
      <c r="I570" s="65">
        <v>-163100000</v>
      </c>
      <c r="J570" s="65">
        <v>-206300000</v>
      </c>
      <c r="K570" s="65">
        <v>-216900000</v>
      </c>
      <c r="L570" s="65">
        <v>0</v>
      </c>
      <c r="M570" s="65">
        <v>-75900000</v>
      </c>
    </row>
    <row r="571" spans="2:13">
      <c r="B571" s="80" t="s">
        <v>809</v>
      </c>
      <c r="C571" s="64" t="s">
        <v>810</v>
      </c>
      <c r="D571" s="65">
        <v>0</v>
      </c>
      <c r="E571" s="65">
        <v>0</v>
      </c>
      <c r="F571" s="65">
        <v>0</v>
      </c>
      <c r="G571" s="65">
        <v>0</v>
      </c>
      <c r="H571" s="65">
        <v>0</v>
      </c>
      <c r="I571" s="65">
        <v>0</v>
      </c>
      <c r="J571" s="65">
        <v>0</v>
      </c>
      <c r="K571" s="65">
        <v>243400000</v>
      </c>
      <c r="L571" s="65">
        <v>0</v>
      </c>
      <c r="M571" s="65">
        <v>0</v>
      </c>
    </row>
    <row r="572" spans="2:13">
      <c r="B572" s="80" t="s">
        <v>1188</v>
      </c>
      <c r="C572" s="64" t="s">
        <v>1189</v>
      </c>
      <c r="D572" s="65">
        <v>0</v>
      </c>
      <c r="E572" s="65">
        <v>0</v>
      </c>
      <c r="F572" s="65">
        <v>0</v>
      </c>
      <c r="G572" s="65">
        <v>0</v>
      </c>
      <c r="H572" s="65">
        <v>937600000</v>
      </c>
      <c r="I572" s="65">
        <v>0</v>
      </c>
      <c r="J572" s="65">
        <v>0</v>
      </c>
      <c r="K572" s="65">
        <v>0</v>
      </c>
      <c r="L572" s="65">
        <v>-3700000</v>
      </c>
      <c r="M572" s="65">
        <v>4300000</v>
      </c>
    </row>
    <row r="573" spans="2:13">
      <c r="B573" s="81" t="s">
        <v>1190</v>
      </c>
    </row>
    <row r="574" spans="2:13">
      <c r="B574" s="82" t="s">
        <v>1191</v>
      </c>
      <c r="C574" s="64" t="s">
        <v>1192</v>
      </c>
      <c r="D574" s="65">
        <v>0</v>
      </c>
      <c r="E574" s="65">
        <v>100000</v>
      </c>
      <c r="F574" s="65">
        <v>-9600000</v>
      </c>
      <c r="G574" s="65">
        <v>-13500000</v>
      </c>
      <c r="H574" s="65">
        <v>-386800000</v>
      </c>
      <c r="I574" s="65">
        <v>-19900000</v>
      </c>
      <c r="J574" s="65">
        <v>800000</v>
      </c>
      <c r="K574" s="65">
        <v>-641600000</v>
      </c>
      <c r="L574" s="65">
        <v>-123400000</v>
      </c>
      <c r="M574" s="65">
        <v>-1252600000</v>
      </c>
    </row>
    <row r="575" spans="2:13">
      <c r="B575" s="83" t="s">
        <v>1193</v>
      </c>
      <c r="C575" s="64" t="s">
        <v>1194</v>
      </c>
      <c r="D575" s="67">
        <v>0</v>
      </c>
      <c r="E575" s="67">
        <v>100000</v>
      </c>
      <c r="F575" s="67">
        <v>-9600000</v>
      </c>
      <c r="G575" s="67">
        <v>-13500000</v>
      </c>
      <c r="H575" s="67">
        <v>-386800000</v>
      </c>
      <c r="I575" s="67">
        <v>-19900000</v>
      </c>
      <c r="J575" s="67">
        <v>800000</v>
      </c>
      <c r="K575" s="67">
        <v>-641600000</v>
      </c>
      <c r="L575" s="67">
        <v>-123400000</v>
      </c>
      <c r="M575" s="67">
        <v>-1252600000</v>
      </c>
    </row>
    <row r="576" spans="2:13">
      <c r="B576" s="81" t="s">
        <v>1195</v>
      </c>
    </row>
    <row r="577" spans="1:13">
      <c r="B577" s="82" t="s">
        <v>1196</v>
      </c>
      <c r="C577" s="64" t="s">
        <v>1197</v>
      </c>
      <c r="D577" s="65">
        <v>0</v>
      </c>
      <c r="E577" s="65">
        <v>287900000</v>
      </c>
      <c r="F577" s="65">
        <v>472800000</v>
      </c>
      <c r="G577" s="65">
        <v>168700000</v>
      </c>
      <c r="H577" s="65">
        <v>10400000</v>
      </c>
      <c r="I577" s="65">
        <v>53600000</v>
      </c>
      <c r="J577" s="65">
        <v>156800000</v>
      </c>
      <c r="K577" s="65">
        <v>179300000</v>
      </c>
      <c r="L577" s="65">
        <v>0</v>
      </c>
      <c r="M577" s="65">
        <v>-1013300000</v>
      </c>
    </row>
    <row r="578" spans="1:13">
      <c r="B578" s="83" t="s">
        <v>1198</v>
      </c>
      <c r="C578" s="64" t="s">
        <v>1199</v>
      </c>
      <c r="D578" s="67">
        <v>0</v>
      </c>
      <c r="E578" s="67">
        <v>287900000</v>
      </c>
      <c r="F578" s="67">
        <v>472800000</v>
      </c>
      <c r="G578" s="67">
        <v>168700000</v>
      </c>
      <c r="H578" s="67">
        <v>10400000</v>
      </c>
      <c r="I578" s="67">
        <v>53600000</v>
      </c>
      <c r="J578" s="67">
        <v>156800000</v>
      </c>
      <c r="K578" s="67">
        <v>179300000</v>
      </c>
      <c r="L578" s="67">
        <v>0</v>
      </c>
      <c r="M578" s="67">
        <v>-1013300000</v>
      </c>
    </row>
    <row r="579" spans="1:13">
      <c r="B579" s="80" t="s">
        <v>1200</v>
      </c>
      <c r="C579" s="64" t="s">
        <v>1201</v>
      </c>
      <c r="D579" s="65">
        <v>0</v>
      </c>
      <c r="E579" s="65">
        <v>0</v>
      </c>
      <c r="F579" s="65">
        <v>3846400000</v>
      </c>
      <c r="G579" s="65">
        <v>0</v>
      </c>
      <c r="H579" s="65">
        <v>0</v>
      </c>
      <c r="I579" s="65">
        <v>0</v>
      </c>
      <c r="J579" s="65">
        <v>0</v>
      </c>
      <c r="K579" s="65">
        <v>0</v>
      </c>
      <c r="L579" s="65">
        <v>0</v>
      </c>
      <c r="M579" s="65">
        <v>0</v>
      </c>
    </row>
    <row r="580" spans="1:13">
      <c r="B580" s="80" t="s">
        <v>1202</v>
      </c>
      <c r="C580" s="64" t="s">
        <v>1203</v>
      </c>
      <c r="D580" s="65">
        <v>0</v>
      </c>
      <c r="E580" s="65">
        <v>0</v>
      </c>
      <c r="F580" s="65">
        <v>0</v>
      </c>
      <c r="G580" s="65">
        <v>0</v>
      </c>
      <c r="H580" s="65">
        <v>0</v>
      </c>
      <c r="I580" s="65">
        <v>0</v>
      </c>
      <c r="J580" s="65">
        <v>0</v>
      </c>
      <c r="K580" s="65">
        <v>0</v>
      </c>
      <c r="L580" s="65">
        <v>0</v>
      </c>
      <c r="M580" s="65">
        <v>-7400000</v>
      </c>
    </row>
    <row r="581" spans="1:13">
      <c r="B581" s="78" t="s">
        <v>1204</v>
      </c>
      <c r="C581" s="64" t="s">
        <v>1205</v>
      </c>
      <c r="D581" s="67">
        <v>0</v>
      </c>
      <c r="E581" s="67">
        <v>1856500000</v>
      </c>
      <c r="F581" s="67">
        <v>-1528600000</v>
      </c>
      <c r="G581" s="67">
        <v>-1200000000</v>
      </c>
      <c r="H581" s="67">
        <v>-988900000</v>
      </c>
      <c r="I581" s="67">
        <v>-1131200000</v>
      </c>
      <c r="J581" s="67">
        <v>-279800000</v>
      </c>
      <c r="K581" s="67">
        <v>-1288800000</v>
      </c>
      <c r="L581" s="67">
        <v>310600000</v>
      </c>
      <c r="M581" s="67">
        <v>125500000</v>
      </c>
    </row>
    <row r="582" spans="1:13">
      <c r="B582" s="73" t="s">
        <v>139</v>
      </c>
      <c r="C582" s="64" t="s">
        <v>696</v>
      </c>
      <c r="D582" s="65">
        <v>0</v>
      </c>
      <c r="E582" s="65">
        <v>14201800000</v>
      </c>
      <c r="F582" s="65">
        <v>12673200000</v>
      </c>
      <c r="G582" s="65">
        <v>11473200000</v>
      </c>
      <c r="H582" s="65">
        <v>10484300000</v>
      </c>
      <c r="I582" s="65">
        <v>9353100000</v>
      </c>
      <c r="J582" s="65">
        <v>9073300000</v>
      </c>
      <c r="K582" s="65">
        <v>7784500000</v>
      </c>
      <c r="L582" s="65">
        <v>8095100000</v>
      </c>
      <c r="M582" s="65">
        <v>8220600000</v>
      </c>
    </row>
    <row r="585" spans="1:13" ht="15.5">
      <c r="A585" t="s">
        <v>27</v>
      </c>
      <c r="B585" s="42" t="s">
        <v>1206</v>
      </c>
    </row>
    <row r="587" spans="1:13">
      <c r="C587" s="62" t="s">
        <v>625</v>
      </c>
      <c r="D587" s="24" t="s">
        <v>30</v>
      </c>
      <c r="E587" s="24" t="s">
        <v>31</v>
      </c>
      <c r="F587" s="24" t="s">
        <v>32</v>
      </c>
      <c r="G587" s="24" t="s">
        <v>33</v>
      </c>
      <c r="H587" s="24" t="s">
        <v>34</v>
      </c>
      <c r="I587" s="24" t="s">
        <v>35</v>
      </c>
      <c r="J587" s="24" t="s">
        <v>36</v>
      </c>
      <c r="K587" s="24" t="s">
        <v>37</v>
      </c>
      <c r="L587" s="24" t="s">
        <v>38</v>
      </c>
      <c r="M587" s="24" t="s">
        <v>39</v>
      </c>
    </row>
    <row r="588" spans="1:13" ht="15.5">
      <c r="B588" s="42" t="s">
        <v>1207</v>
      </c>
    </row>
    <row r="589" spans="1:13">
      <c r="B589" s="68" t="s">
        <v>1208</v>
      </c>
    </row>
    <row r="590" spans="1:13">
      <c r="B590" s="70" t="s">
        <v>1209</v>
      </c>
    </row>
    <row r="591" spans="1:13">
      <c r="B591" s="72" t="s">
        <v>1210</v>
      </c>
    </row>
    <row r="592" spans="1:13">
      <c r="B592" s="77" t="s">
        <v>1211</v>
      </c>
    </row>
    <row r="593" spans="2:13">
      <c r="B593" s="80" t="s">
        <v>1212</v>
      </c>
      <c r="C593" s="64" t="s">
        <v>1213</v>
      </c>
      <c r="D593" s="65">
        <v>0</v>
      </c>
      <c r="E593" s="65">
        <v>38250000000</v>
      </c>
      <c r="F593" s="65">
        <v>31092000000</v>
      </c>
      <c r="G593" s="65">
        <v>19778900000</v>
      </c>
      <c r="H593" s="65">
        <v>15053700000</v>
      </c>
      <c r="I593" s="65">
        <v>14113900000</v>
      </c>
      <c r="J593" s="65">
        <v>16468000000</v>
      </c>
      <c r="K593" s="65">
        <v>13783500000</v>
      </c>
      <c r="L593" s="65">
        <v>20506500000</v>
      </c>
      <c r="M593" s="65">
        <v>40476000000</v>
      </c>
    </row>
    <row r="594" spans="2:13">
      <c r="B594" s="80" t="s">
        <v>1214</v>
      </c>
      <c r="C594" s="64" t="s">
        <v>1215</v>
      </c>
      <c r="D594" s="65">
        <v>0</v>
      </c>
      <c r="E594" s="65">
        <v>1517000000</v>
      </c>
      <c r="F594" s="65">
        <v>1192100000</v>
      </c>
      <c r="G594" s="65">
        <v>973000000</v>
      </c>
      <c r="H594" s="65">
        <v>1408300000</v>
      </c>
      <c r="I594" s="65">
        <v>2216700000</v>
      </c>
      <c r="J594" s="65">
        <v>2698500000</v>
      </c>
      <c r="K594" s="65">
        <v>2079100000</v>
      </c>
      <c r="L594" s="65">
        <v>2210700000</v>
      </c>
      <c r="M594" s="65">
        <v>1812500000</v>
      </c>
    </row>
    <row r="595" spans="2:13">
      <c r="B595" s="78" t="s">
        <v>1216</v>
      </c>
      <c r="C595" s="64" t="s">
        <v>1217</v>
      </c>
      <c r="D595" s="67">
        <v>0</v>
      </c>
      <c r="E595" s="67">
        <v>36733000000</v>
      </c>
      <c r="F595" s="67">
        <v>29899900000</v>
      </c>
      <c r="G595" s="67">
        <v>18805900000</v>
      </c>
      <c r="H595" s="67">
        <v>13645400000</v>
      </c>
      <c r="I595" s="67">
        <v>11897200000</v>
      </c>
      <c r="J595" s="67">
        <v>13769500000</v>
      </c>
      <c r="K595" s="67">
        <v>11704400000</v>
      </c>
      <c r="L595" s="67">
        <v>18295800000</v>
      </c>
      <c r="M595" s="67">
        <v>38663500000</v>
      </c>
    </row>
    <row r="596" spans="2:13">
      <c r="B596" s="70" t="s">
        <v>1218</v>
      </c>
    </row>
    <row r="597" spans="2:13">
      <c r="B597" s="72" t="s">
        <v>1219</v>
      </c>
    </row>
    <row r="598" spans="2:13">
      <c r="B598" s="75" t="s">
        <v>1216</v>
      </c>
      <c r="C598" s="64" t="s">
        <v>1217</v>
      </c>
      <c r="D598" s="67">
        <v>0</v>
      </c>
      <c r="E598" s="67">
        <v>36733000000</v>
      </c>
      <c r="F598" s="67">
        <v>29899900000</v>
      </c>
      <c r="G598" s="67">
        <v>18805900000</v>
      </c>
      <c r="H598" s="67">
        <v>13645400000</v>
      </c>
      <c r="I598" s="67">
        <v>11897200000</v>
      </c>
      <c r="J598" s="67">
        <v>13769500000</v>
      </c>
      <c r="K598" s="67">
        <v>11704400000</v>
      </c>
      <c r="L598" s="67">
        <v>18295800000</v>
      </c>
      <c r="M598" s="67">
        <v>38663500000</v>
      </c>
    </row>
    <row r="599" spans="2:13">
      <c r="B599" s="68" t="s">
        <v>1220</v>
      </c>
    </row>
    <row r="600" spans="2:13">
      <c r="B600" s="70" t="s">
        <v>1221</v>
      </c>
    </row>
    <row r="601" spans="2:13">
      <c r="B601" s="71" t="s">
        <v>1222</v>
      </c>
      <c r="C601" s="64" t="s">
        <v>1223</v>
      </c>
      <c r="D601" s="65">
        <v>0</v>
      </c>
      <c r="E601" s="65">
        <v>7118400000</v>
      </c>
      <c r="F601" s="65">
        <v>5811500000</v>
      </c>
      <c r="G601" s="65">
        <v>4838100000</v>
      </c>
      <c r="H601" s="65">
        <v>2844000000</v>
      </c>
      <c r="I601" s="65">
        <v>4026300000</v>
      </c>
      <c r="J601" s="65">
        <v>2643100000</v>
      </c>
      <c r="K601" s="65">
        <v>4331400000</v>
      </c>
      <c r="L601" s="65">
        <v>9029200000</v>
      </c>
      <c r="M601" s="65">
        <v>11035000000</v>
      </c>
    </row>
    <row r="602" spans="2:13">
      <c r="B602" s="74" t="s">
        <v>152</v>
      </c>
      <c r="C602" s="64" t="s">
        <v>707</v>
      </c>
      <c r="D602" s="67">
        <v>0</v>
      </c>
      <c r="E602" s="67">
        <v>7118400000</v>
      </c>
      <c r="F602" s="67">
        <v>5811500000</v>
      </c>
      <c r="G602" s="67">
        <v>4838100000</v>
      </c>
      <c r="H602" s="67">
        <v>2844000000</v>
      </c>
      <c r="I602" s="67">
        <v>4026300000</v>
      </c>
      <c r="J602" s="67">
        <v>2643100000</v>
      </c>
      <c r="K602" s="67">
        <v>4331400000</v>
      </c>
      <c r="L602" s="67">
        <v>9029200000</v>
      </c>
      <c r="M602" s="67">
        <v>11035000000</v>
      </c>
    </row>
    <row r="603" spans="2:13">
      <c r="B603" s="72" t="s">
        <v>1224</v>
      </c>
    </row>
    <row r="604" spans="2:13">
      <c r="B604" s="77" t="s">
        <v>1225</v>
      </c>
    </row>
    <row r="605" spans="2:13">
      <c r="B605" s="80" t="s">
        <v>1222</v>
      </c>
      <c r="C605" s="64" t="s">
        <v>1223</v>
      </c>
      <c r="D605" s="65">
        <v>0</v>
      </c>
      <c r="E605" s="65">
        <v>7118400000</v>
      </c>
      <c r="F605" s="65">
        <v>5811500000</v>
      </c>
      <c r="G605" s="65">
        <v>4838100000</v>
      </c>
      <c r="H605" s="65">
        <v>2844000000</v>
      </c>
      <c r="I605" s="65">
        <v>4026300000</v>
      </c>
      <c r="J605" s="65">
        <v>2643100000</v>
      </c>
      <c r="K605" s="65">
        <v>4331400000</v>
      </c>
      <c r="L605" s="65">
        <v>9029200000</v>
      </c>
      <c r="M605" s="65">
        <v>11035000000</v>
      </c>
    </row>
    <row r="606" spans="2:13">
      <c r="B606" s="68" t="s">
        <v>1226</v>
      </c>
    </row>
    <row r="607" spans="2:13">
      <c r="B607" s="70" t="s">
        <v>1227</v>
      </c>
    </row>
    <row r="608" spans="2:13">
      <c r="B608" s="71" t="s">
        <v>1228</v>
      </c>
      <c r="C608" s="64" t="s">
        <v>1229</v>
      </c>
      <c r="D608" s="65">
        <v>0</v>
      </c>
      <c r="E608" s="65">
        <v>1661600000</v>
      </c>
      <c r="F608" s="65">
        <v>1393800000</v>
      </c>
      <c r="G608" s="65">
        <v>1038400000</v>
      </c>
      <c r="H608" s="65">
        <v>510500000</v>
      </c>
      <c r="I608" s="65">
        <v>544600000</v>
      </c>
      <c r="J608" s="65">
        <v>292400000</v>
      </c>
      <c r="K608" s="65">
        <v>402200000</v>
      </c>
      <c r="L608" s="65">
        <v>784300000</v>
      </c>
      <c r="M608" s="65">
        <v>751400000</v>
      </c>
    </row>
    <row r="609" spans="2:13">
      <c r="B609" s="74" t="s">
        <v>145</v>
      </c>
      <c r="C609" s="64" t="s">
        <v>710</v>
      </c>
      <c r="D609" s="67">
        <v>0</v>
      </c>
      <c r="E609" s="67">
        <v>1661600000</v>
      </c>
      <c r="F609" s="67">
        <v>1393800000</v>
      </c>
      <c r="G609" s="67">
        <v>1038400000</v>
      </c>
      <c r="H609" s="67">
        <v>510500000</v>
      </c>
      <c r="I609" s="67">
        <v>544600000</v>
      </c>
      <c r="J609" s="67">
        <v>292400000</v>
      </c>
      <c r="K609" s="67">
        <v>402200000</v>
      </c>
      <c r="L609" s="67">
        <v>784300000</v>
      </c>
      <c r="M609" s="67">
        <v>751400000</v>
      </c>
    </row>
    <row r="610" spans="2:13">
      <c r="B610" s="68" t="s">
        <v>1230</v>
      </c>
    </row>
    <row r="611" spans="2:13">
      <c r="B611" s="70" t="s">
        <v>1231</v>
      </c>
    </row>
    <row r="612" spans="2:13">
      <c r="B612" s="72" t="s">
        <v>1232</v>
      </c>
    </row>
    <row r="613" spans="2:13">
      <c r="B613" s="73" t="s">
        <v>158</v>
      </c>
      <c r="C613" s="64" t="s">
        <v>158</v>
      </c>
      <c r="D613" s="65">
        <v>0</v>
      </c>
      <c r="E613" s="65">
        <v>34688400000</v>
      </c>
      <c r="F613" s="65">
        <v>30263700000</v>
      </c>
      <c r="G613" s="65">
        <v>29139300000</v>
      </c>
      <c r="H613" s="65">
        <v>20555900000</v>
      </c>
      <c r="I613" s="65">
        <v>21727600000</v>
      </c>
      <c r="J613" s="65">
        <v>22079000000</v>
      </c>
      <c r="K613" s="65">
        <v>18271300000</v>
      </c>
      <c r="L613" s="65">
        <v>22922900000</v>
      </c>
      <c r="M613" s="65">
        <v>32335500000</v>
      </c>
    </row>
    <row r="614" spans="2:13">
      <c r="B614" s="68" t="s">
        <v>1233</v>
      </c>
    </row>
    <row r="615" spans="2:13">
      <c r="B615" s="72" t="s">
        <v>1234</v>
      </c>
    </row>
    <row r="616" spans="2:13">
      <c r="B616" s="77" t="s">
        <v>1235</v>
      </c>
    </row>
    <row r="617" spans="2:13">
      <c r="B617" s="81" t="s">
        <v>1236</v>
      </c>
    </row>
    <row r="618" spans="2:13">
      <c r="B618" s="84" t="s">
        <v>1237</v>
      </c>
    </row>
    <row r="619" spans="2:13">
      <c r="B619" s="85" t="s">
        <v>1238</v>
      </c>
      <c r="C619" s="64" t="s">
        <v>1239</v>
      </c>
      <c r="D619" s="65">
        <v>0</v>
      </c>
      <c r="E619" s="65">
        <v>79100000</v>
      </c>
      <c r="F619" s="65">
        <v>0</v>
      </c>
      <c r="G619" s="65">
        <v>0</v>
      </c>
      <c r="H619" s="65">
        <v>0</v>
      </c>
      <c r="I619" s="65">
        <v>0</v>
      </c>
      <c r="J619" s="65">
        <v>0</v>
      </c>
      <c r="K619" s="65">
        <v>0</v>
      </c>
      <c r="L619" s="65">
        <v>0</v>
      </c>
      <c r="M619" s="65">
        <v>0</v>
      </c>
    </row>
    <row r="620" spans="2:13">
      <c r="B620" s="85" t="s">
        <v>1240</v>
      </c>
      <c r="C620" s="64" t="s">
        <v>1241</v>
      </c>
      <c r="D620" s="65">
        <v>0</v>
      </c>
      <c r="E620" s="65">
        <v>3269200000</v>
      </c>
      <c r="F620" s="65">
        <v>3991200000</v>
      </c>
      <c r="G620" s="65">
        <v>733700000</v>
      </c>
      <c r="H620" s="65">
        <v>319100000</v>
      </c>
      <c r="I620" s="65">
        <v>0</v>
      </c>
      <c r="J620" s="65">
        <v>0</v>
      </c>
      <c r="K620" s="65">
        <v>0</v>
      </c>
      <c r="L620" s="65">
        <v>0</v>
      </c>
      <c r="M620" s="65">
        <v>0</v>
      </c>
    </row>
    <row r="621" spans="2:13">
      <c r="B621" s="85" t="s">
        <v>1242</v>
      </c>
      <c r="C621" s="64" t="s">
        <v>1243</v>
      </c>
      <c r="D621" s="65">
        <v>0</v>
      </c>
      <c r="E621" s="65">
        <v>0</v>
      </c>
      <c r="F621" s="65">
        <v>0</v>
      </c>
      <c r="G621" s="65">
        <v>0</v>
      </c>
      <c r="H621" s="65">
        <v>247400000</v>
      </c>
      <c r="I621" s="65">
        <v>2609000000</v>
      </c>
      <c r="J621" s="65">
        <v>4365700000</v>
      </c>
      <c r="K621" s="65">
        <v>3667900000</v>
      </c>
      <c r="L621" s="65">
        <v>2488000000</v>
      </c>
      <c r="M621" s="65">
        <v>9002900000</v>
      </c>
    </row>
    <row r="622" spans="2:13">
      <c r="B622" s="86" t="s">
        <v>1244</v>
      </c>
      <c r="C622" s="64" t="s">
        <v>1245</v>
      </c>
      <c r="D622" s="67">
        <v>0</v>
      </c>
      <c r="E622" s="67">
        <v>3348300000</v>
      </c>
      <c r="F622" s="67">
        <v>3991200000</v>
      </c>
      <c r="G622" s="67">
        <v>733700000</v>
      </c>
      <c r="H622" s="67">
        <v>566500000</v>
      </c>
      <c r="I622" s="67">
        <v>2609000000</v>
      </c>
      <c r="J622" s="67">
        <v>4365700000</v>
      </c>
      <c r="K622" s="67">
        <v>3667900000</v>
      </c>
      <c r="L622" s="67">
        <v>2488000000</v>
      </c>
      <c r="M622" s="67">
        <v>9002900000</v>
      </c>
    </row>
    <row r="623" spans="2:13">
      <c r="B623" s="82" t="s">
        <v>1246</v>
      </c>
      <c r="C623" s="64" t="s">
        <v>1247</v>
      </c>
      <c r="D623" s="65">
        <v>0</v>
      </c>
      <c r="E623" s="65">
        <v>0</v>
      </c>
      <c r="F623" s="65">
        <v>1810000000</v>
      </c>
      <c r="G623" s="65">
        <v>1800000</v>
      </c>
      <c r="H623" s="65">
        <v>0</v>
      </c>
      <c r="I623" s="65">
        <v>0</v>
      </c>
      <c r="J623" s="65">
        <v>0</v>
      </c>
      <c r="K623" s="65">
        <v>0</v>
      </c>
      <c r="L623" s="65">
        <v>0</v>
      </c>
      <c r="M623" s="65">
        <v>0</v>
      </c>
    </row>
    <row r="624" spans="2:13">
      <c r="B624" s="82" t="s">
        <v>1248</v>
      </c>
      <c r="C624" s="64" t="s">
        <v>1249</v>
      </c>
      <c r="D624" s="65">
        <v>0</v>
      </c>
      <c r="E624" s="65">
        <v>12900000</v>
      </c>
      <c r="F624" s="65">
        <v>9500000</v>
      </c>
      <c r="G624" s="65">
        <v>10700000</v>
      </c>
      <c r="H624" s="65">
        <v>9400000</v>
      </c>
      <c r="I624" s="65">
        <v>16000000</v>
      </c>
      <c r="J624" s="65">
        <v>8100000</v>
      </c>
      <c r="K624" s="65">
        <v>5200000</v>
      </c>
      <c r="L624" s="65">
        <v>7700000</v>
      </c>
      <c r="M624" s="65">
        <v>7800000</v>
      </c>
    </row>
    <row r="625" spans="2:13">
      <c r="B625" s="82" t="s">
        <v>1250</v>
      </c>
      <c r="C625" s="64" t="s">
        <v>1250</v>
      </c>
      <c r="D625" s="65">
        <v>0</v>
      </c>
      <c r="E625" s="65">
        <v>0</v>
      </c>
      <c r="F625" s="65">
        <v>0</v>
      </c>
      <c r="G625" s="65">
        <v>0</v>
      </c>
      <c r="H625" s="65">
        <v>247400000</v>
      </c>
      <c r="I625" s="65">
        <v>0</v>
      </c>
      <c r="J625" s="65">
        <v>630500000</v>
      </c>
      <c r="K625" s="65">
        <v>0</v>
      </c>
      <c r="L625" s="65">
        <v>1772700000</v>
      </c>
      <c r="M625" s="65">
        <v>2117600000</v>
      </c>
    </row>
    <row r="626" spans="2:13">
      <c r="B626" s="83" t="s">
        <v>162</v>
      </c>
      <c r="C626" s="64" t="s">
        <v>717</v>
      </c>
      <c r="D626" s="67">
        <v>0</v>
      </c>
      <c r="E626" s="67">
        <v>3361200000</v>
      </c>
      <c r="F626" s="67">
        <v>5810700000</v>
      </c>
      <c r="G626" s="67">
        <v>746200000</v>
      </c>
      <c r="H626" s="67">
        <v>823300000</v>
      </c>
      <c r="I626" s="67">
        <v>2625000000</v>
      </c>
      <c r="J626" s="67">
        <v>5004300000</v>
      </c>
      <c r="K626" s="67">
        <v>3673100000</v>
      </c>
      <c r="L626" s="67">
        <v>4268400000</v>
      </c>
      <c r="M626" s="67">
        <v>11128300000</v>
      </c>
    </row>
    <row r="627" spans="2:13">
      <c r="B627" s="78" t="s">
        <v>1251</v>
      </c>
      <c r="C627" s="64" t="s">
        <v>1252</v>
      </c>
      <c r="D627" s="67">
        <v>0</v>
      </c>
      <c r="E627" s="67">
        <v>3361200000</v>
      </c>
      <c r="F627" s="67">
        <v>5810700000</v>
      </c>
      <c r="G627" s="67">
        <v>746200000</v>
      </c>
      <c r="H627" s="67">
        <v>823300000</v>
      </c>
      <c r="I627" s="67">
        <v>2625000000</v>
      </c>
      <c r="J627" s="67">
        <v>5004300000</v>
      </c>
      <c r="K627" s="67">
        <v>3673100000</v>
      </c>
      <c r="L627" s="67">
        <v>4268400000</v>
      </c>
      <c r="M627" s="67">
        <v>11128300000</v>
      </c>
    </row>
    <row r="628" spans="2:13">
      <c r="B628" s="68" t="s">
        <v>1253</v>
      </c>
    </row>
    <row r="629" spans="2:13">
      <c r="B629" s="69" t="s">
        <v>1254</v>
      </c>
      <c r="C629" s="64" t="s">
        <v>1255</v>
      </c>
      <c r="D629" s="65">
        <v>0</v>
      </c>
      <c r="E629" s="65">
        <v>315700000</v>
      </c>
      <c r="F629" s="65">
        <v>200900000</v>
      </c>
      <c r="G629" s="65">
        <v>11100000</v>
      </c>
      <c r="H629" s="65">
        <v>5900000</v>
      </c>
      <c r="I629" s="65">
        <v>247300000</v>
      </c>
      <c r="J629" s="65">
        <v>69500000</v>
      </c>
      <c r="K629" s="65">
        <v>80100000</v>
      </c>
      <c r="L629" s="65">
        <v>99400000</v>
      </c>
      <c r="M629" s="65">
        <v>41000000</v>
      </c>
    </row>
    <row r="630" spans="2:13">
      <c r="B630" s="69" t="s">
        <v>1256</v>
      </c>
      <c r="C630" s="64" t="s">
        <v>1257</v>
      </c>
      <c r="D630" s="65">
        <v>0</v>
      </c>
      <c r="E630" s="65">
        <v>1170300000</v>
      </c>
      <c r="F630" s="65">
        <v>2462700000</v>
      </c>
      <c r="G630" s="65">
        <v>3152000000</v>
      </c>
      <c r="H630" s="65">
        <v>1081200000</v>
      </c>
      <c r="I630" s="65">
        <v>1512400000</v>
      </c>
      <c r="J630" s="65">
        <v>1135500000</v>
      </c>
      <c r="K630" s="65">
        <v>1410400000</v>
      </c>
      <c r="L630" s="65">
        <v>1250400000</v>
      </c>
      <c r="M630" s="65">
        <v>1842800000</v>
      </c>
    </row>
    <row r="631" spans="2:13">
      <c r="B631" s="76" t="s">
        <v>164</v>
      </c>
      <c r="C631" s="64" t="s">
        <v>719</v>
      </c>
      <c r="D631" s="67">
        <v>0</v>
      </c>
      <c r="E631" s="67">
        <v>1486000000</v>
      </c>
      <c r="F631" s="67">
        <v>2663600000</v>
      </c>
      <c r="G631" s="67">
        <v>3163100000</v>
      </c>
      <c r="H631" s="67">
        <v>1087100000</v>
      </c>
      <c r="I631" s="67">
        <v>1759700000</v>
      </c>
      <c r="J631" s="67">
        <v>1205000000</v>
      </c>
      <c r="K631" s="67">
        <v>1490500000</v>
      </c>
      <c r="L631" s="67">
        <v>1349800000</v>
      </c>
      <c r="M631" s="67">
        <v>1883800000</v>
      </c>
    </row>
    <row r="632" spans="2:13">
      <c r="B632" s="70" t="s">
        <v>1258</v>
      </c>
    </row>
    <row r="633" spans="2:13">
      <c r="B633" s="72" t="s">
        <v>1259</v>
      </c>
    </row>
    <row r="634" spans="2:13">
      <c r="B634" s="73" t="s">
        <v>1256</v>
      </c>
      <c r="C634" s="64" t="s">
        <v>1257</v>
      </c>
      <c r="D634" s="65">
        <v>0</v>
      </c>
      <c r="E634" s="65">
        <v>1170300000</v>
      </c>
      <c r="F634" s="65">
        <v>2462700000</v>
      </c>
      <c r="G634" s="65">
        <v>3152000000</v>
      </c>
      <c r="H634" s="65">
        <v>1081200000</v>
      </c>
      <c r="I634" s="65">
        <v>1512400000</v>
      </c>
      <c r="J634" s="65">
        <v>1135500000</v>
      </c>
      <c r="K634" s="65">
        <v>1410400000</v>
      </c>
      <c r="L634" s="65">
        <v>1250400000</v>
      </c>
      <c r="M634" s="65">
        <v>1842800000</v>
      </c>
    </row>
    <row r="635" spans="2:13">
      <c r="B635" s="68" t="s">
        <v>1260</v>
      </c>
    </row>
    <row r="636" spans="2:13">
      <c r="B636" s="70" t="s">
        <v>1261</v>
      </c>
    </row>
    <row r="637" spans="2:13">
      <c r="B637" s="71" t="s">
        <v>1262</v>
      </c>
      <c r="C637" s="64" t="s">
        <v>1263</v>
      </c>
      <c r="D637" s="65">
        <v>0</v>
      </c>
      <c r="E637" s="65">
        <v>10137600000</v>
      </c>
      <c r="F637" s="65">
        <v>9306100000</v>
      </c>
      <c r="G637" s="65">
        <v>12119300000</v>
      </c>
      <c r="H637" s="65">
        <v>9894700000</v>
      </c>
      <c r="I637" s="65">
        <v>9695800000</v>
      </c>
      <c r="J637" s="65">
        <v>8112600000</v>
      </c>
      <c r="K637" s="65">
        <v>6271000000</v>
      </c>
      <c r="L637" s="65">
        <v>5942400000</v>
      </c>
      <c r="M637" s="65">
        <v>7570400000</v>
      </c>
    </row>
    <row r="638" spans="2:13">
      <c r="B638" s="74" t="s">
        <v>160</v>
      </c>
      <c r="C638" s="64" t="s">
        <v>722</v>
      </c>
      <c r="D638" s="67">
        <v>0</v>
      </c>
      <c r="E638" s="67">
        <v>10137600000</v>
      </c>
      <c r="F638" s="67">
        <v>9306100000</v>
      </c>
      <c r="G638" s="67">
        <v>12119300000</v>
      </c>
      <c r="H638" s="67">
        <v>9894700000</v>
      </c>
      <c r="I638" s="67">
        <v>9695800000</v>
      </c>
      <c r="J638" s="67">
        <v>8112600000</v>
      </c>
      <c r="K638" s="67">
        <v>6271000000</v>
      </c>
      <c r="L638" s="67">
        <v>5942400000</v>
      </c>
      <c r="M638" s="67">
        <v>7570400000</v>
      </c>
    </row>
    <row r="639" spans="2:13">
      <c r="B639" s="68" t="s">
        <v>1264</v>
      </c>
    </row>
    <row r="640" spans="2:13">
      <c r="B640" s="70" t="s">
        <v>1265</v>
      </c>
    </row>
    <row r="641" spans="2:13">
      <c r="B641" s="71" t="s">
        <v>1266</v>
      </c>
      <c r="C641" s="64" t="s">
        <v>1267</v>
      </c>
      <c r="D641" s="65">
        <v>0</v>
      </c>
      <c r="E641" s="65">
        <v>2254600000</v>
      </c>
      <c r="F641" s="65">
        <v>553300000</v>
      </c>
      <c r="G641" s="65">
        <v>504900000</v>
      </c>
      <c r="H641" s="65">
        <v>910900000</v>
      </c>
      <c r="I641" s="65">
        <v>775400000</v>
      </c>
      <c r="J641" s="65">
        <v>792100000</v>
      </c>
      <c r="K641" s="65">
        <v>375200000</v>
      </c>
      <c r="L641" s="65">
        <v>341300000</v>
      </c>
      <c r="M641" s="65">
        <v>6546100000</v>
      </c>
    </row>
    <row r="642" spans="2:13">
      <c r="B642" s="74" t="s">
        <v>182</v>
      </c>
      <c r="C642" s="64" t="s">
        <v>739</v>
      </c>
      <c r="D642" s="67">
        <v>0</v>
      </c>
      <c r="E642" s="67">
        <v>2254600000</v>
      </c>
      <c r="F642" s="67">
        <v>553300000</v>
      </c>
      <c r="G642" s="67">
        <v>504900000</v>
      </c>
      <c r="H642" s="67">
        <v>910900000</v>
      </c>
      <c r="I642" s="67">
        <v>775400000</v>
      </c>
      <c r="J642" s="67">
        <v>792100000</v>
      </c>
      <c r="K642" s="67">
        <v>375200000</v>
      </c>
      <c r="L642" s="67">
        <v>341300000</v>
      </c>
      <c r="M642" s="67">
        <v>6546100000</v>
      </c>
    </row>
    <row r="643" spans="2:13">
      <c r="B643" s="72" t="s">
        <v>1268</v>
      </c>
    </row>
    <row r="644" spans="2:13">
      <c r="B644" s="77" t="s">
        <v>1269</v>
      </c>
    </row>
    <row r="645" spans="2:13">
      <c r="B645" s="80" t="s">
        <v>1266</v>
      </c>
      <c r="C645" s="64" t="s">
        <v>1267</v>
      </c>
      <c r="D645" s="65">
        <v>0</v>
      </c>
      <c r="E645" s="65">
        <v>2254600000</v>
      </c>
      <c r="F645" s="65">
        <v>553300000</v>
      </c>
      <c r="G645" s="65">
        <v>504900000</v>
      </c>
      <c r="H645" s="65">
        <v>910900000</v>
      </c>
      <c r="I645" s="65">
        <v>775400000</v>
      </c>
      <c r="J645" s="65">
        <v>792100000</v>
      </c>
      <c r="K645" s="65">
        <v>375200000</v>
      </c>
      <c r="L645" s="65">
        <v>341300000</v>
      </c>
      <c r="M645" s="65">
        <v>6546100000</v>
      </c>
    </row>
    <row r="646" spans="2:13">
      <c r="B646" s="68" t="s">
        <v>1270</v>
      </c>
    </row>
    <row r="647" spans="2:13">
      <c r="B647" s="69" t="s">
        <v>1271</v>
      </c>
      <c r="C647" s="64" t="s">
        <v>1272</v>
      </c>
      <c r="D647" s="65">
        <v>0</v>
      </c>
      <c r="E647" s="65">
        <v>400200000</v>
      </c>
      <c r="F647" s="65">
        <v>299800000</v>
      </c>
      <c r="G647" s="65">
        <v>0</v>
      </c>
      <c r="H647" s="65">
        <v>0</v>
      </c>
      <c r="I647" s="65">
        <v>0</v>
      </c>
      <c r="J647" s="65">
        <v>0</v>
      </c>
      <c r="K647" s="65">
        <v>0</v>
      </c>
      <c r="L647" s="65">
        <v>0</v>
      </c>
      <c r="M647" s="65">
        <v>0</v>
      </c>
    </row>
    <row r="648" spans="2:13">
      <c r="B648" s="69" t="s">
        <v>1273</v>
      </c>
      <c r="C648" s="64" t="s">
        <v>1274</v>
      </c>
      <c r="D648" s="65">
        <v>0</v>
      </c>
      <c r="E648" s="65">
        <v>0</v>
      </c>
      <c r="F648" s="65">
        <v>0</v>
      </c>
      <c r="G648" s="65">
        <v>117000000</v>
      </c>
      <c r="H648" s="65">
        <v>8900000</v>
      </c>
      <c r="I648" s="65">
        <v>7700000</v>
      </c>
      <c r="J648" s="65">
        <v>1900000</v>
      </c>
      <c r="K648" s="65">
        <v>4800000</v>
      </c>
      <c r="L648" s="65">
        <v>4800000</v>
      </c>
      <c r="M648" s="65">
        <v>4500000</v>
      </c>
    </row>
    <row r="649" spans="2:13">
      <c r="B649" s="76" t="s">
        <v>185</v>
      </c>
      <c r="C649" s="64" t="s">
        <v>742</v>
      </c>
      <c r="D649" s="67">
        <v>0</v>
      </c>
      <c r="E649" s="67">
        <v>400200000</v>
      </c>
      <c r="F649" s="67">
        <v>299800000</v>
      </c>
      <c r="G649" s="67">
        <v>117000000</v>
      </c>
      <c r="H649" s="67">
        <v>8900000</v>
      </c>
      <c r="I649" s="67">
        <v>7700000</v>
      </c>
      <c r="J649" s="67">
        <v>1900000</v>
      </c>
      <c r="K649" s="67">
        <v>4800000</v>
      </c>
      <c r="L649" s="67">
        <v>4800000</v>
      </c>
      <c r="M649" s="67">
        <v>4500000</v>
      </c>
    </row>
    <row r="650" spans="2:13">
      <c r="B650" s="70" t="s">
        <v>1275</v>
      </c>
    </row>
    <row r="651" spans="2:13">
      <c r="B651" s="72" t="s">
        <v>1276</v>
      </c>
    </row>
    <row r="652" spans="2:13">
      <c r="B652" s="73" t="s">
        <v>1273</v>
      </c>
      <c r="C652" s="64" t="s">
        <v>1274</v>
      </c>
      <c r="D652" s="65">
        <v>0</v>
      </c>
      <c r="E652" s="65">
        <v>0</v>
      </c>
      <c r="F652" s="65">
        <v>0</v>
      </c>
      <c r="G652" s="65">
        <v>117000000</v>
      </c>
      <c r="H652" s="65">
        <v>8900000</v>
      </c>
      <c r="I652" s="65">
        <v>7700000</v>
      </c>
      <c r="J652" s="65">
        <v>1900000</v>
      </c>
      <c r="K652" s="65">
        <v>4800000</v>
      </c>
      <c r="L652" s="65">
        <v>4800000</v>
      </c>
      <c r="M652" s="65">
        <v>4500000</v>
      </c>
    </row>
    <row r="653" spans="2:13">
      <c r="B653" s="68" t="s">
        <v>1277</v>
      </c>
    </row>
    <row r="654" spans="2:13">
      <c r="B654" s="70" t="s">
        <v>1278</v>
      </c>
    </row>
    <row r="655" spans="2:13">
      <c r="B655" s="71" t="s">
        <v>1279</v>
      </c>
      <c r="C655" s="64" t="s">
        <v>1280</v>
      </c>
      <c r="D655" s="65">
        <v>0</v>
      </c>
      <c r="E655" s="65">
        <v>477300000</v>
      </c>
      <c r="F655" s="65">
        <v>315400000</v>
      </c>
      <c r="G655" s="65">
        <v>529400000</v>
      </c>
      <c r="H655" s="65">
        <v>7575200000</v>
      </c>
      <c r="I655" s="65">
        <v>373200000</v>
      </c>
      <c r="J655" s="65">
        <v>632700000</v>
      </c>
      <c r="K655" s="65">
        <v>100000</v>
      </c>
      <c r="L655" s="65">
        <v>0</v>
      </c>
      <c r="M655" s="65">
        <v>0</v>
      </c>
    </row>
    <row r="656" spans="2:13">
      <c r="B656" s="71" t="s">
        <v>1281</v>
      </c>
      <c r="C656" s="64" t="s">
        <v>1282</v>
      </c>
      <c r="D656" s="65">
        <v>0</v>
      </c>
      <c r="E656" s="65">
        <v>6818800000</v>
      </c>
      <c r="F656" s="65">
        <v>11760300000</v>
      </c>
      <c r="G656" s="65">
        <v>10796100000</v>
      </c>
      <c r="H656" s="65">
        <v>11017900000</v>
      </c>
      <c r="I656" s="65">
        <v>3308900000</v>
      </c>
      <c r="J656" s="65">
        <v>3171100000</v>
      </c>
      <c r="K656" s="65">
        <v>2165200000</v>
      </c>
      <c r="L656" s="65">
        <v>1889300000</v>
      </c>
      <c r="M656" s="65">
        <v>4140400000</v>
      </c>
    </row>
    <row r="657" spans="2:13">
      <c r="B657" s="74" t="s">
        <v>192</v>
      </c>
      <c r="C657" s="64" t="s">
        <v>749</v>
      </c>
      <c r="D657" s="67">
        <v>0</v>
      </c>
      <c r="E657" s="67">
        <v>49265400000</v>
      </c>
      <c r="F657" s="67">
        <v>15979300000</v>
      </c>
      <c r="G657" s="67">
        <v>30606500000</v>
      </c>
      <c r="H657" s="67">
        <v>53105400000</v>
      </c>
      <c r="I657" s="67">
        <v>10241800000</v>
      </c>
      <c r="J657" s="67">
        <v>3803800000</v>
      </c>
      <c r="K657" s="67">
        <v>2165300000</v>
      </c>
      <c r="L657" s="67">
        <v>1889300000</v>
      </c>
      <c r="M657" s="67">
        <v>4140400000</v>
      </c>
    </row>
    <row r="658" spans="2:13">
      <c r="B658" s="72" t="s">
        <v>1283</v>
      </c>
    </row>
    <row r="659" spans="2:13">
      <c r="B659" s="77" t="s">
        <v>1284</v>
      </c>
    </row>
    <row r="660" spans="2:13">
      <c r="B660" s="80" t="s">
        <v>1281</v>
      </c>
      <c r="C660" s="64" t="s">
        <v>1282</v>
      </c>
      <c r="D660" s="65">
        <v>0</v>
      </c>
      <c r="E660" s="65">
        <v>6818800000</v>
      </c>
      <c r="F660" s="65">
        <v>11760300000</v>
      </c>
      <c r="G660" s="65">
        <v>10796100000</v>
      </c>
      <c r="H660" s="65">
        <v>11017900000</v>
      </c>
      <c r="I660" s="65">
        <v>3308900000</v>
      </c>
      <c r="J660" s="65">
        <v>3171100000</v>
      </c>
      <c r="K660" s="65">
        <v>2165200000</v>
      </c>
      <c r="L660" s="65">
        <v>1889300000</v>
      </c>
      <c r="M660" s="65">
        <v>4140400000</v>
      </c>
    </row>
    <row r="661" spans="2:13">
      <c r="B661" s="68" t="s">
        <v>1285</v>
      </c>
    </row>
    <row r="662" spans="2:13">
      <c r="B662" s="70" t="s">
        <v>1286</v>
      </c>
    </row>
    <row r="663" spans="2:13">
      <c r="B663" s="72" t="s">
        <v>1287</v>
      </c>
    </row>
    <row r="664" spans="2:13">
      <c r="B664" s="73" t="s">
        <v>1288</v>
      </c>
      <c r="C664" s="64" t="s">
        <v>1289</v>
      </c>
      <c r="D664" s="65">
        <v>0</v>
      </c>
      <c r="E664" s="65">
        <v>7367900000</v>
      </c>
      <c r="F664" s="65">
        <v>8916100000</v>
      </c>
      <c r="G664" s="65">
        <v>0</v>
      </c>
      <c r="H664" s="65">
        <v>0</v>
      </c>
      <c r="I664" s="65">
        <v>0</v>
      </c>
      <c r="J664" s="65">
        <v>0</v>
      </c>
      <c r="K664" s="65">
        <v>0</v>
      </c>
      <c r="L664" s="65">
        <v>0</v>
      </c>
      <c r="M664" s="65">
        <v>0</v>
      </c>
    </row>
    <row r="665" spans="2:13">
      <c r="B665" s="75" t="s">
        <v>1290</v>
      </c>
      <c r="C665" s="64" t="s">
        <v>1291</v>
      </c>
      <c r="D665" s="67">
        <v>0</v>
      </c>
      <c r="E665" s="67">
        <v>7367900000</v>
      </c>
      <c r="F665" s="67">
        <v>8916100000</v>
      </c>
      <c r="G665" s="67">
        <v>0</v>
      </c>
      <c r="H665" s="67">
        <v>0</v>
      </c>
      <c r="I665" s="67">
        <v>0</v>
      </c>
      <c r="J665" s="67">
        <v>0</v>
      </c>
      <c r="K665" s="67">
        <v>0</v>
      </c>
      <c r="L665" s="67">
        <v>0</v>
      </c>
      <c r="M665" s="67">
        <v>0</v>
      </c>
    </row>
    <row r="666" spans="2:13">
      <c r="B666" s="72" t="s">
        <v>1292</v>
      </c>
    </row>
    <row r="667" spans="2:13">
      <c r="B667" s="73" t="s">
        <v>1293</v>
      </c>
      <c r="C667" s="64" t="s">
        <v>1294</v>
      </c>
      <c r="D667" s="65">
        <v>0</v>
      </c>
      <c r="E667" s="65">
        <v>166400000</v>
      </c>
      <c r="F667" s="65">
        <v>104100000</v>
      </c>
      <c r="G667" s="65">
        <v>14780800000</v>
      </c>
      <c r="H667" s="65">
        <v>2583600000</v>
      </c>
      <c r="I667" s="65">
        <v>4053300000</v>
      </c>
      <c r="J667" s="65">
        <v>4772500000</v>
      </c>
      <c r="K667" s="65">
        <v>5730400000</v>
      </c>
      <c r="L667" s="65">
        <v>3462500000</v>
      </c>
      <c r="M667" s="65">
        <v>17435100000</v>
      </c>
    </row>
    <row r="668" spans="2:13">
      <c r="B668" s="75" t="s">
        <v>1295</v>
      </c>
      <c r="C668" s="64" t="s">
        <v>1296</v>
      </c>
      <c r="D668" s="67">
        <v>0</v>
      </c>
      <c r="E668" s="67">
        <v>166400000</v>
      </c>
      <c r="F668" s="67">
        <v>104100000</v>
      </c>
      <c r="G668" s="67">
        <v>14780800000</v>
      </c>
      <c r="H668" s="67">
        <v>2583600000</v>
      </c>
      <c r="I668" s="67">
        <v>4053300000</v>
      </c>
      <c r="J668" s="67">
        <v>4772500000</v>
      </c>
      <c r="K668" s="67">
        <v>5730400000</v>
      </c>
      <c r="L668" s="67">
        <v>3462500000</v>
      </c>
      <c r="M668" s="67">
        <v>17435100000</v>
      </c>
    </row>
    <row r="669" spans="2:13">
      <c r="B669" s="71" t="s">
        <v>1297</v>
      </c>
      <c r="C669" s="64" t="s">
        <v>1298</v>
      </c>
      <c r="D669" s="65">
        <v>0</v>
      </c>
      <c r="E669" s="65">
        <v>3687000000</v>
      </c>
      <c r="F669" s="65">
        <v>1343600000</v>
      </c>
      <c r="G669" s="65">
        <v>1159800000</v>
      </c>
      <c r="H669" s="65">
        <v>1285800000</v>
      </c>
      <c r="I669" s="65">
        <v>878000000</v>
      </c>
      <c r="J669" s="65">
        <v>810400000</v>
      </c>
      <c r="K669" s="65">
        <v>581300000</v>
      </c>
      <c r="L669" s="65">
        <v>642700000</v>
      </c>
      <c r="M669" s="65">
        <v>956100000</v>
      </c>
    </row>
    <row r="670" spans="2:13">
      <c r="B670" s="74" t="s">
        <v>194</v>
      </c>
      <c r="C670" s="64" t="s">
        <v>751</v>
      </c>
      <c r="D670" s="67">
        <v>0</v>
      </c>
      <c r="E670" s="67">
        <v>11221300000</v>
      </c>
      <c r="F670" s="67">
        <v>10363800000</v>
      </c>
      <c r="G670" s="67">
        <v>15940600000</v>
      </c>
      <c r="H670" s="67">
        <v>3869400000</v>
      </c>
      <c r="I670" s="67">
        <v>4931300000</v>
      </c>
      <c r="J670" s="67">
        <v>5582900000</v>
      </c>
      <c r="K670" s="67">
        <v>6311700000</v>
      </c>
      <c r="L670" s="67">
        <v>4105200000</v>
      </c>
      <c r="M670" s="67">
        <v>18391200000</v>
      </c>
    </row>
    <row r="671" spans="2:13">
      <c r="B671" s="72" t="s">
        <v>1299</v>
      </c>
    </row>
    <row r="672" spans="2:13">
      <c r="B672" s="77" t="s">
        <v>1300</v>
      </c>
    </row>
    <row r="673" spans="1:13">
      <c r="B673" s="80" t="s">
        <v>1297</v>
      </c>
      <c r="C673" s="64" t="s">
        <v>1298</v>
      </c>
      <c r="D673" s="65">
        <v>0</v>
      </c>
      <c r="E673" s="65">
        <v>3687000000</v>
      </c>
      <c r="F673" s="65">
        <v>1343600000</v>
      </c>
      <c r="G673" s="65">
        <v>1159800000</v>
      </c>
      <c r="H673" s="65">
        <v>1285800000</v>
      </c>
      <c r="I673" s="65">
        <v>878000000</v>
      </c>
      <c r="J673" s="65">
        <v>810400000</v>
      </c>
      <c r="K673" s="65">
        <v>581300000</v>
      </c>
      <c r="L673" s="65">
        <v>642700000</v>
      </c>
      <c r="M673" s="65">
        <v>956100000</v>
      </c>
    </row>
    <row r="678" spans="1:13" ht="15.5">
      <c r="A678" t="s">
        <v>27</v>
      </c>
      <c r="B678" s="42" t="s">
        <v>1301</v>
      </c>
    </row>
    <row r="680" spans="1:13">
      <c r="C680" s="62" t="s">
        <v>625</v>
      </c>
      <c r="D680" s="24" t="s">
        <v>30</v>
      </c>
      <c r="E680" s="24" t="s">
        <v>31</v>
      </c>
      <c r="F680" s="24" t="s">
        <v>32</v>
      </c>
      <c r="G680" s="24" t="s">
        <v>33</v>
      </c>
      <c r="H680" s="24" t="s">
        <v>34</v>
      </c>
      <c r="I680" s="24" t="s">
        <v>35</v>
      </c>
      <c r="J680" s="24" t="s">
        <v>36</v>
      </c>
      <c r="K680" s="24" t="s">
        <v>37</v>
      </c>
      <c r="L680" s="24" t="s">
        <v>38</v>
      </c>
      <c r="M680" s="24" t="s">
        <v>39</v>
      </c>
    </row>
    <row r="682" spans="1:13" ht="15.5">
      <c r="B682" s="42" t="s">
        <v>1302</v>
      </c>
    </row>
    <row r="683" spans="1:13">
      <c r="B683" s="63" t="s">
        <v>249</v>
      </c>
      <c r="C683" s="64" t="s">
        <v>1303</v>
      </c>
      <c r="D683" s="65">
        <v>0</v>
      </c>
      <c r="E683" s="65">
        <v>3361200000</v>
      </c>
      <c r="F683" s="65">
        <v>5810700000</v>
      </c>
      <c r="G683" s="65">
        <v>746200000</v>
      </c>
      <c r="H683" s="65">
        <v>823300000</v>
      </c>
      <c r="I683" s="65">
        <v>2625000000</v>
      </c>
      <c r="J683" s="65">
        <v>5004300000</v>
      </c>
      <c r="K683" s="65">
        <v>3673100000</v>
      </c>
      <c r="L683" s="65">
        <v>4268400000</v>
      </c>
      <c r="M683" s="65">
        <v>11128300000</v>
      </c>
    </row>
    <row r="684" spans="1:13">
      <c r="B684" s="66" t="s">
        <v>162</v>
      </c>
      <c r="C684" s="64" t="s">
        <v>717</v>
      </c>
      <c r="D684" s="67">
        <v>0</v>
      </c>
      <c r="E684" s="67">
        <v>3361200000</v>
      </c>
      <c r="F684" s="67">
        <v>5810700000</v>
      </c>
      <c r="G684" s="67">
        <v>746200000</v>
      </c>
      <c r="H684" s="67">
        <v>823300000</v>
      </c>
      <c r="I684" s="67">
        <v>2625000000</v>
      </c>
      <c r="J684" s="67">
        <v>5004300000</v>
      </c>
      <c r="K684" s="67">
        <v>3673100000</v>
      </c>
      <c r="L684" s="67">
        <v>4268400000</v>
      </c>
      <c r="M684" s="67">
        <v>11128300000</v>
      </c>
    </row>
    <row r="686" spans="1:13" ht="15.5">
      <c r="B686" s="42" t="s">
        <v>1304</v>
      </c>
    </row>
    <row r="687" spans="1:13">
      <c r="B687" s="63" t="s">
        <v>222</v>
      </c>
      <c r="C687" s="64" t="s">
        <v>776</v>
      </c>
      <c r="D687" s="65">
        <v>0</v>
      </c>
      <c r="E687" s="65">
        <v>615900000</v>
      </c>
      <c r="F687" s="65">
        <v>-593800000</v>
      </c>
      <c r="G687" s="65">
        <v>-97000000</v>
      </c>
      <c r="H687" s="65">
        <v>76000000</v>
      </c>
      <c r="I687" s="65">
        <v>-133900000</v>
      </c>
      <c r="J687" s="65">
        <v>-94300000</v>
      </c>
      <c r="K687" s="65">
        <v>149300000</v>
      </c>
      <c r="L687" s="65">
        <v>203100000</v>
      </c>
      <c r="M687" s="65">
        <v>15400000</v>
      </c>
    </row>
    <row r="688" spans="1:13">
      <c r="B688" s="66" t="s">
        <v>1305</v>
      </c>
      <c r="C688" s="64" t="s">
        <v>1306</v>
      </c>
      <c r="D688" s="67">
        <v>0</v>
      </c>
      <c r="E688" s="67">
        <v>615900000</v>
      </c>
      <c r="F688" s="67">
        <v>-593800000</v>
      </c>
      <c r="G688" s="67">
        <v>-97000000</v>
      </c>
      <c r="H688" s="67">
        <v>76000000</v>
      </c>
      <c r="I688" s="67">
        <v>-133900000</v>
      </c>
      <c r="J688" s="67">
        <v>-94300000</v>
      </c>
      <c r="K688" s="67">
        <v>149300000</v>
      </c>
      <c r="L688" s="67">
        <v>203100000</v>
      </c>
      <c r="M688" s="67">
        <v>15400000</v>
      </c>
    </row>
    <row r="691" spans="1:13" ht="15.5">
      <c r="A691" t="s">
        <v>27</v>
      </c>
      <c r="B691" s="42" t="s">
        <v>1307</v>
      </c>
    </row>
    <row r="693" spans="1:13">
      <c r="C693" s="62" t="s">
        <v>625</v>
      </c>
      <c r="D693" s="24" t="s">
        <v>30</v>
      </c>
      <c r="E693" s="24" t="s">
        <v>31</v>
      </c>
      <c r="F693" s="24" t="s">
        <v>32</v>
      </c>
      <c r="G693" s="24" t="s">
        <v>33</v>
      </c>
      <c r="H693" s="24" t="s">
        <v>34</v>
      </c>
      <c r="I693" s="24" t="s">
        <v>35</v>
      </c>
      <c r="J693" s="24" t="s">
        <v>36</v>
      </c>
      <c r="K693" s="24" t="s">
        <v>37</v>
      </c>
      <c r="L693" s="24" t="s">
        <v>38</v>
      </c>
      <c r="M693" s="24" t="s">
        <v>39</v>
      </c>
    </row>
    <row r="694" spans="1:13">
      <c r="B694" s="7" t="s">
        <v>1308</v>
      </c>
      <c r="C694" s="64" t="s">
        <v>1309</v>
      </c>
      <c r="D694" s="65">
        <v>0</v>
      </c>
      <c r="E694" s="65">
        <v>42300000</v>
      </c>
      <c r="F694" s="65">
        <v>499300000</v>
      </c>
      <c r="G694" s="65">
        <v>696000000</v>
      </c>
      <c r="H694" s="65">
        <v>1150000000</v>
      </c>
      <c r="I694" s="65">
        <v>0</v>
      </c>
      <c r="J694" s="65">
        <v>0</v>
      </c>
      <c r="K694" s="65">
        <v>0</v>
      </c>
      <c r="L694" s="65">
        <v>0</v>
      </c>
      <c r="M694" s="65">
        <v>0</v>
      </c>
    </row>
    <row r="695" spans="1:13">
      <c r="B695" s="7" t="s">
        <v>1310</v>
      </c>
      <c r="C695" s="64" t="s">
        <v>1311</v>
      </c>
      <c r="D695" s="65">
        <v>0</v>
      </c>
      <c r="E695" s="65">
        <v>675100000</v>
      </c>
      <c r="F695" s="65">
        <v>23400000</v>
      </c>
      <c r="G695" s="65">
        <v>955600000</v>
      </c>
      <c r="H695" s="65">
        <v>1312100000</v>
      </c>
      <c r="I695" s="65">
        <v>0</v>
      </c>
      <c r="J695" s="65">
        <v>0</v>
      </c>
      <c r="K695" s="65">
        <v>0</v>
      </c>
      <c r="L695" s="65">
        <v>0</v>
      </c>
      <c r="M695" s="65">
        <v>0</v>
      </c>
    </row>
    <row r="699" spans="1:13" ht="18.5">
      <c r="A699" t="s">
        <v>27</v>
      </c>
      <c r="B699" s="61" t="s">
        <v>1312</v>
      </c>
    </row>
    <row r="701" spans="1:13" ht="15.5">
      <c r="A701" t="s">
        <v>27</v>
      </c>
      <c r="B701" s="42" t="s">
        <v>1313</v>
      </c>
    </row>
    <row r="703" spans="1:13">
      <c r="C703" s="62" t="s">
        <v>625</v>
      </c>
      <c r="D703" s="24" t="s">
        <v>30</v>
      </c>
      <c r="E703" s="24" t="s">
        <v>31</v>
      </c>
      <c r="F703" s="24" t="s">
        <v>32</v>
      </c>
      <c r="G703" s="24" t="s">
        <v>33</v>
      </c>
      <c r="H703" s="24" t="s">
        <v>34</v>
      </c>
      <c r="I703" s="24" t="s">
        <v>35</v>
      </c>
      <c r="J703" s="24" t="s">
        <v>36</v>
      </c>
      <c r="K703" s="24" t="s">
        <v>37</v>
      </c>
      <c r="L703" s="24" t="s">
        <v>38</v>
      </c>
      <c r="M703" s="24" t="s">
        <v>39</v>
      </c>
    </row>
    <row r="704" spans="1:13">
      <c r="B704" s="68" t="s">
        <v>1314</v>
      </c>
    </row>
    <row r="705" spans="1:13">
      <c r="B705" s="69" t="s">
        <v>1315</v>
      </c>
      <c r="C705" s="64" t="s">
        <v>1316</v>
      </c>
      <c r="D705" s="65">
        <v>0</v>
      </c>
      <c r="E705" s="65">
        <v>10224700000</v>
      </c>
      <c r="F705" s="65">
        <v>3536100000</v>
      </c>
      <c r="G705" s="65">
        <v>0</v>
      </c>
      <c r="H705" s="65">
        <v>0</v>
      </c>
      <c r="I705" s="65">
        <v>0</v>
      </c>
      <c r="J705" s="65">
        <v>0</v>
      </c>
      <c r="K705" s="65">
        <v>0</v>
      </c>
      <c r="L705" s="65">
        <v>0</v>
      </c>
      <c r="M705" s="65">
        <v>0</v>
      </c>
    </row>
    <row r="706" spans="1:13">
      <c r="B706" s="76" t="s">
        <v>1317</v>
      </c>
      <c r="C706" s="64" t="s">
        <v>1318</v>
      </c>
      <c r="D706" s="67">
        <v>0</v>
      </c>
      <c r="E706" s="67">
        <v>10224700000</v>
      </c>
      <c r="F706" s="67">
        <v>3536100000</v>
      </c>
      <c r="G706" s="67">
        <v>0</v>
      </c>
      <c r="H706" s="67">
        <v>0</v>
      </c>
      <c r="I706" s="67">
        <v>0</v>
      </c>
      <c r="J706" s="67">
        <v>0</v>
      </c>
      <c r="K706" s="67">
        <v>0</v>
      </c>
      <c r="L706" s="67">
        <v>0</v>
      </c>
      <c r="M706" s="67">
        <v>0</v>
      </c>
    </row>
    <row r="707" spans="1:13">
      <c r="B707" s="68" t="s">
        <v>1319</v>
      </c>
    </row>
    <row r="708" spans="1:13">
      <c r="B708" s="69" t="s">
        <v>1320</v>
      </c>
      <c r="C708" s="64" t="s">
        <v>1321</v>
      </c>
      <c r="D708" s="65">
        <v>0</v>
      </c>
      <c r="E708" s="65">
        <v>3457600000</v>
      </c>
      <c r="F708" s="65">
        <v>-11489700000</v>
      </c>
      <c r="G708" s="65">
        <v>0</v>
      </c>
      <c r="H708" s="65">
        <v>0</v>
      </c>
      <c r="I708" s="65">
        <v>0</v>
      </c>
      <c r="J708" s="65">
        <v>0</v>
      </c>
      <c r="K708" s="65">
        <v>0</v>
      </c>
      <c r="L708" s="65">
        <v>0</v>
      </c>
      <c r="M708" s="65">
        <v>0</v>
      </c>
    </row>
    <row r="709" spans="1:13">
      <c r="B709" s="76" t="s">
        <v>1322</v>
      </c>
      <c r="C709" s="64" t="s">
        <v>1323</v>
      </c>
      <c r="D709" s="67">
        <v>0</v>
      </c>
      <c r="E709" s="67">
        <v>3457600000</v>
      </c>
      <c r="F709" s="67">
        <v>-11489700000</v>
      </c>
      <c r="G709" s="67">
        <v>0</v>
      </c>
      <c r="H709" s="67">
        <v>0</v>
      </c>
      <c r="I709" s="67">
        <v>0</v>
      </c>
      <c r="J709" s="67">
        <v>0</v>
      </c>
      <c r="K709" s="67">
        <v>0</v>
      </c>
      <c r="L709" s="67">
        <v>0</v>
      </c>
      <c r="M709" s="67">
        <v>0</v>
      </c>
    </row>
    <row r="710" spans="1:13">
      <c r="B710" s="68" t="s">
        <v>1324</v>
      </c>
    </row>
    <row r="711" spans="1:13">
      <c r="B711" s="69" t="s">
        <v>1325</v>
      </c>
      <c r="C711" s="64" t="s">
        <v>1326</v>
      </c>
      <c r="D711" s="65">
        <v>0</v>
      </c>
      <c r="E711" s="65">
        <v>3557000000</v>
      </c>
      <c r="F711" s="65">
        <v>-11561400000</v>
      </c>
      <c r="G711" s="65">
        <v>0</v>
      </c>
      <c r="H711" s="65">
        <v>0</v>
      </c>
      <c r="I711" s="65">
        <v>0</v>
      </c>
      <c r="J711" s="65">
        <v>0</v>
      </c>
      <c r="K711" s="65">
        <v>0</v>
      </c>
      <c r="L711" s="65">
        <v>0</v>
      </c>
      <c r="M711" s="65">
        <v>0</v>
      </c>
    </row>
    <row r="712" spans="1:13">
      <c r="B712" s="76" t="s">
        <v>1327</v>
      </c>
      <c r="C712" s="64" t="s">
        <v>1328</v>
      </c>
      <c r="D712" s="67">
        <v>0</v>
      </c>
      <c r="E712" s="67">
        <v>3557000000</v>
      </c>
      <c r="F712" s="67">
        <v>-11561400000</v>
      </c>
      <c r="G712" s="67">
        <v>0</v>
      </c>
      <c r="H712" s="67">
        <v>0</v>
      </c>
      <c r="I712" s="67">
        <v>0</v>
      </c>
      <c r="J712" s="67">
        <v>0</v>
      </c>
      <c r="K712" s="67">
        <v>0</v>
      </c>
      <c r="L712" s="67">
        <v>0</v>
      </c>
      <c r="M712" s="67">
        <v>0</v>
      </c>
    </row>
    <row r="717" spans="1:13" ht="15.5">
      <c r="A717" t="s">
        <v>27</v>
      </c>
      <c r="B717" s="42" t="s">
        <v>1329</v>
      </c>
    </row>
    <row r="719" spans="1:13">
      <c r="C719" s="62" t="s">
        <v>625</v>
      </c>
      <c r="D719" s="24" t="s">
        <v>30</v>
      </c>
      <c r="E719" s="24" t="s">
        <v>31</v>
      </c>
      <c r="F719" s="24" t="s">
        <v>32</v>
      </c>
      <c r="G719" s="24" t="s">
        <v>33</v>
      </c>
      <c r="H719" s="24" t="s">
        <v>34</v>
      </c>
      <c r="I719" s="24" t="s">
        <v>35</v>
      </c>
      <c r="J719" s="24" t="s">
        <v>36</v>
      </c>
      <c r="K719" s="24" t="s">
        <v>37</v>
      </c>
      <c r="L719" s="24" t="s">
        <v>38</v>
      </c>
      <c r="M719" s="24" t="s">
        <v>39</v>
      </c>
    </row>
    <row r="721" spans="1:13" ht="15.5">
      <c r="B721" s="42" t="s">
        <v>1330</v>
      </c>
    </row>
    <row r="722" spans="1:13">
      <c r="B722" s="68" t="s">
        <v>757</v>
      </c>
    </row>
    <row r="723" spans="1:13">
      <c r="B723" s="69" t="s">
        <v>1331</v>
      </c>
      <c r="C723" s="64" t="s">
        <v>1332</v>
      </c>
      <c r="D723" s="65">
        <v>0</v>
      </c>
      <c r="E723" s="65">
        <v>16088300000</v>
      </c>
      <c r="F723" s="65">
        <v>-1094400000</v>
      </c>
      <c r="G723" s="65">
        <v>12667400000</v>
      </c>
      <c r="H723" s="65">
        <v>-9290400000</v>
      </c>
      <c r="I723" s="65">
        <v>5305000000</v>
      </c>
      <c r="J723" s="65">
        <v>13019000000</v>
      </c>
      <c r="K723" s="65">
        <v>4666600000</v>
      </c>
      <c r="L723" s="65">
        <v>795300000</v>
      </c>
      <c r="M723" s="65">
        <v>10919600000</v>
      </c>
    </row>
    <row r="724" spans="1:13">
      <c r="B724" s="76" t="s">
        <v>223</v>
      </c>
      <c r="C724" s="64" t="s">
        <v>777</v>
      </c>
      <c r="D724" s="67">
        <v>0</v>
      </c>
      <c r="E724" s="67">
        <v>16088300000</v>
      </c>
      <c r="F724" s="67">
        <v>-1094400000</v>
      </c>
      <c r="G724" s="67">
        <v>12667400000</v>
      </c>
      <c r="H724" s="67">
        <v>-9290400000</v>
      </c>
      <c r="I724" s="67">
        <v>5305000000</v>
      </c>
      <c r="J724" s="67">
        <v>13019000000</v>
      </c>
      <c r="K724" s="67">
        <v>4666600000</v>
      </c>
      <c r="L724" s="67">
        <v>795300000</v>
      </c>
      <c r="M724" s="67">
        <v>10919600000</v>
      </c>
    </row>
    <row r="725" spans="1:13">
      <c r="B725" s="68" t="s">
        <v>224</v>
      </c>
    </row>
    <row r="726" spans="1:13">
      <c r="B726" s="69" t="s">
        <v>1333</v>
      </c>
      <c r="C726" s="64" t="s">
        <v>1334</v>
      </c>
      <c r="D726" s="65">
        <v>0</v>
      </c>
      <c r="E726" s="65">
        <v>-6502700000</v>
      </c>
      <c r="F726" s="65">
        <v>-1334600000</v>
      </c>
      <c r="G726" s="65">
        <v>1251500000</v>
      </c>
      <c r="H726" s="65">
        <v>-324600000</v>
      </c>
      <c r="I726" s="65">
        <v>-237300000</v>
      </c>
      <c r="J726" s="65">
        <v>-184300000</v>
      </c>
      <c r="K726" s="65">
        <v>849100000</v>
      </c>
      <c r="L726" s="65">
        <v>-1515500000</v>
      </c>
      <c r="M726" s="65">
        <v>-7517400000</v>
      </c>
    </row>
    <row r="727" spans="1:13">
      <c r="B727" s="76" t="s">
        <v>235</v>
      </c>
      <c r="C727" s="64" t="s">
        <v>788</v>
      </c>
      <c r="D727" s="67">
        <v>0</v>
      </c>
      <c r="E727" s="67">
        <v>-6502700000</v>
      </c>
      <c r="F727" s="67">
        <v>-1334600000</v>
      </c>
      <c r="G727" s="67">
        <v>1251500000</v>
      </c>
      <c r="H727" s="67">
        <v>-324600000</v>
      </c>
      <c r="I727" s="67">
        <v>-237300000</v>
      </c>
      <c r="J727" s="67">
        <v>-184300000</v>
      </c>
      <c r="K727" s="67">
        <v>849100000</v>
      </c>
      <c r="L727" s="67">
        <v>-1515500000</v>
      </c>
      <c r="M727" s="67">
        <v>-7517400000</v>
      </c>
    </row>
    <row r="728" spans="1:13">
      <c r="B728" s="68" t="s">
        <v>236</v>
      </c>
    </row>
    <row r="729" spans="1:13">
      <c r="B729" s="69" t="s">
        <v>1335</v>
      </c>
      <c r="C729" s="64" t="s">
        <v>1336</v>
      </c>
      <c r="D729" s="65">
        <v>0</v>
      </c>
      <c r="E729" s="65">
        <v>-12490200000</v>
      </c>
      <c r="F729" s="65">
        <v>4923800000</v>
      </c>
      <c r="G729" s="65">
        <v>-18983400000</v>
      </c>
      <c r="H729" s="65">
        <v>9692400000</v>
      </c>
      <c r="I729" s="65">
        <v>-3266000000</v>
      </c>
      <c r="J729" s="65">
        <v>-10449500000</v>
      </c>
      <c r="K729" s="65">
        <v>-6844900000</v>
      </c>
      <c r="L729" s="65">
        <v>1316300000</v>
      </c>
      <c r="M729" s="65">
        <v>3430100000</v>
      </c>
    </row>
    <row r="730" spans="1:13">
      <c r="B730" s="76" t="s">
        <v>244</v>
      </c>
      <c r="C730" s="64" t="s">
        <v>797</v>
      </c>
      <c r="D730" s="67">
        <v>0</v>
      </c>
      <c r="E730" s="67">
        <v>-12490200000</v>
      </c>
      <c r="F730" s="67">
        <v>4923800000</v>
      </c>
      <c r="G730" s="67">
        <v>-18983400000</v>
      </c>
      <c r="H730" s="67">
        <v>9692400000</v>
      </c>
      <c r="I730" s="67">
        <v>-3266000000</v>
      </c>
      <c r="J730" s="67">
        <v>-10449500000</v>
      </c>
      <c r="K730" s="67">
        <v>-6844900000</v>
      </c>
      <c r="L730" s="67">
        <v>1316300000</v>
      </c>
      <c r="M730" s="67">
        <v>3430100000</v>
      </c>
    </row>
    <row r="733" spans="1:13" ht="15.5">
      <c r="A733" t="s">
        <v>27</v>
      </c>
      <c r="B733" s="42" t="s">
        <v>1337</v>
      </c>
    </row>
    <row r="735" spans="1:13">
      <c r="C735" s="62" t="s">
        <v>625</v>
      </c>
      <c r="D735" s="24" t="s">
        <v>30</v>
      </c>
      <c r="E735" s="24" t="s">
        <v>31</v>
      </c>
      <c r="F735" s="24" t="s">
        <v>32</v>
      </c>
      <c r="G735" s="24" t="s">
        <v>33</v>
      </c>
      <c r="H735" s="24" t="s">
        <v>34</v>
      </c>
      <c r="I735" s="24" t="s">
        <v>35</v>
      </c>
      <c r="J735" s="24" t="s">
        <v>36</v>
      </c>
      <c r="K735" s="24" t="s">
        <v>37</v>
      </c>
      <c r="L735" s="24" t="s">
        <v>38</v>
      </c>
      <c r="M735" s="24" t="s">
        <v>39</v>
      </c>
    </row>
    <row r="736" spans="1:13">
      <c r="B736" s="63" t="s">
        <v>1338</v>
      </c>
      <c r="C736" s="64" t="s">
        <v>1339</v>
      </c>
      <c r="D736" s="65">
        <v>0</v>
      </c>
      <c r="E736" s="65">
        <v>37821800</v>
      </c>
      <c r="F736" s="65">
        <v>31041300</v>
      </c>
      <c r="G736" s="65">
        <v>62082600</v>
      </c>
      <c r="H736" s="65">
        <v>0</v>
      </c>
      <c r="I736" s="65">
        <v>0</v>
      </c>
      <c r="J736" s="65">
        <v>0</v>
      </c>
      <c r="K736" s="65">
        <v>0</v>
      </c>
      <c r="L736" s="65">
        <v>0</v>
      </c>
      <c r="M736" s="65">
        <v>238482850</v>
      </c>
    </row>
    <row r="737" spans="2:13">
      <c r="B737" s="68" t="s">
        <v>1340</v>
      </c>
    </row>
    <row r="738" spans="2:13">
      <c r="B738" s="69" t="s">
        <v>1341</v>
      </c>
      <c r="C738" s="64" t="s">
        <v>1342</v>
      </c>
      <c r="D738" s="65">
        <v>0</v>
      </c>
      <c r="E738" s="65">
        <v>0</v>
      </c>
      <c r="F738" s="65">
        <v>0</v>
      </c>
      <c r="G738" s="65">
        <v>0</v>
      </c>
      <c r="H738" s="65">
        <v>0</v>
      </c>
      <c r="I738" s="65">
        <v>0</v>
      </c>
      <c r="J738" s="65">
        <v>0</v>
      </c>
      <c r="K738" s="65">
        <v>0</v>
      </c>
      <c r="L738" s="65">
        <v>0</v>
      </c>
      <c r="M738" s="65">
        <v>74540000</v>
      </c>
    </row>
    <row r="739" spans="2:13">
      <c r="B739" s="69" t="s">
        <v>1343</v>
      </c>
      <c r="C739" s="64" t="s">
        <v>1344</v>
      </c>
      <c r="D739" s="65">
        <v>0</v>
      </c>
      <c r="E739" s="65">
        <v>-2519000</v>
      </c>
      <c r="F739" s="65">
        <v>-6780500</v>
      </c>
      <c r="G739" s="65">
        <v>1596300</v>
      </c>
      <c r="H739" s="65">
        <v>0</v>
      </c>
      <c r="I739" s="65">
        <v>0</v>
      </c>
      <c r="J739" s="65">
        <v>0</v>
      </c>
      <c r="K739" s="65">
        <v>0</v>
      </c>
      <c r="L739" s="65">
        <v>0</v>
      </c>
      <c r="M739" s="65">
        <v>13870500</v>
      </c>
    </row>
    <row r="740" spans="2:13">
      <c r="B740" s="69" t="s">
        <v>1345</v>
      </c>
      <c r="C740" s="64" t="s">
        <v>1346</v>
      </c>
      <c r="D740" s="65">
        <v>0</v>
      </c>
      <c r="E740" s="65">
        <v>0</v>
      </c>
      <c r="F740" s="65">
        <v>0</v>
      </c>
      <c r="G740" s="65">
        <v>0</v>
      </c>
      <c r="H740" s="65">
        <v>0</v>
      </c>
      <c r="I740" s="65">
        <v>0</v>
      </c>
      <c r="J740" s="65">
        <v>0</v>
      </c>
      <c r="K740" s="65">
        <v>0</v>
      </c>
      <c r="L740" s="65">
        <v>0</v>
      </c>
      <c r="M740" s="65">
        <v>44232350</v>
      </c>
    </row>
    <row r="741" spans="2:13">
      <c r="B741" s="69" t="s">
        <v>1347</v>
      </c>
      <c r="C741" s="64" t="s">
        <v>1348</v>
      </c>
      <c r="D741" s="65">
        <v>0</v>
      </c>
      <c r="E741" s="65">
        <v>0</v>
      </c>
      <c r="F741" s="65">
        <v>0</v>
      </c>
      <c r="G741" s="65">
        <v>29445000</v>
      </c>
      <c r="H741" s="65">
        <v>-62082600</v>
      </c>
      <c r="I741" s="65">
        <v>0</v>
      </c>
      <c r="J741" s="65">
        <v>0</v>
      </c>
      <c r="K741" s="65">
        <v>0</v>
      </c>
      <c r="L741" s="65">
        <v>0</v>
      </c>
      <c r="M741" s="65">
        <v>0</v>
      </c>
    </row>
    <row r="742" spans="2:13">
      <c r="B742" s="76" t="s">
        <v>1349</v>
      </c>
      <c r="C742" s="64" t="s">
        <v>1350</v>
      </c>
      <c r="D742" s="67">
        <v>0</v>
      </c>
      <c r="E742" s="67">
        <v>-2519000</v>
      </c>
      <c r="F742" s="67">
        <v>-6780500</v>
      </c>
      <c r="G742" s="67">
        <v>31041300</v>
      </c>
      <c r="H742" s="67">
        <v>-62082600</v>
      </c>
      <c r="I742" s="67">
        <v>0</v>
      </c>
      <c r="J742" s="67">
        <v>0</v>
      </c>
      <c r="K742" s="67">
        <v>0</v>
      </c>
      <c r="L742" s="67">
        <v>0</v>
      </c>
      <c r="M742" s="67">
        <v>132642850</v>
      </c>
    </row>
    <row r="743" spans="2:13">
      <c r="B743" s="63" t="s">
        <v>1338</v>
      </c>
      <c r="C743" s="64" t="s">
        <v>1339</v>
      </c>
      <c r="D743" s="65">
        <v>0</v>
      </c>
      <c r="E743" s="65">
        <v>37821800</v>
      </c>
      <c r="F743" s="65">
        <v>31041300</v>
      </c>
      <c r="G743" s="65">
        <v>62082600</v>
      </c>
      <c r="H743" s="65">
        <v>0</v>
      </c>
      <c r="I743" s="65">
        <v>0</v>
      </c>
      <c r="J743" s="65">
        <v>0</v>
      </c>
      <c r="K743" s="65">
        <v>0</v>
      </c>
      <c r="L743" s="65">
        <v>0</v>
      </c>
      <c r="M743" s="65">
        <v>238482850</v>
      </c>
    </row>
    <row r="744" spans="2:13">
      <c r="B744" s="63" t="s">
        <v>1351</v>
      </c>
      <c r="C744" s="64" t="s">
        <v>1352</v>
      </c>
      <c r="D744" s="65">
        <v>0</v>
      </c>
      <c r="E744" s="65">
        <v>37821800</v>
      </c>
      <c r="F744" s="65">
        <v>31041300</v>
      </c>
      <c r="G744" s="65">
        <v>0</v>
      </c>
      <c r="H744" s="65">
        <v>0</v>
      </c>
      <c r="I744" s="65">
        <v>0</v>
      </c>
      <c r="J744" s="65">
        <v>0</v>
      </c>
      <c r="K744" s="65">
        <v>0</v>
      </c>
      <c r="L744" s="65">
        <v>0</v>
      </c>
      <c r="M744" s="65">
        <v>1312150</v>
      </c>
    </row>
    <row r="745" spans="2:13">
      <c r="B745" s="63" t="s">
        <v>1353</v>
      </c>
      <c r="C745" s="64" t="s">
        <v>1354</v>
      </c>
      <c r="D745" s="65">
        <v>0</v>
      </c>
      <c r="E745" s="65">
        <v>0</v>
      </c>
      <c r="F745" s="65">
        <v>0</v>
      </c>
      <c r="G745" s="65">
        <v>0</v>
      </c>
      <c r="H745" s="65">
        <v>0</v>
      </c>
      <c r="I745" s="65">
        <v>0</v>
      </c>
      <c r="J745" s="65">
        <v>0</v>
      </c>
      <c r="K745" s="65">
        <v>0</v>
      </c>
      <c r="L745" s="65">
        <v>0</v>
      </c>
      <c r="M745" s="65">
        <v>598000000</v>
      </c>
    </row>
    <row r="746" spans="2:13">
      <c r="B746" s="68" t="s">
        <v>1355</v>
      </c>
    </row>
    <row r="747" spans="2:13">
      <c r="B747" s="69" t="s">
        <v>1356</v>
      </c>
      <c r="C747" s="64" t="s">
        <v>1357</v>
      </c>
      <c r="D747" s="65">
        <v>0</v>
      </c>
      <c r="E747" s="65">
        <v>0</v>
      </c>
      <c r="F747" s="65">
        <v>0</v>
      </c>
      <c r="G747" s="65">
        <v>0</v>
      </c>
      <c r="H747" s="65">
        <v>0</v>
      </c>
      <c r="I747" s="65">
        <v>0</v>
      </c>
      <c r="J747" s="65">
        <v>0</v>
      </c>
      <c r="K747" s="65">
        <v>0</v>
      </c>
      <c r="L747" s="65">
        <v>0</v>
      </c>
      <c r="M747" s="65">
        <v>598000000</v>
      </c>
    </row>
    <row r="748" spans="2:13">
      <c r="B748" s="76" t="s">
        <v>1358</v>
      </c>
      <c r="C748" s="64" t="s">
        <v>1359</v>
      </c>
      <c r="D748" s="67">
        <v>0</v>
      </c>
      <c r="E748" s="67">
        <v>0</v>
      </c>
      <c r="F748" s="67">
        <v>0</v>
      </c>
      <c r="G748" s="67">
        <v>0</v>
      </c>
      <c r="H748" s="67">
        <v>0</v>
      </c>
      <c r="I748" s="67">
        <v>0</v>
      </c>
      <c r="J748" s="67">
        <v>0</v>
      </c>
      <c r="K748" s="67">
        <v>0</v>
      </c>
      <c r="L748" s="67">
        <v>0</v>
      </c>
      <c r="M748" s="67">
        <v>598000000</v>
      </c>
    </row>
    <row r="749" spans="2:13">
      <c r="B749" s="63" t="s">
        <v>1353</v>
      </c>
      <c r="C749" s="64" t="s">
        <v>1354</v>
      </c>
      <c r="D749" s="65">
        <v>0</v>
      </c>
      <c r="E749" s="65">
        <v>0</v>
      </c>
      <c r="F749" s="65">
        <v>0</v>
      </c>
      <c r="G749" s="65">
        <v>0</v>
      </c>
      <c r="H749" s="65">
        <v>0</v>
      </c>
      <c r="I749" s="65">
        <v>0</v>
      </c>
      <c r="J749" s="65">
        <v>0</v>
      </c>
      <c r="K749" s="65">
        <v>0</v>
      </c>
      <c r="L749" s="65">
        <v>0</v>
      </c>
      <c r="M749" s="65">
        <v>598000000</v>
      </c>
    </row>
    <row r="750" spans="2:13">
      <c r="B750" s="7" t="s">
        <v>1360</v>
      </c>
      <c r="C750" s="64" t="s">
        <v>1361</v>
      </c>
      <c r="D750" s="65">
        <v>0</v>
      </c>
      <c r="E750" s="65">
        <v>0</v>
      </c>
      <c r="F750" s="65">
        <v>0</v>
      </c>
      <c r="G750" s="65">
        <v>0</v>
      </c>
      <c r="H750" s="65">
        <v>0</v>
      </c>
      <c r="I750" s="65">
        <v>0</v>
      </c>
      <c r="J750" s="65">
        <v>0</v>
      </c>
      <c r="K750" s="65">
        <v>0</v>
      </c>
      <c r="L750" s="65">
        <v>0</v>
      </c>
      <c r="M750" s="65">
        <v>598000000</v>
      </c>
    </row>
    <row r="751" spans="2:13">
      <c r="B751" s="71" t="s">
        <v>1362</v>
      </c>
      <c r="C751" s="64" t="s">
        <v>1363</v>
      </c>
      <c r="D751" s="65">
        <v>0</v>
      </c>
      <c r="E751" s="65">
        <v>133700000</v>
      </c>
      <c r="F751" s="65">
        <v>145100000</v>
      </c>
      <c r="G751" s="65">
        <v>133700000</v>
      </c>
      <c r="H751" s="65">
        <v>0</v>
      </c>
      <c r="I751" s="65">
        <v>0</v>
      </c>
      <c r="J751" s="65">
        <v>0</v>
      </c>
      <c r="K751" s="65">
        <v>0</v>
      </c>
      <c r="L751" s="65">
        <v>0</v>
      </c>
      <c r="M751" s="65">
        <v>0</v>
      </c>
    </row>
    <row r="752" spans="2:13">
      <c r="B752" s="71" t="s">
        <v>1364</v>
      </c>
      <c r="C752" s="64" t="s">
        <v>1365</v>
      </c>
      <c r="D752" s="65">
        <v>0</v>
      </c>
      <c r="E752" s="65">
        <v>0.65449999999999997</v>
      </c>
      <c r="F752" s="65">
        <v>0.63790000000000002</v>
      </c>
      <c r="G752" s="65">
        <v>0.65449999999999997</v>
      </c>
      <c r="H752" s="65">
        <v>0</v>
      </c>
      <c r="I752" s="65">
        <v>0</v>
      </c>
      <c r="J752" s="65">
        <v>0</v>
      </c>
      <c r="K752" s="65">
        <v>0</v>
      </c>
      <c r="L752" s="65">
        <v>0</v>
      </c>
      <c r="M752" s="65">
        <v>0</v>
      </c>
    </row>
    <row r="753" spans="2:13">
      <c r="B753" s="71" t="s">
        <v>1366</v>
      </c>
      <c r="C753" s="64" t="s">
        <v>1367</v>
      </c>
      <c r="D753" s="65">
        <v>0</v>
      </c>
      <c r="E753" s="65">
        <v>2</v>
      </c>
      <c r="F753" s="65">
        <v>2.5</v>
      </c>
      <c r="G753" s="65">
        <v>2</v>
      </c>
      <c r="H753" s="65">
        <v>0</v>
      </c>
      <c r="I753" s="65">
        <v>0</v>
      </c>
      <c r="J753" s="65">
        <v>0</v>
      </c>
      <c r="K753" s="65">
        <v>0</v>
      </c>
      <c r="L753" s="65">
        <v>0</v>
      </c>
      <c r="M753" s="65">
        <v>0</v>
      </c>
    </row>
    <row r="754" spans="2:13">
      <c r="B754" s="71" t="s">
        <v>1368</v>
      </c>
      <c r="C754" s="64" t="s">
        <v>1369</v>
      </c>
      <c r="D754" s="65">
        <v>0</v>
      </c>
      <c r="E754" s="65">
        <v>8.6300000000000002E-2</v>
      </c>
      <c r="F754" s="65">
        <v>8.6400000000000005E-2</v>
      </c>
      <c r="G754" s="65">
        <v>8.6300000000000002E-2</v>
      </c>
      <c r="H754" s="65">
        <v>0</v>
      </c>
      <c r="I754" s="65">
        <v>0</v>
      </c>
      <c r="J754" s="65">
        <v>0</v>
      </c>
      <c r="K754" s="65">
        <v>0</v>
      </c>
      <c r="L754" s="65">
        <v>0</v>
      </c>
      <c r="M754" s="65">
        <v>0</v>
      </c>
    </row>
    <row r="756" spans="2:13" ht="15.5">
      <c r="B756" s="42" t="s">
        <v>1370</v>
      </c>
    </row>
    <row r="757" spans="2:13">
      <c r="B757" s="63" t="s">
        <v>1371</v>
      </c>
      <c r="C757" s="64" t="s">
        <v>1372</v>
      </c>
      <c r="D757" s="65">
        <v>0</v>
      </c>
      <c r="E757" s="65">
        <v>26000000</v>
      </c>
      <c r="F757" s="65">
        <v>0</v>
      </c>
      <c r="G757" s="65">
        <v>0</v>
      </c>
      <c r="H757" s="65">
        <v>0</v>
      </c>
      <c r="I757" s="65">
        <v>0</v>
      </c>
      <c r="J757" s="65">
        <v>0</v>
      </c>
      <c r="K757" s="65">
        <v>0</v>
      </c>
      <c r="L757" s="65">
        <v>0</v>
      </c>
      <c r="M757" s="65">
        <v>0</v>
      </c>
    </row>
    <row r="758" spans="2:13">
      <c r="B758" s="66" t="s">
        <v>1373</v>
      </c>
      <c r="C758" s="64" t="s">
        <v>1374</v>
      </c>
      <c r="D758" s="67">
        <v>0</v>
      </c>
      <c r="E758" s="67">
        <v>26000000</v>
      </c>
      <c r="F758" s="67">
        <v>0</v>
      </c>
      <c r="G758" s="67">
        <v>0</v>
      </c>
      <c r="H758" s="67">
        <v>0</v>
      </c>
      <c r="I758" s="67">
        <v>0</v>
      </c>
      <c r="J758" s="67">
        <v>0</v>
      </c>
      <c r="K758" s="67">
        <v>0</v>
      </c>
      <c r="L758" s="67">
        <v>0</v>
      </c>
      <c r="M758" s="67">
        <v>0</v>
      </c>
    </row>
    <row r="760" spans="2:13" ht="15.5">
      <c r="B760" s="42" t="s">
        <v>1375</v>
      </c>
    </row>
    <row r="761" spans="2:13">
      <c r="B761" s="66" t="s">
        <v>1373</v>
      </c>
      <c r="C761" s="64" t="s">
        <v>1374</v>
      </c>
      <c r="D761" s="67">
        <v>0</v>
      </c>
      <c r="E761" s="67">
        <v>26000000</v>
      </c>
      <c r="F761" s="67">
        <v>0</v>
      </c>
      <c r="G761" s="67">
        <v>0</v>
      </c>
      <c r="H761" s="67">
        <v>0</v>
      </c>
      <c r="I761" s="67">
        <v>0</v>
      </c>
      <c r="J761" s="67">
        <v>0</v>
      </c>
      <c r="K761" s="67">
        <v>0</v>
      </c>
      <c r="L761" s="67">
        <v>0</v>
      </c>
      <c r="M761" s="67">
        <v>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745"/>
  <sheetViews>
    <sheetView workbookViewId="0"/>
  </sheetViews>
  <sheetFormatPr defaultRowHeight="14.5"/>
  <cols>
    <col min="1" max="1" width="3" customWidth="1"/>
    <col min="2" max="2" width="62" customWidth="1"/>
    <col min="3" max="3" width="42" customWidth="1"/>
    <col min="4" max="13" width="22" customWidth="1"/>
  </cols>
  <sheetData>
    <row r="1" spans="1:13" ht="18.5">
      <c r="B1" s="61" t="s">
        <v>623</v>
      </c>
    </row>
    <row r="3" spans="1:13">
      <c r="A3" t="s">
        <v>27</v>
      </c>
      <c r="B3" s="24" t="s">
        <v>113</v>
      </c>
    </row>
    <row r="4" spans="1:13">
      <c r="B4" t="s">
        <v>624</v>
      </c>
    </row>
    <row r="6" spans="1:13">
      <c r="C6" s="62" t="s">
        <v>625</v>
      </c>
      <c r="D6" s="24" t="s">
        <v>30</v>
      </c>
      <c r="E6" s="24" t="s">
        <v>31</v>
      </c>
      <c r="F6" s="24" t="s">
        <v>32</v>
      </c>
      <c r="G6" s="24" t="s">
        <v>33</v>
      </c>
      <c r="H6" s="24" t="s">
        <v>34</v>
      </c>
      <c r="I6" s="24" t="s">
        <v>35</v>
      </c>
      <c r="J6" s="24" t="s">
        <v>36</v>
      </c>
      <c r="K6" s="24" t="s">
        <v>37</v>
      </c>
      <c r="L6" s="24" t="s">
        <v>38</v>
      </c>
      <c r="M6" s="24" t="s">
        <v>39</v>
      </c>
    </row>
    <row r="7" spans="1:13" ht="15.5">
      <c r="B7" s="42" t="s">
        <v>114</v>
      </c>
    </row>
    <row r="8" spans="1:13">
      <c r="B8" s="63" t="s">
        <v>115</v>
      </c>
      <c r="C8" s="64" t="s">
        <v>626</v>
      </c>
      <c r="D8" s="65">
        <v>0</v>
      </c>
      <c r="E8" s="65">
        <v>92456800000</v>
      </c>
      <c r="F8" s="65">
        <v>61664800000</v>
      </c>
      <c r="G8" s="65">
        <v>25435000000</v>
      </c>
      <c r="H8" s="65">
        <v>3759500000</v>
      </c>
      <c r="I8" s="65">
        <v>12473100000</v>
      </c>
      <c r="J8" s="65">
        <v>40400400000</v>
      </c>
      <c r="K8" s="65">
        <v>35904400000</v>
      </c>
      <c r="L8" s="65">
        <v>38602500000</v>
      </c>
      <c r="M8" s="65">
        <v>101977200000</v>
      </c>
    </row>
    <row r="9" spans="1:13">
      <c r="B9" s="63" t="s">
        <v>116</v>
      </c>
      <c r="C9" s="64" t="s">
        <v>627</v>
      </c>
      <c r="D9" s="65">
        <v>0</v>
      </c>
      <c r="E9" s="65">
        <v>4009700000</v>
      </c>
      <c r="F9" s="65">
        <v>3691600000</v>
      </c>
      <c r="G9" s="65">
        <v>4359800000</v>
      </c>
      <c r="H9" s="65">
        <v>2361800000</v>
      </c>
      <c r="I9" s="65">
        <v>697500000</v>
      </c>
      <c r="J9" s="65">
        <v>630200000</v>
      </c>
      <c r="K9" s="65">
        <v>1922200000</v>
      </c>
      <c r="L9" s="65">
        <v>1928800000</v>
      </c>
      <c r="M9" s="65">
        <v>1023100000</v>
      </c>
    </row>
    <row r="10" spans="1:13">
      <c r="B10" s="66" t="s">
        <v>117</v>
      </c>
      <c r="C10" s="64" t="s">
        <v>628</v>
      </c>
      <c r="D10" s="67">
        <v>0</v>
      </c>
      <c r="E10" s="67">
        <v>96466500000</v>
      </c>
      <c r="F10" s="67">
        <v>65356400000</v>
      </c>
      <c r="G10" s="67">
        <v>29794800000</v>
      </c>
      <c r="H10" s="67">
        <v>6121300000</v>
      </c>
      <c r="I10" s="67">
        <v>13170600000</v>
      </c>
      <c r="J10" s="67">
        <v>41030600000</v>
      </c>
      <c r="K10" s="67">
        <v>37826600000</v>
      </c>
      <c r="L10" s="67">
        <v>40531300000</v>
      </c>
      <c r="M10" s="67">
        <v>103000300000</v>
      </c>
    </row>
    <row r="11" spans="1:13" ht="15.5">
      <c r="B11" s="42" t="s">
        <v>629</v>
      </c>
    </row>
    <row r="12" spans="1:13">
      <c r="B12" s="63" t="s">
        <v>119</v>
      </c>
      <c r="C12" s="64" t="s">
        <v>630</v>
      </c>
      <c r="D12" s="65">
        <v>0</v>
      </c>
      <c r="E12" s="65">
        <v>58734400000</v>
      </c>
      <c r="F12" s="65">
        <v>27451000000</v>
      </c>
      <c r="G12" s="65">
        <v>15179200000</v>
      </c>
      <c r="H12" s="65">
        <v>2730600000</v>
      </c>
      <c r="I12" s="65">
        <v>6855100000</v>
      </c>
      <c r="J12" s="65">
        <v>30843300000</v>
      </c>
      <c r="K12" s="65">
        <v>26629700000</v>
      </c>
      <c r="L12" s="65">
        <v>28531300000</v>
      </c>
      <c r="M12" s="65">
        <v>69868900000</v>
      </c>
    </row>
    <row r="13" spans="1:13">
      <c r="B13" s="63" t="s">
        <v>120</v>
      </c>
      <c r="C13" s="64" t="s">
        <v>631</v>
      </c>
      <c r="D13" s="65">
        <v>0</v>
      </c>
      <c r="E13" s="65">
        <v>4919900000</v>
      </c>
      <c r="F13" s="65">
        <v>9879500000</v>
      </c>
      <c r="G13" s="65">
        <v>58100000</v>
      </c>
      <c r="H13" s="65">
        <v>0</v>
      </c>
      <c r="I13" s="65">
        <v>0</v>
      </c>
      <c r="J13" s="65">
        <v>0</v>
      </c>
      <c r="K13" s="65">
        <v>0</v>
      </c>
      <c r="L13" s="65">
        <v>0</v>
      </c>
      <c r="M13" s="65">
        <v>0</v>
      </c>
    </row>
    <row r="14" spans="1:13">
      <c r="B14" s="63" t="s">
        <v>121</v>
      </c>
      <c r="C14" s="64" t="s">
        <v>632</v>
      </c>
      <c r="D14" s="65">
        <v>0</v>
      </c>
      <c r="E14" s="65">
        <v>-8235700000</v>
      </c>
      <c r="F14" s="65">
        <v>3853000000</v>
      </c>
      <c r="G14" s="65">
        <v>1960000000</v>
      </c>
      <c r="H14" s="65">
        <v>1083100000</v>
      </c>
      <c r="I14" s="65">
        <v>630100000</v>
      </c>
      <c r="J14" s="65">
        <v>96700000</v>
      </c>
      <c r="K14" s="65">
        <v>775300000</v>
      </c>
      <c r="L14" s="65">
        <v>-452900000</v>
      </c>
      <c r="M14" s="65">
        <v>-2691700000</v>
      </c>
    </row>
    <row r="15" spans="1:13">
      <c r="B15" s="63" t="s">
        <v>633</v>
      </c>
      <c r="C15" s="64" t="s">
        <v>634</v>
      </c>
      <c r="D15" s="65">
        <v>0</v>
      </c>
      <c r="E15" s="65">
        <v>4151900000</v>
      </c>
      <c r="F15" s="65">
        <v>2784800000</v>
      </c>
      <c r="G15" s="65">
        <v>3265400000</v>
      </c>
      <c r="H15" s="65">
        <v>2714800000</v>
      </c>
      <c r="I15" s="65">
        <v>1829700000</v>
      </c>
      <c r="J15" s="65">
        <v>2256200000</v>
      </c>
      <c r="K15" s="65">
        <v>2525100000</v>
      </c>
      <c r="L15" s="65">
        <v>3123600000</v>
      </c>
      <c r="M15" s="65">
        <v>7917500000</v>
      </c>
    </row>
    <row r="16" spans="1:13">
      <c r="B16" s="63" t="s">
        <v>128</v>
      </c>
      <c r="C16" s="64" t="s">
        <v>635</v>
      </c>
      <c r="D16" s="65">
        <v>0</v>
      </c>
      <c r="E16" s="65">
        <v>9307100000</v>
      </c>
      <c r="F16" s="65">
        <v>12228400000</v>
      </c>
      <c r="G16" s="65">
        <v>9436500000</v>
      </c>
      <c r="H16" s="65">
        <v>11405700000</v>
      </c>
      <c r="I16" s="65">
        <v>9830700000</v>
      </c>
      <c r="J16" s="65">
        <v>7770800000</v>
      </c>
      <c r="K16" s="65">
        <v>4415600000</v>
      </c>
      <c r="L16" s="65">
        <v>2256700000</v>
      </c>
      <c r="M16" s="65">
        <v>2288600000</v>
      </c>
    </row>
    <row r="17" spans="2:13">
      <c r="B17" s="63" t="s">
        <v>636</v>
      </c>
      <c r="C17" s="64" t="s">
        <v>637</v>
      </c>
      <c r="D17" s="65">
        <v>0</v>
      </c>
      <c r="E17" s="65">
        <v>4139900000</v>
      </c>
      <c r="F17" s="65">
        <v>4192800000</v>
      </c>
      <c r="G17" s="65">
        <v>4389100000</v>
      </c>
      <c r="H17" s="65">
        <v>6821500000</v>
      </c>
      <c r="I17" s="65">
        <v>1865000000</v>
      </c>
      <c r="J17" s="65">
        <v>1851300000</v>
      </c>
      <c r="K17" s="65">
        <v>1900400000</v>
      </c>
      <c r="L17" s="65">
        <v>1195700000</v>
      </c>
      <c r="M17" s="65">
        <v>1668500000</v>
      </c>
    </row>
    <row r="18" spans="2:13">
      <c r="B18" s="63" t="s">
        <v>124</v>
      </c>
      <c r="C18" s="64" t="s">
        <v>638</v>
      </c>
      <c r="D18" s="65">
        <v>0</v>
      </c>
      <c r="E18" s="65">
        <v>14534700000</v>
      </c>
      <c r="F18" s="65">
        <v>11054300000</v>
      </c>
      <c r="G18" s="65">
        <v>6812500000</v>
      </c>
      <c r="H18" s="65">
        <v>6204900000</v>
      </c>
      <c r="I18" s="65">
        <v>4159900000</v>
      </c>
      <c r="J18" s="65">
        <v>6510200000</v>
      </c>
      <c r="K18" s="65">
        <v>5373700000</v>
      </c>
      <c r="L18" s="65">
        <v>5194000000</v>
      </c>
      <c r="M18" s="65">
        <v>10239900000</v>
      </c>
    </row>
    <row r="19" spans="2:13">
      <c r="B19" s="66" t="s">
        <v>639</v>
      </c>
      <c r="C19" s="64" t="s">
        <v>640</v>
      </c>
      <c r="D19" s="67">
        <v>0</v>
      </c>
      <c r="E19" s="67">
        <v>87552200000</v>
      </c>
      <c r="F19" s="67">
        <v>71443800000</v>
      </c>
      <c r="G19" s="67">
        <v>41100800000</v>
      </c>
      <c r="H19" s="67">
        <v>30960600000</v>
      </c>
      <c r="I19" s="67">
        <v>25170500000</v>
      </c>
      <c r="J19" s="67">
        <v>49328500000</v>
      </c>
      <c r="K19" s="67">
        <v>41619800000</v>
      </c>
      <c r="L19" s="67">
        <v>39848400000</v>
      </c>
      <c r="M19" s="67">
        <v>89291700000</v>
      </c>
    </row>
    <row r="20" spans="2:13">
      <c r="B20" s="10" t="s">
        <v>641</v>
      </c>
      <c r="C20" s="64" t="s">
        <v>642</v>
      </c>
      <c r="D20" s="67">
        <v>0</v>
      </c>
      <c r="E20" s="67">
        <v>8914300000</v>
      </c>
      <c r="F20" s="67">
        <v>-6087400000</v>
      </c>
      <c r="G20" s="67">
        <v>-11306000000</v>
      </c>
      <c r="H20" s="67">
        <v>-24839300000</v>
      </c>
      <c r="I20" s="67">
        <v>-11999900000</v>
      </c>
      <c r="J20" s="67">
        <v>-8297900000</v>
      </c>
      <c r="K20" s="67">
        <v>-3793200000</v>
      </c>
      <c r="L20" s="67">
        <v>682900000</v>
      </c>
      <c r="M20" s="67">
        <v>13708600000</v>
      </c>
    </row>
    <row r="21" spans="2:13">
      <c r="B21" s="7" t="s">
        <v>129</v>
      </c>
      <c r="C21" s="64" t="s">
        <v>643</v>
      </c>
      <c r="D21" s="65">
        <v>0</v>
      </c>
      <c r="E21" s="65">
        <v>-5357800000</v>
      </c>
      <c r="F21" s="65">
        <v>-5460000000</v>
      </c>
      <c r="G21" s="65">
        <v>-62813800000</v>
      </c>
      <c r="H21" s="65">
        <v>-7920500000</v>
      </c>
      <c r="I21" s="65">
        <v>8015900000</v>
      </c>
      <c r="J21" s="65">
        <v>-828700000</v>
      </c>
      <c r="K21" s="65">
        <v>25420800000</v>
      </c>
      <c r="L21" s="65">
        <v>251400000</v>
      </c>
      <c r="M21" s="65">
        <v>1028600000</v>
      </c>
    </row>
    <row r="22" spans="2:13">
      <c r="B22" s="10" t="s">
        <v>203</v>
      </c>
      <c r="C22" s="64" t="s">
        <v>644</v>
      </c>
      <c r="D22" s="67">
        <v>0</v>
      </c>
      <c r="E22" s="67">
        <v>3556500000</v>
      </c>
      <c r="F22" s="67">
        <v>-11547400000</v>
      </c>
      <c r="G22" s="67">
        <v>-74119800000</v>
      </c>
      <c r="H22" s="67">
        <v>-32759800000</v>
      </c>
      <c r="I22" s="67">
        <v>-3984000000</v>
      </c>
      <c r="J22" s="67">
        <v>-9126600000</v>
      </c>
      <c r="K22" s="67">
        <v>21627600000</v>
      </c>
      <c r="L22" s="67">
        <v>934300000</v>
      </c>
      <c r="M22" s="67">
        <v>14737200000</v>
      </c>
    </row>
    <row r="23" spans="2:13" ht="15.5">
      <c r="B23" s="42" t="s">
        <v>645</v>
      </c>
    </row>
    <row r="24" spans="2:13">
      <c r="B24" s="63" t="s">
        <v>131</v>
      </c>
      <c r="C24" s="64" t="s">
        <v>646</v>
      </c>
      <c r="D24" s="65">
        <v>0</v>
      </c>
      <c r="E24" s="65">
        <v>-500000</v>
      </c>
      <c r="F24" s="65">
        <v>14000000</v>
      </c>
      <c r="G24" s="65">
        <v>13500000</v>
      </c>
      <c r="H24" s="65">
        <v>6500000</v>
      </c>
      <c r="I24" s="65">
        <v>0</v>
      </c>
      <c r="J24" s="65">
        <v>0</v>
      </c>
      <c r="K24" s="65">
        <v>0</v>
      </c>
      <c r="L24" s="65">
        <v>0</v>
      </c>
      <c r="M24" s="65">
        <v>70500000</v>
      </c>
    </row>
    <row r="25" spans="2:13">
      <c r="B25" s="63" t="s">
        <v>132</v>
      </c>
      <c r="C25" s="64" t="s">
        <v>647</v>
      </c>
      <c r="D25" s="65">
        <v>0</v>
      </c>
      <c r="E25" s="65">
        <v>0</v>
      </c>
      <c r="F25" s="65">
        <v>0</v>
      </c>
      <c r="G25" s="65">
        <v>0</v>
      </c>
      <c r="H25" s="65">
        <v>0</v>
      </c>
      <c r="I25" s="65">
        <v>0</v>
      </c>
      <c r="J25" s="65">
        <v>0</v>
      </c>
      <c r="K25" s="65">
        <v>0</v>
      </c>
      <c r="L25" s="65">
        <v>0</v>
      </c>
      <c r="M25" s="65">
        <v>-6380500000</v>
      </c>
    </row>
    <row r="26" spans="2:13">
      <c r="B26" s="66" t="s">
        <v>133</v>
      </c>
      <c r="C26" s="64" t="s">
        <v>648</v>
      </c>
      <c r="D26" s="67">
        <v>0</v>
      </c>
      <c r="E26" s="67">
        <v>-500000</v>
      </c>
      <c r="F26" s="67">
        <v>14000000</v>
      </c>
      <c r="G26" s="67">
        <v>13500000</v>
      </c>
      <c r="H26" s="67">
        <v>6500000</v>
      </c>
      <c r="I26" s="67">
        <v>0</v>
      </c>
      <c r="J26" s="67">
        <v>0</v>
      </c>
      <c r="K26" s="67">
        <v>0</v>
      </c>
      <c r="L26" s="67">
        <v>0</v>
      </c>
      <c r="M26" s="67">
        <v>-6310000000</v>
      </c>
    </row>
    <row r="27" spans="2:13">
      <c r="B27" s="10" t="s">
        <v>649</v>
      </c>
      <c r="C27" s="64" t="s">
        <v>650</v>
      </c>
      <c r="D27" s="67">
        <v>0</v>
      </c>
      <c r="E27" s="67">
        <v>3557000000</v>
      </c>
      <c r="F27" s="67">
        <v>-11561400000</v>
      </c>
      <c r="G27" s="67">
        <v>-74133300000</v>
      </c>
      <c r="H27" s="67">
        <v>-32766300000</v>
      </c>
      <c r="I27" s="67">
        <v>-3984000000</v>
      </c>
      <c r="J27" s="67">
        <v>-9126600000</v>
      </c>
      <c r="K27" s="67">
        <v>21627600000</v>
      </c>
      <c r="L27" s="67">
        <v>934300000</v>
      </c>
      <c r="M27" s="67">
        <v>21047200000</v>
      </c>
    </row>
    <row r="28" spans="2:13">
      <c r="B28" s="10" t="s">
        <v>653</v>
      </c>
      <c r="C28" s="64" t="s">
        <v>654</v>
      </c>
      <c r="D28" s="67">
        <v>0</v>
      </c>
      <c r="E28" s="67">
        <v>3557000000</v>
      </c>
      <c r="F28" s="67">
        <v>-11561400000</v>
      </c>
      <c r="G28" s="67">
        <v>-74133300000</v>
      </c>
      <c r="H28" s="67">
        <v>-32766300000</v>
      </c>
      <c r="I28" s="67">
        <v>-3984000000</v>
      </c>
      <c r="J28" s="67">
        <v>-9126600000</v>
      </c>
      <c r="K28" s="67">
        <v>21627600000</v>
      </c>
      <c r="L28" s="67">
        <v>934300000</v>
      </c>
      <c r="M28" s="67">
        <v>21047200000</v>
      </c>
    </row>
    <row r="29" spans="2:13" ht="15.5">
      <c r="B29" s="42" t="s">
        <v>659</v>
      </c>
    </row>
    <row r="30" spans="2:13">
      <c r="B30" s="68" t="s">
        <v>660</v>
      </c>
    </row>
    <row r="31" spans="2:13">
      <c r="B31" s="69" t="s">
        <v>661</v>
      </c>
      <c r="C31" s="64" t="s">
        <v>662</v>
      </c>
      <c r="D31" s="65">
        <v>0</v>
      </c>
      <c r="E31" s="65">
        <v>-99400000</v>
      </c>
      <c r="F31" s="65">
        <v>71700000</v>
      </c>
      <c r="G31" s="65">
        <v>5400000</v>
      </c>
      <c r="H31" s="65">
        <v>51100000</v>
      </c>
      <c r="I31" s="65">
        <v>-1100000</v>
      </c>
      <c r="J31" s="65">
        <v>16700000</v>
      </c>
      <c r="K31" s="65">
        <v>-57100000</v>
      </c>
      <c r="L31" s="65">
        <v>-3200000</v>
      </c>
      <c r="M31" s="65">
        <v>59800000</v>
      </c>
    </row>
    <row r="32" spans="2:13">
      <c r="B32" s="69" t="s">
        <v>663</v>
      </c>
      <c r="C32" s="64" t="s">
        <v>664</v>
      </c>
      <c r="D32" s="65">
        <v>0</v>
      </c>
      <c r="E32" s="65">
        <v>-99400000</v>
      </c>
      <c r="F32" s="65">
        <v>71700000</v>
      </c>
      <c r="G32" s="65">
        <v>5400000</v>
      </c>
      <c r="H32" s="65">
        <v>51100000</v>
      </c>
      <c r="I32" s="65">
        <v>-1100000</v>
      </c>
      <c r="J32" s="65">
        <v>16700000</v>
      </c>
      <c r="K32" s="65">
        <v>-57100000</v>
      </c>
      <c r="L32" s="65">
        <v>-3200000</v>
      </c>
      <c r="M32" s="65">
        <v>59800000</v>
      </c>
    </row>
    <row r="33" spans="2:13">
      <c r="B33" s="69" t="s">
        <v>669</v>
      </c>
      <c r="C33" s="64" t="s">
        <v>670</v>
      </c>
      <c r="D33" s="65">
        <v>0</v>
      </c>
      <c r="E33" s="65">
        <v>-99400000</v>
      </c>
      <c r="F33" s="65">
        <v>71700000</v>
      </c>
      <c r="G33" s="65">
        <v>5400000</v>
      </c>
      <c r="H33" s="65">
        <v>51100000</v>
      </c>
      <c r="I33" s="65">
        <v>-1100000</v>
      </c>
      <c r="J33" s="65">
        <v>16700000</v>
      </c>
      <c r="K33" s="65">
        <v>-57100000</v>
      </c>
      <c r="L33" s="65">
        <v>-3200000</v>
      </c>
      <c r="M33" s="65">
        <v>59800000</v>
      </c>
    </row>
    <row r="34" spans="2:13">
      <c r="B34" s="70" t="s">
        <v>671</v>
      </c>
    </row>
    <row r="35" spans="2:13">
      <c r="B35" s="71" t="s">
        <v>1376</v>
      </c>
      <c r="C35" s="64" t="s">
        <v>1377</v>
      </c>
      <c r="D35" s="65">
        <v>0</v>
      </c>
      <c r="E35" s="65">
        <v>-99400000</v>
      </c>
      <c r="F35" s="65">
        <v>0</v>
      </c>
      <c r="G35" s="65">
        <v>0</v>
      </c>
      <c r="H35" s="65">
        <v>0</v>
      </c>
      <c r="I35" s="65">
        <v>0</v>
      </c>
      <c r="J35" s="65">
        <v>0</v>
      </c>
      <c r="K35" s="65">
        <v>0</v>
      </c>
      <c r="L35" s="65">
        <v>0</v>
      </c>
      <c r="M35" s="65">
        <v>0</v>
      </c>
    </row>
    <row r="36" spans="2:13">
      <c r="B36" s="71" t="s">
        <v>672</v>
      </c>
      <c r="C36" s="64" t="s">
        <v>673</v>
      </c>
      <c r="D36" s="65">
        <v>0</v>
      </c>
      <c r="E36" s="65">
        <v>3457600000</v>
      </c>
      <c r="F36" s="65">
        <v>-11489700000</v>
      </c>
      <c r="G36" s="65">
        <v>-74127900000</v>
      </c>
      <c r="H36" s="65">
        <v>-32715200000</v>
      </c>
      <c r="I36" s="65">
        <v>-3985100000</v>
      </c>
      <c r="J36" s="65">
        <v>-9109900000</v>
      </c>
      <c r="K36" s="65">
        <v>21570500000</v>
      </c>
      <c r="L36" s="65">
        <v>931100000</v>
      </c>
      <c r="M36" s="65">
        <v>21107000000</v>
      </c>
    </row>
    <row r="37" spans="2:13">
      <c r="B37" s="72" t="s">
        <v>674</v>
      </c>
    </row>
    <row r="38" spans="2:13">
      <c r="B38" s="73" t="s">
        <v>675</v>
      </c>
      <c r="C38" s="64" t="s">
        <v>676</v>
      </c>
      <c r="D38" s="65">
        <v>0</v>
      </c>
      <c r="E38" s="65">
        <v>3358200000</v>
      </c>
      <c r="F38" s="65">
        <v>0</v>
      </c>
      <c r="G38" s="65">
        <v>0</v>
      </c>
      <c r="H38" s="65">
        <v>0</v>
      </c>
      <c r="I38" s="65">
        <v>0</v>
      </c>
      <c r="J38" s="65">
        <v>0</v>
      </c>
      <c r="K38" s="65">
        <v>0</v>
      </c>
      <c r="L38" s="65">
        <v>0</v>
      </c>
      <c r="M38" s="65">
        <v>0</v>
      </c>
    </row>
    <row r="39" spans="2:13">
      <c r="B39" s="63" t="s">
        <v>672</v>
      </c>
      <c r="C39" s="64" t="s">
        <v>673</v>
      </c>
      <c r="D39" s="65">
        <v>0</v>
      </c>
      <c r="E39" s="65">
        <v>3457600000</v>
      </c>
      <c r="F39" s="65">
        <v>-11489700000</v>
      </c>
      <c r="G39" s="65">
        <v>-74127900000</v>
      </c>
      <c r="H39" s="65">
        <v>-32715200000</v>
      </c>
      <c r="I39" s="65">
        <v>-3985100000</v>
      </c>
      <c r="J39" s="65">
        <v>-9109900000</v>
      </c>
      <c r="K39" s="65">
        <v>21570500000</v>
      </c>
      <c r="L39" s="65">
        <v>931100000</v>
      </c>
      <c r="M39" s="65">
        <v>21107000000</v>
      </c>
    </row>
    <row r="40" spans="2:13">
      <c r="B40" s="68" t="s">
        <v>674</v>
      </c>
    </row>
    <row r="41" spans="2:13">
      <c r="B41" s="69" t="s">
        <v>675</v>
      </c>
      <c r="C41" s="64" t="s">
        <v>676</v>
      </c>
      <c r="D41" s="65">
        <v>0</v>
      </c>
      <c r="E41" s="65">
        <v>3358200000</v>
      </c>
      <c r="F41" s="65">
        <v>0</v>
      </c>
      <c r="G41" s="65">
        <v>0</v>
      </c>
      <c r="H41" s="65">
        <v>0</v>
      </c>
      <c r="I41" s="65">
        <v>0</v>
      </c>
      <c r="J41" s="65">
        <v>0</v>
      </c>
      <c r="K41" s="65">
        <v>0</v>
      </c>
      <c r="L41" s="65">
        <v>0</v>
      </c>
      <c r="M41" s="65">
        <v>0</v>
      </c>
    </row>
    <row r="42" spans="2:13" ht="15.5">
      <c r="B42" s="42" t="s">
        <v>679</v>
      </c>
    </row>
    <row r="43" spans="2:13">
      <c r="B43" s="68" t="s">
        <v>680</v>
      </c>
    </row>
    <row r="44" spans="2:13">
      <c r="B44" s="69" t="s">
        <v>669</v>
      </c>
      <c r="C44" s="64" t="s">
        <v>670</v>
      </c>
      <c r="D44" s="65">
        <v>0</v>
      </c>
      <c r="E44" s="65">
        <v>-99400000</v>
      </c>
      <c r="F44" s="65">
        <v>71700000</v>
      </c>
      <c r="G44" s="65">
        <v>5400000</v>
      </c>
      <c r="H44" s="65">
        <v>51100000</v>
      </c>
      <c r="I44" s="65">
        <v>-1100000</v>
      </c>
      <c r="J44" s="65">
        <v>16700000</v>
      </c>
      <c r="K44" s="65">
        <v>-57100000</v>
      </c>
      <c r="L44" s="65">
        <v>-3200000</v>
      </c>
      <c r="M44" s="65">
        <v>59800000</v>
      </c>
    </row>
    <row r="45" spans="2:13">
      <c r="B45" s="70" t="s">
        <v>681</v>
      </c>
    </row>
    <row r="46" spans="2:13">
      <c r="B46" s="71" t="s">
        <v>1376</v>
      </c>
      <c r="C46" s="64" t="s">
        <v>1377</v>
      </c>
      <c r="D46" s="65">
        <v>0</v>
      </c>
      <c r="E46" s="65">
        <v>-99400000</v>
      </c>
      <c r="F46" s="65">
        <v>0</v>
      </c>
      <c r="G46" s="65">
        <v>0</v>
      </c>
      <c r="H46" s="65">
        <v>0</v>
      </c>
      <c r="I46" s="65">
        <v>0</v>
      </c>
      <c r="J46" s="65">
        <v>0</v>
      </c>
      <c r="K46" s="65">
        <v>0</v>
      </c>
      <c r="L46" s="65">
        <v>0</v>
      </c>
      <c r="M46" s="65">
        <v>0</v>
      </c>
    </row>
    <row r="47" spans="2:13">
      <c r="B47" s="71" t="s">
        <v>672</v>
      </c>
      <c r="C47" s="64" t="s">
        <v>673</v>
      </c>
      <c r="D47" s="65">
        <v>0</v>
      </c>
      <c r="E47" s="65">
        <v>3457600000</v>
      </c>
      <c r="F47" s="65">
        <v>-11489700000</v>
      </c>
      <c r="G47" s="65">
        <v>-74127900000</v>
      </c>
      <c r="H47" s="65">
        <v>-32715200000</v>
      </c>
      <c r="I47" s="65">
        <v>-3985100000</v>
      </c>
      <c r="J47" s="65">
        <v>-9109900000</v>
      </c>
      <c r="K47" s="65">
        <v>21570500000</v>
      </c>
      <c r="L47" s="65">
        <v>931100000</v>
      </c>
      <c r="M47" s="65">
        <v>21107000000</v>
      </c>
    </row>
    <row r="48" spans="2:13">
      <c r="B48" s="72" t="s">
        <v>682</v>
      </c>
    </row>
    <row r="49" spans="2:13">
      <c r="B49" s="73" t="s">
        <v>675</v>
      </c>
      <c r="C49" s="64" t="s">
        <v>676</v>
      </c>
      <c r="D49" s="65">
        <v>0</v>
      </c>
      <c r="E49" s="65">
        <v>3358200000</v>
      </c>
      <c r="F49" s="65">
        <v>0</v>
      </c>
      <c r="G49" s="65">
        <v>0</v>
      </c>
      <c r="H49" s="65">
        <v>0</v>
      </c>
      <c r="I49" s="65">
        <v>0</v>
      </c>
      <c r="J49" s="65">
        <v>0</v>
      </c>
      <c r="K49" s="65">
        <v>0</v>
      </c>
      <c r="L49" s="65">
        <v>0</v>
      </c>
      <c r="M49" s="65">
        <v>0</v>
      </c>
    </row>
    <row r="50" spans="2:13">
      <c r="B50" s="70" t="s">
        <v>683</v>
      </c>
    </row>
    <row r="51" spans="2:13">
      <c r="B51" s="71" t="s">
        <v>684</v>
      </c>
      <c r="C51" s="64" t="s">
        <v>685</v>
      </c>
      <c r="D51" s="65">
        <v>0</v>
      </c>
      <c r="E51" s="65">
        <v>0.71</v>
      </c>
      <c r="F51" s="65">
        <v>-2.2000000000000002</v>
      </c>
      <c r="G51" s="65">
        <v>-13.94</v>
      </c>
      <c r="H51" s="65">
        <v>-6.16</v>
      </c>
      <c r="I51" s="65">
        <v>-0.53</v>
      </c>
      <c r="J51" s="65">
        <v>-1.02</v>
      </c>
      <c r="K51" s="65">
        <v>2.0099999999999998</v>
      </c>
      <c r="L51" s="65">
        <v>7.0000000000000007E-2</v>
      </c>
      <c r="M51" s="65">
        <v>1.54</v>
      </c>
    </row>
    <row r="52" spans="2:13">
      <c r="B52" s="74" t="s">
        <v>686</v>
      </c>
      <c r="C52" s="64" t="s">
        <v>687</v>
      </c>
      <c r="D52" s="67">
        <v>0</v>
      </c>
      <c r="E52" s="67">
        <v>0.71</v>
      </c>
      <c r="F52" s="67">
        <v>-2.2000000000000002</v>
      </c>
      <c r="G52" s="67">
        <v>-13.94</v>
      </c>
      <c r="H52" s="67">
        <v>-6.16</v>
      </c>
      <c r="I52" s="67">
        <v>-0.53</v>
      </c>
      <c r="J52" s="67">
        <v>-1.02</v>
      </c>
      <c r="K52" s="67">
        <v>2.0099999999999998</v>
      </c>
      <c r="L52" s="67">
        <v>7.0000000000000007E-2</v>
      </c>
      <c r="M52" s="67">
        <v>1.54</v>
      </c>
    </row>
    <row r="53" spans="2:13">
      <c r="B53" s="70" t="s">
        <v>688</v>
      </c>
    </row>
    <row r="54" spans="2:13">
      <c r="B54" s="71" t="s">
        <v>689</v>
      </c>
      <c r="C54" s="64" t="s">
        <v>690</v>
      </c>
      <c r="D54" s="65">
        <v>0</v>
      </c>
      <c r="E54" s="65">
        <v>0.71</v>
      </c>
      <c r="F54" s="65">
        <v>-2.2000000000000002</v>
      </c>
      <c r="G54" s="65">
        <v>-13.94</v>
      </c>
      <c r="H54" s="65">
        <v>-6.16</v>
      </c>
      <c r="I54" s="65">
        <v>-0.53</v>
      </c>
      <c r="J54" s="65">
        <v>-1.02</v>
      </c>
      <c r="K54" s="65">
        <v>2.0099999999999998</v>
      </c>
      <c r="L54" s="65">
        <v>7.0000000000000007E-2</v>
      </c>
      <c r="M54" s="65">
        <v>1.54</v>
      </c>
    </row>
    <row r="55" spans="2:13">
      <c r="B55" s="74" t="s">
        <v>691</v>
      </c>
      <c r="C55" s="64" t="s">
        <v>692</v>
      </c>
      <c r="D55" s="67">
        <v>0</v>
      </c>
      <c r="E55" s="67">
        <v>0.71</v>
      </c>
      <c r="F55" s="67">
        <v>-2.2000000000000002</v>
      </c>
      <c r="G55" s="67">
        <v>-13.94</v>
      </c>
      <c r="H55" s="67">
        <v>-6.16</v>
      </c>
      <c r="I55" s="67">
        <v>-0.53</v>
      </c>
      <c r="J55" s="67">
        <v>-1.02</v>
      </c>
      <c r="K55" s="67">
        <v>2.0099999999999998</v>
      </c>
      <c r="L55" s="67">
        <v>7.0000000000000007E-2</v>
      </c>
      <c r="M55" s="67">
        <v>1.54</v>
      </c>
    </row>
    <row r="56" spans="2:13">
      <c r="B56" s="63" t="s">
        <v>672</v>
      </c>
      <c r="C56" s="64" t="s">
        <v>673</v>
      </c>
      <c r="D56" s="65">
        <v>0</v>
      </c>
      <c r="E56" s="65">
        <v>3457600000</v>
      </c>
      <c r="F56" s="65">
        <v>-11489700000</v>
      </c>
      <c r="G56" s="65">
        <v>-74127900000</v>
      </c>
      <c r="H56" s="65">
        <v>-32715200000</v>
      </c>
      <c r="I56" s="65">
        <v>-3985100000</v>
      </c>
      <c r="J56" s="65">
        <v>-9109900000</v>
      </c>
      <c r="K56" s="65">
        <v>21570500000</v>
      </c>
      <c r="L56" s="65">
        <v>931100000</v>
      </c>
      <c r="M56" s="65">
        <v>21107000000</v>
      </c>
    </row>
    <row r="57" spans="2:13">
      <c r="B57" s="68" t="s">
        <v>682</v>
      </c>
    </row>
    <row r="58" spans="2:13">
      <c r="B58" s="69" t="s">
        <v>675</v>
      </c>
      <c r="C58" s="64" t="s">
        <v>676</v>
      </c>
      <c r="D58" s="65">
        <v>0</v>
      </c>
      <c r="E58" s="65">
        <v>3358200000</v>
      </c>
      <c r="F58" s="65">
        <v>0</v>
      </c>
      <c r="G58" s="65">
        <v>0</v>
      </c>
      <c r="H58" s="65">
        <v>0</v>
      </c>
      <c r="I58" s="65">
        <v>0</v>
      </c>
      <c r="J58" s="65">
        <v>0</v>
      </c>
      <c r="K58" s="65">
        <v>0</v>
      </c>
      <c r="L58" s="65">
        <v>0</v>
      </c>
      <c r="M58" s="65">
        <v>0</v>
      </c>
    </row>
    <row r="59" spans="2:13" ht="15.5">
      <c r="B59" s="42" t="s">
        <v>693</v>
      </c>
    </row>
    <row r="60" spans="2:13">
      <c r="B60" s="68" t="s">
        <v>694</v>
      </c>
    </row>
    <row r="61" spans="2:13">
      <c r="B61" s="70" t="s">
        <v>695</v>
      </c>
    </row>
    <row r="62" spans="2:13">
      <c r="B62" s="72" t="s">
        <v>683</v>
      </c>
    </row>
    <row r="63" spans="2:13">
      <c r="B63" s="73" t="s">
        <v>684</v>
      </c>
      <c r="C63" s="64" t="s">
        <v>685</v>
      </c>
      <c r="D63" s="65">
        <v>0</v>
      </c>
      <c r="E63" s="65">
        <v>0.71</v>
      </c>
      <c r="F63" s="65">
        <v>-2.2000000000000002</v>
      </c>
      <c r="G63" s="65">
        <v>-13.94</v>
      </c>
      <c r="H63" s="65">
        <v>-6.16</v>
      </c>
      <c r="I63" s="65">
        <v>-0.53</v>
      </c>
      <c r="J63" s="65">
        <v>-1.02</v>
      </c>
      <c r="K63" s="65">
        <v>2.0099999999999998</v>
      </c>
      <c r="L63" s="65">
        <v>7.0000000000000007E-2</v>
      </c>
      <c r="M63" s="65">
        <v>1.54</v>
      </c>
    </row>
    <row r="64" spans="2:13">
      <c r="B64" s="75" t="s">
        <v>686</v>
      </c>
      <c r="C64" s="64" t="s">
        <v>687</v>
      </c>
      <c r="D64" s="67">
        <v>0</v>
      </c>
      <c r="E64" s="67">
        <v>0.71</v>
      </c>
      <c r="F64" s="67">
        <v>-2.2000000000000002</v>
      </c>
      <c r="G64" s="67">
        <v>-13.94</v>
      </c>
      <c r="H64" s="67">
        <v>-6.16</v>
      </c>
      <c r="I64" s="67">
        <v>-0.53</v>
      </c>
      <c r="J64" s="67">
        <v>-1.02</v>
      </c>
      <c r="K64" s="67">
        <v>2.0099999999999998</v>
      </c>
      <c r="L64" s="67">
        <v>7.0000000000000007E-2</v>
      </c>
      <c r="M64" s="67">
        <v>1.54</v>
      </c>
    </row>
    <row r="65" spans="1:13">
      <c r="B65" s="72" t="s">
        <v>688</v>
      </c>
    </row>
    <row r="66" spans="1:13">
      <c r="B66" s="73" t="s">
        <v>689</v>
      </c>
      <c r="C66" s="64" t="s">
        <v>690</v>
      </c>
      <c r="D66" s="65">
        <v>0</v>
      </c>
      <c r="E66" s="65">
        <v>0.71</v>
      </c>
      <c r="F66" s="65">
        <v>-2.2000000000000002</v>
      </c>
      <c r="G66" s="65">
        <v>-13.94</v>
      </c>
      <c r="H66" s="65">
        <v>-6.16</v>
      </c>
      <c r="I66" s="65">
        <v>-0.53</v>
      </c>
      <c r="J66" s="65">
        <v>-1.02</v>
      </c>
      <c r="K66" s="65">
        <v>2.0099999999999998</v>
      </c>
      <c r="L66" s="65">
        <v>7.0000000000000007E-2</v>
      </c>
      <c r="M66" s="65">
        <v>1.54</v>
      </c>
    </row>
    <row r="67" spans="1:13">
      <c r="B67" s="75" t="s">
        <v>691</v>
      </c>
      <c r="C67" s="64" t="s">
        <v>692</v>
      </c>
      <c r="D67" s="67">
        <v>0</v>
      </c>
      <c r="E67" s="67">
        <v>0.71</v>
      </c>
      <c r="F67" s="67">
        <v>-2.2000000000000002</v>
      </c>
      <c r="G67" s="67">
        <v>-13.94</v>
      </c>
      <c r="H67" s="67">
        <v>-6.16</v>
      </c>
      <c r="I67" s="67">
        <v>-0.53</v>
      </c>
      <c r="J67" s="67">
        <v>-1.02</v>
      </c>
      <c r="K67" s="67">
        <v>2.0099999999999998</v>
      </c>
      <c r="L67" s="67">
        <v>7.0000000000000007E-2</v>
      </c>
      <c r="M67" s="67">
        <v>1.54</v>
      </c>
    </row>
    <row r="70" spans="1:13">
      <c r="A70" t="s">
        <v>27</v>
      </c>
      <c r="B70" s="24" t="s">
        <v>135</v>
      </c>
    </row>
    <row r="71" spans="1:13">
      <c r="B71" t="s">
        <v>624</v>
      </c>
    </row>
    <row r="73" spans="1:13">
      <c r="C73" s="62" t="s">
        <v>625</v>
      </c>
      <c r="D73" s="24" t="s">
        <v>30</v>
      </c>
      <c r="E73" s="24" t="s">
        <v>31</v>
      </c>
      <c r="F73" s="24" t="s">
        <v>32</v>
      </c>
      <c r="G73" s="24" t="s">
        <v>33</v>
      </c>
      <c r="H73" s="24" t="s">
        <v>34</v>
      </c>
      <c r="I73" s="24" t="s">
        <v>35</v>
      </c>
      <c r="J73" s="24" t="s">
        <v>36</v>
      </c>
      <c r="K73" s="24" t="s">
        <v>37</v>
      </c>
      <c r="L73" s="24" t="s">
        <v>38</v>
      </c>
      <c r="M73" s="24" t="s">
        <v>39</v>
      </c>
    </row>
    <row r="74" spans="1:13" ht="15.5">
      <c r="B74" s="42" t="s">
        <v>136</v>
      </c>
    </row>
    <row r="75" spans="1:13">
      <c r="B75" s="68" t="s">
        <v>137</v>
      </c>
    </row>
    <row r="76" spans="1:13">
      <c r="B76" s="69" t="s">
        <v>139</v>
      </c>
      <c r="C76" s="64" t="s">
        <v>696</v>
      </c>
      <c r="D76" s="65">
        <v>0</v>
      </c>
      <c r="E76" s="65">
        <v>9261500000</v>
      </c>
      <c r="F76" s="65">
        <v>8097900000</v>
      </c>
      <c r="G76" s="65">
        <v>7369100000</v>
      </c>
      <c r="H76" s="65">
        <v>5872900000</v>
      </c>
      <c r="I76" s="65">
        <v>5309000000</v>
      </c>
      <c r="J76" s="65">
        <v>5257400000</v>
      </c>
      <c r="K76" s="65">
        <v>4342600000</v>
      </c>
      <c r="L76" s="65">
        <v>5079500000</v>
      </c>
      <c r="M76" s="65">
        <v>6153700000</v>
      </c>
    </row>
    <row r="77" spans="1:13">
      <c r="B77" s="69" t="s">
        <v>140</v>
      </c>
      <c r="C77" s="64" t="s">
        <v>697</v>
      </c>
      <c r="D77" s="65">
        <v>0</v>
      </c>
      <c r="E77" s="65">
        <v>727300000</v>
      </c>
      <c r="F77" s="65">
        <v>1120600000</v>
      </c>
      <c r="G77" s="65">
        <v>1297400000</v>
      </c>
      <c r="H77" s="65">
        <v>1046000000</v>
      </c>
      <c r="I77" s="65">
        <v>963400000</v>
      </c>
      <c r="J77" s="65">
        <v>76300000</v>
      </c>
      <c r="K77" s="65">
        <v>8700000</v>
      </c>
      <c r="L77" s="65">
        <v>33700000</v>
      </c>
      <c r="M77" s="65">
        <v>596000000</v>
      </c>
    </row>
    <row r="78" spans="1:13">
      <c r="B78" s="69" t="s">
        <v>148</v>
      </c>
      <c r="C78" s="64" t="s">
        <v>698</v>
      </c>
      <c r="D78" s="65">
        <v>0</v>
      </c>
      <c r="E78" s="65">
        <v>341400000</v>
      </c>
      <c r="F78" s="65">
        <v>407900000</v>
      </c>
      <c r="G78" s="65">
        <v>373600000</v>
      </c>
      <c r="H78" s="65">
        <v>346700000</v>
      </c>
      <c r="I78" s="65">
        <v>326400000</v>
      </c>
      <c r="J78" s="65">
        <v>308600000</v>
      </c>
      <c r="K78" s="65">
        <v>292100000</v>
      </c>
      <c r="L78" s="65">
        <v>270100000</v>
      </c>
      <c r="M78" s="65">
        <v>257500000</v>
      </c>
    </row>
    <row r="79" spans="1:13">
      <c r="B79" s="69" t="s">
        <v>141</v>
      </c>
      <c r="C79" s="64" t="s">
        <v>699</v>
      </c>
      <c r="D79" s="65">
        <v>0</v>
      </c>
      <c r="E79" s="65">
        <v>6433600000</v>
      </c>
      <c r="F79" s="65">
        <v>4718000000</v>
      </c>
      <c r="G79" s="65">
        <v>3002400000</v>
      </c>
      <c r="H79" s="65">
        <v>0</v>
      </c>
      <c r="I79" s="65">
        <v>0</v>
      </c>
      <c r="J79" s="65">
        <v>0</v>
      </c>
      <c r="K79" s="65">
        <v>0</v>
      </c>
      <c r="L79" s="65">
        <v>0</v>
      </c>
      <c r="M79" s="65">
        <v>0</v>
      </c>
    </row>
    <row r="80" spans="1:13">
      <c r="B80" s="69" t="s">
        <v>142</v>
      </c>
      <c r="C80" s="64" t="s">
        <v>700</v>
      </c>
      <c r="D80" s="65">
        <v>0</v>
      </c>
      <c r="E80" s="65">
        <v>1858800000</v>
      </c>
      <c r="F80" s="65">
        <v>1476100000</v>
      </c>
      <c r="G80" s="65">
        <v>3297700000</v>
      </c>
      <c r="H80" s="65">
        <v>2705900000</v>
      </c>
      <c r="I80" s="65">
        <v>1942400000</v>
      </c>
      <c r="J80" s="65">
        <v>1247000000</v>
      </c>
      <c r="K80" s="65">
        <v>629000000</v>
      </c>
      <c r="L80" s="65">
        <v>536400000</v>
      </c>
      <c r="M80" s="65">
        <v>913500000</v>
      </c>
    </row>
    <row r="81" spans="2:13">
      <c r="B81" s="69" t="s">
        <v>143</v>
      </c>
      <c r="C81" s="64" t="s">
        <v>701</v>
      </c>
      <c r="D81" s="65">
        <v>0</v>
      </c>
      <c r="E81" s="65">
        <v>555300000</v>
      </c>
      <c r="F81" s="65">
        <v>1798200000</v>
      </c>
      <c r="G81" s="65">
        <v>104100000</v>
      </c>
      <c r="H81" s="65">
        <v>123000000</v>
      </c>
      <c r="I81" s="65">
        <v>35200000</v>
      </c>
      <c r="J81" s="65">
        <v>44200000</v>
      </c>
      <c r="K81" s="65">
        <v>34300000</v>
      </c>
      <c r="L81" s="65">
        <v>35100000</v>
      </c>
      <c r="M81" s="65">
        <v>163500000</v>
      </c>
    </row>
    <row r="82" spans="2:13">
      <c r="B82" s="69" t="s">
        <v>149</v>
      </c>
      <c r="C82" s="64" t="s">
        <v>702</v>
      </c>
      <c r="D82" s="65">
        <v>0</v>
      </c>
      <c r="E82" s="65">
        <v>0</v>
      </c>
      <c r="F82" s="65">
        <v>1155400000</v>
      </c>
      <c r="G82" s="65">
        <v>0</v>
      </c>
      <c r="H82" s="65">
        <v>298000000</v>
      </c>
      <c r="I82" s="65">
        <v>298000000</v>
      </c>
      <c r="J82" s="65">
        <v>0</v>
      </c>
      <c r="K82" s="65">
        <v>0</v>
      </c>
      <c r="L82" s="65">
        <v>0</v>
      </c>
      <c r="M82" s="65">
        <v>0</v>
      </c>
    </row>
    <row r="83" spans="2:13">
      <c r="B83" s="70" t="s">
        <v>703</v>
      </c>
    </row>
    <row r="84" spans="2:13">
      <c r="B84" s="71" t="s">
        <v>150</v>
      </c>
      <c r="C84" s="64" t="s">
        <v>704</v>
      </c>
      <c r="D84" s="65">
        <v>0</v>
      </c>
      <c r="E84" s="65">
        <v>31667700000</v>
      </c>
      <c r="F84" s="65">
        <v>27629200000</v>
      </c>
      <c r="G84" s="65">
        <v>20085800000</v>
      </c>
      <c r="H84" s="65">
        <v>17521500000</v>
      </c>
      <c r="I84" s="65">
        <v>17508400000</v>
      </c>
      <c r="J84" s="65">
        <v>17519800000</v>
      </c>
      <c r="K84" s="65">
        <v>17539000000</v>
      </c>
      <c r="L84" s="65">
        <v>17564600000</v>
      </c>
      <c r="M84" s="65">
        <v>12776900000</v>
      </c>
    </row>
    <row r="85" spans="2:13">
      <c r="B85" s="71" t="s">
        <v>144</v>
      </c>
      <c r="C85" s="64" t="s">
        <v>705</v>
      </c>
      <c r="D85" s="65">
        <v>0</v>
      </c>
      <c r="E85" s="65">
        <v>346400000</v>
      </c>
      <c r="F85" s="65">
        <v>48400000</v>
      </c>
      <c r="G85" s="65">
        <v>0</v>
      </c>
      <c r="H85" s="65">
        <v>0</v>
      </c>
      <c r="I85" s="65">
        <v>0</v>
      </c>
      <c r="J85" s="65">
        <v>0</v>
      </c>
      <c r="K85" s="65">
        <v>0</v>
      </c>
      <c r="L85" s="65">
        <v>0</v>
      </c>
      <c r="M85" s="65">
        <v>0</v>
      </c>
    </row>
    <row r="86" spans="2:13">
      <c r="B86" s="71" t="s">
        <v>151</v>
      </c>
      <c r="C86" s="64" t="s">
        <v>706</v>
      </c>
      <c r="D86" s="65">
        <v>0</v>
      </c>
      <c r="E86" s="65">
        <v>11292400000</v>
      </c>
      <c r="F86" s="65">
        <v>9975300000</v>
      </c>
      <c r="G86" s="65">
        <v>6599200000</v>
      </c>
      <c r="H86" s="65">
        <v>4191600000</v>
      </c>
      <c r="I86" s="65">
        <v>2899700000</v>
      </c>
      <c r="J86" s="65">
        <v>525100000</v>
      </c>
      <c r="K86" s="65">
        <v>12444200000</v>
      </c>
      <c r="L86" s="65">
        <v>9790700000</v>
      </c>
      <c r="M86" s="65">
        <v>1390600000</v>
      </c>
    </row>
    <row r="87" spans="2:13">
      <c r="B87" s="71" t="s">
        <v>152</v>
      </c>
      <c r="C87" s="64" t="s">
        <v>707</v>
      </c>
      <c r="D87" s="65">
        <v>0</v>
      </c>
      <c r="E87" s="65">
        <v>6204600000</v>
      </c>
      <c r="F87" s="65">
        <v>4882200000</v>
      </c>
      <c r="G87" s="65">
        <v>4176900000</v>
      </c>
      <c r="H87" s="65">
        <v>2288300000</v>
      </c>
      <c r="I87" s="65">
        <v>3453000000</v>
      </c>
      <c r="J87" s="65">
        <v>2286700000</v>
      </c>
      <c r="K87" s="65">
        <v>3833900000</v>
      </c>
      <c r="L87" s="65">
        <v>8416700000</v>
      </c>
      <c r="M87" s="65">
        <v>10626700000</v>
      </c>
    </row>
    <row r="88" spans="2:13">
      <c r="B88" s="74" t="s">
        <v>155</v>
      </c>
      <c r="C88" s="64" t="s">
        <v>708</v>
      </c>
      <c r="D88" s="67">
        <v>0</v>
      </c>
      <c r="E88" s="67">
        <v>49511100000</v>
      </c>
      <c r="F88" s="67">
        <v>42535100000</v>
      </c>
      <c r="G88" s="67">
        <v>30861900000</v>
      </c>
      <c r="H88" s="67">
        <v>24001400000</v>
      </c>
      <c r="I88" s="67">
        <v>23861100000</v>
      </c>
      <c r="J88" s="67">
        <v>20331600000</v>
      </c>
      <c r="K88" s="67">
        <v>33817100000</v>
      </c>
      <c r="L88" s="67">
        <v>35772000000</v>
      </c>
      <c r="M88" s="67">
        <v>24794200000</v>
      </c>
    </row>
    <row r="89" spans="2:13">
      <c r="B89" s="69" t="s">
        <v>153</v>
      </c>
      <c r="C89" s="64" t="s">
        <v>709</v>
      </c>
      <c r="D89" s="65">
        <v>0</v>
      </c>
      <c r="E89" s="65">
        <v>0</v>
      </c>
      <c r="F89" s="65">
        <v>0</v>
      </c>
      <c r="G89" s="65">
        <v>0</v>
      </c>
      <c r="H89" s="65">
        <v>0</v>
      </c>
      <c r="I89" s="65">
        <v>0</v>
      </c>
      <c r="J89" s="65">
        <v>0</v>
      </c>
      <c r="K89" s="65">
        <v>0</v>
      </c>
      <c r="L89" s="65">
        <v>0</v>
      </c>
      <c r="M89" s="65">
        <v>6380500000</v>
      </c>
    </row>
    <row r="90" spans="2:13">
      <c r="B90" s="69" t="s">
        <v>145</v>
      </c>
      <c r="C90" s="64" t="s">
        <v>710</v>
      </c>
      <c r="D90" s="65">
        <v>0</v>
      </c>
      <c r="E90" s="65">
        <v>317100000</v>
      </c>
      <c r="F90" s="65">
        <v>269600000</v>
      </c>
      <c r="G90" s="65">
        <v>186700000</v>
      </c>
      <c r="H90" s="65">
        <v>725800000</v>
      </c>
      <c r="I90" s="65">
        <v>652200000</v>
      </c>
      <c r="J90" s="65">
        <v>692900000</v>
      </c>
      <c r="K90" s="65">
        <v>713100000</v>
      </c>
      <c r="L90" s="65">
        <v>421200000</v>
      </c>
      <c r="M90" s="65">
        <v>625400000</v>
      </c>
    </row>
    <row r="91" spans="2:13">
      <c r="B91" s="76" t="s">
        <v>711</v>
      </c>
      <c r="C91" s="64" t="s">
        <v>712</v>
      </c>
      <c r="D91" s="67">
        <v>0</v>
      </c>
      <c r="E91" s="67">
        <v>69006100000</v>
      </c>
      <c r="F91" s="67">
        <v>61578800000</v>
      </c>
      <c r="G91" s="67">
        <v>46492900000</v>
      </c>
      <c r="H91" s="67">
        <v>35119700000</v>
      </c>
      <c r="I91" s="67">
        <v>33387700000</v>
      </c>
      <c r="J91" s="67">
        <v>27958000000</v>
      </c>
      <c r="K91" s="67">
        <v>39836900000</v>
      </c>
      <c r="L91" s="67">
        <v>42148000000</v>
      </c>
      <c r="M91" s="67">
        <v>39884300000</v>
      </c>
    </row>
    <row r="92" spans="2:13">
      <c r="B92" s="68" t="s">
        <v>713</v>
      </c>
    </row>
    <row r="93" spans="2:13">
      <c r="B93" s="69" t="s">
        <v>158</v>
      </c>
      <c r="C93" s="64" t="s">
        <v>158</v>
      </c>
      <c r="D93" s="65">
        <v>0</v>
      </c>
      <c r="E93" s="65">
        <v>22758700000</v>
      </c>
      <c r="F93" s="65">
        <v>15518100000</v>
      </c>
      <c r="G93" s="65">
        <v>11803400000</v>
      </c>
      <c r="H93" s="65">
        <v>8971400000</v>
      </c>
      <c r="I93" s="65">
        <v>8619300000</v>
      </c>
      <c r="J93" s="65">
        <v>11674700000</v>
      </c>
      <c r="K93" s="65">
        <v>7604200000</v>
      </c>
      <c r="L93" s="65">
        <v>11884500000</v>
      </c>
      <c r="M93" s="65">
        <v>28571100000</v>
      </c>
    </row>
    <row r="94" spans="2:13">
      <c r="B94" s="70" t="s">
        <v>714</v>
      </c>
    </row>
    <row r="95" spans="2:13">
      <c r="B95" s="71" t="s">
        <v>161</v>
      </c>
      <c r="C95" s="64" t="s">
        <v>715</v>
      </c>
      <c r="D95" s="65">
        <v>0</v>
      </c>
      <c r="E95" s="65">
        <v>4811000000</v>
      </c>
      <c r="F95" s="65">
        <v>0</v>
      </c>
      <c r="G95" s="65">
        <v>0</v>
      </c>
      <c r="H95" s="65">
        <v>0</v>
      </c>
      <c r="I95" s="65">
        <v>0</v>
      </c>
      <c r="J95" s="65">
        <v>0</v>
      </c>
      <c r="K95" s="65">
        <v>0</v>
      </c>
      <c r="L95" s="65">
        <v>0</v>
      </c>
      <c r="M95" s="65">
        <v>0</v>
      </c>
    </row>
    <row r="96" spans="2:13">
      <c r="B96" s="71" t="s">
        <v>159</v>
      </c>
      <c r="C96" s="64" t="s">
        <v>716</v>
      </c>
      <c r="D96" s="65">
        <v>0</v>
      </c>
      <c r="E96" s="65">
        <v>23068800000</v>
      </c>
      <c r="F96" s="65">
        <v>18919300000</v>
      </c>
      <c r="G96" s="65">
        <v>10906100000</v>
      </c>
      <c r="H96" s="65">
        <v>4254000000</v>
      </c>
      <c r="I96" s="65">
        <v>3793000000</v>
      </c>
      <c r="J96" s="65">
        <v>6676300000</v>
      </c>
      <c r="K96" s="65">
        <v>5463200000</v>
      </c>
      <c r="L96" s="65">
        <v>11156300000</v>
      </c>
      <c r="M96" s="65">
        <v>36829000000</v>
      </c>
    </row>
    <row r="97" spans="2:13">
      <c r="B97" s="71" t="s">
        <v>162</v>
      </c>
      <c r="C97" s="64" t="s">
        <v>717</v>
      </c>
      <c r="D97" s="65">
        <v>0</v>
      </c>
      <c r="E97" s="65">
        <v>1533800000</v>
      </c>
      <c r="F97" s="65">
        <v>4467000000</v>
      </c>
      <c r="G97" s="65">
        <v>162000000</v>
      </c>
      <c r="H97" s="65">
        <v>362800000</v>
      </c>
      <c r="I97" s="65">
        <v>1936500000</v>
      </c>
      <c r="J97" s="65">
        <v>4100200000</v>
      </c>
      <c r="K97" s="65">
        <v>2906300000</v>
      </c>
      <c r="L97" s="65">
        <v>2631300000</v>
      </c>
      <c r="M97" s="65">
        <v>9968000000</v>
      </c>
    </row>
    <row r="98" spans="2:13">
      <c r="B98" s="71" t="s">
        <v>163</v>
      </c>
      <c r="C98" s="64" t="s">
        <v>718</v>
      </c>
      <c r="D98" s="65">
        <v>0</v>
      </c>
      <c r="E98" s="65">
        <v>17866300000</v>
      </c>
      <c r="F98" s="65">
        <v>19507300000</v>
      </c>
      <c r="G98" s="65">
        <v>7328600000</v>
      </c>
      <c r="H98" s="65">
        <v>3781400000</v>
      </c>
      <c r="I98" s="65">
        <v>212800000</v>
      </c>
      <c r="J98" s="65">
        <v>523500000</v>
      </c>
      <c r="K98" s="65">
        <v>6100000</v>
      </c>
      <c r="L98" s="65">
        <v>2500000</v>
      </c>
      <c r="M98" s="65">
        <v>2700000</v>
      </c>
    </row>
    <row r="99" spans="2:13">
      <c r="B99" s="71" t="s">
        <v>164</v>
      </c>
      <c r="C99" s="64" t="s">
        <v>719</v>
      </c>
      <c r="D99" s="65">
        <v>0</v>
      </c>
      <c r="E99" s="65">
        <v>1032300000</v>
      </c>
      <c r="F99" s="65">
        <v>1955400000</v>
      </c>
      <c r="G99" s="65">
        <v>2758100000</v>
      </c>
      <c r="H99" s="65">
        <v>708300000</v>
      </c>
      <c r="I99" s="65">
        <v>838800000</v>
      </c>
      <c r="J99" s="65">
        <v>763600000</v>
      </c>
      <c r="K99" s="65">
        <v>755000000</v>
      </c>
      <c r="L99" s="65">
        <v>761500000</v>
      </c>
      <c r="M99" s="65">
        <v>1856300000</v>
      </c>
    </row>
    <row r="100" spans="2:13">
      <c r="B100" s="74" t="s">
        <v>166</v>
      </c>
      <c r="C100" s="64" t="s">
        <v>720</v>
      </c>
      <c r="D100" s="67">
        <v>0</v>
      </c>
      <c r="E100" s="67">
        <v>48312200000</v>
      </c>
      <c r="F100" s="67">
        <v>44849000000</v>
      </c>
      <c r="G100" s="67">
        <v>21154800000</v>
      </c>
      <c r="H100" s="67">
        <v>9106500000</v>
      </c>
      <c r="I100" s="67">
        <v>6781100000</v>
      </c>
      <c r="J100" s="67">
        <v>12063600000</v>
      </c>
      <c r="K100" s="67">
        <v>9130600000</v>
      </c>
      <c r="L100" s="67">
        <v>14551600000</v>
      </c>
      <c r="M100" s="67">
        <v>48656000000</v>
      </c>
    </row>
    <row r="101" spans="2:13">
      <c r="B101" s="69" t="s">
        <v>165</v>
      </c>
      <c r="C101" s="64" t="s">
        <v>721</v>
      </c>
      <c r="D101" s="65">
        <v>0</v>
      </c>
      <c r="E101" s="65">
        <v>153900000</v>
      </c>
      <c r="F101" s="65">
        <v>62700000</v>
      </c>
      <c r="G101" s="65">
        <v>42700000</v>
      </c>
      <c r="H101" s="65">
        <v>44800000</v>
      </c>
      <c r="I101" s="65">
        <v>44800000</v>
      </c>
      <c r="J101" s="65">
        <v>600000</v>
      </c>
      <c r="K101" s="65">
        <v>0</v>
      </c>
      <c r="L101" s="65">
        <v>0</v>
      </c>
      <c r="M101" s="65">
        <v>496800000</v>
      </c>
    </row>
    <row r="102" spans="2:13">
      <c r="B102" s="69" t="s">
        <v>160</v>
      </c>
      <c r="C102" s="64" t="s">
        <v>722</v>
      </c>
      <c r="D102" s="65">
        <v>0</v>
      </c>
      <c r="E102" s="65">
        <v>2029400000</v>
      </c>
      <c r="F102" s="65">
        <v>2817600000</v>
      </c>
      <c r="G102" s="65">
        <v>4995600000</v>
      </c>
      <c r="H102" s="65">
        <v>3557200000</v>
      </c>
      <c r="I102" s="65">
        <v>4367200000</v>
      </c>
      <c r="J102" s="65">
        <v>4100300000</v>
      </c>
      <c r="K102" s="65">
        <v>3630100000</v>
      </c>
      <c r="L102" s="65">
        <v>3062500000</v>
      </c>
      <c r="M102" s="65">
        <v>5836400000</v>
      </c>
    </row>
    <row r="103" spans="2:13">
      <c r="B103" s="76" t="s">
        <v>723</v>
      </c>
      <c r="C103" s="64" t="s">
        <v>724</v>
      </c>
      <c r="D103" s="67">
        <v>0</v>
      </c>
      <c r="E103" s="67">
        <v>73254200000</v>
      </c>
      <c r="F103" s="67">
        <v>63247400000</v>
      </c>
      <c r="G103" s="67">
        <v>37996500000</v>
      </c>
      <c r="H103" s="67">
        <v>21679900000</v>
      </c>
      <c r="I103" s="67">
        <v>19812400000</v>
      </c>
      <c r="J103" s="67">
        <v>27839200000</v>
      </c>
      <c r="K103" s="67">
        <v>20364900000</v>
      </c>
      <c r="L103" s="67">
        <v>29498600000</v>
      </c>
      <c r="M103" s="67">
        <v>83560300000</v>
      </c>
    </row>
    <row r="104" spans="2:13">
      <c r="B104" s="63" t="s">
        <v>168</v>
      </c>
      <c r="C104" s="64" t="s">
        <v>725</v>
      </c>
      <c r="D104" s="65">
        <v>0</v>
      </c>
      <c r="E104" s="65">
        <v>0</v>
      </c>
      <c r="F104" s="65">
        <v>3584000000</v>
      </c>
      <c r="G104" s="65">
        <v>738300000</v>
      </c>
      <c r="H104" s="65">
        <v>434400000</v>
      </c>
      <c r="I104" s="65">
        <v>420300000</v>
      </c>
      <c r="J104" s="65">
        <v>955400000</v>
      </c>
      <c r="K104" s="65">
        <v>278100000</v>
      </c>
      <c r="L104" s="65">
        <v>0</v>
      </c>
      <c r="M104" s="65">
        <v>0</v>
      </c>
    </row>
    <row r="105" spans="2:13">
      <c r="B105" s="66" t="s">
        <v>726</v>
      </c>
      <c r="C105" s="64" t="s">
        <v>727</v>
      </c>
      <c r="D105" s="67">
        <v>0</v>
      </c>
      <c r="E105" s="67">
        <v>142260300000</v>
      </c>
      <c r="F105" s="67">
        <v>128410200000</v>
      </c>
      <c r="G105" s="67">
        <v>85227700000</v>
      </c>
      <c r="H105" s="67">
        <v>57234000000</v>
      </c>
      <c r="I105" s="67">
        <v>53620400000</v>
      </c>
      <c r="J105" s="67">
        <v>56752600000</v>
      </c>
      <c r="K105" s="67">
        <v>60479900000</v>
      </c>
      <c r="L105" s="67">
        <v>71646600000</v>
      </c>
      <c r="M105" s="67">
        <v>123444600000</v>
      </c>
    </row>
    <row r="106" spans="2:13" ht="15.5">
      <c r="B106" s="42" t="s">
        <v>728</v>
      </c>
    </row>
    <row r="107" spans="2:13">
      <c r="B107" s="68" t="s">
        <v>729</v>
      </c>
    </row>
    <row r="108" spans="2:13">
      <c r="B108" s="70" t="s">
        <v>730</v>
      </c>
    </row>
    <row r="109" spans="2:13">
      <c r="B109" s="71" t="s">
        <v>172</v>
      </c>
      <c r="C109" s="64" t="s">
        <v>731</v>
      </c>
      <c r="D109" s="65">
        <v>0</v>
      </c>
      <c r="E109" s="65">
        <v>10048800000</v>
      </c>
      <c r="F109" s="65">
        <v>10639500000</v>
      </c>
      <c r="G109" s="65">
        <v>10639500000</v>
      </c>
      <c r="H109" s="65">
        <v>10639500000</v>
      </c>
      <c r="I109" s="65">
        <v>17016000000</v>
      </c>
      <c r="J109" s="65">
        <v>18434900000</v>
      </c>
      <c r="K109" s="65">
        <v>24544000000</v>
      </c>
      <c r="L109" s="65">
        <v>27217200000</v>
      </c>
      <c r="M109" s="65">
        <v>27317900000</v>
      </c>
    </row>
    <row r="110" spans="2:13">
      <c r="B110" s="71" t="s">
        <v>173</v>
      </c>
      <c r="C110" s="64" t="s">
        <v>732</v>
      </c>
      <c r="D110" s="65">
        <v>0</v>
      </c>
      <c r="E110" s="65">
        <v>175900000</v>
      </c>
      <c r="F110" s="65">
        <v>-7103400000</v>
      </c>
      <c r="G110" s="65">
        <v>-80869300000</v>
      </c>
      <c r="H110" s="65">
        <v>-113422400000</v>
      </c>
      <c r="I110" s="65">
        <v>-56804300000</v>
      </c>
      <c r="J110" s="65">
        <v>-57355800000</v>
      </c>
      <c r="K110" s="65">
        <v>-10350100000</v>
      </c>
      <c r="L110" s="65">
        <v>8851300000</v>
      </c>
      <c r="M110" s="65">
        <v>27972100000</v>
      </c>
    </row>
    <row r="111" spans="2:13">
      <c r="B111" s="74" t="s">
        <v>174</v>
      </c>
      <c r="C111" s="64" t="s">
        <v>733</v>
      </c>
      <c r="D111" s="67">
        <v>0</v>
      </c>
      <c r="E111" s="67">
        <v>10224700000</v>
      </c>
      <c r="F111" s="67">
        <v>3536100000</v>
      </c>
      <c r="G111" s="67">
        <v>-70229800000</v>
      </c>
      <c r="H111" s="67">
        <v>-102782900000</v>
      </c>
      <c r="I111" s="67">
        <v>-39788300000</v>
      </c>
      <c r="J111" s="67">
        <v>-38920900000</v>
      </c>
      <c r="K111" s="67">
        <v>14193900000</v>
      </c>
      <c r="L111" s="67">
        <v>36068500000</v>
      </c>
      <c r="M111" s="67">
        <v>55290000000</v>
      </c>
    </row>
    <row r="112" spans="2:13">
      <c r="B112" s="76" t="s">
        <v>176</v>
      </c>
      <c r="C112" s="64" t="s">
        <v>262</v>
      </c>
      <c r="D112" s="67">
        <v>0</v>
      </c>
      <c r="E112" s="67">
        <v>10224700000</v>
      </c>
      <c r="F112" s="67">
        <v>3536100000</v>
      </c>
      <c r="G112" s="67">
        <v>-70229800000</v>
      </c>
      <c r="H112" s="67">
        <v>-102782900000</v>
      </c>
      <c r="I112" s="67">
        <v>-39788300000</v>
      </c>
      <c r="J112" s="67">
        <v>-38920900000</v>
      </c>
      <c r="K112" s="67">
        <v>14193900000</v>
      </c>
      <c r="L112" s="67">
        <v>36068500000</v>
      </c>
      <c r="M112" s="67">
        <v>55290000000</v>
      </c>
    </row>
    <row r="113" spans="2:13">
      <c r="B113" s="68" t="s">
        <v>735</v>
      </c>
    </row>
    <row r="114" spans="2:13">
      <c r="B114" s="70" t="s">
        <v>736</v>
      </c>
    </row>
    <row r="115" spans="2:13">
      <c r="B115" s="72" t="s">
        <v>737</v>
      </c>
    </row>
    <row r="116" spans="2:13">
      <c r="B116" s="73" t="s">
        <v>180</v>
      </c>
      <c r="C116" s="64" t="s">
        <v>738</v>
      </c>
      <c r="D116" s="65">
        <v>0</v>
      </c>
      <c r="E116" s="65">
        <v>40385400000</v>
      </c>
      <c r="F116" s="65">
        <v>33629500000</v>
      </c>
      <c r="G116" s="65">
        <v>18425300000</v>
      </c>
      <c r="H116" s="65">
        <v>6536600000</v>
      </c>
      <c r="I116" s="65">
        <v>42928800000</v>
      </c>
      <c r="J116" s="65">
        <v>37746900000</v>
      </c>
      <c r="K116" s="65">
        <v>20089800000</v>
      </c>
      <c r="L116" s="65">
        <v>6361800000</v>
      </c>
      <c r="M116" s="65">
        <v>0</v>
      </c>
    </row>
    <row r="117" spans="2:13">
      <c r="B117" s="73" t="s">
        <v>182</v>
      </c>
      <c r="C117" s="64" t="s">
        <v>739</v>
      </c>
      <c r="D117" s="65">
        <v>0</v>
      </c>
      <c r="E117" s="65">
        <v>2015900000</v>
      </c>
      <c r="F117" s="65">
        <v>94800000</v>
      </c>
      <c r="G117" s="65">
        <v>64900000</v>
      </c>
      <c r="H117" s="65">
        <v>678500000</v>
      </c>
      <c r="I117" s="65">
        <v>21200300000</v>
      </c>
      <c r="J117" s="65">
        <v>23948700000</v>
      </c>
      <c r="K117" s="65">
        <v>83800000</v>
      </c>
      <c r="L117" s="65">
        <v>190500000</v>
      </c>
      <c r="M117" s="65">
        <v>6409100000</v>
      </c>
    </row>
    <row r="118" spans="2:13">
      <c r="B118" s="75" t="s">
        <v>183</v>
      </c>
      <c r="C118" s="64" t="s">
        <v>740</v>
      </c>
      <c r="D118" s="67">
        <v>0</v>
      </c>
      <c r="E118" s="67">
        <v>42401300000</v>
      </c>
      <c r="F118" s="67">
        <v>33724300000</v>
      </c>
      <c r="G118" s="67">
        <v>18490200000</v>
      </c>
      <c r="H118" s="67">
        <v>7215100000</v>
      </c>
      <c r="I118" s="67">
        <v>64129100000</v>
      </c>
      <c r="J118" s="67">
        <v>61695600000</v>
      </c>
      <c r="K118" s="67">
        <v>20173600000</v>
      </c>
      <c r="L118" s="67">
        <v>6552300000</v>
      </c>
      <c r="M118" s="67">
        <v>6409100000</v>
      </c>
    </row>
    <row r="119" spans="2:13">
      <c r="B119" s="71" t="s">
        <v>184</v>
      </c>
      <c r="C119" s="64" t="s">
        <v>741</v>
      </c>
      <c r="D119" s="65">
        <v>0</v>
      </c>
      <c r="E119" s="65">
        <v>582700000</v>
      </c>
      <c r="F119" s="65">
        <v>876200000</v>
      </c>
      <c r="G119" s="65">
        <v>40340600000</v>
      </c>
      <c r="H119" s="65">
        <v>798800000</v>
      </c>
      <c r="I119" s="65">
        <v>651700000</v>
      </c>
      <c r="J119" s="65">
        <v>1129600000</v>
      </c>
      <c r="K119" s="65">
        <v>1448300000</v>
      </c>
      <c r="L119" s="65">
        <v>1441400000</v>
      </c>
      <c r="M119" s="65">
        <v>1479600000</v>
      </c>
    </row>
    <row r="120" spans="2:13">
      <c r="B120" s="71" t="s">
        <v>185</v>
      </c>
      <c r="C120" s="64" t="s">
        <v>742</v>
      </c>
      <c r="D120" s="65">
        <v>0</v>
      </c>
      <c r="E120" s="65">
        <v>400200000</v>
      </c>
      <c r="F120" s="65">
        <v>299900000</v>
      </c>
      <c r="G120" s="65">
        <v>117000000</v>
      </c>
      <c r="H120" s="65">
        <v>8900000</v>
      </c>
      <c r="I120" s="65">
        <v>7700000</v>
      </c>
      <c r="J120" s="65">
        <v>1900000</v>
      </c>
      <c r="K120" s="65">
        <v>4800000</v>
      </c>
      <c r="L120" s="65">
        <v>4800000</v>
      </c>
      <c r="M120" s="65">
        <v>4500000</v>
      </c>
    </row>
    <row r="121" spans="2:13">
      <c r="B121" s="74" t="s">
        <v>186</v>
      </c>
      <c r="C121" s="64" t="s">
        <v>743</v>
      </c>
      <c r="D121" s="67">
        <v>0</v>
      </c>
      <c r="E121" s="67">
        <v>43384200000</v>
      </c>
      <c r="F121" s="67">
        <v>34900400000</v>
      </c>
      <c r="G121" s="67">
        <v>58947800000</v>
      </c>
      <c r="H121" s="67">
        <v>8022800000</v>
      </c>
      <c r="I121" s="67">
        <v>64788500000</v>
      </c>
      <c r="J121" s="67">
        <v>62827100000</v>
      </c>
      <c r="K121" s="67">
        <v>21626700000</v>
      </c>
      <c r="L121" s="67">
        <v>7998500000</v>
      </c>
      <c r="M121" s="67">
        <v>7893200000</v>
      </c>
    </row>
    <row r="122" spans="2:13">
      <c r="B122" s="70" t="s">
        <v>744</v>
      </c>
    </row>
    <row r="123" spans="2:13">
      <c r="B123" s="72" t="s">
        <v>745</v>
      </c>
    </row>
    <row r="124" spans="2:13">
      <c r="B124" s="73" t="s">
        <v>189</v>
      </c>
      <c r="C124" s="64" t="s">
        <v>746</v>
      </c>
      <c r="D124" s="65">
        <v>0</v>
      </c>
      <c r="E124" s="65">
        <v>19757000000</v>
      </c>
      <c r="F124" s="65">
        <v>37667400000</v>
      </c>
      <c r="G124" s="65">
        <v>32579800000</v>
      </c>
      <c r="H124" s="65">
        <v>82606900000</v>
      </c>
      <c r="I124" s="65">
        <v>2000000000</v>
      </c>
      <c r="J124" s="65">
        <v>0</v>
      </c>
      <c r="K124" s="65">
        <v>3230200000</v>
      </c>
      <c r="L124" s="65">
        <v>0</v>
      </c>
      <c r="M124" s="65">
        <v>0</v>
      </c>
    </row>
    <row r="125" spans="2:13">
      <c r="B125" s="77" t="s">
        <v>747</v>
      </c>
    </row>
    <row r="126" spans="2:13">
      <c r="B126" s="78" t="s">
        <v>191</v>
      </c>
      <c r="C126" s="64" t="s">
        <v>748</v>
      </c>
      <c r="D126" s="67">
        <v>0</v>
      </c>
      <c r="E126" s="67">
        <v>46546400000</v>
      </c>
      <c r="F126" s="67">
        <v>24340800000</v>
      </c>
      <c r="G126" s="67">
        <v>17933400000</v>
      </c>
      <c r="H126" s="67">
        <v>11578600000</v>
      </c>
      <c r="I126" s="67">
        <v>13724500000</v>
      </c>
      <c r="J126" s="67">
        <v>18159400000</v>
      </c>
      <c r="K126" s="67">
        <v>10620900000</v>
      </c>
      <c r="L126" s="67">
        <v>19388100000</v>
      </c>
      <c r="M126" s="67">
        <v>33332000000</v>
      </c>
    </row>
    <row r="127" spans="2:13">
      <c r="B127" s="73" t="s">
        <v>192</v>
      </c>
      <c r="C127" s="64" t="s">
        <v>749</v>
      </c>
      <c r="D127" s="65">
        <v>0</v>
      </c>
      <c r="E127" s="65">
        <v>6787600000</v>
      </c>
      <c r="F127" s="65">
        <v>13378300000</v>
      </c>
      <c r="G127" s="65">
        <v>26912000000</v>
      </c>
      <c r="H127" s="65">
        <v>49280000000</v>
      </c>
      <c r="I127" s="65">
        <v>5282000000</v>
      </c>
      <c r="J127" s="65">
        <v>7075000000</v>
      </c>
      <c r="K127" s="65">
        <v>2262000000</v>
      </c>
      <c r="L127" s="65">
        <v>1985300000</v>
      </c>
      <c r="M127" s="65">
        <v>3819400000</v>
      </c>
    </row>
    <row r="128" spans="2:13">
      <c r="B128" s="75" t="s">
        <v>193</v>
      </c>
      <c r="C128" s="64" t="s">
        <v>750</v>
      </c>
      <c r="D128" s="67">
        <v>0</v>
      </c>
      <c r="E128" s="67">
        <v>73091000000</v>
      </c>
      <c r="F128" s="67">
        <v>75386500000</v>
      </c>
      <c r="G128" s="67">
        <v>77425200000</v>
      </c>
      <c r="H128" s="67">
        <v>143465500000</v>
      </c>
      <c r="I128" s="67">
        <v>21006500000</v>
      </c>
      <c r="J128" s="67">
        <v>25234400000</v>
      </c>
      <c r="K128" s="67">
        <v>16113100000</v>
      </c>
      <c r="L128" s="67">
        <v>21373400000</v>
      </c>
      <c r="M128" s="67">
        <v>37151400000</v>
      </c>
    </row>
    <row r="129" spans="1:13">
      <c r="B129" s="71" t="s">
        <v>194</v>
      </c>
      <c r="C129" s="64" t="s">
        <v>751</v>
      </c>
      <c r="D129" s="65">
        <v>0</v>
      </c>
      <c r="E129" s="65">
        <v>8691200000</v>
      </c>
      <c r="F129" s="65">
        <v>7627900000</v>
      </c>
      <c r="G129" s="65">
        <v>12749300000</v>
      </c>
      <c r="H129" s="65">
        <v>2747000000</v>
      </c>
      <c r="I129" s="65">
        <v>3222400000</v>
      </c>
      <c r="J129" s="65">
        <v>3659400000</v>
      </c>
      <c r="K129" s="65">
        <v>4034200000</v>
      </c>
      <c r="L129" s="65">
        <v>1927900000</v>
      </c>
      <c r="M129" s="65">
        <v>17537500000</v>
      </c>
    </row>
    <row r="130" spans="1:13">
      <c r="B130" s="71" t="s">
        <v>195</v>
      </c>
      <c r="C130" s="64" t="s">
        <v>752</v>
      </c>
      <c r="D130" s="65">
        <v>0</v>
      </c>
      <c r="E130" s="65">
        <v>6869200000</v>
      </c>
      <c r="F130" s="65">
        <v>6959300000</v>
      </c>
      <c r="G130" s="65">
        <v>6335200000</v>
      </c>
      <c r="H130" s="65">
        <v>5781600000</v>
      </c>
      <c r="I130" s="65">
        <v>4391300000</v>
      </c>
      <c r="J130" s="65">
        <v>3952600000</v>
      </c>
      <c r="K130" s="65">
        <v>4512000000</v>
      </c>
      <c r="L130" s="65">
        <v>4278300000</v>
      </c>
      <c r="M130" s="65">
        <v>5502000000</v>
      </c>
    </row>
    <row r="131" spans="1:13">
      <c r="B131" s="71" t="s">
        <v>196</v>
      </c>
      <c r="C131" s="64" t="s">
        <v>753</v>
      </c>
      <c r="D131" s="65">
        <v>0</v>
      </c>
      <c r="E131" s="65">
        <v>0</v>
      </c>
      <c r="F131" s="65">
        <v>0</v>
      </c>
      <c r="G131" s="65">
        <v>0</v>
      </c>
      <c r="H131" s="65">
        <v>0</v>
      </c>
      <c r="I131" s="65">
        <v>0</v>
      </c>
      <c r="J131" s="65">
        <v>0</v>
      </c>
      <c r="K131" s="65">
        <v>0</v>
      </c>
      <c r="L131" s="65">
        <v>0</v>
      </c>
      <c r="M131" s="65">
        <v>70500000</v>
      </c>
    </row>
    <row r="132" spans="1:13">
      <c r="B132" s="74" t="s">
        <v>197</v>
      </c>
      <c r="C132" s="64" t="s">
        <v>754</v>
      </c>
      <c r="D132" s="67">
        <v>0</v>
      </c>
      <c r="E132" s="67">
        <v>88651400000</v>
      </c>
      <c r="F132" s="67">
        <v>89973700000</v>
      </c>
      <c r="G132" s="67">
        <v>96509700000</v>
      </c>
      <c r="H132" s="67">
        <v>151994100000</v>
      </c>
      <c r="I132" s="67">
        <v>28620200000</v>
      </c>
      <c r="J132" s="67">
        <v>32846400000</v>
      </c>
      <c r="K132" s="67">
        <v>24659300000</v>
      </c>
      <c r="L132" s="67">
        <v>27579600000</v>
      </c>
      <c r="M132" s="67">
        <v>60261400000</v>
      </c>
    </row>
    <row r="133" spans="1:13">
      <c r="B133" s="76" t="s">
        <v>177</v>
      </c>
      <c r="C133" s="64" t="s">
        <v>177</v>
      </c>
      <c r="D133" s="67">
        <v>0</v>
      </c>
      <c r="E133" s="67">
        <v>132035600000</v>
      </c>
      <c r="F133" s="67">
        <v>124874100000</v>
      </c>
      <c r="G133" s="67">
        <v>155457500000</v>
      </c>
      <c r="H133" s="67">
        <v>160016900000</v>
      </c>
      <c r="I133" s="67">
        <v>93408700000</v>
      </c>
      <c r="J133" s="67">
        <v>95673500000</v>
      </c>
      <c r="K133" s="67">
        <v>46286000000</v>
      </c>
      <c r="L133" s="67">
        <v>35578100000</v>
      </c>
      <c r="M133" s="67">
        <v>68154600000</v>
      </c>
    </row>
    <row r="134" spans="1:13">
      <c r="B134" s="66" t="s">
        <v>199</v>
      </c>
      <c r="C134" s="64" t="s">
        <v>756</v>
      </c>
      <c r="D134" s="67">
        <v>0</v>
      </c>
      <c r="E134" s="67">
        <v>142260300000</v>
      </c>
      <c r="F134" s="67">
        <v>128410200000</v>
      </c>
      <c r="G134" s="67">
        <v>85227700000</v>
      </c>
      <c r="H134" s="67">
        <v>57234000000</v>
      </c>
      <c r="I134" s="67">
        <v>53620400000</v>
      </c>
      <c r="J134" s="67">
        <v>56752600000</v>
      </c>
      <c r="K134" s="67">
        <v>60479900000</v>
      </c>
      <c r="L134" s="67">
        <v>71646600000</v>
      </c>
      <c r="M134" s="67">
        <v>123444600000</v>
      </c>
    </row>
    <row r="137" spans="1:13">
      <c r="A137" t="s">
        <v>27</v>
      </c>
      <c r="B137" s="24" t="s">
        <v>201</v>
      </c>
    </row>
    <row r="138" spans="1:13">
      <c r="B138" t="s">
        <v>624</v>
      </c>
    </row>
    <row r="140" spans="1:13">
      <c r="C140" s="62" t="s">
        <v>625</v>
      </c>
      <c r="D140" s="24" t="s">
        <v>30</v>
      </c>
      <c r="E140" s="24" t="s">
        <v>31</v>
      </c>
      <c r="F140" s="24" t="s">
        <v>32</v>
      </c>
      <c r="G140" s="24" t="s">
        <v>33</v>
      </c>
      <c r="H140" s="24" t="s">
        <v>34</v>
      </c>
      <c r="I140" s="24" t="s">
        <v>35</v>
      </c>
      <c r="J140" s="24" t="s">
        <v>36</v>
      </c>
      <c r="K140" s="24" t="s">
        <v>37</v>
      </c>
      <c r="L140" s="24" t="s">
        <v>38</v>
      </c>
      <c r="M140" s="24" t="s">
        <v>39</v>
      </c>
    </row>
    <row r="141" spans="1:13" ht="15.5">
      <c r="B141" s="42" t="s">
        <v>757</v>
      </c>
    </row>
    <row r="142" spans="1:13">
      <c r="B142" s="63" t="s">
        <v>203</v>
      </c>
      <c r="C142" s="64" t="s">
        <v>644</v>
      </c>
      <c r="D142" s="65">
        <v>0</v>
      </c>
      <c r="E142" s="65">
        <v>3556500000</v>
      </c>
      <c r="F142" s="65">
        <v>-11547400000</v>
      </c>
      <c r="G142" s="65">
        <v>-74119800000</v>
      </c>
      <c r="H142" s="65">
        <v>-32759800000</v>
      </c>
      <c r="I142" s="65">
        <v>-3984000000</v>
      </c>
      <c r="J142" s="65">
        <v>-9126600000</v>
      </c>
      <c r="K142" s="65">
        <v>21627600000</v>
      </c>
      <c r="L142" s="65">
        <v>934300000</v>
      </c>
      <c r="M142" s="65">
        <v>14737200000</v>
      </c>
    </row>
    <row r="143" spans="1:13">
      <c r="B143" s="68" t="s">
        <v>758</v>
      </c>
    </row>
    <row r="144" spans="1:13">
      <c r="B144" s="69" t="s">
        <v>205</v>
      </c>
      <c r="C144" s="64" t="s">
        <v>759</v>
      </c>
      <c r="D144" s="65">
        <v>0</v>
      </c>
      <c r="E144" s="65">
        <v>8057100000</v>
      </c>
      <c r="F144" s="65">
        <v>0</v>
      </c>
      <c r="G144" s="65">
        <v>0</v>
      </c>
      <c r="H144" s="65">
        <v>0</v>
      </c>
      <c r="I144" s="65">
        <v>0</v>
      </c>
      <c r="J144" s="65">
        <v>0</v>
      </c>
      <c r="K144" s="65">
        <v>0</v>
      </c>
      <c r="L144" s="65">
        <v>0</v>
      </c>
      <c r="M144" s="65">
        <v>840100000</v>
      </c>
    </row>
    <row r="145" spans="2:13">
      <c r="B145" s="69" t="s">
        <v>206</v>
      </c>
      <c r="C145" s="64" t="s">
        <v>760</v>
      </c>
      <c r="D145" s="65">
        <v>0</v>
      </c>
      <c r="E145" s="65">
        <v>-8747100000</v>
      </c>
      <c r="F145" s="65">
        <v>7240600000</v>
      </c>
      <c r="G145" s="65">
        <v>3714600000</v>
      </c>
      <c r="H145" s="65">
        <v>2832000000</v>
      </c>
      <c r="I145" s="65">
        <v>352000000</v>
      </c>
      <c r="J145" s="65">
        <v>-3055300000</v>
      </c>
      <c r="K145" s="65">
        <v>4070500000</v>
      </c>
      <c r="L145" s="65">
        <v>-4280300000</v>
      </c>
      <c r="M145" s="65">
        <v>-7910200000</v>
      </c>
    </row>
    <row r="146" spans="2:13">
      <c r="B146" s="69" t="s">
        <v>207</v>
      </c>
      <c r="C146" s="64" t="s">
        <v>761</v>
      </c>
      <c r="D146" s="65">
        <v>0</v>
      </c>
      <c r="E146" s="65">
        <v>-4388400000</v>
      </c>
      <c r="F146" s="65">
        <v>4566500000</v>
      </c>
      <c r="G146" s="65">
        <v>8188900000</v>
      </c>
      <c r="H146" s="65">
        <v>4936500000</v>
      </c>
      <c r="I146" s="65">
        <v>220000000</v>
      </c>
      <c r="J146" s="65">
        <v>-3001900000</v>
      </c>
      <c r="K146" s="65">
        <v>1249900000</v>
      </c>
      <c r="L146" s="65">
        <v>-5686800000</v>
      </c>
      <c r="M146" s="65">
        <v>-20523900000</v>
      </c>
    </row>
    <row r="147" spans="2:13">
      <c r="B147" s="69" t="s">
        <v>208</v>
      </c>
      <c r="C147" s="64" t="s">
        <v>762</v>
      </c>
      <c r="D147" s="65">
        <v>0</v>
      </c>
      <c r="E147" s="65">
        <v>7542700000</v>
      </c>
      <c r="F147" s="65">
        <v>0</v>
      </c>
      <c r="G147" s="65">
        <v>0</v>
      </c>
      <c r="H147" s="65">
        <v>0</v>
      </c>
      <c r="I147" s="65">
        <v>0</v>
      </c>
      <c r="J147" s="65">
        <v>0</v>
      </c>
      <c r="K147" s="65">
        <v>0</v>
      </c>
      <c r="L147" s="65">
        <v>0</v>
      </c>
      <c r="M147" s="65">
        <v>0</v>
      </c>
    </row>
    <row r="148" spans="2:13">
      <c r="B148" s="69" t="s">
        <v>250</v>
      </c>
      <c r="C148" s="64" t="s">
        <v>1378</v>
      </c>
      <c r="D148" s="65">
        <v>0</v>
      </c>
      <c r="E148" s="65">
        <v>0</v>
      </c>
      <c r="F148" s="65">
        <v>-1097400000</v>
      </c>
      <c r="G148" s="65">
        <v>-1777800000</v>
      </c>
      <c r="H148" s="65">
        <v>-36325700000</v>
      </c>
      <c r="I148" s="65">
        <v>-1555200000</v>
      </c>
      <c r="J148" s="65">
        <v>-149100000</v>
      </c>
      <c r="K148" s="65">
        <v>738700000</v>
      </c>
      <c r="L148" s="65">
        <v>-3893400000</v>
      </c>
      <c r="M148" s="65">
        <v>-3586600000</v>
      </c>
    </row>
    <row r="149" spans="2:13">
      <c r="B149" s="69" t="s">
        <v>210</v>
      </c>
      <c r="C149" s="64" t="s">
        <v>764</v>
      </c>
      <c r="D149" s="65">
        <v>0</v>
      </c>
      <c r="E149" s="65">
        <v>11900400000</v>
      </c>
      <c r="F149" s="65">
        <v>-25580000000</v>
      </c>
      <c r="G149" s="65">
        <v>-5023600000</v>
      </c>
      <c r="H149" s="65">
        <v>23153000000</v>
      </c>
      <c r="I149" s="65">
        <v>110700000</v>
      </c>
      <c r="J149" s="65">
        <v>2615300000</v>
      </c>
      <c r="K149" s="65">
        <v>-7925600000</v>
      </c>
      <c r="L149" s="65">
        <v>5122400000</v>
      </c>
      <c r="M149" s="65">
        <v>22914200000</v>
      </c>
    </row>
    <row r="150" spans="2:13">
      <c r="B150" s="69" t="s">
        <v>211</v>
      </c>
      <c r="C150" s="64" t="s">
        <v>765</v>
      </c>
      <c r="D150" s="65">
        <v>0</v>
      </c>
      <c r="E150" s="65">
        <v>4139900000</v>
      </c>
      <c r="F150" s="65">
        <v>4192800000</v>
      </c>
      <c r="G150" s="65">
        <v>4389100000</v>
      </c>
      <c r="H150" s="65">
        <v>6821500000</v>
      </c>
      <c r="I150" s="65">
        <v>1864900000</v>
      </c>
      <c r="J150" s="65">
        <v>1851300000</v>
      </c>
      <c r="K150" s="65">
        <v>1900400000</v>
      </c>
      <c r="L150" s="65">
        <v>1195700000</v>
      </c>
      <c r="M150" s="65">
        <v>1668500000</v>
      </c>
    </row>
    <row r="151" spans="2:13">
      <c r="B151" s="69" t="s">
        <v>212</v>
      </c>
      <c r="C151" s="64" t="s">
        <v>766</v>
      </c>
      <c r="D151" s="65">
        <v>0</v>
      </c>
      <c r="E151" s="65">
        <v>0</v>
      </c>
      <c r="F151" s="65">
        <v>-44900000</v>
      </c>
      <c r="G151" s="65">
        <v>-81400000</v>
      </c>
      <c r="H151" s="65">
        <v>-67200000</v>
      </c>
      <c r="I151" s="65">
        <v>178900000</v>
      </c>
      <c r="J151" s="65">
        <v>-11100000</v>
      </c>
      <c r="K151" s="65">
        <v>-58900000</v>
      </c>
      <c r="L151" s="65">
        <v>57500000</v>
      </c>
      <c r="M151" s="65">
        <v>196200000</v>
      </c>
    </row>
    <row r="152" spans="2:13">
      <c r="B152" s="69" t="s">
        <v>214</v>
      </c>
      <c r="C152" s="64" t="s">
        <v>768</v>
      </c>
      <c r="D152" s="65">
        <v>0</v>
      </c>
      <c r="E152" s="65">
        <v>458600000</v>
      </c>
      <c r="F152" s="65">
        <v>-221300000</v>
      </c>
      <c r="G152" s="65">
        <v>931600000</v>
      </c>
      <c r="H152" s="65">
        <v>1307400000</v>
      </c>
      <c r="I152" s="65">
        <v>-52000000</v>
      </c>
      <c r="J152" s="65">
        <v>38800000</v>
      </c>
      <c r="K152" s="65">
        <v>-8200000</v>
      </c>
      <c r="L152" s="65">
        <v>-400000</v>
      </c>
      <c r="M152" s="65">
        <v>-1000000</v>
      </c>
    </row>
    <row r="153" spans="2:13">
      <c r="B153" s="69" t="s">
        <v>215</v>
      </c>
      <c r="C153" s="64" t="s">
        <v>769</v>
      </c>
      <c r="D153" s="65">
        <v>0</v>
      </c>
      <c r="E153" s="65">
        <v>3793100000</v>
      </c>
      <c r="F153" s="65">
        <v>0</v>
      </c>
      <c r="G153" s="65">
        <v>0</v>
      </c>
      <c r="H153" s="65">
        <v>0</v>
      </c>
      <c r="I153" s="65">
        <v>0</v>
      </c>
      <c r="J153" s="65">
        <v>0</v>
      </c>
      <c r="K153" s="65">
        <v>0</v>
      </c>
      <c r="L153" s="65">
        <v>0</v>
      </c>
      <c r="M153" s="65">
        <v>0</v>
      </c>
    </row>
    <row r="154" spans="2:13">
      <c r="B154" s="69" t="s">
        <v>216</v>
      </c>
      <c r="C154" s="64" t="s">
        <v>770</v>
      </c>
      <c r="D154" s="65">
        <v>0</v>
      </c>
      <c r="E154" s="65">
        <v>22400000</v>
      </c>
      <c r="F154" s="65">
        <v>0</v>
      </c>
      <c r="G154" s="65">
        <v>0</v>
      </c>
      <c r="H154" s="65">
        <v>0</v>
      </c>
      <c r="I154" s="65">
        <v>0</v>
      </c>
      <c r="J154" s="65">
        <v>0</v>
      </c>
      <c r="K154" s="65">
        <v>0</v>
      </c>
      <c r="L154" s="65">
        <v>220800000</v>
      </c>
      <c r="M154" s="65">
        <v>1111900000</v>
      </c>
    </row>
    <row r="155" spans="2:13">
      <c r="B155" s="69" t="s">
        <v>217</v>
      </c>
      <c r="C155" s="64" t="s">
        <v>771</v>
      </c>
      <c r="D155" s="65">
        <v>0</v>
      </c>
      <c r="E155" s="65">
        <v>-208700000</v>
      </c>
      <c r="F155" s="65">
        <v>-308300000</v>
      </c>
      <c r="G155" s="65">
        <v>-149900000</v>
      </c>
      <c r="H155" s="65">
        <v>33000000</v>
      </c>
      <c r="I155" s="65">
        <v>16800000</v>
      </c>
      <c r="J155" s="65">
        <v>66300000</v>
      </c>
      <c r="K155" s="65">
        <v>10500000</v>
      </c>
      <c r="L155" s="65">
        <v>74000000</v>
      </c>
      <c r="M155" s="65">
        <v>-1044400000</v>
      </c>
    </row>
    <row r="156" spans="2:13">
      <c r="B156" s="69" t="s">
        <v>218</v>
      </c>
      <c r="C156" s="64" t="s">
        <v>772</v>
      </c>
      <c r="D156" s="65">
        <v>0</v>
      </c>
      <c r="E156" s="65">
        <v>4087000000</v>
      </c>
      <c r="F156" s="65">
        <v>4354000000</v>
      </c>
      <c r="G156" s="65">
        <v>60551700000</v>
      </c>
      <c r="H156" s="65">
        <v>6050600000</v>
      </c>
      <c r="I156" s="65">
        <v>-8600900000</v>
      </c>
      <c r="J156" s="65">
        <v>2131100000</v>
      </c>
      <c r="K156" s="65">
        <v>-25921300000</v>
      </c>
      <c r="L156" s="65">
        <v>-1285200000</v>
      </c>
      <c r="M156" s="65">
        <v>626400000</v>
      </c>
    </row>
    <row r="157" spans="2:13">
      <c r="B157" s="69" t="s">
        <v>219</v>
      </c>
      <c r="C157" s="64" t="s">
        <v>773</v>
      </c>
      <c r="D157" s="65">
        <v>0</v>
      </c>
      <c r="E157" s="65">
        <v>5498600000</v>
      </c>
      <c r="F157" s="65">
        <v>-174500000</v>
      </c>
      <c r="G157" s="65">
        <v>-388800000</v>
      </c>
      <c r="H157" s="65">
        <v>724200000</v>
      </c>
      <c r="I157" s="65">
        <v>274500000</v>
      </c>
      <c r="J157" s="65">
        <v>382600000</v>
      </c>
      <c r="K157" s="65">
        <v>-55000000</v>
      </c>
      <c r="L157" s="65">
        <v>-65900000</v>
      </c>
      <c r="M157" s="65">
        <v>62100000</v>
      </c>
    </row>
    <row r="158" spans="2:13">
      <c r="B158" s="76" t="s">
        <v>220</v>
      </c>
      <c r="C158" s="64" t="s">
        <v>774</v>
      </c>
      <c r="D158" s="67">
        <v>0</v>
      </c>
      <c r="E158" s="67">
        <v>24569400000</v>
      </c>
      <c r="F158" s="67">
        <v>-7072500000</v>
      </c>
      <c r="G158" s="67">
        <v>70354400000</v>
      </c>
      <c r="H158" s="67">
        <v>9465300000</v>
      </c>
      <c r="I158" s="67">
        <v>-7190300000</v>
      </c>
      <c r="J158" s="67">
        <v>868000000</v>
      </c>
      <c r="K158" s="67">
        <v>-25999000000</v>
      </c>
      <c r="L158" s="67">
        <v>-8541600000</v>
      </c>
      <c r="M158" s="67">
        <v>-5646700000</v>
      </c>
    </row>
    <row r="159" spans="2:13">
      <c r="B159" s="66" t="s">
        <v>221</v>
      </c>
      <c r="C159" s="64" t="s">
        <v>775</v>
      </c>
      <c r="D159" s="67">
        <v>0</v>
      </c>
      <c r="E159" s="67">
        <v>28125900000</v>
      </c>
      <c r="F159" s="67">
        <v>-18619900000</v>
      </c>
      <c r="G159" s="67">
        <v>-3765400000</v>
      </c>
      <c r="H159" s="67">
        <v>-23294500000</v>
      </c>
      <c r="I159" s="67">
        <v>-11174300000</v>
      </c>
      <c r="J159" s="67">
        <v>-8258600000</v>
      </c>
      <c r="K159" s="67">
        <v>-4371400000</v>
      </c>
      <c r="L159" s="67">
        <v>-7607300000</v>
      </c>
      <c r="M159" s="67">
        <v>9090500000</v>
      </c>
    </row>
    <row r="160" spans="2:13">
      <c r="B160" s="63" t="s">
        <v>243</v>
      </c>
      <c r="C160" s="64" t="s">
        <v>1379</v>
      </c>
      <c r="D160" s="65">
        <v>0</v>
      </c>
      <c r="E160" s="65">
        <v>0</v>
      </c>
      <c r="F160" s="65">
        <v>-10598800000</v>
      </c>
      <c r="G160" s="65">
        <v>-8250500000</v>
      </c>
      <c r="H160" s="65">
        <v>-10743500000</v>
      </c>
      <c r="I160" s="65">
        <v>-9526700000</v>
      </c>
      <c r="J160" s="65">
        <v>-7509000000</v>
      </c>
      <c r="K160" s="65">
        <v>-4081100000</v>
      </c>
      <c r="L160" s="65">
        <v>-1654700000</v>
      </c>
      <c r="M160" s="65">
        <v>0</v>
      </c>
    </row>
    <row r="161" spans="2:13">
      <c r="B161" s="63" t="s">
        <v>222</v>
      </c>
      <c r="C161" s="64" t="s">
        <v>776</v>
      </c>
      <c r="D161" s="65">
        <v>0</v>
      </c>
      <c r="E161" s="65">
        <v>43200000</v>
      </c>
      <c r="F161" s="65">
        <v>-59400000</v>
      </c>
      <c r="G161" s="65">
        <v>-13500000</v>
      </c>
      <c r="H161" s="65">
        <v>19500000</v>
      </c>
      <c r="I161" s="65">
        <v>-33900000</v>
      </c>
      <c r="J161" s="65">
        <v>-5000000</v>
      </c>
      <c r="K161" s="65">
        <v>21200000</v>
      </c>
      <c r="L161" s="65">
        <v>9300000</v>
      </c>
      <c r="M161" s="65">
        <v>-64600000</v>
      </c>
    </row>
    <row r="162" spans="2:13">
      <c r="B162" s="66" t="s">
        <v>223</v>
      </c>
      <c r="C162" s="64" t="s">
        <v>777</v>
      </c>
      <c r="D162" s="67">
        <v>0</v>
      </c>
      <c r="E162" s="67">
        <v>28082700000</v>
      </c>
      <c r="F162" s="67">
        <v>-7961700000</v>
      </c>
      <c r="G162" s="67">
        <v>4498600000</v>
      </c>
      <c r="H162" s="67">
        <v>-12570500000</v>
      </c>
      <c r="I162" s="67">
        <v>-1613700000</v>
      </c>
      <c r="J162" s="67">
        <v>-744600000</v>
      </c>
      <c r="K162" s="67">
        <v>-311500000</v>
      </c>
      <c r="L162" s="67">
        <v>-5961900000</v>
      </c>
      <c r="M162" s="67">
        <v>9155100000</v>
      </c>
    </row>
    <row r="163" spans="2:13" ht="15.5">
      <c r="B163" s="42" t="s">
        <v>224</v>
      </c>
    </row>
    <row r="164" spans="2:13">
      <c r="B164" s="63" t="s">
        <v>251</v>
      </c>
      <c r="C164" s="64" t="s">
        <v>1380</v>
      </c>
      <c r="D164" s="65">
        <v>0</v>
      </c>
      <c r="E164" s="65">
        <v>85500000</v>
      </c>
      <c r="F164" s="65">
        <v>800000</v>
      </c>
      <c r="G164" s="65">
        <v>2855300000</v>
      </c>
      <c r="H164" s="65">
        <v>303800000</v>
      </c>
      <c r="I164" s="65">
        <v>0</v>
      </c>
      <c r="J164" s="65">
        <v>0</v>
      </c>
      <c r="K164" s="65">
        <v>0</v>
      </c>
      <c r="L164" s="65">
        <v>0</v>
      </c>
      <c r="M164" s="65">
        <v>0</v>
      </c>
    </row>
    <row r="165" spans="2:13">
      <c r="B165" s="63" t="s">
        <v>225</v>
      </c>
      <c r="C165" s="64" t="s">
        <v>778</v>
      </c>
      <c r="D165" s="65">
        <v>0</v>
      </c>
      <c r="E165" s="65">
        <v>7200300000</v>
      </c>
      <c r="F165" s="65">
        <v>5049800000</v>
      </c>
      <c r="G165" s="65">
        <v>403300000</v>
      </c>
      <c r="H165" s="65">
        <v>0</v>
      </c>
      <c r="I165" s="65">
        <v>0</v>
      </c>
      <c r="J165" s="65">
        <v>0</v>
      </c>
      <c r="K165" s="65">
        <v>0</v>
      </c>
      <c r="L165" s="65">
        <v>0</v>
      </c>
      <c r="M165" s="65">
        <v>6413800000</v>
      </c>
    </row>
    <row r="166" spans="2:13">
      <c r="B166" s="63" t="s">
        <v>228</v>
      </c>
      <c r="C166" s="64" t="s">
        <v>781</v>
      </c>
      <c r="D166" s="65">
        <v>0</v>
      </c>
      <c r="E166" s="65">
        <v>0</v>
      </c>
      <c r="F166" s="65">
        <v>0</v>
      </c>
      <c r="G166" s="65">
        <v>0</v>
      </c>
      <c r="H166" s="65">
        <v>0</v>
      </c>
      <c r="I166" s="65">
        <v>0</v>
      </c>
      <c r="J166" s="65">
        <v>0</v>
      </c>
      <c r="K166" s="65">
        <v>0</v>
      </c>
      <c r="L166" s="65">
        <v>0</v>
      </c>
      <c r="M166" s="65">
        <v>350000000</v>
      </c>
    </row>
    <row r="167" spans="2:13">
      <c r="B167" s="63" t="s">
        <v>229</v>
      </c>
      <c r="C167" s="64" t="s">
        <v>782</v>
      </c>
      <c r="D167" s="65">
        <v>0</v>
      </c>
      <c r="E167" s="65">
        <v>13600000</v>
      </c>
      <c r="F167" s="65">
        <v>612300000</v>
      </c>
      <c r="G167" s="65">
        <v>338300000</v>
      </c>
      <c r="H167" s="65">
        <v>3500000</v>
      </c>
      <c r="I167" s="65">
        <v>17700000</v>
      </c>
      <c r="J167" s="65">
        <v>6300000</v>
      </c>
      <c r="K167" s="65">
        <v>855200000</v>
      </c>
      <c r="L167" s="65">
        <v>9800000</v>
      </c>
      <c r="M167" s="65">
        <v>4500000</v>
      </c>
    </row>
    <row r="168" spans="2:13">
      <c r="B168" s="63" t="s">
        <v>230</v>
      </c>
      <c r="C168" s="64" t="s">
        <v>783</v>
      </c>
      <c r="D168" s="65">
        <v>0</v>
      </c>
      <c r="E168" s="65">
        <v>3573600000</v>
      </c>
      <c r="F168" s="65">
        <v>2922000000</v>
      </c>
      <c r="G168" s="65">
        <v>2304700000</v>
      </c>
      <c r="H168" s="65">
        <v>975900000</v>
      </c>
      <c r="I168" s="65">
        <v>387300000</v>
      </c>
      <c r="J168" s="65">
        <v>521600000</v>
      </c>
      <c r="K168" s="65">
        <v>819800000</v>
      </c>
      <c r="L168" s="65">
        <v>1836500000</v>
      </c>
      <c r="M168" s="65">
        <v>3284600000</v>
      </c>
    </row>
    <row r="169" spans="2:13">
      <c r="B169" s="63" t="s">
        <v>252</v>
      </c>
      <c r="C169" s="64" t="s">
        <v>1381</v>
      </c>
      <c r="D169" s="65">
        <v>0</v>
      </c>
      <c r="E169" s="65">
        <v>0</v>
      </c>
      <c r="F169" s="65">
        <v>0</v>
      </c>
      <c r="G169" s="65">
        <v>0</v>
      </c>
      <c r="H169" s="65">
        <v>0</v>
      </c>
      <c r="I169" s="65">
        <v>0</v>
      </c>
      <c r="J169" s="65">
        <v>0</v>
      </c>
      <c r="K169" s="65">
        <v>642300000</v>
      </c>
      <c r="L169" s="65">
        <v>445300000</v>
      </c>
      <c r="M169" s="65">
        <v>0</v>
      </c>
    </row>
    <row r="170" spans="2:13">
      <c r="B170" s="63" t="s">
        <v>253</v>
      </c>
      <c r="C170" s="64" t="s">
        <v>1382</v>
      </c>
      <c r="D170" s="65">
        <v>0</v>
      </c>
      <c r="E170" s="65">
        <v>10592600000</v>
      </c>
      <c r="F170" s="65">
        <v>0</v>
      </c>
      <c r="G170" s="65">
        <v>0</v>
      </c>
      <c r="H170" s="65">
        <v>0</v>
      </c>
      <c r="I170" s="65">
        <v>0</v>
      </c>
      <c r="J170" s="65">
        <v>0</v>
      </c>
      <c r="K170" s="65">
        <v>0</v>
      </c>
      <c r="L170" s="65">
        <v>0</v>
      </c>
      <c r="M170" s="65">
        <v>575500000</v>
      </c>
    </row>
    <row r="171" spans="2:13">
      <c r="B171" s="63" t="s">
        <v>254</v>
      </c>
      <c r="C171" s="64" t="s">
        <v>1383</v>
      </c>
      <c r="D171" s="65">
        <v>0</v>
      </c>
      <c r="E171" s="65">
        <v>0</v>
      </c>
      <c r="F171" s="65">
        <v>2378400000</v>
      </c>
      <c r="G171" s="65">
        <v>4002800000</v>
      </c>
      <c r="H171" s="65">
        <v>-35152900000</v>
      </c>
      <c r="I171" s="65">
        <v>4880600000</v>
      </c>
      <c r="J171" s="65">
        <v>11709500000</v>
      </c>
      <c r="K171" s="65">
        <v>2848400000</v>
      </c>
      <c r="L171" s="65">
        <v>4403200000</v>
      </c>
      <c r="M171" s="65">
        <v>2919000000</v>
      </c>
    </row>
    <row r="172" spans="2:13">
      <c r="B172" s="63" t="s">
        <v>233</v>
      </c>
      <c r="C172" s="64" t="s">
        <v>786</v>
      </c>
      <c r="D172" s="65">
        <v>0</v>
      </c>
      <c r="E172" s="65">
        <v>4650500000</v>
      </c>
      <c r="F172" s="65">
        <v>195500000</v>
      </c>
      <c r="G172" s="65">
        <v>0</v>
      </c>
      <c r="H172" s="65">
        <v>0</v>
      </c>
      <c r="I172" s="65">
        <v>0</v>
      </c>
      <c r="J172" s="65">
        <v>0</v>
      </c>
      <c r="K172" s="65">
        <v>0</v>
      </c>
      <c r="L172" s="65">
        <v>0</v>
      </c>
      <c r="M172" s="65">
        <v>647900000</v>
      </c>
    </row>
    <row r="173" spans="2:13">
      <c r="B173" s="63" t="s">
        <v>234</v>
      </c>
      <c r="C173" s="64" t="s">
        <v>787</v>
      </c>
      <c r="D173" s="65">
        <v>0</v>
      </c>
      <c r="E173" s="65">
        <v>-1897000000</v>
      </c>
      <c r="F173" s="65">
        <v>5104200000</v>
      </c>
      <c r="G173" s="65">
        <v>850500000</v>
      </c>
      <c r="H173" s="65">
        <v>793300000</v>
      </c>
      <c r="I173" s="65">
        <v>664800000</v>
      </c>
      <c r="J173" s="65">
        <v>602900000</v>
      </c>
      <c r="K173" s="65">
        <v>550600000</v>
      </c>
      <c r="L173" s="65">
        <v>743800000</v>
      </c>
      <c r="M173" s="65">
        <v>233500000</v>
      </c>
    </row>
    <row r="174" spans="2:13">
      <c r="B174" s="66" t="s">
        <v>235</v>
      </c>
      <c r="C174" s="64" t="s">
        <v>788</v>
      </c>
      <c r="D174" s="67">
        <v>0</v>
      </c>
      <c r="E174" s="67">
        <v>-18513900000</v>
      </c>
      <c r="F174" s="67">
        <v>319400000</v>
      </c>
      <c r="G174" s="67">
        <v>5338900000</v>
      </c>
      <c r="H174" s="67">
        <v>-35028200000</v>
      </c>
      <c r="I174" s="67">
        <v>5175800000</v>
      </c>
      <c r="J174" s="67">
        <v>11797100000</v>
      </c>
      <c r="K174" s="67">
        <v>4076700000</v>
      </c>
      <c r="L174" s="67">
        <v>3765600000</v>
      </c>
      <c r="M174" s="67">
        <v>-6119000000</v>
      </c>
    </row>
    <row r="175" spans="2:13" ht="15.5">
      <c r="B175" s="42" t="s">
        <v>236</v>
      </c>
    </row>
    <row r="176" spans="2:13">
      <c r="B176" s="63" t="s">
        <v>237</v>
      </c>
      <c r="C176" s="64" t="s">
        <v>789</v>
      </c>
      <c r="D176" s="65">
        <v>0</v>
      </c>
      <c r="E176" s="65">
        <v>0</v>
      </c>
      <c r="F176" s="65">
        <v>0</v>
      </c>
      <c r="G176" s="65">
        <v>0</v>
      </c>
      <c r="H176" s="65">
        <v>0</v>
      </c>
      <c r="I176" s="65">
        <v>3421600000</v>
      </c>
      <c r="J176" s="65">
        <v>0</v>
      </c>
      <c r="K176" s="65">
        <v>10796700000</v>
      </c>
      <c r="L176" s="65">
        <v>20652100000</v>
      </c>
      <c r="M176" s="65">
        <v>221600000</v>
      </c>
    </row>
    <row r="177" spans="1:13">
      <c r="B177" s="63" t="s">
        <v>238</v>
      </c>
      <c r="C177" s="64" t="s">
        <v>790</v>
      </c>
      <c r="D177" s="65">
        <v>0</v>
      </c>
      <c r="E177" s="65">
        <v>0</v>
      </c>
      <c r="F177" s="65">
        <v>0</v>
      </c>
      <c r="G177" s="65">
        <v>0</v>
      </c>
      <c r="H177" s="65">
        <v>0</v>
      </c>
      <c r="I177" s="65">
        <v>499800000</v>
      </c>
      <c r="J177" s="65">
        <v>0</v>
      </c>
      <c r="K177" s="65">
        <v>0</v>
      </c>
      <c r="L177" s="65">
        <v>0</v>
      </c>
      <c r="M177" s="65">
        <v>0</v>
      </c>
    </row>
    <row r="178" spans="1:13">
      <c r="B178" s="63" t="s">
        <v>255</v>
      </c>
      <c r="C178" s="64" t="s">
        <v>1384</v>
      </c>
      <c r="D178" s="65">
        <v>0</v>
      </c>
      <c r="E178" s="65">
        <v>0</v>
      </c>
      <c r="F178" s="65">
        <v>0</v>
      </c>
      <c r="G178" s="65">
        <v>0</v>
      </c>
      <c r="H178" s="65">
        <v>0</v>
      </c>
      <c r="I178" s="65">
        <v>0</v>
      </c>
      <c r="J178" s="65">
        <v>0</v>
      </c>
      <c r="K178" s="65">
        <v>0</v>
      </c>
      <c r="L178" s="65">
        <v>0</v>
      </c>
      <c r="M178" s="65">
        <v>37600000</v>
      </c>
    </row>
    <row r="179" spans="1:13">
      <c r="B179" s="63" t="s">
        <v>240</v>
      </c>
      <c r="C179" s="64" t="s">
        <v>792</v>
      </c>
      <c r="D179" s="65">
        <v>0</v>
      </c>
      <c r="E179" s="65">
        <v>1994200000</v>
      </c>
      <c r="F179" s="65">
        <v>17910400000</v>
      </c>
      <c r="G179" s="65">
        <v>-5087600000</v>
      </c>
      <c r="H179" s="65">
        <v>51258700000</v>
      </c>
      <c r="I179" s="65">
        <v>0</v>
      </c>
      <c r="J179" s="65">
        <v>0</v>
      </c>
      <c r="K179" s="65">
        <v>29609600000</v>
      </c>
      <c r="L179" s="65">
        <v>0</v>
      </c>
      <c r="M179" s="65">
        <v>4112100000</v>
      </c>
    </row>
    <row r="180" spans="1:13">
      <c r="B180" s="63" t="s">
        <v>241</v>
      </c>
      <c r="C180" s="64" t="s">
        <v>793</v>
      </c>
      <c r="D180" s="65">
        <v>0</v>
      </c>
      <c r="E180" s="65">
        <v>4375600000</v>
      </c>
      <c r="F180" s="65">
        <v>568300000</v>
      </c>
      <c r="G180" s="65">
        <v>1689800000</v>
      </c>
      <c r="H180" s="65">
        <v>262200000</v>
      </c>
      <c r="I180" s="65">
        <v>2222500000</v>
      </c>
      <c r="J180" s="65">
        <v>5764000000</v>
      </c>
      <c r="K180" s="65">
        <v>41353300000</v>
      </c>
      <c r="L180" s="65">
        <v>17773800000</v>
      </c>
      <c r="M180" s="65">
        <v>0</v>
      </c>
    </row>
    <row r="181" spans="1:13">
      <c r="B181" s="63" t="s">
        <v>242</v>
      </c>
      <c r="C181" s="64" t="s">
        <v>794</v>
      </c>
      <c r="D181" s="65">
        <v>0</v>
      </c>
      <c r="E181" s="65">
        <v>0</v>
      </c>
      <c r="F181" s="65">
        <v>0</v>
      </c>
      <c r="G181" s="65">
        <v>0</v>
      </c>
      <c r="H181" s="65">
        <v>0</v>
      </c>
      <c r="I181" s="65">
        <v>0</v>
      </c>
      <c r="J181" s="65">
        <v>0</v>
      </c>
      <c r="K181" s="65">
        <v>0</v>
      </c>
      <c r="L181" s="65">
        <v>128100000</v>
      </c>
      <c r="M181" s="65">
        <v>258000000</v>
      </c>
    </row>
    <row r="182" spans="1:13">
      <c r="B182" s="63" t="s">
        <v>243</v>
      </c>
      <c r="C182" s="64" t="s">
        <v>795</v>
      </c>
      <c r="D182" s="65">
        <v>0</v>
      </c>
      <c r="E182" s="65">
        <v>6595700000</v>
      </c>
      <c r="F182" s="65">
        <v>6766600000</v>
      </c>
      <c r="G182" s="65">
        <v>7365100000</v>
      </c>
      <c r="H182" s="65">
        <v>3197000000</v>
      </c>
      <c r="I182" s="65">
        <v>3687300000</v>
      </c>
      <c r="J182" s="65">
        <v>3124800000</v>
      </c>
      <c r="K182" s="65">
        <v>4012100000</v>
      </c>
      <c r="L182" s="65">
        <v>899500000</v>
      </c>
      <c r="M182" s="65">
        <v>503500000</v>
      </c>
    </row>
    <row r="183" spans="1:13">
      <c r="B183" s="63" t="s">
        <v>234</v>
      </c>
      <c r="C183" s="64" t="s">
        <v>796</v>
      </c>
      <c r="D183" s="65">
        <v>0</v>
      </c>
      <c r="E183" s="65">
        <v>0</v>
      </c>
      <c r="F183" s="65">
        <v>0</v>
      </c>
      <c r="G183" s="65">
        <v>0</v>
      </c>
      <c r="H183" s="65">
        <v>0</v>
      </c>
      <c r="I183" s="65">
        <v>0</v>
      </c>
      <c r="J183" s="65">
        <v>0</v>
      </c>
      <c r="K183" s="65">
        <v>0</v>
      </c>
      <c r="L183" s="65">
        <v>70600000</v>
      </c>
      <c r="M183" s="65">
        <v>-299500000</v>
      </c>
    </row>
    <row r="184" spans="1:13">
      <c r="B184" s="66" t="s">
        <v>244</v>
      </c>
      <c r="C184" s="64" t="s">
        <v>797</v>
      </c>
      <c r="D184" s="67">
        <v>0</v>
      </c>
      <c r="E184" s="67">
        <v>-8977100000</v>
      </c>
      <c r="F184" s="67">
        <v>10575500000</v>
      </c>
      <c r="G184" s="67">
        <v>-14142500000</v>
      </c>
      <c r="H184" s="67">
        <v>47799500000</v>
      </c>
      <c r="I184" s="67">
        <v>-1988400000</v>
      </c>
      <c r="J184" s="67">
        <v>-8888800000</v>
      </c>
      <c r="K184" s="67">
        <v>-4959100000</v>
      </c>
      <c r="L184" s="67">
        <v>1921300000</v>
      </c>
      <c r="M184" s="67">
        <v>3310300000</v>
      </c>
    </row>
    <row r="185" spans="1:13">
      <c r="B185" s="10" t="s">
        <v>245</v>
      </c>
      <c r="C185" s="64" t="s">
        <v>798</v>
      </c>
      <c r="D185" s="67">
        <v>0</v>
      </c>
      <c r="E185" s="67">
        <v>591700000</v>
      </c>
      <c r="F185" s="67">
        <v>2933200000</v>
      </c>
      <c r="G185" s="67">
        <v>-4305000000</v>
      </c>
      <c r="H185" s="67">
        <v>200800000</v>
      </c>
      <c r="I185" s="67">
        <v>1573700000</v>
      </c>
      <c r="J185" s="67">
        <v>2163700000</v>
      </c>
      <c r="K185" s="67">
        <v>-1193900000</v>
      </c>
      <c r="L185" s="67">
        <v>-275000000</v>
      </c>
      <c r="M185" s="67">
        <v>6346400000</v>
      </c>
    </row>
    <row r="186" spans="1:13">
      <c r="B186" s="10" t="s">
        <v>247</v>
      </c>
      <c r="C186" s="64" t="s">
        <v>801</v>
      </c>
      <c r="D186" s="67">
        <v>0</v>
      </c>
      <c r="E186" s="67">
        <v>591700000</v>
      </c>
      <c r="F186" s="67">
        <v>2933200000</v>
      </c>
      <c r="G186" s="67">
        <v>-4305000000</v>
      </c>
      <c r="H186" s="67">
        <v>200800000</v>
      </c>
      <c r="I186" s="67">
        <v>1573700000</v>
      </c>
      <c r="J186" s="67">
        <v>2163700000</v>
      </c>
      <c r="K186" s="67">
        <v>-1193900000</v>
      </c>
      <c r="L186" s="67">
        <v>-275000000</v>
      </c>
      <c r="M186" s="67">
        <v>6346400000</v>
      </c>
    </row>
    <row r="189" spans="1:13" ht="21">
      <c r="A189" t="s">
        <v>27</v>
      </c>
      <c r="B189" s="79" t="s">
        <v>802</v>
      </c>
    </row>
    <row r="191" spans="1:13" ht="15.5">
      <c r="A191" t="s">
        <v>27</v>
      </c>
      <c r="B191" s="42" t="s">
        <v>803</v>
      </c>
    </row>
    <row r="193" spans="2:13">
      <c r="C193" s="62" t="s">
        <v>625</v>
      </c>
      <c r="D193" s="24" t="s">
        <v>30</v>
      </c>
      <c r="E193" s="24" t="s">
        <v>31</v>
      </c>
      <c r="F193" s="24" t="s">
        <v>32</v>
      </c>
      <c r="G193" s="24" t="s">
        <v>33</v>
      </c>
      <c r="H193" s="24" t="s">
        <v>34</v>
      </c>
      <c r="I193" s="24" t="s">
        <v>35</v>
      </c>
      <c r="J193" s="24" t="s">
        <v>36</v>
      </c>
      <c r="K193" s="24" t="s">
        <v>37</v>
      </c>
      <c r="L193" s="24" t="s">
        <v>38</v>
      </c>
      <c r="M193" s="24" t="s">
        <v>39</v>
      </c>
    </row>
    <row r="194" spans="2:13" ht="15.5">
      <c r="B194" s="42" t="s">
        <v>804</v>
      </c>
    </row>
    <row r="195" spans="2:13">
      <c r="B195" s="68" t="s">
        <v>805</v>
      </c>
    </row>
    <row r="196" spans="2:13">
      <c r="B196" s="70" t="s">
        <v>806</v>
      </c>
    </row>
    <row r="197" spans="2:13">
      <c r="B197" s="71" t="s">
        <v>807</v>
      </c>
      <c r="C197" s="64" t="s">
        <v>808</v>
      </c>
      <c r="D197" s="65">
        <v>0</v>
      </c>
      <c r="E197" s="65">
        <v>0</v>
      </c>
      <c r="F197" s="65">
        <v>0</v>
      </c>
      <c r="G197" s="65">
        <v>0</v>
      </c>
      <c r="H197" s="65">
        <v>-1370300000</v>
      </c>
      <c r="I197" s="65">
        <v>0</v>
      </c>
      <c r="J197" s="65">
        <v>0</v>
      </c>
      <c r="K197" s="65">
        <v>0</v>
      </c>
      <c r="L197" s="65">
        <v>0</v>
      </c>
      <c r="M197" s="65">
        <v>0</v>
      </c>
    </row>
    <row r="198" spans="2:13">
      <c r="B198" s="74" t="s">
        <v>811</v>
      </c>
      <c r="C198" s="64" t="s">
        <v>812</v>
      </c>
      <c r="D198" s="67">
        <v>0</v>
      </c>
      <c r="E198" s="67">
        <v>0</v>
      </c>
      <c r="F198" s="67">
        <v>0</v>
      </c>
      <c r="G198" s="67">
        <v>0</v>
      </c>
      <c r="H198" s="67">
        <v>-1370300000</v>
      </c>
      <c r="I198" s="67">
        <v>0</v>
      </c>
      <c r="J198" s="67">
        <v>0</v>
      </c>
      <c r="K198" s="67">
        <v>0</v>
      </c>
      <c r="L198" s="67">
        <v>0</v>
      </c>
      <c r="M198" s="67">
        <v>0</v>
      </c>
    </row>
    <row r="199" spans="2:13">
      <c r="B199" s="68" t="s">
        <v>1385</v>
      </c>
    </row>
    <row r="200" spans="2:13">
      <c r="B200" s="69" t="s">
        <v>1376</v>
      </c>
      <c r="C200" s="64" t="s">
        <v>1377</v>
      </c>
      <c r="D200" s="65">
        <v>0</v>
      </c>
      <c r="E200" s="65">
        <v>-99400000</v>
      </c>
      <c r="F200" s="65">
        <v>0</v>
      </c>
      <c r="G200" s="65">
        <v>0</v>
      </c>
      <c r="H200" s="65">
        <v>0</v>
      </c>
      <c r="I200" s="65">
        <v>0</v>
      </c>
      <c r="J200" s="65">
        <v>0</v>
      </c>
      <c r="K200" s="65">
        <v>0</v>
      </c>
      <c r="L200" s="65">
        <v>0</v>
      </c>
      <c r="M200" s="65">
        <v>0</v>
      </c>
    </row>
    <row r="201" spans="2:13">
      <c r="B201" s="68" t="s">
        <v>818</v>
      </c>
    </row>
    <row r="202" spans="2:13">
      <c r="B202" s="69" t="s">
        <v>819</v>
      </c>
      <c r="C202" s="64" t="s">
        <v>820</v>
      </c>
      <c r="D202" s="65">
        <v>0</v>
      </c>
      <c r="E202" s="65">
        <v>-8235700000</v>
      </c>
      <c r="F202" s="65">
        <v>3853000000</v>
      </c>
      <c r="G202" s="65">
        <v>1960000000</v>
      </c>
      <c r="H202" s="65">
        <v>1083100000</v>
      </c>
      <c r="I202" s="65">
        <v>630100000</v>
      </c>
      <c r="J202" s="65">
        <v>96700000</v>
      </c>
      <c r="K202" s="65">
        <v>775300000</v>
      </c>
      <c r="L202" s="65">
        <v>-452900000</v>
      </c>
      <c r="M202" s="65">
        <v>-2691700000</v>
      </c>
    </row>
    <row r="203" spans="2:13">
      <c r="B203" s="76" t="s">
        <v>121</v>
      </c>
      <c r="C203" s="64" t="s">
        <v>632</v>
      </c>
      <c r="D203" s="67">
        <v>0</v>
      </c>
      <c r="E203" s="67">
        <v>-8235700000</v>
      </c>
      <c r="F203" s="67">
        <v>3853000000</v>
      </c>
      <c r="G203" s="67">
        <v>1960000000</v>
      </c>
      <c r="H203" s="67">
        <v>1083100000</v>
      </c>
      <c r="I203" s="67">
        <v>630100000</v>
      </c>
      <c r="J203" s="67">
        <v>96700000</v>
      </c>
      <c r="K203" s="67">
        <v>775300000</v>
      </c>
      <c r="L203" s="67">
        <v>-452900000</v>
      </c>
      <c r="M203" s="67">
        <v>-2691700000</v>
      </c>
    </row>
    <row r="204" spans="2:13">
      <c r="B204" s="68" t="s">
        <v>821</v>
      </c>
    </row>
    <row r="205" spans="2:13">
      <c r="B205" s="70" t="s">
        <v>822</v>
      </c>
    </row>
    <row r="206" spans="2:13">
      <c r="B206" s="71" t="s">
        <v>129</v>
      </c>
      <c r="C206" s="64" t="s">
        <v>643</v>
      </c>
      <c r="D206" s="65">
        <v>0</v>
      </c>
      <c r="E206" s="65">
        <v>-5357800000</v>
      </c>
      <c r="F206" s="65">
        <v>-5460000000</v>
      </c>
      <c r="G206" s="65">
        <v>-62813800000</v>
      </c>
      <c r="H206" s="65">
        <v>-7920500000</v>
      </c>
      <c r="I206" s="65">
        <v>8015900000</v>
      </c>
      <c r="J206" s="65">
        <v>-828700000</v>
      </c>
      <c r="K206" s="65">
        <v>25420800000</v>
      </c>
      <c r="L206" s="65">
        <v>251400000</v>
      </c>
      <c r="M206" s="65">
        <v>1028600000</v>
      </c>
    </row>
    <row r="207" spans="2:13">
      <c r="B207" s="74" t="s">
        <v>823</v>
      </c>
      <c r="C207" s="64" t="s">
        <v>824</v>
      </c>
      <c r="D207" s="67">
        <v>0</v>
      </c>
      <c r="E207" s="67">
        <v>-5357800000</v>
      </c>
      <c r="F207" s="67">
        <v>-5460000000</v>
      </c>
      <c r="G207" s="67">
        <v>-62813800000</v>
      </c>
      <c r="H207" s="67">
        <v>-7920500000</v>
      </c>
      <c r="I207" s="67">
        <v>8015900000</v>
      </c>
      <c r="J207" s="67">
        <v>-828700000</v>
      </c>
      <c r="K207" s="67">
        <v>25420800000</v>
      </c>
      <c r="L207" s="67">
        <v>251400000</v>
      </c>
      <c r="M207" s="67">
        <v>1028600000</v>
      </c>
    </row>
    <row r="208" spans="2:13">
      <c r="B208" s="68" t="s">
        <v>825</v>
      </c>
    </row>
    <row r="209" spans="1:13">
      <c r="B209" s="70" t="s">
        <v>826</v>
      </c>
    </row>
    <row r="210" spans="1:13">
      <c r="B210" s="74" t="s">
        <v>827</v>
      </c>
      <c r="C210" s="64" t="s">
        <v>828</v>
      </c>
      <c r="D210" s="67">
        <v>0</v>
      </c>
      <c r="E210" s="67">
        <v>90949400000</v>
      </c>
      <c r="F210" s="67">
        <v>60248800000</v>
      </c>
      <c r="G210" s="67">
        <v>23386900000</v>
      </c>
      <c r="H210" s="67">
        <v>1509300000</v>
      </c>
      <c r="I210" s="67">
        <v>10143900000</v>
      </c>
      <c r="J210" s="67">
        <v>37942100000</v>
      </c>
      <c r="K210" s="67">
        <v>33946300000</v>
      </c>
      <c r="L210" s="67">
        <v>36509800000</v>
      </c>
      <c r="M210" s="67">
        <v>80696900000</v>
      </c>
    </row>
    <row r="211" spans="1:13">
      <c r="B211" s="70" t="s">
        <v>829</v>
      </c>
    </row>
    <row r="212" spans="1:13">
      <c r="B212" s="74" t="s">
        <v>830</v>
      </c>
      <c r="C212" s="64" t="s">
        <v>831</v>
      </c>
      <c r="D212" s="67">
        <v>0</v>
      </c>
      <c r="E212" s="67">
        <v>1342700000</v>
      </c>
      <c r="F212" s="67">
        <v>1177400000</v>
      </c>
      <c r="G212" s="67">
        <v>1323900000</v>
      </c>
      <c r="H212" s="67">
        <v>1493600000</v>
      </c>
      <c r="I212" s="67">
        <v>1547500000</v>
      </c>
      <c r="J212" s="67">
        <v>1812000000</v>
      </c>
      <c r="K212" s="67">
        <v>1435100000</v>
      </c>
      <c r="L212" s="67">
        <v>1482000000</v>
      </c>
      <c r="M212" s="67">
        <v>20919100000</v>
      </c>
    </row>
    <row r="217" spans="1:13" ht="15.5">
      <c r="A217" t="s">
        <v>27</v>
      </c>
      <c r="B217" s="42" t="s">
        <v>832</v>
      </c>
    </row>
    <row r="219" spans="1:13">
      <c r="C219" s="62" t="s">
        <v>625</v>
      </c>
      <c r="D219" s="24" t="s">
        <v>30</v>
      </c>
      <c r="E219" s="24" t="s">
        <v>31</v>
      </c>
      <c r="F219" s="24" t="s">
        <v>32</v>
      </c>
      <c r="G219" s="24" t="s">
        <v>33</v>
      </c>
      <c r="H219" s="24" t="s">
        <v>34</v>
      </c>
      <c r="I219" s="24" t="s">
        <v>35</v>
      </c>
      <c r="J219" s="24" t="s">
        <v>36</v>
      </c>
      <c r="K219" s="24" t="s">
        <v>37</v>
      </c>
      <c r="L219" s="24" t="s">
        <v>38</v>
      </c>
      <c r="M219" s="24" t="s">
        <v>39</v>
      </c>
    </row>
    <row r="220" spans="1:13">
      <c r="B220" s="68" t="s">
        <v>694</v>
      </c>
    </row>
    <row r="221" spans="1:13">
      <c r="B221" s="70" t="s">
        <v>695</v>
      </c>
    </row>
    <row r="222" spans="1:13">
      <c r="B222" s="72" t="s">
        <v>683</v>
      </c>
    </row>
    <row r="223" spans="1:13">
      <c r="B223" s="73" t="s">
        <v>684</v>
      </c>
      <c r="C223" s="64" t="s">
        <v>685</v>
      </c>
      <c r="D223" s="65">
        <v>0</v>
      </c>
      <c r="E223" s="65">
        <v>0.71</v>
      </c>
      <c r="F223" s="65">
        <v>-2.2000000000000002</v>
      </c>
      <c r="G223" s="65">
        <v>-13.94</v>
      </c>
      <c r="H223" s="65">
        <v>-6.16</v>
      </c>
      <c r="I223" s="65">
        <v>-0.53</v>
      </c>
      <c r="J223" s="65">
        <v>-1.02</v>
      </c>
      <c r="K223" s="65">
        <v>2.0099999999999998</v>
      </c>
      <c r="L223" s="65">
        <v>7.0000000000000007E-2</v>
      </c>
      <c r="M223" s="65">
        <v>1.54</v>
      </c>
    </row>
    <row r="224" spans="1:13">
      <c r="B224" s="75" t="s">
        <v>686</v>
      </c>
      <c r="C224" s="64" t="s">
        <v>687</v>
      </c>
      <c r="D224" s="67">
        <v>0</v>
      </c>
      <c r="E224" s="67">
        <v>0.71</v>
      </c>
      <c r="F224" s="67">
        <v>-2.2000000000000002</v>
      </c>
      <c r="G224" s="67">
        <v>-13.94</v>
      </c>
      <c r="H224" s="67">
        <v>-6.16</v>
      </c>
      <c r="I224" s="67">
        <v>-0.53</v>
      </c>
      <c r="J224" s="67">
        <v>-1.02</v>
      </c>
      <c r="K224" s="67">
        <v>2.0099999999999998</v>
      </c>
      <c r="L224" s="67">
        <v>7.0000000000000007E-2</v>
      </c>
      <c r="M224" s="67">
        <v>1.54</v>
      </c>
    </row>
    <row r="225" spans="2:13">
      <c r="B225" s="72" t="s">
        <v>688</v>
      </c>
    </row>
    <row r="226" spans="2:13">
      <c r="B226" s="73" t="s">
        <v>689</v>
      </c>
      <c r="C226" s="64" t="s">
        <v>690</v>
      </c>
      <c r="D226" s="65">
        <v>0</v>
      </c>
      <c r="E226" s="65">
        <v>0.71</v>
      </c>
      <c r="F226" s="65">
        <v>-2.2000000000000002</v>
      </c>
      <c r="G226" s="65">
        <v>-13.94</v>
      </c>
      <c r="H226" s="65">
        <v>-6.16</v>
      </c>
      <c r="I226" s="65">
        <v>-0.53</v>
      </c>
      <c r="J226" s="65">
        <v>-1.02</v>
      </c>
      <c r="K226" s="65">
        <v>2.0099999999999998</v>
      </c>
      <c r="L226" s="65">
        <v>7.0000000000000007E-2</v>
      </c>
      <c r="M226" s="65">
        <v>1.54</v>
      </c>
    </row>
    <row r="227" spans="2:13">
      <c r="B227" s="75" t="s">
        <v>691</v>
      </c>
      <c r="C227" s="64" t="s">
        <v>692</v>
      </c>
      <c r="D227" s="67">
        <v>0</v>
      </c>
      <c r="E227" s="67">
        <v>0.71</v>
      </c>
      <c r="F227" s="67">
        <v>-2.2000000000000002</v>
      </c>
      <c r="G227" s="67">
        <v>-13.94</v>
      </c>
      <c r="H227" s="67">
        <v>-6.16</v>
      </c>
      <c r="I227" s="67">
        <v>-0.53</v>
      </c>
      <c r="J227" s="67">
        <v>-1.02</v>
      </c>
      <c r="K227" s="67">
        <v>2.0099999999999998</v>
      </c>
      <c r="L227" s="67">
        <v>7.0000000000000007E-2</v>
      </c>
      <c r="M227" s="67">
        <v>1.54</v>
      </c>
    </row>
    <row r="228" spans="2:13">
      <c r="B228" s="72" t="s">
        <v>833</v>
      </c>
    </row>
    <row r="229" spans="2:13">
      <c r="B229" s="73" t="s">
        <v>834</v>
      </c>
      <c r="C229" s="64" t="s">
        <v>835</v>
      </c>
      <c r="D229" s="65">
        <v>0</v>
      </c>
      <c r="E229" s="65">
        <v>0</v>
      </c>
      <c r="F229" s="65">
        <v>-11561400000</v>
      </c>
      <c r="G229" s="65">
        <v>-74133300000</v>
      </c>
      <c r="H229" s="65">
        <v>-32766300000</v>
      </c>
      <c r="I229" s="65">
        <v>-3985100000</v>
      </c>
      <c r="J229" s="65">
        <v>-9126600000</v>
      </c>
      <c r="K229" s="65">
        <v>21627600000</v>
      </c>
      <c r="L229" s="65">
        <v>934300000</v>
      </c>
      <c r="M229" s="65">
        <v>21107000000</v>
      </c>
    </row>
    <row r="230" spans="2:13">
      <c r="B230" s="73" t="s">
        <v>836</v>
      </c>
      <c r="C230" s="64" t="s">
        <v>837</v>
      </c>
      <c r="D230" s="65">
        <v>0</v>
      </c>
      <c r="E230" s="65">
        <v>0</v>
      </c>
      <c r="F230" s="65">
        <v>-11053000000</v>
      </c>
      <c r="G230" s="65">
        <v>-73092400000</v>
      </c>
      <c r="H230" s="65">
        <v>-31457000000</v>
      </c>
      <c r="I230" s="65">
        <v>-3985100000</v>
      </c>
      <c r="J230" s="65">
        <v>-9126600000</v>
      </c>
      <c r="K230" s="65">
        <v>21627600000</v>
      </c>
      <c r="L230" s="65">
        <v>934300000</v>
      </c>
      <c r="M230" s="65">
        <v>21107000000</v>
      </c>
    </row>
    <row r="231" spans="2:13">
      <c r="B231" s="72" t="s">
        <v>838</v>
      </c>
    </row>
    <row r="232" spans="2:13">
      <c r="B232" s="73" t="s">
        <v>839</v>
      </c>
      <c r="C232" s="64" t="s">
        <v>840</v>
      </c>
      <c r="D232" s="65">
        <v>0</v>
      </c>
      <c r="E232" s="65">
        <v>5022862081</v>
      </c>
      <c r="F232" s="65">
        <v>5257378830</v>
      </c>
      <c r="G232" s="65">
        <v>5319774121</v>
      </c>
      <c r="H232" s="65">
        <v>5319774121</v>
      </c>
      <c r="I232" s="65">
        <v>7581705498</v>
      </c>
      <c r="J232" s="65">
        <v>8926947969</v>
      </c>
      <c r="K232" s="65">
        <v>10775250532</v>
      </c>
      <c r="L232" s="65">
        <v>13149093386</v>
      </c>
      <c r="M232" s="65">
        <v>13696887892</v>
      </c>
    </row>
    <row r="233" spans="2:13">
      <c r="B233" s="73" t="s">
        <v>841</v>
      </c>
      <c r="C233" s="64" t="s">
        <v>842</v>
      </c>
      <c r="D233" s="65">
        <v>0</v>
      </c>
      <c r="E233" s="65">
        <v>0</v>
      </c>
      <c r="F233" s="65">
        <v>5993732816</v>
      </c>
      <c r="G233" s="65">
        <v>5989814254</v>
      </c>
      <c r="H233" s="65">
        <v>5989814254</v>
      </c>
      <c r="I233" s="65">
        <v>8760692965</v>
      </c>
      <c r="J233" s="65">
        <v>9811893086</v>
      </c>
      <c r="K233" s="65">
        <v>10775250532</v>
      </c>
      <c r="L233" s="65">
        <v>13149093386</v>
      </c>
      <c r="M233" s="65">
        <v>13696887892</v>
      </c>
    </row>
    <row r="235" spans="2:13" ht="15.5">
      <c r="B235" s="42" t="s">
        <v>843</v>
      </c>
    </row>
    <row r="236" spans="2:13">
      <c r="B236" s="63" t="s">
        <v>834</v>
      </c>
      <c r="C236" s="64" t="s">
        <v>835</v>
      </c>
      <c r="D236" s="65">
        <v>0</v>
      </c>
      <c r="E236" s="65">
        <v>0</v>
      </c>
      <c r="F236" s="65">
        <v>-11561400000</v>
      </c>
      <c r="G236" s="65">
        <v>-74133300000</v>
      </c>
      <c r="H236" s="65">
        <v>-32766300000</v>
      </c>
      <c r="I236" s="65">
        <v>-3985100000</v>
      </c>
      <c r="J236" s="65">
        <v>-9126600000</v>
      </c>
      <c r="K236" s="65">
        <v>21627600000</v>
      </c>
      <c r="L236" s="65">
        <v>934300000</v>
      </c>
      <c r="M236" s="65">
        <v>21107000000</v>
      </c>
    </row>
    <row r="237" spans="2:13">
      <c r="B237" s="63" t="s">
        <v>836</v>
      </c>
      <c r="C237" s="64" t="s">
        <v>837</v>
      </c>
      <c r="D237" s="65">
        <v>0</v>
      </c>
      <c r="E237" s="65">
        <v>0</v>
      </c>
      <c r="F237" s="65">
        <v>-11053000000</v>
      </c>
      <c r="G237" s="65">
        <v>-73092400000</v>
      </c>
      <c r="H237" s="65">
        <v>-31457000000</v>
      </c>
      <c r="I237" s="65">
        <v>-3985100000</v>
      </c>
      <c r="J237" s="65">
        <v>-9126600000</v>
      </c>
      <c r="K237" s="65">
        <v>21627600000</v>
      </c>
      <c r="L237" s="65">
        <v>934300000</v>
      </c>
      <c r="M237" s="65">
        <v>21107000000</v>
      </c>
    </row>
    <row r="238" spans="2:13">
      <c r="B238" s="63" t="s">
        <v>1386</v>
      </c>
      <c r="C238" s="64" t="s">
        <v>1387</v>
      </c>
      <c r="D238" s="65">
        <v>0</v>
      </c>
      <c r="E238" s="65">
        <v>966952190</v>
      </c>
      <c r="F238" s="65">
        <v>733244674</v>
      </c>
      <c r="G238" s="65">
        <v>670040133</v>
      </c>
      <c r="H238" s="65">
        <v>670040133</v>
      </c>
      <c r="I238" s="65">
        <v>1178987467</v>
      </c>
      <c r="J238" s="65">
        <v>0</v>
      </c>
      <c r="K238" s="65">
        <v>0</v>
      </c>
      <c r="L238" s="65">
        <v>0</v>
      </c>
      <c r="M238" s="65">
        <v>0</v>
      </c>
    </row>
    <row r="239" spans="2:13">
      <c r="B239" s="63" t="s">
        <v>1388</v>
      </c>
      <c r="C239" s="64" t="s">
        <v>1389</v>
      </c>
      <c r="D239" s="65">
        <v>0</v>
      </c>
      <c r="E239" s="65">
        <v>3788494</v>
      </c>
      <c r="F239" s="65">
        <v>3109312</v>
      </c>
      <c r="G239" s="65">
        <v>0</v>
      </c>
      <c r="H239" s="65">
        <v>0</v>
      </c>
      <c r="I239" s="65">
        <v>0</v>
      </c>
      <c r="J239" s="65">
        <v>0</v>
      </c>
      <c r="K239" s="65">
        <v>0</v>
      </c>
      <c r="L239" s="65">
        <v>0</v>
      </c>
      <c r="M239" s="65">
        <v>0</v>
      </c>
    </row>
    <row r="241" spans="1:13" ht="15.5">
      <c r="B241" s="42" t="s">
        <v>844</v>
      </c>
    </row>
    <row r="242" spans="1:13">
      <c r="B242" s="68" t="s">
        <v>845</v>
      </c>
    </row>
    <row r="243" spans="1:13">
      <c r="B243" s="70" t="s">
        <v>846</v>
      </c>
    </row>
    <row r="244" spans="1:13">
      <c r="B244" s="72" t="s">
        <v>683</v>
      </c>
    </row>
    <row r="245" spans="1:13">
      <c r="B245" s="73" t="s">
        <v>684</v>
      </c>
      <c r="C245" s="64" t="s">
        <v>685</v>
      </c>
      <c r="D245" s="65">
        <v>0</v>
      </c>
      <c r="E245" s="65">
        <v>0.71</v>
      </c>
      <c r="F245" s="65">
        <v>-2.2000000000000002</v>
      </c>
      <c r="G245" s="65">
        <v>-13.94</v>
      </c>
      <c r="H245" s="65">
        <v>-6.16</v>
      </c>
      <c r="I245" s="65">
        <v>-0.53</v>
      </c>
      <c r="J245" s="65">
        <v>-1.02</v>
      </c>
      <c r="K245" s="65">
        <v>2.0099999999999998</v>
      </c>
      <c r="L245" s="65">
        <v>7.0000000000000007E-2</v>
      </c>
      <c r="M245" s="65">
        <v>1.54</v>
      </c>
    </row>
    <row r="246" spans="1:13">
      <c r="B246" s="75" t="s">
        <v>686</v>
      </c>
      <c r="C246" s="64" t="s">
        <v>687</v>
      </c>
      <c r="D246" s="67">
        <v>0</v>
      </c>
      <c r="E246" s="67">
        <v>0.71</v>
      </c>
      <c r="F246" s="67">
        <v>-2.2000000000000002</v>
      </c>
      <c r="G246" s="67">
        <v>-13.94</v>
      </c>
      <c r="H246" s="67">
        <v>-6.16</v>
      </c>
      <c r="I246" s="67">
        <v>-0.53</v>
      </c>
      <c r="J246" s="67">
        <v>-1.02</v>
      </c>
      <c r="K246" s="67">
        <v>2.0099999999999998</v>
      </c>
      <c r="L246" s="67">
        <v>7.0000000000000007E-2</v>
      </c>
      <c r="M246" s="67">
        <v>1.54</v>
      </c>
    </row>
    <row r="247" spans="1:13">
      <c r="B247" s="72" t="s">
        <v>688</v>
      </c>
    </row>
    <row r="248" spans="1:13">
      <c r="B248" s="73" t="s">
        <v>689</v>
      </c>
      <c r="C248" s="64" t="s">
        <v>690</v>
      </c>
      <c r="D248" s="65">
        <v>0</v>
      </c>
      <c r="E248" s="65">
        <v>0.71</v>
      </c>
      <c r="F248" s="65">
        <v>-2.2000000000000002</v>
      </c>
      <c r="G248" s="65">
        <v>-13.94</v>
      </c>
      <c r="H248" s="65">
        <v>-6.16</v>
      </c>
      <c r="I248" s="65">
        <v>-0.53</v>
      </c>
      <c r="J248" s="65">
        <v>-1.02</v>
      </c>
      <c r="K248" s="65">
        <v>2.0099999999999998</v>
      </c>
      <c r="L248" s="65">
        <v>7.0000000000000007E-2</v>
      </c>
      <c r="M248" s="65">
        <v>1.54</v>
      </c>
    </row>
    <row r="249" spans="1:13">
      <c r="B249" s="75" t="s">
        <v>691</v>
      </c>
      <c r="C249" s="64" t="s">
        <v>692</v>
      </c>
      <c r="D249" s="67">
        <v>0</v>
      </c>
      <c r="E249" s="67">
        <v>0.71</v>
      </c>
      <c r="F249" s="67">
        <v>-2.2000000000000002</v>
      </c>
      <c r="G249" s="67">
        <v>-13.94</v>
      </c>
      <c r="H249" s="67">
        <v>-6.16</v>
      </c>
      <c r="I249" s="67">
        <v>-0.53</v>
      </c>
      <c r="J249" s="67">
        <v>-1.02</v>
      </c>
      <c r="K249" s="67">
        <v>2.0099999999999998</v>
      </c>
      <c r="L249" s="67">
        <v>7.0000000000000007E-2</v>
      </c>
      <c r="M249" s="67">
        <v>1.54</v>
      </c>
    </row>
    <row r="250" spans="1:13">
      <c r="B250" s="72" t="s">
        <v>838</v>
      </c>
    </row>
    <row r="251" spans="1:13">
      <c r="B251" s="73" t="s">
        <v>839</v>
      </c>
      <c r="C251" s="64" t="s">
        <v>840</v>
      </c>
      <c r="D251" s="65">
        <v>0</v>
      </c>
      <c r="E251" s="65">
        <v>5022862081</v>
      </c>
      <c r="F251" s="65">
        <v>5257378830</v>
      </c>
      <c r="G251" s="65">
        <v>5319774121</v>
      </c>
      <c r="H251" s="65">
        <v>5319774121</v>
      </c>
      <c r="I251" s="65">
        <v>7581705498</v>
      </c>
      <c r="J251" s="65">
        <v>8926947969</v>
      </c>
      <c r="K251" s="65">
        <v>10775250532</v>
      </c>
      <c r="L251" s="65">
        <v>13149093386</v>
      </c>
      <c r="M251" s="65">
        <v>13696887892</v>
      </c>
    </row>
    <row r="252" spans="1:13">
      <c r="B252" s="73" t="s">
        <v>841</v>
      </c>
      <c r="C252" s="64" t="s">
        <v>842</v>
      </c>
      <c r="D252" s="65">
        <v>0</v>
      </c>
      <c r="E252" s="65">
        <v>0</v>
      </c>
      <c r="F252" s="65">
        <v>5993732816</v>
      </c>
      <c r="G252" s="65">
        <v>5989814254</v>
      </c>
      <c r="H252" s="65">
        <v>5989814254</v>
      </c>
      <c r="I252" s="65">
        <v>8760692965</v>
      </c>
      <c r="J252" s="65">
        <v>9811893086</v>
      </c>
      <c r="K252" s="65">
        <v>10775250532</v>
      </c>
      <c r="L252" s="65">
        <v>13149093386</v>
      </c>
      <c r="M252" s="65">
        <v>13696887892</v>
      </c>
    </row>
    <row r="255" spans="1:13" ht="15.5">
      <c r="A255" t="s">
        <v>27</v>
      </c>
      <c r="B255" s="42" t="s">
        <v>847</v>
      </c>
    </row>
    <row r="257" spans="2:13">
      <c r="C257" s="62" t="s">
        <v>625</v>
      </c>
      <c r="D257" s="24" t="s">
        <v>30</v>
      </c>
      <c r="E257" s="24" t="s">
        <v>31</v>
      </c>
      <c r="F257" s="24" t="s">
        <v>32</v>
      </c>
      <c r="G257" s="24" t="s">
        <v>33</v>
      </c>
      <c r="H257" s="24" t="s">
        <v>34</v>
      </c>
      <c r="I257" s="24" t="s">
        <v>35</v>
      </c>
      <c r="J257" s="24" t="s">
        <v>36</v>
      </c>
      <c r="K257" s="24" t="s">
        <v>37</v>
      </c>
      <c r="L257" s="24" t="s">
        <v>38</v>
      </c>
      <c r="M257" s="24" t="s">
        <v>39</v>
      </c>
    </row>
    <row r="258" spans="2:13" ht="15.5">
      <c r="B258" s="42" t="s">
        <v>848</v>
      </c>
    </row>
    <row r="259" spans="2:13">
      <c r="B259" s="68" t="s">
        <v>849</v>
      </c>
    </row>
    <row r="260" spans="2:13">
      <c r="B260" s="69" t="s">
        <v>852</v>
      </c>
      <c r="C260" s="64" t="s">
        <v>853</v>
      </c>
      <c r="D260" s="65">
        <v>0</v>
      </c>
      <c r="E260" s="65">
        <v>-500000</v>
      </c>
      <c r="F260" s="65">
        <v>14000000</v>
      </c>
      <c r="G260" s="65">
        <v>13500000</v>
      </c>
      <c r="H260" s="65">
        <v>6500000</v>
      </c>
      <c r="I260" s="65">
        <v>0</v>
      </c>
      <c r="J260" s="65">
        <v>0</v>
      </c>
      <c r="K260" s="65">
        <v>0</v>
      </c>
      <c r="L260" s="65">
        <v>0</v>
      </c>
      <c r="M260" s="65">
        <v>0</v>
      </c>
    </row>
    <row r="261" spans="2:13">
      <c r="B261" s="76" t="s">
        <v>854</v>
      </c>
      <c r="C261" s="64" t="s">
        <v>855</v>
      </c>
      <c r="D261" s="67">
        <v>0</v>
      </c>
      <c r="E261" s="67">
        <v>-500000</v>
      </c>
      <c r="F261" s="67">
        <v>14000000</v>
      </c>
      <c r="G261" s="67">
        <v>13500000</v>
      </c>
      <c r="H261" s="67">
        <v>6500000</v>
      </c>
      <c r="I261" s="67">
        <v>0</v>
      </c>
      <c r="J261" s="67">
        <v>0</v>
      </c>
      <c r="K261" s="67">
        <v>0</v>
      </c>
      <c r="L261" s="67">
        <v>0</v>
      </c>
      <c r="M261" s="67">
        <v>0</v>
      </c>
    </row>
    <row r="262" spans="2:13">
      <c r="B262" s="66" t="s">
        <v>860</v>
      </c>
      <c r="C262" s="64" t="s">
        <v>861</v>
      </c>
      <c r="D262" s="67">
        <v>0</v>
      </c>
      <c r="E262" s="67">
        <v>-500000</v>
      </c>
      <c r="F262" s="67">
        <v>14000000</v>
      </c>
      <c r="G262" s="67">
        <v>13500000</v>
      </c>
      <c r="H262" s="67">
        <v>6500000</v>
      </c>
      <c r="I262" s="67">
        <v>0</v>
      </c>
      <c r="J262" s="67">
        <v>0</v>
      </c>
      <c r="K262" s="67">
        <v>0</v>
      </c>
      <c r="L262" s="67">
        <v>0</v>
      </c>
      <c r="M262" s="67">
        <v>0</v>
      </c>
    </row>
    <row r="266" spans="2:13">
      <c r="B266" s="68" t="s">
        <v>862</v>
      </c>
    </row>
    <row r="267" spans="2:13">
      <c r="B267" s="70" t="s">
        <v>863</v>
      </c>
    </row>
    <row r="268" spans="2:13">
      <c r="B268" s="72" t="s">
        <v>864</v>
      </c>
    </row>
    <row r="269" spans="2:13">
      <c r="B269" s="73" t="s">
        <v>865</v>
      </c>
      <c r="C269" s="64" t="s">
        <v>866</v>
      </c>
      <c r="D269" s="65">
        <v>0</v>
      </c>
      <c r="E269" s="65">
        <v>0</v>
      </c>
      <c r="F269" s="65">
        <v>0</v>
      </c>
      <c r="G269" s="65">
        <v>0</v>
      </c>
      <c r="H269" s="65">
        <v>0</v>
      </c>
      <c r="I269" s="65">
        <v>0</v>
      </c>
      <c r="J269" s="65">
        <v>0</v>
      </c>
      <c r="K269" s="65">
        <v>0</v>
      </c>
      <c r="L269" s="65">
        <v>0</v>
      </c>
      <c r="M269" s="65">
        <v>6380500000</v>
      </c>
    </row>
    <row r="270" spans="2:13">
      <c r="B270" s="75" t="s">
        <v>867</v>
      </c>
      <c r="C270" s="64" t="s">
        <v>868</v>
      </c>
      <c r="D270" s="67">
        <v>0</v>
      </c>
      <c r="E270" s="67">
        <v>0</v>
      </c>
      <c r="F270" s="67">
        <v>0</v>
      </c>
      <c r="G270" s="67">
        <v>0</v>
      </c>
      <c r="H270" s="67">
        <v>0</v>
      </c>
      <c r="I270" s="67">
        <v>0</v>
      </c>
      <c r="J270" s="67">
        <v>0</v>
      </c>
      <c r="K270" s="67">
        <v>0</v>
      </c>
      <c r="L270" s="67">
        <v>0</v>
      </c>
      <c r="M270" s="67">
        <v>-6380500000</v>
      </c>
    </row>
    <row r="271" spans="2:13">
      <c r="B271" s="72" t="s">
        <v>869</v>
      </c>
    </row>
    <row r="272" spans="2:13">
      <c r="B272" s="73" t="s">
        <v>870</v>
      </c>
      <c r="C272" s="64" t="s">
        <v>871</v>
      </c>
      <c r="D272" s="65">
        <v>0</v>
      </c>
      <c r="E272" s="65">
        <v>0</v>
      </c>
      <c r="F272" s="65">
        <v>0</v>
      </c>
      <c r="G272" s="65">
        <v>0</v>
      </c>
      <c r="H272" s="65">
        <v>0</v>
      </c>
      <c r="I272" s="65">
        <v>0</v>
      </c>
      <c r="J272" s="65">
        <v>0</v>
      </c>
      <c r="K272" s="65">
        <v>0</v>
      </c>
      <c r="L272" s="65">
        <v>0</v>
      </c>
      <c r="M272" s="65">
        <v>6380500000</v>
      </c>
    </row>
    <row r="273" spans="2:13">
      <c r="B273" s="72" t="s">
        <v>872</v>
      </c>
    </row>
    <row r="274" spans="2:13">
      <c r="B274" s="80" t="s">
        <v>873</v>
      </c>
      <c r="C274" s="64" t="s">
        <v>874</v>
      </c>
      <c r="D274" s="65">
        <v>0</v>
      </c>
      <c r="E274" s="65">
        <v>0</v>
      </c>
      <c r="F274" s="65">
        <v>0</v>
      </c>
      <c r="G274" s="65">
        <v>0</v>
      </c>
      <c r="H274" s="65">
        <v>0</v>
      </c>
      <c r="I274" s="65">
        <v>0</v>
      </c>
      <c r="J274" s="65">
        <v>0</v>
      </c>
      <c r="K274" s="65">
        <v>0</v>
      </c>
      <c r="L274" s="65">
        <v>0</v>
      </c>
      <c r="M274" s="65">
        <v>-6380500000</v>
      </c>
    </row>
    <row r="275" spans="2:13">
      <c r="B275" s="72" t="s">
        <v>875</v>
      </c>
    </row>
    <row r="276" spans="2:13">
      <c r="B276" s="75" t="s">
        <v>867</v>
      </c>
      <c r="C276" s="64" t="s">
        <v>868</v>
      </c>
      <c r="D276" s="67">
        <v>0</v>
      </c>
      <c r="E276" s="67">
        <v>0</v>
      </c>
      <c r="F276" s="67">
        <v>0</v>
      </c>
      <c r="G276" s="67">
        <v>0</v>
      </c>
      <c r="H276" s="67">
        <v>0</v>
      </c>
      <c r="I276" s="67">
        <v>0</v>
      </c>
      <c r="J276" s="67">
        <v>0</v>
      </c>
      <c r="K276" s="67">
        <v>0</v>
      </c>
      <c r="L276" s="67">
        <v>0</v>
      </c>
      <c r="M276" s="67">
        <v>-6380500000</v>
      </c>
    </row>
    <row r="277" spans="2:13">
      <c r="B277" s="77" t="s">
        <v>876</v>
      </c>
    </row>
    <row r="278" spans="2:13">
      <c r="B278" s="80" t="s">
        <v>873</v>
      </c>
      <c r="C278" s="64" t="s">
        <v>874</v>
      </c>
      <c r="D278" s="65">
        <v>0</v>
      </c>
      <c r="E278" s="65">
        <v>0</v>
      </c>
      <c r="F278" s="65">
        <v>0</v>
      </c>
      <c r="G278" s="65">
        <v>0</v>
      </c>
      <c r="H278" s="65">
        <v>0</v>
      </c>
      <c r="I278" s="65">
        <v>0</v>
      </c>
      <c r="J278" s="65">
        <v>0</v>
      </c>
      <c r="K278" s="65">
        <v>0</v>
      </c>
      <c r="L278" s="65">
        <v>0</v>
      </c>
      <c r="M278" s="65">
        <v>-6380500000</v>
      </c>
    </row>
    <row r="279" spans="2:13">
      <c r="B279" s="78" t="s">
        <v>879</v>
      </c>
      <c r="C279" s="64" t="s">
        <v>880</v>
      </c>
      <c r="D279" s="67">
        <v>0</v>
      </c>
      <c r="E279" s="67">
        <v>0</v>
      </c>
      <c r="F279" s="67">
        <v>0</v>
      </c>
      <c r="G279" s="67">
        <v>0</v>
      </c>
      <c r="H279" s="67">
        <v>0</v>
      </c>
      <c r="I279" s="67">
        <v>0</v>
      </c>
      <c r="J279" s="67">
        <v>0</v>
      </c>
      <c r="K279" s="67">
        <v>0</v>
      </c>
      <c r="L279" s="67">
        <v>0</v>
      </c>
      <c r="M279" s="67">
        <v>-6380500000</v>
      </c>
    </row>
    <row r="280" spans="2:13">
      <c r="B280" s="75" t="s">
        <v>867</v>
      </c>
      <c r="C280" s="64" t="s">
        <v>868</v>
      </c>
      <c r="D280" s="67">
        <v>0</v>
      </c>
      <c r="E280" s="67">
        <v>0</v>
      </c>
      <c r="F280" s="67">
        <v>0</v>
      </c>
      <c r="G280" s="67">
        <v>0</v>
      </c>
      <c r="H280" s="67">
        <v>0</v>
      </c>
      <c r="I280" s="67">
        <v>0</v>
      </c>
      <c r="J280" s="67">
        <v>0</v>
      </c>
      <c r="K280" s="67">
        <v>0</v>
      </c>
      <c r="L280" s="67">
        <v>0</v>
      </c>
      <c r="M280" s="67">
        <v>-6380500000</v>
      </c>
    </row>
    <row r="282" spans="2:13" ht="15.5">
      <c r="B282" s="42" t="s">
        <v>881</v>
      </c>
    </row>
    <row r="283" spans="2:13">
      <c r="B283" s="63" t="s">
        <v>882</v>
      </c>
      <c r="C283" s="64" t="s">
        <v>883</v>
      </c>
      <c r="D283" s="65">
        <v>0</v>
      </c>
      <c r="E283" s="65">
        <v>3556400000</v>
      </c>
      <c r="F283" s="65">
        <v>-11547400000</v>
      </c>
      <c r="G283" s="65">
        <v>-74119800000</v>
      </c>
      <c r="H283" s="65">
        <v>-32759800000</v>
      </c>
      <c r="I283" s="65">
        <v>-3984000000</v>
      </c>
      <c r="J283" s="65">
        <v>-9126600000</v>
      </c>
      <c r="K283" s="65">
        <v>0</v>
      </c>
      <c r="L283" s="65">
        <v>0</v>
      </c>
      <c r="M283" s="65">
        <v>0</v>
      </c>
    </row>
    <row r="284" spans="2:13">
      <c r="B284" s="63" t="s">
        <v>884</v>
      </c>
      <c r="C284" s="64" t="s">
        <v>885</v>
      </c>
      <c r="D284" s="65">
        <v>0</v>
      </c>
      <c r="E284" s="65">
        <v>1230800000</v>
      </c>
      <c r="F284" s="65">
        <v>-3996300000</v>
      </c>
      <c r="G284" s="65">
        <v>-25900400000</v>
      </c>
      <c r="H284" s="65">
        <v>-11447500000</v>
      </c>
      <c r="I284" s="65">
        <v>-1392200000</v>
      </c>
      <c r="J284" s="65">
        <v>-2297000000</v>
      </c>
      <c r="K284" s="65">
        <v>0</v>
      </c>
      <c r="L284" s="65">
        <v>0</v>
      </c>
      <c r="M284" s="65">
        <v>0</v>
      </c>
    </row>
    <row r="285" spans="2:13">
      <c r="B285" s="63" t="s">
        <v>886</v>
      </c>
      <c r="C285" s="64" t="s">
        <v>887</v>
      </c>
      <c r="D285" s="65">
        <v>0</v>
      </c>
      <c r="E285" s="65">
        <v>23600000</v>
      </c>
      <c r="F285" s="65">
        <v>0</v>
      </c>
      <c r="G285" s="65">
        <v>0</v>
      </c>
      <c r="H285" s="65">
        <v>0</v>
      </c>
      <c r="I285" s="65">
        <v>0</v>
      </c>
      <c r="J285" s="65">
        <v>0</v>
      </c>
      <c r="K285" s="65">
        <v>0</v>
      </c>
      <c r="L285" s="65">
        <v>0</v>
      </c>
      <c r="M285" s="65">
        <v>0</v>
      </c>
    </row>
    <row r="286" spans="2:13">
      <c r="B286" s="63" t="s">
        <v>888</v>
      </c>
      <c r="C286" s="64" t="s">
        <v>889</v>
      </c>
      <c r="D286" s="65">
        <v>0</v>
      </c>
      <c r="E286" s="65">
        <v>20700000</v>
      </c>
      <c r="F286" s="65">
        <v>53300000</v>
      </c>
      <c r="G286" s="65">
        <v>15300000</v>
      </c>
      <c r="H286" s="65">
        <v>2000000</v>
      </c>
      <c r="I286" s="65">
        <v>4500000</v>
      </c>
      <c r="J286" s="65">
        <v>1094100000</v>
      </c>
      <c r="K286" s="65">
        <v>0</v>
      </c>
      <c r="L286" s="65">
        <v>0</v>
      </c>
      <c r="M286" s="65">
        <v>0</v>
      </c>
    </row>
    <row r="287" spans="2:13">
      <c r="B287" s="63" t="s">
        <v>890</v>
      </c>
      <c r="C287" s="64" t="s">
        <v>891</v>
      </c>
      <c r="D287" s="65">
        <v>0</v>
      </c>
      <c r="E287" s="65">
        <v>-1867000000</v>
      </c>
      <c r="F287" s="65">
        <v>4066900000</v>
      </c>
      <c r="G287" s="65">
        <v>25951000000</v>
      </c>
      <c r="H287" s="65">
        <v>11440500000</v>
      </c>
      <c r="I287" s="65">
        <v>1381800000</v>
      </c>
      <c r="J287" s="65">
        <v>1186200000</v>
      </c>
      <c r="K287" s="65">
        <v>0</v>
      </c>
      <c r="L287" s="65">
        <v>0</v>
      </c>
      <c r="M287" s="65">
        <v>0</v>
      </c>
    </row>
    <row r="288" spans="2:13">
      <c r="B288" s="63" t="s">
        <v>892</v>
      </c>
      <c r="C288" s="64" t="s">
        <v>893</v>
      </c>
      <c r="D288" s="65">
        <v>0</v>
      </c>
      <c r="E288" s="65">
        <v>-500000</v>
      </c>
      <c r="F288" s="65">
        <v>0</v>
      </c>
      <c r="G288" s="65">
        <v>0</v>
      </c>
      <c r="H288" s="65">
        <v>0</v>
      </c>
      <c r="I288" s="65">
        <v>0</v>
      </c>
      <c r="J288" s="65">
        <v>0</v>
      </c>
      <c r="K288" s="65">
        <v>0</v>
      </c>
      <c r="L288" s="65">
        <v>0</v>
      </c>
      <c r="M288" s="65">
        <v>0</v>
      </c>
    </row>
    <row r="289" spans="1:13">
      <c r="B289" s="63" t="s">
        <v>894</v>
      </c>
      <c r="C289" s="64" t="s">
        <v>895</v>
      </c>
      <c r="D289" s="65">
        <v>0</v>
      </c>
      <c r="E289" s="65">
        <v>639100000</v>
      </c>
      <c r="F289" s="65">
        <v>-109900000</v>
      </c>
      <c r="G289" s="65">
        <v>-52400000</v>
      </c>
      <c r="H289" s="65">
        <v>11500000</v>
      </c>
      <c r="I289" s="65">
        <v>5900000</v>
      </c>
      <c r="J289" s="65">
        <v>16700000</v>
      </c>
      <c r="K289" s="65">
        <v>0</v>
      </c>
      <c r="L289" s="65">
        <v>0</v>
      </c>
      <c r="M289" s="65">
        <v>0</v>
      </c>
    </row>
    <row r="290" spans="1:13">
      <c r="B290" s="66" t="s">
        <v>860</v>
      </c>
      <c r="C290" s="64" t="s">
        <v>861</v>
      </c>
      <c r="D290" s="67">
        <v>0</v>
      </c>
      <c r="E290" s="67">
        <v>-500000</v>
      </c>
      <c r="F290" s="67">
        <v>14000000</v>
      </c>
      <c r="G290" s="67">
        <v>13500000</v>
      </c>
      <c r="H290" s="67">
        <v>6500000</v>
      </c>
      <c r="I290" s="67">
        <v>0</v>
      </c>
      <c r="J290" s="67">
        <v>0</v>
      </c>
      <c r="K290" s="67">
        <v>0</v>
      </c>
      <c r="L290" s="67">
        <v>0</v>
      </c>
      <c r="M290" s="67">
        <v>0</v>
      </c>
    </row>
    <row r="292" spans="1:13" ht="15.5">
      <c r="B292" s="42" t="s">
        <v>896</v>
      </c>
    </row>
    <row r="293" spans="1:13">
      <c r="B293" s="63" t="s">
        <v>882</v>
      </c>
      <c r="C293" s="64" t="s">
        <v>883</v>
      </c>
      <c r="D293" s="65">
        <v>0</v>
      </c>
      <c r="E293" s="65">
        <v>3556400000</v>
      </c>
      <c r="F293" s="65">
        <v>-11547400000</v>
      </c>
      <c r="G293" s="65">
        <v>-74119800000</v>
      </c>
      <c r="H293" s="65">
        <v>-32759800000</v>
      </c>
      <c r="I293" s="65">
        <v>-3984000000</v>
      </c>
      <c r="J293" s="65">
        <v>-9126600000</v>
      </c>
      <c r="K293" s="65">
        <v>0</v>
      </c>
      <c r="L293" s="65">
        <v>0</v>
      </c>
      <c r="M293" s="65">
        <v>0</v>
      </c>
    </row>
    <row r="296" spans="1:13" ht="15.5">
      <c r="A296" t="s">
        <v>27</v>
      </c>
      <c r="B296" s="42" t="s">
        <v>901</v>
      </c>
    </row>
    <row r="298" spans="1:13">
      <c r="C298" s="62" t="s">
        <v>625</v>
      </c>
      <c r="D298" s="24" t="s">
        <v>30</v>
      </c>
      <c r="E298" s="24" t="s">
        <v>31</v>
      </c>
      <c r="F298" s="24" t="s">
        <v>32</v>
      </c>
      <c r="G298" s="24" t="s">
        <v>33</v>
      </c>
      <c r="H298" s="24" t="s">
        <v>34</v>
      </c>
      <c r="I298" s="24" t="s">
        <v>35</v>
      </c>
      <c r="J298" s="24" t="s">
        <v>36</v>
      </c>
      <c r="K298" s="24" t="s">
        <v>37</v>
      </c>
      <c r="L298" s="24" t="s">
        <v>38</v>
      </c>
      <c r="M298" s="24" t="s">
        <v>39</v>
      </c>
    </row>
    <row r="299" spans="1:13" ht="15.5">
      <c r="B299" s="42" t="s">
        <v>902</v>
      </c>
    </row>
    <row r="300" spans="1:13">
      <c r="B300" s="68" t="s">
        <v>903</v>
      </c>
    </row>
    <row r="301" spans="1:13">
      <c r="B301" s="69" t="s">
        <v>827</v>
      </c>
      <c r="C301" s="64" t="s">
        <v>828</v>
      </c>
      <c r="D301" s="65">
        <v>0</v>
      </c>
      <c r="E301" s="65">
        <v>90949400000</v>
      </c>
      <c r="F301" s="65">
        <v>60248800000</v>
      </c>
      <c r="G301" s="65">
        <v>23386900000</v>
      </c>
      <c r="H301" s="65">
        <v>1509300000</v>
      </c>
      <c r="I301" s="65">
        <v>10143900000</v>
      </c>
      <c r="J301" s="65">
        <v>37942100000</v>
      </c>
      <c r="K301" s="65">
        <v>33946300000</v>
      </c>
      <c r="L301" s="65">
        <v>36509800000</v>
      </c>
      <c r="M301" s="65">
        <v>80696900000</v>
      </c>
    </row>
    <row r="302" spans="1:13">
      <c r="B302" s="69" t="s">
        <v>830</v>
      </c>
      <c r="C302" s="64" t="s">
        <v>831</v>
      </c>
      <c r="D302" s="65">
        <v>0</v>
      </c>
      <c r="E302" s="65">
        <v>1342700000</v>
      </c>
      <c r="F302" s="65">
        <v>1177400000</v>
      </c>
      <c r="G302" s="65">
        <v>1323900000</v>
      </c>
      <c r="H302" s="65">
        <v>1493600000</v>
      </c>
      <c r="I302" s="65">
        <v>1547500000</v>
      </c>
      <c r="J302" s="65">
        <v>1812000000</v>
      </c>
      <c r="K302" s="65">
        <v>1435100000</v>
      </c>
      <c r="L302" s="65">
        <v>1482000000</v>
      </c>
      <c r="M302" s="65">
        <v>20919100000</v>
      </c>
    </row>
    <row r="303" spans="1:13">
      <c r="B303" s="76" t="s">
        <v>904</v>
      </c>
      <c r="C303" s="64" t="s">
        <v>905</v>
      </c>
      <c r="D303" s="67">
        <v>0</v>
      </c>
      <c r="E303" s="67">
        <v>164700000</v>
      </c>
      <c r="F303" s="67">
        <v>238600000</v>
      </c>
      <c r="G303" s="67">
        <v>724200000</v>
      </c>
      <c r="H303" s="67">
        <v>756600000</v>
      </c>
      <c r="I303" s="67">
        <v>781700000</v>
      </c>
      <c r="J303" s="67">
        <v>646300000</v>
      </c>
      <c r="K303" s="67">
        <v>523000000</v>
      </c>
      <c r="L303" s="67">
        <v>610700000</v>
      </c>
      <c r="M303" s="67">
        <v>361200000</v>
      </c>
    </row>
    <row r="304" spans="1:13">
      <c r="B304" s="76" t="s">
        <v>906</v>
      </c>
      <c r="C304" s="64" t="s">
        <v>907</v>
      </c>
      <c r="D304" s="67">
        <v>0</v>
      </c>
      <c r="E304" s="67">
        <v>92456800000</v>
      </c>
      <c r="F304" s="67">
        <v>61664800000</v>
      </c>
      <c r="G304" s="67">
        <v>25435000000</v>
      </c>
      <c r="H304" s="67">
        <v>3759500000</v>
      </c>
      <c r="I304" s="67">
        <v>12473100000</v>
      </c>
      <c r="J304" s="67">
        <v>40400400000</v>
      </c>
      <c r="K304" s="67">
        <v>35904400000</v>
      </c>
      <c r="L304" s="67">
        <v>38602500000</v>
      </c>
      <c r="M304" s="67">
        <v>101977200000</v>
      </c>
    </row>
    <row r="305" spans="2:13">
      <c r="B305" s="66" t="s">
        <v>115</v>
      </c>
      <c r="C305" s="64" t="s">
        <v>626</v>
      </c>
      <c r="D305" s="67">
        <v>0</v>
      </c>
      <c r="E305" s="67">
        <v>92456800000</v>
      </c>
      <c r="F305" s="67">
        <v>61664800000</v>
      </c>
      <c r="G305" s="67">
        <v>25435000000</v>
      </c>
      <c r="H305" s="67">
        <v>3759500000</v>
      </c>
      <c r="I305" s="67">
        <v>12473100000</v>
      </c>
      <c r="J305" s="67">
        <v>40400400000</v>
      </c>
      <c r="K305" s="67">
        <v>35904400000</v>
      </c>
      <c r="L305" s="67">
        <v>38602500000</v>
      </c>
      <c r="M305" s="67">
        <v>101977200000</v>
      </c>
    </row>
    <row r="307" spans="2:13" ht="15.5">
      <c r="B307" s="42" t="s">
        <v>908</v>
      </c>
    </row>
    <row r="308" spans="2:13">
      <c r="B308" s="68" t="s">
        <v>909</v>
      </c>
    </row>
    <row r="309" spans="2:13">
      <c r="B309" s="69" t="s">
        <v>910</v>
      </c>
      <c r="C309" s="64" t="s">
        <v>911</v>
      </c>
      <c r="D309" s="65">
        <v>0</v>
      </c>
      <c r="E309" s="65">
        <v>164700000</v>
      </c>
      <c r="F309" s="65">
        <v>238600000</v>
      </c>
      <c r="G309" s="65">
        <v>724200000</v>
      </c>
      <c r="H309" s="65">
        <v>756600000</v>
      </c>
      <c r="I309" s="65">
        <v>781700000</v>
      </c>
      <c r="J309" s="65">
        <v>646300000</v>
      </c>
      <c r="K309" s="65">
        <v>523000000</v>
      </c>
      <c r="L309" s="65">
        <v>610700000</v>
      </c>
      <c r="M309" s="65">
        <v>361200000</v>
      </c>
    </row>
    <row r="310" spans="2:13">
      <c r="B310" s="76" t="s">
        <v>904</v>
      </c>
      <c r="C310" s="64" t="s">
        <v>905</v>
      </c>
      <c r="D310" s="67">
        <v>0</v>
      </c>
      <c r="E310" s="67">
        <v>164700000</v>
      </c>
      <c r="F310" s="67">
        <v>238600000</v>
      </c>
      <c r="G310" s="67">
        <v>724200000</v>
      </c>
      <c r="H310" s="67">
        <v>756600000</v>
      </c>
      <c r="I310" s="67">
        <v>781700000</v>
      </c>
      <c r="J310" s="67">
        <v>646300000</v>
      </c>
      <c r="K310" s="67">
        <v>523000000</v>
      </c>
      <c r="L310" s="67">
        <v>610700000</v>
      </c>
      <c r="M310" s="67">
        <v>361200000</v>
      </c>
    </row>
    <row r="311" spans="2:13">
      <c r="B311" s="70" t="s">
        <v>912</v>
      </c>
    </row>
    <row r="312" spans="2:13">
      <c r="B312" s="72" t="s">
        <v>913</v>
      </c>
    </row>
    <row r="313" spans="2:13">
      <c r="B313" s="73" t="s">
        <v>910</v>
      </c>
      <c r="C313" s="64" t="s">
        <v>911</v>
      </c>
      <c r="D313" s="65">
        <v>0</v>
      </c>
      <c r="E313" s="65">
        <v>164700000</v>
      </c>
      <c r="F313" s="65">
        <v>238600000</v>
      </c>
      <c r="G313" s="65">
        <v>724200000</v>
      </c>
      <c r="H313" s="65">
        <v>756600000</v>
      </c>
      <c r="I313" s="65">
        <v>781700000</v>
      </c>
      <c r="J313" s="65">
        <v>646300000</v>
      </c>
      <c r="K313" s="65">
        <v>523000000</v>
      </c>
      <c r="L313" s="65">
        <v>610700000</v>
      </c>
      <c r="M313" s="65">
        <v>361200000</v>
      </c>
    </row>
    <row r="315" spans="2:13" ht="15.5">
      <c r="B315" s="42" t="s">
        <v>914</v>
      </c>
    </row>
    <row r="316" spans="2:13">
      <c r="B316" s="68" t="s">
        <v>915</v>
      </c>
    </row>
    <row r="317" spans="2:13">
      <c r="B317" s="70" t="s">
        <v>916</v>
      </c>
    </row>
    <row r="318" spans="2:13">
      <c r="B318" s="71" t="s">
        <v>917</v>
      </c>
      <c r="C318" s="64" t="s">
        <v>918</v>
      </c>
      <c r="D318" s="65">
        <v>0</v>
      </c>
      <c r="E318" s="65">
        <v>190800000</v>
      </c>
      <c r="F318" s="65">
        <v>216700000</v>
      </c>
      <c r="G318" s="65">
        <v>226000000</v>
      </c>
      <c r="H318" s="65">
        <v>95100000</v>
      </c>
      <c r="I318" s="65">
        <v>55200000</v>
      </c>
      <c r="J318" s="65">
        <v>94200000</v>
      </c>
      <c r="K318" s="65">
        <v>99500000</v>
      </c>
      <c r="L318" s="65">
        <v>307800000</v>
      </c>
      <c r="M318" s="65">
        <v>694100000</v>
      </c>
    </row>
    <row r="319" spans="2:13">
      <c r="B319" s="71" t="s">
        <v>919</v>
      </c>
      <c r="C319" s="64" t="s">
        <v>920</v>
      </c>
      <c r="D319" s="65">
        <v>0</v>
      </c>
      <c r="E319" s="65">
        <v>1895800000</v>
      </c>
      <c r="F319" s="65">
        <v>3007700000</v>
      </c>
      <c r="G319" s="65">
        <v>2983600000</v>
      </c>
      <c r="H319" s="65">
        <v>1756600000</v>
      </c>
      <c r="I319" s="65">
        <v>132800000</v>
      </c>
      <c r="J319" s="65">
        <v>35800000</v>
      </c>
      <c r="K319" s="65">
        <v>1283000000</v>
      </c>
      <c r="L319" s="65">
        <v>1068000000</v>
      </c>
      <c r="M319" s="65">
        <v>200400000</v>
      </c>
    </row>
    <row r="320" spans="2:13">
      <c r="B320" s="71" t="s">
        <v>921</v>
      </c>
      <c r="C320" s="64" t="s">
        <v>922</v>
      </c>
      <c r="D320" s="65">
        <v>0</v>
      </c>
      <c r="E320" s="65">
        <v>1689600000</v>
      </c>
      <c r="F320" s="65">
        <v>310200000</v>
      </c>
      <c r="G320" s="65">
        <v>614100000</v>
      </c>
      <c r="H320" s="65">
        <v>491100000</v>
      </c>
      <c r="I320" s="65">
        <v>505200000</v>
      </c>
      <c r="J320" s="65">
        <v>496000000</v>
      </c>
      <c r="K320" s="65">
        <v>536400000</v>
      </c>
      <c r="L320" s="65">
        <v>540600000</v>
      </c>
      <c r="M320" s="65">
        <v>19300000</v>
      </c>
    </row>
    <row r="321" spans="2:13">
      <c r="B321" s="74" t="s">
        <v>923</v>
      </c>
      <c r="C321" s="64" t="s">
        <v>924</v>
      </c>
      <c r="D321" s="67">
        <v>0</v>
      </c>
      <c r="E321" s="67">
        <v>3776200000</v>
      </c>
      <c r="F321" s="67">
        <v>3534600000</v>
      </c>
      <c r="G321" s="67">
        <v>3823700000</v>
      </c>
      <c r="H321" s="67">
        <v>2342800000</v>
      </c>
      <c r="I321" s="67">
        <v>693200000</v>
      </c>
      <c r="J321" s="67">
        <v>626000000</v>
      </c>
      <c r="K321" s="67">
        <v>1918900000</v>
      </c>
      <c r="L321" s="67">
        <v>1916400000</v>
      </c>
      <c r="M321" s="67">
        <v>913800000</v>
      </c>
    </row>
    <row r="322" spans="2:13">
      <c r="B322" s="76" t="s">
        <v>925</v>
      </c>
      <c r="C322" s="64" t="s">
        <v>926</v>
      </c>
      <c r="D322" s="67">
        <v>0</v>
      </c>
      <c r="E322" s="67">
        <v>3776200000</v>
      </c>
      <c r="F322" s="67">
        <v>3534600000</v>
      </c>
      <c r="G322" s="67">
        <v>3823700000</v>
      </c>
      <c r="H322" s="67">
        <v>2342800000</v>
      </c>
      <c r="I322" s="67">
        <v>693200000</v>
      </c>
      <c r="J322" s="67">
        <v>626000000</v>
      </c>
      <c r="K322" s="67">
        <v>1918900000</v>
      </c>
      <c r="L322" s="67">
        <v>1916400000</v>
      </c>
      <c r="M322" s="67">
        <v>913800000</v>
      </c>
    </row>
    <row r="323" spans="2:13">
      <c r="B323" s="68" t="s">
        <v>927</v>
      </c>
    </row>
    <row r="324" spans="2:13">
      <c r="B324" s="69" t="s">
        <v>928</v>
      </c>
      <c r="C324" s="64" t="s">
        <v>929</v>
      </c>
      <c r="D324" s="65">
        <v>0</v>
      </c>
      <c r="E324" s="65">
        <v>216600000</v>
      </c>
      <c r="F324" s="65">
        <v>141900000</v>
      </c>
      <c r="G324" s="65">
        <v>2800000</v>
      </c>
      <c r="H324" s="65">
        <v>0</v>
      </c>
      <c r="I324" s="65">
        <v>0</v>
      </c>
      <c r="J324" s="65">
        <v>0</v>
      </c>
      <c r="K324" s="65">
        <v>0</v>
      </c>
      <c r="L324" s="65">
        <v>0</v>
      </c>
      <c r="M324" s="65">
        <v>200000</v>
      </c>
    </row>
    <row r="325" spans="2:13">
      <c r="B325" s="76" t="s">
        <v>930</v>
      </c>
      <c r="C325" s="64" t="s">
        <v>931</v>
      </c>
      <c r="D325" s="67">
        <v>0</v>
      </c>
      <c r="E325" s="67">
        <v>216600000</v>
      </c>
      <c r="F325" s="67">
        <v>141900000</v>
      </c>
      <c r="G325" s="67">
        <v>2800000</v>
      </c>
      <c r="H325" s="67">
        <v>0</v>
      </c>
      <c r="I325" s="67">
        <v>0</v>
      </c>
      <c r="J325" s="67">
        <v>0</v>
      </c>
      <c r="K325" s="67">
        <v>0</v>
      </c>
      <c r="L325" s="67">
        <v>0</v>
      </c>
      <c r="M325" s="67">
        <v>200000</v>
      </c>
    </row>
    <row r="326" spans="2:13">
      <c r="B326" s="68" t="s">
        <v>932</v>
      </c>
    </row>
    <row r="327" spans="2:13">
      <c r="B327" s="69" t="s">
        <v>1390</v>
      </c>
      <c r="C327" s="64" t="s">
        <v>1391</v>
      </c>
      <c r="D327" s="65">
        <v>0</v>
      </c>
      <c r="E327" s="65">
        <v>0</v>
      </c>
      <c r="F327" s="65">
        <v>0</v>
      </c>
      <c r="G327" s="65">
        <v>0</v>
      </c>
      <c r="H327" s="65">
        <v>0</v>
      </c>
      <c r="I327" s="65">
        <v>0</v>
      </c>
      <c r="J327" s="65">
        <v>0</v>
      </c>
      <c r="K327" s="65">
        <v>0</v>
      </c>
      <c r="L327" s="65">
        <v>0</v>
      </c>
      <c r="M327" s="65">
        <v>70600000</v>
      </c>
    </row>
    <row r="328" spans="2:13">
      <c r="B328" s="69" t="s">
        <v>935</v>
      </c>
      <c r="C328" s="64" t="s">
        <v>936</v>
      </c>
      <c r="D328" s="65">
        <v>0</v>
      </c>
      <c r="E328" s="65">
        <v>16900000</v>
      </c>
      <c r="F328" s="65">
        <v>15100000</v>
      </c>
      <c r="G328" s="65">
        <v>533300000</v>
      </c>
      <c r="H328" s="65">
        <v>19000000</v>
      </c>
      <c r="I328" s="65">
        <v>4300000</v>
      </c>
      <c r="J328" s="65">
        <v>4200000</v>
      </c>
      <c r="K328" s="65">
        <v>3300000</v>
      </c>
      <c r="L328" s="65">
        <v>12400000</v>
      </c>
      <c r="M328" s="65">
        <v>38500000</v>
      </c>
    </row>
    <row r="329" spans="2:13">
      <c r="B329" s="76" t="s">
        <v>937</v>
      </c>
      <c r="C329" s="64" t="s">
        <v>938</v>
      </c>
      <c r="D329" s="67">
        <v>0</v>
      </c>
      <c r="E329" s="67">
        <v>16900000</v>
      </c>
      <c r="F329" s="67">
        <v>15100000</v>
      </c>
      <c r="G329" s="67">
        <v>533300000</v>
      </c>
      <c r="H329" s="67">
        <v>19000000</v>
      </c>
      <c r="I329" s="67">
        <v>4300000</v>
      </c>
      <c r="J329" s="67">
        <v>4200000</v>
      </c>
      <c r="K329" s="67">
        <v>3300000</v>
      </c>
      <c r="L329" s="67">
        <v>12400000</v>
      </c>
      <c r="M329" s="67">
        <v>109100000</v>
      </c>
    </row>
    <row r="330" spans="2:13">
      <c r="B330" s="66" t="s">
        <v>116</v>
      </c>
      <c r="C330" s="64" t="s">
        <v>627</v>
      </c>
      <c r="D330" s="67">
        <v>0</v>
      </c>
      <c r="E330" s="67">
        <v>4009700000</v>
      </c>
      <c r="F330" s="67">
        <v>3691600000</v>
      </c>
      <c r="G330" s="67">
        <v>4359800000</v>
      </c>
      <c r="H330" s="67">
        <v>2361800000</v>
      </c>
      <c r="I330" s="67">
        <v>697500000</v>
      </c>
      <c r="J330" s="67">
        <v>630200000</v>
      </c>
      <c r="K330" s="67">
        <v>1922200000</v>
      </c>
      <c r="L330" s="67">
        <v>1928800000</v>
      </c>
      <c r="M330" s="67">
        <v>1023100000</v>
      </c>
    </row>
    <row r="332" spans="2:13" ht="15.5">
      <c r="B332" s="42" t="s">
        <v>939</v>
      </c>
    </row>
    <row r="333" spans="2:13">
      <c r="B333" s="68" t="s">
        <v>940</v>
      </c>
    </row>
    <row r="334" spans="2:13">
      <c r="B334" s="69" t="s">
        <v>1392</v>
      </c>
      <c r="C334" s="64" t="s">
        <v>1393</v>
      </c>
      <c r="D334" s="65">
        <v>0</v>
      </c>
      <c r="E334" s="65">
        <v>1115400000</v>
      </c>
      <c r="F334" s="65">
        <v>0</v>
      </c>
      <c r="G334" s="65">
        <v>0</v>
      </c>
      <c r="H334" s="65">
        <v>0</v>
      </c>
      <c r="I334" s="65">
        <v>0</v>
      </c>
      <c r="J334" s="65">
        <v>0</v>
      </c>
      <c r="K334" s="65">
        <v>0</v>
      </c>
      <c r="L334" s="65">
        <v>0</v>
      </c>
      <c r="M334" s="65">
        <v>0</v>
      </c>
    </row>
    <row r="335" spans="2:13">
      <c r="B335" s="69" t="s">
        <v>941</v>
      </c>
      <c r="C335" s="64" t="s">
        <v>942</v>
      </c>
      <c r="D335" s="65">
        <v>0</v>
      </c>
      <c r="E335" s="65">
        <v>7741600000</v>
      </c>
      <c r="F335" s="65">
        <v>9148000000</v>
      </c>
      <c r="G335" s="65">
        <v>9386700000</v>
      </c>
      <c r="H335" s="65">
        <v>11405700000</v>
      </c>
      <c r="I335" s="65">
        <v>9830700000</v>
      </c>
      <c r="J335" s="65">
        <v>7770800000</v>
      </c>
      <c r="K335" s="65">
        <v>4415600000</v>
      </c>
      <c r="L335" s="65">
        <v>2256700000</v>
      </c>
      <c r="M335" s="65">
        <v>2288600000</v>
      </c>
    </row>
    <row r="336" spans="2:13">
      <c r="B336" s="76" t="s">
        <v>943</v>
      </c>
      <c r="C336" s="64" t="s">
        <v>944</v>
      </c>
      <c r="D336" s="67">
        <v>0</v>
      </c>
      <c r="E336" s="67">
        <v>8857000000</v>
      </c>
      <c r="F336" s="67">
        <v>9148000000</v>
      </c>
      <c r="G336" s="67">
        <v>9386700000</v>
      </c>
      <c r="H336" s="67">
        <v>11405700000</v>
      </c>
      <c r="I336" s="67">
        <v>9830700000</v>
      </c>
      <c r="J336" s="67">
        <v>7770800000</v>
      </c>
      <c r="K336" s="67">
        <v>4415600000</v>
      </c>
      <c r="L336" s="67">
        <v>2256700000</v>
      </c>
      <c r="M336" s="67">
        <v>2288600000</v>
      </c>
    </row>
    <row r="337" spans="2:13">
      <c r="B337" s="63" t="s">
        <v>945</v>
      </c>
      <c r="C337" s="64" t="s">
        <v>946</v>
      </c>
      <c r="D337" s="65">
        <v>0</v>
      </c>
      <c r="E337" s="65">
        <v>385100000</v>
      </c>
      <c r="F337" s="65">
        <v>2929300000</v>
      </c>
      <c r="G337" s="65">
        <v>0</v>
      </c>
      <c r="H337" s="65">
        <v>0</v>
      </c>
      <c r="I337" s="65">
        <v>0</v>
      </c>
      <c r="J337" s="65">
        <v>0</v>
      </c>
      <c r="K337" s="65">
        <v>0</v>
      </c>
      <c r="L337" s="65">
        <v>0</v>
      </c>
      <c r="M337" s="65">
        <v>0</v>
      </c>
    </row>
    <row r="338" spans="2:13">
      <c r="B338" s="63" t="s">
        <v>947</v>
      </c>
      <c r="C338" s="64" t="s">
        <v>948</v>
      </c>
      <c r="D338" s="65">
        <v>0</v>
      </c>
      <c r="E338" s="65">
        <v>65000000</v>
      </c>
      <c r="F338" s="65">
        <v>151100000</v>
      </c>
      <c r="G338" s="65">
        <v>49800000</v>
      </c>
      <c r="H338" s="65">
        <v>0</v>
      </c>
      <c r="I338" s="65">
        <v>0</v>
      </c>
      <c r="J338" s="65">
        <v>0</v>
      </c>
      <c r="K338" s="65">
        <v>0</v>
      </c>
      <c r="L338" s="65">
        <v>0</v>
      </c>
      <c r="M338" s="65">
        <v>0</v>
      </c>
    </row>
    <row r="339" spans="2:13">
      <c r="B339" s="66" t="s">
        <v>128</v>
      </c>
      <c r="C339" s="64" t="s">
        <v>635</v>
      </c>
      <c r="D339" s="67">
        <v>0</v>
      </c>
      <c r="E339" s="67">
        <v>9307100000</v>
      </c>
      <c r="F339" s="67">
        <v>12228400000</v>
      </c>
      <c r="G339" s="67">
        <v>9436500000</v>
      </c>
      <c r="H339" s="67">
        <v>11405700000</v>
      </c>
      <c r="I339" s="67">
        <v>9830700000</v>
      </c>
      <c r="J339" s="67">
        <v>7770800000</v>
      </c>
      <c r="K339" s="67">
        <v>4415600000</v>
      </c>
      <c r="L339" s="67">
        <v>2256700000</v>
      </c>
      <c r="M339" s="67">
        <v>2288600000</v>
      </c>
    </row>
    <row r="341" spans="2:13" ht="15.5">
      <c r="B341" s="42" t="s">
        <v>949</v>
      </c>
    </row>
    <row r="342" spans="2:13">
      <c r="B342" s="63" t="s">
        <v>950</v>
      </c>
      <c r="C342" s="64" t="s">
        <v>951</v>
      </c>
      <c r="D342" s="65">
        <v>0</v>
      </c>
      <c r="E342" s="65">
        <v>3731600000</v>
      </c>
      <c r="F342" s="65">
        <v>2461800000</v>
      </c>
      <c r="G342" s="65">
        <v>2975400000</v>
      </c>
      <c r="H342" s="65">
        <v>2511900000</v>
      </c>
      <c r="I342" s="65">
        <v>1689000000</v>
      </c>
      <c r="J342" s="65">
        <v>2073500000</v>
      </c>
      <c r="K342" s="65">
        <v>2328800000</v>
      </c>
      <c r="L342" s="65">
        <v>2617300000</v>
      </c>
      <c r="M342" s="65">
        <v>5955500000</v>
      </c>
    </row>
    <row r="343" spans="2:13">
      <c r="B343" s="68" t="s">
        <v>952</v>
      </c>
    </row>
    <row r="344" spans="2:13">
      <c r="B344" s="69" t="s">
        <v>953</v>
      </c>
      <c r="C344" s="64" t="s">
        <v>954</v>
      </c>
      <c r="D344" s="65">
        <v>0</v>
      </c>
      <c r="E344" s="65">
        <v>163700000</v>
      </c>
      <c r="F344" s="65">
        <v>139000000</v>
      </c>
      <c r="G344" s="65">
        <v>129200000</v>
      </c>
      <c r="H344" s="65">
        <v>163600000</v>
      </c>
      <c r="I344" s="65">
        <v>127000000</v>
      </c>
      <c r="J344" s="65">
        <v>134900000</v>
      </c>
      <c r="K344" s="65">
        <v>136800000</v>
      </c>
      <c r="L344" s="65">
        <v>163300000</v>
      </c>
      <c r="M344" s="65">
        <v>384000000</v>
      </c>
    </row>
    <row r="345" spans="2:13">
      <c r="B345" s="76" t="s">
        <v>955</v>
      </c>
      <c r="C345" s="64" t="s">
        <v>956</v>
      </c>
      <c r="D345" s="67">
        <v>0</v>
      </c>
      <c r="E345" s="67">
        <v>163700000</v>
      </c>
      <c r="F345" s="67">
        <v>139000000</v>
      </c>
      <c r="G345" s="67">
        <v>129200000</v>
      </c>
      <c r="H345" s="67">
        <v>163600000</v>
      </c>
      <c r="I345" s="67">
        <v>127000000</v>
      </c>
      <c r="J345" s="67">
        <v>134900000</v>
      </c>
      <c r="K345" s="67">
        <v>136800000</v>
      </c>
      <c r="L345" s="67">
        <v>163300000</v>
      </c>
      <c r="M345" s="67">
        <v>384000000</v>
      </c>
    </row>
    <row r="346" spans="2:13">
      <c r="B346" s="68" t="s">
        <v>957</v>
      </c>
    </row>
    <row r="347" spans="2:13">
      <c r="B347" s="69" t="s">
        <v>958</v>
      </c>
      <c r="C347" s="64" t="s">
        <v>959</v>
      </c>
      <c r="D347" s="65">
        <v>0</v>
      </c>
      <c r="E347" s="65">
        <v>22400000</v>
      </c>
      <c r="F347" s="65">
        <v>0</v>
      </c>
      <c r="G347" s="65">
        <v>0</v>
      </c>
      <c r="H347" s="65">
        <v>0</v>
      </c>
      <c r="I347" s="65">
        <v>0</v>
      </c>
      <c r="J347" s="65">
        <v>0</v>
      </c>
      <c r="K347" s="65">
        <v>0</v>
      </c>
      <c r="L347" s="65">
        <v>122200000</v>
      </c>
      <c r="M347" s="65">
        <v>1111900000</v>
      </c>
    </row>
    <row r="348" spans="2:13">
      <c r="B348" s="76" t="s">
        <v>960</v>
      </c>
      <c r="C348" s="64" t="s">
        <v>961</v>
      </c>
      <c r="D348" s="67">
        <v>0</v>
      </c>
      <c r="E348" s="67">
        <v>22400000</v>
      </c>
      <c r="F348" s="67">
        <v>0</v>
      </c>
      <c r="G348" s="67">
        <v>0</v>
      </c>
      <c r="H348" s="67">
        <v>0</v>
      </c>
      <c r="I348" s="67">
        <v>0</v>
      </c>
      <c r="J348" s="67">
        <v>0</v>
      </c>
      <c r="K348" s="67">
        <v>0</v>
      </c>
      <c r="L348" s="67">
        <v>122200000</v>
      </c>
      <c r="M348" s="67">
        <v>1111900000</v>
      </c>
    </row>
    <row r="349" spans="2:13">
      <c r="B349" s="63" t="s">
        <v>962</v>
      </c>
      <c r="C349" s="64" t="s">
        <v>962</v>
      </c>
      <c r="D349" s="65">
        <v>0</v>
      </c>
      <c r="E349" s="65">
        <v>45400000</v>
      </c>
      <c r="F349" s="65">
        <v>67600000</v>
      </c>
      <c r="G349" s="65">
        <v>60900000</v>
      </c>
      <c r="H349" s="65">
        <v>0</v>
      </c>
      <c r="I349" s="65">
        <v>0</v>
      </c>
      <c r="J349" s="65">
        <v>0</v>
      </c>
      <c r="K349" s="65">
        <v>0</v>
      </c>
      <c r="L349" s="65">
        <v>0</v>
      </c>
      <c r="M349" s="65">
        <v>0</v>
      </c>
    </row>
    <row r="350" spans="2:13">
      <c r="B350" s="63" t="s">
        <v>963</v>
      </c>
      <c r="C350" s="64" t="s">
        <v>964</v>
      </c>
      <c r="D350" s="65">
        <v>0</v>
      </c>
      <c r="E350" s="65">
        <v>188800000</v>
      </c>
      <c r="F350" s="65">
        <v>116400000</v>
      </c>
      <c r="G350" s="65">
        <v>99900000</v>
      </c>
      <c r="H350" s="65">
        <v>39300000</v>
      </c>
      <c r="I350" s="65">
        <v>13700000</v>
      </c>
      <c r="J350" s="65">
        <v>47800000</v>
      </c>
      <c r="K350" s="65">
        <v>59500000</v>
      </c>
      <c r="L350" s="65">
        <v>220800000</v>
      </c>
      <c r="M350" s="65">
        <v>466100000</v>
      </c>
    </row>
    <row r="351" spans="2:13">
      <c r="B351" s="66" t="s">
        <v>633</v>
      </c>
      <c r="C351" s="64" t="s">
        <v>634</v>
      </c>
      <c r="D351" s="67">
        <v>0</v>
      </c>
      <c r="E351" s="67">
        <v>4151900000</v>
      </c>
      <c r="F351" s="67">
        <v>2784800000</v>
      </c>
      <c r="G351" s="67">
        <v>3265400000</v>
      </c>
      <c r="H351" s="67">
        <v>2714800000</v>
      </c>
      <c r="I351" s="67">
        <v>1829700000</v>
      </c>
      <c r="J351" s="67">
        <v>2256200000</v>
      </c>
      <c r="K351" s="67">
        <v>2525100000</v>
      </c>
      <c r="L351" s="67">
        <v>3123600000</v>
      </c>
      <c r="M351" s="67">
        <v>7917500000</v>
      </c>
    </row>
    <row r="353" spans="2:13" ht="15.5">
      <c r="B353" s="42" t="s">
        <v>965</v>
      </c>
    </row>
    <row r="354" spans="2:13">
      <c r="B354" s="63" t="s">
        <v>966</v>
      </c>
      <c r="C354" s="64" t="s">
        <v>967</v>
      </c>
      <c r="D354" s="65">
        <v>0</v>
      </c>
      <c r="E354" s="65">
        <v>1520100000</v>
      </c>
      <c r="F354" s="65">
        <v>1559900000</v>
      </c>
      <c r="G354" s="65">
        <v>1751700000</v>
      </c>
      <c r="H354" s="65">
        <v>2464900000</v>
      </c>
      <c r="I354" s="65">
        <v>639000000</v>
      </c>
      <c r="J354" s="65">
        <v>769500000</v>
      </c>
      <c r="K354" s="65">
        <v>947400000</v>
      </c>
      <c r="L354" s="65">
        <v>715200000</v>
      </c>
      <c r="M354" s="65">
        <v>1255500000</v>
      </c>
    </row>
    <row r="355" spans="2:13">
      <c r="B355" s="63" t="s">
        <v>968</v>
      </c>
      <c r="C355" s="64" t="s">
        <v>969</v>
      </c>
      <c r="D355" s="65">
        <v>0</v>
      </c>
      <c r="E355" s="65">
        <v>2619800000</v>
      </c>
      <c r="F355" s="65">
        <v>2632900000</v>
      </c>
      <c r="G355" s="65">
        <v>2637400000</v>
      </c>
      <c r="H355" s="65">
        <v>4356600000</v>
      </c>
      <c r="I355" s="65">
        <v>1226000000</v>
      </c>
      <c r="J355" s="65">
        <v>1081800000</v>
      </c>
      <c r="K355" s="65">
        <v>953000000</v>
      </c>
      <c r="L355" s="65">
        <v>480500000</v>
      </c>
      <c r="M355" s="65">
        <v>413000000</v>
      </c>
    </row>
    <row r="356" spans="2:13">
      <c r="B356" s="66" t="s">
        <v>636</v>
      </c>
      <c r="C356" s="64" t="s">
        <v>637</v>
      </c>
      <c r="D356" s="67">
        <v>0</v>
      </c>
      <c r="E356" s="67">
        <v>4139900000</v>
      </c>
      <c r="F356" s="67">
        <v>4192800000</v>
      </c>
      <c r="G356" s="67">
        <v>4389100000</v>
      </c>
      <c r="H356" s="67">
        <v>6821500000</v>
      </c>
      <c r="I356" s="67">
        <v>1865000000</v>
      </c>
      <c r="J356" s="67">
        <v>1851300000</v>
      </c>
      <c r="K356" s="67">
        <v>1900400000</v>
      </c>
      <c r="L356" s="67">
        <v>1195700000</v>
      </c>
      <c r="M356" s="67">
        <v>1668500000</v>
      </c>
    </row>
    <row r="358" spans="2:13" ht="15.5">
      <c r="B358" s="42" t="s">
        <v>970</v>
      </c>
    </row>
    <row r="359" spans="2:13">
      <c r="B359" s="63" t="s">
        <v>971</v>
      </c>
      <c r="C359" s="64" t="s">
        <v>972</v>
      </c>
      <c r="D359" s="65">
        <v>0</v>
      </c>
      <c r="E359" s="65">
        <v>1435300000</v>
      </c>
      <c r="F359" s="65">
        <v>900800000</v>
      </c>
      <c r="G359" s="65">
        <v>466100000</v>
      </c>
      <c r="H359" s="65">
        <v>52700000</v>
      </c>
      <c r="I359" s="65">
        <v>94500000</v>
      </c>
      <c r="J359" s="65">
        <v>565100000</v>
      </c>
      <c r="K359" s="65">
        <v>476400000</v>
      </c>
      <c r="L359" s="65">
        <v>536600000</v>
      </c>
      <c r="M359" s="65">
        <v>1051100000</v>
      </c>
    </row>
    <row r="360" spans="2:13">
      <c r="B360" s="63" t="s">
        <v>973</v>
      </c>
      <c r="C360" s="64" t="s">
        <v>974</v>
      </c>
      <c r="D360" s="65">
        <v>0</v>
      </c>
      <c r="E360" s="65">
        <v>270100000</v>
      </c>
      <c r="F360" s="65">
        <v>168400000</v>
      </c>
      <c r="G360" s="65">
        <v>129400000</v>
      </c>
      <c r="H360" s="65">
        <v>82200000</v>
      </c>
      <c r="I360" s="65">
        <v>70300000</v>
      </c>
      <c r="J360" s="65">
        <v>147200000</v>
      </c>
      <c r="K360" s="65">
        <v>147000000</v>
      </c>
      <c r="L360" s="65">
        <v>132800000</v>
      </c>
      <c r="M360" s="65">
        <v>169900000</v>
      </c>
    </row>
    <row r="361" spans="2:13">
      <c r="B361" s="63" t="s">
        <v>975</v>
      </c>
      <c r="C361" s="64" t="s">
        <v>975</v>
      </c>
      <c r="D361" s="65">
        <v>0</v>
      </c>
      <c r="E361" s="65">
        <v>441200000</v>
      </c>
      <c r="F361" s="65">
        <v>374500000</v>
      </c>
      <c r="G361" s="65">
        <v>315400000</v>
      </c>
      <c r="H361" s="65">
        <v>182800000</v>
      </c>
      <c r="I361" s="65">
        <v>129000000</v>
      </c>
      <c r="J361" s="65">
        <v>112100000</v>
      </c>
      <c r="K361" s="65">
        <v>117800000</v>
      </c>
      <c r="L361" s="65">
        <v>91800000</v>
      </c>
      <c r="M361" s="65">
        <v>273100000</v>
      </c>
    </row>
    <row r="362" spans="2:13">
      <c r="B362" s="63" t="s">
        <v>976</v>
      </c>
      <c r="C362" s="64" t="s">
        <v>977</v>
      </c>
      <c r="D362" s="65">
        <v>0</v>
      </c>
      <c r="E362" s="65">
        <v>75600000</v>
      </c>
      <c r="F362" s="65">
        <v>30200000</v>
      </c>
      <c r="G362" s="65">
        <v>36300000</v>
      </c>
      <c r="H362" s="65">
        <v>18500000</v>
      </c>
      <c r="I362" s="65">
        <v>47900000</v>
      </c>
      <c r="J362" s="65">
        <v>51200000</v>
      </c>
      <c r="K362" s="65">
        <v>54200000</v>
      </c>
      <c r="L362" s="65">
        <v>63300000</v>
      </c>
      <c r="M362" s="65">
        <v>100500000</v>
      </c>
    </row>
    <row r="363" spans="2:13">
      <c r="B363" s="63" t="s">
        <v>978</v>
      </c>
      <c r="C363" s="64" t="s">
        <v>979</v>
      </c>
      <c r="D363" s="65">
        <v>0</v>
      </c>
      <c r="E363" s="65">
        <v>67900000</v>
      </c>
      <c r="F363" s="65">
        <v>42200000</v>
      </c>
      <c r="G363" s="65">
        <v>42100000</v>
      </c>
      <c r="H363" s="65">
        <v>19900000</v>
      </c>
      <c r="I363" s="65">
        <v>27000000</v>
      </c>
      <c r="J363" s="65">
        <v>50700000</v>
      </c>
      <c r="K363" s="65">
        <v>62700000</v>
      </c>
      <c r="L363" s="65">
        <v>61500000</v>
      </c>
      <c r="M363" s="65">
        <v>81800000</v>
      </c>
    </row>
    <row r="364" spans="2:13">
      <c r="B364" s="63" t="s">
        <v>980</v>
      </c>
      <c r="C364" s="64" t="s">
        <v>980</v>
      </c>
      <c r="D364" s="65">
        <v>0</v>
      </c>
      <c r="E364" s="65">
        <v>141100000</v>
      </c>
      <c r="F364" s="65">
        <v>120700000</v>
      </c>
      <c r="G364" s="65">
        <v>118700000</v>
      </c>
      <c r="H364" s="65">
        <v>113900000</v>
      </c>
      <c r="I364" s="65">
        <v>62100000</v>
      </c>
      <c r="J364" s="65">
        <v>82500000</v>
      </c>
      <c r="K364" s="65">
        <v>87400000</v>
      </c>
      <c r="L364" s="65">
        <v>102200000</v>
      </c>
      <c r="M364" s="65">
        <v>241000000</v>
      </c>
    </row>
    <row r="365" spans="2:13">
      <c r="B365" s="68" t="s">
        <v>981</v>
      </c>
    </row>
    <row r="366" spans="2:13">
      <c r="B366" s="69" t="s">
        <v>982</v>
      </c>
      <c r="C366" s="64" t="s">
        <v>983</v>
      </c>
      <c r="D366" s="65">
        <v>0</v>
      </c>
      <c r="E366" s="65">
        <v>139000000</v>
      </c>
      <c r="F366" s="65">
        <v>73500000</v>
      </c>
      <c r="G366" s="65">
        <v>43800000</v>
      </c>
      <c r="H366" s="65">
        <v>43200000</v>
      </c>
      <c r="I366" s="65">
        <v>102400000</v>
      </c>
      <c r="J366" s="65">
        <v>38600000</v>
      </c>
      <c r="K366" s="65">
        <v>79900000</v>
      </c>
      <c r="L366" s="65">
        <v>80600000</v>
      </c>
      <c r="M366" s="65">
        <v>79600000</v>
      </c>
    </row>
    <row r="367" spans="2:13">
      <c r="B367" s="76" t="s">
        <v>984</v>
      </c>
      <c r="C367" s="64" t="s">
        <v>985</v>
      </c>
      <c r="D367" s="67">
        <v>0</v>
      </c>
      <c r="E367" s="67">
        <v>139000000</v>
      </c>
      <c r="F367" s="67">
        <v>73500000</v>
      </c>
      <c r="G367" s="67">
        <v>43800000</v>
      </c>
      <c r="H367" s="67">
        <v>43200000</v>
      </c>
      <c r="I367" s="67">
        <v>102400000</v>
      </c>
      <c r="J367" s="67">
        <v>38600000</v>
      </c>
      <c r="K367" s="67">
        <v>79900000</v>
      </c>
      <c r="L367" s="67">
        <v>80600000</v>
      </c>
      <c r="M367" s="67">
        <v>79600000</v>
      </c>
    </row>
    <row r="368" spans="2:13">
      <c r="B368" s="63" t="s">
        <v>986</v>
      </c>
      <c r="C368" s="64" t="s">
        <v>987</v>
      </c>
      <c r="D368" s="65">
        <v>0</v>
      </c>
      <c r="E368" s="65">
        <v>173800000</v>
      </c>
      <c r="F368" s="65">
        <v>104800000</v>
      </c>
      <c r="G368" s="65">
        <v>268800000</v>
      </c>
      <c r="H368" s="65">
        <v>26600000</v>
      </c>
      <c r="I368" s="65">
        <v>37800000</v>
      </c>
      <c r="J368" s="65">
        <v>30300000</v>
      </c>
      <c r="K368" s="65">
        <v>68000000</v>
      </c>
      <c r="L368" s="65">
        <v>88200000</v>
      </c>
      <c r="M368" s="65">
        <v>30400000</v>
      </c>
    </row>
    <row r="369" spans="2:13">
      <c r="B369" s="63" t="s">
        <v>988</v>
      </c>
      <c r="C369" s="64" t="s">
        <v>989</v>
      </c>
      <c r="D369" s="65">
        <v>0</v>
      </c>
      <c r="E369" s="65">
        <v>69200000</v>
      </c>
      <c r="F369" s="65">
        <v>66700000</v>
      </c>
      <c r="G369" s="65">
        <v>50400000</v>
      </c>
      <c r="H369" s="65">
        <v>41500000</v>
      </c>
      <c r="I369" s="65">
        <v>22400000</v>
      </c>
      <c r="J369" s="65">
        <v>30000000</v>
      </c>
      <c r="K369" s="65">
        <v>29100000</v>
      </c>
      <c r="L369" s="65">
        <v>29000000</v>
      </c>
      <c r="M369" s="65">
        <v>76300000</v>
      </c>
    </row>
    <row r="370" spans="2:13">
      <c r="B370" s="63" t="s">
        <v>990</v>
      </c>
      <c r="C370" s="64" t="s">
        <v>991</v>
      </c>
      <c r="D370" s="65">
        <v>0</v>
      </c>
      <c r="E370" s="65">
        <v>505700000</v>
      </c>
      <c r="F370" s="65">
        <v>400100000</v>
      </c>
      <c r="G370" s="65">
        <v>360100000</v>
      </c>
      <c r="H370" s="65">
        <v>157000000</v>
      </c>
      <c r="I370" s="65">
        <v>73700000</v>
      </c>
      <c r="J370" s="65">
        <v>105000000</v>
      </c>
      <c r="K370" s="65">
        <v>167400000</v>
      </c>
      <c r="L370" s="65">
        <v>208900000</v>
      </c>
      <c r="M370" s="65">
        <v>956200000</v>
      </c>
    </row>
    <row r="371" spans="2:13">
      <c r="B371" s="63" t="s">
        <v>1394</v>
      </c>
      <c r="C371" s="64" t="s">
        <v>1395</v>
      </c>
      <c r="D371" s="65">
        <v>0</v>
      </c>
      <c r="E371" s="65">
        <v>74500000</v>
      </c>
      <c r="F371" s="65">
        <v>76100000</v>
      </c>
      <c r="G371" s="65">
        <v>69000000</v>
      </c>
      <c r="H371" s="65">
        <v>44100000</v>
      </c>
      <c r="I371" s="65">
        <v>32600000</v>
      </c>
      <c r="J371" s="65">
        <v>36000000</v>
      </c>
      <c r="K371" s="65">
        <v>40900000</v>
      </c>
      <c r="L371" s="65">
        <v>43300000</v>
      </c>
      <c r="M371" s="65">
        <v>535900000</v>
      </c>
    </row>
    <row r="372" spans="2:13">
      <c r="B372" s="63" t="s">
        <v>992</v>
      </c>
      <c r="C372" s="64" t="s">
        <v>993</v>
      </c>
      <c r="D372" s="65">
        <v>0</v>
      </c>
      <c r="E372" s="65">
        <v>59800000</v>
      </c>
      <c r="F372" s="65">
        <v>44900000</v>
      </c>
      <c r="G372" s="65">
        <v>42900000</v>
      </c>
      <c r="H372" s="65">
        <v>5100000</v>
      </c>
      <c r="I372" s="65">
        <v>12900000</v>
      </c>
      <c r="J372" s="65">
        <v>14100000</v>
      </c>
      <c r="K372" s="65">
        <v>13200000</v>
      </c>
      <c r="L372" s="65">
        <v>9200000</v>
      </c>
      <c r="M372" s="65">
        <v>88100000</v>
      </c>
    </row>
    <row r="373" spans="2:13">
      <c r="B373" s="63" t="s">
        <v>994</v>
      </c>
      <c r="C373" s="64" t="s">
        <v>995</v>
      </c>
      <c r="D373" s="65">
        <v>0</v>
      </c>
      <c r="E373" s="65">
        <v>181400000</v>
      </c>
      <c r="F373" s="65">
        <v>65700000</v>
      </c>
      <c r="G373" s="65">
        <v>50700000</v>
      </c>
      <c r="H373" s="65">
        <v>2000000</v>
      </c>
      <c r="I373" s="65">
        <v>8000000</v>
      </c>
      <c r="J373" s="65">
        <v>9600000</v>
      </c>
      <c r="K373" s="65">
        <v>26300000</v>
      </c>
      <c r="L373" s="65">
        <v>84700000</v>
      </c>
      <c r="M373" s="65">
        <v>225300000</v>
      </c>
    </row>
    <row r="374" spans="2:13">
      <c r="B374" s="63" t="s">
        <v>996</v>
      </c>
      <c r="C374" s="64" t="s">
        <v>997</v>
      </c>
      <c r="D374" s="65">
        <v>0</v>
      </c>
      <c r="E374" s="65">
        <v>66500000</v>
      </c>
      <c r="F374" s="65">
        <v>127100000</v>
      </c>
      <c r="G374" s="65">
        <v>0</v>
      </c>
      <c r="H374" s="65">
        <v>0</v>
      </c>
      <c r="I374" s="65">
        <v>0</v>
      </c>
      <c r="J374" s="65">
        <v>0</v>
      </c>
      <c r="K374" s="65">
        <v>0</v>
      </c>
      <c r="L374" s="65">
        <v>0</v>
      </c>
      <c r="M374" s="65">
        <v>0</v>
      </c>
    </row>
    <row r="375" spans="2:13">
      <c r="B375" s="63" t="s">
        <v>1396</v>
      </c>
      <c r="C375" s="64" t="s">
        <v>1397</v>
      </c>
      <c r="D375" s="65">
        <v>0</v>
      </c>
      <c r="E375" s="65">
        <v>3268800000</v>
      </c>
      <c r="F375" s="65">
        <v>0</v>
      </c>
      <c r="G375" s="65">
        <v>0</v>
      </c>
      <c r="H375" s="65">
        <v>0</v>
      </c>
      <c r="I375" s="65">
        <v>0</v>
      </c>
      <c r="J375" s="65">
        <v>0</v>
      </c>
      <c r="K375" s="65">
        <v>0</v>
      </c>
      <c r="L375" s="65">
        <v>0</v>
      </c>
      <c r="M375" s="65">
        <v>0</v>
      </c>
    </row>
    <row r="376" spans="2:13">
      <c r="B376" s="63" t="s">
        <v>1398</v>
      </c>
      <c r="C376" s="64" t="s">
        <v>1399</v>
      </c>
      <c r="D376" s="65">
        <v>0</v>
      </c>
      <c r="E376" s="65">
        <v>228100000</v>
      </c>
      <c r="F376" s="65">
        <v>236300000</v>
      </c>
      <c r="G376" s="65">
        <v>239700000</v>
      </c>
      <c r="H376" s="65">
        <v>177700000</v>
      </c>
      <c r="I376" s="65">
        <v>69200000</v>
      </c>
      <c r="J376" s="65">
        <v>106200000</v>
      </c>
      <c r="K376" s="65">
        <v>129800000</v>
      </c>
      <c r="L376" s="65">
        <v>162000000</v>
      </c>
      <c r="M376" s="65">
        <v>353200000</v>
      </c>
    </row>
    <row r="377" spans="2:13">
      <c r="B377" s="68" t="s">
        <v>1400</v>
      </c>
    </row>
    <row r="378" spans="2:13">
      <c r="B378" s="69" t="s">
        <v>1401</v>
      </c>
      <c r="C378" s="64" t="s">
        <v>1402</v>
      </c>
      <c r="D378" s="65">
        <v>0</v>
      </c>
      <c r="E378" s="65">
        <v>0</v>
      </c>
      <c r="F378" s="65">
        <v>1563600000</v>
      </c>
      <c r="G378" s="65">
        <v>671900000</v>
      </c>
      <c r="H378" s="65">
        <v>60600000</v>
      </c>
      <c r="I378" s="65">
        <v>198300000</v>
      </c>
      <c r="J378" s="65">
        <v>530400000</v>
      </c>
      <c r="K378" s="65">
        <v>14500000</v>
      </c>
      <c r="L378" s="65">
        <v>900000</v>
      </c>
      <c r="M378" s="65">
        <v>465000000</v>
      </c>
    </row>
    <row r="379" spans="2:13">
      <c r="B379" s="76" t="s">
        <v>1403</v>
      </c>
      <c r="C379" s="64" t="s">
        <v>1404</v>
      </c>
      <c r="D379" s="67">
        <v>0</v>
      </c>
      <c r="E379" s="67">
        <v>0</v>
      </c>
      <c r="F379" s="67">
        <v>1563600000</v>
      </c>
      <c r="G379" s="67">
        <v>671900000</v>
      </c>
      <c r="H379" s="67">
        <v>60600000</v>
      </c>
      <c r="I379" s="67">
        <v>198300000</v>
      </c>
      <c r="J379" s="67">
        <v>530400000</v>
      </c>
      <c r="K379" s="67">
        <v>14500000</v>
      </c>
      <c r="L379" s="67">
        <v>900000</v>
      </c>
      <c r="M379" s="67">
        <v>465000000</v>
      </c>
    </row>
    <row r="380" spans="2:13">
      <c r="B380" s="68" t="s">
        <v>1405</v>
      </c>
    </row>
    <row r="381" spans="2:13">
      <c r="B381" s="69" t="s">
        <v>1406</v>
      </c>
      <c r="C381" s="64" t="s">
        <v>1407</v>
      </c>
      <c r="D381" s="65">
        <v>0</v>
      </c>
      <c r="E381" s="65">
        <v>0</v>
      </c>
      <c r="F381" s="65">
        <v>-44900000</v>
      </c>
      <c r="G381" s="65">
        <v>-81400000</v>
      </c>
      <c r="H381" s="65">
        <v>-67200000</v>
      </c>
      <c r="I381" s="65">
        <v>0</v>
      </c>
      <c r="J381" s="65">
        <v>0</v>
      </c>
      <c r="K381" s="65">
        <v>0</v>
      </c>
      <c r="L381" s="65">
        <v>0</v>
      </c>
      <c r="M381" s="65">
        <v>0</v>
      </c>
    </row>
    <row r="382" spans="2:13">
      <c r="B382" s="76" t="s">
        <v>1408</v>
      </c>
      <c r="C382" s="64" t="s">
        <v>1409</v>
      </c>
      <c r="D382" s="67">
        <v>0</v>
      </c>
      <c r="E382" s="67">
        <v>0</v>
      </c>
      <c r="F382" s="67">
        <v>-44900000</v>
      </c>
      <c r="G382" s="67">
        <v>-81400000</v>
      </c>
      <c r="H382" s="67">
        <v>-67200000</v>
      </c>
      <c r="I382" s="67">
        <v>0</v>
      </c>
      <c r="J382" s="67">
        <v>0</v>
      </c>
      <c r="K382" s="67">
        <v>0</v>
      </c>
      <c r="L382" s="67">
        <v>0</v>
      </c>
      <c r="M382" s="67">
        <v>0</v>
      </c>
    </row>
    <row r="383" spans="2:13">
      <c r="B383" s="68" t="s">
        <v>1410</v>
      </c>
    </row>
    <row r="384" spans="2:13">
      <c r="B384" s="69" t="s">
        <v>1411</v>
      </c>
      <c r="C384" s="64" t="s">
        <v>1412</v>
      </c>
      <c r="D384" s="65">
        <v>0</v>
      </c>
      <c r="E384" s="65">
        <v>0</v>
      </c>
      <c r="F384" s="65">
        <v>1763400000</v>
      </c>
      <c r="G384" s="65">
        <v>0</v>
      </c>
      <c r="H384" s="65">
        <v>0</v>
      </c>
      <c r="I384" s="65">
        <v>0</v>
      </c>
      <c r="J384" s="65">
        <v>0</v>
      </c>
      <c r="K384" s="65">
        <v>0</v>
      </c>
      <c r="L384" s="65">
        <v>0</v>
      </c>
      <c r="M384" s="65">
        <v>0</v>
      </c>
    </row>
    <row r="385" spans="2:13">
      <c r="B385" s="76" t="s">
        <v>1413</v>
      </c>
      <c r="C385" s="64" t="s">
        <v>1414</v>
      </c>
      <c r="D385" s="67">
        <v>0</v>
      </c>
      <c r="E385" s="67">
        <v>0</v>
      </c>
      <c r="F385" s="67">
        <v>1763400000</v>
      </c>
      <c r="G385" s="67">
        <v>0</v>
      </c>
      <c r="H385" s="67">
        <v>0</v>
      </c>
      <c r="I385" s="67">
        <v>0</v>
      </c>
      <c r="J385" s="67">
        <v>0</v>
      </c>
      <c r="K385" s="67">
        <v>0</v>
      </c>
      <c r="L385" s="67">
        <v>0</v>
      </c>
      <c r="M385" s="67">
        <v>0</v>
      </c>
    </row>
    <row r="386" spans="2:13">
      <c r="B386" s="63" t="s">
        <v>1000</v>
      </c>
      <c r="C386" s="64" t="s">
        <v>1001</v>
      </c>
      <c r="D386" s="65">
        <v>0</v>
      </c>
      <c r="E386" s="65">
        <v>7900000</v>
      </c>
      <c r="F386" s="65">
        <v>-308300000</v>
      </c>
      <c r="G386" s="65">
        <v>-149900000</v>
      </c>
      <c r="H386" s="65">
        <v>33000000</v>
      </c>
      <c r="I386" s="65">
        <v>16800000</v>
      </c>
      <c r="J386" s="65">
        <v>66300000</v>
      </c>
      <c r="K386" s="65">
        <v>10500000</v>
      </c>
      <c r="L386" s="65">
        <v>74000000</v>
      </c>
      <c r="M386" s="65">
        <v>62100000</v>
      </c>
    </row>
    <row r="387" spans="2:13">
      <c r="B387" s="68" t="s">
        <v>1002</v>
      </c>
    </row>
    <row r="388" spans="2:13">
      <c r="B388" s="69" t="s">
        <v>1003</v>
      </c>
      <c r="C388" s="64" t="s">
        <v>1004</v>
      </c>
      <c r="D388" s="65">
        <v>0</v>
      </c>
      <c r="E388" s="65">
        <v>13600000</v>
      </c>
      <c r="F388" s="65">
        <v>7500000</v>
      </c>
      <c r="G388" s="65">
        <v>7000000</v>
      </c>
      <c r="H388" s="65">
        <v>7000000</v>
      </c>
      <c r="I388" s="65">
        <v>12300000</v>
      </c>
      <c r="J388" s="65">
        <v>11400000</v>
      </c>
      <c r="K388" s="65">
        <v>9100000</v>
      </c>
      <c r="L388" s="65">
        <v>7600000</v>
      </c>
      <c r="M388" s="65">
        <v>11100000</v>
      </c>
    </row>
    <row r="389" spans="2:13">
      <c r="B389" s="69" t="s">
        <v>1415</v>
      </c>
      <c r="C389" s="64" t="s">
        <v>1416</v>
      </c>
      <c r="D389" s="65">
        <v>0</v>
      </c>
      <c r="E389" s="65">
        <v>500000</v>
      </c>
      <c r="F389" s="65">
        <v>0</v>
      </c>
      <c r="G389" s="65">
        <v>0</v>
      </c>
      <c r="H389" s="65">
        <v>0</v>
      </c>
      <c r="I389" s="65">
        <v>0</v>
      </c>
      <c r="J389" s="65">
        <v>0</v>
      </c>
      <c r="K389" s="65">
        <v>0</v>
      </c>
      <c r="L389" s="65">
        <v>0</v>
      </c>
      <c r="M389" s="65">
        <v>0</v>
      </c>
    </row>
    <row r="390" spans="2:13">
      <c r="B390" s="69" t="s">
        <v>1417</v>
      </c>
      <c r="C390" s="64" t="s">
        <v>1418</v>
      </c>
      <c r="D390" s="65">
        <v>0</v>
      </c>
      <c r="E390" s="65">
        <v>600000</v>
      </c>
      <c r="F390" s="65">
        <v>400000</v>
      </c>
      <c r="G390" s="65">
        <v>0</v>
      </c>
      <c r="H390" s="65">
        <v>0</v>
      </c>
      <c r="I390" s="65">
        <v>0</v>
      </c>
      <c r="J390" s="65">
        <v>0</v>
      </c>
      <c r="K390" s="65">
        <v>0</v>
      </c>
      <c r="L390" s="65">
        <v>0</v>
      </c>
      <c r="M390" s="65">
        <v>0</v>
      </c>
    </row>
    <row r="391" spans="2:13">
      <c r="B391" s="69" t="s">
        <v>1419</v>
      </c>
      <c r="C391" s="64" t="s">
        <v>1420</v>
      </c>
      <c r="D391" s="65">
        <v>0</v>
      </c>
      <c r="E391" s="65">
        <v>1000000</v>
      </c>
      <c r="F391" s="65">
        <v>500000</v>
      </c>
      <c r="G391" s="65">
        <v>400000</v>
      </c>
      <c r="H391" s="65">
        <v>200000</v>
      </c>
      <c r="I391" s="65">
        <v>0</v>
      </c>
      <c r="J391" s="65">
        <v>0</v>
      </c>
      <c r="K391" s="65">
        <v>0</v>
      </c>
      <c r="L391" s="65">
        <v>0</v>
      </c>
      <c r="M391" s="65">
        <v>0</v>
      </c>
    </row>
    <row r="392" spans="2:13">
      <c r="B392" s="76" t="s">
        <v>1005</v>
      </c>
      <c r="C392" s="64" t="s">
        <v>1006</v>
      </c>
      <c r="D392" s="67">
        <v>0</v>
      </c>
      <c r="E392" s="67">
        <v>15700000</v>
      </c>
      <c r="F392" s="67">
        <v>8400000</v>
      </c>
      <c r="G392" s="67">
        <v>7400000</v>
      </c>
      <c r="H392" s="67">
        <v>7200000</v>
      </c>
      <c r="I392" s="67">
        <v>12300000</v>
      </c>
      <c r="J392" s="67">
        <v>11400000</v>
      </c>
      <c r="K392" s="67">
        <v>9100000</v>
      </c>
      <c r="L392" s="67">
        <v>7600000</v>
      </c>
      <c r="M392" s="67">
        <v>11100000</v>
      </c>
    </row>
    <row r="393" spans="2:13">
      <c r="B393" s="63" t="s">
        <v>1007</v>
      </c>
      <c r="C393" s="64" t="s">
        <v>1008</v>
      </c>
      <c r="D393" s="65">
        <v>0</v>
      </c>
      <c r="E393" s="65">
        <v>6167500000</v>
      </c>
      <c r="F393" s="65">
        <v>4766100000</v>
      </c>
      <c r="G393" s="65">
        <v>3836300000</v>
      </c>
      <c r="H393" s="65">
        <v>5021600000</v>
      </c>
      <c r="I393" s="65">
        <v>3002400000</v>
      </c>
      <c r="J393" s="65">
        <v>4268300000</v>
      </c>
      <c r="K393" s="65">
        <v>3592200000</v>
      </c>
      <c r="L393" s="65">
        <v>3263100000</v>
      </c>
      <c r="M393" s="65">
        <v>4918800000</v>
      </c>
    </row>
    <row r="394" spans="2:13">
      <c r="B394" s="66" t="s">
        <v>124</v>
      </c>
      <c r="C394" s="64" t="s">
        <v>638</v>
      </c>
      <c r="D394" s="67">
        <v>0</v>
      </c>
      <c r="E394" s="67">
        <v>14534700000</v>
      </c>
      <c r="F394" s="67">
        <v>11054300000</v>
      </c>
      <c r="G394" s="67">
        <v>6812500000</v>
      </c>
      <c r="H394" s="67">
        <v>6204900000</v>
      </c>
      <c r="I394" s="67">
        <v>4159900000</v>
      </c>
      <c r="J394" s="67">
        <v>6510200000</v>
      </c>
      <c r="K394" s="67">
        <v>5373700000</v>
      </c>
      <c r="L394" s="67">
        <v>5194000000</v>
      </c>
      <c r="M394" s="67">
        <v>10239900000</v>
      </c>
    </row>
    <row r="397" spans="2:13" ht="15.5">
      <c r="B397" s="42" t="s">
        <v>1009</v>
      </c>
    </row>
    <row r="398" spans="2:13">
      <c r="B398" s="63" t="s">
        <v>1010</v>
      </c>
      <c r="C398" s="64" t="s">
        <v>1011</v>
      </c>
      <c r="D398" s="65">
        <v>0</v>
      </c>
      <c r="E398" s="65">
        <v>-500000</v>
      </c>
      <c r="F398" s="65">
        <v>0</v>
      </c>
      <c r="G398" s="65">
        <v>0</v>
      </c>
      <c r="H398" s="65">
        <v>0</v>
      </c>
      <c r="I398" s="65">
        <v>0</v>
      </c>
      <c r="J398" s="65">
        <v>0</v>
      </c>
      <c r="K398" s="65">
        <v>0</v>
      </c>
      <c r="L398" s="65">
        <v>0</v>
      </c>
      <c r="M398" s="65">
        <v>70500000</v>
      </c>
    </row>
    <row r="399" spans="2:13">
      <c r="B399" s="63" t="s">
        <v>1012</v>
      </c>
      <c r="C399" s="64" t="s">
        <v>1013</v>
      </c>
      <c r="D399" s="65">
        <v>0</v>
      </c>
      <c r="E399" s="65">
        <v>0</v>
      </c>
      <c r="F399" s="65">
        <v>14000000</v>
      </c>
      <c r="G399" s="65">
        <v>13500000</v>
      </c>
      <c r="H399" s="65">
        <v>6500000</v>
      </c>
      <c r="I399" s="65">
        <v>0</v>
      </c>
      <c r="J399" s="65">
        <v>0</v>
      </c>
      <c r="K399" s="65">
        <v>0</v>
      </c>
      <c r="L399" s="65">
        <v>0</v>
      </c>
      <c r="M399" s="65">
        <v>0</v>
      </c>
    </row>
    <row r="400" spans="2:13">
      <c r="B400" s="66" t="s">
        <v>131</v>
      </c>
      <c r="C400" s="64" t="s">
        <v>646</v>
      </c>
      <c r="D400" s="67">
        <v>0</v>
      </c>
      <c r="E400" s="67">
        <v>-500000</v>
      </c>
      <c r="F400" s="67">
        <v>14000000</v>
      </c>
      <c r="G400" s="67">
        <v>13500000</v>
      </c>
      <c r="H400" s="67">
        <v>6500000</v>
      </c>
      <c r="I400" s="67">
        <v>0</v>
      </c>
      <c r="J400" s="67">
        <v>0</v>
      </c>
      <c r="K400" s="67">
        <v>0</v>
      </c>
      <c r="L400" s="67">
        <v>0</v>
      </c>
      <c r="M400" s="67">
        <v>70500000</v>
      </c>
    </row>
    <row r="403" spans="1:13" ht="15.5">
      <c r="B403" s="42" t="s">
        <v>1014</v>
      </c>
    </row>
    <row r="404" spans="1:13">
      <c r="B404" s="63" t="s">
        <v>1015</v>
      </c>
      <c r="C404" s="64" t="s">
        <v>1016</v>
      </c>
      <c r="D404" s="65">
        <v>0</v>
      </c>
      <c r="E404" s="65">
        <v>386700000</v>
      </c>
      <c r="F404" s="65">
        <v>474000000</v>
      </c>
      <c r="G404" s="65">
        <v>294800000</v>
      </c>
      <c r="H404" s="65">
        <v>182500000</v>
      </c>
      <c r="I404" s="65">
        <v>140300000</v>
      </c>
      <c r="J404" s="65">
        <v>255200000</v>
      </c>
      <c r="K404" s="65">
        <v>247300000</v>
      </c>
      <c r="L404" s="65">
        <v>154300000</v>
      </c>
      <c r="M404" s="65">
        <v>520500000</v>
      </c>
    </row>
    <row r="405" spans="1:13">
      <c r="B405" s="63" t="s">
        <v>1421</v>
      </c>
      <c r="C405" s="64" t="s">
        <v>1422</v>
      </c>
      <c r="D405" s="65">
        <v>0</v>
      </c>
      <c r="E405" s="65">
        <v>31500000</v>
      </c>
      <c r="F405" s="65">
        <v>0</v>
      </c>
      <c r="G405" s="65">
        <v>0</v>
      </c>
      <c r="H405" s="65">
        <v>0</v>
      </c>
      <c r="I405" s="65">
        <v>0</v>
      </c>
      <c r="J405" s="65">
        <v>0</v>
      </c>
      <c r="K405" s="65">
        <v>0</v>
      </c>
      <c r="L405" s="65">
        <v>0</v>
      </c>
      <c r="M405" s="65">
        <v>0</v>
      </c>
    </row>
    <row r="406" spans="1:13">
      <c r="B406" s="63" t="s">
        <v>1423</v>
      </c>
      <c r="C406" s="64" t="s">
        <v>1424</v>
      </c>
      <c r="D406" s="65">
        <v>0</v>
      </c>
      <c r="E406" s="65">
        <v>727400000</v>
      </c>
      <c r="F406" s="65">
        <v>0</v>
      </c>
      <c r="G406" s="65">
        <v>0</v>
      </c>
      <c r="H406" s="65">
        <v>0</v>
      </c>
      <c r="I406" s="65">
        <v>0</v>
      </c>
      <c r="J406" s="65">
        <v>0</v>
      </c>
      <c r="K406" s="65">
        <v>0</v>
      </c>
      <c r="L406" s="65">
        <v>0</v>
      </c>
      <c r="M406" s="65">
        <v>0</v>
      </c>
    </row>
    <row r="407" spans="1:13">
      <c r="B407" s="66" t="s">
        <v>1425</v>
      </c>
      <c r="C407" s="64" t="s">
        <v>1426</v>
      </c>
      <c r="D407" s="67">
        <v>0</v>
      </c>
      <c r="E407" s="67">
        <v>758900000</v>
      </c>
      <c r="F407" s="67">
        <v>0</v>
      </c>
      <c r="G407" s="67">
        <v>0</v>
      </c>
      <c r="H407" s="67">
        <v>0</v>
      </c>
      <c r="I407" s="67">
        <v>0</v>
      </c>
      <c r="J407" s="67">
        <v>0</v>
      </c>
      <c r="K407" s="67">
        <v>0</v>
      </c>
      <c r="L407" s="67">
        <v>0</v>
      </c>
      <c r="M407" s="67">
        <v>0</v>
      </c>
    </row>
    <row r="408" spans="1:13">
      <c r="B408" s="66" t="s">
        <v>1017</v>
      </c>
      <c r="C408" s="64" t="s">
        <v>1018</v>
      </c>
      <c r="D408" s="67">
        <v>0</v>
      </c>
      <c r="E408" s="67">
        <v>1145600000</v>
      </c>
      <c r="F408" s="67">
        <v>474000000</v>
      </c>
      <c r="G408" s="67">
        <v>294800000</v>
      </c>
      <c r="H408" s="67">
        <v>182500000</v>
      </c>
      <c r="I408" s="67">
        <v>140300000</v>
      </c>
      <c r="J408" s="67">
        <v>255200000</v>
      </c>
      <c r="K408" s="67">
        <v>247300000</v>
      </c>
      <c r="L408" s="67">
        <v>154300000</v>
      </c>
      <c r="M408" s="67">
        <v>520500000</v>
      </c>
    </row>
    <row r="411" spans="1:13" ht="15.5">
      <c r="A411" t="s">
        <v>27</v>
      </c>
      <c r="B411" s="42" t="s">
        <v>1019</v>
      </c>
    </row>
    <row r="413" spans="1:13">
      <c r="C413" s="62" t="s">
        <v>625</v>
      </c>
      <c r="D413" s="24" t="s">
        <v>30</v>
      </c>
      <c r="E413" s="24" t="s">
        <v>31</v>
      </c>
      <c r="F413" s="24" t="s">
        <v>32</v>
      </c>
      <c r="G413" s="24" t="s">
        <v>33</v>
      </c>
      <c r="H413" s="24" t="s">
        <v>34</v>
      </c>
      <c r="I413" s="24" t="s">
        <v>35</v>
      </c>
      <c r="J413" s="24" t="s">
        <v>36</v>
      </c>
      <c r="K413" s="24" t="s">
        <v>37</v>
      </c>
      <c r="L413" s="24" t="s">
        <v>38</v>
      </c>
      <c r="M413" s="24" t="s">
        <v>39</v>
      </c>
    </row>
    <row r="414" spans="1:13" ht="15.5">
      <c r="B414" s="42" t="s">
        <v>1020</v>
      </c>
    </row>
    <row r="415" spans="1:13">
      <c r="B415" s="68" t="s">
        <v>1021</v>
      </c>
    </row>
    <row r="416" spans="1:13">
      <c r="B416" s="70" t="s">
        <v>1022</v>
      </c>
    </row>
    <row r="417" spans="2:13">
      <c r="B417" s="71" t="s">
        <v>1023</v>
      </c>
      <c r="C417" s="64" t="s">
        <v>1024</v>
      </c>
      <c r="D417" s="65">
        <v>0</v>
      </c>
      <c r="E417" s="65">
        <v>41878600000</v>
      </c>
      <c r="F417" s="65">
        <v>0</v>
      </c>
      <c r="G417" s="65">
        <v>0</v>
      </c>
      <c r="H417" s="65">
        <v>0</v>
      </c>
      <c r="I417" s="65">
        <v>0</v>
      </c>
      <c r="J417" s="65">
        <v>0</v>
      </c>
      <c r="K417" s="65">
        <v>0</v>
      </c>
      <c r="L417" s="65">
        <v>0</v>
      </c>
      <c r="M417" s="65">
        <v>2006500000</v>
      </c>
    </row>
    <row r="418" spans="2:13">
      <c r="B418" s="71" t="s">
        <v>1025</v>
      </c>
      <c r="C418" s="64" t="s">
        <v>1025</v>
      </c>
      <c r="D418" s="65">
        <v>0</v>
      </c>
      <c r="E418" s="65">
        <v>535400000</v>
      </c>
      <c r="F418" s="65">
        <v>535500000</v>
      </c>
      <c r="G418" s="65">
        <v>1254500000</v>
      </c>
      <c r="H418" s="65">
        <v>882500000</v>
      </c>
      <c r="I418" s="65">
        <v>790400000</v>
      </c>
      <c r="J418" s="65">
        <v>334000000</v>
      </c>
      <c r="K418" s="65">
        <v>266500000</v>
      </c>
      <c r="L418" s="65">
        <v>68400000</v>
      </c>
      <c r="M418" s="65">
        <v>1466500000</v>
      </c>
    </row>
    <row r="419" spans="2:13">
      <c r="B419" s="71" t="s">
        <v>1026</v>
      </c>
      <c r="C419" s="64" t="s">
        <v>1027</v>
      </c>
      <c r="D419" s="65">
        <v>0</v>
      </c>
      <c r="E419" s="65">
        <v>0</v>
      </c>
      <c r="F419" s="65">
        <v>1472600000</v>
      </c>
      <c r="G419" s="65">
        <v>903600000</v>
      </c>
      <c r="H419" s="65">
        <v>1335000000</v>
      </c>
      <c r="I419" s="65">
        <v>1394500000</v>
      </c>
      <c r="J419" s="65">
        <v>1280100000</v>
      </c>
      <c r="K419" s="65">
        <v>1567400000</v>
      </c>
      <c r="L419" s="65">
        <v>1486000000</v>
      </c>
      <c r="M419" s="65">
        <v>57700000</v>
      </c>
    </row>
    <row r="420" spans="2:13">
      <c r="B420" s="74" t="s">
        <v>1028</v>
      </c>
      <c r="C420" s="64" t="s">
        <v>1029</v>
      </c>
      <c r="D420" s="67">
        <v>0</v>
      </c>
      <c r="E420" s="67">
        <v>42414000000</v>
      </c>
      <c r="F420" s="67">
        <v>2008100000</v>
      </c>
      <c r="G420" s="67">
        <v>2158100000</v>
      </c>
      <c r="H420" s="67">
        <v>2217500000</v>
      </c>
      <c r="I420" s="67">
        <v>2184900000</v>
      </c>
      <c r="J420" s="67">
        <v>1614100000</v>
      </c>
      <c r="K420" s="67">
        <v>1833900000</v>
      </c>
      <c r="L420" s="67">
        <v>1554400000</v>
      </c>
      <c r="M420" s="67">
        <v>3530700000</v>
      </c>
    </row>
    <row r="421" spans="2:13">
      <c r="B421" s="70" t="s">
        <v>1030</v>
      </c>
    </row>
    <row r="422" spans="2:13">
      <c r="B422" s="71" t="s">
        <v>1031</v>
      </c>
      <c r="C422" s="64" t="s">
        <v>1032</v>
      </c>
      <c r="D422" s="65">
        <v>0</v>
      </c>
      <c r="E422" s="65">
        <v>665000000</v>
      </c>
      <c r="F422" s="65">
        <v>427100000</v>
      </c>
      <c r="G422" s="65">
        <v>226600000</v>
      </c>
      <c r="H422" s="65">
        <v>145800000</v>
      </c>
      <c r="I422" s="65">
        <v>74600000</v>
      </c>
      <c r="J422" s="65">
        <v>190200000</v>
      </c>
      <c r="K422" s="65">
        <v>85800000</v>
      </c>
      <c r="L422" s="65">
        <v>193900000</v>
      </c>
      <c r="M422" s="65">
        <v>1255400000</v>
      </c>
    </row>
    <row r="423" spans="2:13">
      <c r="B423" s="71" t="s">
        <v>1427</v>
      </c>
      <c r="C423" s="64" t="s">
        <v>1428</v>
      </c>
      <c r="D423" s="65">
        <v>0</v>
      </c>
      <c r="E423" s="65">
        <v>5163000000</v>
      </c>
      <c r="F423" s="65">
        <v>4050000000</v>
      </c>
      <c r="G423" s="65">
        <v>4050000000</v>
      </c>
      <c r="H423" s="65">
        <v>0</v>
      </c>
      <c r="I423" s="65">
        <v>0</v>
      </c>
      <c r="J423" s="65">
        <v>0</v>
      </c>
      <c r="K423" s="65">
        <v>0</v>
      </c>
      <c r="L423" s="65">
        <v>0</v>
      </c>
      <c r="M423" s="65">
        <v>0</v>
      </c>
    </row>
    <row r="424" spans="2:13">
      <c r="B424" s="74" t="s">
        <v>1035</v>
      </c>
      <c r="C424" s="64" t="s">
        <v>1036</v>
      </c>
      <c r="D424" s="67">
        <v>0</v>
      </c>
      <c r="E424" s="67">
        <v>5828000000</v>
      </c>
      <c r="F424" s="67">
        <v>4477100000</v>
      </c>
      <c r="G424" s="67">
        <v>4276600000</v>
      </c>
      <c r="H424" s="67">
        <v>145800000</v>
      </c>
      <c r="I424" s="67">
        <v>74600000</v>
      </c>
      <c r="J424" s="67">
        <v>190200000</v>
      </c>
      <c r="K424" s="67">
        <v>85800000</v>
      </c>
      <c r="L424" s="67">
        <v>193900000</v>
      </c>
      <c r="M424" s="67">
        <v>1255400000</v>
      </c>
    </row>
    <row r="425" spans="2:13">
      <c r="B425" s="76" t="s">
        <v>1037</v>
      </c>
      <c r="C425" s="64" t="s">
        <v>1038</v>
      </c>
      <c r="D425" s="67">
        <v>0</v>
      </c>
      <c r="E425" s="67">
        <v>48242000000</v>
      </c>
      <c r="F425" s="67">
        <v>6485200000</v>
      </c>
      <c r="G425" s="67">
        <v>6434700000</v>
      </c>
      <c r="H425" s="67">
        <v>2363300000</v>
      </c>
      <c r="I425" s="67">
        <v>2259500000</v>
      </c>
      <c r="J425" s="67">
        <v>1804300000</v>
      </c>
      <c r="K425" s="67">
        <v>1919700000</v>
      </c>
      <c r="L425" s="67">
        <v>1748300000</v>
      </c>
      <c r="M425" s="67">
        <v>4786100000</v>
      </c>
    </row>
    <row r="426" spans="2:13">
      <c r="B426" s="68" t="s">
        <v>1039</v>
      </c>
    </row>
    <row r="427" spans="2:13">
      <c r="B427" s="80" t="s">
        <v>140</v>
      </c>
      <c r="C427" s="64" t="s">
        <v>697</v>
      </c>
      <c r="D427" s="65">
        <v>0</v>
      </c>
      <c r="E427" s="65">
        <v>727300000</v>
      </c>
      <c r="F427" s="65">
        <v>1120600000</v>
      </c>
      <c r="G427" s="65">
        <v>1297400000</v>
      </c>
      <c r="H427" s="65">
        <v>1046000000</v>
      </c>
      <c r="I427" s="65">
        <v>963400000</v>
      </c>
      <c r="J427" s="65">
        <v>76300000</v>
      </c>
      <c r="K427" s="65">
        <v>8700000</v>
      </c>
      <c r="L427" s="65">
        <v>33700000</v>
      </c>
      <c r="M427" s="65">
        <v>596000000</v>
      </c>
    </row>
    <row r="428" spans="2:13">
      <c r="B428" s="80" t="s">
        <v>143</v>
      </c>
      <c r="C428" s="64" t="s">
        <v>701</v>
      </c>
      <c r="D428" s="65">
        <v>0</v>
      </c>
      <c r="E428" s="65">
        <v>555300000</v>
      </c>
      <c r="F428" s="65">
        <v>1798200000</v>
      </c>
      <c r="G428" s="65">
        <v>104100000</v>
      </c>
      <c r="H428" s="65">
        <v>123000000</v>
      </c>
      <c r="I428" s="65">
        <v>35200000</v>
      </c>
      <c r="J428" s="65">
        <v>44200000</v>
      </c>
      <c r="K428" s="65">
        <v>34300000</v>
      </c>
      <c r="L428" s="65">
        <v>35100000</v>
      </c>
      <c r="M428" s="65">
        <v>163500000</v>
      </c>
    </row>
    <row r="433" spans="1:13" ht="15.5">
      <c r="A433" t="s">
        <v>27</v>
      </c>
      <c r="B433" s="42" t="s">
        <v>1040</v>
      </c>
    </row>
    <row r="435" spans="1:13">
      <c r="C435" s="62" t="s">
        <v>625</v>
      </c>
      <c r="D435" s="24" t="s">
        <v>30</v>
      </c>
      <c r="E435" s="24" t="s">
        <v>31</v>
      </c>
      <c r="F435" s="24" t="s">
        <v>32</v>
      </c>
      <c r="G435" s="24" t="s">
        <v>33</v>
      </c>
      <c r="H435" s="24" t="s">
        <v>34</v>
      </c>
      <c r="I435" s="24" t="s">
        <v>35</v>
      </c>
      <c r="J435" s="24" t="s">
        <v>36</v>
      </c>
      <c r="K435" s="24" t="s">
        <v>37</v>
      </c>
      <c r="L435" s="24" t="s">
        <v>38</v>
      </c>
      <c r="M435" s="24" t="s">
        <v>39</v>
      </c>
    </row>
    <row r="436" spans="1:13" ht="15.5">
      <c r="B436" s="42" t="s">
        <v>1041</v>
      </c>
    </row>
    <row r="437" spans="1:13">
      <c r="B437" s="68" t="s">
        <v>1042</v>
      </c>
    </row>
    <row r="438" spans="1:13">
      <c r="B438" s="70" t="s">
        <v>1043</v>
      </c>
    </row>
    <row r="439" spans="1:13">
      <c r="B439" s="71" t="s">
        <v>161</v>
      </c>
      <c r="C439" s="64" t="s">
        <v>715</v>
      </c>
      <c r="D439" s="65">
        <v>0</v>
      </c>
      <c r="E439" s="65">
        <v>4811000000</v>
      </c>
      <c r="F439" s="65">
        <v>0</v>
      </c>
      <c r="G439" s="65">
        <v>0</v>
      </c>
      <c r="H439" s="65">
        <v>0</v>
      </c>
      <c r="I439" s="65">
        <v>0</v>
      </c>
      <c r="J439" s="65">
        <v>0</v>
      </c>
      <c r="K439" s="65">
        <v>0</v>
      </c>
      <c r="L439" s="65">
        <v>0</v>
      </c>
      <c r="M439" s="65">
        <v>0</v>
      </c>
    </row>
    <row r="440" spans="1:13">
      <c r="B440" s="63" t="s">
        <v>1044</v>
      </c>
      <c r="C440" s="64" t="s">
        <v>1045</v>
      </c>
      <c r="D440" s="65">
        <v>0</v>
      </c>
      <c r="E440" s="65">
        <v>4811000000</v>
      </c>
      <c r="F440" s="65">
        <v>0</v>
      </c>
      <c r="G440" s="65">
        <v>0</v>
      </c>
      <c r="H440" s="65">
        <v>0</v>
      </c>
      <c r="I440" s="65">
        <v>0</v>
      </c>
      <c r="J440" s="65">
        <v>0</v>
      </c>
      <c r="K440" s="65">
        <v>0</v>
      </c>
      <c r="L440" s="65">
        <v>0</v>
      </c>
      <c r="M440" s="65">
        <v>0</v>
      </c>
    </row>
    <row r="441" spans="1:13">
      <c r="B441" s="63" t="s">
        <v>1046</v>
      </c>
      <c r="C441" s="64" t="s">
        <v>1047</v>
      </c>
      <c r="D441" s="65">
        <v>0</v>
      </c>
      <c r="E441" s="65">
        <v>4811000000</v>
      </c>
      <c r="F441" s="65">
        <v>0</v>
      </c>
      <c r="G441" s="65">
        <v>0</v>
      </c>
      <c r="H441" s="65">
        <v>0</v>
      </c>
      <c r="I441" s="65">
        <v>0</v>
      </c>
      <c r="J441" s="65">
        <v>0</v>
      </c>
      <c r="K441" s="65">
        <v>0</v>
      </c>
      <c r="L441" s="65">
        <v>0</v>
      </c>
      <c r="M441" s="65">
        <v>0</v>
      </c>
    </row>
    <row r="444" spans="1:13" ht="15.5">
      <c r="A444" t="s">
        <v>27</v>
      </c>
      <c r="B444" s="42" t="s">
        <v>1050</v>
      </c>
    </row>
    <row r="446" spans="1:13">
      <c r="C446" s="62" t="s">
        <v>625</v>
      </c>
      <c r="D446" s="24" t="s">
        <v>30</v>
      </c>
      <c r="E446" s="24" t="s">
        <v>31</v>
      </c>
      <c r="F446" s="24" t="s">
        <v>32</v>
      </c>
      <c r="G446" s="24" t="s">
        <v>33</v>
      </c>
      <c r="H446" s="24" t="s">
        <v>34</v>
      </c>
      <c r="I446" s="24" t="s">
        <v>35</v>
      </c>
      <c r="J446" s="24" t="s">
        <v>36</v>
      </c>
      <c r="K446" s="24" t="s">
        <v>37</v>
      </c>
      <c r="L446" s="24" t="s">
        <v>38</v>
      </c>
      <c r="M446" s="24" t="s">
        <v>39</v>
      </c>
    </row>
    <row r="447" spans="1:13" ht="15.5">
      <c r="B447" s="42" t="s">
        <v>1051</v>
      </c>
    </row>
    <row r="448" spans="1:13">
      <c r="B448" s="68" t="s">
        <v>1052</v>
      </c>
    </row>
    <row r="449" spans="2:13">
      <c r="B449" s="69" t="s">
        <v>1053</v>
      </c>
      <c r="C449" s="64" t="s">
        <v>1054</v>
      </c>
      <c r="D449" s="65">
        <v>0</v>
      </c>
      <c r="E449" s="65">
        <v>12490000000</v>
      </c>
      <c r="F449" s="65">
        <v>12490000000</v>
      </c>
      <c r="G449" s="65">
        <v>12490000000</v>
      </c>
      <c r="H449" s="65">
        <v>12490000000</v>
      </c>
      <c r="I449" s="65">
        <v>46000000000</v>
      </c>
      <c r="J449" s="65">
        <v>55000000000</v>
      </c>
      <c r="K449" s="65">
        <v>55000000000</v>
      </c>
      <c r="L449" s="65">
        <v>55000000000</v>
      </c>
      <c r="M449" s="65">
        <v>105265000000</v>
      </c>
    </row>
    <row r="450" spans="2:13">
      <c r="B450" s="69" t="s">
        <v>1055</v>
      </c>
      <c r="C450" s="64" t="s">
        <v>1056</v>
      </c>
      <c r="D450" s="65">
        <v>0</v>
      </c>
      <c r="E450" s="65">
        <v>24980000000</v>
      </c>
      <c r="F450" s="65">
        <v>24980000000</v>
      </c>
      <c r="G450" s="65">
        <v>24980000000</v>
      </c>
      <c r="H450" s="65">
        <v>24980000000</v>
      </c>
      <c r="I450" s="65">
        <v>92000000000</v>
      </c>
      <c r="J450" s="65">
        <v>110000000000</v>
      </c>
      <c r="K450" s="65">
        <v>110000000000</v>
      </c>
      <c r="L450" s="65">
        <v>110000000000</v>
      </c>
      <c r="M450" s="65">
        <v>210530000000</v>
      </c>
    </row>
    <row r="451" spans="2:13">
      <c r="B451" s="69" t="s">
        <v>1057</v>
      </c>
      <c r="C451" s="64" t="s">
        <v>1058</v>
      </c>
      <c r="D451" s="65">
        <v>0</v>
      </c>
      <c r="E451" s="65">
        <v>5043330927</v>
      </c>
      <c r="F451" s="65">
        <v>5338706098</v>
      </c>
      <c r="G451" s="65">
        <v>5338706098</v>
      </c>
      <c r="H451" s="65">
        <v>5338706098</v>
      </c>
      <c r="I451" s="65">
        <v>8526944750</v>
      </c>
      <c r="J451" s="65">
        <v>9236376014</v>
      </c>
      <c r="K451" s="65">
        <v>12492019060</v>
      </c>
      <c r="L451" s="65">
        <v>13631620199</v>
      </c>
      <c r="M451" s="65">
        <v>13675852549</v>
      </c>
    </row>
    <row r="452" spans="2:13">
      <c r="B452" s="69" t="s">
        <v>1059</v>
      </c>
      <c r="C452" s="64" t="s">
        <v>1060</v>
      </c>
      <c r="D452" s="65">
        <v>0</v>
      </c>
      <c r="E452" s="65">
        <v>10086700000</v>
      </c>
      <c r="F452" s="65">
        <v>10677400000</v>
      </c>
      <c r="G452" s="65">
        <v>10677400000</v>
      </c>
      <c r="H452" s="65">
        <v>10677400000</v>
      </c>
      <c r="I452" s="65">
        <v>17053900000</v>
      </c>
      <c r="J452" s="65">
        <v>18472800000</v>
      </c>
      <c r="K452" s="65">
        <v>24984000000</v>
      </c>
      <c r="L452" s="65">
        <v>27263240398</v>
      </c>
      <c r="M452" s="65">
        <v>27351705098</v>
      </c>
    </row>
    <row r="453" spans="2:13">
      <c r="B453" s="69" t="s">
        <v>1061</v>
      </c>
      <c r="C453" s="64" t="s">
        <v>1062</v>
      </c>
      <c r="D453" s="65">
        <v>0</v>
      </c>
      <c r="E453" s="65">
        <v>5024398950</v>
      </c>
      <c r="F453" s="65">
        <v>5319774121</v>
      </c>
      <c r="G453" s="65">
        <v>5319774121</v>
      </c>
      <c r="H453" s="65">
        <v>5319774121</v>
      </c>
      <c r="I453" s="65">
        <v>8508012773</v>
      </c>
      <c r="J453" s="65">
        <v>9217444037</v>
      </c>
      <c r="K453" s="65">
        <v>12070909026</v>
      </c>
      <c r="L453" s="65">
        <v>13604494159</v>
      </c>
      <c r="M453" s="65">
        <v>13656920572</v>
      </c>
    </row>
    <row r="454" spans="2:13">
      <c r="B454" s="69" t="s">
        <v>1063</v>
      </c>
      <c r="C454" s="64" t="s">
        <v>1064</v>
      </c>
      <c r="D454" s="65">
        <v>0</v>
      </c>
      <c r="E454" s="65">
        <v>10048800000</v>
      </c>
      <c r="F454" s="65">
        <v>10639500000</v>
      </c>
      <c r="G454" s="65">
        <v>10639500000</v>
      </c>
      <c r="H454" s="65">
        <v>10639500000</v>
      </c>
      <c r="I454" s="65">
        <v>17016000000</v>
      </c>
      <c r="J454" s="65">
        <v>18434900000</v>
      </c>
      <c r="K454" s="65">
        <v>24141800000</v>
      </c>
      <c r="L454" s="65">
        <v>27209000000</v>
      </c>
      <c r="M454" s="65">
        <v>27313800000</v>
      </c>
    </row>
    <row r="455" spans="2:13">
      <c r="B455" s="69" t="s">
        <v>1065</v>
      </c>
      <c r="C455" s="64" t="s">
        <v>1066</v>
      </c>
      <c r="D455" s="65">
        <v>0</v>
      </c>
      <c r="E455" s="65">
        <v>0</v>
      </c>
      <c r="F455" s="65">
        <v>0</v>
      </c>
      <c r="G455" s="65">
        <v>0</v>
      </c>
      <c r="H455" s="65">
        <v>0</v>
      </c>
      <c r="I455" s="65">
        <v>0</v>
      </c>
      <c r="J455" s="65">
        <v>0</v>
      </c>
      <c r="K455" s="65">
        <v>402178057</v>
      </c>
      <c r="L455" s="65">
        <v>8194063</v>
      </c>
      <c r="M455" s="65">
        <v>0</v>
      </c>
    </row>
    <row r="456" spans="2:13">
      <c r="B456" s="69" t="s">
        <v>1067</v>
      </c>
      <c r="C456" s="64" t="s">
        <v>1068</v>
      </c>
      <c r="D456" s="65">
        <v>0</v>
      </c>
      <c r="E456" s="65">
        <v>0</v>
      </c>
      <c r="F456" s="65">
        <v>0</v>
      </c>
      <c r="G456" s="65">
        <v>0</v>
      </c>
      <c r="H456" s="65">
        <v>0</v>
      </c>
      <c r="I456" s="65">
        <v>0</v>
      </c>
      <c r="J456" s="65">
        <v>0</v>
      </c>
      <c r="K456" s="65">
        <v>402200000</v>
      </c>
      <c r="L456" s="65">
        <v>16400000</v>
      </c>
      <c r="M456" s="65">
        <v>0</v>
      </c>
    </row>
    <row r="457" spans="2:13">
      <c r="B457" s="76" t="s">
        <v>1069</v>
      </c>
      <c r="C457" s="64" t="s">
        <v>1070</v>
      </c>
      <c r="D457" s="67">
        <v>0</v>
      </c>
      <c r="E457" s="67">
        <v>5024398950</v>
      </c>
      <c r="F457" s="67">
        <v>5319774121</v>
      </c>
      <c r="G457" s="67">
        <v>5319774121</v>
      </c>
      <c r="H457" s="67">
        <v>5319774121</v>
      </c>
      <c r="I457" s="67">
        <v>8508012773</v>
      </c>
      <c r="J457" s="67">
        <v>9217444037</v>
      </c>
      <c r="K457" s="67">
        <v>12473087083</v>
      </c>
      <c r="L457" s="67">
        <v>13612688222</v>
      </c>
      <c r="M457" s="67">
        <v>13656920572</v>
      </c>
    </row>
    <row r="458" spans="2:13">
      <c r="B458" s="76" t="s">
        <v>1071</v>
      </c>
      <c r="C458" s="64" t="s">
        <v>1072</v>
      </c>
      <c r="D458" s="67">
        <v>0</v>
      </c>
      <c r="E458" s="67">
        <v>10048800000</v>
      </c>
      <c r="F458" s="67">
        <v>10639500000</v>
      </c>
      <c r="G458" s="67">
        <v>10639500000</v>
      </c>
      <c r="H458" s="67">
        <v>10639500000</v>
      </c>
      <c r="I458" s="67">
        <v>17016000000</v>
      </c>
      <c r="J458" s="67">
        <v>18434900000</v>
      </c>
      <c r="K458" s="67">
        <v>24544000000</v>
      </c>
      <c r="L458" s="67">
        <v>27225400000</v>
      </c>
      <c r="M458" s="67">
        <v>27313800000</v>
      </c>
    </row>
    <row r="459" spans="2:13">
      <c r="B459" s="70" t="s">
        <v>1073</v>
      </c>
    </row>
    <row r="460" spans="2:13">
      <c r="B460" s="71" t="s">
        <v>1074</v>
      </c>
      <c r="C460" s="64" t="s">
        <v>1075</v>
      </c>
      <c r="D460" s="65">
        <v>0</v>
      </c>
      <c r="E460" s="65">
        <v>5024398950</v>
      </c>
      <c r="F460" s="65">
        <v>5319774121</v>
      </c>
      <c r="G460" s="65">
        <v>5319774121</v>
      </c>
      <c r="H460" s="65">
        <v>5319774121</v>
      </c>
      <c r="I460" s="65">
        <v>8508012773</v>
      </c>
      <c r="J460" s="65">
        <v>9217444037</v>
      </c>
      <c r="K460" s="65">
        <v>12473087083</v>
      </c>
      <c r="L460" s="65">
        <v>13612688222</v>
      </c>
      <c r="M460" s="65">
        <v>13648726509</v>
      </c>
    </row>
    <row r="461" spans="2:13">
      <c r="B461" s="71" t="s">
        <v>1076</v>
      </c>
      <c r="C461" s="64" t="s">
        <v>1077</v>
      </c>
      <c r="D461" s="65">
        <v>0</v>
      </c>
      <c r="E461" s="65">
        <v>10048800000</v>
      </c>
      <c r="F461" s="65">
        <v>10639500000</v>
      </c>
      <c r="G461" s="65">
        <v>10639500000</v>
      </c>
      <c r="H461" s="65">
        <v>10639500000</v>
      </c>
      <c r="I461" s="65">
        <v>17016000000</v>
      </c>
      <c r="J461" s="65">
        <v>18434900000</v>
      </c>
      <c r="K461" s="65">
        <v>24544000000</v>
      </c>
      <c r="L461" s="65">
        <v>27217200000</v>
      </c>
      <c r="M461" s="65">
        <v>27297500000</v>
      </c>
    </row>
    <row r="462" spans="2:13">
      <c r="B462" s="71" t="s">
        <v>1078</v>
      </c>
      <c r="C462" s="64" t="s">
        <v>1079</v>
      </c>
      <c r="D462" s="65">
        <v>0</v>
      </c>
      <c r="E462" s="65">
        <v>0</v>
      </c>
      <c r="F462" s="65">
        <v>0</v>
      </c>
      <c r="G462" s="65">
        <v>0</v>
      </c>
      <c r="H462" s="65">
        <v>0</v>
      </c>
      <c r="I462" s="65">
        <v>0</v>
      </c>
      <c r="J462" s="65">
        <v>0</v>
      </c>
      <c r="K462" s="65">
        <v>0</v>
      </c>
      <c r="L462" s="65">
        <v>0</v>
      </c>
      <c r="M462" s="65">
        <v>20400000</v>
      </c>
    </row>
    <row r="463" spans="2:13">
      <c r="B463" s="74" t="s">
        <v>1080</v>
      </c>
      <c r="C463" s="64" t="s">
        <v>1081</v>
      </c>
      <c r="D463" s="67">
        <v>0</v>
      </c>
      <c r="E463" s="67">
        <v>10048800000</v>
      </c>
      <c r="F463" s="67">
        <v>10639500000</v>
      </c>
      <c r="G463" s="67">
        <v>10639500000</v>
      </c>
      <c r="H463" s="67">
        <v>10639500000</v>
      </c>
      <c r="I463" s="67">
        <v>17016000000</v>
      </c>
      <c r="J463" s="67">
        <v>18434900000</v>
      </c>
      <c r="K463" s="67">
        <v>24544000000</v>
      </c>
      <c r="L463" s="67">
        <v>27217200000</v>
      </c>
      <c r="M463" s="67">
        <v>27317900000</v>
      </c>
    </row>
    <row r="464" spans="2:13">
      <c r="B464" s="70" t="s">
        <v>1082</v>
      </c>
    </row>
    <row r="465" spans="2:13">
      <c r="B465" s="71" t="s">
        <v>1083</v>
      </c>
      <c r="C465" s="64" t="s">
        <v>1084</v>
      </c>
      <c r="D465" s="65">
        <v>0</v>
      </c>
      <c r="E465" s="65">
        <v>5024398950</v>
      </c>
      <c r="F465" s="65">
        <v>5319774121</v>
      </c>
      <c r="G465" s="65">
        <v>5319774121</v>
      </c>
      <c r="H465" s="65">
        <v>5319774121</v>
      </c>
      <c r="I465" s="65">
        <v>8508012773</v>
      </c>
      <c r="J465" s="65">
        <v>9217444037</v>
      </c>
      <c r="K465" s="65">
        <v>12473087083</v>
      </c>
      <c r="L465" s="65">
        <v>13612688222</v>
      </c>
      <c r="M465" s="65">
        <v>13648726509</v>
      </c>
    </row>
    <row r="466" spans="2:13">
      <c r="B466" s="72" t="s">
        <v>1085</v>
      </c>
    </row>
    <row r="467" spans="2:13">
      <c r="B467" s="77" t="s">
        <v>1086</v>
      </c>
    </row>
    <row r="468" spans="2:13">
      <c r="B468" s="78" t="s">
        <v>1087</v>
      </c>
      <c r="C468" s="64" t="s">
        <v>1088</v>
      </c>
      <c r="D468" s="67">
        <v>0</v>
      </c>
      <c r="E468" s="67">
        <v>3895536</v>
      </c>
      <c r="F468" s="67">
        <v>295375171</v>
      </c>
      <c r="G468" s="67">
        <v>0</v>
      </c>
      <c r="H468" s="67">
        <v>0</v>
      </c>
      <c r="I468" s="67">
        <v>3188238652</v>
      </c>
      <c r="J468" s="67">
        <v>709431264</v>
      </c>
      <c r="K468" s="67">
        <v>3255643046</v>
      </c>
      <c r="L468" s="67">
        <v>1139601139</v>
      </c>
      <c r="M468" s="67">
        <v>44232350</v>
      </c>
    </row>
    <row r="469" spans="2:13">
      <c r="B469" s="77" t="s">
        <v>1089</v>
      </c>
    </row>
    <row r="470" spans="2:13">
      <c r="B470" s="78" t="s">
        <v>1090</v>
      </c>
      <c r="C470" s="64" t="s">
        <v>1091</v>
      </c>
      <c r="D470" s="67">
        <v>0</v>
      </c>
      <c r="E470" s="67">
        <v>0</v>
      </c>
      <c r="F470" s="67">
        <v>0</v>
      </c>
      <c r="G470" s="67">
        <v>0</v>
      </c>
      <c r="H470" s="67">
        <v>0</v>
      </c>
      <c r="I470" s="67">
        <v>0</v>
      </c>
      <c r="J470" s="67">
        <v>0</v>
      </c>
      <c r="K470" s="67">
        <v>0</v>
      </c>
      <c r="L470" s="67">
        <v>0</v>
      </c>
      <c r="M470" s="67">
        <v>8194063</v>
      </c>
    </row>
    <row r="471" spans="2:13">
      <c r="B471" s="75" t="s">
        <v>1092</v>
      </c>
      <c r="C471" s="64" t="s">
        <v>1093</v>
      </c>
      <c r="D471" s="67">
        <v>0</v>
      </c>
      <c r="E471" s="67">
        <v>3895536</v>
      </c>
      <c r="F471" s="67">
        <v>295375171</v>
      </c>
      <c r="G471" s="67">
        <v>0</v>
      </c>
      <c r="H471" s="67">
        <v>0</v>
      </c>
      <c r="I471" s="67">
        <v>3188238652</v>
      </c>
      <c r="J471" s="67">
        <v>709431264</v>
      </c>
      <c r="K471" s="67">
        <v>3255643046</v>
      </c>
      <c r="L471" s="67">
        <v>1139601139</v>
      </c>
      <c r="M471" s="67">
        <v>36038287</v>
      </c>
    </row>
    <row r="472" spans="2:13">
      <c r="B472" s="71" t="s">
        <v>1083</v>
      </c>
      <c r="C472" s="64" t="s">
        <v>1084</v>
      </c>
      <c r="D472" s="65">
        <v>0</v>
      </c>
      <c r="E472" s="65">
        <v>5024398950</v>
      </c>
      <c r="F472" s="65">
        <v>5319774121</v>
      </c>
      <c r="G472" s="65">
        <v>5319774121</v>
      </c>
      <c r="H472" s="65">
        <v>5319774121</v>
      </c>
      <c r="I472" s="65">
        <v>8508012773</v>
      </c>
      <c r="J472" s="65">
        <v>9217444037</v>
      </c>
      <c r="K472" s="65">
        <v>12473087083</v>
      </c>
      <c r="L472" s="65">
        <v>13612688222</v>
      </c>
      <c r="M472" s="65">
        <v>13648726509</v>
      </c>
    </row>
    <row r="473" spans="2:13">
      <c r="B473" s="70" t="s">
        <v>1094</v>
      </c>
    </row>
    <row r="474" spans="2:13">
      <c r="B474" s="71" t="s">
        <v>172</v>
      </c>
      <c r="C474" s="64" t="s">
        <v>731</v>
      </c>
      <c r="D474" s="65">
        <v>0</v>
      </c>
      <c r="E474" s="65">
        <v>10048800000</v>
      </c>
      <c r="F474" s="65">
        <v>10639500000</v>
      </c>
      <c r="G474" s="65">
        <v>10639500000</v>
      </c>
      <c r="H474" s="65">
        <v>10639500000</v>
      </c>
      <c r="I474" s="65">
        <v>17016000000</v>
      </c>
      <c r="J474" s="65">
        <v>18434900000</v>
      </c>
      <c r="K474" s="65">
        <v>24544000000</v>
      </c>
      <c r="L474" s="65">
        <v>27217200000</v>
      </c>
      <c r="M474" s="65">
        <v>27317900000</v>
      </c>
    </row>
    <row r="475" spans="2:13">
      <c r="B475" s="72" t="s">
        <v>1095</v>
      </c>
    </row>
    <row r="476" spans="2:13">
      <c r="B476" s="77" t="s">
        <v>1096</v>
      </c>
    </row>
    <row r="477" spans="2:13">
      <c r="B477" s="80" t="s">
        <v>1097</v>
      </c>
      <c r="C477" s="64" t="s">
        <v>1098</v>
      </c>
      <c r="D477" s="65">
        <v>0</v>
      </c>
      <c r="E477" s="65">
        <v>0</v>
      </c>
      <c r="F477" s="65">
        <v>0</v>
      </c>
      <c r="G477" s="65">
        <v>0</v>
      </c>
      <c r="H477" s="65">
        <v>0</v>
      </c>
      <c r="I477" s="65">
        <v>0</v>
      </c>
      <c r="J477" s="65">
        <v>0</v>
      </c>
      <c r="K477" s="65">
        <v>4397800000</v>
      </c>
      <c r="L477" s="65">
        <v>394000000</v>
      </c>
      <c r="M477" s="65">
        <v>0</v>
      </c>
    </row>
    <row r="478" spans="2:13">
      <c r="B478" s="80" t="s">
        <v>1099</v>
      </c>
      <c r="C478" s="64" t="s">
        <v>1100</v>
      </c>
      <c r="D478" s="65">
        <v>0</v>
      </c>
      <c r="E478" s="65">
        <v>0</v>
      </c>
      <c r="F478" s="65">
        <v>0</v>
      </c>
      <c r="G478" s="65">
        <v>0</v>
      </c>
      <c r="H478" s="65">
        <v>0</v>
      </c>
      <c r="I478" s="65">
        <v>0</v>
      </c>
      <c r="J478" s="65">
        <v>408000000</v>
      </c>
      <c r="K478" s="65">
        <v>1142900000</v>
      </c>
      <c r="L478" s="65">
        <v>0</v>
      </c>
      <c r="M478" s="65">
        <v>0</v>
      </c>
    </row>
    <row r="479" spans="2:13">
      <c r="B479" s="80" t="s">
        <v>1101</v>
      </c>
      <c r="C479" s="64" t="s">
        <v>1102</v>
      </c>
      <c r="D479" s="65">
        <v>0</v>
      </c>
      <c r="E479" s="65">
        <v>0</v>
      </c>
      <c r="F479" s="65">
        <v>0</v>
      </c>
      <c r="G479" s="65">
        <v>0</v>
      </c>
      <c r="H479" s="65">
        <v>0</v>
      </c>
      <c r="I479" s="65">
        <v>4787500000</v>
      </c>
      <c r="J479" s="65">
        <v>0</v>
      </c>
      <c r="K479" s="65">
        <v>0</v>
      </c>
      <c r="L479" s="65">
        <v>0</v>
      </c>
      <c r="M479" s="65">
        <v>0</v>
      </c>
    </row>
    <row r="480" spans="2:13">
      <c r="B480" s="80" t="s">
        <v>1103</v>
      </c>
      <c r="C480" s="64" t="s">
        <v>1104</v>
      </c>
      <c r="D480" s="65">
        <v>0</v>
      </c>
      <c r="E480" s="65">
        <v>0</v>
      </c>
      <c r="F480" s="65">
        <v>0</v>
      </c>
      <c r="G480" s="65">
        <v>0</v>
      </c>
      <c r="H480" s="65">
        <v>0</v>
      </c>
      <c r="I480" s="65">
        <v>0</v>
      </c>
      <c r="J480" s="65">
        <v>0</v>
      </c>
      <c r="K480" s="65">
        <v>0</v>
      </c>
      <c r="L480" s="65">
        <v>2279200000</v>
      </c>
      <c r="M480" s="65">
        <v>20500000</v>
      </c>
    </row>
    <row r="481" spans="1:13">
      <c r="B481" s="80" t="s">
        <v>1105</v>
      </c>
      <c r="C481" s="64" t="s">
        <v>1106</v>
      </c>
      <c r="D481" s="65">
        <v>0</v>
      </c>
      <c r="E481" s="65">
        <v>0</v>
      </c>
      <c r="F481" s="65">
        <v>0</v>
      </c>
      <c r="G481" s="65">
        <v>0</v>
      </c>
      <c r="H481" s="65">
        <v>0</v>
      </c>
      <c r="I481" s="65">
        <v>0</v>
      </c>
      <c r="J481" s="65">
        <v>0</v>
      </c>
      <c r="K481" s="65">
        <v>0</v>
      </c>
      <c r="L481" s="65">
        <v>0</v>
      </c>
      <c r="M481" s="65">
        <v>88500000</v>
      </c>
    </row>
    <row r="482" spans="1:13">
      <c r="B482" s="80" t="s">
        <v>1107</v>
      </c>
      <c r="C482" s="64" t="s">
        <v>1108</v>
      </c>
      <c r="D482" s="65">
        <v>0</v>
      </c>
      <c r="E482" s="65">
        <v>7800000</v>
      </c>
      <c r="F482" s="65">
        <v>590700000</v>
      </c>
      <c r="G482" s="65">
        <v>0</v>
      </c>
      <c r="H482" s="65">
        <v>0</v>
      </c>
      <c r="I482" s="65">
        <v>1589000000</v>
      </c>
      <c r="J482" s="65">
        <v>1010900000</v>
      </c>
      <c r="K482" s="65">
        <v>568400000</v>
      </c>
      <c r="L482" s="65">
        <v>0</v>
      </c>
      <c r="M482" s="65">
        <v>0</v>
      </c>
    </row>
    <row r="483" spans="1:13">
      <c r="B483" s="78" t="s">
        <v>1109</v>
      </c>
      <c r="C483" s="64" t="s">
        <v>1110</v>
      </c>
      <c r="D483" s="67">
        <v>0</v>
      </c>
      <c r="E483" s="67">
        <v>7800000</v>
      </c>
      <c r="F483" s="67">
        <v>590700000</v>
      </c>
      <c r="G483" s="67">
        <v>0</v>
      </c>
      <c r="H483" s="67">
        <v>0</v>
      </c>
      <c r="I483" s="67">
        <v>6376500000</v>
      </c>
      <c r="J483" s="67">
        <v>1418900000</v>
      </c>
      <c r="K483" s="67">
        <v>6109100000</v>
      </c>
      <c r="L483" s="67">
        <v>2673200000</v>
      </c>
      <c r="M483" s="67">
        <v>109000000</v>
      </c>
    </row>
    <row r="484" spans="1:13">
      <c r="B484" s="77" t="s">
        <v>1111</v>
      </c>
    </row>
    <row r="485" spans="1:13">
      <c r="B485" s="80" t="s">
        <v>1112</v>
      </c>
      <c r="C485" s="64" t="s">
        <v>1113</v>
      </c>
      <c r="D485" s="65">
        <v>0</v>
      </c>
      <c r="E485" s="65">
        <v>0</v>
      </c>
      <c r="F485" s="65">
        <v>0</v>
      </c>
      <c r="G485" s="65">
        <v>0</v>
      </c>
      <c r="H485" s="65">
        <v>0</v>
      </c>
      <c r="I485" s="65">
        <v>0</v>
      </c>
      <c r="J485" s="65">
        <v>0</v>
      </c>
      <c r="K485" s="65">
        <v>0</v>
      </c>
      <c r="L485" s="65">
        <v>0</v>
      </c>
      <c r="M485" s="65">
        <v>8300000</v>
      </c>
    </row>
    <row r="486" spans="1:13">
      <c r="B486" s="78" t="s">
        <v>1114</v>
      </c>
      <c r="C486" s="64" t="s">
        <v>1115</v>
      </c>
      <c r="D486" s="67">
        <v>0</v>
      </c>
      <c r="E486" s="67">
        <v>0</v>
      </c>
      <c r="F486" s="67">
        <v>0</v>
      </c>
      <c r="G486" s="67">
        <v>0</v>
      </c>
      <c r="H486" s="67">
        <v>0</v>
      </c>
      <c r="I486" s="67">
        <v>0</v>
      </c>
      <c r="J486" s="67">
        <v>0</v>
      </c>
      <c r="K486" s="67">
        <v>0</v>
      </c>
      <c r="L486" s="67">
        <v>0</v>
      </c>
      <c r="M486" s="67">
        <v>8300000</v>
      </c>
    </row>
    <row r="487" spans="1:13">
      <c r="B487" s="75" t="s">
        <v>1116</v>
      </c>
      <c r="C487" s="64" t="s">
        <v>1117</v>
      </c>
      <c r="D487" s="67">
        <v>0</v>
      </c>
      <c r="E487" s="67">
        <v>7800000</v>
      </c>
      <c r="F487" s="67">
        <v>590700000</v>
      </c>
      <c r="G487" s="67">
        <v>0</v>
      </c>
      <c r="H487" s="67">
        <v>0</v>
      </c>
      <c r="I487" s="67">
        <v>6376500000</v>
      </c>
      <c r="J487" s="67">
        <v>1418900000</v>
      </c>
      <c r="K487" s="67">
        <v>6109100000</v>
      </c>
      <c r="L487" s="67">
        <v>2673200000</v>
      </c>
      <c r="M487" s="67">
        <v>100700000</v>
      </c>
    </row>
    <row r="488" spans="1:13">
      <c r="B488" s="71" t="s">
        <v>172</v>
      </c>
      <c r="C488" s="64" t="s">
        <v>731</v>
      </c>
      <c r="D488" s="65">
        <v>0</v>
      </c>
      <c r="E488" s="65">
        <v>10048800000</v>
      </c>
      <c r="F488" s="65">
        <v>10639500000</v>
      </c>
      <c r="G488" s="65">
        <v>10639500000</v>
      </c>
      <c r="H488" s="65">
        <v>10639500000</v>
      </c>
      <c r="I488" s="65">
        <v>17016000000</v>
      </c>
      <c r="J488" s="65">
        <v>18434900000</v>
      </c>
      <c r="K488" s="65">
        <v>24544000000</v>
      </c>
      <c r="L488" s="65">
        <v>27217200000</v>
      </c>
      <c r="M488" s="65">
        <v>27317900000</v>
      </c>
    </row>
    <row r="492" spans="1:13" ht="15.5">
      <c r="A492" t="s">
        <v>27</v>
      </c>
      <c r="B492" s="42" t="s">
        <v>1118</v>
      </c>
    </row>
    <row r="494" spans="1:13">
      <c r="C494" s="62" t="s">
        <v>625</v>
      </c>
      <c r="D494" s="24" t="s">
        <v>30</v>
      </c>
      <c r="E494" s="24" t="s">
        <v>31</v>
      </c>
      <c r="F494" s="24" t="s">
        <v>32</v>
      </c>
      <c r="G494" s="24" t="s">
        <v>33</v>
      </c>
      <c r="H494" s="24" t="s">
        <v>34</v>
      </c>
      <c r="I494" s="24" t="s">
        <v>35</v>
      </c>
      <c r="J494" s="24" t="s">
        <v>36</v>
      </c>
      <c r="K494" s="24" t="s">
        <v>37</v>
      </c>
      <c r="L494" s="24" t="s">
        <v>38</v>
      </c>
      <c r="M494" s="24" t="s">
        <v>39</v>
      </c>
    </row>
    <row r="495" spans="1:13" ht="15.5">
      <c r="B495" s="42" t="s">
        <v>1119</v>
      </c>
    </row>
    <row r="496" spans="1:13">
      <c r="B496" s="68" t="s">
        <v>1120</v>
      </c>
    </row>
    <row r="497" spans="1:13">
      <c r="B497" s="69" t="s">
        <v>141</v>
      </c>
      <c r="C497" s="64" t="s">
        <v>699</v>
      </c>
      <c r="D497" s="65">
        <v>0</v>
      </c>
      <c r="E497" s="65">
        <v>6433600000</v>
      </c>
      <c r="F497" s="65">
        <v>4718000000</v>
      </c>
      <c r="G497" s="65">
        <v>3002400000</v>
      </c>
      <c r="H497" s="65">
        <v>0</v>
      </c>
      <c r="I497" s="65">
        <v>0</v>
      </c>
      <c r="J497" s="65">
        <v>0</v>
      </c>
      <c r="K497" s="65">
        <v>0</v>
      </c>
      <c r="L497" s="65">
        <v>0</v>
      </c>
      <c r="M497" s="65">
        <v>0</v>
      </c>
    </row>
    <row r="498" spans="1:13">
      <c r="B498" s="69" t="s">
        <v>141</v>
      </c>
      <c r="C498" s="64" t="s">
        <v>699</v>
      </c>
      <c r="D498" s="65">
        <v>0</v>
      </c>
      <c r="E498" s="65">
        <v>6433600000</v>
      </c>
      <c r="F498" s="65">
        <v>4718000000</v>
      </c>
      <c r="G498" s="65">
        <v>3002400000</v>
      </c>
      <c r="H498" s="65">
        <v>0</v>
      </c>
      <c r="I498" s="65">
        <v>0</v>
      </c>
      <c r="J498" s="65">
        <v>0</v>
      </c>
      <c r="K498" s="65">
        <v>0</v>
      </c>
      <c r="L498" s="65">
        <v>0</v>
      </c>
      <c r="M498" s="65">
        <v>0</v>
      </c>
    </row>
    <row r="501" spans="1:13" ht="15.5">
      <c r="A501" t="s">
        <v>27</v>
      </c>
      <c r="B501" s="42" t="s">
        <v>1121</v>
      </c>
    </row>
    <row r="503" spans="1:13">
      <c r="C503" s="62" t="s">
        <v>625</v>
      </c>
      <c r="D503" s="24" t="s">
        <v>30</v>
      </c>
      <c r="E503" s="24" t="s">
        <v>31</v>
      </c>
      <c r="F503" s="24" t="s">
        <v>32</v>
      </c>
      <c r="G503" s="24" t="s">
        <v>33</v>
      </c>
      <c r="H503" s="24" t="s">
        <v>34</v>
      </c>
      <c r="I503" s="24" t="s">
        <v>35</v>
      </c>
      <c r="J503" s="24" t="s">
        <v>36</v>
      </c>
      <c r="K503" s="24" t="s">
        <v>37</v>
      </c>
      <c r="L503" s="24" t="s">
        <v>38</v>
      </c>
      <c r="M503" s="24" t="s">
        <v>39</v>
      </c>
    </row>
    <row r="504" spans="1:13">
      <c r="B504" s="68" t="s">
        <v>1122</v>
      </c>
    </row>
    <row r="505" spans="1:13">
      <c r="B505" s="70" t="s">
        <v>1123</v>
      </c>
    </row>
    <row r="506" spans="1:13">
      <c r="B506" s="72" t="s">
        <v>1124</v>
      </c>
    </row>
    <row r="507" spans="1:13">
      <c r="B507" s="73" t="s">
        <v>148</v>
      </c>
      <c r="C507" s="64" t="s">
        <v>698</v>
      </c>
      <c r="D507" s="65">
        <v>0</v>
      </c>
      <c r="E507" s="65">
        <v>341400000</v>
      </c>
      <c r="F507" s="65">
        <v>407900000</v>
      </c>
      <c r="G507" s="65">
        <v>373600000</v>
      </c>
      <c r="H507" s="65">
        <v>346700000</v>
      </c>
      <c r="I507" s="65">
        <v>326400000</v>
      </c>
      <c r="J507" s="65">
        <v>308600000</v>
      </c>
      <c r="K507" s="65">
        <v>292100000</v>
      </c>
      <c r="L507" s="65">
        <v>270100000</v>
      </c>
      <c r="M507" s="65">
        <v>257500000</v>
      </c>
    </row>
    <row r="508" spans="1:13">
      <c r="B508" s="73" t="s">
        <v>148</v>
      </c>
      <c r="C508" s="64" t="s">
        <v>698</v>
      </c>
      <c r="D508" s="65">
        <v>0</v>
      </c>
      <c r="E508" s="65">
        <v>341400000</v>
      </c>
      <c r="F508" s="65">
        <v>407900000</v>
      </c>
      <c r="G508" s="65">
        <v>373600000</v>
      </c>
      <c r="H508" s="65">
        <v>346700000</v>
      </c>
      <c r="I508" s="65">
        <v>326400000</v>
      </c>
      <c r="J508" s="65">
        <v>308600000</v>
      </c>
      <c r="K508" s="65">
        <v>292100000</v>
      </c>
      <c r="L508" s="65">
        <v>270100000</v>
      </c>
      <c r="M508" s="65">
        <v>257500000</v>
      </c>
    </row>
    <row r="510" spans="1:13" ht="15.5">
      <c r="B510" s="42" t="s">
        <v>1125</v>
      </c>
    </row>
    <row r="511" spans="1:13">
      <c r="B511" s="63" t="s">
        <v>1126</v>
      </c>
      <c r="C511" s="64" t="s">
        <v>1127</v>
      </c>
      <c r="D511" s="65">
        <v>0</v>
      </c>
      <c r="E511" s="65">
        <v>69200000</v>
      </c>
      <c r="F511" s="65">
        <v>151300000</v>
      </c>
      <c r="G511" s="65">
        <v>188300000</v>
      </c>
      <c r="H511" s="65">
        <v>195200000</v>
      </c>
      <c r="I511" s="65">
        <v>126800000</v>
      </c>
      <c r="J511" s="65">
        <v>92200000</v>
      </c>
      <c r="K511" s="65">
        <v>88800000</v>
      </c>
      <c r="L511" s="65">
        <v>116700000</v>
      </c>
      <c r="M511" s="65">
        <v>115700000</v>
      </c>
    </row>
    <row r="512" spans="1:13">
      <c r="B512" s="68" t="s">
        <v>1128</v>
      </c>
    </row>
    <row r="513" spans="1:13">
      <c r="B513" s="69" t="s">
        <v>1129</v>
      </c>
      <c r="C513" s="64" t="s">
        <v>1130</v>
      </c>
      <c r="D513" s="65">
        <v>0</v>
      </c>
      <c r="E513" s="65">
        <v>0</v>
      </c>
      <c r="F513" s="65">
        <v>0</v>
      </c>
      <c r="G513" s="65">
        <v>0</v>
      </c>
      <c r="H513" s="65">
        <v>44000000</v>
      </c>
      <c r="I513" s="65">
        <v>37800000</v>
      </c>
      <c r="J513" s="65">
        <v>35300000</v>
      </c>
      <c r="K513" s="65">
        <v>31600000</v>
      </c>
      <c r="L513" s="65">
        <v>32100000</v>
      </c>
      <c r="M513" s="65">
        <v>31000000</v>
      </c>
    </row>
    <row r="514" spans="1:13">
      <c r="B514" s="69" t="s">
        <v>1131</v>
      </c>
      <c r="C514" s="64" t="s">
        <v>1132</v>
      </c>
      <c r="D514" s="65">
        <v>0</v>
      </c>
      <c r="E514" s="65">
        <v>6700000</v>
      </c>
      <c r="F514" s="65">
        <v>11600000</v>
      </c>
      <c r="G514" s="65">
        <v>18100000</v>
      </c>
      <c r="H514" s="65">
        <v>0</v>
      </c>
      <c r="I514" s="65">
        <v>0</v>
      </c>
      <c r="J514" s="65">
        <v>0</v>
      </c>
      <c r="K514" s="65">
        <v>0</v>
      </c>
      <c r="L514" s="65">
        <v>0</v>
      </c>
      <c r="M514" s="65">
        <v>0</v>
      </c>
    </row>
    <row r="515" spans="1:13">
      <c r="B515" s="76" t="s">
        <v>1133</v>
      </c>
      <c r="C515" s="64" t="s">
        <v>1134</v>
      </c>
      <c r="D515" s="67">
        <v>0</v>
      </c>
      <c r="E515" s="67">
        <v>6700000</v>
      </c>
      <c r="F515" s="67">
        <v>11600000</v>
      </c>
      <c r="G515" s="67">
        <v>18100000</v>
      </c>
      <c r="H515" s="67">
        <v>44000000</v>
      </c>
      <c r="I515" s="67">
        <v>37800000</v>
      </c>
      <c r="J515" s="67">
        <v>35300000</v>
      </c>
      <c r="K515" s="67">
        <v>31600000</v>
      </c>
      <c r="L515" s="67">
        <v>32100000</v>
      </c>
      <c r="M515" s="67">
        <v>31000000</v>
      </c>
    </row>
    <row r="516" spans="1:13">
      <c r="B516" s="66" t="s">
        <v>1135</v>
      </c>
      <c r="C516" s="64" t="s">
        <v>1136</v>
      </c>
      <c r="D516" s="67">
        <v>0</v>
      </c>
      <c r="E516" s="67">
        <v>62500000</v>
      </c>
      <c r="F516" s="67">
        <v>139700000</v>
      </c>
      <c r="G516" s="67">
        <v>170200000</v>
      </c>
      <c r="H516" s="67">
        <v>151200000</v>
      </c>
      <c r="I516" s="67">
        <v>89000000</v>
      </c>
      <c r="J516" s="67">
        <v>56900000</v>
      </c>
      <c r="K516" s="67">
        <v>57200000</v>
      </c>
      <c r="L516" s="67">
        <v>84600000</v>
      </c>
      <c r="M516" s="67">
        <v>84700000</v>
      </c>
    </row>
    <row r="519" spans="1:13" ht="15.5">
      <c r="A519" t="s">
        <v>27</v>
      </c>
      <c r="B519" s="42" t="s">
        <v>1137</v>
      </c>
    </row>
    <row r="521" spans="1:13">
      <c r="C521" s="62" t="s">
        <v>625</v>
      </c>
      <c r="D521" s="24" t="s">
        <v>30</v>
      </c>
      <c r="E521" s="24" t="s">
        <v>31</v>
      </c>
      <c r="F521" s="24" t="s">
        <v>32</v>
      </c>
      <c r="G521" s="24" t="s">
        <v>33</v>
      </c>
      <c r="H521" s="24" t="s">
        <v>34</v>
      </c>
      <c r="I521" s="24" t="s">
        <v>35</v>
      </c>
      <c r="J521" s="24" t="s">
        <v>36</v>
      </c>
      <c r="K521" s="24" t="s">
        <v>37</v>
      </c>
      <c r="L521" s="24" t="s">
        <v>38</v>
      </c>
      <c r="M521" s="24" t="s">
        <v>39</v>
      </c>
    </row>
    <row r="522" spans="1:13" ht="15.5">
      <c r="B522" s="42" t="s">
        <v>1138</v>
      </c>
    </row>
    <row r="523" spans="1:13">
      <c r="B523" s="68" t="s">
        <v>1139</v>
      </c>
    </row>
    <row r="524" spans="1:13">
      <c r="B524" s="70" t="s">
        <v>1140</v>
      </c>
    </row>
    <row r="525" spans="1:13">
      <c r="B525" s="71" t="s">
        <v>150</v>
      </c>
      <c r="C525" s="64" t="s">
        <v>704</v>
      </c>
      <c r="D525" s="65">
        <v>0</v>
      </c>
      <c r="E525" s="65">
        <v>31667700000</v>
      </c>
      <c r="F525" s="65">
        <v>27629200000</v>
      </c>
      <c r="G525" s="65">
        <v>20085800000</v>
      </c>
      <c r="H525" s="65">
        <v>17521500000</v>
      </c>
      <c r="I525" s="65">
        <v>17508400000</v>
      </c>
      <c r="J525" s="65">
        <v>17519800000</v>
      </c>
      <c r="K525" s="65">
        <v>17539000000</v>
      </c>
      <c r="L525" s="65">
        <v>17564600000</v>
      </c>
      <c r="M525" s="65">
        <v>12776900000</v>
      </c>
    </row>
    <row r="526" spans="1:13">
      <c r="B526" s="63" t="s">
        <v>1143</v>
      </c>
      <c r="C526" s="64" t="s">
        <v>1144</v>
      </c>
      <c r="D526" s="65">
        <v>0</v>
      </c>
      <c r="E526" s="65">
        <v>31667700000</v>
      </c>
      <c r="F526" s="65">
        <v>27629200000</v>
      </c>
      <c r="G526" s="65">
        <v>20085800000</v>
      </c>
      <c r="H526" s="65">
        <v>17521500000</v>
      </c>
      <c r="I526" s="65">
        <v>17508400000</v>
      </c>
      <c r="J526" s="65">
        <v>17519800000</v>
      </c>
      <c r="K526" s="65">
        <v>17539000000</v>
      </c>
      <c r="L526" s="65">
        <v>17564600000</v>
      </c>
      <c r="M526" s="65">
        <v>12776900000</v>
      </c>
    </row>
    <row r="527" spans="1:13">
      <c r="B527" s="63" t="s">
        <v>1429</v>
      </c>
      <c r="C527" s="64" t="s">
        <v>1430</v>
      </c>
      <c r="D527" s="65">
        <v>0</v>
      </c>
      <c r="E527" s="65">
        <v>-63691800000</v>
      </c>
      <c r="F527" s="65">
        <v>-68141300000</v>
      </c>
      <c r="G527" s="65">
        <v>-76635300000</v>
      </c>
      <c r="H527" s="65">
        <v>-78578000000</v>
      </c>
      <c r="I527" s="65">
        <v>-78596600000</v>
      </c>
      <c r="J527" s="65">
        <v>-78596600000</v>
      </c>
      <c r="K527" s="65">
        <v>-75805000000</v>
      </c>
      <c r="L527" s="65">
        <v>-13412700000</v>
      </c>
      <c r="M527" s="65">
        <v>17562000000</v>
      </c>
    </row>
    <row r="530" spans="1:13" ht="15.5">
      <c r="A530" t="s">
        <v>27</v>
      </c>
      <c r="B530" s="42" t="s">
        <v>1145</v>
      </c>
    </row>
    <row r="532" spans="1:13">
      <c r="C532" s="62" t="s">
        <v>625</v>
      </c>
      <c r="D532" s="24" t="s">
        <v>30</v>
      </c>
      <c r="E532" s="24" t="s">
        <v>31</v>
      </c>
      <c r="F532" s="24" t="s">
        <v>32</v>
      </c>
      <c r="G532" s="24" t="s">
        <v>33</v>
      </c>
      <c r="H532" s="24" t="s">
        <v>34</v>
      </c>
      <c r="I532" s="24" t="s">
        <v>35</v>
      </c>
      <c r="J532" s="24" t="s">
        <v>36</v>
      </c>
      <c r="K532" s="24" t="s">
        <v>37</v>
      </c>
      <c r="L532" s="24" t="s">
        <v>38</v>
      </c>
      <c r="M532" s="24" t="s">
        <v>39</v>
      </c>
    </row>
    <row r="533" spans="1:13">
      <c r="B533" s="68" t="s">
        <v>1146</v>
      </c>
    </row>
    <row r="534" spans="1:13">
      <c r="B534" s="70" t="s">
        <v>1147</v>
      </c>
    </row>
    <row r="535" spans="1:13">
      <c r="B535" s="72" t="s">
        <v>1148</v>
      </c>
    </row>
    <row r="536" spans="1:13">
      <c r="B536" s="73" t="s">
        <v>142</v>
      </c>
      <c r="C536" s="64" t="s">
        <v>700</v>
      </c>
      <c r="D536" s="65">
        <v>0</v>
      </c>
      <c r="E536" s="65">
        <v>1858800000</v>
      </c>
      <c r="F536" s="65">
        <v>1476100000</v>
      </c>
      <c r="G536" s="65">
        <v>3297700000</v>
      </c>
      <c r="H536" s="65">
        <v>2705900000</v>
      </c>
      <c r="I536" s="65">
        <v>1942400000</v>
      </c>
      <c r="J536" s="65">
        <v>1247000000</v>
      </c>
      <c r="K536" s="65">
        <v>629000000</v>
      </c>
      <c r="L536" s="65">
        <v>536400000</v>
      </c>
      <c r="M536" s="65">
        <v>913500000</v>
      </c>
    </row>
    <row r="537" spans="1:13">
      <c r="B537" s="77" t="s">
        <v>1149</v>
      </c>
    </row>
    <row r="538" spans="1:13">
      <c r="B538" s="80" t="s">
        <v>1150</v>
      </c>
      <c r="C538" s="64" t="s">
        <v>1151</v>
      </c>
      <c r="D538" s="65">
        <v>0</v>
      </c>
      <c r="E538" s="65">
        <v>254400000</v>
      </c>
      <c r="F538" s="65">
        <v>534600000</v>
      </c>
      <c r="G538" s="65">
        <v>2739200000</v>
      </c>
      <c r="H538" s="65">
        <v>760900000</v>
      </c>
      <c r="I538" s="65">
        <v>461400000</v>
      </c>
      <c r="J538" s="65">
        <v>386400000</v>
      </c>
      <c r="K538" s="65">
        <v>334600000</v>
      </c>
      <c r="L538" s="65">
        <v>387800000</v>
      </c>
      <c r="M538" s="65">
        <v>563000000</v>
      </c>
    </row>
    <row r="539" spans="1:13">
      <c r="B539" s="80" t="s">
        <v>1154</v>
      </c>
      <c r="C539" s="64" t="s">
        <v>1155</v>
      </c>
      <c r="D539" s="65">
        <v>0</v>
      </c>
      <c r="E539" s="65">
        <v>-904200000</v>
      </c>
      <c r="F539" s="65">
        <v>-917300000</v>
      </c>
      <c r="G539" s="65">
        <v>-921800000</v>
      </c>
      <c r="H539" s="65">
        <v>-1353900000</v>
      </c>
      <c r="I539" s="65">
        <v>-1226000000</v>
      </c>
      <c r="J539" s="65">
        <v>-1081800000</v>
      </c>
      <c r="K539" s="65">
        <v>-953000000</v>
      </c>
      <c r="L539" s="65">
        <v>-480500000</v>
      </c>
      <c r="M539" s="65">
        <v>-203300000</v>
      </c>
    </row>
    <row r="540" spans="1:13">
      <c r="B540" s="80" t="s">
        <v>1156</v>
      </c>
      <c r="C540" s="64" t="s">
        <v>1157</v>
      </c>
      <c r="D540" s="65">
        <v>0</v>
      </c>
      <c r="E540" s="65">
        <v>0</v>
      </c>
      <c r="F540" s="65">
        <v>0</v>
      </c>
      <c r="G540" s="65">
        <v>0</v>
      </c>
      <c r="H540" s="65">
        <v>-300000</v>
      </c>
      <c r="I540" s="65">
        <v>0</v>
      </c>
      <c r="J540" s="65">
        <v>0</v>
      </c>
      <c r="K540" s="65">
        <v>0</v>
      </c>
      <c r="L540" s="65">
        <v>0</v>
      </c>
      <c r="M540" s="65">
        <v>0</v>
      </c>
    </row>
    <row r="541" spans="1:13">
      <c r="B541" s="80" t="s">
        <v>1158</v>
      </c>
      <c r="C541" s="64" t="s">
        <v>1159</v>
      </c>
      <c r="D541" s="65">
        <v>0</v>
      </c>
      <c r="E541" s="65">
        <v>0</v>
      </c>
      <c r="F541" s="65">
        <v>0</v>
      </c>
      <c r="G541" s="65">
        <v>5700000</v>
      </c>
      <c r="H541" s="65">
        <v>5300000</v>
      </c>
      <c r="I541" s="65">
        <v>3500000</v>
      </c>
      <c r="J541" s="65">
        <v>-2100000</v>
      </c>
      <c r="K541" s="65">
        <v>6100000</v>
      </c>
      <c r="L541" s="65">
        <v>800000</v>
      </c>
      <c r="M541" s="65">
        <v>1900000</v>
      </c>
    </row>
    <row r="542" spans="1:13">
      <c r="B542" s="81" t="s">
        <v>1160</v>
      </c>
    </row>
    <row r="543" spans="1:13">
      <c r="B543" s="82" t="s">
        <v>1161</v>
      </c>
      <c r="C543" s="64" t="s">
        <v>1162</v>
      </c>
      <c r="D543" s="65">
        <v>0</v>
      </c>
      <c r="E543" s="65">
        <v>0</v>
      </c>
      <c r="F543" s="65">
        <v>0</v>
      </c>
      <c r="G543" s="65">
        <v>-1500000</v>
      </c>
      <c r="H543" s="65">
        <v>-3800000</v>
      </c>
      <c r="I543" s="65">
        <v>-2400000</v>
      </c>
      <c r="J543" s="65">
        <v>3000000</v>
      </c>
      <c r="K543" s="65">
        <v>-1433400000</v>
      </c>
      <c r="L543" s="65">
        <v>-6000000</v>
      </c>
      <c r="M543" s="65">
        <v>-1700000</v>
      </c>
    </row>
    <row r="544" spans="1:13">
      <c r="B544" s="83" t="s">
        <v>1163</v>
      </c>
      <c r="C544" s="64" t="s">
        <v>1164</v>
      </c>
      <c r="D544" s="67">
        <v>0</v>
      </c>
      <c r="E544" s="67">
        <v>0</v>
      </c>
      <c r="F544" s="67">
        <v>0</v>
      </c>
      <c r="G544" s="67">
        <v>-1500000</v>
      </c>
      <c r="H544" s="67">
        <v>-3800000</v>
      </c>
      <c r="I544" s="67">
        <v>-2400000</v>
      </c>
      <c r="J544" s="67">
        <v>3000000</v>
      </c>
      <c r="K544" s="67">
        <v>-1433400000</v>
      </c>
      <c r="L544" s="67">
        <v>-6000000</v>
      </c>
      <c r="M544" s="67">
        <v>-1700000</v>
      </c>
    </row>
    <row r="545" spans="1:13">
      <c r="B545" s="81" t="s">
        <v>1165</v>
      </c>
    </row>
    <row r="546" spans="1:13">
      <c r="B546" s="82" t="s">
        <v>1166</v>
      </c>
      <c r="C546" s="64" t="s">
        <v>1167</v>
      </c>
      <c r="D546" s="65">
        <v>0</v>
      </c>
      <c r="E546" s="65">
        <v>0</v>
      </c>
      <c r="F546" s="65">
        <v>0</v>
      </c>
      <c r="G546" s="65">
        <v>0</v>
      </c>
      <c r="H546" s="65">
        <v>0</v>
      </c>
      <c r="I546" s="65">
        <v>0</v>
      </c>
      <c r="J546" s="65">
        <v>900000</v>
      </c>
      <c r="K546" s="65">
        <v>-1427700000</v>
      </c>
      <c r="L546" s="65">
        <v>-5300000</v>
      </c>
      <c r="M546" s="65">
        <v>-100000</v>
      </c>
    </row>
    <row r="547" spans="1:13">
      <c r="B547" s="83" t="s">
        <v>1168</v>
      </c>
      <c r="C547" s="64" t="s">
        <v>1169</v>
      </c>
      <c r="D547" s="67">
        <v>0</v>
      </c>
      <c r="E547" s="67">
        <v>0</v>
      </c>
      <c r="F547" s="67">
        <v>0</v>
      </c>
      <c r="G547" s="67">
        <v>0</v>
      </c>
      <c r="H547" s="67">
        <v>0</v>
      </c>
      <c r="I547" s="67">
        <v>0</v>
      </c>
      <c r="J547" s="67">
        <v>900000</v>
      </c>
      <c r="K547" s="67">
        <v>-1427700000</v>
      </c>
      <c r="L547" s="67">
        <v>-5300000</v>
      </c>
      <c r="M547" s="67">
        <v>-100000</v>
      </c>
    </row>
    <row r="548" spans="1:13">
      <c r="B548" s="78" t="s">
        <v>1170</v>
      </c>
      <c r="C548" s="64" t="s">
        <v>1171</v>
      </c>
      <c r="D548" s="67">
        <v>0</v>
      </c>
      <c r="E548" s="67">
        <v>-649800000</v>
      </c>
      <c r="F548" s="67">
        <v>-382700000</v>
      </c>
      <c r="G548" s="67">
        <v>1821600000</v>
      </c>
      <c r="H548" s="67">
        <v>-591800000</v>
      </c>
      <c r="I548" s="67">
        <v>-763500000</v>
      </c>
      <c r="J548" s="67">
        <v>-695400000</v>
      </c>
      <c r="K548" s="67">
        <v>-618000000</v>
      </c>
      <c r="L548" s="67">
        <v>-92600000</v>
      </c>
      <c r="M548" s="67">
        <v>360000000</v>
      </c>
    </row>
    <row r="549" spans="1:13">
      <c r="B549" s="73" t="s">
        <v>142</v>
      </c>
      <c r="C549" s="64" t="s">
        <v>700</v>
      </c>
      <c r="D549" s="65">
        <v>0</v>
      </c>
      <c r="E549" s="65">
        <v>1858800000</v>
      </c>
      <c r="F549" s="65">
        <v>1476100000</v>
      </c>
      <c r="G549" s="65">
        <v>3297700000</v>
      </c>
      <c r="H549" s="65">
        <v>2705900000</v>
      </c>
      <c r="I549" s="65">
        <v>1942400000</v>
      </c>
      <c r="J549" s="65">
        <v>1247000000</v>
      </c>
      <c r="K549" s="65">
        <v>629000000</v>
      </c>
      <c r="L549" s="65">
        <v>536400000</v>
      </c>
      <c r="M549" s="65">
        <v>913500000</v>
      </c>
    </row>
    <row r="552" spans="1:13" ht="15.5">
      <c r="A552" t="s">
        <v>27</v>
      </c>
      <c r="B552" s="42" t="s">
        <v>1172</v>
      </c>
    </row>
    <row r="554" spans="1:13">
      <c r="C554" s="62" t="s">
        <v>625</v>
      </c>
      <c r="D554" s="24" t="s">
        <v>30</v>
      </c>
      <c r="E554" s="24" t="s">
        <v>31</v>
      </c>
      <c r="F554" s="24" t="s">
        <v>32</v>
      </c>
      <c r="G554" s="24" t="s">
        <v>33</v>
      </c>
      <c r="H554" s="24" t="s">
        <v>34</v>
      </c>
      <c r="I554" s="24" t="s">
        <v>35</v>
      </c>
      <c r="J554" s="24" t="s">
        <v>36</v>
      </c>
      <c r="K554" s="24" t="s">
        <v>37</v>
      </c>
      <c r="L554" s="24" t="s">
        <v>38</v>
      </c>
      <c r="M554" s="24" t="s">
        <v>39</v>
      </c>
    </row>
    <row r="555" spans="1:13">
      <c r="B555" s="68" t="s">
        <v>1173</v>
      </c>
    </row>
    <row r="556" spans="1:13">
      <c r="B556" s="70" t="s">
        <v>1174</v>
      </c>
    </row>
    <row r="557" spans="1:13">
      <c r="B557" s="72" t="s">
        <v>1175</v>
      </c>
    </row>
    <row r="558" spans="1:13">
      <c r="B558" s="73" t="s">
        <v>139</v>
      </c>
      <c r="C558" s="64" t="s">
        <v>696</v>
      </c>
      <c r="D558" s="65">
        <v>0</v>
      </c>
      <c r="E558" s="65">
        <v>9261500000</v>
      </c>
      <c r="F558" s="65">
        <v>8097900000</v>
      </c>
      <c r="G558" s="65">
        <v>7369100000</v>
      </c>
      <c r="H558" s="65">
        <v>5872900000</v>
      </c>
      <c r="I558" s="65">
        <v>5309000000</v>
      </c>
      <c r="J558" s="65">
        <v>5257400000</v>
      </c>
      <c r="K558" s="65">
        <v>4342600000</v>
      </c>
      <c r="L558" s="65">
        <v>5079500000</v>
      </c>
      <c r="M558" s="65">
        <v>6153700000</v>
      </c>
    </row>
    <row r="559" spans="1:13">
      <c r="B559" s="77" t="s">
        <v>1176</v>
      </c>
    </row>
    <row r="560" spans="1:13">
      <c r="B560" s="80" t="s">
        <v>1177</v>
      </c>
      <c r="C560" s="64" t="s">
        <v>1178</v>
      </c>
      <c r="D560" s="65">
        <v>0</v>
      </c>
      <c r="E560" s="65">
        <v>3785500000</v>
      </c>
      <c r="F560" s="65">
        <v>783800000</v>
      </c>
      <c r="G560" s="65">
        <v>1130800000</v>
      </c>
      <c r="H560" s="65">
        <v>975200000</v>
      </c>
      <c r="I560" s="65">
        <v>87400000</v>
      </c>
      <c r="J560" s="65">
        <v>808100000</v>
      </c>
      <c r="K560" s="65">
        <v>578900000</v>
      </c>
      <c r="L560" s="65">
        <v>1513500000</v>
      </c>
      <c r="M560" s="65">
        <v>1909400000</v>
      </c>
    </row>
    <row r="561" spans="2:13">
      <c r="B561" s="80" t="s">
        <v>1179</v>
      </c>
      <c r="C561" s="64" t="s">
        <v>1180</v>
      </c>
      <c r="D561" s="65">
        <v>0</v>
      </c>
      <c r="E561" s="65">
        <v>181300000</v>
      </c>
      <c r="F561" s="65">
        <v>0</v>
      </c>
      <c r="G561" s="65">
        <v>0</v>
      </c>
      <c r="H561" s="65">
        <v>0</v>
      </c>
      <c r="I561" s="65">
        <v>0</v>
      </c>
      <c r="J561" s="65">
        <v>0</v>
      </c>
      <c r="K561" s="65">
        <v>0</v>
      </c>
      <c r="L561" s="65">
        <v>1700000</v>
      </c>
      <c r="M561" s="65">
        <v>0</v>
      </c>
    </row>
    <row r="562" spans="2:13">
      <c r="B562" s="81" t="s">
        <v>1183</v>
      </c>
    </row>
    <row r="563" spans="2:13">
      <c r="B563" s="82" t="s">
        <v>1184</v>
      </c>
      <c r="C563" s="64" t="s">
        <v>1185</v>
      </c>
      <c r="D563" s="65">
        <v>0</v>
      </c>
      <c r="E563" s="65">
        <v>-1488000000</v>
      </c>
      <c r="F563" s="65">
        <v>-1518600000</v>
      </c>
      <c r="G563" s="65">
        <v>-1718400000</v>
      </c>
      <c r="H563" s="65">
        <v>-1067800000</v>
      </c>
      <c r="I563" s="65">
        <v>-618700000</v>
      </c>
      <c r="J563" s="65">
        <v>-753200000</v>
      </c>
      <c r="K563" s="65">
        <v>-930800000</v>
      </c>
      <c r="L563" s="65">
        <v>-700000000</v>
      </c>
      <c r="M563" s="65">
        <v>-1446200000</v>
      </c>
    </row>
    <row r="564" spans="2:13">
      <c r="B564" s="83" t="s">
        <v>1186</v>
      </c>
      <c r="C564" s="64" t="s">
        <v>1187</v>
      </c>
      <c r="D564" s="67">
        <v>0</v>
      </c>
      <c r="E564" s="67">
        <v>-1488000000</v>
      </c>
      <c r="F564" s="67">
        <v>-1518600000</v>
      </c>
      <c r="G564" s="67">
        <v>-1718400000</v>
      </c>
      <c r="H564" s="67">
        <v>-1067800000</v>
      </c>
      <c r="I564" s="67">
        <v>-618700000</v>
      </c>
      <c r="J564" s="67">
        <v>-753200000</v>
      </c>
      <c r="K564" s="67">
        <v>-930800000</v>
      </c>
      <c r="L564" s="67">
        <v>-700000000</v>
      </c>
      <c r="M564" s="67">
        <v>-1446200000</v>
      </c>
    </row>
    <row r="565" spans="2:13">
      <c r="B565" s="80" t="s">
        <v>807</v>
      </c>
      <c r="C565" s="64" t="s">
        <v>808</v>
      </c>
      <c r="D565" s="65">
        <v>0</v>
      </c>
      <c r="E565" s="65">
        <v>0</v>
      </c>
      <c r="F565" s="65">
        <v>0</v>
      </c>
      <c r="G565" s="65">
        <v>0</v>
      </c>
      <c r="H565" s="65">
        <v>-1370300000</v>
      </c>
      <c r="I565" s="65">
        <v>0</v>
      </c>
      <c r="J565" s="65">
        <v>0</v>
      </c>
      <c r="K565" s="65">
        <v>0</v>
      </c>
      <c r="L565" s="65">
        <v>0</v>
      </c>
      <c r="M565" s="65">
        <v>0</v>
      </c>
    </row>
    <row r="566" spans="2:13">
      <c r="B566" s="80" t="s">
        <v>1188</v>
      </c>
      <c r="C566" s="64" t="s">
        <v>1189</v>
      </c>
      <c r="D566" s="65">
        <v>0</v>
      </c>
      <c r="E566" s="65">
        <v>0</v>
      </c>
      <c r="F566" s="65">
        <v>0</v>
      </c>
      <c r="G566" s="65">
        <v>11800000</v>
      </c>
      <c r="H566" s="65">
        <v>286600000</v>
      </c>
      <c r="I566" s="65">
        <v>6700000</v>
      </c>
      <c r="J566" s="65">
        <v>-4100000</v>
      </c>
      <c r="K566" s="65">
        <v>12500000</v>
      </c>
      <c r="L566" s="65">
        <v>0</v>
      </c>
      <c r="M566" s="65">
        <v>4800000</v>
      </c>
    </row>
    <row r="567" spans="2:13">
      <c r="B567" s="81" t="s">
        <v>1190</v>
      </c>
    </row>
    <row r="568" spans="2:13">
      <c r="B568" s="82" t="s">
        <v>1191</v>
      </c>
      <c r="C568" s="64" t="s">
        <v>1192</v>
      </c>
      <c r="D568" s="65">
        <v>0</v>
      </c>
      <c r="E568" s="65">
        <v>0</v>
      </c>
      <c r="F568" s="65">
        <v>0</v>
      </c>
      <c r="G568" s="65">
        <v>-291900000</v>
      </c>
      <c r="H568" s="65">
        <v>-597600000</v>
      </c>
      <c r="I568" s="65">
        <v>-254900000</v>
      </c>
      <c r="J568" s="65">
        <v>-1130600000</v>
      </c>
      <c r="K568" s="65">
        <v>-2566300000</v>
      </c>
      <c r="L568" s="65">
        <v>-1098700000</v>
      </c>
      <c r="M568" s="65">
        <v>-1045300000</v>
      </c>
    </row>
    <row r="569" spans="2:13">
      <c r="B569" s="83" t="s">
        <v>1193</v>
      </c>
      <c r="C569" s="64" t="s">
        <v>1194</v>
      </c>
      <c r="D569" s="67">
        <v>0</v>
      </c>
      <c r="E569" s="67">
        <v>0</v>
      </c>
      <c r="F569" s="67">
        <v>0</v>
      </c>
      <c r="G569" s="67">
        <v>-291900000</v>
      </c>
      <c r="H569" s="67">
        <v>-597600000</v>
      </c>
      <c r="I569" s="67">
        <v>-254900000</v>
      </c>
      <c r="J569" s="67">
        <v>-1130600000</v>
      </c>
      <c r="K569" s="67">
        <v>-2566300000</v>
      </c>
      <c r="L569" s="67">
        <v>-1098700000</v>
      </c>
      <c r="M569" s="67">
        <v>-1045300000</v>
      </c>
    </row>
    <row r="570" spans="2:13">
      <c r="B570" s="81" t="s">
        <v>1195</v>
      </c>
    </row>
    <row r="571" spans="2:13">
      <c r="B571" s="82" t="s">
        <v>1196</v>
      </c>
      <c r="C571" s="64" t="s">
        <v>1197</v>
      </c>
      <c r="D571" s="65">
        <v>0</v>
      </c>
      <c r="E571" s="65">
        <v>21600000</v>
      </c>
      <c r="F571" s="65">
        <v>428800000</v>
      </c>
      <c r="G571" s="65">
        <v>-138900000</v>
      </c>
      <c r="H571" s="65">
        <v>-277700000</v>
      </c>
      <c r="I571" s="65">
        <v>-215600000</v>
      </c>
      <c r="J571" s="65">
        <v>-1028200000</v>
      </c>
      <c r="K571" s="65">
        <v>-1990900000</v>
      </c>
      <c r="L571" s="65">
        <v>-1020300000</v>
      </c>
      <c r="M571" s="65">
        <v>-826100000</v>
      </c>
    </row>
    <row r="572" spans="2:13">
      <c r="B572" s="83" t="s">
        <v>1198</v>
      </c>
      <c r="C572" s="64" t="s">
        <v>1199</v>
      </c>
      <c r="D572" s="67">
        <v>0</v>
      </c>
      <c r="E572" s="67">
        <v>21600000</v>
      </c>
      <c r="F572" s="67">
        <v>428800000</v>
      </c>
      <c r="G572" s="67">
        <v>-138900000</v>
      </c>
      <c r="H572" s="67">
        <v>-277700000</v>
      </c>
      <c r="I572" s="67">
        <v>-215600000</v>
      </c>
      <c r="J572" s="67">
        <v>-1028200000</v>
      </c>
      <c r="K572" s="67">
        <v>-1990900000</v>
      </c>
      <c r="L572" s="67">
        <v>-1020300000</v>
      </c>
      <c r="M572" s="67">
        <v>-826100000</v>
      </c>
    </row>
    <row r="573" spans="2:13">
      <c r="B573" s="78" t="s">
        <v>1204</v>
      </c>
      <c r="C573" s="64" t="s">
        <v>1205</v>
      </c>
      <c r="D573" s="67">
        <v>0</v>
      </c>
      <c r="E573" s="67">
        <v>2457200000</v>
      </c>
      <c r="F573" s="67">
        <v>-1163600000</v>
      </c>
      <c r="G573" s="67">
        <v>-728800000</v>
      </c>
      <c r="H573" s="67">
        <v>-1496200000</v>
      </c>
      <c r="I573" s="67">
        <v>-563900000</v>
      </c>
      <c r="J573" s="67">
        <v>-51600000</v>
      </c>
      <c r="K573" s="67">
        <v>-914800000</v>
      </c>
      <c r="L573" s="67">
        <v>736800000</v>
      </c>
      <c r="M573" s="67">
        <v>248800000</v>
      </c>
    </row>
    <row r="574" spans="2:13">
      <c r="B574" s="73" t="s">
        <v>139</v>
      </c>
      <c r="C574" s="64" t="s">
        <v>696</v>
      </c>
      <c r="D574" s="65">
        <v>0</v>
      </c>
      <c r="E574" s="65">
        <v>9261500000</v>
      </c>
      <c r="F574" s="65">
        <v>8097900000</v>
      </c>
      <c r="G574" s="65">
        <v>7369100000</v>
      </c>
      <c r="H574" s="65">
        <v>5872900000</v>
      </c>
      <c r="I574" s="65">
        <v>5309000000</v>
      </c>
      <c r="J574" s="65">
        <v>5257400000</v>
      </c>
      <c r="K574" s="65">
        <v>4342600000</v>
      </c>
      <c r="L574" s="65">
        <v>5079500000</v>
      </c>
      <c r="M574" s="65">
        <v>6153700000</v>
      </c>
    </row>
    <row r="577" spans="1:13" ht="15.5">
      <c r="A577" t="s">
        <v>27</v>
      </c>
      <c r="B577" s="42" t="s">
        <v>1206</v>
      </c>
    </row>
    <row r="579" spans="1:13">
      <c r="C579" s="62" t="s">
        <v>625</v>
      </c>
      <c r="D579" s="24" t="s">
        <v>30</v>
      </c>
      <c r="E579" s="24" t="s">
        <v>31</v>
      </c>
      <c r="F579" s="24" t="s">
        <v>32</v>
      </c>
      <c r="G579" s="24" t="s">
        <v>33</v>
      </c>
      <c r="H579" s="24" t="s">
        <v>34</v>
      </c>
      <c r="I579" s="24" t="s">
        <v>35</v>
      </c>
      <c r="J579" s="24" t="s">
        <v>36</v>
      </c>
      <c r="K579" s="24" t="s">
        <v>37</v>
      </c>
      <c r="L579" s="24" t="s">
        <v>38</v>
      </c>
      <c r="M579" s="24" t="s">
        <v>39</v>
      </c>
    </row>
    <row r="580" spans="1:13" ht="15.5">
      <c r="B580" s="42" t="s">
        <v>1207</v>
      </c>
    </row>
    <row r="581" spans="1:13">
      <c r="B581" s="68" t="s">
        <v>1208</v>
      </c>
    </row>
    <row r="582" spans="1:13">
      <c r="B582" s="70" t="s">
        <v>1209</v>
      </c>
    </row>
    <row r="583" spans="1:13">
      <c r="B583" s="72" t="s">
        <v>1210</v>
      </c>
    </row>
    <row r="584" spans="1:13">
      <c r="B584" s="77" t="s">
        <v>1211</v>
      </c>
    </row>
    <row r="585" spans="1:13">
      <c r="B585" s="80" t="s">
        <v>1212</v>
      </c>
      <c r="C585" s="64" t="s">
        <v>1213</v>
      </c>
      <c r="D585" s="65">
        <v>0</v>
      </c>
      <c r="E585" s="65">
        <v>24314300000</v>
      </c>
      <c r="F585" s="65">
        <v>19702600000</v>
      </c>
      <c r="G585" s="65">
        <v>11016300000</v>
      </c>
      <c r="H585" s="65">
        <v>5173100000</v>
      </c>
      <c r="I585" s="65">
        <v>4919900000</v>
      </c>
      <c r="J585" s="65">
        <v>8159100000</v>
      </c>
      <c r="K585" s="65">
        <v>6302300000</v>
      </c>
      <c r="L585" s="65">
        <v>11994900000</v>
      </c>
      <c r="M585" s="65">
        <v>38575200000</v>
      </c>
    </row>
    <row r="586" spans="1:13">
      <c r="B586" s="80" t="s">
        <v>1214</v>
      </c>
      <c r="C586" s="64" t="s">
        <v>1215</v>
      </c>
      <c r="D586" s="65">
        <v>0</v>
      </c>
      <c r="E586" s="65">
        <v>899100000</v>
      </c>
      <c r="F586" s="65">
        <v>734900000</v>
      </c>
      <c r="G586" s="65">
        <v>110200000</v>
      </c>
      <c r="H586" s="65">
        <v>919100000</v>
      </c>
      <c r="I586" s="65">
        <v>1126900000</v>
      </c>
      <c r="J586" s="65">
        <v>1482800000</v>
      </c>
      <c r="K586" s="65">
        <v>839100000</v>
      </c>
      <c r="L586" s="65">
        <v>838600000</v>
      </c>
      <c r="M586" s="65">
        <v>1746200000</v>
      </c>
    </row>
    <row r="587" spans="1:13">
      <c r="B587" s="78" t="s">
        <v>1216</v>
      </c>
      <c r="C587" s="64" t="s">
        <v>1217</v>
      </c>
      <c r="D587" s="67">
        <v>0</v>
      </c>
      <c r="E587" s="67">
        <v>23415200000</v>
      </c>
      <c r="F587" s="67">
        <v>18967700000</v>
      </c>
      <c r="G587" s="67">
        <v>10906100000</v>
      </c>
      <c r="H587" s="67">
        <v>4254000000</v>
      </c>
      <c r="I587" s="67">
        <v>3793000000</v>
      </c>
      <c r="J587" s="67">
        <v>6676300000</v>
      </c>
      <c r="K587" s="67">
        <v>5463200000</v>
      </c>
      <c r="L587" s="67">
        <v>11156300000</v>
      </c>
      <c r="M587" s="67">
        <v>36829000000</v>
      </c>
    </row>
    <row r="588" spans="1:13">
      <c r="B588" s="70" t="s">
        <v>1218</v>
      </c>
    </row>
    <row r="589" spans="1:13">
      <c r="B589" s="72" t="s">
        <v>1219</v>
      </c>
    </row>
    <row r="590" spans="1:13">
      <c r="B590" s="75" t="s">
        <v>1216</v>
      </c>
      <c r="C590" s="64" t="s">
        <v>1217</v>
      </c>
      <c r="D590" s="67">
        <v>0</v>
      </c>
      <c r="E590" s="67">
        <v>23415200000</v>
      </c>
      <c r="F590" s="67">
        <v>18967700000</v>
      </c>
      <c r="G590" s="67">
        <v>10906100000</v>
      </c>
      <c r="H590" s="67">
        <v>4254000000</v>
      </c>
      <c r="I590" s="67">
        <v>3793000000</v>
      </c>
      <c r="J590" s="67">
        <v>6676300000</v>
      </c>
      <c r="K590" s="67">
        <v>5463200000</v>
      </c>
      <c r="L590" s="67">
        <v>11156300000</v>
      </c>
      <c r="M590" s="67">
        <v>36829000000</v>
      </c>
    </row>
    <row r="591" spans="1:13">
      <c r="B591" s="68" t="s">
        <v>1220</v>
      </c>
    </row>
    <row r="592" spans="1:13">
      <c r="B592" s="70" t="s">
        <v>1221</v>
      </c>
    </row>
    <row r="593" spans="2:13">
      <c r="B593" s="71" t="s">
        <v>1222</v>
      </c>
      <c r="C593" s="64" t="s">
        <v>1223</v>
      </c>
      <c r="D593" s="65">
        <v>0</v>
      </c>
      <c r="E593" s="65">
        <v>6204600000</v>
      </c>
      <c r="F593" s="65">
        <v>4882200000</v>
      </c>
      <c r="G593" s="65">
        <v>4176900000</v>
      </c>
      <c r="H593" s="65">
        <v>2288300000</v>
      </c>
      <c r="I593" s="65">
        <v>3453000000</v>
      </c>
      <c r="J593" s="65">
        <v>2286700000</v>
      </c>
      <c r="K593" s="65">
        <v>3833900000</v>
      </c>
      <c r="L593" s="65">
        <v>8416700000</v>
      </c>
      <c r="M593" s="65">
        <v>10626700000</v>
      </c>
    </row>
    <row r="594" spans="2:13">
      <c r="B594" s="74" t="s">
        <v>152</v>
      </c>
      <c r="C594" s="64" t="s">
        <v>707</v>
      </c>
      <c r="D594" s="67">
        <v>0</v>
      </c>
      <c r="E594" s="67">
        <v>6204600000</v>
      </c>
      <c r="F594" s="67">
        <v>4882200000</v>
      </c>
      <c r="G594" s="67">
        <v>4176900000</v>
      </c>
      <c r="H594" s="67">
        <v>2288300000</v>
      </c>
      <c r="I594" s="67">
        <v>3453000000</v>
      </c>
      <c r="J594" s="67">
        <v>2286700000</v>
      </c>
      <c r="K594" s="67">
        <v>3833900000</v>
      </c>
      <c r="L594" s="67">
        <v>8416700000</v>
      </c>
      <c r="M594" s="67">
        <v>10626700000</v>
      </c>
    </row>
    <row r="595" spans="2:13">
      <c r="B595" s="72" t="s">
        <v>1224</v>
      </c>
    </row>
    <row r="596" spans="2:13">
      <c r="B596" s="77" t="s">
        <v>1225</v>
      </c>
    </row>
    <row r="597" spans="2:13">
      <c r="B597" s="80" t="s">
        <v>1222</v>
      </c>
      <c r="C597" s="64" t="s">
        <v>1223</v>
      </c>
      <c r="D597" s="65">
        <v>0</v>
      </c>
      <c r="E597" s="65">
        <v>6204600000</v>
      </c>
      <c r="F597" s="65">
        <v>4882200000</v>
      </c>
      <c r="G597" s="65">
        <v>4176900000</v>
      </c>
      <c r="H597" s="65">
        <v>2288300000</v>
      </c>
      <c r="I597" s="65">
        <v>3453000000</v>
      </c>
      <c r="J597" s="65">
        <v>2286700000</v>
      </c>
      <c r="K597" s="65">
        <v>3833900000</v>
      </c>
      <c r="L597" s="65">
        <v>8416700000</v>
      </c>
      <c r="M597" s="65">
        <v>10626700000</v>
      </c>
    </row>
    <row r="598" spans="2:13">
      <c r="B598" s="68" t="s">
        <v>1226</v>
      </c>
    </row>
    <row r="599" spans="2:13">
      <c r="B599" s="70" t="s">
        <v>1227</v>
      </c>
    </row>
    <row r="600" spans="2:13">
      <c r="B600" s="71" t="s">
        <v>1228</v>
      </c>
      <c r="C600" s="64" t="s">
        <v>1229</v>
      </c>
      <c r="D600" s="65">
        <v>0</v>
      </c>
      <c r="E600" s="65">
        <v>317100000</v>
      </c>
      <c r="F600" s="65">
        <v>269600000</v>
      </c>
      <c r="G600" s="65">
        <v>186700000</v>
      </c>
      <c r="H600" s="65">
        <v>725800000</v>
      </c>
      <c r="I600" s="65">
        <v>652200000</v>
      </c>
      <c r="J600" s="65">
        <v>692900000</v>
      </c>
      <c r="K600" s="65">
        <v>713100000</v>
      </c>
      <c r="L600" s="65">
        <v>421200000</v>
      </c>
      <c r="M600" s="65">
        <v>625400000</v>
      </c>
    </row>
    <row r="601" spans="2:13">
      <c r="B601" s="74" t="s">
        <v>145</v>
      </c>
      <c r="C601" s="64" t="s">
        <v>710</v>
      </c>
      <c r="D601" s="67">
        <v>0</v>
      </c>
      <c r="E601" s="67">
        <v>317100000</v>
      </c>
      <c r="F601" s="67">
        <v>269600000</v>
      </c>
      <c r="G601" s="67">
        <v>186700000</v>
      </c>
      <c r="H601" s="67">
        <v>725800000</v>
      </c>
      <c r="I601" s="67">
        <v>652200000</v>
      </c>
      <c r="J601" s="67">
        <v>692900000</v>
      </c>
      <c r="K601" s="67">
        <v>713100000</v>
      </c>
      <c r="L601" s="67">
        <v>421200000</v>
      </c>
      <c r="M601" s="67">
        <v>625400000</v>
      </c>
    </row>
    <row r="602" spans="2:13">
      <c r="B602" s="68" t="s">
        <v>1230</v>
      </c>
    </row>
    <row r="603" spans="2:13">
      <c r="B603" s="70" t="s">
        <v>1231</v>
      </c>
    </row>
    <row r="604" spans="2:13">
      <c r="B604" s="72" t="s">
        <v>1232</v>
      </c>
    </row>
    <row r="605" spans="2:13">
      <c r="B605" s="73" t="s">
        <v>158</v>
      </c>
      <c r="C605" s="64" t="s">
        <v>158</v>
      </c>
      <c r="D605" s="65">
        <v>0</v>
      </c>
      <c r="E605" s="65">
        <v>22758700000</v>
      </c>
      <c r="F605" s="65">
        <v>15518100000</v>
      </c>
      <c r="G605" s="65">
        <v>11803400000</v>
      </c>
      <c r="H605" s="65">
        <v>8971400000</v>
      </c>
      <c r="I605" s="65">
        <v>8619300000</v>
      </c>
      <c r="J605" s="65">
        <v>11674700000</v>
      </c>
      <c r="K605" s="65">
        <v>7604200000</v>
      </c>
      <c r="L605" s="65">
        <v>11884500000</v>
      </c>
      <c r="M605" s="65">
        <v>28571100000</v>
      </c>
    </row>
    <row r="606" spans="2:13">
      <c r="B606" s="73" t="s">
        <v>1431</v>
      </c>
      <c r="C606" s="64" t="s">
        <v>1432</v>
      </c>
      <c r="D606" s="65">
        <v>0</v>
      </c>
      <c r="E606" s="65">
        <v>835600000</v>
      </c>
      <c r="F606" s="65">
        <v>714500000</v>
      </c>
      <c r="G606" s="65">
        <v>378900000</v>
      </c>
      <c r="H606" s="65">
        <v>0</v>
      </c>
      <c r="I606" s="65">
        <v>635300000</v>
      </c>
      <c r="J606" s="65">
        <v>1117000000</v>
      </c>
      <c r="K606" s="65">
        <v>568400000</v>
      </c>
      <c r="L606" s="65">
        <v>0</v>
      </c>
      <c r="M606" s="65">
        <v>0</v>
      </c>
    </row>
    <row r="607" spans="2:13">
      <c r="B607" s="68" t="s">
        <v>1233</v>
      </c>
    </row>
    <row r="608" spans="2:13">
      <c r="B608" s="72" t="s">
        <v>1234</v>
      </c>
    </row>
    <row r="609" spans="2:13">
      <c r="B609" s="77" t="s">
        <v>1235</v>
      </c>
    </row>
    <row r="610" spans="2:13">
      <c r="B610" s="81" t="s">
        <v>1236</v>
      </c>
    </row>
    <row r="611" spans="2:13">
      <c r="B611" s="84" t="s">
        <v>1237</v>
      </c>
    </row>
    <row r="612" spans="2:13">
      <c r="B612" s="85" t="s">
        <v>1240</v>
      </c>
      <c r="C612" s="64" t="s">
        <v>1241</v>
      </c>
      <c r="D612" s="65">
        <v>0</v>
      </c>
      <c r="E612" s="65">
        <v>1531500000</v>
      </c>
      <c r="F612" s="65">
        <v>2655400000</v>
      </c>
      <c r="G612" s="65">
        <v>160300000</v>
      </c>
      <c r="H612" s="65">
        <v>132700000</v>
      </c>
      <c r="I612" s="65">
        <v>1935700000</v>
      </c>
      <c r="J612" s="65">
        <v>3505800000</v>
      </c>
      <c r="K612" s="65">
        <v>2905800000</v>
      </c>
      <c r="L612" s="65">
        <v>858100000</v>
      </c>
      <c r="M612" s="65">
        <v>8078600000</v>
      </c>
    </row>
    <row r="613" spans="2:13">
      <c r="B613" s="85" t="s">
        <v>1242</v>
      </c>
      <c r="C613" s="64" t="s">
        <v>1243</v>
      </c>
      <c r="D613" s="65">
        <v>0</v>
      </c>
      <c r="E613" s="65">
        <v>0</v>
      </c>
      <c r="F613" s="65">
        <v>0</v>
      </c>
      <c r="G613" s="65">
        <v>0</v>
      </c>
      <c r="H613" s="65">
        <v>0</v>
      </c>
      <c r="I613" s="65">
        <v>0</v>
      </c>
      <c r="J613" s="65">
        <v>592700000</v>
      </c>
      <c r="K613" s="65">
        <v>0</v>
      </c>
      <c r="L613" s="65">
        <v>0</v>
      </c>
      <c r="M613" s="65">
        <v>0</v>
      </c>
    </row>
    <row r="614" spans="2:13">
      <c r="B614" s="86" t="s">
        <v>1244</v>
      </c>
      <c r="C614" s="64" t="s">
        <v>1245</v>
      </c>
      <c r="D614" s="67">
        <v>0</v>
      </c>
      <c r="E614" s="67">
        <v>1531500000</v>
      </c>
      <c r="F614" s="67">
        <v>2655400000</v>
      </c>
      <c r="G614" s="67">
        <v>160300000</v>
      </c>
      <c r="H614" s="67">
        <v>132700000</v>
      </c>
      <c r="I614" s="67">
        <v>1935700000</v>
      </c>
      <c r="J614" s="67">
        <v>4098500000</v>
      </c>
      <c r="K614" s="67">
        <v>2905800000</v>
      </c>
      <c r="L614" s="67">
        <v>858100000</v>
      </c>
      <c r="M614" s="67">
        <v>8078600000</v>
      </c>
    </row>
    <row r="615" spans="2:13">
      <c r="B615" s="82" t="s">
        <v>1246</v>
      </c>
      <c r="C615" s="64" t="s">
        <v>1247</v>
      </c>
      <c r="D615" s="65">
        <v>0</v>
      </c>
      <c r="E615" s="65">
        <v>0</v>
      </c>
      <c r="F615" s="65">
        <v>1810000000</v>
      </c>
      <c r="G615" s="65">
        <v>0</v>
      </c>
      <c r="H615" s="65">
        <v>0</v>
      </c>
      <c r="I615" s="65">
        <v>0</v>
      </c>
      <c r="J615" s="65">
        <v>0</v>
      </c>
      <c r="K615" s="65">
        <v>0</v>
      </c>
      <c r="L615" s="65">
        <v>0</v>
      </c>
      <c r="M615" s="65">
        <v>0</v>
      </c>
    </row>
    <row r="616" spans="2:13">
      <c r="B616" s="82" t="s">
        <v>1248</v>
      </c>
      <c r="C616" s="64" t="s">
        <v>1249</v>
      </c>
      <c r="D616" s="65">
        <v>0</v>
      </c>
      <c r="E616" s="65">
        <v>2300000</v>
      </c>
      <c r="F616" s="65">
        <v>1600000</v>
      </c>
      <c r="G616" s="65">
        <v>1700000</v>
      </c>
      <c r="H616" s="65">
        <v>1500000</v>
      </c>
      <c r="I616" s="65">
        <v>800000</v>
      </c>
      <c r="J616" s="65">
        <v>1700000</v>
      </c>
      <c r="K616" s="65">
        <v>500000</v>
      </c>
      <c r="L616" s="65">
        <v>500000</v>
      </c>
      <c r="M616" s="65">
        <v>1600000</v>
      </c>
    </row>
    <row r="617" spans="2:13">
      <c r="B617" s="82" t="s">
        <v>1250</v>
      </c>
      <c r="C617" s="64" t="s">
        <v>1250</v>
      </c>
      <c r="D617" s="65">
        <v>0</v>
      </c>
      <c r="E617" s="65">
        <v>0</v>
      </c>
      <c r="F617" s="65">
        <v>0</v>
      </c>
      <c r="G617" s="65">
        <v>0</v>
      </c>
      <c r="H617" s="65">
        <v>228600000</v>
      </c>
      <c r="I617" s="65">
        <v>0</v>
      </c>
      <c r="J617" s="65">
        <v>0</v>
      </c>
      <c r="K617" s="65">
        <v>0</v>
      </c>
      <c r="L617" s="65">
        <v>1772700000</v>
      </c>
      <c r="M617" s="65">
        <v>1887800000</v>
      </c>
    </row>
    <row r="618" spans="2:13">
      <c r="B618" s="83" t="s">
        <v>162</v>
      </c>
      <c r="C618" s="64" t="s">
        <v>717</v>
      </c>
      <c r="D618" s="67">
        <v>0</v>
      </c>
      <c r="E618" s="67">
        <v>1533800000</v>
      </c>
      <c r="F618" s="67">
        <v>4467000000</v>
      </c>
      <c r="G618" s="67">
        <v>162000000</v>
      </c>
      <c r="H618" s="67">
        <v>362800000</v>
      </c>
      <c r="I618" s="67">
        <v>1936500000</v>
      </c>
      <c r="J618" s="67">
        <v>4100200000</v>
      </c>
      <c r="K618" s="67">
        <v>2906300000</v>
      </c>
      <c r="L618" s="67">
        <v>2631300000</v>
      </c>
      <c r="M618" s="67">
        <v>9968000000</v>
      </c>
    </row>
    <row r="619" spans="2:13">
      <c r="B619" s="78" t="s">
        <v>1251</v>
      </c>
      <c r="C619" s="64" t="s">
        <v>1252</v>
      </c>
      <c r="D619" s="67">
        <v>0</v>
      </c>
      <c r="E619" s="67">
        <v>1533800000</v>
      </c>
      <c r="F619" s="67">
        <v>4467000000</v>
      </c>
      <c r="G619" s="67">
        <v>162000000</v>
      </c>
      <c r="H619" s="67">
        <v>362800000</v>
      </c>
      <c r="I619" s="67">
        <v>1936500000</v>
      </c>
      <c r="J619" s="67">
        <v>4100200000</v>
      </c>
      <c r="K619" s="67">
        <v>2906300000</v>
      </c>
      <c r="L619" s="67">
        <v>2631300000</v>
      </c>
      <c r="M619" s="67">
        <v>9968000000</v>
      </c>
    </row>
    <row r="620" spans="2:13">
      <c r="B620" s="68" t="s">
        <v>1253</v>
      </c>
    </row>
    <row r="621" spans="2:13">
      <c r="B621" s="69" t="s">
        <v>1254</v>
      </c>
      <c r="C621" s="64" t="s">
        <v>1255</v>
      </c>
      <c r="D621" s="65">
        <v>0</v>
      </c>
      <c r="E621" s="65">
        <v>256100000</v>
      </c>
      <c r="F621" s="65">
        <v>139400000</v>
      </c>
      <c r="G621" s="65">
        <v>6100000</v>
      </c>
      <c r="H621" s="65">
        <v>600000</v>
      </c>
      <c r="I621" s="65">
        <v>101900000</v>
      </c>
      <c r="J621" s="65">
        <v>0</v>
      </c>
      <c r="K621" s="65">
        <v>0</v>
      </c>
      <c r="L621" s="65">
        <v>0</v>
      </c>
      <c r="M621" s="65">
        <v>0</v>
      </c>
    </row>
    <row r="622" spans="2:13">
      <c r="B622" s="69" t="s">
        <v>1256</v>
      </c>
      <c r="C622" s="64" t="s">
        <v>1257</v>
      </c>
      <c r="D622" s="65">
        <v>0</v>
      </c>
      <c r="E622" s="65">
        <v>776200000</v>
      </c>
      <c r="F622" s="65">
        <v>1816000000</v>
      </c>
      <c r="G622" s="65">
        <v>2752000000</v>
      </c>
      <c r="H622" s="65">
        <v>707700000</v>
      </c>
      <c r="I622" s="65">
        <v>736900000</v>
      </c>
      <c r="J622" s="65">
        <v>763600000</v>
      </c>
      <c r="K622" s="65">
        <v>755000000</v>
      </c>
      <c r="L622" s="65">
        <v>761500000</v>
      </c>
      <c r="M622" s="65">
        <v>1856300000</v>
      </c>
    </row>
    <row r="623" spans="2:13">
      <c r="B623" s="76" t="s">
        <v>164</v>
      </c>
      <c r="C623" s="64" t="s">
        <v>719</v>
      </c>
      <c r="D623" s="67">
        <v>0</v>
      </c>
      <c r="E623" s="67">
        <v>1032300000</v>
      </c>
      <c r="F623" s="67">
        <v>1955400000</v>
      </c>
      <c r="G623" s="67">
        <v>2758100000</v>
      </c>
      <c r="H623" s="67">
        <v>708300000</v>
      </c>
      <c r="I623" s="67">
        <v>838800000</v>
      </c>
      <c r="J623" s="67">
        <v>763600000</v>
      </c>
      <c r="K623" s="67">
        <v>755000000</v>
      </c>
      <c r="L623" s="67">
        <v>761500000</v>
      </c>
      <c r="M623" s="67">
        <v>1856300000</v>
      </c>
    </row>
    <row r="624" spans="2:13">
      <c r="B624" s="70" t="s">
        <v>1258</v>
      </c>
    </row>
    <row r="625" spans="2:13">
      <c r="B625" s="72" t="s">
        <v>1259</v>
      </c>
    </row>
    <row r="626" spans="2:13">
      <c r="B626" s="73" t="s">
        <v>1256</v>
      </c>
      <c r="C626" s="64" t="s">
        <v>1257</v>
      </c>
      <c r="D626" s="65">
        <v>0</v>
      </c>
      <c r="E626" s="65">
        <v>776200000</v>
      </c>
      <c r="F626" s="65">
        <v>1816000000</v>
      </c>
      <c r="G626" s="65">
        <v>2752000000</v>
      </c>
      <c r="H626" s="65">
        <v>707700000</v>
      </c>
      <c r="I626" s="65">
        <v>736900000</v>
      </c>
      <c r="J626" s="65">
        <v>763600000</v>
      </c>
      <c r="K626" s="65">
        <v>755000000</v>
      </c>
      <c r="L626" s="65">
        <v>761500000</v>
      </c>
      <c r="M626" s="65">
        <v>1856300000</v>
      </c>
    </row>
    <row r="627" spans="2:13">
      <c r="B627" s="68" t="s">
        <v>1260</v>
      </c>
    </row>
    <row r="628" spans="2:13">
      <c r="B628" s="70" t="s">
        <v>1261</v>
      </c>
    </row>
    <row r="629" spans="2:13">
      <c r="B629" s="71" t="s">
        <v>1262</v>
      </c>
      <c r="C629" s="64" t="s">
        <v>1263</v>
      </c>
      <c r="D629" s="65">
        <v>0</v>
      </c>
      <c r="E629" s="65">
        <v>2029400000</v>
      </c>
      <c r="F629" s="65">
        <v>2817600000</v>
      </c>
      <c r="G629" s="65">
        <v>4995600000</v>
      </c>
      <c r="H629" s="65">
        <v>3557200000</v>
      </c>
      <c r="I629" s="65">
        <v>4367200000</v>
      </c>
      <c r="J629" s="65">
        <v>4100300000</v>
      </c>
      <c r="K629" s="65">
        <v>3630100000</v>
      </c>
      <c r="L629" s="65">
        <v>3062500000</v>
      </c>
      <c r="M629" s="65">
        <v>5836400000</v>
      </c>
    </row>
    <row r="630" spans="2:13">
      <c r="B630" s="74" t="s">
        <v>160</v>
      </c>
      <c r="C630" s="64" t="s">
        <v>722</v>
      </c>
      <c r="D630" s="67">
        <v>0</v>
      </c>
      <c r="E630" s="67">
        <v>2029400000</v>
      </c>
      <c r="F630" s="67">
        <v>2817600000</v>
      </c>
      <c r="G630" s="67">
        <v>4995600000</v>
      </c>
      <c r="H630" s="67">
        <v>3557200000</v>
      </c>
      <c r="I630" s="67">
        <v>4367200000</v>
      </c>
      <c r="J630" s="67">
        <v>4100300000</v>
      </c>
      <c r="K630" s="67">
        <v>3630100000</v>
      </c>
      <c r="L630" s="67">
        <v>3062500000</v>
      </c>
      <c r="M630" s="67">
        <v>5836400000</v>
      </c>
    </row>
    <row r="631" spans="2:13">
      <c r="B631" s="68" t="s">
        <v>1264</v>
      </c>
    </row>
    <row r="632" spans="2:13">
      <c r="B632" s="70" t="s">
        <v>1265</v>
      </c>
    </row>
    <row r="633" spans="2:13">
      <c r="B633" s="71" t="s">
        <v>1266</v>
      </c>
      <c r="C633" s="64" t="s">
        <v>1267</v>
      </c>
      <c r="D633" s="65">
        <v>0</v>
      </c>
      <c r="E633" s="65">
        <v>2015900000</v>
      </c>
      <c r="F633" s="65">
        <v>94800000</v>
      </c>
      <c r="G633" s="65">
        <v>64900000</v>
      </c>
      <c r="H633" s="65">
        <v>678500000</v>
      </c>
      <c r="I633" s="65">
        <v>21200300000</v>
      </c>
      <c r="J633" s="65">
        <v>23948700000</v>
      </c>
      <c r="K633" s="65">
        <v>83800000</v>
      </c>
      <c r="L633" s="65">
        <v>190500000</v>
      </c>
      <c r="M633" s="65">
        <v>6409100000</v>
      </c>
    </row>
    <row r="634" spans="2:13">
      <c r="B634" s="74" t="s">
        <v>182</v>
      </c>
      <c r="C634" s="64" t="s">
        <v>739</v>
      </c>
      <c r="D634" s="67">
        <v>0</v>
      </c>
      <c r="E634" s="67">
        <v>2015900000</v>
      </c>
      <c r="F634" s="67">
        <v>94800000</v>
      </c>
      <c r="G634" s="67">
        <v>64900000</v>
      </c>
      <c r="H634" s="67">
        <v>678500000</v>
      </c>
      <c r="I634" s="67">
        <v>21200300000</v>
      </c>
      <c r="J634" s="67">
        <v>23948700000</v>
      </c>
      <c r="K634" s="67">
        <v>83800000</v>
      </c>
      <c r="L634" s="67">
        <v>190500000</v>
      </c>
      <c r="M634" s="67">
        <v>6409100000</v>
      </c>
    </row>
    <row r="635" spans="2:13">
      <c r="B635" s="72" t="s">
        <v>1268</v>
      </c>
    </row>
    <row r="636" spans="2:13">
      <c r="B636" s="77" t="s">
        <v>1269</v>
      </c>
    </row>
    <row r="637" spans="2:13">
      <c r="B637" s="80" t="s">
        <v>1266</v>
      </c>
      <c r="C637" s="64" t="s">
        <v>1267</v>
      </c>
      <c r="D637" s="65">
        <v>0</v>
      </c>
      <c r="E637" s="65">
        <v>2015900000</v>
      </c>
      <c r="F637" s="65">
        <v>94800000</v>
      </c>
      <c r="G637" s="65">
        <v>64900000</v>
      </c>
      <c r="H637" s="65">
        <v>678500000</v>
      </c>
      <c r="I637" s="65">
        <v>21200300000</v>
      </c>
      <c r="J637" s="65">
        <v>23948700000</v>
      </c>
      <c r="K637" s="65">
        <v>83800000</v>
      </c>
      <c r="L637" s="65">
        <v>190500000</v>
      </c>
      <c r="M637" s="65">
        <v>6409100000</v>
      </c>
    </row>
    <row r="638" spans="2:13">
      <c r="B638" s="68" t="s">
        <v>1270</v>
      </c>
    </row>
    <row r="639" spans="2:13">
      <c r="B639" s="69" t="s">
        <v>1273</v>
      </c>
      <c r="C639" s="64" t="s">
        <v>1274</v>
      </c>
      <c r="D639" s="65">
        <v>0</v>
      </c>
      <c r="E639" s="65">
        <v>400200000</v>
      </c>
      <c r="F639" s="65">
        <v>299900000</v>
      </c>
      <c r="G639" s="65">
        <v>117000000</v>
      </c>
      <c r="H639" s="65">
        <v>8900000</v>
      </c>
      <c r="I639" s="65">
        <v>7700000</v>
      </c>
      <c r="J639" s="65">
        <v>1900000</v>
      </c>
      <c r="K639" s="65">
        <v>4800000</v>
      </c>
      <c r="L639" s="65">
        <v>4800000</v>
      </c>
      <c r="M639" s="65">
        <v>4500000</v>
      </c>
    </row>
    <row r="640" spans="2:13">
      <c r="B640" s="76" t="s">
        <v>185</v>
      </c>
      <c r="C640" s="64" t="s">
        <v>742</v>
      </c>
      <c r="D640" s="67">
        <v>0</v>
      </c>
      <c r="E640" s="67">
        <v>400200000</v>
      </c>
      <c r="F640" s="67">
        <v>299900000</v>
      </c>
      <c r="G640" s="67">
        <v>117000000</v>
      </c>
      <c r="H640" s="67">
        <v>8900000</v>
      </c>
      <c r="I640" s="67">
        <v>7700000</v>
      </c>
      <c r="J640" s="67">
        <v>1900000</v>
      </c>
      <c r="K640" s="67">
        <v>4800000</v>
      </c>
      <c r="L640" s="67">
        <v>4800000</v>
      </c>
      <c r="M640" s="67">
        <v>4500000</v>
      </c>
    </row>
    <row r="641" spans="2:13">
      <c r="B641" s="70" t="s">
        <v>1275</v>
      </c>
    </row>
    <row r="642" spans="2:13">
      <c r="B642" s="72" t="s">
        <v>1276</v>
      </c>
    </row>
    <row r="643" spans="2:13">
      <c r="B643" s="73" t="s">
        <v>1273</v>
      </c>
      <c r="C643" s="64" t="s">
        <v>1274</v>
      </c>
      <c r="D643" s="65">
        <v>0</v>
      </c>
      <c r="E643" s="65">
        <v>400200000</v>
      </c>
      <c r="F643" s="65">
        <v>299900000</v>
      </c>
      <c r="G643" s="65">
        <v>117000000</v>
      </c>
      <c r="H643" s="65">
        <v>8900000</v>
      </c>
      <c r="I643" s="65">
        <v>7700000</v>
      </c>
      <c r="J643" s="65">
        <v>1900000</v>
      </c>
      <c r="K643" s="65">
        <v>4800000</v>
      </c>
      <c r="L643" s="65">
        <v>4800000</v>
      </c>
      <c r="M643" s="65">
        <v>4500000</v>
      </c>
    </row>
    <row r="644" spans="2:13">
      <c r="B644" s="68" t="s">
        <v>1277</v>
      </c>
    </row>
    <row r="645" spans="2:13">
      <c r="B645" s="70" t="s">
        <v>1278</v>
      </c>
    </row>
    <row r="646" spans="2:13">
      <c r="B646" s="71" t="s">
        <v>1279</v>
      </c>
      <c r="C646" s="64" t="s">
        <v>1280</v>
      </c>
      <c r="D646" s="65">
        <v>0</v>
      </c>
      <c r="E646" s="65">
        <v>210200000</v>
      </c>
      <c r="F646" s="65">
        <v>110200000</v>
      </c>
      <c r="G646" s="65">
        <v>441900000</v>
      </c>
      <c r="H646" s="65">
        <v>7053600000</v>
      </c>
      <c r="I646" s="65">
        <v>0</v>
      </c>
      <c r="J646" s="65">
        <v>0</v>
      </c>
      <c r="K646" s="65">
        <v>0</v>
      </c>
      <c r="L646" s="65">
        <v>0</v>
      </c>
      <c r="M646" s="65">
        <v>0</v>
      </c>
    </row>
    <row r="647" spans="2:13">
      <c r="B647" s="71" t="s">
        <v>1281</v>
      </c>
      <c r="C647" s="64" t="s">
        <v>1282</v>
      </c>
      <c r="D647" s="65">
        <v>0</v>
      </c>
      <c r="E647" s="65">
        <v>5965800000</v>
      </c>
      <c r="F647" s="65">
        <v>10993900000</v>
      </c>
      <c r="G647" s="65">
        <v>9643700000</v>
      </c>
      <c r="H647" s="65">
        <v>12435500000</v>
      </c>
      <c r="I647" s="65">
        <v>2309700000</v>
      </c>
      <c r="J647" s="65">
        <v>2209600000</v>
      </c>
      <c r="K647" s="65">
        <v>2262000000</v>
      </c>
      <c r="L647" s="65">
        <v>1985300000</v>
      </c>
      <c r="M647" s="65">
        <v>3819400000</v>
      </c>
    </row>
    <row r="648" spans="2:13">
      <c r="B648" s="74" t="s">
        <v>192</v>
      </c>
      <c r="C648" s="64" t="s">
        <v>749</v>
      </c>
      <c r="D648" s="67">
        <v>0</v>
      </c>
      <c r="E648" s="67">
        <v>6787600000</v>
      </c>
      <c r="F648" s="67">
        <v>13378300000</v>
      </c>
      <c r="G648" s="67">
        <v>26912000000</v>
      </c>
      <c r="H648" s="67">
        <v>49280000000</v>
      </c>
      <c r="I648" s="67">
        <v>5282000000</v>
      </c>
      <c r="J648" s="67">
        <v>7075000000</v>
      </c>
      <c r="K648" s="67">
        <v>2262000000</v>
      </c>
      <c r="L648" s="67">
        <v>1985300000</v>
      </c>
      <c r="M648" s="67">
        <v>3819400000</v>
      </c>
    </row>
    <row r="649" spans="2:13">
      <c r="B649" s="72" t="s">
        <v>1283</v>
      </c>
    </row>
    <row r="650" spans="2:13">
      <c r="B650" s="77" t="s">
        <v>1284</v>
      </c>
    </row>
    <row r="651" spans="2:13">
      <c r="B651" s="80" t="s">
        <v>1281</v>
      </c>
      <c r="C651" s="64" t="s">
        <v>1282</v>
      </c>
      <c r="D651" s="65">
        <v>0</v>
      </c>
      <c r="E651" s="65">
        <v>5965800000</v>
      </c>
      <c r="F651" s="65">
        <v>10993900000</v>
      </c>
      <c r="G651" s="65">
        <v>9643700000</v>
      </c>
      <c r="H651" s="65">
        <v>12435500000</v>
      </c>
      <c r="I651" s="65">
        <v>2309700000</v>
      </c>
      <c r="J651" s="65">
        <v>2209600000</v>
      </c>
      <c r="K651" s="65">
        <v>2262000000</v>
      </c>
      <c r="L651" s="65">
        <v>1985300000</v>
      </c>
      <c r="M651" s="65">
        <v>3819400000</v>
      </c>
    </row>
    <row r="652" spans="2:13">
      <c r="B652" s="68" t="s">
        <v>1285</v>
      </c>
    </row>
    <row r="653" spans="2:13">
      <c r="B653" s="70" t="s">
        <v>1286</v>
      </c>
    </row>
    <row r="654" spans="2:13">
      <c r="B654" s="71" t="s">
        <v>1433</v>
      </c>
      <c r="C654" s="64" t="s">
        <v>1434</v>
      </c>
      <c r="D654" s="65">
        <v>0</v>
      </c>
      <c r="E654" s="65">
        <v>44700000</v>
      </c>
      <c r="F654" s="65">
        <v>93200000</v>
      </c>
      <c r="G654" s="65">
        <v>182900000</v>
      </c>
      <c r="H654" s="65">
        <v>110000000</v>
      </c>
      <c r="I654" s="65">
        <v>500000</v>
      </c>
      <c r="J654" s="65">
        <v>6500000</v>
      </c>
      <c r="K654" s="65">
        <v>0</v>
      </c>
      <c r="L654" s="65">
        <v>0</v>
      </c>
      <c r="M654" s="65">
        <v>0</v>
      </c>
    </row>
    <row r="655" spans="2:13">
      <c r="B655" s="72" t="s">
        <v>1287</v>
      </c>
    </row>
    <row r="656" spans="2:13">
      <c r="B656" s="73" t="s">
        <v>1288</v>
      </c>
      <c r="C656" s="64" t="s">
        <v>1289</v>
      </c>
      <c r="D656" s="65">
        <v>0</v>
      </c>
      <c r="E656" s="65">
        <v>7826400000</v>
      </c>
      <c r="F656" s="65">
        <v>7099900000</v>
      </c>
      <c r="G656" s="65">
        <v>12114100000</v>
      </c>
      <c r="H656" s="65">
        <v>2279200000</v>
      </c>
      <c r="I656" s="65">
        <v>3109000000</v>
      </c>
      <c r="J656" s="65">
        <v>3539900000</v>
      </c>
      <c r="K656" s="65">
        <v>3866600000</v>
      </c>
      <c r="L656" s="65">
        <v>1732700000</v>
      </c>
      <c r="M656" s="65">
        <v>0</v>
      </c>
    </row>
    <row r="657" spans="1:13">
      <c r="B657" s="75" t="s">
        <v>1290</v>
      </c>
      <c r="C657" s="64" t="s">
        <v>1291</v>
      </c>
      <c r="D657" s="67">
        <v>0</v>
      </c>
      <c r="E657" s="67">
        <v>7826400000</v>
      </c>
      <c r="F657" s="67">
        <v>7099900000</v>
      </c>
      <c r="G657" s="67">
        <v>12114100000</v>
      </c>
      <c r="H657" s="67">
        <v>2279200000</v>
      </c>
      <c r="I657" s="67">
        <v>3109000000</v>
      </c>
      <c r="J657" s="67">
        <v>3539900000</v>
      </c>
      <c r="K657" s="67">
        <v>3866600000</v>
      </c>
      <c r="L657" s="67">
        <v>1732700000</v>
      </c>
      <c r="M657" s="67">
        <v>0</v>
      </c>
    </row>
    <row r="658" spans="1:13">
      <c r="B658" s="72" t="s">
        <v>1292</v>
      </c>
    </row>
    <row r="659" spans="1:13">
      <c r="B659" s="73" t="s">
        <v>1435</v>
      </c>
      <c r="C659" s="64" t="s">
        <v>1436</v>
      </c>
      <c r="D659" s="65">
        <v>0</v>
      </c>
      <c r="E659" s="65">
        <v>494300000</v>
      </c>
      <c r="F659" s="65">
        <v>167500000</v>
      </c>
      <c r="G659" s="65">
        <v>452100000</v>
      </c>
      <c r="H659" s="65">
        <v>357600000</v>
      </c>
      <c r="I659" s="65">
        <v>112700000</v>
      </c>
      <c r="J659" s="65">
        <v>112800000</v>
      </c>
      <c r="K659" s="65">
        <v>167300000</v>
      </c>
      <c r="L659" s="65">
        <v>194000000</v>
      </c>
      <c r="M659" s="65">
        <v>0</v>
      </c>
    </row>
    <row r="660" spans="1:13">
      <c r="B660" s="73" t="s">
        <v>1437</v>
      </c>
      <c r="C660" s="64" t="s">
        <v>1438</v>
      </c>
      <c r="D660" s="65">
        <v>0</v>
      </c>
      <c r="E660" s="65">
        <v>0</v>
      </c>
      <c r="F660" s="65">
        <v>104100000</v>
      </c>
      <c r="G660" s="65">
        <v>0</v>
      </c>
      <c r="H660" s="65">
        <v>0</v>
      </c>
      <c r="I660" s="65">
        <v>0</v>
      </c>
      <c r="J660" s="65">
        <v>0</v>
      </c>
      <c r="K660" s="65">
        <v>0</v>
      </c>
      <c r="L660" s="65">
        <v>0</v>
      </c>
      <c r="M660" s="65">
        <v>0</v>
      </c>
    </row>
    <row r="661" spans="1:13">
      <c r="B661" s="73" t="s">
        <v>1293</v>
      </c>
      <c r="C661" s="64" t="s">
        <v>1294</v>
      </c>
      <c r="D661" s="65">
        <v>0</v>
      </c>
      <c r="E661" s="65">
        <v>166400000</v>
      </c>
      <c r="F661" s="65">
        <v>0</v>
      </c>
      <c r="G661" s="65">
        <v>0</v>
      </c>
      <c r="H661" s="65">
        <v>0</v>
      </c>
      <c r="I661" s="65">
        <v>0</v>
      </c>
      <c r="J661" s="65">
        <v>0</v>
      </c>
      <c r="K661" s="65">
        <v>0</v>
      </c>
      <c r="L661" s="65">
        <v>0</v>
      </c>
      <c r="M661" s="65">
        <v>0</v>
      </c>
    </row>
    <row r="662" spans="1:13">
      <c r="B662" s="75" t="s">
        <v>1295</v>
      </c>
      <c r="C662" s="64" t="s">
        <v>1296</v>
      </c>
      <c r="D662" s="67">
        <v>0</v>
      </c>
      <c r="E662" s="67">
        <v>660700000</v>
      </c>
      <c r="F662" s="67">
        <v>271600000</v>
      </c>
      <c r="G662" s="67">
        <v>452100000</v>
      </c>
      <c r="H662" s="67">
        <v>357600000</v>
      </c>
      <c r="I662" s="67">
        <v>112700000</v>
      </c>
      <c r="J662" s="67">
        <v>112800000</v>
      </c>
      <c r="K662" s="67">
        <v>167300000</v>
      </c>
      <c r="L662" s="67">
        <v>194000000</v>
      </c>
      <c r="M662" s="67">
        <v>0</v>
      </c>
    </row>
    <row r="663" spans="1:13">
      <c r="B663" s="71" t="s">
        <v>1297</v>
      </c>
      <c r="C663" s="64" t="s">
        <v>1298</v>
      </c>
      <c r="D663" s="65">
        <v>0</v>
      </c>
      <c r="E663" s="65">
        <v>159400000</v>
      </c>
      <c r="F663" s="65">
        <v>163200000</v>
      </c>
      <c r="G663" s="65">
        <v>200000</v>
      </c>
      <c r="H663" s="65">
        <v>200000</v>
      </c>
      <c r="I663" s="65">
        <v>200000</v>
      </c>
      <c r="J663" s="65">
        <v>200000</v>
      </c>
      <c r="K663" s="65">
        <v>300000</v>
      </c>
      <c r="L663" s="65">
        <v>1200000</v>
      </c>
      <c r="M663" s="65">
        <v>17537500000</v>
      </c>
    </row>
    <row r="664" spans="1:13">
      <c r="B664" s="74" t="s">
        <v>194</v>
      </c>
      <c r="C664" s="64" t="s">
        <v>751</v>
      </c>
      <c r="D664" s="67">
        <v>0</v>
      </c>
      <c r="E664" s="67">
        <v>8691200000</v>
      </c>
      <c r="F664" s="67">
        <v>7627900000</v>
      </c>
      <c r="G664" s="67">
        <v>12749300000</v>
      </c>
      <c r="H664" s="67">
        <v>2747000000</v>
      </c>
      <c r="I664" s="67">
        <v>3222400000</v>
      </c>
      <c r="J664" s="67">
        <v>3659400000</v>
      </c>
      <c r="K664" s="67">
        <v>4034200000</v>
      </c>
      <c r="L664" s="67">
        <v>1927900000</v>
      </c>
      <c r="M664" s="67">
        <v>17537500000</v>
      </c>
    </row>
    <row r="665" spans="1:13">
      <c r="B665" s="72" t="s">
        <v>1299</v>
      </c>
    </row>
    <row r="666" spans="1:13">
      <c r="B666" s="77" t="s">
        <v>1300</v>
      </c>
    </row>
    <row r="667" spans="1:13">
      <c r="B667" s="80" t="s">
        <v>1297</v>
      </c>
      <c r="C667" s="64" t="s">
        <v>1298</v>
      </c>
      <c r="D667" s="65">
        <v>0</v>
      </c>
      <c r="E667" s="65">
        <v>159400000</v>
      </c>
      <c r="F667" s="65">
        <v>163200000</v>
      </c>
      <c r="G667" s="65">
        <v>200000</v>
      </c>
      <c r="H667" s="65">
        <v>200000</v>
      </c>
      <c r="I667" s="65">
        <v>200000</v>
      </c>
      <c r="J667" s="65">
        <v>200000</v>
      </c>
      <c r="K667" s="65">
        <v>300000</v>
      </c>
      <c r="L667" s="65">
        <v>1200000</v>
      </c>
      <c r="M667" s="65">
        <v>17537500000</v>
      </c>
    </row>
    <row r="672" spans="1:13" ht="15.5">
      <c r="A672" t="s">
        <v>27</v>
      </c>
      <c r="B672" s="42" t="s">
        <v>1301</v>
      </c>
    </row>
    <row r="674" spans="1:13">
      <c r="C674" s="62" t="s">
        <v>625</v>
      </c>
      <c r="D674" s="24" t="s">
        <v>30</v>
      </c>
      <c r="E674" s="24" t="s">
        <v>31</v>
      </c>
      <c r="F674" s="24" t="s">
        <v>32</v>
      </c>
      <c r="G674" s="24" t="s">
        <v>33</v>
      </c>
      <c r="H674" s="24" t="s">
        <v>34</v>
      </c>
      <c r="I674" s="24" t="s">
        <v>35</v>
      </c>
      <c r="J674" s="24" t="s">
        <v>36</v>
      </c>
      <c r="K674" s="24" t="s">
        <v>37</v>
      </c>
      <c r="L674" s="24" t="s">
        <v>38</v>
      </c>
      <c r="M674" s="24" t="s">
        <v>39</v>
      </c>
    </row>
    <row r="676" spans="1:13" ht="15.5">
      <c r="B676" s="42" t="s">
        <v>1302</v>
      </c>
    </row>
    <row r="677" spans="1:13">
      <c r="B677" s="63" t="s">
        <v>249</v>
      </c>
      <c r="C677" s="64" t="s">
        <v>1303</v>
      </c>
      <c r="D677" s="65">
        <v>0</v>
      </c>
      <c r="E677" s="65">
        <v>1533800000</v>
      </c>
      <c r="F677" s="65">
        <v>4467000000</v>
      </c>
      <c r="G677" s="65">
        <v>162000000</v>
      </c>
      <c r="H677" s="65">
        <v>362800000</v>
      </c>
      <c r="I677" s="65">
        <v>1936500000</v>
      </c>
      <c r="J677" s="65">
        <v>4100200000</v>
      </c>
      <c r="K677" s="65">
        <v>2906300000</v>
      </c>
      <c r="L677" s="65">
        <v>2631300000</v>
      </c>
      <c r="M677" s="65">
        <v>9968000000</v>
      </c>
    </row>
    <row r="678" spans="1:13">
      <c r="B678" s="66" t="s">
        <v>162</v>
      </c>
      <c r="C678" s="64" t="s">
        <v>717</v>
      </c>
      <c r="D678" s="67">
        <v>0</v>
      </c>
      <c r="E678" s="67">
        <v>1533800000</v>
      </c>
      <c r="F678" s="67">
        <v>4467000000</v>
      </c>
      <c r="G678" s="67">
        <v>162000000</v>
      </c>
      <c r="H678" s="67">
        <v>362800000</v>
      </c>
      <c r="I678" s="67">
        <v>1936500000</v>
      </c>
      <c r="J678" s="67">
        <v>4100200000</v>
      </c>
      <c r="K678" s="67">
        <v>2906300000</v>
      </c>
      <c r="L678" s="67">
        <v>2631300000</v>
      </c>
      <c r="M678" s="67">
        <v>9968000000</v>
      </c>
    </row>
    <row r="680" spans="1:13" ht="15.5">
      <c r="B680" s="42" t="s">
        <v>1304</v>
      </c>
    </row>
    <row r="681" spans="1:13">
      <c r="B681" s="63" t="s">
        <v>222</v>
      </c>
      <c r="C681" s="64" t="s">
        <v>776</v>
      </c>
      <c r="D681" s="65">
        <v>0</v>
      </c>
      <c r="E681" s="65">
        <v>43200000</v>
      </c>
      <c r="F681" s="65">
        <v>-59400000</v>
      </c>
      <c r="G681" s="65">
        <v>-13500000</v>
      </c>
      <c r="H681" s="65">
        <v>19500000</v>
      </c>
      <c r="I681" s="65">
        <v>-33900000</v>
      </c>
      <c r="J681" s="65">
        <v>-5000000</v>
      </c>
      <c r="K681" s="65">
        <v>21200000</v>
      </c>
      <c r="L681" s="65">
        <v>9300000</v>
      </c>
      <c r="M681" s="65">
        <v>-64600000</v>
      </c>
    </row>
    <row r="682" spans="1:13">
      <c r="B682" s="66" t="s">
        <v>1305</v>
      </c>
      <c r="C682" s="64" t="s">
        <v>1306</v>
      </c>
      <c r="D682" s="67">
        <v>0</v>
      </c>
      <c r="E682" s="67">
        <v>43200000</v>
      </c>
      <c r="F682" s="67">
        <v>-59400000</v>
      </c>
      <c r="G682" s="67">
        <v>-13500000</v>
      </c>
      <c r="H682" s="67">
        <v>19500000</v>
      </c>
      <c r="I682" s="67">
        <v>-33900000</v>
      </c>
      <c r="J682" s="67">
        <v>-5000000</v>
      </c>
      <c r="K682" s="67">
        <v>21200000</v>
      </c>
      <c r="L682" s="67">
        <v>9300000</v>
      </c>
      <c r="M682" s="67">
        <v>-64600000</v>
      </c>
    </row>
    <row r="685" spans="1:13" ht="18.5">
      <c r="A685" t="s">
        <v>27</v>
      </c>
      <c r="B685" s="61" t="s">
        <v>1312</v>
      </c>
    </row>
    <row r="687" spans="1:13" ht="15.5">
      <c r="A687" t="s">
        <v>27</v>
      </c>
      <c r="B687" s="42" t="s">
        <v>1313</v>
      </c>
    </row>
    <row r="689" spans="1:13">
      <c r="C689" s="62" t="s">
        <v>625</v>
      </c>
      <c r="D689" s="24" t="s">
        <v>30</v>
      </c>
      <c r="E689" s="24" t="s">
        <v>31</v>
      </c>
      <c r="F689" s="24" t="s">
        <v>32</v>
      </c>
      <c r="G689" s="24" t="s">
        <v>33</v>
      </c>
      <c r="H689" s="24" t="s">
        <v>34</v>
      </c>
      <c r="I689" s="24" t="s">
        <v>35</v>
      </c>
      <c r="J689" s="24" t="s">
        <v>36</v>
      </c>
      <c r="K689" s="24" t="s">
        <v>37</v>
      </c>
      <c r="L689" s="24" t="s">
        <v>38</v>
      </c>
      <c r="M689" s="24" t="s">
        <v>39</v>
      </c>
    </row>
    <row r="690" spans="1:13">
      <c r="B690" s="68" t="s">
        <v>1314</v>
      </c>
    </row>
    <row r="691" spans="1:13">
      <c r="B691" s="69" t="s">
        <v>1315</v>
      </c>
      <c r="C691" s="64" t="s">
        <v>1316</v>
      </c>
      <c r="D691" s="65">
        <v>0</v>
      </c>
      <c r="E691" s="65">
        <v>10224700000</v>
      </c>
      <c r="F691" s="65">
        <v>0</v>
      </c>
      <c r="G691" s="65">
        <v>0</v>
      </c>
      <c r="H691" s="65">
        <v>0</v>
      </c>
      <c r="I691" s="65">
        <v>0</v>
      </c>
      <c r="J691" s="65">
        <v>0</v>
      </c>
      <c r="K691" s="65">
        <v>0</v>
      </c>
      <c r="L691" s="65">
        <v>0</v>
      </c>
      <c r="M691" s="65">
        <v>0</v>
      </c>
    </row>
    <row r="692" spans="1:13">
      <c r="B692" s="76" t="s">
        <v>1317</v>
      </c>
      <c r="C692" s="64" t="s">
        <v>1318</v>
      </c>
      <c r="D692" s="67">
        <v>0</v>
      </c>
      <c r="E692" s="67">
        <v>10224700000</v>
      </c>
      <c r="F692" s="67">
        <v>0</v>
      </c>
      <c r="G692" s="67">
        <v>0</v>
      </c>
      <c r="H692" s="67">
        <v>0</v>
      </c>
      <c r="I692" s="67">
        <v>0</v>
      </c>
      <c r="J692" s="67">
        <v>0</v>
      </c>
      <c r="K692" s="67">
        <v>0</v>
      </c>
      <c r="L692" s="67">
        <v>0</v>
      </c>
      <c r="M692" s="67">
        <v>0</v>
      </c>
    </row>
    <row r="693" spans="1:13">
      <c r="B693" s="68" t="s">
        <v>1319</v>
      </c>
    </row>
    <row r="694" spans="1:13">
      <c r="B694" s="69" t="s">
        <v>1320</v>
      </c>
      <c r="C694" s="64" t="s">
        <v>1321</v>
      </c>
      <c r="D694" s="65">
        <v>0</v>
      </c>
      <c r="E694" s="65">
        <v>3457600000</v>
      </c>
      <c r="F694" s="65">
        <v>0</v>
      </c>
      <c r="G694" s="65">
        <v>0</v>
      </c>
      <c r="H694" s="65">
        <v>0</v>
      </c>
      <c r="I694" s="65">
        <v>0</v>
      </c>
      <c r="J694" s="65">
        <v>0</v>
      </c>
      <c r="K694" s="65">
        <v>0</v>
      </c>
      <c r="L694" s="65">
        <v>0</v>
      </c>
      <c r="M694" s="65">
        <v>0</v>
      </c>
    </row>
    <row r="695" spans="1:13">
      <c r="B695" s="76" t="s">
        <v>1322</v>
      </c>
      <c r="C695" s="64" t="s">
        <v>1323</v>
      </c>
      <c r="D695" s="67">
        <v>0</v>
      </c>
      <c r="E695" s="67">
        <v>3457600000</v>
      </c>
      <c r="F695" s="67">
        <v>0</v>
      </c>
      <c r="G695" s="67">
        <v>0</v>
      </c>
      <c r="H695" s="67">
        <v>0</v>
      </c>
      <c r="I695" s="67">
        <v>0</v>
      </c>
      <c r="J695" s="67">
        <v>0</v>
      </c>
      <c r="K695" s="67">
        <v>0</v>
      </c>
      <c r="L695" s="67">
        <v>0</v>
      </c>
      <c r="M695" s="67">
        <v>0</v>
      </c>
    </row>
    <row r="696" spans="1:13">
      <c r="B696" s="68" t="s">
        <v>1324</v>
      </c>
    </row>
    <row r="697" spans="1:13">
      <c r="B697" s="69" t="s">
        <v>1325</v>
      </c>
      <c r="C697" s="64" t="s">
        <v>1326</v>
      </c>
      <c r="D697" s="65">
        <v>0</v>
      </c>
      <c r="E697" s="65">
        <v>3557000000</v>
      </c>
      <c r="F697" s="65">
        <v>0</v>
      </c>
      <c r="G697" s="65">
        <v>0</v>
      </c>
      <c r="H697" s="65">
        <v>0</v>
      </c>
      <c r="I697" s="65">
        <v>0</v>
      </c>
      <c r="J697" s="65">
        <v>0</v>
      </c>
      <c r="K697" s="65">
        <v>0</v>
      </c>
      <c r="L697" s="65">
        <v>0</v>
      </c>
      <c r="M697" s="65">
        <v>0</v>
      </c>
    </row>
    <row r="698" spans="1:13">
      <c r="B698" s="76" t="s">
        <v>1327</v>
      </c>
      <c r="C698" s="64" t="s">
        <v>1328</v>
      </c>
      <c r="D698" s="67">
        <v>0</v>
      </c>
      <c r="E698" s="67">
        <v>3557000000</v>
      </c>
      <c r="F698" s="67">
        <v>0</v>
      </c>
      <c r="G698" s="67">
        <v>0</v>
      </c>
      <c r="H698" s="67">
        <v>0</v>
      </c>
      <c r="I698" s="67">
        <v>0</v>
      </c>
      <c r="J698" s="67">
        <v>0</v>
      </c>
      <c r="K698" s="67">
        <v>0</v>
      </c>
      <c r="L698" s="67">
        <v>0</v>
      </c>
      <c r="M698" s="67">
        <v>0</v>
      </c>
    </row>
    <row r="703" spans="1:13" ht="15.5">
      <c r="A703" t="s">
        <v>27</v>
      </c>
      <c r="B703" s="42" t="s">
        <v>1329</v>
      </c>
    </row>
    <row r="705" spans="1:13">
      <c r="C705" s="62" t="s">
        <v>625</v>
      </c>
      <c r="D705" s="24" t="s">
        <v>30</v>
      </c>
      <c r="E705" s="24" t="s">
        <v>31</v>
      </c>
      <c r="F705" s="24" t="s">
        <v>32</v>
      </c>
      <c r="G705" s="24" t="s">
        <v>33</v>
      </c>
      <c r="H705" s="24" t="s">
        <v>34</v>
      </c>
      <c r="I705" s="24" t="s">
        <v>35</v>
      </c>
      <c r="J705" s="24" t="s">
        <v>36</v>
      </c>
      <c r="K705" s="24" t="s">
        <v>37</v>
      </c>
      <c r="L705" s="24" t="s">
        <v>38</v>
      </c>
      <c r="M705" s="24" t="s">
        <v>39</v>
      </c>
    </row>
    <row r="707" spans="1:13" ht="15.5">
      <c r="B707" s="42" t="s">
        <v>1330</v>
      </c>
    </row>
    <row r="708" spans="1:13">
      <c r="B708" s="68" t="s">
        <v>757</v>
      </c>
    </row>
    <row r="709" spans="1:13">
      <c r="B709" s="69" t="s">
        <v>1331</v>
      </c>
      <c r="C709" s="64" t="s">
        <v>1332</v>
      </c>
      <c r="D709" s="65">
        <v>0</v>
      </c>
      <c r="E709" s="65">
        <v>28082700000</v>
      </c>
      <c r="F709" s="65">
        <v>-7961700000</v>
      </c>
      <c r="G709" s="65">
        <v>4498600000</v>
      </c>
      <c r="H709" s="65">
        <v>-12570500000</v>
      </c>
      <c r="I709" s="65">
        <v>-1613700000</v>
      </c>
      <c r="J709" s="65">
        <v>-744600000</v>
      </c>
      <c r="K709" s="65">
        <v>-311500000</v>
      </c>
      <c r="L709" s="65">
        <v>-5961900000</v>
      </c>
      <c r="M709" s="65">
        <v>9155100000</v>
      </c>
    </row>
    <row r="710" spans="1:13">
      <c r="B710" s="76" t="s">
        <v>223</v>
      </c>
      <c r="C710" s="64" t="s">
        <v>777</v>
      </c>
      <c r="D710" s="67">
        <v>0</v>
      </c>
      <c r="E710" s="67">
        <v>28082700000</v>
      </c>
      <c r="F710" s="67">
        <v>-7961700000</v>
      </c>
      <c r="G710" s="67">
        <v>4498600000</v>
      </c>
      <c r="H710" s="67">
        <v>-12570500000</v>
      </c>
      <c r="I710" s="67">
        <v>-1613700000</v>
      </c>
      <c r="J710" s="67">
        <v>-744600000</v>
      </c>
      <c r="K710" s="67">
        <v>-311500000</v>
      </c>
      <c r="L710" s="67">
        <v>-5961900000</v>
      </c>
      <c r="M710" s="67">
        <v>9155100000</v>
      </c>
    </row>
    <row r="711" spans="1:13">
      <c r="B711" s="68" t="s">
        <v>224</v>
      </c>
    </row>
    <row r="712" spans="1:13">
      <c r="B712" s="69" t="s">
        <v>1333</v>
      </c>
      <c r="C712" s="64" t="s">
        <v>1334</v>
      </c>
      <c r="D712" s="65">
        <v>0</v>
      </c>
      <c r="E712" s="65">
        <v>-18513900000</v>
      </c>
      <c r="F712" s="65">
        <v>319400000</v>
      </c>
      <c r="G712" s="65">
        <v>5338900000</v>
      </c>
      <c r="H712" s="65">
        <v>-35028200000</v>
      </c>
      <c r="I712" s="65">
        <v>5175800000</v>
      </c>
      <c r="J712" s="65">
        <v>11797100000</v>
      </c>
      <c r="K712" s="65">
        <v>4076700000</v>
      </c>
      <c r="L712" s="65">
        <v>3765600000</v>
      </c>
      <c r="M712" s="65">
        <v>-6119000000</v>
      </c>
    </row>
    <row r="713" spans="1:13">
      <c r="B713" s="76" t="s">
        <v>235</v>
      </c>
      <c r="C713" s="64" t="s">
        <v>788</v>
      </c>
      <c r="D713" s="67">
        <v>0</v>
      </c>
      <c r="E713" s="67">
        <v>-18513900000</v>
      </c>
      <c r="F713" s="67">
        <v>319400000</v>
      </c>
      <c r="G713" s="67">
        <v>5338900000</v>
      </c>
      <c r="H713" s="67">
        <v>-35028200000</v>
      </c>
      <c r="I713" s="67">
        <v>5175800000</v>
      </c>
      <c r="J713" s="67">
        <v>11797100000</v>
      </c>
      <c r="K713" s="67">
        <v>4076700000</v>
      </c>
      <c r="L713" s="67">
        <v>3765600000</v>
      </c>
      <c r="M713" s="67">
        <v>-6119000000</v>
      </c>
    </row>
    <row r="714" spans="1:13">
      <c r="B714" s="68" t="s">
        <v>236</v>
      </c>
    </row>
    <row r="715" spans="1:13">
      <c r="B715" s="69" t="s">
        <v>1335</v>
      </c>
      <c r="C715" s="64" t="s">
        <v>1336</v>
      </c>
      <c r="D715" s="65">
        <v>0</v>
      </c>
      <c r="E715" s="65">
        <v>-8977100000</v>
      </c>
      <c r="F715" s="65">
        <v>10575500000</v>
      </c>
      <c r="G715" s="65">
        <v>-14142500000</v>
      </c>
      <c r="H715" s="65">
        <v>47799500000</v>
      </c>
      <c r="I715" s="65">
        <v>-1988400000</v>
      </c>
      <c r="J715" s="65">
        <v>-8888800000</v>
      </c>
      <c r="K715" s="65">
        <v>-4959100000</v>
      </c>
      <c r="L715" s="65">
        <v>1921300000</v>
      </c>
      <c r="M715" s="65">
        <v>3310300000</v>
      </c>
    </row>
    <row r="716" spans="1:13">
      <c r="B716" s="76" t="s">
        <v>244</v>
      </c>
      <c r="C716" s="64" t="s">
        <v>797</v>
      </c>
      <c r="D716" s="67">
        <v>0</v>
      </c>
      <c r="E716" s="67">
        <v>-8977100000</v>
      </c>
      <c r="F716" s="67">
        <v>10575500000</v>
      </c>
      <c r="G716" s="67">
        <v>-14142500000</v>
      </c>
      <c r="H716" s="67">
        <v>47799500000</v>
      </c>
      <c r="I716" s="67">
        <v>-1988400000</v>
      </c>
      <c r="J716" s="67">
        <v>-8888800000</v>
      </c>
      <c r="K716" s="67">
        <v>-4959100000</v>
      </c>
      <c r="L716" s="67">
        <v>1921300000</v>
      </c>
      <c r="M716" s="67">
        <v>3310300000</v>
      </c>
    </row>
    <row r="719" spans="1:13" ht="15.5">
      <c r="A719" t="s">
        <v>27</v>
      </c>
      <c r="B719" s="42" t="s">
        <v>1337</v>
      </c>
    </row>
    <row r="721" spans="2:13">
      <c r="C721" s="62" t="s">
        <v>625</v>
      </c>
      <c r="D721" s="24" t="s">
        <v>30</v>
      </c>
      <c r="E721" s="24" t="s">
        <v>31</v>
      </c>
      <c r="F721" s="24" t="s">
        <v>32</v>
      </c>
      <c r="G721" s="24" t="s">
        <v>33</v>
      </c>
      <c r="H721" s="24" t="s">
        <v>34</v>
      </c>
      <c r="I721" s="24" t="s">
        <v>35</v>
      </c>
      <c r="J721" s="24" t="s">
        <v>36</v>
      </c>
      <c r="K721" s="24" t="s">
        <v>37</v>
      </c>
      <c r="L721" s="24" t="s">
        <v>38</v>
      </c>
      <c r="M721" s="24" t="s">
        <v>39</v>
      </c>
    </row>
    <row r="722" spans="2:13">
      <c r="B722" s="63" t="s">
        <v>1338</v>
      </c>
      <c r="C722" s="64" t="s">
        <v>1339</v>
      </c>
      <c r="D722" s="65">
        <v>0</v>
      </c>
      <c r="E722" s="65">
        <v>37821800</v>
      </c>
      <c r="F722" s="65">
        <v>31041300</v>
      </c>
      <c r="G722" s="65">
        <v>29445000</v>
      </c>
      <c r="H722" s="65">
        <v>0</v>
      </c>
      <c r="I722" s="65">
        <v>0</v>
      </c>
      <c r="J722" s="65">
        <v>0</v>
      </c>
      <c r="K722" s="65">
        <v>0</v>
      </c>
      <c r="L722" s="65">
        <v>104490000</v>
      </c>
      <c r="M722" s="65">
        <v>238482850</v>
      </c>
    </row>
    <row r="723" spans="2:13">
      <c r="B723" s="68" t="s">
        <v>1340</v>
      </c>
    </row>
    <row r="724" spans="2:13">
      <c r="B724" s="69" t="s">
        <v>1341</v>
      </c>
      <c r="C724" s="64" t="s">
        <v>1342</v>
      </c>
      <c r="D724" s="65">
        <v>0</v>
      </c>
      <c r="E724" s="65">
        <v>0</v>
      </c>
      <c r="F724" s="65">
        <v>0</v>
      </c>
      <c r="G724" s="65">
        <v>0</v>
      </c>
      <c r="H724" s="65">
        <v>0</v>
      </c>
      <c r="I724" s="65">
        <v>0</v>
      </c>
      <c r="J724" s="65">
        <v>0</v>
      </c>
      <c r="K724" s="65">
        <v>0</v>
      </c>
      <c r="L724" s="65">
        <v>109290000</v>
      </c>
      <c r="M724" s="65">
        <v>74540000</v>
      </c>
    </row>
    <row r="725" spans="2:13">
      <c r="B725" s="69" t="s">
        <v>1343</v>
      </c>
      <c r="C725" s="64" t="s">
        <v>1344</v>
      </c>
      <c r="D725" s="65">
        <v>0</v>
      </c>
      <c r="E725" s="65">
        <v>-2519000</v>
      </c>
      <c r="F725" s="65">
        <v>-6780500</v>
      </c>
      <c r="G725" s="65">
        <v>-1596300</v>
      </c>
      <c r="H725" s="65">
        <v>0</v>
      </c>
      <c r="I725" s="65">
        <v>0</v>
      </c>
      <c r="J725" s="65">
        <v>0</v>
      </c>
      <c r="K725" s="65">
        <v>0</v>
      </c>
      <c r="L725" s="65">
        <v>0</v>
      </c>
      <c r="M725" s="65">
        <v>13870500</v>
      </c>
    </row>
    <row r="726" spans="2:13">
      <c r="B726" s="69" t="s">
        <v>1345</v>
      </c>
      <c r="C726" s="64" t="s">
        <v>1346</v>
      </c>
      <c r="D726" s="65">
        <v>0</v>
      </c>
      <c r="E726" s="65">
        <v>0</v>
      </c>
      <c r="F726" s="65">
        <v>0</v>
      </c>
      <c r="G726" s="65">
        <v>0</v>
      </c>
      <c r="H726" s="65">
        <v>0</v>
      </c>
      <c r="I726" s="65">
        <v>0</v>
      </c>
      <c r="J726" s="65">
        <v>0</v>
      </c>
      <c r="K726" s="65">
        <v>0</v>
      </c>
      <c r="L726" s="65">
        <v>0</v>
      </c>
      <c r="M726" s="65">
        <v>44232350</v>
      </c>
    </row>
    <row r="727" spans="2:13">
      <c r="B727" s="69" t="s">
        <v>1347</v>
      </c>
      <c r="C727" s="64" t="s">
        <v>1348</v>
      </c>
      <c r="D727" s="65">
        <v>0</v>
      </c>
      <c r="E727" s="65">
        <v>0</v>
      </c>
      <c r="F727" s="65">
        <v>0</v>
      </c>
      <c r="G727" s="65">
        <v>0</v>
      </c>
      <c r="H727" s="65">
        <v>-29445000</v>
      </c>
      <c r="I727" s="65">
        <v>0</v>
      </c>
      <c r="J727" s="65">
        <v>0</v>
      </c>
      <c r="K727" s="65">
        <v>0</v>
      </c>
      <c r="L727" s="65">
        <v>-4800000</v>
      </c>
      <c r="M727" s="65">
        <v>0</v>
      </c>
    </row>
    <row r="728" spans="2:13">
      <c r="B728" s="76" t="s">
        <v>1349</v>
      </c>
      <c r="C728" s="64" t="s">
        <v>1350</v>
      </c>
      <c r="D728" s="67">
        <v>0</v>
      </c>
      <c r="E728" s="67">
        <v>-2519000</v>
      </c>
      <c r="F728" s="67">
        <v>-6780500</v>
      </c>
      <c r="G728" s="67">
        <v>-1596300</v>
      </c>
      <c r="H728" s="67">
        <v>-29445000</v>
      </c>
      <c r="I728" s="67">
        <v>0</v>
      </c>
      <c r="J728" s="67">
        <v>0</v>
      </c>
      <c r="K728" s="67">
        <v>0</v>
      </c>
      <c r="L728" s="67">
        <v>104490000</v>
      </c>
      <c r="M728" s="67">
        <v>132642850</v>
      </c>
    </row>
    <row r="729" spans="2:13">
      <c r="B729" s="63" t="s">
        <v>1338</v>
      </c>
      <c r="C729" s="64" t="s">
        <v>1339</v>
      </c>
      <c r="D729" s="65">
        <v>0</v>
      </c>
      <c r="E729" s="65">
        <v>37821800</v>
      </c>
      <c r="F729" s="65">
        <v>31041300</v>
      </c>
      <c r="G729" s="65">
        <v>29445000</v>
      </c>
      <c r="H729" s="65">
        <v>0</v>
      </c>
      <c r="I729" s="65">
        <v>0</v>
      </c>
      <c r="J729" s="65">
        <v>0</v>
      </c>
      <c r="K729" s="65">
        <v>0</v>
      </c>
      <c r="L729" s="65">
        <v>104490000</v>
      </c>
      <c r="M729" s="65">
        <v>238482850</v>
      </c>
    </row>
    <row r="730" spans="2:13">
      <c r="B730" s="63" t="s">
        <v>1351</v>
      </c>
      <c r="C730" s="64" t="s">
        <v>1352</v>
      </c>
      <c r="D730" s="65">
        <v>0</v>
      </c>
      <c r="E730" s="65">
        <v>37821800</v>
      </c>
      <c r="F730" s="65">
        <v>31041300</v>
      </c>
      <c r="G730" s="65">
        <v>0</v>
      </c>
      <c r="H730" s="65">
        <v>0</v>
      </c>
      <c r="I730" s="65">
        <v>0</v>
      </c>
      <c r="J730" s="65">
        <v>0</v>
      </c>
      <c r="K730" s="65">
        <v>0</v>
      </c>
      <c r="L730" s="65">
        <v>104490000</v>
      </c>
      <c r="M730" s="65">
        <v>1312150</v>
      </c>
    </row>
    <row r="731" spans="2:13">
      <c r="B731" s="63" t="s">
        <v>1353</v>
      </c>
      <c r="C731" s="64" t="s">
        <v>1354</v>
      </c>
      <c r="D731" s="65">
        <v>0</v>
      </c>
      <c r="E731" s="65">
        <v>0</v>
      </c>
      <c r="F731" s="65">
        <v>0</v>
      </c>
      <c r="G731" s="65">
        <v>0</v>
      </c>
      <c r="H731" s="65">
        <v>0</v>
      </c>
      <c r="I731" s="65">
        <v>0</v>
      </c>
      <c r="J731" s="65">
        <v>0</v>
      </c>
      <c r="K731" s="65">
        <v>0</v>
      </c>
      <c r="L731" s="65">
        <v>50000000</v>
      </c>
      <c r="M731" s="65">
        <v>598000000</v>
      </c>
    </row>
    <row r="732" spans="2:13">
      <c r="B732" s="68" t="s">
        <v>1355</v>
      </c>
    </row>
    <row r="733" spans="2:13">
      <c r="B733" s="69" t="s">
        <v>1356</v>
      </c>
      <c r="C733" s="64" t="s">
        <v>1357</v>
      </c>
      <c r="D733" s="65">
        <v>0</v>
      </c>
      <c r="E733" s="65">
        <v>0</v>
      </c>
      <c r="F733" s="65">
        <v>0</v>
      </c>
      <c r="G733" s="65">
        <v>0</v>
      </c>
      <c r="H733" s="65">
        <v>0</v>
      </c>
      <c r="I733" s="65">
        <v>0</v>
      </c>
      <c r="J733" s="65">
        <v>0</v>
      </c>
      <c r="K733" s="65">
        <v>0</v>
      </c>
      <c r="L733" s="65">
        <v>50000000</v>
      </c>
      <c r="M733" s="65">
        <v>598000000</v>
      </c>
    </row>
    <row r="734" spans="2:13">
      <c r="B734" s="76" t="s">
        <v>1358</v>
      </c>
      <c r="C734" s="64" t="s">
        <v>1359</v>
      </c>
      <c r="D734" s="67">
        <v>0</v>
      </c>
      <c r="E734" s="67">
        <v>0</v>
      </c>
      <c r="F734" s="67">
        <v>0</v>
      </c>
      <c r="G734" s="67">
        <v>0</v>
      </c>
      <c r="H734" s="67">
        <v>0</v>
      </c>
      <c r="I734" s="67">
        <v>0</v>
      </c>
      <c r="J734" s="67">
        <v>0</v>
      </c>
      <c r="K734" s="67">
        <v>0</v>
      </c>
      <c r="L734" s="67">
        <v>50000000</v>
      </c>
      <c r="M734" s="67">
        <v>598000000</v>
      </c>
    </row>
    <row r="735" spans="2:13">
      <c r="B735" s="63" t="s">
        <v>1353</v>
      </c>
      <c r="C735" s="64" t="s">
        <v>1354</v>
      </c>
      <c r="D735" s="65">
        <v>0</v>
      </c>
      <c r="E735" s="65">
        <v>0</v>
      </c>
      <c r="F735" s="65">
        <v>0</v>
      </c>
      <c r="G735" s="65">
        <v>0</v>
      </c>
      <c r="H735" s="65">
        <v>0</v>
      </c>
      <c r="I735" s="65">
        <v>0</v>
      </c>
      <c r="J735" s="65">
        <v>0</v>
      </c>
      <c r="K735" s="65">
        <v>0</v>
      </c>
      <c r="L735" s="65">
        <v>50000000</v>
      </c>
      <c r="M735" s="65">
        <v>598000000</v>
      </c>
    </row>
    <row r="736" spans="2:13">
      <c r="B736" s="7" t="s">
        <v>1360</v>
      </c>
      <c r="C736" s="64" t="s">
        <v>1361</v>
      </c>
      <c r="D736" s="65">
        <v>0</v>
      </c>
      <c r="E736" s="65">
        <v>133700000</v>
      </c>
      <c r="F736" s="65">
        <v>133700000</v>
      </c>
      <c r="G736" s="65">
        <v>133700000</v>
      </c>
      <c r="H736" s="65">
        <v>0</v>
      </c>
      <c r="I736" s="65">
        <v>0</v>
      </c>
      <c r="J736" s="65">
        <v>0</v>
      </c>
      <c r="K736" s="65">
        <v>0</v>
      </c>
      <c r="L736" s="65">
        <v>50000000</v>
      </c>
      <c r="M736" s="65">
        <v>598000000</v>
      </c>
    </row>
    <row r="737" spans="2:13">
      <c r="B737" s="71" t="s">
        <v>1362</v>
      </c>
      <c r="C737" s="64" t="s">
        <v>1363</v>
      </c>
      <c r="D737" s="65">
        <v>0</v>
      </c>
      <c r="E737" s="65">
        <v>133700000</v>
      </c>
      <c r="F737" s="65">
        <v>133700000</v>
      </c>
      <c r="G737" s="65">
        <v>133700000</v>
      </c>
      <c r="H737" s="65">
        <v>0</v>
      </c>
      <c r="I737" s="65">
        <v>0</v>
      </c>
      <c r="J737" s="65">
        <v>0</v>
      </c>
      <c r="K737" s="65">
        <v>0</v>
      </c>
      <c r="L737" s="65">
        <v>0</v>
      </c>
      <c r="M737" s="65">
        <v>0</v>
      </c>
    </row>
    <row r="738" spans="2:13">
      <c r="B738" s="71" t="s">
        <v>1366</v>
      </c>
      <c r="C738" s="64" t="s">
        <v>1367</v>
      </c>
      <c r="D738" s="65">
        <v>0</v>
      </c>
      <c r="E738" s="65">
        <v>2</v>
      </c>
      <c r="F738" s="65">
        <v>2</v>
      </c>
      <c r="G738" s="65">
        <v>2</v>
      </c>
      <c r="H738" s="65">
        <v>0</v>
      </c>
      <c r="I738" s="65">
        <v>0</v>
      </c>
      <c r="J738" s="65">
        <v>0</v>
      </c>
      <c r="K738" s="65">
        <v>0</v>
      </c>
      <c r="L738" s="65">
        <v>0</v>
      </c>
      <c r="M738" s="65">
        <v>0</v>
      </c>
    </row>
    <row r="740" spans="2:13" ht="15.5">
      <c r="B740" s="42" t="s">
        <v>1370</v>
      </c>
    </row>
    <row r="741" spans="2:13">
      <c r="B741" s="63" t="s">
        <v>1371</v>
      </c>
      <c r="C741" s="64" t="s">
        <v>1372</v>
      </c>
      <c r="D741" s="65">
        <v>0</v>
      </c>
      <c r="E741" s="65">
        <v>22400000</v>
      </c>
      <c r="F741" s="65">
        <v>0</v>
      </c>
      <c r="G741" s="65">
        <v>0</v>
      </c>
      <c r="H741" s="65">
        <v>0</v>
      </c>
      <c r="I741" s="65">
        <v>0</v>
      </c>
      <c r="J741" s="65">
        <v>0</v>
      </c>
      <c r="K741" s="65">
        <v>0</v>
      </c>
      <c r="L741" s="65">
        <v>0</v>
      </c>
      <c r="M741" s="65">
        <v>0</v>
      </c>
    </row>
    <row r="742" spans="2:13">
      <c r="B742" s="66" t="s">
        <v>1373</v>
      </c>
      <c r="C742" s="64" t="s">
        <v>1374</v>
      </c>
      <c r="D742" s="67">
        <v>0</v>
      </c>
      <c r="E742" s="67">
        <v>22400000</v>
      </c>
      <c r="F742" s="67">
        <v>0</v>
      </c>
      <c r="G742" s="67">
        <v>0</v>
      </c>
      <c r="H742" s="67">
        <v>0</v>
      </c>
      <c r="I742" s="67">
        <v>0</v>
      </c>
      <c r="J742" s="67">
        <v>0</v>
      </c>
      <c r="K742" s="67">
        <v>0</v>
      </c>
      <c r="L742" s="67">
        <v>0</v>
      </c>
      <c r="M742" s="67">
        <v>0</v>
      </c>
    </row>
    <row r="744" spans="2:13" ht="15.5">
      <c r="B744" s="42" t="s">
        <v>1375</v>
      </c>
    </row>
    <row r="745" spans="2:13">
      <c r="B745" s="66" t="s">
        <v>1373</v>
      </c>
      <c r="C745" s="64" t="s">
        <v>1374</v>
      </c>
      <c r="D745" s="67">
        <v>0</v>
      </c>
      <c r="E745" s="67">
        <v>22400000</v>
      </c>
      <c r="F745" s="67">
        <v>0</v>
      </c>
      <c r="G745" s="67">
        <v>0</v>
      </c>
      <c r="H745" s="67">
        <v>0</v>
      </c>
      <c r="I745" s="67">
        <v>0</v>
      </c>
      <c r="J745" s="67">
        <v>0</v>
      </c>
      <c r="K745" s="67">
        <v>0</v>
      </c>
      <c r="L745" s="67">
        <v>0</v>
      </c>
      <c r="M745" s="67">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506"/>
  <sheetViews>
    <sheetView showGridLines="0" workbookViewId="0"/>
  </sheetViews>
  <sheetFormatPr defaultRowHeight="14.5"/>
  <cols>
    <col min="1" max="1" width="30" customWidth="1"/>
    <col min="2" max="8" width="16" customWidth="1"/>
  </cols>
  <sheetData>
    <row r="1" spans="1:6" ht="18.5">
      <c r="A1" s="127" t="s">
        <v>1439</v>
      </c>
    </row>
    <row r="5" spans="1:6" ht="15.5">
      <c r="A5" s="112" t="s">
        <v>1440</v>
      </c>
    </row>
    <row r="7" spans="1:6">
      <c r="A7" s="115" t="s">
        <v>527</v>
      </c>
      <c r="B7" s="115" t="s">
        <v>1441</v>
      </c>
      <c r="C7" s="115" t="s">
        <v>1442</v>
      </c>
      <c r="D7" s="115" t="s">
        <v>1443</v>
      </c>
      <c r="E7" s="115" t="s">
        <v>1444</v>
      </c>
      <c r="F7" s="115" t="s">
        <v>1445</v>
      </c>
    </row>
    <row r="8" spans="1:6">
      <c r="A8" t="s">
        <v>1446</v>
      </c>
      <c r="B8" t="s">
        <v>1447</v>
      </c>
      <c r="C8" t="s">
        <v>1448</v>
      </c>
      <c r="D8">
        <v>4.195048511608233E-3</v>
      </c>
      <c r="E8">
        <v>4.8690645163649598E-2</v>
      </c>
      <c r="F8">
        <v>6.3906451636495994E-3</v>
      </c>
    </row>
    <row r="9" spans="1:6">
      <c r="A9" t="s">
        <v>1449</v>
      </c>
      <c r="B9" t="s">
        <v>1450</v>
      </c>
      <c r="C9" t="s">
        <v>1451</v>
      </c>
      <c r="D9">
        <v>3.0563924870288549E-2</v>
      </c>
      <c r="E9">
        <v>8.8860414763732784E-2</v>
      </c>
      <c r="F9">
        <v>4.6560414763732787E-2</v>
      </c>
    </row>
    <row r="10" spans="1:6">
      <c r="A10" t="s">
        <v>1452</v>
      </c>
      <c r="B10" t="s">
        <v>1453</v>
      </c>
      <c r="C10" t="s">
        <v>1454</v>
      </c>
      <c r="D10">
        <v>1.358396660901713E-2</v>
      </c>
      <c r="E10">
        <v>6.2993517672770116E-2</v>
      </c>
      <c r="F10">
        <v>2.0693517672770129E-2</v>
      </c>
    </row>
    <row r="11" spans="1:6">
      <c r="A11" t="s">
        <v>1455</v>
      </c>
      <c r="B11" t="s">
        <v>1456</v>
      </c>
      <c r="C11" t="s">
        <v>1457</v>
      </c>
      <c r="D11">
        <v>5.523480540284173E-2</v>
      </c>
      <c r="E11">
        <v>0.12644349465471971</v>
      </c>
      <c r="F11">
        <v>8.4143494654719708E-2</v>
      </c>
    </row>
    <row r="12" spans="1:6">
      <c r="A12" t="s">
        <v>1458</v>
      </c>
      <c r="B12" t="s">
        <v>1459</v>
      </c>
      <c r="C12" t="s">
        <v>1460</v>
      </c>
      <c r="D12">
        <v>6.3724784533477435E-2</v>
      </c>
      <c r="E12">
        <v>0.139376943200201</v>
      </c>
      <c r="F12">
        <v>9.7076943200201035E-2</v>
      </c>
    </row>
    <row r="13" spans="1:6">
      <c r="A13" t="s">
        <v>1461</v>
      </c>
      <c r="B13" t="s">
        <v>1450</v>
      </c>
      <c r="C13" t="s">
        <v>1451</v>
      </c>
      <c r="D13">
        <v>3.0563924870288549E-2</v>
      </c>
      <c r="E13">
        <v>8.8860414763732784E-2</v>
      </c>
      <c r="F13">
        <v>4.6560414763732787E-2</v>
      </c>
    </row>
    <row r="14" spans="1:6">
      <c r="A14" t="s">
        <v>1462</v>
      </c>
      <c r="B14" t="s">
        <v>1463</v>
      </c>
      <c r="C14" t="s">
        <v>1464</v>
      </c>
      <c r="D14">
        <v>1.8677954087398561E-2</v>
      </c>
      <c r="E14">
        <v>7.0753586800058929E-2</v>
      </c>
      <c r="F14">
        <v>2.8453586800058928E-2</v>
      </c>
    </row>
    <row r="15" spans="1:6">
      <c r="A15" t="s">
        <v>1465</v>
      </c>
      <c r="B15" t="s">
        <v>1466</v>
      </c>
      <c r="C15" t="s">
        <v>1467</v>
      </c>
      <c r="D15">
        <v>0</v>
      </c>
      <c r="E15">
        <v>4.2299999999999997E-2</v>
      </c>
      <c r="F15">
        <v>0</v>
      </c>
    </row>
    <row r="16" spans="1:6">
      <c r="A16" t="s">
        <v>1468</v>
      </c>
      <c r="B16" t="s">
        <v>1453</v>
      </c>
      <c r="C16" t="s">
        <v>1469</v>
      </c>
      <c r="D16">
        <v>2.3336791699920191E-3</v>
      </c>
      <c r="E16">
        <v>4.5855075813772149E-2</v>
      </c>
      <c r="F16">
        <v>3.5550758137721551E-3</v>
      </c>
    </row>
    <row r="17" spans="1:6">
      <c r="A17" t="s">
        <v>1470</v>
      </c>
      <c r="B17" t="s">
        <v>1450</v>
      </c>
      <c r="C17" t="s">
        <v>1464</v>
      </c>
      <c r="D17">
        <v>1.8677954087398561E-2</v>
      </c>
      <c r="E17">
        <v>7.0753586800058929E-2</v>
      </c>
      <c r="F17">
        <v>2.8453586800058928E-2</v>
      </c>
    </row>
    <row r="18" spans="1:6">
      <c r="A18" t="s">
        <v>1471</v>
      </c>
      <c r="B18" t="s">
        <v>1463</v>
      </c>
      <c r="C18" t="s">
        <v>1472</v>
      </c>
      <c r="D18">
        <v>3.8254847141570313E-2</v>
      </c>
      <c r="E18">
        <v>0.100576597563757</v>
      </c>
      <c r="F18">
        <v>5.827659756375704E-2</v>
      </c>
    </row>
    <row r="19" spans="1:6">
      <c r="A19" t="s">
        <v>1473</v>
      </c>
      <c r="B19" t="s">
        <v>1447</v>
      </c>
      <c r="C19" t="s">
        <v>1474</v>
      </c>
      <c r="D19">
        <v>4.6744826272206018E-2</v>
      </c>
      <c r="E19">
        <v>0.1135100461092384</v>
      </c>
      <c r="F19">
        <v>7.1210046109238381E-2</v>
      </c>
    </row>
    <row r="20" spans="1:6">
      <c r="A20" t="s">
        <v>1475</v>
      </c>
      <c r="B20" t="s">
        <v>1476</v>
      </c>
      <c r="C20" t="s">
        <v>1474</v>
      </c>
      <c r="D20">
        <v>4.6744826272206018E-2</v>
      </c>
      <c r="E20">
        <v>0.1135100461092384</v>
      </c>
      <c r="F20">
        <v>7.1210046109238381E-2</v>
      </c>
    </row>
    <row r="21" spans="1:6">
      <c r="A21" t="s">
        <v>1477</v>
      </c>
      <c r="B21" t="s">
        <v>1463</v>
      </c>
      <c r="C21" t="s">
        <v>1474</v>
      </c>
      <c r="D21">
        <v>4.6744826272206018E-2</v>
      </c>
      <c r="E21">
        <v>0.1135100461092384</v>
      </c>
      <c r="F21">
        <v>7.1210046109238381E-2</v>
      </c>
    </row>
    <row r="22" spans="1:6">
      <c r="A22" t="s">
        <v>1478</v>
      </c>
      <c r="B22" t="s">
        <v>1450</v>
      </c>
      <c r="C22" t="s">
        <v>1479</v>
      </c>
      <c r="D22">
        <v>0.17499999999999999</v>
      </c>
      <c r="E22">
        <v>0.30889117303269009</v>
      </c>
      <c r="F22">
        <v>0.26659117303269009</v>
      </c>
    </row>
    <row r="23" spans="1:6">
      <c r="A23" t="s">
        <v>1480</v>
      </c>
      <c r="B23" t="s">
        <v>1453</v>
      </c>
      <c r="C23" t="s">
        <v>1481</v>
      </c>
      <c r="D23">
        <v>5.093987478381426E-3</v>
      </c>
      <c r="E23">
        <v>5.0060069127288803E-2</v>
      </c>
      <c r="F23">
        <v>7.7600691272887981E-3</v>
      </c>
    </row>
    <row r="24" spans="1:6">
      <c r="A24" t="s">
        <v>1482</v>
      </c>
      <c r="B24" t="s">
        <v>1459</v>
      </c>
      <c r="C24" t="s">
        <v>1460</v>
      </c>
      <c r="D24">
        <v>6.3724784533477435E-2</v>
      </c>
      <c r="E24">
        <v>0.139376943200201</v>
      </c>
      <c r="F24">
        <v>9.7076943200201035E-2</v>
      </c>
    </row>
    <row r="25" spans="1:6">
      <c r="A25" t="s">
        <v>1483</v>
      </c>
      <c r="B25" t="s">
        <v>1456</v>
      </c>
      <c r="C25" t="s">
        <v>1472</v>
      </c>
      <c r="D25">
        <v>3.8254847141570313E-2</v>
      </c>
      <c r="E25">
        <v>0.100576597563757</v>
      </c>
      <c r="F25">
        <v>5.827659756375704E-2</v>
      </c>
    </row>
    <row r="26" spans="1:6">
      <c r="A26" t="s">
        <v>1484</v>
      </c>
      <c r="B26" t="s">
        <v>1463</v>
      </c>
      <c r="C26" t="s">
        <v>1485</v>
      </c>
      <c r="D26">
        <v>7.1915117341855416E-3</v>
      </c>
      <c r="E26">
        <v>5.3255391709113593E-2</v>
      </c>
      <c r="F26">
        <v>1.09553917091136E-2</v>
      </c>
    </row>
    <row r="27" spans="1:6">
      <c r="A27" t="s">
        <v>1486</v>
      </c>
      <c r="B27" t="s">
        <v>1459</v>
      </c>
      <c r="C27" t="s">
        <v>1487</v>
      </c>
      <c r="D27">
        <v>0.1019796316750478</v>
      </c>
      <c r="E27">
        <v>0.19765354076395811</v>
      </c>
      <c r="F27">
        <v>0.1553535407639581</v>
      </c>
    </row>
    <row r="28" spans="1:6">
      <c r="A28" t="s">
        <v>1488</v>
      </c>
      <c r="B28" t="s">
        <v>1450</v>
      </c>
      <c r="C28" t="s">
        <v>1457</v>
      </c>
      <c r="D28">
        <v>5.523480540284173E-2</v>
      </c>
      <c r="E28">
        <v>0.12644349465471971</v>
      </c>
      <c r="F28">
        <v>8.4143494654719708E-2</v>
      </c>
    </row>
    <row r="29" spans="1:6">
      <c r="A29" t="s">
        <v>1489</v>
      </c>
      <c r="B29" t="s">
        <v>1456</v>
      </c>
      <c r="C29" t="s">
        <v>1454</v>
      </c>
      <c r="D29">
        <v>1.358396660901713E-2</v>
      </c>
      <c r="E29">
        <v>6.2993517672770116E-2</v>
      </c>
      <c r="F29">
        <v>2.0693517672770129E-2</v>
      </c>
    </row>
    <row r="30" spans="1:6">
      <c r="A30" t="s">
        <v>1490</v>
      </c>
      <c r="B30" t="s">
        <v>1459</v>
      </c>
      <c r="C30" t="s">
        <v>1491</v>
      </c>
      <c r="D30">
        <v>2.1274888880298898E-2</v>
      </c>
      <c r="E30">
        <v>7.4709700472794391E-2</v>
      </c>
      <c r="F30">
        <v>3.2409700472794387E-2</v>
      </c>
    </row>
    <row r="31" spans="1:6">
      <c r="A31" t="s">
        <v>1492</v>
      </c>
      <c r="B31" t="s">
        <v>1450</v>
      </c>
      <c r="C31" t="s">
        <v>1454</v>
      </c>
      <c r="D31">
        <v>1.358396660901713E-2</v>
      </c>
      <c r="E31">
        <v>6.2993517672770116E-2</v>
      </c>
      <c r="F31">
        <v>2.0693517672770129E-2</v>
      </c>
    </row>
    <row r="32" spans="1:6">
      <c r="A32" t="s">
        <v>1493</v>
      </c>
      <c r="B32" t="s">
        <v>1456</v>
      </c>
      <c r="C32" t="s">
        <v>1460</v>
      </c>
      <c r="D32">
        <v>6.3724784533477435E-2</v>
      </c>
      <c r="E32">
        <v>0.139376943200201</v>
      </c>
      <c r="F32">
        <v>9.7076943200201035E-2</v>
      </c>
    </row>
    <row r="33" spans="1:6">
      <c r="A33" t="s">
        <v>1494</v>
      </c>
      <c r="B33" t="s">
        <v>1476</v>
      </c>
      <c r="C33" t="s">
        <v>1474</v>
      </c>
      <c r="D33">
        <v>4.6744826272206018E-2</v>
      </c>
      <c r="E33">
        <v>0.1135100461092384</v>
      </c>
      <c r="F33">
        <v>7.1210046109238381E-2</v>
      </c>
    </row>
    <row r="34" spans="1:6">
      <c r="A34" t="s">
        <v>1495</v>
      </c>
      <c r="B34" t="s">
        <v>1456</v>
      </c>
      <c r="C34" t="s">
        <v>1460</v>
      </c>
      <c r="D34">
        <v>6.3724784533477435E-2</v>
      </c>
      <c r="E34">
        <v>0.139376943200201</v>
      </c>
      <c r="F34">
        <v>9.7076943200201035E-2</v>
      </c>
    </row>
    <row r="35" spans="1:6">
      <c r="A35" t="s">
        <v>1496</v>
      </c>
      <c r="B35" t="s">
        <v>1497</v>
      </c>
      <c r="C35" t="s">
        <v>1467</v>
      </c>
      <c r="D35">
        <v>0</v>
      </c>
      <c r="E35">
        <v>4.2299999999999997E-2</v>
      </c>
      <c r="F35">
        <v>0</v>
      </c>
    </row>
    <row r="36" spans="1:6">
      <c r="A36" t="s">
        <v>1498</v>
      </c>
      <c r="B36" t="s">
        <v>1456</v>
      </c>
      <c r="C36" t="s">
        <v>1474</v>
      </c>
      <c r="D36">
        <v>4.6744826272206018E-2</v>
      </c>
      <c r="E36">
        <v>0.1135100461092384</v>
      </c>
      <c r="F36">
        <v>7.1210046109238381E-2</v>
      </c>
    </row>
    <row r="37" spans="1:6">
      <c r="A37" t="s">
        <v>1499</v>
      </c>
      <c r="B37" t="s">
        <v>1463</v>
      </c>
      <c r="C37" t="s">
        <v>1481</v>
      </c>
      <c r="D37">
        <v>5.093987478381426E-3</v>
      </c>
      <c r="E37">
        <v>5.0060069127288803E-2</v>
      </c>
      <c r="F37">
        <v>7.7600691272887981E-3</v>
      </c>
    </row>
    <row r="38" spans="1:6">
      <c r="A38" t="s">
        <v>1500</v>
      </c>
      <c r="B38" t="s">
        <v>1459</v>
      </c>
      <c r="C38" t="s">
        <v>1485</v>
      </c>
      <c r="D38">
        <v>7.1915117341855416E-3</v>
      </c>
      <c r="E38">
        <v>5.3255391709113593E-2</v>
      </c>
      <c r="F38">
        <v>1.09553917091136E-2</v>
      </c>
    </row>
    <row r="39" spans="1:6">
      <c r="A39" t="s">
        <v>1501</v>
      </c>
      <c r="B39" t="s">
        <v>1476</v>
      </c>
      <c r="C39" t="s">
        <v>1502</v>
      </c>
      <c r="D39">
        <v>5.9929264451546206E-3</v>
      </c>
      <c r="E39">
        <v>5.1429493090927987E-2</v>
      </c>
      <c r="F39">
        <v>9.1294930909280002E-3</v>
      </c>
    </row>
    <row r="40" spans="1:6">
      <c r="A40" t="s">
        <v>1503</v>
      </c>
      <c r="B40" t="s">
        <v>1459</v>
      </c>
      <c r="C40" t="s">
        <v>1464</v>
      </c>
      <c r="D40">
        <v>1.8677954087398561E-2</v>
      </c>
      <c r="E40">
        <v>7.0753586800058929E-2</v>
      </c>
      <c r="F40">
        <v>2.8453586800058928E-2</v>
      </c>
    </row>
    <row r="41" spans="1:6">
      <c r="A41" t="s">
        <v>1504</v>
      </c>
      <c r="B41" t="s">
        <v>1456</v>
      </c>
      <c r="C41" t="s">
        <v>1457</v>
      </c>
      <c r="D41">
        <v>5.523480540284173E-2</v>
      </c>
      <c r="E41">
        <v>0.12644349465471971</v>
      </c>
      <c r="F41">
        <v>8.4143494654719708E-2</v>
      </c>
    </row>
    <row r="42" spans="1:6">
      <c r="A42" t="s">
        <v>1505</v>
      </c>
      <c r="B42" t="s">
        <v>1456</v>
      </c>
      <c r="C42" t="s">
        <v>1506</v>
      </c>
      <c r="D42">
        <v>7.6509694283140611E-2</v>
      </c>
      <c r="E42">
        <v>0.15885319512751411</v>
      </c>
      <c r="F42">
        <v>0.11655319512751409</v>
      </c>
    </row>
    <row r="43" spans="1:6">
      <c r="A43" t="s">
        <v>1507</v>
      </c>
      <c r="B43" t="s">
        <v>1466</v>
      </c>
      <c r="C43" t="s">
        <v>1472</v>
      </c>
      <c r="D43">
        <v>3.8254847141570313E-2</v>
      </c>
      <c r="E43">
        <v>0.100576597563757</v>
      </c>
      <c r="F43">
        <v>5.827659756375704E-2</v>
      </c>
    </row>
    <row r="44" spans="1:6">
      <c r="A44" t="s">
        <v>1508</v>
      </c>
      <c r="B44" t="s">
        <v>1459</v>
      </c>
      <c r="C44" t="s">
        <v>1509</v>
      </c>
      <c r="D44">
        <v>2.5569819499326369E-2</v>
      </c>
      <c r="E44">
        <v>8.1252503854626124E-2</v>
      </c>
      <c r="F44">
        <v>3.8952503854626133E-2</v>
      </c>
    </row>
    <row r="45" spans="1:6">
      <c r="A45" t="s">
        <v>1510</v>
      </c>
      <c r="B45" t="s">
        <v>1456</v>
      </c>
      <c r="C45" t="s">
        <v>1509</v>
      </c>
      <c r="D45">
        <v>2.5569819499326369E-2</v>
      </c>
      <c r="E45">
        <v>8.1252503854626124E-2</v>
      </c>
      <c r="F45">
        <v>3.8952503854626133E-2</v>
      </c>
    </row>
    <row r="46" spans="1:6">
      <c r="A46" t="s">
        <v>1511</v>
      </c>
      <c r="B46" t="s">
        <v>1450</v>
      </c>
      <c r="C46" t="s">
        <v>1512</v>
      </c>
      <c r="D46">
        <v>1.018797495676285E-2</v>
      </c>
      <c r="E46">
        <v>5.7820138254577602E-2</v>
      </c>
      <c r="F46">
        <v>1.55201382545776E-2</v>
      </c>
    </row>
    <row r="47" spans="1:6">
      <c r="A47" t="s">
        <v>1513</v>
      </c>
      <c r="B47" t="s">
        <v>1463</v>
      </c>
      <c r="C47" t="s">
        <v>1487</v>
      </c>
      <c r="D47">
        <v>0.1019796316750478</v>
      </c>
      <c r="E47">
        <v>0.19765354076395811</v>
      </c>
      <c r="F47">
        <v>0.1553535407639581</v>
      </c>
    </row>
    <row r="48" spans="1:6">
      <c r="A48" t="s">
        <v>1514</v>
      </c>
      <c r="B48" t="s">
        <v>1463</v>
      </c>
      <c r="C48" t="s">
        <v>1464</v>
      </c>
      <c r="D48">
        <v>1.8677954087398561E-2</v>
      </c>
      <c r="E48">
        <v>7.0753586800058929E-2</v>
      </c>
      <c r="F48">
        <v>2.8453586800058928E-2</v>
      </c>
    </row>
    <row r="49" spans="1:6">
      <c r="A49" t="s">
        <v>1515</v>
      </c>
      <c r="B49" t="s">
        <v>1453</v>
      </c>
      <c r="C49" t="s">
        <v>1512</v>
      </c>
      <c r="D49">
        <v>1.018797495676285E-2</v>
      </c>
      <c r="E49">
        <v>5.7820138254577602E-2</v>
      </c>
      <c r="F49">
        <v>1.55201382545776E-2</v>
      </c>
    </row>
    <row r="50" spans="1:6">
      <c r="A50" t="s">
        <v>1516</v>
      </c>
      <c r="B50" t="s">
        <v>1450</v>
      </c>
      <c r="C50" t="s">
        <v>1481</v>
      </c>
      <c r="D50">
        <v>5.093987478381426E-3</v>
      </c>
      <c r="E50">
        <v>5.0060069127288803E-2</v>
      </c>
      <c r="F50">
        <v>7.7600691272887981E-3</v>
      </c>
    </row>
    <row r="51" spans="1:6">
      <c r="A51" t="s">
        <v>1517</v>
      </c>
      <c r="B51" t="s">
        <v>1453</v>
      </c>
      <c r="C51" t="s">
        <v>1467</v>
      </c>
      <c r="D51">
        <v>0</v>
      </c>
      <c r="E51">
        <v>4.2299999999999997E-2</v>
      </c>
      <c r="F51">
        <v>0</v>
      </c>
    </row>
    <row r="52" spans="1:6">
      <c r="A52" t="s">
        <v>1518</v>
      </c>
      <c r="B52" t="s">
        <v>1463</v>
      </c>
      <c r="C52" t="s">
        <v>1509</v>
      </c>
      <c r="D52">
        <v>2.5569819499326369E-2</v>
      </c>
      <c r="E52">
        <v>8.1252503854626124E-2</v>
      </c>
      <c r="F52">
        <v>3.8952503854626133E-2</v>
      </c>
    </row>
    <row r="53" spans="1:6">
      <c r="A53" t="s">
        <v>1519</v>
      </c>
      <c r="B53" t="s">
        <v>1459</v>
      </c>
      <c r="C53" t="s">
        <v>1520</v>
      </c>
      <c r="D53">
        <v>8.4999673413776344E-2</v>
      </c>
      <c r="E53">
        <v>0.17178664367299551</v>
      </c>
      <c r="F53">
        <v>0.12948664367299539</v>
      </c>
    </row>
    <row r="54" spans="1:6">
      <c r="A54" t="s">
        <v>1521</v>
      </c>
      <c r="B54" t="s">
        <v>1456</v>
      </c>
      <c r="C54" t="s">
        <v>1460</v>
      </c>
      <c r="D54">
        <v>6.3724784533477435E-2</v>
      </c>
      <c r="E54">
        <v>0.139376943200201</v>
      </c>
      <c r="F54">
        <v>9.7076943200201035E-2</v>
      </c>
    </row>
    <row r="55" spans="1:6">
      <c r="A55" t="s">
        <v>1522</v>
      </c>
      <c r="B55" t="s">
        <v>1459</v>
      </c>
      <c r="C55" t="s">
        <v>1457</v>
      </c>
      <c r="D55">
        <v>5.523480540284173E-2</v>
      </c>
      <c r="E55">
        <v>0.12644349465471971</v>
      </c>
      <c r="F55">
        <v>8.4143494654719708E-2</v>
      </c>
    </row>
    <row r="56" spans="1:6">
      <c r="A56" t="s">
        <v>1523</v>
      </c>
      <c r="B56" t="s">
        <v>1450</v>
      </c>
      <c r="C56" t="s">
        <v>1502</v>
      </c>
      <c r="D56">
        <v>5.9929264451546206E-3</v>
      </c>
      <c r="E56">
        <v>5.1429493090927987E-2</v>
      </c>
      <c r="F56">
        <v>9.1294930909280002E-3</v>
      </c>
    </row>
    <row r="57" spans="1:6">
      <c r="A57" t="s">
        <v>1524</v>
      </c>
      <c r="B57" t="s">
        <v>1456</v>
      </c>
      <c r="C57" t="s">
        <v>1506</v>
      </c>
      <c r="D57">
        <v>7.6509694283140611E-2</v>
      </c>
      <c r="E57">
        <v>0.15885319512751411</v>
      </c>
      <c r="F57">
        <v>0.11655319512751409</v>
      </c>
    </row>
    <row r="58" spans="1:6">
      <c r="A58" t="s">
        <v>1525</v>
      </c>
      <c r="B58" t="s">
        <v>1476</v>
      </c>
      <c r="C58" t="s">
        <v>1472</v>
      </c>
      <c r="D58">
        <v>3.8254847141570313E-2</v>
      </c>
      <c r="E58">
        <v>0.100576597563757</v>
      </c>
      <c r="F58">
        <v>5.827659756375704E-2</v>
      </c>
    </row>
    <row r="59" spans="1:6">
      <c r="A59" t="s">
        <v>1526</v>
      </c>
      <c r="B59" t="s">
        <v>1453</v>
      </c>
      <c r="C59" t="s">
        <v>1469</v>
      </c>
      <c r="D59">
        <v>2.3336791699920191E-3</v>
      </c>
      <c r="E59">
        <v>4.5855075813772149E-2</v>
      </c>
      <c r="F59">
        <v>3.5550758137721551E-3</v>
      </c>
    </row>
    <row r="60" spans="1:6">
      <c r="A60" t="s">
        <v>1527</v>
      </c>
      <c r="B60" t="s">
        <v>1453</v>
      </c>
      <c r="C60" t="s">
        <v>1481</v>
      </c>
      <c r="D60">
        <v>5.093987478381426E-3</v>
      </c>
      <c r="E60">
        <v>5.0060069127288803E-2</v>
      </c>
      <c r="F60">
        <v>7.7600691272887981E-3</v>
      </c>
    </row>
    <row r="61" spans="1:6">
      <c r="A61" t="s">
        <v>1528</v>
      </c>
      <c r="B61" t="s">
        <v>1456</v>
      </c>
      <c r="C61" t="s">
        <v>1506</v>
      </c>
      <c r="D61">
        <v>7.6509694283140611E-2</v>
      </c>
      <c r="E61">
        <v>0.15885319512751411</v>
      </c>
      <c r="F61">
        <v>0.11655319512751409</v>
      </c>
    </row>
    <row r="62" spans="1:6">
      <c r="A62" t="s">
        <v>1529</v>
      </c>
      <c r="B62" t="s">
        <v>1450</v>
      </c>
      <c r="C62" t="s">
        <v>1509</v>
      </c>
      <c r="D62">
        <v>2.5569819499326369E-2</v>
      </c>
      <c r="E62">
        <v>8.1252503854626124E-2</v>
      </c>
      <c r="F62">
        <v>3.8952503854626133E-2</v>
      </c>
    </row>
    <row r="63" spans="1:6">
      <c r="A63" t="s">
        <v>1530</v>
      </c>
      <c r="B63" t="s">
        <v>1453</v>
      </c>
      <c r="C63" t="s">
        <v>1467</v>
      </c>
      <c r="D63">
        <v>0</v>
      </c>
      <c r="E63">
        <v>4.2299999999999997E-2</v>
      </c>
      <c r="F63">
        <v>0</v>
      </c>
    </row>
    <row r="64" spans="1:6">
      <c r="A64" t="s">
        <v>1531</v>
      </c>
      <c r="B64" t="s">
        <v>1456</v>
      </c>
      <c r="C64" t="s">
        <v>1460</v>
      </c>
      <c r="D64">
        <v>6.3724784533477435E-2</v>
      </c>
      <c r="E64">
        <v>0.139376943200201</v>
      </c>
      <c r="F64">
        <v>9.7076943200201035E-2</v>
      </c>
    </row>
    <row r="65" spans="1:6">
      <c r="A65" t="s">
        <v>1532</v>
      </c>
      <c r="B65" t="s">
        <v>1453</v>
      </c>
      <c r="C65" t="s">
        <v>1464</v>
      </c>
      <c r="D65">
        <v>1.8677954087398561E-2</v>
      </c>
      <c r="E65">
        <v>7.0753586800058929E-2</v>
      </c>
      <c r="F65">
        <v>2.8453586800058928E-2</v>
      </c>
    </row>
    <row r="66" spans="1:6">
      <c r="A66" t="s">
        <v>1533</v>
      </c>
      <c r="B66" t="s">
        <v>1459</v>
      </c>
      <c r="C66" t="s">
        <v>1491</v>
      </c>
      <c r="D66">
        <v>2.1274888880298898E-2</v>
      </c>
      <c r="E66">
        <v>7.4709700472794391E-2</v>
      </c>
      <c r="F66">
        <v>3.2409700472794387E-2</v>
      </c>
    </row>
    <row r="67" spans="1:6">
      <c r="A67" t="s">
        <v>1534</v>
      </c>
      <c r="B67" t="s">
        <v>1453</v>
      </c>
      <c r="C67" t="s">
        <v>1502</v>
      </c>
      <c r="D67">
        <v>5.9929264451546206E-3</v>
      </c>
      <c r="E67">
        <v>5.1429493090927987E-2</v>
      </c>
      <c r="F67">
        <v>9.1294930909280002E-3</v>
      </c>
    </row>
    <row r="68" spans="1:6">
      <c r="A68" t="s">
        <v>1535</v>
      </c>
      <c r="B68" t="s">
        <v>1459</v>
      </c>
      <c r="C68" t="s">
        <v>1472</v>
      </c>
      <c r="D68">
        <v>3.8254847141570313E-2</v>
      </c>
      <c r="E68">
        <v>0.100576597563757</v>
      </c>
      <c r="F68">
        <v>5.827659756375704E-2</v>
      </c>
    </row>
    <row r="69" spans="1:6">
      <c r="A69" t="s">
        <v>1536</v>
      </c>
      <c r="B69" t="s">
        <v>1476</v>
      </c>
      <c r="C69" t="s">
        <v>1481</v>
      </c>
      <c r="D69">
        <v>5.093987478381426E-3</v>
      </c>
      <c r="E69">
        <v>5.0060069127288803E-2</v>
      </c>
      <c r="F69">
        <v>7.7600691272887981E-3</v>
      </c>
    </row>
    <row r="70" spans="1:6">
      <c r="A70" t="s">
        <v>1537</v>
      </c>
      <c r="B70" t="s">
        <v>1450</v>
      </c>
      <c r="C70" t="s">
        <v>1538</v>
      </c>
      <c r="D70">
        <v>1.6180901401917469E-2</v>
      </c>
      <c r="E70">
        <v>6.6949631345505592E-2</v>
      </c>
      <c r="F70">
        <v>2.4649631345505602E-2</v>
      </c>
    </row>
    <row r="71" spans="1:6">
      <c r="A71" t="s">
        <v>1539</v>
      </c>
      <c r="B71" t="s">
        <v>1453</v>
      </c>
      <c r="C71" t="s">
        <v>1502</v>
      </c>
      <c r="D71">
        <v>5.9929264451546206E-3</v>
      </c>
      <c r="E71">
        <v>5.1429493090927987E-2</v>
      </c>
      <c r="F71">
        <v>9.1294930909280002E-3</v>
      </c>
    </row>
    <row r="72" spans="1:6">
      <c r="A72" t="s">
        <v>528</v>
      </c>
      <c r="B72" t="s">
        <v>1476</v>
      </c>
      <c r="C72" t="s">
        <v>1464</v>
      </c>
      <c r="D72">
        <v>1.8677954087398561E-2</v>
      </c>
      <c r="E72">
        <v>7.0753586800058929E-2</v>
      </c>
      <c r="F72">
        <v>2.8453586800058928E-2</v>
      </c>
    </row>
    <row r="73" spans="1:6">
      <c r="A73" t="s">
        <v>1540</v>
      </c>
      <c r="B73" t="s">
        <v>1476</v>
      </c>
      <c r="C73" t="s">
        <v>1538</v>
      </c>
      <c r="D73">
        <v>1.6180901401917469E-2</v>
      </c>
      <c r="E73">
        <v>6.6949631345505592E-2</v>
      </c>
      <c r="F73">
        <v>2.4649631345505602E-2</v>
      </c>
    </row>
    <row r="74" spans="1:6">
      <c r="A74" t="s">
        <v>1541</v>
      </c>
      <c r="B74" t="s">
        <v>1447</v>
      </c>
      <c r="C74" t="s">
        <v>1460</v>
      </c>
      <c r="D74">
        <v>6.3724784533477435E-2</v>
      </c>
      <c r="E74">
        <v>0.139376943200201</v>
      </c>
      <c r="F74">
        <v>9.7076943200201035E-2</v>
      </c>
    </row>
    <row r="75" spans="1:6">
      <c r="A75" t="s">
        <v>1542</v>
      </c>
      <c r="B75" t="s">
        <v>1453</v>
      </c>
      <c r="C75" t="s">
        <v>1481</v>
      </c>
      <c r="D75">
        <v>5.093987478381426E-3</v>
      </c>
      <c r="E75">
        <v>5.0060069127288803E-2</v>
      </c>
      <c r="F75">
        <v>7.7600691272887981E-3</v>
      </c>
    </row>
    <row r="76" spans="1:6">
      <c r="A76" t="s">
        <v>1543</v>
      </c>
      <c r="B76" t="s">
        <v>1453</v>
      </c>
      <c r="C76" t="s">
        <v>1481</v>
      </c>
      <c r="D76">
        <v>5.093987478381426E-3</v>
      </c>
      <c r="E76">
        <v>5.0060069127288803E-2</v>
      </c>
      <c r="F76">
        <v>7.7600691272887981E-3</v>
      </c>
    </row>
    <row r="77" spans="1:6">
      <c r="A77" t="s">
        <v>1544</v>
      </c>
      <c r="B77" t="s">
        <v>1447</v>
      </c>
      <c r="C77" t="s">
        <v>1454</v>
      </c>
      <c r="D77">
        <v>1.358396660901713E-2</v>
      </c>
      <c r="E77">
        <v>6.2993517672770116E-2</v>
      </c>
      <c r="F77">
        <v>2.0693517672770129E-2</v>
      </c>
    </row>
    <row r="78" spans="1:6">
      <c r="A78" t="s">
        <v>1545</v>
      </c>
      <c r="B78" t="s">
        <v>1453</v>
      </c>
      <c r="C78" t="s">
        <v>1538</v>
      </c>
      <c r="D78">
        <v>1.6180901401917469E-2</v>
      </c>
      <c r="E78">
        <v>6.6949631345505592E-2</v>
      </c>
      <c r="F78">
        <v>2.4649631345505602E-2</v>
      </c>
    </row>
    <row r="79" spans="1:6">
      <c r="A79" t="s">
        <v>1546</v>
      </c>
      <c r="B79" t="s">
        <v>1463</v>
      </c>
      <c r="C79" t="s">
        <v>1451</v>
      </c>
      <c r="D79">
        <v>3.0563924870288549E-2</v>
      </c>
      <c r="E79">
        <v>8.8860414763732784E-2</v>
      </c>
      <c r="F79">
        <v>4.6560414763732787E-2</v>
      </c>
    </row>
    <row r="80" spans="1:6">
      <c r="A80" t="s">
        <v>1547</v>
      </c>
      <c r="B80" t="s">
        <v>1476</v>
      </c>
      <c r="C80" t="s">
        <v>1502</v>
      </c>
      <c r="D80">
        <v>5.9929264451546206E-3</v>
      </c>
      <c r="E80">
        <v>5.1429493090927987E-2</v>
      </c>
      <c r="F80">
        <v>9.1294930909280002E-3</v>
      </c>
    </row>
    <row r="81" spans="1:6">
      <c r="A81" t="s">
        <v>1548</v>
      </c>
      <c r="B81" t="s">
        <v>1453</v>
      </c>
      <c r="C81" t="s">
        <v>1481</v>
      </c>
      <c r="D81">
        <v>5.093987478381426E-3</v>
      </c>
      <c r="E81">
        <v>5.0060069127288803E-2</v>
      </c>
      <c r="F81">
        <v>7.7600691272887981E-3</v>
      </c>
    </row>
    <row r="82" spans="1:6">
      <c r="A82" t="s">
        <v>1549</v>
      </c>
      <c r="B82" t="s">
        <v>1447</v>
      </c>
      <c r="C82" t="s">
        <v>1451</v>
      </c>
      <c r="D82">
        <v>3.0563924870288549E-2</v>
      </c>
      <c r="E82">
        <v>8.8860414763732784E-2</v>
      </c>
      <c r="F82">
        <v>4.6560414763732787E-2</v>
      </c>
    </row>
    <row r="83" spans="1:6">
      <c r="A83" t="s">
        <v>1550</v>
      </c>
      <c r="B83" t="s">
        <v>1450</v>
      </c>
      <c r="C83" t="s">
        <v>1454</v>
      </c>
      <c r="D83">
        <v>1.358396660901713E-2</v>
      </c>
      <c r="E83">
        <v>6.2993517672770116E-2</v>
      </c>
      <c r="F83">
        <v>2.0693517672770129E-2</v>
      </c>
    </row>
    <row r="84" spans="1:6">
      <c r="A84" t="s">
        <v>1551</v>
      </c>
      <c r="B84" t="s">
        <v>1456</v>
      </c>
      <c r="C84" t="s">
        <v>1457</v>
      </c>
      <c r="D84">
        <v>5.523480540284173E-2</v>
      </c>
      <c r="E84">
        <v>0.12644349465471971</v>
      </c>
      <c r="F84">
        <v>8.4143494654719708E-2</v>
      </c>
    </row>
    <row r="85" spans="1:6">
      <c r="A85" t="s">
        <v>1552</v>
      </c>
      <c r="B85" t="s">
        <v>1476</v>
      </c>
      <c r="C85" t="s">
        <v>1448</v>
      </c>
      <c r="D85">
        <v>4.195048511608233E-3</v>
      </c>
      <c r="E85">
        <v>4.8690645163649598E-2</v>
      </c>
      <c r="F85">
        <v>6.3906451636495994E-3</v>
      </c>
    </row>
    <row r="86" spans="1:6">
      <c r="A86" t="s">
        <v>1553</v>
      </c>
      <c r="B86" t="s">
        <v>1447</v>
      </c>
      <c r="C86" t="s">
        <v>1502</v>
      </c>
      <c r="D86">
        <v>5.9929264451546206E-3</v>
      </c>
      <c r="E86">
        <v>5.1429493090927987E-2</v>
      </c>
      <c r="F86">
        <v>9.1294930909280002E-3</v>
      </c>
    </row>
    <row r="87" spans="1:6">
      <c r="A87" t="s">
        <v>1554</v>
      </c>
      <c r="B87" t="s">
        <v>1450</v>
      </c>
      <c r="C87" t="s">
        <v>1457</v>
      </c>
      <c r="D87">
        <v>5.523480540284173E-2</v>
      </c>
      <c r="E87">
        <v>0.12644349465471971</v>
      </c>
      <c r="F87">
        <v>8.4143494654719708E-2</v>
      </c>
    </row>
    <row r="88" spans="1:6">
      <c r="A88" t="s">
        <v>1555</v>
      </c>
      <c r="B88" t="s">
        <v>1476</v>
      </c>
      <c r="C88" t="s">
        <v>1506</v>
      </c>
      <c r="D88">
        <v>7.6509694283140611E-2</v>
      </c>
      <c r="E88">
        <v>0.15885319512751411</v>
      </c>
      <c r="F88">
        <v>0.11655319512751409</v>
      </c>
    </row>
    <row r="89" spans="1:6">
      <c r="A89" t="s">
        <v>1556</v>
      </c>
      <c r="B89" t="s">
        <v>1450</v>
      </c>
      <c r="C89" t="s">
        <v>1512</v>
      </c>
      <c r="D89">
        <v>1.018797495676285E-2</v>
      </c>
      <c r="E89">
        <v>5.7820138254577602E-2</v>
      </c>
      <c r="F89">
        <v>1.55201382545776E-2</v>
      </c>
    </row>
    <row r="90" spans="1:6">
      <c r="A90" t="s">
        <v>1557</v>
      </c>
      <c r="B90" t="s">
        <v>1447</v>
      </c>
      <c r="C90" t="s">
        <v>1479</v>
      </c>
      <c r="D90">
        <v>0.17499999999999999</v>
      </c>
      <c r="E90">
        <v>0.30889117303269009</v>
      </c>
      <c r="F90">
        <v>0.26659117303269009</v>
      </c>
    </row>
    <row r="91" spans="1:6">
      <c r="A91" t="s">
        <v>1558</v>
      </c>
      <c r="B91" t="s">
        <v>1453</v>
      </c>
      <c r="C91" t="s">
        <v>1467</v>
      </c>
      <c r="D91">
        <v>0</v>
      </c>
      <c r="E91">
        <v>4.2299999999999997E-2</v>
      </c>
      <c r="F91">
        <v>0</v>
      </c>
    </row>
    <row r="92" spans="1:6">
      <c r="A92" t="s">
        <v>1559</v>
      </c>
      <c r="B92" t="s">
        <v>1450</v>
      </c>
      <c r="C92" t="s">
        <v>1485</v>
      </c>
      <c r="D92">
        <v>7.1915117341855416E-3</v>
      </c>
      <c r="E92">
        <v>5.3255391709113593E-2</v>
      </c>
      <c r="F92">
        <v>1.09553917091136E-2</v>
      </c>
    </row>
    <row r="93" spans="1:6">
      <c r="A93" t="s">
        <v>1560</v>
      </c>
      <c r="B93" t="s">
        <v>1453</v>
      </c>
      <c r="C93" t="s">
        <v>1467</v>
      </c>
      <c r="D93">
        <v>0</v>
      </c>
      <c r="E93">
        <v>4.2299999999999997E-2</v>
      </c>
      <c r="F93">
        <v>0</v>
      </c>
    </row>
    <row r="94" spans="1:6">
      <c r="A94" t="s">
        <v>1561</v>
      </c>
      <c r="B94" t="s">
        <v>1476</v>
      </c>
      <c r="C94" t="s">
        <v>1481</v>
      </c>
      <c r="D94">
        <v>5.093987478381426E-3</v>
      </c>
      <c r="E94">
        <v>5.0060069127288803E-2</v>
      </c>
      <c r="F94">
        <v>7.7600691272887981E-3</v>
      </c>
    </row>
    <row r="95" spans="1:6">
      <c r="A95" t="s">
        <v>1562</v>
      </c>
      <c r="B95" t="s">
        <v>1450</v>
      </c>
      <c r="C95" t="s">
        <v>1451</v>
      </c>
      <c r="D95">
        <v>3.0563924870288549E-2</v>
      </c>
      <c r="E95">
        <v>8.8860414763732784E-2</v>
      </c>
      <c r="F95">
        <v>4.6560414763732787E-2</v>
      </c>
    </row>
    <row r="96" spans="1:6">
      <c r="A96" t="s">
        <v>1563</v>
      </c>
      <c r="B96" t="s">
        <v>1476</v>
      </c>
      <c r="C96" t="s">
        <v>1512</v>
      </c>
      <c r="D96">
        <v>1.018797495676285E-2</v>
      </c>
      <c r="E96">
        <v>5.7820138254577602E-2</v>
      </c>
      <c r="F96">
        <v>1.55201382545776E-2</v>
      </c>
    </row>
    <row r="97" spans="1:6">
      <c r="A97" t="s">
        <v>1564</v>
      </c>
      <c r="B97" t="s">
        <v>1476</v>
      </c>
      <c r="C97" t="s">
        <v>1506</v>
      </c>
      <c r="D97">
        <v>7.6509694283140611E-2</v>
      </c>
      <c r="E97">
        <v>0.15885319512751411</v>
      </c>
      <c r="F97">
        <v>0.11655319512751409</v>
      </c>
    </row>
    <row r="98" spans="1:6">
      <c r="A98" t="s">
        <v>1565</v>
      </c>
      <c r="B98" t="s">
        <v>1456</v>
      </c>
      <c r="C98" t="s">
        <v>1506</v>
      </c>
      <c r="D98">
        <v>7.6509694283140611E-2</v>
      </c>
      <c r="E98">
        <v>0.15885319512751411</v>
      </c>
      <c r="F98">
        <v>0.11655319512751409</v>
      </c>
    </row>
    <row r="99" spans="1:6">
      <c r="A99" t="s">
        <v>1566</v>
      </c>
      <c r="B99" t="s">
        <v>1453</v>
      </c>
      <c r="C99" t="s">
        <v>1485</v>
      </c>
      <c r="D99">
        <v>7.1915117341855416E-3</v>
      </c>
      <c r="E99">
        <v>5.3255391709113593E-2</v>
      </c>
      <c r="F99">
        <v>1.09553917091136E-2</v>
      </c>
    </row>
    <row r="100" spans="1:6">
      <c r="A100" t="s">
        <v>1567</v>
      </c>
      <c r="B100" t="s">
        <v>1456</v>
      </c>
      <c r="C100" t="s">
        <v>1464</v>
      </c>
      <c r="D100">
        <v>1.8677954087398561E-2</v>
      </c>
      <c r="E100">
        <v>7.0753586800058929E-2</v>
      </c>
      <c r="F100">
        <v>2.8453586800058928E-2</v>
      </c>
    </row>
    <row r="101" spans="1:6">
      <c r="A101" t="s">
        <v>1568</v>
      </c>
      <c r="B101" t="s">
        <v>1459</v>
      </c>
      <c r="C101" t="s">
        <v>1538</v>
      </c>
      <c r="D101">
        <v>1.6180901401917469E-2</v>
      </c>
      <c r="E101">
        <v>6.6949631345505592E-2</v>
      </c>
      <c r="F101">
        <v>2.4649631345505602E-2</v>
      </c>
    </row>
    <row r="102" spans="1:6">
      <c r="A102" t="s">
        <v>1569</v>
      </c>
      <c r="B102" t="s">
        <v>1450</v>
      </c>
      <c r="C102" t="s">
        <v>1457</v>
      </c>
      <c r="D102">
        <v>5.523480540284173E-2</v>
      </c>
      <c r="E102">
        <v>0.12644349465471971</v>
      </c>
      <c r="F102">
        <v>8.4143494654719708E-2</v>
      </c>
    </row>
    <row r="103" spans="1:6">
      <c r="A103" t="s">
        <v>1570</v>
      </c>
      <c r="B103" t="s">
        <v>1476</v>
      </c>
      <c r="C103" t="s">
        <v>1472</v>
      </c>
      <c r="D103">
        <v>3.8254847141570313E-2</v>
      </c>
      <c r="E103">
        <v>0.100576597563757</v>
      </c>
      <c r="F103">
        <v>5.827659756375704E-2</v>
      </c>
    </row>
    <row r="104" spans="1:6">
      <c r="A104" t="s">
        <v>1571</v>
      </c>
      <c r="B104" t="s">
        <v>1450</v>
      </c>
      <c r="C104" t="s">
        <v>1472</v>
      </c>
      <c r="D104">
        <v>3.8254847141570313E-2</v>
      </c>
      <c r="E104">
        <v>0.100576597563757</v>
      </c>
      <c r="F104">
        <v>5.827659756375704E-2</v>
      </c>
    </row>
    <row r="105" spans="1:6">
      <c r="A105" t="s">
        <v>1572</v>
      </c>
      <c r="B105" t="s">
        <v>1463</v>
      </c>
      <c r="C105" t="s">
        <v>1464</v>
      </c>
      <c r="D105">
        <v>1.8677954087398561E-2</v>
      </c>
      <c r="E105">
        <v>7.0753586800058929E-2</v>
      </c>
      <c r="F105">
        <v>2.8453586800058928E-2</v>
      </c>
    </row>
    <row r="106" spans="1:6">
      <c r="A106" t="s">
        <v>1573</v>
      </c>
      <c r="B106" t="s">
        <v>1456</v>
      </c>
      <c r="C106" t="s">
        <v>1491</v>
      </c>
      <c r="D106">
        <v>2.1274888880298898E-2</v>
      </c>
      <c r="E106">
        <v>7.4709700472794391E-2</v>
      </c>
      <c r="F106">
        <v>3.2409700472794387E-2</v>
      </c>
    </row>
    <row r="107" spans="1:6">
      <c r="A107" t="s">
        <v>1574</v>
      </c>
      <c r="B107" t="s">
        <v>1456</v>
      </c>
      <c r="C107" t="s">
        <v>1520</v>
      </c>
      <c r="D107">
        <v>8.4999673413776344E-2</v>
      </c>
      <c r="E107">
        <v>0.17178664367299551</v>
      </c>
      <c r="F107">
        <v>0.12948664367299539</v>
      </c>
    </row>
    <row r="108" spans="1:6">
      <c r="A108" t="s">
        <v>1575</v>
      </c>
      <c r="B108" t="s">
        <v>1456</v>
      </c>
      <c r="C108" t="s">
        <v>1472</v>
      </c>
      <c r="D108">
        <v>3.8254847141570313E-2</v>
      </c>
      <c r="E108">
        <v>0.100576597563757</v>
      </c>
      <c r="F108">
        <v>5.827659756375704E-2</v>
      </c>
    </row>
    <row r="109" spans="1:6">
      <c r="A109" t="s">
        <v>1576</v>
      </c>
      <c r="B109" t="s">
        <v>1476</v>
      </c>
      <c r="C109" t="s">
        <v>1451</v>
      </c>
      <c r="D109">
        <v>3.0563924870288549E-2</v>
      </c>
      <c r="E109">
        <v>8.8860414763732784E-2</v>
      </c>
      <c r="F109">
        <v>4.6560414763732787E-2</v>
      </c>
    </row>
    <row r="110" spans="1:6">
      <c r="A110" t="s">
        <v>1577</v>
      </c>
      <c r="B110" t="s">
        <v>1453</v>
      </c>
      <c r="C110" t="s">
        <v>1467</v>
      </c>
      <c r="D110">
        <v>0</v>
      </c>
      <c r="E110">
        <v>4.2299999999999997E-2</v>
      </c>
      <c r="F110">
        <v>0</v>
      </c>
    </row>
    <row r="111" spans="1:6">
      <c r="A111" t="s">
        <v>1578</v>
      </c>
      <c r="B111" t="s">
        <v>1466</v>
      </c>
      <c r="C111" t="s">
        <v>1467</v>
      </c>
      <c r="D111">
        <v>0</v>
      </c>
      <c r="E111">
        <v>4.2299999999999997E-2</v>
      </c>
      <c r="F111">
        <v>0</v>
      </c>
    </row>
    <row r="112" spans="1:6">
      <c r="A112" t="s">
        <v>1579</v>
      </c>
      <c r="B112" t="s">
        <v>1459</v>
      </c>
      <c r="C112" t="s">
        <v>1474</v>
      </c>
      <c r="D112">
        <v>4.6744826272206018E-2</v>
      </c>
      <c r="E112">
        <v>0.1135100461092384</v>
      </c>
      <c r="F112">
        <v>7.1210046109238381E-2</v>
      </c>
    </row>
    <row r="113" spans="1:6">
      <c r="A113" t="s">
        <v>1580</v>
      </c>
      <c r="B113" t="s">
        <v>1456</v>
      </c>
      <c r="C113" t="s">
        <v>1520</v>
      </c>
      <c r="D113">
        <v>8.4999673413776344E-2</v>
      </c>
      <c r="E113">
        <v>0.17178664367299551</v>
      </c>
      <c r="F113">
        <v>0.12948664367299539</v>
      </c>
    </row>
    <row r="114" spans="1:6">
      <c r="A114" t="s">
        <v>1581</v>
      </c>
      <c r="B114" t="s">
        <v>1456</v>
      </c>
      <c r="C114" t="s">
        <v>1457</v>
      </c>
      <c r="D114">
        <v>5.523480540284173E-2</v>
      </c>
      <c r="E114">
        <v>0.12644349465471971</v>
      </c>
      <c r="F114">
        <v>8.4143494654719708E-2</v>
      </c>
    </row>
    <row r="115" spans="1:6">
      <c r="A115" t="s">
        <v>1582</v>
      </c>
      <c r="B115" t="s">
        <v>1453</v>
      </c>
      <c r="C115" t="s">
        <v>1467</v>
      </c>
      <c r="D115">
        <v>0</v>
      </c>
      <c r="E115">
        <v>4.2299999999999997E-2</v>
      </c>
      <c r="F115">
        <v>0</v>
      </c>
    </row>
    <row r="116" spans="1:6">
      <c r="A116" t="s">
        <v>1583</v>
      </c>
      <c r="B116" t="s">
        <v>1447</v>
      </c>
      <c r="C116" t="s">
        <v>1464</v>
      </c>
      <c r="D116">
        <v>1.8677954087398561E-2</v>
      </c>
      <c r="E116">
        <v>7.0753586800058929E-2</v>
      </c>
      <c r="F116">
        <v>2.8453586800058928E-2</v>
      </c>
    </row>
    <row r="117" spans="1:6">
      <c r="A117" t="s">
        <v>1584</v>
      </c>
      <c r="B117" t="s">
        <v>1476</v>
      </c>
      <c r="C117" t="s">
        <v>1460</v>
      </c>
      <c r="D117">
        <v>6.3724784533477435E-2</v>
      </c>
      <c r="E117">
        <v>0.139376943200201</v>
      </c>
      <c r="F117">
        <v>9.7076943200201035E-2</v>
      </c>
    </row>
    <row r="118" spans="1:6">
      <c r="A118" t="s">
        <v>1585</v>
      </c>
      <c r="B118" t="s">
        <v>1459</v>
      </c>
      <c r="C118" t="s">
        <v>1464</v>
      </c>
      <c r="D118">
        <v>1.8677954087398561E-2</v>
      </c>
      <c r="E118">
        <v>7.0753586800058929E-2</v>
      </c>
      <c r="F118">
        <v>2.8453586800058928E-2</v>
      </c>
    </row>
    <row r="119" spans="1:6">
      <c r="A119" t="s">
        <v>1586</v>
      </c>
      <c r="B119" t="s">
        <v>1476</v>
      </c>
      <c r="C119" t="s">
        <v>1474</v>
      </c>
      <c r="D119">
        <v>4.6744826272206018E-2</v>
      </c>
      <c r="E119">
        <v>0.1135100461092384</v>
      </c>
      <c r="F119">
        <v>7.1210046109238381E-2</v>
      </c>
    </row>
    <row r="120" spans="1:6">
      <c r="A120" t="s">
        <v>1587</v>
      </c>
      <c r="B120" t="s">
        <v>1459</v>
      </c>
      <c r="C120" t="s">
        <v>1464</v>
      </c>
      <c r="D120">
        <v>1.8677954087398561E-2</v>
      </c>
      <c r="E120">
        <v>7.0753586800058929E-2</v>
      </c>
      <c r="F120">
        <v>2.8453586800058928E-2</v>
      </c>
    </row>
    <row r="121" spans="1:6">
      <c r="A121" t="s">
        <v>1588</v>
      </c>
      <c r="B121" t="s">
        <v>1459</v>
      </c>
      <c r="C121" t="s">
        <v>1454</v>
      </c>
      <c r="D121">
        <v>1.358396660901713E-2</v>
      </c>
      <c r="E121">
        <v>6.2993517672770116E-2</v>
      </c>
      <c r="F121">
        <v>2.0693517672770129E-2</v>
      </c>
    </row>
    <row r="122" spans="1:6">
      <c r="A122" t="s">
        <v>1589</v>
      </c>
      <c r="B122" t="s">
        <v>1476</v>
      </c>
      <c r="C122" t="s">
        <v>1538</v>
      </c>
      <c r="D122">
        <v>1.6180901401917469E-2</v>
      </c>
      <c r="E122">
        <v>6.6949631345505592E-2</v>
      </c>
      <c r="F122">
        <v>2.4649631345505602E-2</v>
      </c>
    </row>
    <row r="123" spans="1:6">
      <c r="A123" t="s">
        <v>1590</v>
      </c>
      <c r="B123" t="s">
        <v>1450</v>
      </c>
      <c r="C123" t="s">
        <v>1485</v>
      </c>
      <c r="D123">
        <v>7.1915117341855416E-3</v>
      </c>
      <c r="E123">
        <v>5.3255391709113593E-2</v>
      </c>
      <c r="F123">
        <v>1.09553917091136E-2</v>
      </c>
    </row>
    <row r="124" spans="1:6">
      <c r="A124" t="s">
        <v>1591</v>
      </c>
      <c r="B124" t="s">
        <v>1453</v>
      </c>
      <c r="C124" t="s">
        <v>1512</v>
      </c>
      <c r="D124">
        <v>1.018797495676285E-2</v>
      </c>
      <c r="E124">
        <v>5.7820138254577602E-2</v>
      </c>
      <c r="F124">
        <v>1.55201382545776E-2</v>
      </c>
    </row>
    <row r="125" spans="1:6">
      <c r="A125" t="s">
        <v>1592</v>
      </c>
      <c r="B125" t="s">
        <v>1447</v>
      </c>
      <c r="C125" t="s">
        <v>1448</v>
      </c>
      <c r="D125">
        <v>4.195048511608233E-3</v>
      </c>
      <c r="E125">
        <v>4.8690645163649598E-2</v>
      </c>
      <c r="F125">
        <v>6.3906451636495994E-3</v>
      </c>
    </row>
    <row r="126" spans="1:6">
      <c r="A126" t="s">
        <v>1593</v>
      </c>
      <c r="B126" t="s">
        <v>1447</v>
      </c>
      <c r="C126" t="s">
        <v>1512</v>
      </c>
      <c r="D126">
        <v>1.018797495676285E-2</v>
      </c>
      <c r="E126">
        <v>5.7820138254577602E-2</v>
      </c>
      <c r="F126">
        <v>1.55201382545776E-2</v>
      </c>
    </row>
    <row r="127" spans="1:6">
      <c r="A127" t="s">
        <v>1594</v>
      </c>
      <c r="B127" t="s">
        <v>1450</v>
      </c>
      <c r="C127" t="s">
        <v>1464</v>
      </c>
      <c r="D127">
        <v>1.8677954087398561E-2</v>
      </c>
      <c r="E127">
        <v>7.0753586800058929E-2</v>
      </c>
      <c r="F127">
        <v>2.8453586800058928E-2</v>
      </c>
    </row>
    <row r="128" spans="1:6">
      <c r="A128" t="s">
        <v>1595</v>
      </c>
      <c r="B128" t="s">
        <v>1456</v>
      </c>
      <c r="C128" t="s">
        <v>1474</v>
      </c>
      <c r="D128">
        <v>4.6744826272206018E-2</v>
      </c>
      <c r="E128">
        <v>0.1135100461092384</v>
      </c>
      <c r="F128">
        <v>7.1210046109238381E-2</v>
      </c>
    </row>
    <row r="129" spans="1:6">
      <c r="A129" t="s">
        <v>1596</v>
      </c>
      <c r="B129" t="s">
        <v>1447</v>
      </c>
      <c r="C129" t="s">
        <v>1481</v>
      </c>
      <c r="D129">
        <v>5.093987478381426E-3</v>
      </c>
      <c r="E129">
        <v>5.0060069127288803E-2</v>
      </c>
      <c r="F129">
        <v>7.7600691272887981E-3</v>
      </c>
    </row>
    <row r="130" spans="1:6">
      <c r="A130" t="s">
        <v>1597</v>
      </c>
      <c r="B130" t="s">
        <v>1456</v>
      </c>
      <c r="C130" t="s">
        <v>1460</v>
      </c>
      <c r="D130">
        <v>6.3724784533477435E-2</v>
      </c>
      <c r="E130">
        <v>0.139376943200201</v>
      </c>
      <c r="F130">
        <v>9.7076943200201035E-2</v>
      </c>
    </row>
    <row r="131" spans="1:6">
      <c r="A131" t="s">
        <v>1598</v>
      </c>
      <c r="B131" t="s">
        <v>1450</v>
      </c>
      <c r="C131" t="s">
        <v>1509</v>
      </c>
      <c r="D131">
        <v>2.5569819499326369E-2</v>
      </c>
      <c r="E131">
        <v>8.1252503854626124E-2</v>
      </c>
      <c r="F131">
        <v>3.8952503854626133E-2</v>
      </c>
    </row>
    <row r="132" spans="1:6">
      <c r="A132" t="s">
        <v>1599</v>
      </c>
      <c r="B132" t="s">
        <v>1447</v>
      </c>
      <c r="C132" t="s">
        <v>1491</v>
      </c>
      <c r="D132">
        <v>2.1274888880298898E-2</v>
      </c>
      <c r="E132">
        <v>7.4709700472794391E-2</v>
      </c>
      <c r="F132">
        <v>3.2409700472794387E-2</v>
      </c>
    </row>
    <row r="133" spans="1:6">
      <c r="A133" t="s">
        <v>1600</v>
      </c>
      <c r="B133" t="s">
        <v>1476</v>
      </c>
      <c r="C133" t="s">
        <v>1467</v>
      </c>
      <c r="D133">
        <v>0</v>
      </c>
      <c r="E133">
        <v>4.2299999999999997E-2</v>
      </c>
      <c r="F133">
        <v>0</v>
      </c>
    </row>
    <row r="134" spans="1:6">
      <c r="A134" t="s">
        <v>1601</v>
      </c>
      <c r="B134" t="s">
        <v>1450</v>
      </c>
      <c r="C134" t="s">
        <v>1512</v>
      </c>
      <c r="D134">
        <v>1.018797495676285E-2</v>
      </c>
      <c r="E134">
        <v>5.7820138254577602E-2</v>
      </c>
      <c r="F134">
        <v>1.55201382545776E-2</v>
      </c>
    </row>
    <row r="135" spans="1:6">
      <c r="A135" t="s">
        <v>1602</v>
      </c>
      <c r="B135" t="s">
        <v>1450</v>
      </c>
      <c r="C135" t="s">
        <v>1512</v>
      </c>
      <c r="D135">
        <v>1.018797495676285E-2</v>
      </c>
      <c r="E135">
        <v>5.7820138254577602E-2</v>
      </c>
      <c r="F135">
        <v>1.55201382545776E-2</v>
      </c>
    </row>
    <row r="136" spans="1:6">
      <c r="A136" t="s">
        <v>1603</v>
      </c>
      <c r="B136" t="s">
        <v>1476</v>
      </c>
      <c r="C136" t="s">
        <v>1460</v>
      </c>
      <c r="D136">
        <v>6.3724784533477435E-2</v>
      </c>
      <c r="E136">
        <v>0.139376943200201</v>
      </c>
      <c r="F136">
        <v>9.7076943200201035E-2</v>
      </c>
    </row>
    <row r="137" spans="1:6">
      <c r="A137" t="s">
        <v>1604</v>
      </c>
      <c r="B137" t="s">
        <v>1456</v>
      </c>
      <c r="C137" t="s">
        <v>1509</v>
      </c>
      <c r="D137">
        <v>2.5569819499326369E-2</v>
      </c>
      <c r="E137">
        <v>8.1252503854626124E-2</v>
      </c>
      <c r="F137">
        <v>3.8952503854626133E-2</v>
      </c>
    </row>
    <row r="138" spans="1:6">
      <c r="A138" t="s">
        <v>1605</v>
      </c>
      <c r="B138" t="s">
        <v>1453</v>
      </c>
      <c r="C138" t="s">
        <v>1512</v>
      </c>
      <c r="D138">
        <v>1.018797495676285E-2</v>
      </c>
      <c r="E138">
        <v>5.7820138254577602E-2</v>
      </c>
      <c r="F138">
        <v>1.55201382545776E-2</v>
      </c>
    </row>
    <row r="139" spans="1:6">
      <c r="A139" t="s">
        <v>1606</v>
      </c>
      <c r="B139" t="s">
        <v>1476</v>
      </c>
      <c r="C139" t="s">
        <v>1487</v>
      </c>
      <c r="D139">
        <v>0.1019796316750478</v>
      </c>
      <c r="E139">
        <v>0.19765354076395811</v>
      </c>
      <c r="F139">
        <v>0.1553535407639581</v>
      </c>
    </row>
    <row r="140" spans="1:6">
      <c r="A140" t="s">
        <v>1607</v>
      </c>
      <c r="B140" t="s">
        <v>1463</v>
      </c>
      <c r="C140" t="s">
        <v>1509</v>
      </c>
      <c r="D140">
        <v>2.5569819499326369E-2</v>
      </c>
      <c r="E140">
        <v>8.1252503854626124E-2</v>
      </c>
      <c r="F140">
        <v>3.8952503854626133E-2</v>
      </c>
    </row>
    <row r="141" spans="1:6">
      <c r="A141" t="s">
        <v>1608</v>
      </c>
      <c r="B141" t="s">
        <v>1463</v>
      </c>
      <c r="C141" t="s">
        <v>1457</v>
      </c>
      <c r="D141">
        <v>5.523480540284173E-2</v>
      </c>
      <c r="E141">
        <v>0.12644349465471971</v>
      </c>
      <c r="F141">
        <v>8.4143494654719708E-2</v>
      </c>
    </row>
    <row r="142" spans="1:6">
      <c r="A142" t="s">
        <v>1609</v>
      </c>
      <c r="B142" t="s">
        <v>1459</v>
      </c>
      <c r="C142" t="s">
        <v>1460</v>
      </c>
      <c r="D142">
        <v>6.3724784533477435E-2</v>
      </c>
      <c r="E142">
        <v>0.139376943200201</v>
      </c>
      <c r="F142">
        <v>9.7076943200201035E-2</v>
      </c>
    </row>
    <row r="143" spans="1:6">
      <c r="A143" t="s">
        <v>1610</v>
      </c>
      <c r="B143" t="s">
        <v>1456</v>
      </c>
      <c r="C143" t="s">
        <v>1474</v>
      </c>
      <c r="D143">
        <v>4.6744826272206018E-2</v>
      </c>
      <c r="E143">
        <v>0.1135100461092384</v>
      </c>
      <c r="F143">
        <v>7.1210046109238381E-2</v>
      </c>
    </row>
    <row r="144" spans="1:6">
      <c r="A144" t="s">
        <v>1611</v>
      </c>
      <c r="B144" t="s">
        <v>1453</v>
      </c>
      <c r="C144" t="s">
        <v>1467</v>
      </c>
      <c r="D144">
        <v>0</v>
      </c>
      <c r="E144">
        <v>4.2299999999999997E-2</v>
      </c>
      <c r="F144">
        <v>0</v>
      </c>
    </row>
    <row r="145" spans="1:6">
      <c r="A145" t="s">
        <v>1612</v>
      </c>
      <c r="B145" t="s">
        <v>1453</v>
      </c>
      <c r="C145" t="s">
        <v>1467</v>
      </c>
      <c r="D145">
        <v>0</v>
      </c>
      <c r="E145">
        <v>4.2299999999999997E-2</v>
      </c>
      <c r="F145">
        <v>0</v>
      </c>
    </row>
    <row r="146" spans="1:6">
      <c r="A146" t="s">
        <v>1613</v>
      </c>
      <c r="B146" t="s">
        <v>1476</v>
      </c>
      <c r="C146" t="s">
        <v>1481</v>
      </c>
      <c r="D146">
        <v>5.093987478381426E-3</v>
      </c>
      <c r="E146">
        <v>5.0060069127288803E-2</v>
      </c>
      <c r="F146">
        <v>7.7600691272887981E-3</v>
      </c>
    </row>
    <row r="147" spans="1:6">
      <c r="A147" t="s">
        <v>1614</v>
      </c>
      <c r="B147" t="s">
        <v>1450</v>
      </c>
      <c r="C147" t="s">
        <v>1457</v>
      </c>
      <c r="D147">
        <v>5.523480540284173E-2</v>
      </c>
      <c r="E147">
        <v>0.12644349465471971</v>
      </c>
      <c r="F147">
        <v>8.4143494654719708E-2</v>
      </c>
    </row>
    <row r="148" spans="1:6">
      <c r="A148" t="s">
        <v>1615</v>
      </c>
      <c r="B148" t="s">
        <v>1456</v>
      </c>
      <c r="C148" t="s">
        <v>1472</v>
      </c>
      <c r="D148">
        <v>3.8254847141570313E-2</v>
      </c>
      <c r="E148">
        <v>0.100576597563757</v>
      </c>
      <c r="F148">
        <v>5.827659756375704E-2</v>
      </c>
    </row>
    <row r="149" spans="1:6">
      <c r="A149" t="s">
        <v>1616</v>
      </c>
      <c r="B149" t="s">
        <v>1476</v>
      </c>
      <c r="C149" t="s">
        <v>1454</v>
      </c>
      <c r="D149">
        <v>1.358396660901713E-2</v>
      </c>
      <c r="E149">
        <v>6.2993517672770116E-2</v>
      </c>
      <c r="F149">
        <v>2.0693517672770129E-2</v>
      </c>
    </row>
    <row r="150" spans="1:6">
      <c r="A150" t="s">
        <v>1617</v>
      </c>
      <c r="B150" t="s">
        <v>1456</v>
      </c>
      <c r="C150" t="s">
        <v>1457</v>
      </c>
      <c r="D150">
        <v>5.523480540284173E-2</v>
      </c>
      <c r="E150">
        <v>0.12644349465471971</v>
      </c>
      <c r="F150">
        <v>8.4143494654719708E-2</v>
      </c>
    </row>
    <row r="151" spans="1:6">
      <c r="A151" t="s">
        <v>1618</v>
      </c>
      <c r="B151" t="s">
        <v>1463</v>
      </c>
      <c r="C151" t="s">
        <v>1509</v>
      </c>
      <c r="D151">
        <v>2.5569819499326369E-2</v>
      </c>
      <c r="E151">
        <v>8.1252503854626124E-2</v>
      </c>
      <c r="F151">
        <v>3.8952503854626133E-2</v>
      </c>
    </row>
    <row r="152" spans="1:6">
      <c r="A152" t="s">
        <v>1619</v>
      </c>
      <c r="B152" t="s">
        <v>1456</v>
      </c>
      <c r="C152" t="s">
        <v>1460</v>
      </c>
      <c r="D152">
        <v>6.3724784533477435E-2</v>
      </c>
      <c r="E152">
        <v>0.139376943200201</v>
      </c>
      <c r="F152">
        <v>9.7076943200201035E-2</v>
      </c>
    </row>
    <row r="153" spans="1:6">
      <c r="A153" t="s">
        <v>1620</v>
      </c>
      <c r="B153" t="s">
        <v>1453</v>
      </c>
      <c r="C153" t="s">
        <v>1451</v>
      </c>
      <c r="D153">
        <v>3.0563924870288549E-2</v>
      </c>
      <c r="E153">
        <v>8.8860414763732784E-2</v>
      </c>
      <c r="F153">
        <v>4.6560414763732787E-2</v>
      </c>
    </row>
    <row r="154" spans="1:6">
      <c r="A154" t="s">
        <v>1621</v>
      </c>
      <c r="B154" t="s">
        <v>1463</v>
      </c>
      <c r="C154" t="s">
        <v>1454</v>
      </c>
      <c r="D154">
        <v>1.358396660901713E-2</v>
      </c>
      <c r="E154">
        <v>6.2993517672770116E-2</v>
      </c>
      <c r="F154">
        <v>2.0693517672770129E-2</v>
      </c>
    </row>
    <row r="155" spans="1:6">
      <c r="A155" t="s">
        <v>1622</v>
      </c>
      <c r="B155" t="s">
        <v>1456</v>
      </c>
      <c r="C155" t="s">
        <v>1457</v>
      </c>
      <c r="D155">
        <v>5.523480540284173E-2</v>
      </c>
      <c r="E155">
        <v>0.12644349465471971</v>
      </c>
      <c r="F155">
        <v>8.4143494654719708E-2</v>
      </c>
    </row>
    <row r="156" spans="1:6">
      <c r="A156" t="s">
        <v>1623</v>
      </c>
      <c r="B156" t="s">
        <v>1450</v>
      </c>
      <c r="C156" t="s">
        <v>1487</v>
      </c>
      <c r="D156">
        <v>0.1019796316750478</v>
      </c>
      <c r="E156">
        <v>0.19765354076395811</v>
      </c>
      <c r="F156">
        <v>0.1553535407639581</v>
      </c>
    </row>
    <row r="157" spans="1:6">
      <c r="A157" t="s">
        <v>1624</v>
      </c>
      <c r="B157" t="s">
        <v>1447</v>
      </c>
      <c r="C157" t="s">
        <v>1448</v>
      </c>
      <c r="D157">
        <v>4.195048511608233E-3</v>
      </c>
      <c r="E157">
        <v>4.8690645163649598E-2</v>
      </c>
      <c r="F157">
        <v>6.3906451636495994E-3</v>
      </c>
    </row>
    <row r="158" spans="1:6">
      <c r="A158" t="s">
        <v>1625</v>
      </c>
      <c r="B158" t="s">
        <v>1453</v>
      </c>
      <c r="C158" t="s">
        <v>1481</v>
      </c>
      <c r="D158">
        <v>5.093987478381426E-3</v>
      </c>
      <c r="E158">
        <v>5.0060069127288803E-2</v>
      </c>
      <c r="F158">
        <v>7.7600691272887981E-3</v>
      </c>
    </row>
    <row r="159" spans="1:6">
      <c r="A159" t="s">
        <v>1626</v>
      </c>
      <c r="B159" t="s">
        <v>1497</v>
      </c>
      <c r="C159" t="s">
        <v>1469</v>
      </c>
      <c r="D159">
        <v>2.3336791699920191E-3</v>
      </c>
      <c r="E159">
        <v>4.4600000000000001E-2</v>
      </c>
      <c r="F159">
        <v>2.3336791699920191E-3</v>
      </c>
    </row>
    <row r="160" spans="1:6">
      <c r="A160" t="s">
        <v>1627</v>
      </c>
      <c r="B160" t="s">
        <v>1459</v>
      </c>
      <c r="C160" t="s">
        <v>1454</v>
      </c>
      <c r="D160">
        <v>1.358396660901713E-2</v>
      </c>
      <c r="E160">
        <v>6.2993517672770116E-2</v>
      </c>
      <c r="F160">
        <v>2.0693517672770129E-2</v>
      </c>
    </row>
    <row r="161" spans="1:6">
      <c r="A161" t="s">
        <v>1628</v>
      </c>
      <c r="B161" t="s">
        <v>1450</v>
      </c>
      <c r="C161" t="s">
        <v>1451</v>
      </c>
      <c r="D161">
        <v>3.0563924870288549E-2</v>
      </c>
      <c r="E161">
        <v>8.8860414763732784E-2</v>
      </c>
      <c r="F161">
        <v>4.6560414763732787E-2</v>
      </c>
    </row>
    <row r="162" spans="1:6">
      <c r="A162" t="s">
        <v>1629</v>
      </c>
      <c r="B162" t="s">
        <v>1459</v>
      </c>
      <c r="C162" t="s">
        <v>1479</v>
      </c>
      <c r="D162">
        <v>0.17499999999999999</v>
      </c>
      <c r="E162">
        <v>0.30889117303269009</v>
      </c>
      <c r="F162">
        <v>0.26659117303269009</v>
      </c>
    </row>
    <row r="163" spans="1:6">
      <c r="A163" t="s">
        <v>1630</v>
      </c>
      <c r="B163" t="s">
        <v>1476</v>
      </c>
      <c r="C163" t="s">
        <v>1509</v>
      </c>
      <c r="D163">
        <v>2.5569819499326369E-2</v>
      </c>
      <c r="E163">
        <v>8.1252503854626124E-2</v>
      </c>
      <c r="F163">
        <v>3.8952503854626133E-2</v>
      </c>
    </row>
    <row r="164" spans="1:6">
      <c r="A164" t="s">
        <v>1631</v>
      </c>
      <c r="B164" t="s">
        <v>1456</v>
      </c>
      <c r="C164" t="s">
        <v>1506</v>
      </c>
      <c r="D164">
        <v>7.6509694283140611E-2</v>
      </c>
      <c r="E164">
        <v>0.15885319512751411</v>
      </c>
      <c r="F164">
        <v>0.11655319512751409</v>
      </c>
    </row>
    <row r="165" spans="1:6">
      <c r="A165" t="s">
        <v>1632</v>
      </c>
    </row>
    <row r="166" spans="1:6">
      <c r="A166" t="s">
        <v>527</v>
      </c>
      <c r="B166" t="s">
        <v>1633</v>
      </c>
      <c r="C166" t="s">
        <v>1634</v>
      </c>
      <c r="D166" t="s">
        <v>1635</v>
      </c>
      <c r="E166" t="s">
        <v>1443</v>
      </c>
    </row>
    <row r="167" spans="1:6">
      <c r="A167" t="s">
        <v>1636</v>
      </c>
      <c r="B167">
        <v>67</v>
      </c>
      <c r="C167">
        <v>0.100576597563757</v>
      </c>
      <c r="D167">
        <v>5.8276597563757027E-2</v>
      </c>
      <c r="E167">
        <v>3.8254847141570313E-2</v>
      </c>
    </row>
    <row r="168" spans="1:6">
      <c r="A168" t="s">
        <v>1637</v>
      </c>
      <c r="B168">
        <v>80.75</v>
      </c>
      <c r="C168">
        <v>5.0060069127288803E-2</v>
      </c>
      <c r="D168">
        <v>7.7600691272887989E-3</v>
      </c>
      <c r="E168">
        <v>5.0939874783814268E-3</v>
      </c>
    </row>
    <row r="169" spans="1:6">
      <c r="A169" t="s">
        <v>1638</v>
      </c>
      <c r="B169">
        <v>65.5</v>
      </c>
      <c r="C169">
        <v>0.1135100461092384</v>
      </c>
      <c r="D169">
        <v>7.1210046109238367E-2</v>
      </c>
      <c r="E169">
        <v>4.6744826272206018E-2</v>
      </c>
    </row>
    <row r="170" spans="1:6">
      <c r="A170" t="s">
        <v>1639</v>
      </c>
      <c r="B170">
        <v>59.5</v>
      </c>
      <c r="C170">
        <v>0.15885319512751411</v>
      </c>
      <c r="D170">
        <v>0.11655319512751409</v>
      </c>
      <c r="E170">
        <v>7.6509694283140611E-2</v>
      </c>
    </row>
    <row r="171" spans="1:6">
      <c r="A171" t="s">
        <v>1640</v>
      </c>
      <c r="B171">
        <v>60.75</v>
      </c>
      <c r="C171">
        <v>0.139376943200201</v>
      </c>
      <c r="D171">
        <v>9.7076943200201021E-2</v>
      </c>
      <c r="E171">
        <v>6.3724784533477435E-2</v>
      </c>
    </row>
    <row r="172" spans="1:6">
      <c r="A172" t="s">
        <v>1641</v>
      </c>
      <c r="B172">
        <v>75.5</v>
      </c>
      <c r="C172">
        <v>6.2993517672770116E-2</v>
      </c>
      <c r="D172">
        <v>2.0693517672770119E-2</v>
      </c>
      <c r="E172">
        <v>1.358396660901713E-2</v>
      </c>
    </row>
    <row r="173" spans="1:6">
      <c r="A173" t="s">
        <v>1642</v>
      </c>
      <c r="B173">
        <v>56.75</v>
      </c>
      <c r="C173">
        <v>0.17178664367299551</v>
      </c>
      <c r="D173">
        <v>0.12948664367299539</v>
      </c>
      <c r="E173">
        <v>8.4999673413776344E-2</v>
      </c>
    </row>
    <row r="174" spans="1:6">
      <c r="A174" t="s">
        <v>1643</v>
      </c>
      <c r="B174">
        <v>61.25</v>
      </c>
      <c r="C174">
        <v>0.139376943200201</v>
      </c>
      <c r="D174">
        <v>9.7076943200201021E-2</v>
      </c>
      <c r="E174">
        <v>6.3724784533477435E-2</v>
      </c>
    </row>
    <row r="175" spans="1:6">
      <c r="A175" t="s">
        <v>1644</v>
      </c>
      <c r="B175">
        <v>51</v>
      </c>
      <c r="C175">
        <v>0.19765354076395811</v>
      </c>
      <c r="D175">
        <v>0.1553535407639581</v>
      </c>
      <c r="E175">
        <v>0.1019796316750478</v>
      </c>
    </row>
    <row r="176" spans="1:6">
      <c r="A176" t="s">
        <v>1645</v>
      </c>
      <c r="B176">
        <v>57.75</v>
      </c>
      <c r="C176">
        <v>0.15885319512751411</v>
      </c>
      <c r="D176">
        <v>0.11655319512751409</v>
      </c>
      <c r="E176">
        <v>7.6509694283140611E-2</v>
      </c>
    </row>
    <row r="177" spans="1:5">
      <c r="A177" t="s">
        <v>1646</v>
      </c>
      <c r="B177">
        <v>71.5</v>
      </c>
      <c r="C177">
        <v>8.1252503854626124E-2</v>
      </c>
      <c r="D177">
        <v>3.8952503854626133E-2</v>
      </c>
      <c r="E177">
        <v>2.5569819499326379E-2</v>
      </c>
    </row>
    <row r="178" spans="1:5">
      <c r="A178" t="s">
        <v>1647</v>
      </c>
      <c r="B178">
        <v>62.5</v>
      </c>
      <c r="C178">
        <v>0.12644349465471971</v>
      </c>
      <c r="D178">
        <v>8.4143494654719708E-2</v>
      </c>
      <c r="E178">
        <v>5.523480540284173E-2</v>
      </c>
    </row>
    <row r="179" spans="1:5">
      <c r="A179" t="s">
        <v>1648</v>
      </c>
      <c r="B179">
        <v>56</v>
      </c>
      <c r="C179">
        <v>0.17178664367299551</v>
      </c>
      <c r="D179">
        <v>0.12948664367299539</v>
      </c>
      <c r="E179">
        <v>8.4999673413776344E-2</v>
      </c>
    </row>
    <row r="180" spans="1:5">
      <c r="A180" t="s">
        <v>1649</v>
      </c>
      <c r="B180">
        <v>54.75</v>
      </c>
      <c r="C180">
        <v>0.19765354076395811</v>
      </c>
      <c r="D180">
        <v>0.1553535407639581</v>
      </c>
      <c r="E180">
        <v>0.1019796316750478</v>
      </c>
    </row>
    <row r="181" spans="1:5">
      <c r="A181" t="s">
        <v>1650</v>
      </c>
      <c r="B181">
        <v>70.25</v>
      </c>
      <c r="C181">
        <v>8.1252503854626124E-2</v>
      </c>
      <c r="D181">
        <v>3.8952503854626133E-2</v>
      </c>
      <c r="E181">
        <v>2.5569819499326379E-2</v>
      </c>
    </row>
    <row r="182" spans="1:5">
      <c r="A182" t="s">
        <v>1651</v>
      </c>
      <c r="B182">
        <v>62.75</v>
      </c>
      <c r="C182">
        <v>0.12644349465471971</v>
      </c>
      <c r="D182">
        <v>8.4143494654719708E-2</v>
      </c>
      <c r="E182">
        <v>5.523480540284173E-2</v>
      </c>
    </row>
    <row r="183" spans="1:5">
      <c r="A183" t="s">
        <v>1652</v>
      </c>
      <c r="B183">
        <v>55.5</v>
      </c>
      <c r="C183">
        <v>0.17178664367299551</v>
      </c>
      <c r="D183">
        <v>0.12948664367299539</v>
      </c>
      <c r="E183">
        <v>8.4999673413776344E-2</v>
      </c>
    </row>
    <row r="184" spans="1:5">
      <c r="A184" t="s">
        <v>1653</v>
      </c>
      <c r="B184">
        <v>47.75</v>
      </c>
      <c r="C184">
        <v>0.30889117303269009</v>
      </c>
      <c r="D184">
        <v>0.26659117303269009</v>
      </c>
      <c r="E184">
        <v>0.17499999999999999</v>
      </c>
    </row>
    <row r="185" spans="1:5">
      <c r="A185" t="s">
        <v>1654</v>
      </c>
      <c r="B185">
        <v>51.5</v>
      </c>
      <c r="C185">
        <v>0.19765354076395811</v>
      </c>
      <c r="D185">
        <v>0.1553535407639581</v>
      </c>
      <c r="E185">
        <v>0.1019796316750478</v>
      </c>
    </row>
    <row r="186" spans="1:5">
      <c r="A186" t="s">
        <v>1655</v>
      </c>
      <c r="B186">
        <v>51.75</v>
      </c>
      <c r="C186">
        <v>0.19765354076395811</v>
      </c>
      <c r="D186">
        <v>0.1553535407639581</v>
      </c>
      <c r="E186">
        <v>0.1019796316750478</v>
      </c>
    </row>
    <row r="187" spans="1:5">
      <c r="A187" t="s">
        <v>1656</v>
      </c>
      <c r="B187">
        <v>58.5</v>
      </c>
      <c r="C187">
        <v>0.15885319512751411</v>
      </c>
      <c r="D187">
        <v>0.11655319512751409</v>
      </c>
      <c r="E187">
        <v>7.6509694283140611E-2</v>
      </c>
    </row>
    <row r="190" spans="1:5" ht="15.5">
      <c r="A190" s="112" t="s">
        <v>1657</v>
      </c>
    </row>
    <row r="192" spans="1:5">
      <c r="A192" s="170" t="s">
        <v>1658</v>
      </c>
    </row>
    <row r="193" spans="1:8">
      <c r="A193" s="115" t="s">
        <v>1659</v>
      </c>
      <c r="B193" s="115" t="s">
        <v>1660</v>
      </c>
      <c r="C193" s="115" t="s">
        <v>1661</v>
      </c>
      <c r="D193" s="115" t="s">
        <v>1662</v>
      </c>
      <c r="E193" s="115" t="s">
        <v>1663</v>
      </c>
      <c r="F193" s="115" t="s">
        <v>1664</v>
      </c>
      <c r="G193" s="115" t="s">
        <v>1665</v>
      </c>
      <c r="H193" s="115" t="s">
        <v>1666</v>
      </c>
    </row>
    <row r="194" spans="1:8">
      <c r="A194" t="s">
        <v>1667</v>
      </c>
      <c r="B194">
        <v>419</v>
      </c>
      <c r="C194">
        <v>1.2728318033391579</v>
      </c>
      <c r="D194">
        <v>0.40554917010338543</v>
      </c>
      <c r="E194">
        <v>0.13471057671207001</v>
      </c>
      <c r="F194">
        <v>0.97710107664693435</v>
      </c>
      <c r="G194">
        <v>0.10037145745060411</v>
      </c>
      <c r="H194">
        <v>1.0861161361977181</v>
      </c>
    </row>
    <row r="195" spans="1:8">
      <c r="A195" t="s">
        <v>1668</v>
      </c>
      <c r="B195">
        <v>319</v>
      </c>
      <c r="C195">
        <v>1.230944636330449</v>
      </c>
      <c r="D195">
        <v>0.13000435357647341</v>
      </c>
      <c r="E195">
        <v>0.10925811124152709</v>
      </c>
      <c r="F195">
        <v>1.1220780958356651</v>
      </c>
      <c r="G195">
        <v>3.8233310942232673E-2</v>
      </c>
      <c r="H195">
        <v>1.166684299427081</v>
      </c>
    </row>
    <row r="196" spans="1:8">
      <c r="A196" t="s">
        <v>1669</v>
      </c>
      <c r="B196">
        <v>150</v>
      </c>
      <c r="C196">
        <v>0.99062514092123299</v>
      </c>
      <c r="D196">
        <v>0.78885376261286244</v>
      </c>
      <c r="E196">
        <v>0.14618961093690869</v>
      </c>
      <c r="F196">
        <v>0.62353603297669324</v>
      </c>
      <c r="G196">
        <v>8.8480442551723035E-2</v>
      </c>
      <c r="H196">
        <v>0.68406215520183722</v>
      </c>
    </row>
    <row r="197" spans="1:8">
      <c r="A197" t="s">
        <v>1670</v>
      </c>
      <c r="B197">
        <v>1207</v>
      </c>
      <c r="C197">
        <v>0.76241741500988791</v>
      </c>
      <c r="D197">
        <v>0.18704658759362811</v>
      </c>
      <c r="E197">
        <v>0.1524329632900584</v>
      </c>
      <c r="F197">
        <v>0.6690261374951384</v>
      </c>
      <c r="G197">
        <v>5.1385559162910557E-2</v>
      </c>
      <c r="H197">
        <v>0.70526665913368036</v>
      </c>
    </row>
    <row r="198" spans="1:8">
      <c r="A198" t="s">
        <v>1671</v>
      </c>
      <c r="B198">
        <v>165</v>
      </c>
      <c r="C198">
        <v>1.405957835982734</v>
      </c>
      <c r="D198">
        <v>0.47810709918659611</v>
      </c>
      <c r="E198">
        <v>0.11567427371572329</v>
      </c>
      <c r="F198">
        <v>1.0362220648082059</v>
      </c>
      <c r="G198">
        <v>9.5304696536704259E-2</v>
      </c>
      <c r="H198">
        <v>1.145382385474323</v>
      </c>
    </row>
    <row r="199" spans="1:8">
      <c r="A199" t="s">
        <v>1672</v>
      </c>
      <c r="B199">
        <v>797</v>
      </c>
      <c r="C199">
        <v>1.449821287328946</v>
      </c>
      <c r="D199">
        <v>0.27799918976431148</v>
      </c>
      <c r="E199">
        <v>0.17283112850909199</v>
      </c>
      <c r="F199">
        <v>1.20070919557387</v>
      </c>
      <c r="G199">
        <v>0.11286727591748601</v>
      </c>
      <c r="H199">
        <v>1.35347187966227</v>
      </c>
    </row>
    <row r="200" spans="1:8">
      <c r="A200" t="s">
        <v>1673</v>
      </c>
      <c r="B200">
        <v>604</v>
      </c>
      <c r="C200">
        <v>0.69749392265202714</v>
      </c>
      <c r="D200">
        <v>2.1172056839541078</v>
      </c>
      <c r="E200">
        <v>0.21589570882030079</v>
      </c>
      <c r="F200">
        <v>0.27033908379442573</v>
      </c>
      <c r="G200">
        <v>0.25478189513985833</v>
      </c>
      <c r="H200">
        <v>0.36276505097143541</v>
      </c>
    </row>
    <row r="201" spans="1:8">
      <c r="A201" t="s">
        <v>1674</v>
      </c>
      <c r="B201">
        <v>825</v>
      </c>
      <c r="C201">
        <v>0.51348722168229732</v>
      </c>
      <c r="D201">
        <v>2.0227549984524189</v>
      </c>
      <c r="E201">
        <v>0.18362631806910121</v>
      </c>
      <c r="F201">
        <v>0.2046106524345937</v>
      </c>
      <c r="G201">
        <v>0.31878962535347599</v>
      </c>
      <c r="H201">
        <v>0.30036338266393098</v>
      </c>
    </row>
    <row r="202" spans="1:8">
      <c r="A202" t="s">
        <v>1675</v>
      </c>
      <c r="B202">
        <v>217</v>
      </c>
      <c r="C202">
        <v>0.79267084862121351</v>
      </c>
      <c r="D202">
        <v>0.20293430738047491</v>
      </c>
      <c r="E202">
        <v>0.17619728818774319</v>
      </c>
      <c r="F202">
        <v>0.68841107789110878</v>
      </c>
      <c r="G202">
        <v>5.0525552543085828E-2</v>
      </c>
      <c r="H202">
        <v>0.72504434398941309</v>
      </c>
    </row>
    <row r="203" spans="1:8">
      <c r="A203" t="s">
        <v>1676</v>
      </c>
      <c r="B203">
        <v>94</v>
      </c>
      <c r="C203">
        <v>0.59284846615832043</v>
      </c>
      <c r="D203">
        <v>0.1872019345608891</v>
      </c>
      <c r="E203">
        <v>0.13304619400183729</v>
      </c>
      <c r="F203">
        <v>0.52017538532738261</v>
      </c>
      <c r="G203">
        <v>4.0306935179242727E-2</v>
      </c>
      <c r="H203">
        <v>0.54202265744677047</v>
      </c>
    </row>
    <row r="204" spans="1:8">
      <c r="A204" t="s">
        <v>1677</v>
      </c>
      <c r="B204">
        <v>127</v>
      </c>
      <c r="C204">
        <v>0.832172827138835</v>
      </c>
      <c r="D204">
        <v>0.56772253007286722</v>
      </c>
      <c r="E204">
        <v>0.1519882221308051</v>
      </c>
      <c r="F204">
        <v>0.58451773428507625</v>
      </c>
      <c r="G204">
        <v>0.1086553906426504</v>
      </c>
      <c r="H204">
        <v>0.65577076267562506</v>
      </c>
    </row>
    <row r="205" spans="1:8">
      <c r="A205" t="s">
        <v>1678</v>
      </c>
      <c r="B205">
        <v>623</v>
      </c>
      <c r="C205">
        <v>0.98461362581209033</v>
      </c>
      <c r="D205">
        <v>1.791363344583766</v>
      </c>
      <c r="E205">
        <v>0.15368016417037109</v>
      </c>
      <c r="F205">
        <v>0.42133422837600742</v>
      </c>
      <c r="G205">
        <v>0.13938560149406551</v>
      </c>
      <c r="H205">
        <v>0.48957376161433352</v>
      </c>
    </row>
    <row r="206" spans="1:8">
      <c r="A206" t="s">
        <v>1679</v>
      </c>
      <c r="B206">
        <v>469</v>
      </c>
      <c r="C206">
        <v>1.004830306752776</v>
      </c>
      <c r="D206">
        <v>0.2277946549291506</v>
      </c>
      <c r="E206">
        <v>0.16716756842302291</v>
      </c>
      <c r="F206">
        <v>0.85882700906967724</v>
      </c>
      <c r="G206">
        <v>4.862366564916687E-2</v>
      </c>
      <c r="H206">
        <v>0.90272059337664057</v>
      </c>
    </row>
    <row r="207" spans="1:8">
      <c r="A207" t="s">
        <v>1680</v>
      </c>
      <c r="B207">
        <v>994</v>
      </c>
      <c r="C207">
        <v>0.99214597590868558</v>
      </c>
      <c r="D207">
        <v>0.20606925307918139</v>
      </c>
      <c r="E207">
        <v>0.158173661255646</v>
      </c>
      <c r="F207">
        <v>0.85990207922181916</v>
      </c>
      <c r="G207">
        <v>5.3315735126113373E-2</v>
      </c>
      <c r="H207">
        <v>0.90833038123473164</v>
      </c>
    </row>
    <row r="208" spans="1:8">
      <c r="A208" t="s">
        <v>1681</v>
      </c>
      <c r="B208">
        <v>42</v>
      </c>
      <c r="C208">
        <v>1.096995264367076</v>
      </c>
      <c r="D208">
        <v>1.2416592118280201</v>
      </c>
      <c r="E208">
        <v>0.100169244792237</v>
      </c>
      <c r="F208">
        <v>0.5693795503883593</v>
      </c>
      <c r="G208">
        <v>3.6305021246558218E-2</v>
      </c>
      <c r="H208">
        <v>0.59082963275876232</v>
      </c>
    </row>
    <row r="209" spans="1:8">
      <c r="A209" t="s">
        <v>1682</v>
      </c>
      <c r="B209">
        <v>909</v>
      </c>
      <c r="C209">
        <v>1.256025755860968</v>
      </c>
      <c r="D209">
        <v>0.50479721158398783</v>
      </c>
      <c r="E209">
        <v>0.14718140978860139</v>
      </c>
      <c r="F209">
        <v>0.91232530038320137</v>
      </c>
      <c r="G209">
        <v>8.9629502984632334E-2</v>
      </c>
      <c r="H209">
        <v>1.0021472613339759</v>
      </c>
    </row>
    <row r="210" spans="1:8">
      <c r="A210" t="s">
        <v>1683</v>
      </c>
      <c r="B210">
        <v>63</v>
      </c>
      <c r="C210">
        <v>1.169202539534707</v>
      </c>
      <c r="D210">
        <v>0.52519150233929468</v>
      </c>
      <c r="E210">
        <v>0.21129295574917811</v>
      </c>
      <c r="F210">
        <v>0.8399742722518635</v>
      </c>
      <c r="G210">
        <v>7.7009291867877486E-2</v>
      </c>
      <c r="H210">
        <v>0.91005712717491893</v>
      </c>
    </row>
    <row r="211" spans="1:8">
      <c r="A211" t="s">
        <v>1684</v>
      </c>
      <c r="B211">
        <v>952</v>
      </c>
      <c r="C211">
        <v>1.153626570549779</v>
      </c>
      <c r="D211">
        <v>0.2351513687756194</v>
      </c>
      <c r="E211">
        <v>0.1572604229256801</v>
      </c>
      <c r="F211">
        <v>0.98139768821322926</v>
      </c>
      <c r="G211">
        <v>5.8888361154644693E-2</v>
      </c>
      <c r="H211">
        <v>1.042806876150528</v>
      </c>
    </row>
    <row r="212" spans="1:8">
      <c r="A212" t="s">
        <v>1685</v>
      </c>
      <c r="B212">
        <v>212</v>
      </c>
      <c r="C212">
        <v>1.1429397457977559</v>
      </c>
      <c r="D212">
        <v>0.19903127953356939</v>
      </c>
      <c r="E212">
        <v>0.1066062390222547</v>
      </c>
      <c r="F212">
        <v>0.99512658459925407</v>
      </c>
      <c r="G212">
        <v>0.1216925845887359</v>
      </c>
      <c r="H212">
        <v>1.1330048763544709</v>
      </c>
    </row>
    <row r="213" spans="1:8">
      <c r="A213" t="s">
        <v>1686</v>
      </c>
      <c r="B213">
        <v>1225</v>
      </c>
      <c r="C213">
        <v>1.1166904823073389</v>
      </c>
      <c r="D213">
        <v>0.15013413016658991</v>
      </c>
      <c r="E213">
        <v>0.16580858268179191</v>
      </c>
      <c r="F213">
        <v>1.004177331439527</v>
      </c>
      <c r="G213">
        <v>6.2897610738963397E-2</v>
      </c>
      <c r="H213">
        <v>1.071576962077093</v>
      </c>
    </row>
    <row r="214" spans="1:8">
      <c r="A214" t="s">
        <v>1687</v>
      </c>
      <c r="B214">
        <v>343</v>
      </c>
      <c r="C214">
        <v>1.4861046989510831</v>
      </c>
      <c r="D214">
        <v>6.1902607798434227E-2</v>
      </c>
      <c r="E214">
        <v>0.12934110980405719</v>
      </c>
      <c r="F214">
        <v>1.4204814174634881</v>
      </c>
      <c r="G214">
        <v>3.2500269056420207E-2</v>
      </c>
      <c r="H214">
        <v>1.4681982558053279</v>
      </c>
    </row>
    <row r="215" spans="1:8">
      <c r="A215" t="s">
        <v>1688</v>
      </c>
      <c r="B215">
        <v>804</v>
      </c>
      <c r="C215">
        <v>1.034395575517056</v>
      </c>
      <c r="D215">
        <v>0.30271872538769712</v>
      </c>
      <c r="E215">
        <v>0.16723043638080759</v>
      </c>
      <c r="F215">
        <v>0.84377156107279683</v>
      </c>
      <c r="G215">
        <v>7.9531570267789439E-2</v>
      </c>
      <c r="H215">
        <v>0.91667626375656697</v>
      </c>
    </row>
    <row r="216" spans="1:8">
      <c r="A216" t="s">
        <v>1689</v>
      </c>
      <c r="B216">
        <v>329</v>
      </c>
      <c r="C216">
        <v>0.79738817445507382</v>
      </c>
      <c r="D216">
        <v>0.48503026449041259</v>
      </c>
      <c r="E216">
        <v>0.151815592881826</v>
      </c>
      <c r="F216">
        <v>0.58546329226857663</v>
      </c>
      <c r="G216">
        <v>0.1028405432287318</v>
      </c>
      <c r="H216">
        <v>0.65257439783955951</v>
      </c>
    </row>
    <row r="217" spans="1:8">
      <c r="A217" t="s">
        <v>1690</v>
      </c>
      <c r="B217">
        <v>1193</v>
      </c>
      <c r="C217">
        <v>1.2307900987040601</v>
      </c>
      <c r="D217">
        <v>0.12349884859063311</v>
      </c>
      <c r="E217">
        <v>2.0811664176194761E-2</v>
      </c>
      <c r="F217">
        <v>1.126924622146559</v>
      </c>
      <c r="G217">
        <v>4.5633623765826158E-2</v>
      </c>
      <c r="H217">
        <v>1.180809226110082</v>
      </c>
    </row>
    <row r="218" spans="1:8">
      <c r="A218" t="s">
        <v>1691</v>
      </c>
      <c r="B218">
        <v>1260</v>
      </c>
      <c r="C218">
        <v>1.0625903045222249</v>
      </c>
      <c r="D218">
        <v>0.1493973751589695</v>
      </c>
      <c r="E218">
        <v>0.1035076012030151</v>
      </c>
      <c r="F218">
        <v>0.95600075117608296</v>
      </c>
      <c r="G218">
        <v>4.2806876746127043E-2</v>
      </c>
      <c r="H218">
        <v>0.99875430354771388</v>
      </c>
    </row>
    <row r="219" spans="1:8">
      <c r="A219" t="s">
        <v>1692</v>
      </c>
      <c r="B219">
        <v>281</v>
      </c>
      <c r="C219">
        <v>0.81174092791012553</v>
      </c>
      <c r="D219">
        <v>0.28607771134901638</v>
      </c>
      <c r="E219">
        <v>0.14549585265824269</v>
      </c>
      <c r="F219">
        <v>0.66892547538891989</v>
      </c>
      <c r="G219">
        <v>0.1016036348350432</v>
      </c>
      <c r="H219">
        <v>0.74457722818824723</v>
      </c>
    </row>
    <row r="220" spans="1:8">
      <c r="A220" t="s">
        <v>1693</v>
      </c>
      <c r="B220">
        <v>1158</v>
      </c>
      <c r="C220">
        <v>1.3734745939775299</v>
      </c>
      <c r="D220">
        <v>0.13738025875534771</v>
      </c>
      <c r="E220">
        <v>0.12197776743808091</v>
      </c>
      <c r="F220">
        <v>1.2457515640084329</v>
      </c>
      <c r="G220">
        <v>7.0779173766829157E-2</v>
      </c>
      <c r="H220">
        <v>1.3406410283101371</v>
      </c>
    </row>
    <row r="221" spans="1:8">
      <c r="A221" t="s">
        <v>1694</v>
      </c>
      <c r="B221">
        <v>122</v>
      </c>
      <c r="C221">
        <v>1.197057726576267</v>
      </c>
      <c r="D221">
        <v>0.16334231802432711</v>
      </c>
      <c r="E221">
        <v>0.13277458911063039</v>
      </c>
      <c r="F221">
        <v>1.066989210928085</v>
      </c>
      <c r="G221">
        <v>0.1053156061617144</v>
      </c>
      <c r="H221">
        <v>1.1925872612470569</v>
      </c>
    </row>
    <row r="222" spans="1:8">
      <c r="A222" t="s">
        <v>1695</v>
      </c>
      <c r="B222">
        <v>1481</v>
      </c>
      <c r="C222">
        <v>1.598188009962662</v>
      </c>
      <c r="D222">
        <v>0.1416847160789399</v>
      </c>
      <c r="E222">
        <v>0.118861693644047</v>
      </c>
      <c r="F222">
        <v>1.4453569704408069</v>
      </c>
      <c r="G222">
        <v>7.8512880756793094E-2</v>
      </c>
      <c r="H222">
        <v>1.568504800835242</v>
      </c>
    </row>
    <row r="223" spans="1:8">
      <c r="A223" t="s">
        <v>1696</v>
      </c>
      <c r="B223">
        <v>1390</v>
      </c>
      <c r="C223">
        <v>1.0010491996782469</v>
      </c>
      <c r="D223">
        <v>0.76551874347716709</v>
      </c>
      <c r="E223">
        <v>0.1765790480575051</v>
      </c>
      <c r="F223">
        <v>0.6370807424250895</v>
      </c>
      <c r="G223">
        <v>0.1609822889823409</v>
      </c>
      <c r="H223">
        <v>0.75931739468570125</v>
      </c>
    </row>
    <row r="224" spans="1:8">
      <c r="A224" t="s">
        <v>1697</v>
      </c>
      <c r="B224">
        <v>733</v>
      </c>
      <c r="C224">
        <v>1.0127306260651701</v>
      </c>
      <c r="D224">
        <v>0.12733170536377919</v>
      </c>
      <c r="E224">
        <v>8.0291418313273299E-2</v>
      </c>
      <c r="F224">
        <v>0.92484479682400866</v>
      </c>
      <c r="G224">
        <v>5.8277003735348699E-2</v>
      </c>
      <c r="H224">
        <v>0.98207732049913821</v>
      </c>
    </row>
    <row r="225" spans="1:8">
      <c r="A225" t="s">
        <v>1698</v>
      </c>
      <c r="B225">
        <v>397</v>
      </c>
      <c r="C225">
        <v>1.101814896754947</v>
      </c>
      <c r="D225">
        <v>0.35698855075499902</v>
      </c>
      <c r="E225">
        <v>0.12800387105939301</v>
      </c>
      <c r="F225">
        <v>0.87002290987150088</v>
      </c>
      <c r="G225">
        <v>4.1822093843015523E-2</v>
      </c>
      <c r="H225">
        <v>0.90799725633515016</v>
      </c>
    </row>
    <row r="226" spans="1:8">
      <c r="A226" t="s">
        <v>1699</v>
      </c>
      <c r="B226">
        <v>428</v>
      </c>
      <c r="C226">
        <v>0.66989834457188224</v>
      </c>
      <c r="D226">
        <v>0.59040667117247647</v>
      </c>
      <c r="E226">
        <v>0.15627957449072821</v>
      </c>
      <c r="F226">
        <v>0.46500681142482853</v>
      </c>
      <c r="G226">
        <v>5.6152394567947621E-2</v>
      </c>
      <c r="H226">
        <v>0.49267149564040968</v>
      </c>
    </row>
    <row r="227" spans="1:8">
      <c r="A227" t="s">
        <v>1700</v>
      </c>
      <c r="B227">
        <v>1138</v>
      </c>
      <c r="C227">
        <v>0.82348795126989627</v>
      </c>
      <c r="D227">
        <v>2.6481447760920789</v>
      </c>
      <c r="E227">
        <v>0.1590552459398816</v>
      </c>
      <c r="F227">
        <v>0.27668079862657929</v>
      </c>
      <c r="G227">
        <v>6.2463930745502209E-2</v>
      </c>
      <c r="H227">
        <v>0.29511483099160979</v>
      </c>
    </row>
    <row r="228" spans="1:8">
      <c r="A228" t="s">
        <v>1701</v>
      </c>
      <c r="B228">
        <v>1450</v>
      </c>
      <c r="C228">
        <v>0.67372445145960558</v>
      </c>
      <c r="D228">
        <v>0.37102595414807421</v>
      </c>
      <c r="E228">
        <v>0.16351570359118769</v>
      </c>
      <c r="F228">
        <v>0.52762644582731599</v>
      </c>
      <c r="G228">
        <v>5.8188906693868142E-2</v>
      </c>
      <c r="H228">
        <v>0.56022534622642539</v>
      </c>
    </row>
    <row r="229" spans="1:8">
      <c r="A229" t="s">
        <v>1702</v>
      </c>
      <c r="B229">
        <v>183</v>
      </c>
      <c r="C229">
        <v>0.68481758765958034</v>
      </c>
      <c r="D229">
        <v>0.58243510242101693</v>
      </c>
      <c r="E229">
        <v>0.1743834801387952</v>
      </c>
      <c r="F229">
        <v>0.47733413191932211</v>
      </c>
      <c r="G229">
        <v>4.318353389130633E-2</v>
      </c>
      <c r="H229">
        <v>0.49887742197895801</v>
      </c>
    </row>
    <row r="230" spans="1:8">
      <c r="A230" t="s">
        <v>1703</v>
      </c>
      <c r="B230">
        <v>383</v>
      </c>
      <c r="C230">
        <v>0.96750966706597286</v>
      </c>
      <c r="D230">
        <v>0.25727546199276419</v>
      </c>
      <c r="E230">
        <v>0.15391396458443379</v>
      </c>
      <c r="F230">
        <v>0.81166599888641688</v>
      </c>
      <c r="G230">
        <v>0.1350389291343517</v>
      </c>
      <c r="H230">
        <v>0.9383844270287286</v>
      </c>
    </row>
    <row r="231" spans="1:8">
      <c r="A231" t="s">
        <v>1704</v>
      </c>
      <c r="B231">
        <v>258</v>
      </c>
      <c r="C231">
        <v>0.83665283431558157</v>
      </c>
      <c r="D231">
        <v>0.71429602284650051</v>
      </c>
      <c r="E231">
        <v>0.11003347507560129</v>
      </c>
      <c r="F231">
        <v>0.54573363004629982</v>
      </c>
      <c r="G231">
        <v>3.7167564307095342E-2</v>
      </c>
      <c r="H231">
        <v>0.56680021342816655</v>
      </c>
    </row>
    <row r="232" spans="1:8">
      <c r="A232" t="s">
        <v>1705</v>
      </c>
      <c r="B232">
        <v>842</v>
      </c>
      <c r="C232">
        <v>1.1819539300300539</v>
      </c>
      <c r="D232">
        <v>0.13861423686745339</v>
      </c>
      <c r="E232">
        <v>8.4512386205501486E-2</v>
      </c>
      <c r="F232">
        <v>1.07114620619297</v>
      </c>
      <c r="G232">
        <v>4.0630250102590859E-2</v>
      </c>
      <c r="H232">
        <v>1.1165102988785229</v>
      </c>
    </row>
    <row r="233" spans="1:8">
      <c r="A233" t="s">
        <v>1706</v>
      </c>
      <c r="B233">
        <v>478</v>
      </c>
      <c r="C233">
        <v>0.91655886724230395</v>
      </c>
      <c r="D233">
        <v>0.38126240765373492</v>
      </c>
      <c r="E233">
        <v>0.14622470578352881</v>
      </c>
      <c r="F233">
        <v>0.71353295745330669</v>
      </c>
      <c r="G233">
        <v>8.3653516918981027E-2</v>
      </c>
      <c r="H233">
        <v>0.77867157306503187</v>
      </c>
    </row>
    <row r="234" spans="1:8">
      <c r="A234" t="s">
        <v>1707</v>
      </c>
      <c r="B234">
        <v>430</v>
      </c>
      <c r="C234">
        <v>1.2899202129978531</v>
      </c>
      <c r="D234">
        <v>0.1395843915670682</v>
      </c>
      <c r="E234">
        <v>7.8580840066914473E-2</v>
      </c>
      <c r="F234">
        <v>1.1682241624760319</v>
      </c>
      <c r="G234">
        <v>3.2325778018135937E-2</v>
      </c>
      <c r="H234">
        <v>1.207249439882182</v>
      </c>
    </row>
    <row r="235" spans="1:8">
      <c r="A235" t="s">
        <v>1708</v>
      </c>
      <c r="B235">
        <v>160</v>
      </c>
      <c r="C235">
        <v>0.96023095128119218</v>
      </c>
      <c r="D235">
        <v>0.39900852266210779</v>
      </c>
      <c r="E235">
        <v>0.19727547135664211</v>
      </c>
      <c r="F235">
        <v>0.73990268500412626</v>
      </c>
      <c r="G235">
        <v>0.10031244833785249</v>
      </c>
      <c r="H235">
        <v>0.82239960265891954</v>
      </c>
    </row>
    <row r="236" spans="1:8">
      <c r="A236" t="s">
        <v>1709</v>
      </c>
      <c r="B236">
        <v>249</v>
      </c>
      <c r="C236">
        <v>0.76017992531225853</v>
      </c>
      <c r="D236">
        <v>0.46583364678064881</v>
      </c>
      <c r="E236">
        <v>0.18460225368681529</v>
      </c>
      <c r="F236">
        <v>0.56407746391888447</v>
      </c>
      <c r="G236">
        <v>3.3868239276783473E-2</v>
      </c>
      <c r="H236">
        <v>0.58385148574003343</v>
      </c>
    </row>
    <row r="237" spans="1:8">
      <c r="A237" t="s">
        <v>1710</v>
      </c>
      <c r="B237">
        <v>656</v>
      </c>
      <c r="C237">
        <v>0.79843023812672287</v>
      </c>
      <c r="D237">
        <v>0.4024019145325064</v>
      </c>
      <c r="E237">
        <v>0.15064766663486781</v>
      </c>
      <c r="F237">
        <v>0.61402947995385693</v>
      </c>
      <c r="G237">
        <v>6.4299598796292753E-2</v>
      </c>
      <c r="H237">
        <v>0.65622444872734353</v>
      </c>
    </row>
    <row r="238" spans="1:8">
      <c r="A238" t="s">
        <v>1711</v>
      </c>
      <c r="B238">
        <v>588</v>
      </c>
      <c r="C238">
        <v>0.83010589784014777</v>
      </c>
      <c r="D238">
        <v>0.1567416901207325</v>
      </c>
      <c r="E238">
        <v>0.13114799604420649</v>
      </c>
      <c r="F238">
        <v>0.74317233095873103</v>
      </c>
      <c r="G238">
        <v>4.0008158796837189E-2</v>
      </c>
      <c r="H238">
        <v>0.77414442400605121</v>
      </c>
    </row>
    <row r="239" spans="1:8">
      <c r="A239" t="s">
        <v>1712</v>
      </c>
      <c r="B239">
        <v>86</v>
      </c>
      <c r="C239">
        <v>1.023720593319527</v>
      </c>
      <c r="D239">
        <v>0.31980275020939258</v>
      </c>
      <c r="E239">
        <v>0.19817947026034161</v>
      </c>
      <c r="F239">
        <v>0.82646838245503562</v>
      </c>
      <c r="G239">
        <v>5.4098224999083552E-2</v>
      </c>
      <c r="H239">
        <v>0.87373594626591633</v>
      </c>
    </row>
    <row r="240" spans="1:8">
      <c r="A240" t="s">
        <v>1713</v>
      </c>
      <c r="B240">
        <v>204</v>
      </c>
      <c r="C240">
        <v>0.51023558184467732</v>
      </c>
      <c r="D240">
        <v>0.30061467815217008</v>
      </c>
      <c r="E240">
        <v>0.1538150969937597</v>
      </c>
      <c r="F240">
        <v>0.41674040046631539</v>
      </c>
      <c r="G240">
        <v>0.119087746591681</v>
      </c>
      <c r="H240">
        <v>0.47307821960009511</v>
      </c>
    </row>
    <row r="241" spans="1:8">
      <c r="A241" t="s">
        <v>1714</v>
      </c>
      <c r="B241">
        <v>143</v>
      </c>
      <c r="C241">
        <v>0.80378133908447424</v>
      </c>
      <c r="D241">
        <v>0.75134891952395388</v>
      </c>
      <c r="E241">
        <v>0.17249527524531461</v>
      </c>
      <c r="F241">
        <v>0.51500289241546382</v>
      </c>
      <c r="G241">
        <v>0.35207409290986053</v>
      </c>
      <c r="H241">
        <v>0.79484843371730862</v>
      </c>
    </row>
    <row r="242" spans="1:8">
      <c r="A242" t="s">
        <v>1715</v>
      </c>
      <c r="B242">
        <v>248</v>
      </c>
      <c r="C242">
        <v>0.43182654796312647</v>
      </c>
      <c r="D242">
        <v>0.16336758140053231</v>
      </c>
      <c r="E242">
        <v>0.1937687179701888</v>
      </c>
      <c r="F242">
        <v>0.38489916934990559</v>
      </c>
      <c r="G242">
        <v>6.6620175050352656E-2</v>
      </c>
      <c r="H242">
        <v>0.41237142593120613</v>
      </c>
    </row>
    <row r="243" spans="1:8">
      <c r="A243" t="s">
        <v>1716</v>
      </c>
      <c r="B243">
        <v>1315</v>
      </c>
      <c r="C243">
        <v>0.74834020464177042</v>
      </c>
      <c r="D243">
        <v>0.6033886561927545</v>
      </c>
      <c r="E243">
        <v>7.2832480800928009E-2</v>
      </c>
      <c r="F243">
        <v>0.51598675062829347</v>
      </c>
      <c r="G243">
        <v>8.7900222764599481E-2</v>
      </c>
      <c r="H243">
        <v>0.56571305410496153</v>
      </c>
    </row>
    <row r="244" spans="1:8">
      <c r="A244" t="s">
        <v>1717</v>
      </c>
      <c r="B244">
        <v>1553</v>
      </c>
      <c r="C244">
        <v>1.369473758004885</v>
      </c>
      <c r="D244">
        <v>0.1355569335409548</v>
      </c>
      <c r="E244">
        <v>0.15992105601929241</v>
      </c>
      <c r="F244">
        <v>1.243657708749295</v>
      </c>
      <c r="G244">
        <v>6.4652980853285871E-2</v>
      </c>
      <c r="H244">
        <v>1.3296217161025889</v>
      </c>
    </row>
    <row r="245" spans="1:8">
      <c r="A245" t="s">
        <v>1718</v>
      </c>
      <c r="B245">
        <v>1874</v>
      </c>
      <c r="C245">
        <v>1.236271241649942</v>
      </c>
      <c r="D245">
        <v>0.23042321571445559</v>
      </c>
      <c r="E245">
        <v>4.3723115430561628E-2</v>
      </c>
      <c r="F245">
        <v>1.0548705842055659</v>
      </c>
      <c r="G245">
        <v>6.284574145488793E-2</v>
      </c>
      <c r="H245">
        <v>1.1256104046768169</v>
      </c>
    </row>
    <row r="246" spans="1:8">
      <c r="A246" t="s">
        <v>1719</v>
      </c>
      <c r="B246">
        <v>139</v>
      </c>
      <c r="C246">
        <v>0.75869634029438304</v>
      </c>
      <c r="D246">
        <v>0.28568971841268298</v>
      </c>
      <c r="E246">
        <v>0.16192545757586449</v>
      </c>
      <c r="F246">
        <v>0.62536262656619923</v>
      </c>
      <c r="G246">
        <v>0.12081906168587581</v>
      </c>
      <c r="H246">
        <v>0.71130139350537458</v>
      </c>
    </row>
    <row r="247" spans="1:8">
      <c r="A247" t="s">
        <v>1720</v>
      </c>
      <c r="B247">
        <v>34</v>
      </c>
      <c r="C247">
        <v>0.68873305800626605</v>
      </c>
      <c r="D247">
        <v>0.21601776638241321</v>
      </c>
      <c r="E247">
        <v>0.28268194471846619</v>
      </c>
      <c r="F247">
        <v>0.59311463949120302</v>
      </c>
      <c r="G247">
        <v>6.2221334647275577E-2</v>
      </c>
      <c r="H247">
        <v>0.63246761885771441</v>
      </c>
    </row>
    <row r="248" spans="1:8">
      <c r="A248" t="s">
        <v>1721</v>
      </c>
      <c r="B248">
        <v>539</v>
      </c>
      <c r="C248">
        <v>0.88555546755847114</v>
      </c>
      <c r="D248">
        <v>0.35816089298244042</v>
      </c>
      <c r="E248">
        <v>8.9582821968779952E-2</v>
      </c>
      <c r="F248">
        <v>0.69877584622072453</v>
      </c>
      <c r="G248">
        <v>6.3786897715034097E-2</v>
      </c>
      <c r="H248">
        <v>0.74638545916016252</v>
      </c>
    </row>
    <row r="249" spans="1:8">
      <c r="A249" t="s">
        <v>1722</v>
      </c>
      <c r="B249">
        <v>186</v>
      </c>
      <c r="C249">
        <v>0.65347788879632085</v>
      </c>
      <c r="D249">
        <v>0.61540019296416493</v>
      </c>
      <c r="E249">
        <v>0.1214413920533999</v>
      </c>
      <c r="F249">
        <v>0.44781052986747077</v>
      </c>
      <c r="G249">
        <v>2.89354869188094E-2</v>
      </c>
      <c r="H249">
        <v>0.46115425271444288</v>
      </c>
    </row>
    <row r="250" spans="1:8">
      <c r="A250" t="s">
        <v>1723</v>
      </c>
      <c r="B250">
        <v>431</v>
      </c>
      <c r="C250">
        <v>0.94823600069298752</v>
      </c>
      <c r="D250">
        <v>0.39663073734708149</v>
      </c>
      <c r="E250">
        <v>0.1372803033016991</v>
      </c>
      <c r="F250">
        <v>0.7316604648552939</v>
      </c>
      <c r="G250">
        <v>8.5025111807680007E-2</v>
      </c>
      <c r="H250">
        <v>0.79965086943621677</v>
      </c>
    </row>
    <row r="251" spans="1:8">
      <c r="A251" t="s">
        <v>1724</v>
      </c>
      <c r="B251">
        <v>438</v>
      </c>
      <c r="C251">
        <v>0.75913513257041632</v>
      </c>
      <c r="D251">
        <v>0.52646890211375907</v>
      </c>
      <c r="E251">
        <v>0.16665209705491429</v>
      </c>
      <c r="F251">
        <v>0.54500186184619381</v>
      </c>
      <c r="G251">
        <v>5.3080448946639928E-2</v>
      </c>
      <c r="H251">
        <v>0.57555244396414651</v>
      </c>
    </row>
    <row r="252" spans="1:8">
      <c r="A252" t="s">
        <v>1725</v>
      </c>
      <c r="B252">
        <v>271</v>
      </c>
      <c r="C252">
        <v>0.8886903362780022</v>
      </c>
      <c r="D252">
        <v>0.78080782488890155</v>
      </c>
      <c r="E252">
        <v>0.12506681423755331</v>
      </c>
      <c r="F252">
        <v>0.56149671976598903</v>
      </c>
      <c r="G252">
        <v>8.04994160077349E-2</v>
      </c>
      <c r="H252">
        <v>0.61065401103727024</v>
      </c>
    </row>
    <row r="253" spans="1:8">
      <c r="A253" t="s">
        <v>533</v>
      </c>
      <c r="B253">
        <v>486</v>
      </c>
      <c r="C253">
        <v>0.71309583438521496</v>
      </c>
      <c r="D253">
        <v>0.85865762488401898</v>
      </c>
      <c r="E253">
        <v>0.17860633840608239</v>
      </c>
      <c r="F253">
        <v>0.43459824489068882</v>
      </c>
      <c r="G253">
        <v>4.5453347892299378E-2</v>
      </c>
      <c r="H253">
        <v>0.45529282820390998</v>
      </c>
    </row>
    <row r="254" spans="1:8">
      <c r="A254" t="s">
        <v>1726</v>
      </c>
      <c r="B254">
        <v>777</v>
      </c>
      <c r="C254">
        <v>1.397502721670588</v>
      </c>
      <c r="D254">
        <v>9.0557232169936525E-2</v>
      </c>
      <c r="E254">
        <v>5.111634044564177E-2</v>
      </c>
      <c r="F254">
        <v>1.3090344280819941</v>
      </c>
      <c r="G254">
        <v>4.7239216035514717E-2</v>
      </c>
      <c r="H254">
        <v>1.3739381911113471</v>
      </c>
    </row>
    <row r="255" spans="1:8">
      <c r="A255" t="s">
        <v>1727</v>
      </c>
      <c r="B255">
        <v>307</v>
      </c>
      <c r="C255">
        <v>0.81662806293641388</v>
      </c>
      <c r="D255">
        <v>0.27988908403246948</v>
      </c>
      <c r="E255">
        <v>0.150337447698557</v>
      </c>
      <c r="F255">
        <v>0.6755238208023111</v>
      </c>
      <c r="G255">
        <v>0.13259707973154591</v>
      </c>
      <c r="H255">
        <v>0.77878896302682721</v>
      </c>
    </row>
    <row r="256" spans="1:8">
      <c r="A256" t="s">
        <v>1728</v>
      </c>
      <c r="B256">
        <v>643</v>
      </c>
      <c r="C256">
        <v>0.5649158041768807</v>
      </c>
      <c r="D256">
        <v>0.80074454305825082</v>
      </c>
      <c r="E256">
        <v>3.9720648455744953E-2</v>
      </c>
      <c r="F256">
        <v>0.35360374403773398</v>
      </c>
      <c r="G256">
        <v>2.2413034142081609E-2</v>
      </c>
      <c r="H256">
        <v>0.3617107801017127</v>
      </c>
    </row>
    <row r="257" spans="1:8">
      <c r="A257" t="s">
        <v>1729</v>
      </c>
      <c r="B257">
        <v>895</v>
      </c>
      <c r="C257">
        <v>0.92559635092127723</v>
      </c>
      <c r="D257">
        <v>1.9118433428437629</v>
      </c>
      <c r="E257">
        <v>0.14520460702373281</v>
      </c>
      <c r="F257">
        <v>0.38140474606401231</v>
      </c>
      <c r="G257">
        <v>0.14472311935942719</v>
      </c>
      <c r="H257">
        <v>0.44594300944783322</v>
      </c>
    </row>
    <row r="258" spans="1:8">
      <c r="A258" t="s">
        <v>1730</v>
      </c>
      <c r="B258">
        <v>312</v>
      </c>
      <c r="C258">
        <v>0.92785109678239408</v>
      </c>
      <c r="D258">
        <v>0.88559104705215663</v>
      </c>
      <c r="E258">
        <v>0.14285705353554631</v>
      </c>
      <c r="F258">
        <v>0.55863798198405723</v>
      </c>
      <c r="G258">
        <v>6.52624893639039E-2</v>
      </c>
      <c r="H258">
        <v>0.59764155779294637</v>
      </c>
    </row>
    <row r="259" spans="1:8">
      <c r="A259" t="s">
        <v>1731</v>
      </c>
      <c r="B259">
        <v>752</v>
      </c>
      <c r="C259">
        <v>0.78176159786615251</v>
      </c>
      <c r="D259">
        <v>0.82502353436655962</v>
      </c>
      <c r="E259">
        <v>0.14271538235755499</v>
      </c>
      <c r="F259">
        <v>0.48384867816791571</v>
      </c>
      <c r="G259">
        <v>5.888789747767325E-2</v>
      </c>
      <c r="H259">
        <v>0.51412438207002753</v>
      </c>
    </row>
    <row r="260" spans="1:8">
      <c r="A260" t="s">
        <v>1732</v>
      </c>
      <c r="B260">
        <v>332</v>
      </c>
      <c r="C260">
        <v>1.006379861589296</v>
      </c>
      <c r="D260">
        <v>0.33367660486586759</v>
      </c>
      <c r="E260">
        <v>0.14766314238957801</v>
      </c>
      <c r="F260">
        <v>0.80573374732012837</v>
      </c>
      <c r="G260">
        <v>9.4651240783523188E-2</v>
      </c>
      <c r="H260">
        <v>0.88997056561654864</v>
      </c>
    </row>
    <row r="261" spans="1:8">
      <c r="A261" t="s">
        <v>1733</v>
      </c>
      <c r="B261">
        <v>32</v>
      </c>
      <c r="C261">
        <v>0.98946560189037758</v>
      </c>
      <c r="D261">
        <v>0.2027957244084444</v>
      </c>
      <c r="E261">
        <v>0.17744375213120969</v>
      </c>
      <c r="F261">
        <v>0.85939866548550436</v>
      </c>
      <c r="G261">
        <v>9.7903051431983662E-2</v>
      </c>
      <c r="H261">
        <v>0.95266774469164206</v>
      </c>
    </row>
    <row r="262" spans="1:8">
      <c r="A262" t="s">
        <v>1734</v>
      </c>
      <c r="B262">
        <v>410</v>
      </c>
      <c r="C262">
        <v>0.75470421880052851</v>
      </c>
      <c r="D262">
        <v>0.26014030000641841</v>
      </c>
      <c r="E262">
        <v>0.15212257705962379</v>
      </c>
      <c r="F262">
        <v>0.63200504853816175</v>
      </c>
      <c r="G262">
        <v>4.3324502053615981E-2</v>
      </c>
      <c r="H262">
        <v>0.66062635647597812</v>
      </c>
    </row>
    <row r="263" spans="1:8">
      <c r="A263" t="s">
        <v>1735</v>
      </c>
      <c r="B263">
        <v>212</v>
      </c>
      <c r="C263">
        <v>0.83455337838450927</v>
      </c>
      <c r="D263">
        <v>0.52748531940732302</v>
      </c>
      <c r="E263">
        <v>0.16931673041612921</v>
      </c>
      <c r="F263">
        <v>0.59882037567714319</v>
      </c>
      <c r="G263">
        <v>4.9198128982835758E-2</v>
      </c>
      <c r="H263">
        <v>0.62980563451829075</v>
      </c>
    </row>
    <row r="264" spans="1:8">
      <c r="A264" t="s">
        <v>1736</v>
      </c>
      <c r="B264">
        <v>121</v>
      </c>
      <c r="C264">
        <v>0.94488862631815718</v>
      </c>
      <c r="D264">
        <v>0.25951797954278638</v>
      </c>
      <c r="E264">
        <v>0.1843887301146109</v>
      </c>
      <c r="F264">
        <v>0.79157730482620325</v>
      </c>
      <c r="G264">
        <v>1.6251481093627181E-2</v>
      </c>
      <c r="H264">
        <v>0.80465412614414389</v>
      </c>
    </row>
    <row r="265" spans="1:8">
      <c r="A265" t="s">
        <v>1737</v>
      </c>
      <c r="B265">
        <v>1079</v>
      </c>
      <c r="C265">
        <v>0.81359430388803722</v>
      </c>
      <c r="D265">
        <v>0.48335616907527679</v>
      </c>
      <c r="E265">
        <v>0.17482538467224321</v>
      </c>
      <c r="F265">
        <v>0.59791073600363775</v>
      </c>
      <c r="G265">
        <v>6.9815190658620227E-2</v>
      </c>
      <c r="H265">
        <v>0.64278703543545312</v>
      </c>
    </row>
    <row r="266" spans="1:8">
      <c r="A266" t="s">
        <v>1738</v>
      </c>
      <c r="B266">
        <v>252</v>
      </c>
      <c r="C266">
        <v>0.98254580406685521</v>
      </c>
      <c r="D266">
        <v>0.13044547060633099</v>
      </c>
      <c r="E266">
        <v>0.17673882300840121</v>
      </c>
      <c r="F266">
        <v>0.89537932432356149</v>
      </c>
      <c r="G266">
        <v>4.4702454403070503E-2</v>
      </c>
      <c r="H266">
        <v>0.9372779491064982</v>
      </c>
    </row>
    <row r="267" spans="1:8">
      <c r="A267" t="s">
        <v>1739</v>
      </c>
      <c r="B267">
        <v>215</v>
      </c>
      <c r="C267">
        <v>0.8735269236418004</v>
      </c>
      <c r="D267">
        <v>0.45961164256362153</v>
      </c>
      <c r="E267">
        <v>0.20809253586471441</v>
      </c>
      <c r="F267">
        <v>0.65042562205179433</v>
      </c>
      <c r="G267">
        <v>5.8059764018143591E-2</v>
      </c>
      <c r="H267">
        <v>0.69051686848667837</v>
      </c>
    </row>
    <row r="268" spans="1:8">
      <c r="A268" t="s">
        <v>1740</v>
      </c>
      <c r="B268">
        <v>113</v>
      </c>
      <c r="C268">
        <v>0.6078154093364273</v>
      </c>
      <c r="D268">
        <v>0.71132641286827147</v>
      </c>
      <c r="E268">
        <v>6.8213793671740103E-2</v>
      </c>
      <c r="F268">
        <v>0.39704104696291398</v>
      </c>
      <c r="G268">
        <v>2.5212123400390269E-2</v>
      </c>
      <c r="H268">
        <v>0.40731020203895812</v>
      </c>
    </row>
    <row r="269" spans="1:8">
      <c r="A269" t="s">
        <v>1741</v>
      </c>
      <c r="B269">
        <v>649</v>
      </c>
      <c r="C269">
        <v>0.96041593044697338</v>
      </c>
      <c r="D269">
        <v>0.1836495038779235</v>
      </c>
      <c r="E269">
        <v>0.16921245549418759</v>
      </c>
      <c r="F269">
        <v>0.84465018267049063</v>
      </c>
      <c r="G269">
        <v>6.52788116557214E-2</v>
      </c>
      <c r="H269">
        <v>0.90363863920391541</v>
      </c>
    </row>
    <row r="270" spans="1:8">
      <c r="A270" t="s">
        <v>1742</v>
      </c>
      <c r="B270">
        <v>91</v>
      </c>
      <c r="C270">
        <v>0.94075973310406935</v>
      </c>
      <c r="D270">
        <v>0.44120677461461888</v>
      </c>
      <c r="E270">
        <v>0.1803651854912596</v>
      </c>
      <c r="F270">
        <v>0.70772520388583571</v>
      </c>
      <c r="G270">
        <v>9.3527816047630927E-2</v>
      </c>
      <c r="H270">
        <v>0.78074674150511325</v>
      </c>
    </row>
    <row r="271" spans="1:8">
      <c r="A271" t="s">
        <v>1743</v>
      </c>
      <c r="B271">
        <v>675</v>
      </c>
      <c r="C271">
        <v>1.876765888655153</v>
      </c>
      <c r="D271">
        <v>4.1252986921354817E-2</v>
      </c>
      <c r="E271">
        <v>8.4551881401838308E-2</v>
      </c>
      <c r="F271">
        <v>1.820711455467853</v>
      </c>
      <c r="G271">
        <v>2.5782895448738869E-2</v>
      </c>
      <c r="H271">
        <v>1.8688970322549401</v>
      </c>
    </row>
    <row r="272" spans="1:8">
      <c r="A272" t="s">
        <v>1744</v>
      </c>
      <c r="B272">
        <v>391</v>
      </c>
      <c r="C272">
        <v>2.1257667102617468</v>
      </c>
      <c r="D272">
        <v>5.6090790908641948E-2</v>
      </c>
      <c r="E272">
        <v>0.12185869726370931</v>
      </c>
      <c r="F272">
        <v>2.0403562602103702</v>
      </c>
      <c r="G272">
        <v>3.6318454957126489E-2</v>
      </c>
      <c r="H272">
        <v>2.1172515658371309</v>
      </c>
    </row>
    <row r="273" spans="1:8">
      <c r="A273" t="s">
        <v>1745</v>
      </c>
      <c r="B273">
        <v>359</v>
      </c>
      <c r="C273">
        <v>0.87439896476446011</v>
      </c>
      <c r="D273">
        <v>0.41694377311358588</v>
      </c>
      <c r="E273">
        <v>0.15062341327039011</v>
      </c>
      <c r="F273">
        <v>0.66688698433655391</v>
      </c>
      <c r="G273">
        <v>0.1527557323777331</v>
      </c>
      <c r="H273">
        <v>0.78712481137007473</v>
      </c>
    </row>
    <row r="274" spans="1:8">
      <c r="A274" t="s">
        <v>1746</v>
      </c>
      <c r="B274">
        <v>84</v>
      </c>
      <c r="C274">
        <v>0.91837328491128123</v>
      </c>
      <c r="D274">
        <v>0.14294017958392169</v>
      </c>
      <c r="E274">
        <v>0.15070819946543651</v>
      </c>
      <c r="F274">
        <v>0.82984818722973996</v>
      </c>
      <c r="G274">
        <v>7.1569902714180914E-2</v>
      </c>
      <c r="H274">
        <v>0.89381870498998861</v>
      </c>
    </row>
    <row r="275" spans="1:8">
      <c r="A275" t="s">
        <v>1747</v>
      </c>
      <c r="B275">
        <v>298</v>
      </c>
      <c r="C275">
        <v>1.246407316079466</v>
      </c>
      <c r="D275">
        <v>3.1369940945912063E-2</v>
      </c>
      <c r="E275">
        <v>0.1087313519445311</v>
      </c>
      <c r="F275">
        <v>1.2178947117453121</v>
      </c>
      <c r="G275">
        <v>1.3557377158501751E-2</v>
      </c>
      <c r="H275">
        <v>1.2346330983114899</v>
      </c>
    </row>
    <row r="276" spans="1:8">
      <c r="A276" t="s">
        <v>1748</v>
      </c>
      <c r="B276">
        <v>150</v>
      </c>
      <c r="C276">
        <v>1.3921316886176911</v>
      </c>
      <c r="D276">
        <v>0.1001249524054494</v>
      </c>
      <c r="E276">
        <v>0.1132491780018262</v>
      </c>
      <c r="F276">
        <v>1.2953396942447051</v>
      </c>
      <c r="G276">
        <v>3.1188529811881829E-2</v>
      </c>
      <c r="H276">
        <v>1.337040006342187</v>
      </c>
    </row>
    <row r="277" spans="1:8">
      <c r="A277" t="s">
        <v>1749</v>
      </c>
      <c r="B277">
        <v>1532</v>
      </c>
      <c r="C277">
        <v>1.353955269445132</v>
      </c>
      <c r="D277">
        <v>5.8356095044611943E-2</v>
      </c>
      <c r="E277">
        <v>9.0351657212984118E-2</v>
      </c>
      <c r="F277">
        <v>1.2974498323377031</v>
      </c>
      <c r="G277">
        <v>2.5170304058529571E-2</v>
      </c>
      <c r="H277">
        <v>1.330950254941355</v>
      </c>
    </row>
    <row r="278" spans="1:8">
      <c r="A278" t="s">
        <v>1750</v>
      </c>
      <c r="B278">
        <v>719</v>
      </c>
      <c r="C278">
        <v>1.1288582378500209</v>
      </c>
      <c r="D278">
        <v>0.47335558339121869</v>
      </c>
      <c r="E278">
        <v>0.14548203714766131</v>
      </c>
      <c r="F278">
        <v>0.83417365486495831</v>
      </c>
      <c r="G278">
        <v>0.1024096235248743</v>
      </c>
      <c r="H278">
        <v>0.92934781469114303</v>
      </c>
    </row>
    <row r="279" spans="1:8">
      <c r="A279" t="s">
        <v>1751</v>
      </c>
      <c r="B279">
        <v>101</v>
      </c>
      <c r="C279">
        <v>0.78241766837198856</v>
      </c>
      <c r="D279">
        <v>0.49967519812786199</v>
      </c>
      <c r="E279">
        <v>0.1766993253918939</v>
      </c>
      <c r="F279">
        <v>0.56989827149708838</v>
      </c>
      <c r="G279">
        <v>5.464749677784661E-2</v>
      </c>
      <c r="H279">
        <v>0.60284208224407165</v>
      </c>
    </row>
    <row r="280" spans="1:8">
      <c r="A280" t="s">
        <v>1752</v>
      </c>
      <c r="B280">
        <v>437</v>
      </c>
      <c r="C280">
        <v>1.3279185095980881</v>
      </c>
      <c r="D280">
        <v>9.6249381011893689E-2</v>
      </c>
      <c r="E280">
        <v>8.2689008004140419E-2</v>
      </c>
      <c r="F280">
        <v>1.238925369133445</v>
      </c>
      <c r="G280">
        <v>4.5462131786976723E-2</v>
      </c>
      <c r="H280">
        <v>1.29793213071035</v>
      </c>
    </row>
    <row r="281" spans="1:8">
      <c r="A281" t="s">
        <v>1753</v>
      </c>
      <c r="B281">
        <v>283</v>
      </c>
      <c r="C281">
        <v>0.72897777637413352</v>
      </c>
      <c r="D281">
        <v>0.73180918402599726</v>
      </c>
      <c r="E281">
        <v>0.15396096284202659</v>
      </c>
      <c r="F281">
        <v>0.47147958242633442</v>
      </c>
      <c r="G281">
        <v>4.9926144030892669E-2</v>
      </c>
      <c r="H281">
        <v>0.49625571682046687</v>
      </c>
    </row>
    <row r="282" spans="1:8">
      <c r="A282" t="s">
        <v>1754</v>
      </c>
      <c r="B282">
        <v>48</v>
      </c>
      <c r="C282">
        <v>0.42727986432670712</v>
      </c>
      <c r="D282">
        <v>0.23662012583966291</v>
      </c>
      <c r="E282">
        <v>0.20130112886956669</v>
      </c>
      <c r="F282">
        <v>0.36315114833403861</v>
      </c>
      <c r="G282">
        <v>2.9822068512428589E-2</v>
      </c>
      <c r="H282">
        <v>0.37431396504476228</v>
      </c>
    </row>
    <row r="283" spans="1:8">
      <c r="A283" t="s">
        <v>1755</v>
      </c>
      <c r="B283">
        <v>451</v>
      </c>
      <c r="C283">
        <v>0.96386273937396372</v>
      </c>
      <c r="D283">
        <v>0.53469828827838994</v>
      </c>
      <c r="E283">
        <v>0.17587506667665859</v>
      </c>
      <c r="F283">
        <v>0.68894317929109439</v>
      </c>
      <c r="G283">
        <v>7.829138017326806E-2</v>
      </c>
      <c r="H283">
        <v>0.7474630967654462</v>
      </c>
    </row>
    <row r="284" spans="1:8">
      <c r="A284" t="s">
        <v>1756</v>
      </c>
      <c r="B284">
        <v>54</v>
      </c>
      <c r="C284">
        <v>0.71997893173936756</v>
      </c>
      <c r="D284">
        <v>0.47441287470968169</v>
      </c>
      <c r="E284">
        <v>0.24190399027694121</v>
      </c>
      <c r="F284">
        <v>0.53172085982128592</v>
      </c>
      <c r="G284">
        <v>4.0838631153710392E-2</v>
      </c>
      <c r="H284">
        <v>0.5543601703442842</v>
      </c>
    </row>
    <row r="285" spans="1:8">
      <c r="A285" t="s">
        <v>1757</v>
      </c>
      <c r="B285">
        <v>130</v>
      </c>
      <c r="C285">
        <v>0.84978078210214791</v>
      </c>
      <c r="D285">
        <v>0.39874516502446128</v>
      </c>
      <c r="E285">
        <v>0.2002882256674042</v>
      </c>
      <c r="F285">
        <v>0.65489486510353245</v>
      </c>
      <c r="G285">
        <v>3.3003519933261623E-2</v>
      </c>
      <c r="H285">
        <v>0.67724637948871769</v>
      </c>
    </row>
    <row r="286" spans="1:8">
      <c r="A286" t="s">
        <v>1758</v>
      </c>
      <c r="B286">
        <v>52</v>
      </c>
      <c r="C286">
        <v>0.50385911874752287</v>
      </c>
      <c r="D286">
        <v>0.76228198206900943</v>
      </c>
      <c r="E286">
        <v>0.1853773565541158</v>
      </c>
      <c r="F286">
        <v>0.32115622109360092</v>
      </c>
      <c r="G286">
        <v>3.9548935215314177E-2</v>
      </c>
      <c r="H286">
        <v>0.33438061851240469</v>
      </c>
    </row>
    <row r="287" spans="1:8">
      <c r="A287" t="s">
        <v>1759</v>
      </c>
      <c r="B287">
        <v>106</v>
      </c>
      <c r="C287">
        <v>0.70459591064512661</v>
      </c>
      <c r="D287">
        <v>0.9127189532318376</v>
      </c>
      <c r="E287">
        <v>0.16090003578998829</v>
      </c>
      <c r="F287">
        <v>0.41911240306872122</v>
      </c>
      <c r="G287">
        <v>5.8890317418339978E-2</v>
      </c>
      <c r="H287">
        <v>0.44533853048776262</v>
      </c>
    </row>
    <row r="288" spans="1:8">
      <c r="A288" t="s">
        <v>1760</v>
      </c>
      <c r="B288">
        <v>48156</v>
      </c>
      <c r="C288">
        <v>1.0402864076511029</v>
      </c>
      <c r="D288">
        <v>0.51478659052509657</v>
      </c>
      <c r="E288">
        <v>0.13310460976586319</v>
      </c>
      <c r="F288">
        <v>0.75155144211844493</v>
      </c>
      <c r="G288">
        <v>9.7036402389924614E-2</v>
      </c>
      <c r="H288">
        <v>0.83231643458010762</v>
      </c>
    </row>
    <row r="289" spans="1:8">
      <c r="A289" t="s">
        <v>1761</v>
      </c>
      <c r="B289">
        <v>43056</v>
      </c>
      <c r="C289">
        <v>1.0774430100117649</v>
      </c>
      <c r="D289">
        <v>0.25949267807029308</v>
      </c>
      <c r="E289">
        <v>0.13125396685098659</v>
      </c>
      <c r="F289">
        <v>0.90263857761281929</v>
      </c>
      <c r="G289">
        <v>5.5188512577899827E-2</v>
      </c>
      <c r="H289">
        <v>0.95536367797098987</v>
      </c>
    </row>
    <row r="291" spans="1:8">
      <c r="A291" s="170" t="s">
        <v>1762</v>
      </c>
    </row>
    <row r="292" spans="1:8">
      <c r="A292" s="115" t="s">
        <v>1659</v>
      </c>
      <c r="B292" s="115" t="s">
        <v>1660</v>
      </c>
      <c r="C292" s="115" t="s">
        <v>1661</v>
      </c>
      <c r="D292" s="115" t="s">
        <v>1662</v>
      </c>
      <c r="E292" s="115" t="s">
        <v>1663</v>
      </c>
      <c r="F292" s="115" t="s">
        <v>1664</v>
      </c>
      <c r="G292" s="115" t="s">
        <v>1665</v>
      </c>
      <c r="H292" s="115" t="s">
        <v>1666</v>
      </c>
    </row>
    <row r="293" spans="1:8">
      <c r="A293" t="s">
        <v>1667</v>
      </c>
      <c r="B293">
        <v>24</v>
      </c>
      <c r="C293">
        <v>1.402911987812592</v>
      </c>
      <c r="D293">
        <v>4.8789711436168552E-2</v>
      </c>
      <c r="E293">
        <v>0.2214864220209927</v>
      </c>
      <c r="F293">
        <v>1.3565809525618839</v>
      </c>
      <c r="G293">
        <v>6.4901402980740083E-2</v>
      </c>
      <c r="H293">
        <v>1.450735737264659</v>
      </c>
    </row>
    <row r="294" spans="1:8">
      <c r="A294" t="s">
        <v>1668</v>
      </c>
      <c r="B294">
        <v>23</v>
      </c>
      <c r="C294">
        <v>1.403673107092587</v>
      </c>
      <c r="D294">
        <v>3.9317774578058649E-2</v>
      </c>
      <c r="E294">
        <v>0.22713726200091811</v>
      </c>
      <c r="F294">
        <v>1.366075376495798</v>
      </c>
      <c r="G294">
        <v>8.733540524839141E-2</v>
      </c>
      <c r="H294">
        <v>1.49679891643829</v>
      </c>
    </row>
    <row r="295" spans="1:8">
      <c r="A295" t="s">
        <v>1669</v>
      </c>
      <c r="B295">
        <v>5</v>
      </c>
      <c r="C295">
        <v>1.0010095714473219</v>
      </c>
      <c r="D295">
        <v>0.39134531903049119</v>
      </c>
      <c r="E295">
        <v>0.21888804737372791</v>
      </c>
      <c r="F295">
        <v>0.7857577416002598</v>
      </c>
      <c r="G295">
        <v>5.2602904552530451E-2</v>
      </c>
      <c r="H295">
        <v>0.82938584609987109</v>
      </c>
    </row>
    <row r="296" spans="1:8">
      <c r="A296" t="s">
        <v>1670</v>
      </c>
      <c r="B296">
        <v>386</v>
      </c>
      <c r="C296">
        <v>0.5501231372330071</v>
      </c>
      <c r="D296">
        <v>0.16930500542554031</v>
      </c>
      <c r="E296">
        <v>0.16758072444832781</v>
      </c>
      <c r="F296">
        <v>0.49183414895312477</v>
      </c>
      <c r="G296">
        <v>1.9098109589878339E-2</v>
      </c>
      <c r="H296">
        <v>0.5014101346542269</v>
      </c>
    </row>
    <row r="297" spans="1:8">
      <c r="A297" t="s">
        <v>1671</v>
      </c>
      <c r="B297">
        <v>19</v>
      </c>
      <c r="C297">
        <v>1.349400559915886</v>
      </c>
      <c r="D297">
        <v>0.35686542865290238</v>
      </c>
      <c r="E297">
        <v>0.21005281152115271</v>
      </c>
      <c r="F297">
        <v>1.079688188240373</v>
      </c>
      <c r="G297">
        <v>2.469071124022907E-2</v>
      </c>
      <c r="H297">
        <v>1.107021332292788</v>
      </c>
    </row>
    <row r="298" spans="1:8">
      <c r="A298" t="s">
        <v>1672</v>
      </c>
      <c r="B298">
        <v>120</v>
      </c>
      <c r="C298">
        <v>0.95333190479817465</v>
      </c>
      <c r="D298">
        <v>0.117601210506367</v>
      </c>
      <c r="E298">
        <v>0.23950530072475229</v>
      </c>
      <c r="F298">
        <v>0.88082189965057667</v>
      </c>
      <c r="G298">
        <v>2.2013900573275381E-2</v>
      </c>
      <c r="H298">
        <v>0.90064869037187378</v>
      </c>
    </row>
    <row r="299" spans="1:8">
      <c r="A299" t="s">
        <v>1673</v>
      </c>
      <c r="B299">
        <v>35</v>
      </c>
      <c r="C299">
        <v>1.207461747212826</v>
      </c>
      <c r="D299">
        <v>0.4938990151873397</v>
      </c>
      <c r="E299">
        <v>0.15854514594966981</v>
      </c>
      <c r="F299">
        <v>0.89725455013425792</v>
      </c>
      <c r="G299">
        <v>0.22929230050499069</v>
      </c>
      <c r="H299">
        <v>1.164195648651448</v>
      </c>
    </row>
    <row r="300" spans="1:8">
      <c r="A300" t="s">
        <v>1674</v>
      </c>
      <c r="B300">
        <v>6</v>
      </c>
      <c r="C300">
        <v>0.74072333271571689</v>
      </c>
      <c r="D300">
        <v>0.36745612354809792</v>
      </c>
      <c r="E300">
        <v>0.1190528034367678</v>
      </c>
      <c r="F300">
        <v>0.58917592235436889</v>
      </c>
      <c r="G300">
        <v>0.1244355915034626</v>
      </c>
      <c r="H300">
        <v>0.67290985864313935</v>
      </c>
    </row>
    <row r="301" spans="1:8">
      <c r="A301" t="s">
        <v>1675</v>
      </c>
      <c r="B301">
        <v>22</v>
      </c>
      <c r="C301">
        <v>0.94950775900480955</v>
      </c>
      <c r="D301">
        <v>3.865431650512597E-2</v>
      </c>
      <c r="E301">
        <v>0.19280066886860439</v>
      </c>
      <c r="F301">
        <v>0.92449281255651783</v>
      </c>
      <c r="G301">
        <v>1.3558650539052849E-2</v>
      </c>
      <c r="H301">
        <v>0.93719997956464229</v>
      </c>
    </row>
    <row r="302" spans="1:8">
      <c r="A302" t="s">
        <v>1676</v>
      </c>
      <c r="B302">
        <v>5</v>
      </c>
      <c r="C302">
        <v>0.58533863552472609</v>
      </c>
      <c r="D302">
        <v>1.4308228312942199E-2</v>
      </c>
      <c r="E302">
        <v>0.1540515452423511</v>
      </c>
      <c r="F302">
        <v>0.57953416056556117</v>
      </c>
      <c r="G302">
        <v>4.2016313846934768E-5</v>
      </c>
      <c r="H302">
        <v>0.57955851147787207</v>
      </c>
    </row>
    <row r="303" spans="1:8">
      <c r="A303" t="s">
        <v>1677</v>
      </c>
      <c r="B303">
        <v>19</v>
      </c>
      <c r="C303">
        <v>0.96164129256202391</v>
      </c>
      <c r="D303">
        <v>0.1161218090469949</v>
      </c>
      <c r="E303">
        <v>0.12211340781996929</v>
      </c>
      <c r="F303">
        <v>0.88935022283561049</v>
      </c>
      <c r="G303">
        <v>3.0970214601507041E-2</v>
      </c>
      <c r="H303">
        <v>0.91777387675434985</v>
      </c>
    </row>
    <row r="304" spans="1:8">
      <c r="A304" t="s">
        <v>1678</v>
      </c>
      <c r="B304">
        <v>186</v>
      </c>
      <c r="C304">
        <v>0.60383901257463568</v>
      </c>
      <c r="D304">
        <v>0.21334305663388911</v>
      </c>
      <c r="E304">
        <v>0.14255164741230181</v>
      </c>
      <c r="F304">
        <v>0.52537886022306368</v>
      </c>
      <c r="G304">
        <v>0.18221664448482741</v>
      </c>
      <c r="H304">
        <v>0.64244259397049575</v>
      </c>
    </row>
    <row r="305" spans="1:8">
      <c r="A305" t="s">
        <v>1679</v>
      </c>
      <c r="B305">
        <v>67</v>
      </c>
      <c r="C305">
        <v>0.82238371997703352</v>
      </c>
      <c r="D305">
        <v>0.1016367855352705</v>
      </c>
      <c r="E305">
        <v>0.18971770141773539</v>
      </c>
      <c r="F305">
        <v>0.76776080199472596</v>
      </c>
      <c r="G305">
        <v>1.8628220658726501E-2</v>
      </c>
      <c r="H305">
        <v>0.78233429792536957</v>
      </c>
    </row>
    <row r="306" spans="1:8">
      <c r="A306" t="s">
        <v>1680</v>
      </c>
      <c r="B306">
        <v>75</v>
      </c>
      <c r="C306">
        <v>0.71014612291209722</v>
      </c>
      <c r="D306">
        <v>0.1452138637395021</v>
      </c>
      <c r="E306">
        <v>0.149402638485643</v>
      </c>
      <c r="F306">
        <v>0.64462062662520025</v>
      </c>
      <c r="G306">
        <v>4.5885797146799343E-2</v>
      </c>
      <c r="H306">
        <v>0.67562208454450723</v>
      </c>
    </row>
    <row r="307" spans="1:8">
      <c r="A307" t="s">
        <v>1681</v>
      </c>
      <c r="B307">
        <v>8</v>
      </c>
      <c r="C307">
        <v>0.59454885852137718</v>
      </c>
      <c r="D307">
        <v>0.2119396055360574</v>
      </c>
      <c r="E307">
        <v>0.1564052730160328</v>
      </c>
      <c r="F307">
        <v>0.51773837207714046</v>
      </c>
      <c r="G307">
        <v>0.29727597626812791</v>
      </c>
      <c r="H307">
        <v>0.73675917514197031</v>
      </c>
    </row>
    <row r="308" spans="1:8">
      <c r="A308" t="s">
        <v>1682</v>
      </c>
      <c r="B308">
        <v>152</v>
      </c>
      <c r="C308">
        <v>0.77029285357226551</v>
      </c>
      <c r="D308">
        <v>0.1098672675361068</v>
      </c>
      <c r="E308">
        <v>0.199905241578652</v>
      </c>
      <c r="F308">
        <v>0.71528255563923704</v>
      </c>
      <c r="G308">
        <v>2.044327881713345E-2</v>
      </c>
      <c r="H308">
        <v>0.7302104514943204</v>
      </c>
    </row>
    <row r="309" spans="1:8">
      <c r="A309" t="s">
        <v>1683</v>
      </c>
      <c r="B309">
        <v>8</v>
      </c>
      <c r="C309">
        <v>0.7400026998733038</v>
      </c>
      <c r="D309">
        <v>3.3796072573913809E-2</v>
      </c>
      <c r="E309">
        <v>0.28882029670822762</v>
      </c>
      <c r="F309">
        <v>0.72290085308703234</v>
      </c>
      <c r="G309">
        <v>9.7804294522847307E-3</v>
      </c>
      <c r="H309">
        <v>0.73004096726464185</v>
      </c>
    </row>
    <row r="310" spans="1:8">
      <c r="A310" t="s">
        <v>1684</v>
      </c>
      <c r="B310">
        <v>202</v>
      </c>
      <c r="C310">
        <v>0.67862823818599083</v>
      </c>
      <c r="D310">
        <v>0.1005361118130748</v>
      </c>
      <c r="E310">
        <v>0.21456328979663411</v>
      </c>
      <c r="F310">
        <v>0.63400963378317632</v>
      </c>
      <c r="G310">
        <v>2.265996173237898E-2</v>
      </c>
      <c r="H310">
        <v>0.64870936312707173</v>
      </c>
    </row>
    <row r="311" spans="1:8">
      <c r="A311" t="s">
        <v>1685</v>
      </c>
      <c r="B311">
        <v>5</v>
      </c>
      <c r="C311">
        <v>1.032339555111121</v>
      </c>
      <c r="D311">
        <v>5.0263824398815153E-2</v>
      </c>
      <c r="E311">
        <v>0.20573046917152879</v>
      </c>
      <c r="F311">
        <v>0.9972515802918589</v>
      </c>
      <c r="G311">
        <v>0.1128806643629252</v>
      </c>
      <c r="H311">
        <v>1.1241459184019409</v>
      </c>
    </row>
    <row r="312" spans="1:8">
      <c r="A312" t="s">
        <v>1686</v>
      </c>
      <c r="B312">
        <v>196</v>
      </c>
      <c r="C312">
        <v>0.73077081319646231</v>
      </c>
      <c r="D312">
        <v>2.7270324076743339E-2</v>
      </c>
      <c r="E312">
        <v>0.17949810764843299</v>
      </c>
      <c r="F312">
        <v>0.71708226712650436</v>
      </c>
      <c r="G312">
        <v>2.5417916321982752E-2</v>
      </c>
      <c r="H312">
        <v>0.73578437274393216</v>
      </c>
    </row>
    <row r="313" spans="1:8">
      <c r="A313" t="s">
        <v>1687</v>
      </c>
      <c r="B313">
        <v>12</v>
      </c>
      <c r="C313">
        <v>1.0035301012845821</v>
      </c>
      <c r="D313">
        <v>2.6046061123888482E-2</v>
      </c>
      <c r="E313">
        <v>0.16577186655542739</v>
      </c>
      <c r="F313">
        <v>0.98556111181285877</v>
      </c>
      <c r="G313">
        <v>3.968768440231038E-2</v>
      </c>
      <c r="H313">
        <v>1.026292275757658</v>
      </c>
    </row>
    <row r="314" spans="1:8">
      <c r="A314" t="s">
        <v>1688</v>
      </c>
      <c r="B314">
        <v>109</v>
      </c>
      <c r="C314">
        <v>0.91240916398499483</v>
      </c>
      <c r="D314">
        <v>0.24313789521888141</v>
      </c>
      <c r="E314">
        <v>0.17675468385644871</v>
      </c>
      <c r="F314">
        <v>0.77970592392245541</v>
      </c>
      <c r="G314">
        <v>1.555725198291494E-2</v>
      </c>
      <c r="H314">
        <v>0.79202769840397413</v>
      </c>
    </row>
    <row r="315" spans="1:8">
      <c r="A315" t="s">
        <v>1689</v>
      </c>
      <c r="B315">
        <v>13</v>
      </c>
      <c r="C315">
        <v>0.8981694470076711</v>
      </c>
      <c r="D315">
        <v>0.18676284113740979</v>
      </c>
      <c r="E315">
        <v>0.20209781187196291</v>
      </c>
      <c r="F315">
        <v>0.79432426716374649</v>
      </c>
      <c r="G315">
        <v>4.2843612670078662E-2</v>
      </c>
      <c r="H315">
        <v>0.82987929420769935</v>
      </c>
    </row>
    <row r="316" spans="1:8">
      <c r="A316" t="s">
        <v>1690</v>
      </c>
      <c r="B316">
        <v>9</v>
      </c>
      <c r="C316">
        <v>0.62767550112323367</v>
      </c>
      <c r="D316">
        <v>0.29911471682981178</v>
      </c>
      <c r="E316">
        <v>9.6702773980875664E-2</v>
      </c>
      <c r="F316">
        <v>0.51900589103274841</v>
      </c>
      <c r="G316">
        <v>6.4782134318578724E-2</v>
      </c>
      <c r="H316">
        <v>0.55495720310538421</v>
      </c>
    </row>
    <row r="317" spans="1:8">
      <c r="A317" t="s">
        <v>1691</v>
      </c>
      <c r="B317">
        <v>188</v>
      </c>
      <c r="C317">
        <v>0.76681352120561319</v>
      </c>
      <c r="D317">
        <v>4.8377096192653332E-2</v>
      </c>
      <c r="E317">
        <v>0.19234679568277679</v>
      </c>
      <c r="F317">
        <v>0.74169672745471615</v>
      </c>
      <c r="G317">
        <v>2.6107533892535659E-2</v>
      </c>
      <c r="H317">
        <v>0.76157969515791846</v>
      </c>
    </row>
    <row r="318" spans="1:8">
      <c r="A318" t="s">
        <v>1692</v>
      </c>
      <c r="B318">
        <v>40</v>
      </c>
      <c r="C318">
        <v>0.61029788964161358</v>
      </c>
      <c r="D318">
        <v>9.2473611304347433E-2</v>
      </c>
      <c r="E318">
        <v>0.1393760510261719</v>
      </c>
      <c r="F318">
        <v>0.57319415612482616</v>
      </c>
      <c r="G318">
        <v>2.163001941596775E-2</v>
      </c>
      <c r="H318">
        <v>0.58586645900834089</v>
      </c>
    </row>
    <row r="319" spans="1:8">
      <c r="A319" t="s">
        <v>1693</v>
      </c>
      <c r="B319">
        <v>139</v>
      </c>
      <c r="C319">
        <v>0.97368313208101009</v>
      </c>
      <c r="D319">
        <v>3.089255403869191E-2</v>
      </c>
      <c r="E319">
        <v>0.21198745290100399</v>
      </c>
      <c r="F319">
        <v>0.95307312790633991</v>
      </c>
      <c r="G319">
        <v>2.325914586961713E-2</v>
      </c>
      <c r="H319">
        <v>0.97576867382585841</v>
      </c>
    </row>
    <row r="320" spans="1:8">
      <c r="A320" t="s">
        <v>1694</v>
      </c>
      <c r="B320">
        <v>9</v>
      </c>
      <c r="C320">
        <v>0.52945532631026848</v>
      </c>
      <c r="D320">
        <v>2.5929723935576261E-2</v>
      </c>
      <c r="E320">
        <v>0.16646454258211199</v>
      </c>
      <c r="F320">
        <v>0.52001660539637795</v>
      </c>
      <c r="G320">
        <v>8.8679355057493196E-3</v>
      </c>
      <c r="H320">
        <v>0.5246693392587688</v>
      </c>
    </row>
    <row r="321" spans="1:8">
      <c r="A321" t="s">
        <v>1695</v>
      </c>
      <c r="B321">
        <v>37</v>
      </c>
      <c r="C321">
        <v>0.54963545597611629</v>
      </c>
      <c r="D321">
        <v>5.0106801718219442E-2</v>
      </c>
      <c r="E321">
        <v>0.17876974199889509</v>
      </c>
      <c r="F321">
        <v>0.53101039323714327</v>
      </c>
      <c r="G321">
        <v>5.087025868365587E-2</v>
      </c>
      <c r="H321">
        <v>0.55947081850020541</v>
      </c>
    </row>
    <row r="322" spans="1:8">
      <c r="A322" t="s">
        <v>1696</v>
      </c>
      <c r="B322">
        <v>219</v>
      </c>
      <c r="C322">
        <v>1.040927393322846</v>
      </c>
      <c r="D322">
        <v>0.23719182756582111</v>
      </c>
      <c r="E322">
        <v>0.1998513898381846</v>
      </c>
      <c r="F322">
        <v>0.89270736873297141</v>
      </c>
      <c r="G322">
        <v>4.149418867185848E-2</v>
      </c>
      <c r="H322">
        <v>0.9313531104167253</v>
      </c>
    </row>
    <row r="323" spans="1:8">
      <c r="A323" t="s">
        <v>1697</v>
      </c>
      <c r="B323">
        <v>66</v>
      </c>
      <c r="C323">
        <v>0.48280963140958028</v>
      </c>
      <c r="D323">
        <v>0.22186093740249341</v>
      </c>
      <c r="E323">
        <v>0.1057888288877825</v>
      </c>
      <c r="F323">
        <v>0.41790748841975089</v>
      </c>
      <c r="G323">
        <v>2.1347577452080439E-2</v>
      </c>
      <c r="H323">
        <v>0.42702340360199548</v>
      </c>
    </row>
    <row r="324" spans="1:8">
      <c r="A324" t="s">
        <v>1698</v>
      </c>
      <c r="B324">
        <v>20</v>
      </c>
      <c r="C324">
        <v>1.0620257954166259</v>
      </c>
      <c r="D324">
        <v>0.14186827561879009</v>
      </c>
      <c r="E324">
        <v>0.2102952252538689</v>
      </c>
      <c r="F324">
        <v>0.96608593357002237</v>
      </c>
      <c r="G324">
        <v>6.3305021422185997E-2</v>
      </c>
      <c r="H324">
        <v>1.031377295346275</v>
      </c>
    </row>
    <row r="325" spans="1:8">
      <c r="A325" t="s">
        <v>1699</v>
      </c>
      <c r="B325">
        <v>75</v>
      </c>
      <c r="C325">
        <v>0.6646785711136719</v>
      </c>
      <c r="D325">
        <v>0.10054272789841159</v>
      </c>
      <c r="E325">
        <v>0.16828402216262051</v>
      </c>
      <c r="F325">
        <v>0.62097444579861394</v>
      </c>
      <c r="G325">
        <v>2.8344215043601129E-2</v>
      </c>
      <c r="H325">
        <v>0.63908891956679803</v>
      </c>
    </row>
    <row r="326" spans="1:8">
      <c r="A326" t="s">
        <v>1700</v>
      </c>
      <c r="B326">
        <v>291</v>
      </c>
      <c r="C326">
        <v>0.60352566929495777</v>
      </c>
      <c r="D326">
        <v>1.4650963523748071</v>
      </c>
      <c r="E326">
        <v>0.16752019371862001</v>
      </c>
      <c r="F326">
        <v>0.29795387474725621</v>
      </c>
      <c r="G326">
        <v>2.4121431842977849E-2</v>
      </c>
      <c r="H326">
        <v>0.30531859646221321</v>
      </c>
    </row>
    <row r="327" spans="1:8">
      <c r="A327" t="s">
        <v>1701</v>
      </c>
      <c r="B327">
        <v>220</v>
      </c>
      <c r="C327">
        <v>0.80403152593742366</v>
      </c>
      <c r="D327">
        <v>7.2841729575942635E-2</v>
      </c>
      <c r="E327">
        <v>0.15736767396243301</v>
      </c>
      <c r="F327">
        <v>0.76502357754889783</v>
      </c>
      <c r="G327">
        <v>1.514844784905311E-2</v>
      </c>
      <c r="H327">
        <v>0.77679075174127732</v>
      </c>
    </row>
    <row r="328" spans="1:8">
      <c r="A328" t="s">
        <v>1702</v>
      </c>
      <c r="B328">
        <v>41</v>
      </c>
      <c r="C328">
        <v>0.53092434676756706</v>
      </c>
      <c r="D328">
        <v>0.16132529098991069</v>
      </c>
      <c r="E328">
        <v>0.13673096996145279</v>
      </c>
      <c r="F328">
        <v>0.47705196393785859</v>
      </c>
      <c r="G328">
        <v>3.439235522644904E-2</v>
      </c>
      <c r="H328">
        <v>0.49404327577557061</v>
      </c>
    </row>
    <row r="329" spans="1:8">
      <c r="A329" t="s">
        <v>1703</v>
      </c>
      <c r="B329">
        <v>52</v>
      </c>
      <c r="C329">
        <v>0.68770960826782479</v>
      </c>
      <c r="D329">
        <v>5.595928348231128E-2</v>
      </c>
      <c r="E329">
        <v>0.21456358391105501</v>
      </c>
      <c r="F329">
        <v>0.66178644170070877</v>
      </c>
      <c r="G329">
        <v>3.8947908586684017E-2</v>
      </c>
      <c r="H329">
        <v>0.68860621355861229</v>
      </c>
    </row>
    <row r="330" spans="1:8">
      <c r="A330" t="s">
        <v>1704</v>
      </c>
      <c r="B330">
        <v>18</v>
      </c>
      <c r="C330">
        <v>1.275540772225443</v>
      </c>
      <c r="D330">
        <v>0.49865362775054672</v>
      </c>
      <c r="E330">
        <v>0.1203172960662237</v>
      </c>
      <c r="F330">
        <v>0.94550509147945339</v>
      </c>
      <c r="G330">
        <v>2.2309260057723448E-2</v>
      </c>
      <c r="H330">
        <v>0.96707992911467755</v>
      </c>
    </row>
    <row r="331" spans="1:8">
      <c r="A331" t="s">
        <v>1705</v>
      </c>
      <c r="B331">
        <v>19</v>
      </c>
      <c r="C331">
        <v>2.0017292046464932</v>
      </c>
      <c r="D331">
        <v>1.6383352304645219E-2</v>
      </c>
      <c r="E331">
        <v>0.18125603316796571</v>
      </c>
      <c r="F331">
        <v>1.979032968603496</v>
      </c>
      <c r="G331">
        <v>1.4567422741426399E-2</v>
      </c>
      <c r="H331">
        <v>2.008288557000085</v>
      </c>
    </row>
    <row r="332" spans="1:8">
      <c r="A332" t="s">
        <v>1706</v>
      </c>
      <c r="B332">
        <v>45</v>
      </c>
      <c r="C332">
        <v>0.50029766975263257</v>
      </c>
      <c r="D332">
        <v>8.1135757629774874E-2</v>
      </c>
      <c r="E332">
        <v>0.1947749618754851</v>
      </c>
      <c r="F332">
        <v>0.47341031646531712</v>
      </c>
      <c r="G332">
        <v>2.0756672251386221E-2</v>
      </c>
      <c r="H332">
        <v>0.48344502643049758</v>
      </c>
    </row>
    <row r="333" spans="1:8">
      <c r="A333" t="s">
        <v>1707</v>
      </c>
      <c r="B333">
        <v>25</v>
      </c>
      <c r="C333">
        <v>1.1825810097509779</v>
      </c>
      <c r="D333">
        <v>1.265365115896761E-2</v>
      </c>
      <c r="E333">
        <v>0.1527195809780027</v>
      </c>
      <c r="F333">
        <v>1.1721981987833749</v>
      </c>
      <c r="G333">
        <v>2.361657426711487E-2</v>
      </c>
      <c r="H333">
        <v>1.2005511030705061</v>
      </c>
    </row>
    <row r="334" spans="1:8">
      <c r="A334" t="s">
        <v>1708</v>
      </c>
      <c r="B334">
        <v>1</v>
      </c>
      <c r="C334">
        <v>-1.8749696894176611</v>
      </c>
      <c r="D334">
        <v>0</v>
      </c>
      <c r="E334">
        <v>0.33333333333333343</v>
      </c>
      <c r="F334">
        <v>-1.8749696894176611</v>
      </c>
      <c r="G334">
        <v>0.12172774869109949</v>
      </c>
      <c r="H334">
        <v>-2.1348388117959649</v>
      </c>
    </row>
    <row r="335" spans="1:8">
      <c r="A335" t="s">
        <v>1709</v>
      </c>
      <c r="B335">
        <v>42</v>
      </c>
      <c r="C335">
        <v>0.52810216506083962</v>
      </c>
      <c r="D335">
        <v>6.1467993539317277E-2</v>
      </c>
      <c r="E335">
        <v>0.2195704727219952</v>
      </c>
      <c r="F335">
        <v>0.50631658007002422</v>
      </c>
      <c r="G335">
        <v>1.48428087115342E-2</v>
      </c>
      <c r="H335">
        <v>0.51394496690200653</v>
      </c>
    </row>
    <row r="336" spans="1:8">
      <c r="A336" t="s">
        <v>1710</v>
      </c>
      <c r="B336">
        <v>80</v>
      </c>
      <c r="C336">
        <v>0.78299385119145648</v>
      </c>
      <c r="D336">
        <v>9.7472160521156981E-2</v>
      </c>
      <c r="E336">
        <v>0.18527465965022119</v>
      </c>
      <c r="F336">
        <v>0.73298210651003881</v>
      </c>
      <c r="G336">
        <v>3.3799181569703247E-2</v>
      </c>
      <c r="H336">
        <v>0.75862294103709382</v>
      </c>
    </row>
    <row r="337" spans="1:8">
      <c r="A337" t="s">
        <v>1711</v>
      </c>
      <c r="B337">
        <v>43</v>
      </c>
      <c r="C337">
        <v>0.50903624379143197</v>
      </c>
      <c r="D337">
        <v>1.885870886023815E-2</v>
      </c>
      <c r="E337">
        <v>0.20452170430897559</v>
      </c>
      <c r="F337">
        <v>0.50240396077291904</v>
      </c>
      <c r="G337">
        <v>9.6629517496465769E-3</v>
      </c>
      <c r="H337">
        <v>0.50730603450666145</v>
      </c>
    </row>
    <row r="338" spans="1:8">
      <c r="A338" t="s">
        <v>1712</v>
      </c>
      <c r="B338">
        <v>26</v>
      </c>
      <c r="C338">
        <v>1.0575933639990851</v>
      </c>
      <c r="D338">
        <v>0.1062340437306739</v>
      </c>
      <c r="E338">
        <v>0.22615840437622481</v>
      </c>
      <c r="F338">
        <v>0.98439032836498019</v>
      </c>
      <c r="G338">
        <v>3.73005319279891E-2</v>
      </c>
      <c r="H338">
        <v>1.0225312893715519</v>
      </c>
    </row>
    <row r="339" spans="1:8">
      <c r="A339" t="s">
        <v>1713</v>
      </c>
      <c r="B339">
        <v>2</v>
      </c>
      <c r="C339">
        <v>0.70016964516578117</v>
      </c>
      <c r="D339">
        <v>4.4707644279446514E-3</v>
      </c>
      <c r="E339">
        <v>0.19419866268556291</v>
      </c>
      <c r="F339">
        <v>0.69798527574635605</v>
      </c>
      <c r="G339">
        <v>4.5744483142044464E-3</v>
      </c>
      <c r="H339">
        <v>0.70119284617949407</v>
      </c>
    </row>
    <row r="340" spans="1:8">
      <c r="A340" t="s">
        <v>1714</v>
      </c>
      <c r="B340">
        <v>9</v>
      </c>
      <c r="C340">
        <v>0.86269564531396681</v>
      </c>
      <c r="D340">
        <v>7.7488920920788006E-3</v>
      </c>
      <c r="E340">
        <v>0.19211998467805019</v>
      </c>
      <c r="F340">
        <v>0.85804143596548665</v>
      </c>
      <c r="G340">
        <v>5.3916861437138912E-2</v>
      </c>
      <c r="H340">
        <v>0.90694083954279814</v>
      </c>
    </row>
    <row r="341" spans="1:8">
      <c r="A341" t="s">
        <v>1715</v>
      </c>
      <c r="B341">
        <v>3</v>
      </c>
      <c r="C341">
        <v>1.304458446341286</v>
      </c>
      <c r="D341">
        <v>5.46844220767468E-3</v>
      </c>
      <c r="E341">
        <v>0.1070308313903813</v>
      </c>
      <c r="F341">
        <v>1.2994841386030671</v>
      </c>
      <c r="G341">
        <v>0.1033234172852824</v>
      </c>
      <c r="H341">
        <v>1.4492227896359651</v>
      </c>
    </row>
    <row r="342" spans="1:8">
      <c r="A342" t="s">
        <v>1716</v>
      </c>
      <c r="B342">
        <v>115</v>
      </c>
      <c r="C342">
        <v>0.51197563493820353</v>
      </c>
      <c r="D342">
        <v>8.3189265907153823E-2</v>
      </c>
      <c r="E342">
        <v>0.1290639959003046</v>
      </c>
      <c r="F342">
        <v>0.48380260637064437</v>
      </c>
      <c r="G342">
        <v>1.36191554870218E-2</v>
      </c>
      <c r="H342">
        <v>0.49048256468273183</v>
      </c>
    </row>
    <row r="343" spans="1:8">
      <c r="A343" t="s">
        <v>1717</v>
      </c>
      <c r="B343">
        <v>187</v>
      </c>
      <c r="C343">
        <v>0.82705855223959035</v>
      </c>
      <c r="D343">
        <v>9.1007874018219539E-2</v>
      </c>
      <c r="E343">
        <v>0.2151741258884686</v>
      </c>
      <c r="F343">
        <v>0.77752586881883079</v>
      </c>
      <c r="G343">
        <v>2.825613603454687E-2</v>
      </c>
      <c r="H343">
        <v>0.80013458036764407</v>
      </c>
    </row>
    <row r="344" spans="1:8">
      <c r="A344" t="s">
        <v>1718</v>
      </c>
      <c r="B344">
        <v>51</v>
      </c>
      <c r="C344">
        <v>1.480926065199198</v>
      </c>
      <c r="D344">
        <v>0.23646036767589079</v>
      </c>
      <c r="E344">
        <v>0.22171777786427579</v>
      </c>
      <c r="F344">
        <v>1.27061156990424</v>
      </c>
      <c r="G344">
        <v>3.2946045121231088E-2</v>
      </c>
      <c r="H344">
        <v>1.3138993574185069</v>
      </c>
    </row>
    <row r="345" spans="1:8">
      <c r="A345" t="s">
        <v>1719</v>
      </c>
      <c r="B345">
        <v>20</v>
      </c>
      <c r="C345">
        <v>0.69472574479365923</v>
      </c>
      <c r="D345">
        <v>2.282731766268942E-2</v>
      </c>
      <c r="E345">
        <v>0.22025240074041169</v>
      </c>
      <c r="F345">
        <v>0.68379923317443592</v>
      </c>
      <c r="G345">
        <v>1.805970877867415E-2</v>
      </c>
      <c r="H345">
        <v>0.69637557322750698</v>
      </c>
    </row>
    <row r="346" spans="1:8">
      <c r="A346" t="s">
        <v>1720</v>
      </c>
      <c r="B346">
        <v>1</v>
      </c>
      <c r="C346">
        <v>0.76282009657138683</v>
      </c>
      <c r="D346">
        <v>0.58876349741194367</v>
      </c>
      <c r="E346">
        <v>0.27823382526652612</v>
      </c>
      <c r="F346">
        <v>0.54018942569527661</v>
      </c>
      <c r="G346">
        <v>9.9014011804926957E-2</v>
      </c>
      <c r="H346">
        <v>0.59955363654148175</v>
      </c>
    </row>
    <row r="347" spans="1:8">
      <c r="A347" t="s">
        <v>1721</v>
      </c>
      <c r="B347">
        <v>7</v>
      </c>
      <c r="C347">
        <v>0.65501421633989165</v>
      </c>
      <c r="D347">
        <v>0.67861801611238026</v>
      </c>
      <c r="E347">
        <v>6.4493698693944612E-2</v>
      </c>
      <c r="F347">
        <v>0.44406761676413209</v>
      </c>
      <c r="G347">
        <v>7.4139118154497835E-2</v>
      </c>
      <c r="H347">
        <v>0.47962671873443868</v>
      </c>
    </row>
    <row r="348" spans="1:8">
      <c r="A348" t="s">
        <v>1722</v>
      </c>
      <c r="B348">
        <v>12</v>
      </c>
      <c r="C348">
        <v>1.1013680532309249</v>
      </c>
      <c r="D348">
        <v>0.1411082060318252</v>
      </c>
      <c r="E348">
        <v>0.15594238138414621</v>
      </c>
      <c r="F348">
        <v>1.002359270326342</v>
      </c>
      <c r="G348">
        <v>0.14770119387342789</v>
      </c>
      <c r="H348">
        <v>1.176065557197888</v>
      </c>
    </row>
    <row r="349" spans="1:8">
      <c r="A349" t="s">
        <v>1723</v>
      </c>
      <c r="B349">
        <v>30</v>
      </c>
      <c r="C349">
        <v>0.97324620821183394</v>
      </c>
      <c r="D349">
        <v>0.2461784331933114</v>
      </c>
      <c r="E349">
        <v>0.19320108490709381</v>
      </c>
      <c r="F349">
        <v>0.83018470862976845</v>
      </c>
      <c r="G349">
        <v>3.93340827912722E-2</v>
      </c>
      <c r="H349">
        <v>0.86417629038190469</v>
      </c>
    </row>
    <row r="350" spans="1:8">
      <c r="A350" t="s">
        <v>1724</v>
      </c>
      <c r="B350">
        <v>101</v>
      </c>
      <c r="C350">
        <v>0.56335931313486876</v>
      </c>
      <c r="D350">
        <v>0.38853372881297588</v>
      </c>
      <c r="E350">
        <v>0.17271721838936399</v>
      </c>
      <c r="F350">
        <v>0.4429017305319578</v>
      </c>
      <c r="G350">
        <v>3.7411230866893803E-2</v>
      </c>
      <c r="H350">
        <v>0.46011520675732459</v>
      </c>
    </row>
    <row r="351" spans="1:8">
      <c r="A351" t="s">
        <v>1725</v>
      </c>
      <c r="B351">
        <v>55</v>
      </c>
      <c r="C351">
        <v>0.57284203396907207</v>
      </c>
      <c r="D351">
        <v>0.25158531126777928</v>
      </c>
      <c r="E351">
        <v>0.1656165707961309</v>
      </c>
      <c r="F351">
        <v>0.48706513113251337</v>
      </c>
      <c r="G351">
        <v>2.1264659801834371E-2</v>
      </c>
      <c r="H351">
        <v>0.49764743452902888</v>
      </c>
    </row>
    <row r="352" spans="1:8">
      <c r="A352" t="s">
        <v>533</v>
      </c>
      <c r="B352">
        <v>33</v>
      </c>
      <c r="C352">
        <v>1.190734752997699</v>
      </c>
      <c r="D352">
        <v>0.48626008387265118</v>
      </c>
      <c r="E352">
        <v>0.16957282125972559</v>
      </c>
      <c r="F352">
        <v>0.88835473830716349</v>
      </c>
      <c r="G352">
        <v>3.1272185560252443E-2</v>
      </c>
      <c r="H352">
        <v>0.91703234393133759</v>
      </c>
    </row>
    <row r="353" spans="1:8">
      <c r="A353" t="s">
        <v>1726</v>
      </c>
      <c r="B353">
        <v>1</v>
      </c>
      <c r="C353">
        <v>1.336963249874173</v>
      </c>
      <c r="D353">
        <v>0.16072545340838021</v>
      </c>
      <c r="E353">
        <v>0</v>
      </c>
      <c r="F353">
        <v>1.2017562744104799</v>
      </c>
      <c r="G353">
        <v>3.2650862068965519E-3</v>
      </c>
      <c r="H353">
        <v>1.205692965883137</v>
      </c>
    </row>
    <row r="354" spans="1:8">
      <c r="A354" t="s">
        <v>1727</v>
      </c>
      <c r="B354">
        <v>25</v>
      </c>
      <c r="C354">
        <v>0.59940999486652036</v>
      </c>
      <c r="D354">
        <v>0.14464409811235929</v>
      </c>
      <c r="E354">
        <v>0.12968600175557329</v>
      </c>
      <c r="F354">
        <v>0.54429922546688136</v>
      </c>
      <c r="G354">
        <v>8.0717972986194889E-2</v>
      </c>
      <c r="H354">
        <v>0.59209166444271999</v>
      </c>
    </row>
    <row r="355" spans="1:8">
      <c r="A355" t="s">
        <v>1728</v>
      </c>
      <c r="B355">
        <v>5</v>
      </c>
      <c r="C355">
        <v>0.27963131514499379</v>
      </c>
      <c r="D355">
        <v>0.1698057226005206</v>
      </c>
      <c r="E355">
        <v>0.27789258888003171</v>
      </c>
      <c r="F355">
        <v>0.2499243104526942</v>
      </c>
      <c r="G355">
        <v>3.3764381080285268E-2</v>
      </c>
      <c r="H355">
        <v>0.25865772856947489</v>
      </c>
    </row>
    <row r="356" spans="1:8">
      <c r="A356" t="s">
        <v>1729</v>
      </c>
      <c r="B356">
        <v>156</v>
      </c>
      <c r="C356">
        <v>0.75530426278451257</v>
      </c>
      <c r="D356">
        <v>0.21267766393752349</v>
      </c>
      <c r="E356">
        <v>0.1325926204363046</v>
      </c>
      <c r="F356">
        <v>0.65742981648367638</v>
      </c>
      <c r="G356">
        <v>4.4323819663763149E-2</v>
      </c>
      <c r="H356">
        <v>0.68792110759982739</v>
      </c>
    </row>
    <row r="357" spans="1:8">
      <c r="A357" t="s">
        <v>1730</v>
      </c>
      <c r="B357">
        <v>16</v>
      </c>
      <c r="C357">
        <v>1.173949558723969</v>
      </c>
      <c r="D357">
        <v>6.5542424991504949E-2</v>
      </c>
      <c r="E357">
        <v>0.1728982231292486</v>
      </c>
      <c r="F357">
        <v>1.1224518092633149</v>
      </c>
      <c r="G357">
        <v>2.2379325209791211E-2</v>
      </c>
      <c r="H357">
        <v>1.148146554392568</v>
      </c>
    </row>
    <row r="358" spans="1:8">
      <c r="A358" t="s">
        <v>1731</v>
      </c>
      <c r="B358">
        <v>42</v>
      </c>
      <c r="C358">
        <v>0.33939791352511528</v>
      </c>
      <c r="D358">
        <v>0.68088356124185689</v>
      </c>
      <c r="E358">
        <v>0.1370478839404288</v>
      </c>
      <c r="F358">
        <v>0.22984807190489151</v>
      </c>
      <c r="G358">
        <v>2.3561852372028149E-2</v>
      </c>
      <c r="H358">
        <v>0.23539440000705991</v>
      </c>
    </row>
    <row r="359" spans="1:8">
      <c r="A359" t="s">
        <v>1732</v>
      </c>
      <c r="B359">
        <v>15</v>
      </c>
      <c r="C359">
        <v>9.9602423481599769E-2</v>
      </c>
      <c r="D359">
        <v>5.2493902484299762E-2</v>
      </c>
      <c r="E359">
        <v>0.1011967138246756</v>
      </c>
      <c r="F359">
        <v>9.6072180894855766E-2</v>
      </c>
      <c r="G359">
        <v>3.8246973066637172E-2</v>
      </c>
      <c r="H359">
        <v>9.9892777256122264E-2</v>
      </c>
    </row>
    <row r="360" spans="1:8">
      <c r="A360" t="s">
        <v>1733</v>
      </c>
      <c r="B360">
        <v>1</v>
      </c>
      <c r="C360">
        <v>0.93665220153465278</v>
      </c>
      <c r="D360">
        <v>0</v>
      </c>
      <c r="E360">
        <v>0.2035450516986706</v>
      </c>
      <c r="F360">
        <v>0.93665220153465278</v>
      </c>
      <c r="G360">
        <v>0.38322797579018159</v>
      </c>
      <c r="H360">
        <v>1.518636002880726</v>
      </c>
    </row>
    <row r="361" spans="1:8">
      <c r="A361" t="s">
        <v>1734</v>
      </c>
      <c r="B361">
        <v>19</v>
      </c>
      <c r="C361">
        <v>0.58843950443782933</v>
      </c>
      <c r="D361">
        <v>6.7932843073368429E-2</v>
      </c>
      <c r="E361">
        <v>0.16742037252520689</v>
      </c>
      <c r="F361">
        <v>0.56172767389342992</v>
      </c>
      <c r="G361">
        <v>6.9699136236565651E-3</v>
      </c>
      <c r="H361">
        <v>0.56567034735395072</v>
      </c>
    </row>
    <row r="362" spans="1:8">
      <c r="A362" t="s">
        <v>1735</v>
      </c>
      <c r="B362">
        <v>10</v>
      </c>
      <c r="C362">
        <v>0.78797120705487267</v>
      </c>
      <c r="D362">
        <v>0.16765943704419761</v>
      </c>
      <c r="E362">
        <v>0.15371055886220891</v>
      </c>
      <c r="F362">
        <v>0.70520698301457063</v>
      </c>
      <c r="G362">
        <v>1.2304830885144081E-2</v>
      </c>
      <c r="H362">
        <v>0.71399254047841187</v>
      </c>
    </row>
    <row r="363" spans="1:8">
      <c r="A363" t="s">
        <v>1736</v>
      </c>
      <c r="B363">
        <v>3</v>
      </c>
      <c r="C363">
        <v>1.188483147080861</v>
      </c>
      <c r="D363">
        <v>0.21133096953191949</v>
      </c>
      <c r="E363">
        <v>8.3333333333333329E-2</v>
      </c>
      <c r="F363">
        <v>1.0353256811027449</v>
      </c>
      <c r="G363">
        <v>0.14257096308330999</v>
      </c>
      <c r="H363">
        <v>1.20747681327165</v>
      </c>
    </row>
    <row r="364" spans="1:8">
      <c r="A364" t="s">
        <v>1737</v>
      </c>
      <c r="B364">
        <v>276</v>
      </c>
      <c r="C364">
        <v>0.55980170727075573</v>
      </c>
      <c r="D364">
        <v>0.32248328681320559</v>
      </c>
      <c r="E364">
        <v>0.14907857106527181</v>
      </c>
      <c r="F364">
        <v>0.45670573149214438</v>
      </c>
      <c r="G364">
        <v>3.2128809990943502E-2</v>
      </c>
      <c r="H364">
        <v>0.47186623200125521</v>
      </c>
    </row>
    <row r="365" spans="1:8">
      <c r="A365" t="s">
        <v>1738</v>
      </c>
      <c r="B365">
        <v>11</v>
      </c>
      <c r="C365">
        <v>1.098425254355333</v>
      </c>
      <c r="D365">
        <v>5.5556869859650963E-2</v>
      </c>
      <c r="E365">
        <v>0.10337498974970211</v>
      </c>
      <c r="F365">
        <v>1.0573067951417421</v>
      </c>
      <c r="G365">
        <v>5.4319600092971416E-3</v>
      </c>
      <c r="H365">
        <v>1.063081410852118</v>
      </c>
    </row>
    <row r="366" spans="1:8">
      <c r="A366" t="s">
        <v>1739</v>
      </c>
      <c r="B366">
        <v>13</v>
      </c>
      <c r="C366">
        <v>0.98804055926438461</v>
      </c>
      <c r="D366">
        <v>7.8679977593555071E-3</v>
      </c>
      <c r="E366">
        <v>0.20922550355259681</v>
      </c>
      <c r="F366">
        <v>0.9826286353336261</v>
      </c>
      <c r="G366">
        <v>1.3602241283298729E-3</v>
      </c>
      <c r="H366">
        <v>0.98396705105795679</v>
      </c>
    </row>
    <row r="367" spans="1:8">
      <c r="A367" t="s">
        <v>1740</v>
      </c>
      <c r="B367">
        <v>1</v>
      </c>
      <c r="C367">
        <v>0.51393115690727176</v>
      </c>
      <c r="D367">
        <v>0.25193501417733161</v>
      </c>
      <c r="E367">
        <v>0.33251833740831288</v>
      </c>
      <c r="F367">
        <v>0.43688458927268209</v>
      </c>
      <c r="G367">
        <v>5.6621675389465311E-4</v>
      </c>
      <c r="H367">
        <v>0.43713210079181558</v>
      </c>
    </row>
    <row r="368" spans="1:8">
      <c r="A368" t="s">
        <v>1741</v>
      </c>
      <c r="B368">
        <v>61</v>
      </c>
      <c r="C368">
        <v>0.64009627013387937</v>
      </c>
      <c r="D368">
        <v>8.0751913389183042E-2</v>
      </c>
      <c r="E368">
        <v>0.21707861385792321</v>
      </c>
      <c r="F368">
        <v>0.60584979879828993</v>
      </c>
      <c r="G368">
        <v>1.5914564539822169E-2</v>
      </c>
      <c r="H368">
        <v>0.61564756165198464</v>
      </c>
    </row>
    <row r="369" spans="1:8">
      <c r="A369" t="s">
        <v>1742</v>
      </c>
      <c r="B369">
        <v>18</v>
      </c>
      <c r="C369">
        <v>0.71948564515086499</v>
      </c>
      <c r="D369">
        <v>0.12054655132261891</v>
      </c>
      <c r="E369">
        <v>0.23976834419302931</v>
      </c>
      <c r="F369">
        <v>0.6634979706323636</v>
      </c>
      <c r="G369">
        <v>1.218761646848107E-2</v>
      </c>
      <c r="H369">
        <v>0.67168420005051788</v>
      </c>
    </row>
    <row r="370" spans="1:8">
      <c r="A370" t="s">
        <v>1743</v>
      </c>
      <c r="B370">
        <v>18</v>
      </c>
      <c r="C370">
        <v>1.91728065056186</v>
      </c>
      <c r="D370">
        <v>4.5785084209957923E-2</v>
      </c>
      <c r="E370">
        <v>0.22895267147369089</v>
      </c>
      <c r="F370">
        <v>1.8577408748840669</v>
      </c>
      <c r="G370">
        <v>6.4788480512494584E-2</v>
      </c>
      <c r="H370">
        <v>1.986439255904489</v>
      </c>
    </row>
    <row r="371" spans="1:8">
      <c r="A371" t="s">
        <v>1744</v>
      </c>
      <c r="B371">
        <v>2</v>
      </c>
      <c r="C371">
        <v>1.3214166123220319</v>
      </c>
      <c r="D371">
        <v>2.5950141643059491E-2</v>
      </c>
      <c r="E371">
        <v>0.1239583333333333</v>
      </c>
      <c r="F371">
        <v>1.2978411982742419</v>
      </c>
      <c r="G371">
        <v>8.5199817539410704E-3</v>
      </c>
      <c r="H371">
        <v>1.3089938015797229</v>
      </c>
    </row>
    <row r="372" spans="1:8">
      <c r="A372" t="s">
        <v>1745</v>
      </c>
      <c r="B372">
        <v>28</v>
      </c>
      <c r="C372">
        <v>1.1644017367676061</v>
      </c>
      <c r="D372">
        <v>0.17647256197164521</v>
      </c>
      <c r="E372">
        <v>0.17192803807328219</v>
      </c>
      <c r="F372">
        <v>1.03637723472135</v>
      </c>
      <c r="G372">
        <v>3.0406528408036711E-2</v>
      </c>
      <c r="H372">
        <v>1.068878107254307</v>
      </c>
    </row>
    <row r="373" spans="1:8">
      <c r="A373" t="s">
        <v>1746</v>
      </c>
      <c r="B373">
        <v>13</v>
      </c>
      <c r="C373">
        <v>0.27749726150312481</v>
      </c>
      <c r="D373">
        <v>7.6405965231031367E-2</v>
      </c>
      <c r="E373">
        <v>0.19141911378018031</v>
      </c>
      <c r="F373">
        <v>0.26340904582531699</v>
      </c>
      <c r="G373">
        <v>1.8775665965291909E-2</v>
      </c>
      <c r="H373">
        <v>0.26844936136286202</v>
      </c>
    </row>
    <row r="374" spans="1:8">
      <c r="A374" t="s">
        <v>1747</v>
      </c>
      <c r="B374">
        <v>4</v>
      </c>
      <c r="C374">
        <v>0.60799009833309814</v>
      </c>
      <c r="D374">
        <v>5.7245953732328976E-3</v>
      </c>
      <c r="E374">
        <v>0.21909699494437171</v>
      </c>
      <c r="F374">
        <v>0.60556347422915835</v>
      </c>
      <c r="G374">
        <v>5.2369165117803979E-3</v>
      </c>
      <c r="H374">
        <v>0.60875145477423587</v>
      </c>
    </row>
    <row r="375" spans="1:8">
      <c r="A375" t="s">
        <v>1748</v>
      </c>
      <c r="B375">
        <v>6</v>
      </c>
      <c r="C375">
        <v>0.46346108564963279</v>
      </c>
      <c r="D375">
        <v>0.1186200609390487</v>
      </c>
      <c r="E375">
        <v>0.159483879082638</v>
      </c>
      <c r="F375">
        <v>0.42792845598138712</v>
      </c>
      <c r="G375">
        <v>7.6734060969373116E-2</v>
      </c>
      <c r="H375">
        <v>0.46349425218771312</v>
      </c>
    </row>
    <row r="376" spans="1:8">
      <c r="A376" t="s">
        <v>1749</v>
      </c>
      <c r="B376">
        <v>82</v>
      </c>
      <c r="C376">
        <v>0.86439818148853464</v>
      </c>
      <c r="D376">
        <v>1.556056209728855E-2</v>
      </c>
      <c r="E376">
        <v>0.17407208835311691</v>
      </c>
      <c r="F376">
        <v>0.85508426720178909</v>
      </c>
      <c r="G376">
        <v>6.046175163803328E-2</v>
      </c>
      <c r="H376">
        <v>0.91011118354423726</v>
      </c>
    </row>
    <row r="377" spans="1:8">
      <c r="A377" t="s">
        <v>1750</v>
      </c>
      <c r="B377">
        <v>185</v>
      </c>
      <c r="C377">
        <v>1.0601773060546249</v>
      </c>
      <c r="D377">
        <v>0.26255218615461368</v>
      </c>
      <c r="E377">
        <v>0.1851456735047935</v>
      </c>
      <c r="F377">
        <v>0.89558149118201236</v>
      </c>
      <c r="G377">
        <v>3.0506578491043261E-2</v>
      </c>
      <c r="H377">
        <v>0.9237623188696783</v>
      </c>
    </row>
    <row r="378" spans="1:8">
      <c r="A378" t="s">
        <v>1751</v>
      </c>
      <c r="B378">
        <v>4</v>
      </c>
      <c r="C378">
        <v>0.96377852665910391</v>
      </c>
      <c r="D378">
        <v>0.33970160571163521</v>
      </c>
      <c r="E378">
        <v>7.9065634616202515E-2</v>
      </c>
      <c r="F378">
        <v>0.77862775711788723</v>
      </c>
      <c r="G378">
        <v>1.1607911045553259E-2</v>
      </c>
      <c r="H378">
        <v>0.78777214611414481</v>
      </c>
    </row>
    <row r="379" spans="1:8">
      <c r="A379" t="s">
        <v>1752</v>
      </c>
      <c r="B379">
        <v>22</v>
      </c>
      <c r="C379">
        <v>0.93683459003947278</v>
      </c>
      <c r="D379">
        <v>0.2634544498456961</v>
      </c>
      <c r="E379">
        <v>0.1509182649660353</v>
      </c>
      <c r="F379">
        <v>0.79096611092013502</v>
      </c>
      <c r="G379">
        <v>1.44345573712056E-2</v>
      </c>
      <c r="H379">
        <v>0.80255057321246426</v>
      </c>
    </row>
    <row r="380" spans="1:8">
      <c r="A380" t="s">
        <v>1753</v>
      </c>
      <c r="B380">
        <v>11</v>
      </c>
      <c r="C380">
        <v>0.86081679139820944</v>
      </c>
      <c r="D380">
        <v>0.48941957820736548</v>
      </c>
      <c r="E380">
        <v>0.14008379621843481</v>
      </c>
      <c r="F380">
        <v>0.64115956179133515</v>
      </c>
      <c r="G380">
        <v>1.119190473776656E-2</v>
      </c>
      <c r="H380">
        <v>0.648416578366805</v>
      </c>
    </row>
    <row r="381" spans="1:8">
      <c r="A381" t="s">
        <v>1754</v>
      </c>
      <c r="B381">
        <v>7</v>
      </c>
      <c r="C381">
        <v>0.1580866526123928</v>
      </c>
      <c r="D381">
        <v>1.4651645790671609E-2</v>
      </c>
      <c r="E381">
        <v>0.1293642563775049</v>
      </c>
      <c r="F381">
        <v>0.15648175197058911</v>
      </c>
      <c r="G381">
        <v>7.3774568276171971E-3</v>
      </c>
      <c r="H381">
        <v>0.15764476945131581</v>
      </c>
    </row>
    <row r="382" spans="1:8">
      <c r="A382" t="s">
        <v>1755</v>
      </c>
      <c r="B382">
        <v>59</v>
      </c>
      <c r="C382">
        <v>1.1292760081081279</v>
      </c>
      <c r="D382">
        <v>0.21289245772022741</v>
      </c>
      <c r="E382">
        <v>0.169439645237244</v>
      </c>
      <c r="F382">
        <v>0.98281263062026625</v>
      </c>
      <c r="G382">
        <v>3.1534963015402241E-2</v>
      </c>
      <c r="H382">
        <v>1.014814777083064</v>
      </c>
    </row>
    <row r="383" spans="1:8">
      <c r="A383" t="s">
        <v>1756</v>
      </c>
      <c r="B383">
        <v>3</v>
      </c>
      <c r="C383">
        <v>1.339235176249429</v>
      </c>
      <c r="D383">
        <v>2.2920577601154121E-2</v>
      </c>
      <c r="E383">
        <v>0.25098877955852278</v>
      </c>
      <c r="F383">
        <v>1.318087251456951</v>
      </c>
      <c r="G383">
        <v>9.8852308555488155E-2</v>
      </c>
      <c r="H383">
        <v>1.462676167259662</v>
      </c>
    </row>
    <row r="384" spans="1:8">
      <c r="A384" t="s">
        <v>1757</v>
      </c>
      <c r="B384">
        <v>24</v>
      </c>
      <c r="C384">
        <v>0.33720115632530617</v>
      </c>
      <c r="D384">
        <v>0.28336784699088058</v>
      </c>
      <c r="E384">
        <v>0.25078192491949358</v>
      </c>
      <c r="F384">
        <v>0.28138611251228768</v>
      </c>
      <c r="G384">
        <v>1.698270159754656E-2</v>
      </c>
      <c r="H384">
        <v>0.28624736611408691</v>
      </c>
    </row>
    <row r="385" spans="1:8">
      <c r="A385" t="s">
        <v>1758</v>
      </c>
      <c r="B385">
        <v>0</v>
      </c>
      <c r="C385">
        <v>0</v>
      </c>
      <c r="D385">
        <v>7</v>
      </c>
      <c r="E385">
        <v>0</v>
      </c>
      <c r="F385" t="s">
        <v>1763</v>
      </c>
      <c r="G385">
        <v>7</v>
      </c>
      <c r="H385" t="s">
        <v>1763</v>
      </c>
    </row>
    <row r="386" spans="1:8">
      <c r="A386" t="s">
        <v>1759</v>
      </c>
      <c r="B386">
        <v>1</v>
      </c>
      <c r="C386">
        <v>1.3711491996253999</v>
      </c>
      <c r="D386">
        <v>2.9991146525011069E-2</v>
      </c>
      <c r="E386">
        <v>0.23728813559322029</v>
      </c>
      <c r="F386">
        <v>1.3429554578855929</v>
      </c>
      <c r="G386">
        <v>9.6486515525948197E-2</v>
      </c>
      <c r="H386">
        <v>1.4863701327793091</v>
      </c>
    </row>
    <row r="387" spans="1:8">
      <c r="A387" t="s">
        <v>1760</v>
      </c>
      <c r="B387">
        <v>5170</v>
      </c>
      <c r="C387">
        <v>0.76552180113577473</v>
      </c>
      <c r="D387">
        <v>0.30274441639485311</v>
      </c>
      <c r="E387">
        <v>0.1775469137245779</v>
      </c>
      <c r="F387">
        <v>0.63165977266984774</v>
      </c>
      <c r="G387">
        <v>5.7455493734089341E-2</v>
      </c>
      <c r="H387">
        <v>0.67016439910333936</v>
      </c>
    </row>
    <row r="388" spans="1:8">
      <c r="A388" t="s">
        <v>1761</v>
      </c>
      <c r="B388">
        <v>4523</v>
      </c>
      <c r="C388">
        <v>0.78513088904807038</v>
      </c>
      <c r="D388">
        <v>0.1729757068191648</v>
      </c>
      <c r="E388">
        <v>0.18109888017382769</v>
      </c>
      <c r="F388">
        <v>0.70033252908876298</v>
      </c>
      <c r="G388">
        <v>2.9787215436647169E-2</v>
      </c>
      <c r="H388">
        <v>0.72183395254263705</v>
      </c>
    </row>
    <row r="390" spans="1:8">
      <c r="A390" s="170" t="s">
        <v>1764</v>
      </c>
    </row>
    <row r="391" spans="1:8">
      <c r="A391" s="115" t="s">
        <v>1659</v>
      </c>
      <c r="B391" s="115" t="s">
        <v>1660</v>
      </c>
      <c r="C391" s="115" t="s">
        <v>1661</v>
      </c>
      <c r="D391" s="115" t="s">
        <v>1662</v>
      </c>
      <c r="E391" s="115" t="s">
        <v>1663</v>
      </c>
      <c r="F391" s="115" t="s">
        <v>1664</v>
      </c>
      <c r="G391" s="115" t="s">
        <v>1665</v>
      </c>
      <c r="H391" s="115" t="s">
        <v>1666</v>
      </c>
    </row>
    <row r="392" spans="1:8">
      <c r="A392" t="s">
        <v>1667</v>
      </c>
      <c r="B392">
        <v>184</v>
      </c>
      <c r="C392">
        <v>1.4399159805203341</v>
      </c>
      <c r="D392">
        <v>0.3158500452291263</v>
      </c>
      <c r="E392">
        <v>0.1028054729138268</v>
      </c>
      <c r="F392">
        <v>1.163283171862054</v>
      </c>
      <c r="G392">
        <v>9.1884107235122289E-2</v>
      </c>
      <c r="H392">
        <v>1.280985368861111</v>
      </c>
    </row>
    <row r="393" spans="1:8">
      <c r="A393" t="s">
        <v>1668</v>
      </c>
      <c r="B393">
        <v>151</v>
      </c>
      <c r="C393">
        <v>1.2825660435186439</v>
      </c>
      <c r="D393">
        <v>0.1203011179767004</v>
      </c>
      <c r="E393">
        <v>0.1074434135253777</v>
      </c>
      <c r="F393">
        <v>1.1760460147570879</v>
      </c>
      <c r="G393">
        <v>6.3858323980022308E-2</v>
      </c>
      <c r="H393">
        <v>1.256269264452649</v>
      </c>
    </row>
    <row r="394" spans="1:8">
      <c r="A394" t="s">
        <v>1669</v>
      </c>
      <c r="B394">
        <v>79</v>
      </c>
      <c r="C394">
        <v>0.87252646919675425</v>
      </c>
      <c r="D394">
        <v>0.80019721416393463</v>
      </c>
      <c r="E394">
        <v>0.1373716340744387</v>
      </c>
      <c r="F394">
        <v>0.54448900474570316</v>
      </c>
      <c r="G394">
        <v>7.9945470395462875E-2</v>
      </c>
      <c r="H394">
        <v>0.59180079791546525</v>
      </c>
    </row>
    <row r="395" spans="1:8">
      <c r="A395" t="s">
        <v>1670</v>
      </c>
      <c r="B395">
        <v>993</v>
      </c>
      <c r="C395">
        <v>0.73243870305983083</v>
      </c>
      <c r="D395">
        <v>0.2597807911140349</v>
      </c>
      <c r="E395">
        <v>0.14501552802460529</v>
      </c>
      <c r="F395">
        <v>0.61261748729419785</v>
      </c>
      <c r="G395">
        <v>8.0411200031064556E-2</v>
      </c>
      <c r="H395">
        <v>0.66618632949302192</v>
      </c>
    </row>
    <row r="396" spans="1:8">
      <c r="A396" t="s">
        <v>1671</v>
      </c>
      <c r="B396">
        <v>89</v>
      </c>
      <c r="C396">
        <v>1.3505389164152191</v>
      </c>
      <c r="D396">
        <v>0.40216260219504768</v>
      </c>
      <c r="E396">
        <v>0.13909530553355101</v>
      </c>
      <c r="F396">
        <v>1.0366526902626949</v>
      </c>
      <c r="G396">
        <v>0.14830024406380851</v>
      </c>
      <c r="H396">
        <v>1.2171574349263521</v>
      </c>
    </row>
    <row r="397" spans="1:8">
      <c r="A397" t="s">
        <v>1672</v>
      </c>
      <c r="B397">
        <v>592</v>
      </c>
      <c r="C397">
        <v>1.524830621431327</v>
      </c>
      <c r="D397">
        <v>0.18447520505369441</v>
      </c>
      <c r="E397">
        <v>0.16187762034804021</v>
      </c>
      <c r="F397">
        <v>1.338872736843131</v>
      </c>
      <c r="G397">
        <v>8.7273240429533147E-2</v>
      </c>
      <c r="H397">
        <v>1.4668932654863871</v>
      </c>
    </row>
    <row r="398" spans="1:8">
      <c r="A398" t="s">
        <v>1673</v>
      </c>
      <c r="B398">
        <v>455</v>
      </c>
      <c r="C398">
        <v>0.58569771915753521</v>
      </c>
      <c r="D398">
        <v>1.7899189799405859</v>
      </c>
      <c r="E398">
        <v>0.215455026357326</v>
      </c>
      <c r="F398">
        <v>0.2494846799360278</v>
      </c>
      <c r="G398">
        <v>0.18007256052092879</v>
      </c>
      <c r="H398">
        <v>0.30427653463400889</v>
      </c>
    </row>
    <row r="399" spans="1:8">
      <c r="A399" t="s">
        <v>1674</v>
      </c>
      <c r="B399">
        <v>104</v>
      </c>
      <c r="C399">
        <v>0.6040309212598437</v>
      </c>
      <c r="D399">
        <v>5.4012526481419956</v>
      </c>
      <c r="E399">
        <v>0.15297178584067109</v>
      </c>
      <c r="F399">
        <v>0.11921812447085089</v>
      </c>
      <c r="G399">
        <v>0.12788794798008229</v>
      </c>
      <c r="H399">
        <v>0.13670046663697311</v>
      </c>
    </row>
    <row r="400" spans="1:8">
      <c r="A400" t="s">
        <v>1675</v>
      </c>
      <c r="B400">
        <v>132</v>
      </c>
      <c r="C400">
        <v>0.90570996402940718</v>
      </c>
      <c r="D400">
        <v>2.5930698248157809E-2</v>
      </c>
      <c r="E400">
        <v>0.19234185279974689</v>
      </c>
      <c r="F400">
        <v>0.88836619299461628</v>
      </c>
      <c r="G400">
        <v>6.779654388871395E-2</v>
      </c>
      <c r="H400">
        <v>0.95297457563659094</v>
      </c>
    </row>
    <row r="401" spans="1:8">
      <c r="A401" t="s">
        <v>1676</v>
      </c>
      <c r="B401">
        <v>40</v>
      </c>
      <c r="C401">
        <v>0.57085101029103902</v>
      </c>
      <c r="D401">
        <v>5.0103218561281818E-2</v>
      </c>
      <c r="E401">
        <v>0.16589059249798629</v>
      </c>
      <c r="F401">
        <v>0.55009975497267505</v>
      </c>
      <c r="G401">
        <v>5.0774603206854368E-2</v>
      </c>
      <c r="H401">
        <v>0.57952490191594852</v>
      </c>
    </row>
    <row r="402" spans="1:8">
      <c r="A402" t="s">
        <v>1677</v>
      </c>
      <c r="B402">
        <v>63</v>
      </c>
      <c r="C402">
        <v>0.90326281375338935</v>
      </c>
      <c r="D402">
        <v>0.33042952549601279</v>
      </c>
      <c r="E402">
        <v>0.12380415408425829</v>
      </c>
      <c r="F402">
        <v>0.72331598187344148</v>
      </c>
      <c r="G402">
        <v>0.15522649025722371</v>
      </c>
      <c r="H402">
        <v>0.85622474371110757</v>
      </c>
    </row>
    <row r="403" spans="1:8">
      <c r="A403" t="s">
        <v>1678</v>
      </c>
      <c r="B403">
        <v>468</v>
      </c>
      <c r="C403">
        <v>0.96749780777641126</v>
      </c>
      <c r="D403">
        <v>2.063838536424714</v>
      </c>
      <c r="E403">
        <v>0.14259194584175711</v>
      </c>
      <c r="F403">
        <v>0.37883685069677198</v>
      </c>
      <c r="G403">
        <v>0.1068522450190361</v>
      </c>
      <c r="H403">
        <v>0.42415921507281451</v>
      </c>
    </row>
    <row r="404" spans="1:8">
      <c r="A404" t="s">
        <v>1679</v>
      </c>
      <c r="B404">
        <v>281</v>
      </c>
      <c r="C404">
        <v>1.0051705626990419</v>
      </c>
      <c r="D404">
        <v>0.28819953898070011</v>
      </c>
      <c r="E404">
        <v>0.1479493437625396</v>
      </c>
      <c r="F404">
        <v>0.82595118686422175</v>
      </c>
      <c r="G404">
        <v>7.2676304934798985E-2</v>
      </c>
      <c r="H404">
        <v>0.89068271549574529</v>
      </c>
    </row>
    <row r="405" spans="1:8">
      <c r="A405" t="s">
        <v>1680</v>
      </c>
      <c r="B405">
        <v>379</v>
      </c>
      <c r="C405">
        <v>1.097230680162762</v>
      </c>
      <c r="D405">
        <v>0.1529132181158824</v>
      </c>
      <c r="E405">
        <v>0.1216014447255067</v>
      </c>
      <c r="F405">
        <v>0.98395011519043496</v>
      </c>
      <c r="G405">
        <v>0.1142035725818388</v>
      </c>
      <c r="H405">
        <v>1.110808403301381</v>
      </c>
    </row>
    <row r="406" spans="1:8">
      <c r="A406" t="s">
        <v>1681</v>
      </c>
      <c r="B406">
        <v>29</v>
      </c>
      <c r="C406">
        <v>1.103695188360488</v>
      </c>
      <c r="D406">
        <v>0.23365021937618941</v>
      </c>
      <c r="E406">
        <v>9.1651954089192994E-2</v>
      </c>
      <c r="F406">
        <v>0.93858395679662576</v>
      </c>
      <c r="G406">
        <v>8.6752793046667512E-2</v>
      </c>
      <c r="H406">
        <v>1.027743583172642</v>
      </c>
    </row>
    <row r="407" spans="1:8">
      <c r="A407" t="s">
        <v>1682</v>
      </c>
      <c r="B407">
        <v>741</v>
      </c>
      <c r="C407">
        <v>1.306326312636334</v>
      </c>
      <c r="D407">
        <v>0.46230110235440752</v>
      </c>
      <c r="E407">
        <v>0.1455514955122085</v>
      </c>
      <c r="F407">
        <v>0.96903699681917999</v>
      </c>
      <c r="G407">
        <v>8.6256069354673545E-2</v>
      </c>
      <c r="H407">
        <v>1.060512649462747</v>
      </c>
    </row>
    <row r="408" spans="1:8">
      <c r="A408" t="s">
        <v>1683</v>
      </c>
      <c r="B408">
        <v>29</v>
      </c>
      <c r="C408">
        <v>0.98327365658376653</v>
      </c>
      <c r="D408">
        <v>0.31934760458974631</v>
      </c>
      <c r="E408">
        <v>0.21357878812716949</v>
      </c>
      <c r="F408">
        <v>0.7926833898118627</v>
      </c>
      <c r="G408">
        <v>7.7645428757933524E-2</v>
      </c>
      <c r="H408">
        <v>0.85941287063218519</v>
      </c>
    </row>
    <row r="409" spans="1:8">
      <c r="A409" t="s">
        <v>1684</v>
      </c>
      <c r="B409">
        <v>687</v>
      </c>
      <c r="C409">
        <v>1.1822507750884841</v>
      </c>
      <c r="D409">
        <v>0.20056292529681541</v>
      </c>
      <c r="E409">
        <v>0.16010227503306421</v>
      </c>
      <c r="F409">
        <v>1.0271475627745941</v>
      </c>
      <c r="G409">
        <v>7.1419684852486093E-2</v>
      </c>
      <c r="H409">
        <v>1.1061483277420341</v>
      </c>
    </row>
    <row r="410" spans="1:8">
      <c r="A410" t="s">
        <v>1685</v>
      </c>
      <c r="B410">
        <v>96</v>
      </c>
      <c r="C410">
        <v>0.98805596003286966</v>
      </c>
      <c r="D410">
        <v>0.2303014482249752</v>
      </c>
      <c r="E410">
        <v>0.2021672555188101</v>
      </c>
      <c r="F410">
        <v>0.84204963840320413</v>
      </c>
      <c r="G410">
        <v>0.1296144073526779</v>
      </c>
      <c r="H410">
        <v>0.96744436663073352</v>
      </c>
    </row>
    <row r="411" spans="1:8">
      <c r="A411" t="s">
        <v>1686</v>
      </c>
      <c r="B411">
        <v>693</v>
      </c>
      <c r="C411">
        <v>1.101243225379237</v>
      </c>
      <c r="D411">
        <v>0.1018818673373844</v>
      </c>
      <c r="E411">
        <v>0.1377830720927192</v>
      </c>
      <c r="F411">
        <v>1.022788345110347</v>
      </c>
      <c r="G411">
        <v>5.4937378912851727E-2</v>
      </c>
      <c r="H411">
        <v>1.082243993454939</v>
      </c>
    </row>
    <row r="412" spans="1:8">
      <c r="A412" t="s">
        <v>1687</v>
      </c>
      <c r="B412">
        <v>244</v>
      </c>
      <c r="C412">
        <v>1.5904480695579439</v>
      </c>
      <c r="D412">
        <v>0.10515005284236539</v>
      </c>
      <c r="E412">
        <v>0.13390361064004699</v>
      </c>
      <c r="F412">
        <v>1.473773169335723</v>
      </c>
      <c r="G412">
        <v>8.901265868886668E-2</v>
      </c>
      <c r="H412">
        <v>1.61777568414354</v>
      </c>
    </row>
    <row r="413" spans="1:8">
      <c r="A413" t="s">
        <v>1688</v>
      </c>
      <c r="B413">
        <v>580</v>
      </c>
      <c r="C413">
        <v>0.99734003712716979</v>
      </c>
      <c r="D413">
        <v>0.32647517733374382</v>
      </c>
      <c r="E413">
        <v>0.15293999112171261</v>
      </c>
      <c r="F413">
        <v>0.80055988645504894</v>
      </c>
      <c r="G413">
        <v>0.11658490074883961</v>
      </c>
      <c r="H413">
        <v>0.90621032755004438</v>
      </c>
    </row>
    <row r="414" spans="1:8">
      <c r="A414" t="s">
        <v>1689</v>
      </c>
      <c r="B414">
        <v>215</v>
      </c>
      <c r="C414">
        <v>0.69791389117026337</v>
      </c>
      <c r="D414">
        <v>1.2228295251494841</v>
      </c>
      <c r="E414">
        <v>0.1502244464065926</v>
      </c>
      <c r="F414">
        <v>0.36337032958208643</v>
      </c>
      <c r="G414">
        <v>0.15570555192513169</v>
      </c>
      <c r="H414">
        <v>0.43038341707757433</v>
      </c>
    </row>
    <row r="415" spans="1:8">
      <c r="A415" t="s">
        <v>1690</v>
      </c>
      <c r="B415">
        <v>382</v>
      </c>
      <c r="C415">
        <v>1.423715612685613</v>
      </c>
      <c r="D415">
        <v>8.4474999283354502E-2</v>
      </c>
      <c r="E415">
        <v>3.2739487976539437E-2</v>
      </c>
      <c r="F415">
        <v>1.3385802654198811</v>
      </c>
      <c r="G415">
        <v>5.2952066123949627E-2</v>
      </c>
      <c r="H415">
        <v>1.4134239857758599</v>
      </c>
    </row>
    <row r="416" spans="1:8">
      <c r="A416" t="s">
        <v>1691</v>
      </c>
      <c r="B416">
        <v>753</v>
      </c>
      <c r="C416">
        <v>1.050896875780674</v>
      </c>
      <c r="D416">
        <v>0.10588945427051159</v>
      </c>
      <c r="E416">
        <v>0.139462978306192</v>
      </c>
      <c r="F416">
        <v>0.97330124198629042</v>
      </c>
      <c r="G416">
        <v>7.333270096902407E-2</v>
      </c>
      <c r="H416">
        <v>1.0503243645309159</v>
      </c>
    </row>
    <row r="417" spans="1:8">
      <c r="A417" t="s">
        <v>1692</v>
      </c>
      <c r="B417">
        <v>182</v>
      </c>
      <c r="C417">
        <v>0.84733088228937725</v>
      </c>
      <c r="D417">
        <v>0.33946317926314912</v>
      </c>
      <c r="E417">
        <v>0.1194367957432647</v>
      </c>
      <c r="F417">
        <v>0.67485118342597661</v>
      </c>
      <c r="G417">
        <v>0.1237988550193329</v>
      </c>
      <c r="H417">
        <v>0.77020121155042176</v>
      </c>
    </row>
    <row r="418" spans="1:8">
      <c r="A418" t="s">
        <v>1693</v>
      </c>
      <c r="B418">
        <v>810</v>
      </c>
      <c r="C418">
        <v>1.4750996650420889</v>
      </c>
      <c r="D418">
        <v>0.16058826366575649</v>
      </c>
      <c r="E418">
        <v>0.12957669804759689</v>
      </c>
      <c r="F418">
        <v>1.315987670478769</v>
      </c>
      <c r="G418">
        <v>9.2679502471016667E-2</v>
      </c>
      <c r="H418">
        <v>1.450411044457564</v>
      </c>
    </row>
    <row r="419" spans="1:8">
      <c r="A419" t="s">
        <v>1694</v>
      </c>
      <c r="B419">
        <v>81</v>
      </c>
      <c r="C419">
        <v>1.21272516432425</v>
      </c>
      <c r="D419">
        <v>0.28159415733687709</v>
      </c>
      <c r="E419">
        <v>0.13570968294829561</v>
      </c>
      <c r="F419">
        <v>1.000588214575038</v>
      </c>
      <c r="G419">
        <v>0.17052529819285081</v>
      </c>
      <c r="H419">
        <v>1.206291418406239</v>
      </c>
    </row>
    <row r="420" spans="1:8">
      <c r="A420" t="s">
        <v>1695</v>
      </c>
      <c r="B420">
        <v>1050</v>
      </c>
      <c r="C420">
        <v>1.765296948905287</v>
      </c>
      <c r="D420">
        <v>0.16021609146648161</v>
      </c>
      <c r="E420">
        <v>0.11174962374051089</v>
      </c>
      <c r="F420">
        <v>1.5752765451367901</v>
      </c>
      <c r="G420">
        <v>8.6022081995085944E-2</v>
      </c>
      <c r="H420">
        <v>1.723538954393339</v>
      </c>
    </row>
    <row r="421" spans="1:8">
      <c r="A421" t="s">
        <v>1696</v>
      </c>
      <c r="B421">
        <v>999</v>
      </c>
      <c r="C421">
        <v>1.02013786757261</v>
      </c>
      <c r="D421">
        <v>1.444944063456838</v>
      </c>
      <c r="E421">
        <v>0.15915988846141671</v>
      </c>
      <c r="F421">
        <v>0.48859555365218521</v>
      </c>
      <c r="G421">
        <v>0.2028776896416235</v>
      </c>
      <c r="H421">
        <v>0.61294928934120352</v>
      </c>
    </row>
    <row r="422" spans="1:8">
      <c r="A422" t="s">
        <v>1697</v>
      </c>
      <c r="B422">
        <v>343</v>
      </c>
      <c r="C422">
        <v>1.187443027971161</v>
      </c>
      <c r="D422">
        <v>8.1578960173994561E-2</v>
      </c>
      <c r="E422">
        <v>7.9680926640701838E-2</v>
      </c>
      <c r="F422">
        <v>1.1187297525743201</v>
      </c>
      <c r="G422">
        <v>7.982735976838215E-2</v>
      </c>
      <c r="H422">
        <v>1.215782456097285</v>
      </c>
    </row>
    <row r="423" spans="1:8">
      <c r="A423" t="s">
        <v>1698</v>
      </c>
      <c r="B423">
        <v>223</v>
      </c>
      <c r="C423">
        <v>1.2425025851506759</v>
      </c>
      <c r="D423">
        <v>0.67554215510777427</v>
      </c>
      <c r="E423">
        <v>0.12628847004049429</v>
      </c>
      <c r="F423">
        <v>0.82360444383265352</v>
      </c>
      <c r="G423">
        <v>7.4988595908346667E-2</v>
      </c>
      <c r="H423">
        <v>0.89037220534747918</v>
      </c>
    </row>
    <row r="424" spans="1:8">
      <c r="A424" t="s">
        <v>1699</v>
      </c>
      <c r="B424">
        <v>312</v>
      </c>
      <c r="C424">
        <v>0.66104763788955978</v>
      </c>
      <c r="D424">
        <v>0.5780333635546242</v>
      </c>
      <c r="E424">
        <v>0.1618101675265132</v>
      </c>
      <c r="F424">
        <v>0.46059575680753828</v>
      </c>
      <c r="G424">
        <v>7.5110263972614208E-2</v>
      </c>
      <c r="H424">
        <v>0.49800072253575117</v>
      </c>
    </row>
    <row r="425" spans="1:8">
      <c r="A425" t="s">
        <v>1700</v>
      </c>
      <c r="B425">
        <v>697</v>
      </c>
      <c r="C425">
        <v>0.69890780034139099</v>
      </c>
      <c r="D425">
        <v>1.166350899483573</v>
      </c>
      <c r="E425">
        <v>0.17084182675035159</v>
      </c>
      <c r="F425">
        <v>0.3721265290806503</v>
      </c>
      <c r="G425">
        <v>7.9221157134832909E-2</v>
      </c>
      <c r="H425">
        <v>0.4041432228424281</v>
      </c>
    </row>
    <row r="426" spans="1:8">
      <c r="A426" t="s">
        <v>1701</v>
      </c>
      <c r="B426">
        <v>1030</v>
      </c>
      <c r="C426">
        <v>0.72044857126180695</v>
      </c>
      <c r="D426">
        <v>0.3800447922196758</v>
      </c>
      <c r="E426">
        <v>0.16360504012184751</v>
      </c>
      <c r="F426">
        <v>0.56016527477077371</v>
      </c>
      <c r="G426">
        <v>7.9170865557859557E-2</v>
      </c>
      <c r="H426">
        <v>0.60832705419353916</v>
      </c>
    </row>
    <row r="427" spans="1:8">
      <c r="A427" t="s">
        <v>1702</v>
      </c>
      <c r="B427">
        <v>121</v>
      </c>
      <c r="C427">
        <v>0.6415331231484579</v>
      </c>
      <c r="D427">
        <v>0.80089080094475484</v>
      </c>
      <c r="E427">
        <v>0.15168649917985649</v>
      </c>
      <c r="F427">
        <v>0.40021013817440809</v>
      </c>
      <c r="G427">
        <v>7.5660754372919733E-2</v>
      </c>
      <c r="H427">
        <v>0.43296889109463471</v>
      </c>
    </row>
    <row r="428" spans="1:8">
      <c r="A428" t="s">
        <v>1703</v>
      </c>
      <c r="B428">
        <v>278</v>
      </c>
      <c r="C428">
        <v>1.058682276500289</v>
      </c>
      <c r="D428">
        <v>0.17222037811900451</v>
      </c>
      <c r="E428">
        <v>0.14485354471615691</v>
      </c>
      <c r="F428">
        <v>0.9371650324560481</v>
      </c>
      <c r="G428">
        <v>0.15259447494432429</v>
      </c>
      <c r="H428">
        <v>1.105922730907938</v>
      </c>
    </row>
    <row r="429" spans="1:8">
      <c r="A429" t="s">
        <v>1704</v>
      </c>
      <c r="B429">
        <v>154</v>
      </c>
      <c r="C429">
        <v>0.85508722573403451</v>
      </c>
      <c r="D429">
        <v>0.66223754034855131</v>
      </c>
      <c r="E429">
        <v>0.1317644886601787</v>
      </c>
      <c r="F429">
        <v>0.57059121805848689</v>
      </c>
      <c r="G429">
        <v>3.3800419130002132E-2</v>
      </c>
      <c r="H429">
        <v>0.59055212748561514</v>
      </c>
    </row>
    <row r="430" spans="1:8">
      <c r="A430" t="s">
        <v>1705</v>
      </c>
      <c r="B430">
        <v>380</v>
      </c>
      <c r="C430">
        <v>1.381341703669531</v>
      </c>
      <c r="D430">
        <v>9.2210447906844031E-2</v>
      </c>
      <c r="E430">
        <v>8.7492108295542173E-2</v>
      </c>
      <c r="F430">
        <v>1.291667377911947</v>
      </c>
      <c r="G430">
        <v>9.9220264121909652E-2</v>
      </c>
      <c r="H430">
        <v>1.4339436451163221</v>
      </c>
    </row>
    <row r="431" spans="1:8">
      <c r="A431" t="s">
        <v>1706</v>
      </c>
      <c r="B431">
        <v>256</v>
      </c>
      <c r="C431">
        <v>0.96847106569071739</v>
      </c>
      <c r="D431">
        <v>0.616250825824043</v>
      </c>
      <c r="E431">
        <v>0.14258112242281851</v>
      </c>
      <c r="F431">
        <v>0.66153513717677814</v>
      </c>
      <c r="G431">
        <v>0.15019058295173171</v>
      </c>
      <c r="H431">
        <v>0.77845117258709262</v>
      </c>
    </row>
    <row r="432" spans="1:8">
      <c r="A432" t="s">
        <v>1707</v>
      </c>
      <c r="B432">
        <v>146</v>
      </c>
      <c r="C432">
        <v>1.5591371751561769</v>
      </c>
      <c r="D432">
        <v>6.5866376108387248E-2</v>
      </c>
      <c r="E432">
        <v>8.1960681667896912E-2</v>
      </c>
      <c r="F432">
        <v>1.485471464897852</v>
      </c>
      <c r="G432">
        <v>4.9162126794480072E-2</v>
      </c>
      <c r="H432">
        <v>1.562276289952508</v>
      </c>
    </row>
    <row r="433" spans="1:8">
      <c r="A433" t="s">
        <v>1708</v>
      </c>
      <c r="B433">
        <v>46</v>
      </c>
      <c r="C433">
        <v>0.71158422016307588</v>
      </c>
      <c r="D433">
        <v>0.70410732558915179</v>
      </c>
      <c r="E433">
        <v>0.1093181041697855</v>
      </c>
      <c r="F433">
        <v>0.46505051990287027</v>
      </c>
      <c r="G433">
        <v>8.0686715674438664E-2</v>
      </c>
      <c r="H433">
        <v>0.50586729010888465</v>
      </c>
    </row>
    <row r="434" spans="1:8">
      <c r="A434" t="s">
        <v>1709</v>
      </c>
      <c r="B434">
        <v>164</v>
      </c>
      <c r="C434">
        <v>0.7168840449448689</v>
      </c>
      <c r="D434">
        <v>0.2079567731114573</v>
      </c>
      <c r="E434">
        <v>0.18453433988481521</v>
      </c>
      <c r="F434">
        <v>0.6198359280262915</v>
      </c>
      <c r="G434">
        <v>4.0601176383198233E-2</v>
      </c>
      <c r="H434">
        <v>0.64606700859773336</v>
      </c>
    </row>
    <row r="435" spans="1:8">
      <c r="A435" t="s">
        <v>1710</v>
      </c>
      <c r="B435">
        <v>427</v>
      </c>
      <c r="C435">
        <v>0.70439819423242456</v>
      </c>
      <c r="D435">
        <v>0.45370943529190572</v>
      </c>
      <c r="E435">
        <v>0.15629098848858089</v>
      </c>
      <c r="F435">
        <v>0.52504422448330534</v>
      </c>
      <c r="G435">
        <v>9.4442237045236563E-2</v>
      </c>
      <c r="H435">
        <v>0.57980202474343279</v>
      </c>
    </row>
    <row r="436" spans="1:8">
      <c r="A436" t="s">
        <v>1711</v>
      </c>
      <c r="B436">
        <v>339</v>
      </c>
      <c r="C436">
        <v>0.84718595870084568</v>
      </c>
      <c r="D436">
        <v>0.1341406757692066</v>
      </c>
      <c r="E436">
        <v>0.1401154315073192</v>
      </c>
      <c r="F436">
        <v>0.76947336914300968</v>
      </c>
      <c r="G436">
        <v>6.2776652357812726E-2</v>
      </c>
      <c r="H436">
        <v>0.82101387153745864</v>
      </c>
    </row>
    <row r="437" spans="1:8">
      <c r="A437" t="s">
        <v>1712</v>
      </c>
      <c r="B437">
        <v>49</v>
      </c>
      <c r="C437">
        <v>1.065801645978198</v>
      </c>
      <c r="D437">
        <v>0.14123006484757519</v>
      </c>
      <c r="E437">
        <v>0.17982671816976259</v>
      </c>
      <c r="F437">
        <v>0.96336500652395585</v>
      </c>
      <c r="G437">
        <v>6.3903708852643556E-2</v>
      </c>
      <c r="H437">
        <v>1.0291302461450591</v>
      </c>
    </row>
    <row r="438" spans="1:8">
      <c r="A438" t="s">
        <v>1713</v>
      </c>
      <c r="B438">
        <v>140</v>
      </c>
      <c r="C438">
        <v>0.37417007863734608</v>
      </c>
      <c r="D438">
        <v>0.30882586046923888</v>
      </c>
      <c r="E438">
        <v>0.143771402158095</v>
      </c>
      <c r="F438">
        <v>0.30358257836029628</v>
      </c>
      <c r="G438">
        <v>0.16561278113056291</v>
      </c>
      <c r="H438">
        <v>0.3638389604908368</v>
      </c>
    </row>
    <row r="439" spans="1:8">
      <c r="A439" t="s">
        <v>1714</v>
      </c>
      <c r="B439">
        <v>92</v>
      </c>
      <c r="C439">
        <v>0.82308075393162627</v>
      </c>
      <c r="D439">
        <v>0.59064098269960441</v>
      </c>
      <c r="E439">
        <v>0.1619757580389056</v>
      </c>
      <c r="F439">
        <v>0.56972686546269469</v>
      </c>
      <c r="G439">
        <v>0.19107373330493341</v>
      </c>
      <c r="H439">
        <v>0.7043001184648876</v>
      </c>
    </row>
    <row r="440" spans="1:8">
      <c r="A440" t="s">
        <v>1715</v>
      </c>
      <c r="B440">
        <v>158</v>
      </c>
      <c r="C440">
        <v>0.35938006282995749</v>
      </c>
      <c r="D440">
        <v>0.21021649741640991</v>
      </c>
      <c r="E440">
        <v>0.19038821767318609</v>
      </c>
      <c r="F440">
        <v>0.31027259792969031</v>
      </c>
      <c r="G440">
        <v>6.4052836378568956E-2</v>
      </c>
      <c r="H440">
        <v>0.33150653155372822</v>
      </c>
    </row>
    <row r="441" spans="1:8">
      <c r="A441" t="s">
        <v>1716</v>
      </c>
      <c r="B441">
        <v>486</v>
      </c>
      <c r="C441">
        <v>0.6687136956861367</v>
      </c>
      <c r="D441">
        <v>0.89439416804754857</v>
      </c>
      <c r="E441">
        <v>8.8835643755780944E-2</v>
      </c>
      <c r="F441">
        <v>0.39961631645634299</v>
      </c>
      <c r="G441">
        <v>3.6144853268805892E-2</v>
      </c>
      <c r="H441">
        <v>0.41460204659548339</v>
      </c>
    </row>
    <row r="442" spans="1:8">
      <c r="A442" t="s">
        <v>1717</v>
      </c>
      <c r="B442">
        <v>987</v>
      </c>
      <c r="C442">
        <v>1.5113739777354289</v>
      </c>
      <c r="D442">
        <v>0.1219778504459821</v>
      </c>
      <c r="E442">
        <v>0.14078976337626001</v>
      </c>
      <c r="F442">
        <v>1.3842485706577321</v>
      </c>
      <c r="G442">
        <v>7.4433523003402904E-2</v>
      </c>
      <c r="H442">
        <v>1.495569043457071</v>
      </c>
    </row>
    <row r="443" spans="1:8">
      <c r="A443" t="s">
        <v>1718</v>
      </c>
      <c r="B443">
        <v>358</v>
      </c>
      <c r="C443">
        <v>1.5467681518989489</v>
      </c>
      <c r="D443">
        <v>0.25055600484506713</v>
      </c>
      <c r="E443">
        <v>0.15138172717675291</v>
      </c>
      <c r="F443">
        <v>1.301288402188904</v>
      </c>
      <c r="G443">
        <v>7.1690647945157726E-2</v>
      </c>
      <c r="H443">
        <v>1.401783144065565</v>
      </c>
    </row>
    <row r="444" spans="1:8">
      <c r="A444" t="s">
        <v>1719</v>
      </c>
      <c r="B444">
        <v>78</v>
      </c>
      <c r="C444">
        <v>0.74909080722913934</v>
      </c>
      <c r="D444">
        <v>0.17746929946376741</v>
      </c>
      <c r="E444">
        <v>0.14157320924925471</v>
      </c>
      <c r="F444">
        <v>0.66079729577622981</v>
      </c>
      <c r="G444">
        <v>0.15190501927927719</v>
      </c>
      <c r="H444">
        <v>0.77915482439794082</v>
      </c>
    </row>
    <row r="445" spans="1:8">
      <c r="A445" t="s">
        <v>1720</v>
      </c>
      <c r="B445">
        <v>15</v>
      </c>
      <c r="C445">
        <v>0.78854004772497732</v>
      </c>
      <c r="D445">
        <v>0.15886893965303781</v>
      </c>
      <c r="E445">
        <v>0.2349815529379119</v>
      </c>
      <c r="F445">
        <v>0.7042973357151493</v>
      </c>
      <c r="G445">
        <v>5.1596854339995633E-2</v>
      </c>
      <c r="H445">
        <v>0.74261387568998505</v>
      </c>
    </row>
    <row r="446" spans="1:8">
      <c r="A446" t="s">
        <v>1721</v>
      </c>
      <c r="B446">
        <v>105</v>
      </c>
      <c r="C446">
        <v>0.87491020828777077</v>
      </c>
      <c r="D446">
        <v>0.31541611973414663</v>
      </c>
      <c r="E446">
        <v>0.14132548877004489</v>
      </c>
      <c r="F446">
        <v>0.70701140476208357</v>
      </c>
      <c r="G446">
        <v>0.13083550548658171</v>
      </c>
      <c r="H446">
        <v>0.81343797316282185</v>
      </c>
    </row>
    <row r="447" spans="1:8">
      <c r="A447" t="s">
        <v>1722</v>
      </c>
      <c r="B447">
        <v>120</v>
      </c>
      <c r="C447">
        <v>0.62712149264306449</v>
      </c>
      <c r="D447">
        <v>0.53893257469279321</v>
      </c>
      <c r="E447">
        <v>0.12881698333833691</v>
      </c>
      <c r="F447">
        <v>0.44610776431576898</v>
      </c>
      <c r="G447">
        <v>8.923764342088053E-2</v>
      </c>
      <c r="H447">
        <v>0.4898179652388992</v>
      </c>
    </row>
    <row r="448" spans="1:8">
      <c r="A448" t="s">
        <v>1723</v>
      </c>
      <c r="B448">
        <v>228</v>
      </c>
      <c r="C448">
        <v>0.92283676336850762</v>
      </c>
      <c r="D448">
        <v>0.37704999037906661</v>
      </c>
      <c r="E448">
        <v>0.15581496825191821</v>
      </c>
      <c r="F448">
        <v>0.71878687207645475</v>
      </c>
      <c r="G448">
        <v>8.8310086825841377E-2</v>
      </c>
      <c r="H448">
        <v>0.78841156591709061</v>
      </c>
    </row>
    <row r="449" spans="1:8">
      <c r="A449" t="s">
        <v>1724</v>
      </c>
      <c r="B449">
        <v>341</v>
      </c>
      <c r="C449">
        <v>0.73967328126169241</v>
      </c>
      <c r="D449">
        <v>0.42054031475618131</v>
      </c>
      <c r="E449">
        <v>0.16075713863629809</v>
      </c>
      <c r="F449">
        <v>0.56179503803025976</v>
      </c>
      <c r="G449">
        <v>8.2632231501700446E-2</v>
      </c>
      <c r="H449">
        <v>0.61239892802196383</v>
      </c>
    </row>
    <row r="450" spans="1:8">
      <c r="A450" t="s">
        <v>1725</v>
      </c>
      <c r="B450">
        <v>197</v>
      </c>
      <c r="C450">
        <v>0.90176457907813545</v>
      </c>
      <c r="D450">
        <v>1.011486691818188</v>
      </c>
      <c r="E450">
        <v>0.12410167871390169</v>
      </c>
      <c r="F450">
        <v>0.51191588875677463</v>
      </c>
      <c r="G450">
        <v>9.0112146929339693E-2</v>
      </c>
      <c r="H450">
        <v>0.56261426837293993</v>
      </c>
    </row>
    <row r="451" spans="1:8">
      <c r="A451" t="s">
        <v>533</v>
      </c>
      <c r="B451">
        <v>328</v>
      </c>
      <c r="C451">
        <v>0.77370622267097355</v>
      </c>
      <c r="D451">
        <v>1.044283859872563</v>
      </c>
      <c r="E451">
        <v>0.17355310697192691</v>
      </c>
      <c r="F451">
        <v>0.43314764630727359</v>
      </c>
      <c r="G451">
        <v>6.040097650541848E-2</v>
      </c>
      <c r="H451">
        <v>0.46099201412140622</v>
      </c>
    </row>
    <row r="452" spans="1:8">
      <c r="A452" t="s">
        <v>1726</v>
      </c>
      <c r="B452">
        <v>64</v>
      </c>
      <c r="C452">
        <v>1.576971182342801</v>
      </c>
      <c r="D452">
        <v>0.14935190599145901</v>
      </c>
      <c r="E452">
        <v>0.15926673829466831</v>
      </c>
      <c r="F452">
        <v>1.4175696562933711</v>
      </c>
      <c r="G452">
        <v>5.426494091624557E-2</v>
      </c>
      <c r="H452">
        <v>1.49890779947054</v>
      </c>
    </row>
    <row r="453" spans="1:8">
      <c r="A453" t="s">
        <v>1727</v>
      </c>
      <c r="B453">
        <v>171</v>
      </c>
      <c r="C453">
        <v>0.89794488329981326</v>
      </c>
      <c r="D453">
        <v>0.10691836543912819</v>
      </c>
      <c r="E453">
        <v>0.11616385663228029</v>
      </c>
      <c r="F453">
        <v>0.83104659835741135</v>
      </c>
      <c r="G453">
        <v>0.17522703529573341</v>
      </c>
      <c r="H453">
        <v>1.007606497692846</v>
      </c>
    </row>
    <row r="454" spans="1:8">
      <c r="A454" t="s">
        <v>1728</v>
      </c>
      <c r="B454">
        <v>208</v>
      </c>
      <c r="C454">
        <v>0.44767491371193469</v>
      </c>
      <c r="D454">
        <v>0.57267954155997269</v>
      </c>
      <c r="E454">
        <v>2.472442138562907E-2</v>
      </c>
      <c r="F454">
        <v>0.31280335683028038</v>
      </c>
      <c r="G454">
        <v>2.7162181653507492E-2</v>
      </c>
      <c r="H454">
        <v>0.32153700332286039</v>
      </c>
    </row>
    <row r="455" spans="1:8">
      <c r="A455" t="s">
        <v>1729</v>
      </c>
      <c r="B455">
        <v>786</v>
      </c>
      <c r="C455">
        <v>0.95900877289720343</v>
      </c>
      <c r="D455">
        <v>1.967436212130997</v>
      </c>
      <c r="E455">
        <v>0.14196491031320679</v>
      </c>
      <c r="F455">
        <v>0.38649717888954438</v>
      </c>
      <c r="G455">
        <v>0.1453252679996612</v>
      </c>
      <c r="H455">
        <v>0.45221552061678499</v>
      </c>
    </row>
    <row r="456" spans="1:8">
      <c r="A456" t="s">
        <v>1730</v>
      </c>
      <c r="B456">
        <v>205</v>
      </c>
      <c r="C456">
        <v>1.0134907611268069</v>
      </c>
      <c r="D456">
        <v>0.71394619541824722</v>
      </c>
      <c r="E456">
        <v>0.1188578245870151</v>
      </c>
      <c r="F456">
        <v>0.65916808221762047</v>
      </c>
      <c r="G456">
        <v>8.3600371453837821E-2</v>
      </c>
      <c r="H456">
        <v>0.71930199629540326</v>
      </c>
    </row>
    <row r="457" spans="1:8">
      <c r="A457" t="s">
        <v>1731</v>
      </c>
      <c r="B457">
        <v>406</v>
      </c>
      <c r="C457">
        <v>0.79171910831454284</v>
      </c>
      <c r="D457">
        <v>0.61322263161045631</v>
      </c>
      <c r="E457">
        <v>0.14093048713534609</v>
      </c>
      <c r="F457">
        <v>0.54164441647955208</v>
      </c>
      <c r="G457">
        <v>8.166310850901036E-2</v>
      </c>
      <c r="H457">
        <v>0.5898101464704868</v>
      </c>
    </row>
    <row r="458" spans="1:8">
      <c r="A458" t="s">
        <v>1732</v>
      </c>
      <c r="B458">
        <v>158</v>
      </c>
      <c r="C458">
        <v>1.039327835277307</v>
      </c>
      <c r="D458">
        <v>0.23552763107389499</v>
      </c>
      <c r="E458">
        <v>0.1182583641382887</v>
      </c>
      <c r="F458">
        <v>0.88278472112778117</v>
      </c>
      <c r="G458">
        <v>0.11270473051196329</v>
      </c>
      <c r="H458">
        <v>0.99491651931959679</v>
      </c>
    </row>
    <row r="459" spans="1:8">
      <c r="A459" t="s">
        <v>1733</v>
      </c>
      <c r="B459">
        <v>27</v>
      </c>
      <c r="C459">
        <v>0.97674534286004366</v>
      </c>
      <c r="D459">
        <v>0.32149586341239889</v>
      </c>
      <c r="E459">
        <v>0.16385518113320899</v>
      </c>
      <c r="F459">
        <v>0.78639508235093269</v>
      </c>
      <c r="G459">
        <v>0.1303445331932814</v>
      </c>
      <c r="H459">
        <v>0.904260494375423</v>
      </c>
    </row>
    <row r="460" spans="1:8">
      <c r="A460" t="s">
        <v>1734</v>
      </c>
      <c r="B460">
        <v>184</v>
      </c>
      <c r="C460">
        <v>0.81939633939776302</v>
      </c>
      <c r="D460">
        <v>0.1342755272944145</v>
      </c>
      <c r="E460">
        <v>0.1230843432409557</v>
      </c>
      <c r="F460">
        <v>0.74416427476121894</v>
      </c>
      <c r="G460">
        <v>9.0230539173716234E-2</v>
      </c>
      <c r="H460">
        <v>0.81797016365590414</v>
      </c>
    </row>
    <row r="461" spans="1:8">
      <c r="A461" t="s">
        <v>1735</v>
      </c>
      <c r="B461">
        <v>122</v>
      </c>
      <c r="C461">
        <v>0.81794149951987705</v>
      </c>
      <c r="D461">
        <v>0.74486463313043161</v>
      </c>
      <c r="E461">
        <v>0.1657943644462227</v>
      </c>
      <c r="F461">
        <v>0.52404984749827466</v>
      </c>
      <c r="G461">
        <v>0.1007468823785402</v>
      </c>
      <c r="H461">
        <v>0.58276122398596253</v>
      </c>
    </row>
    <row r="462" spans="1:8">
      <c r="A462" t="s">
        <v>1736</v>
      </c>
      <c r="B462">
        <v>55</v>
      </c>
      <c r="C462">
        <v>0.78462471824750502</v>
      </c>
      <c r="D462">
        <v>0.34613774709411632</v>
      </c>
      <c r="E462">
        <v>0.1447434934750621</v>
      </c>
      <c r="F462">
        <v>0.62241812865864321</v>
      </c>
      <c r="G462">
        <v>6.2618793067269168E-2</v>
      </c>
      <c r="H462">
        <v>0.66399680733444633</v>
      </c>
    </row>
    <row r="463" spans="1:8">
      <c r="A463" t="s">
        <v>1737</v>
      </c>
      <c r="B463">
        <v>731</v>
      </c>
      <c r="C463">
        <v>0.75774793261453854</v>
      </c>
      <c r="D463">
        <v>0.87897322706000192</v>
      </c>
      <c r="E463">
        <v>0.15445010170198259</v>
      </c>
      <c r="F463">
        <v>0.45598599980126769</v>
      </c>
      <c r="G463">
        <v>0.14402113224061541</v>
      </c>
      <c r="H463">
        <v>0.53270707604600032</v>
      </c>
    </row>
    <row r="464" spans="1:8">
      <c r="A464" t="s">
        <v>1738</v>
      </c>
      <c r="B464">
        <v>147</v>
      </c>
      <c r="C464">
        <v>1.0343608955406229</v>
      </c>
      <c r="D464">
        <v>0.36648226444325149</v>
      </c>
      <c r="E464">
        <v>0.1601073174673642</v>
      </c>
      <c r="F464">
        <v>0.81067563014446831</v>
      </c>
      <c r="G464">
        <v>8.9300961481422109E-2</v>
      </c>
      <c r="H464">
        <v>0.89016853631819315</v>
      </c>
    </row>
    <row r="465" spans="1:8">
      <c r="A465" t="s">
        <v>1739</v>
      </c>
      <c r="B465">
        <v>97</v>
      </c>
      <c r="C465">
        <v>1.0139933746829191</v>
      </c>
      <c r="D465">
        <v>0.3779395172743017</v>
      </c>
      <c r="E465">
        <v>0.17529562308460089</v>
      </c>
      <c r="F465">
        <v>0.78937593061951694</v>
      </c>
      <c r="G465">
        <v>7.8063811659666721E-2</v>
      </c>
      <c r="H465">
        <v>0.85621536566489387</v>
      </c>
    </row>
    <row r="466" spans="1:8">
      <c r="A466" t="s">
        <v>1740</v>
      </c>
      <c r="B466">
        <v>39</v>
      </c>
      <c r="C466">
        <v>0.60764045080469364</v>
      </c>
      <c r="D466">
        <v>0.60733519937394986</v>
      </c>
      <c r="E466">
        <v>5.696677692732207E-2</v>
      </c>
      <c r="F466">
        <v>0.41697386658091629</v>
      </c>
      <c r="G466">
        <v>2.518952579409341E-2</v>
      </c>
      <c r="H466">
        <v>0.42774865229119408</v>
      </c>
    </row>
    <row r="467" spans="1:8">
      <c r="A467" t="s">
        <v>1741</v>
      </c>
      <c r="B467">
        <v>282</v>
      </c>
      <c r="C467">
        <v>0.8962978561436582</v>
      </c>
      <c r="D467">
        <v>0.19450273082449801</v>
      </c>
      <c r="E467">
        <v>0.16115150277306631</v>
      </c>
      <c r="F467">
        <v>0.78180889661342401</v>
      </c>
      <c r="G467">
        <v>8.3764828275756084E-2</v>
      </c>
      <c r="H467">
        <v>0.85328409205483136</v>
      </c>
    </row>
    <row r="468" spans="1:8">
      <c r="A468" t="s">
        <v>1742</v>
      </c>
      <c r="B468">
        <v>72</v>
      </c>
      <c r="C468">
        <v>0.92417227088458753</v>
      </c>
      <c r="D468">
        <v>0.38038390103688152</v>
      </c>
      <c r="E468">
        <v>0.17819752380378709</v>
      </c>
      <c r="F468">
        <v>0.71842250357859461</v>
      </c>
      <c r="G468">
        <v>9.05158711583159E-2</v>
      </c>
      <c r="H468">
        <v>0.78992307924446692</v>
      </c>
    </row>
    <row r="469" spans="1:8">
      <c r="A469" t="s">
        <v>1743</v>
      </c>
      <c r="B469">
        <v>546</v>
      </c>
      <c r="C469">
        <v>1.9440993078809179</v>
      </c>
      <c r="D469">
        <v>6.576582736327577E-2</v>
      </c>
      <c r="E469">
        <v>8.6452534279322577E-2</v>
      </c>
      <c r="F469">
        <v>1.8523786115806939</v>
      </c>
      <c r="G469">
        <v>6.2515645683446266E-2</v>
      </c>
      <c r="H469">
        <v>1.9759034943373719</v>
      </c>
    </row>
    <row r="470" spans="1:8">
      <c r="A470" t="s">
        <v>1744</v>
      </c>
      <c r="B470">
        <v>300</v>
      </c>
      <c r="C470">
        <v>2.179576569307808</v>
      </c>
      <c r="D470">
        <v>0.1423131716429305</v>
      </c>
      <c r="E470">
        <v>0.1072714053113322</v>
      </c>
      <c r="F470">
        <v>1.968641394370565</v>
      </c>
      <c r="G470">
        <v>5.6529319505264082E-2</v>
      </c>
      <c r="H470">
        <v>2.0865952011759941</v>
      </c>
    </row>
    <row r="471" spans="1:8">
      <c r="A471" t="s">
        <v>1745</v>
      </c>
      <c r="B471">
        <v>252</v>
      </c>
      <c r="C471">
        <v>0.88044948697782477</v>
      </c>
      <c r="D471">
        <v>0.36941028802145631</v>
      </c>
      <c r="E471">
        <v>0.15845807514550539</v>
      </c>
      <c r="F471">
        <v>0.68885807531718013</v>
      </c>
      <c r="G471">
        <v>0.18260747501872199</v>
      </c>
      <c r="H471">
        <v>0.84275064215073181</v>
      </c>
    </row>
    <row r="472" spans="1:8">
      <c r="A472" t="s">
        <v>1746</v>
      </c>
      <c r="B472">
        <v>60</v>
      </c>
      <c r="C472">
        <v>0.81409707475963788</v>
      </c>
      <c r="D472">
        <v>0.20586205357188869</v>
      </c>
      <c r="E472">
        <v>0.16613221059560629</v>
      </c>
      <c r="F472">
        <v>0.70484989436823531</v>
      </c>
      <c r="G472">
        <v>0.1064700448840738</v>
      </c>
      <c r="H472">
        <v>0.78883745344249634</v>
      </c>
    </row>
    <row r="473" spans="1:8">
      <c r="A473" t="s">
        <v>1747</v>
      </c>
      <c r="B473">
        <v>67</v>
      </c>
      <c r="C473">
        <v>1.538532379360275</v>
      </c>
      <c r="D473">
        <v>8.4933704387600922E-2</v>
      </c>
      <c r="E473">
        <v>0.1062300870557068</v>
      </c>
      <c r="F473">
        <v>1.446061672227539</v>
      </c>
      <c r="G473">
        <v>4.018876097156273E-2</v>
      </c>
      <c r="H473">
        <v>1.506610480714214</v>
      </c>
    </row>
    <row r="474" spans="1:8">
      <c r="A474" t="s">
        <v>1748</v>
      </c>
      <c r="B474">
        <v>49</v>
      </c>
      <c r="C474">
        <v>1.4178426393430199</v>
      </c>
      <c r="D474">
        <v>0.15835298921648069</v>
      </c>
      <c r="E474">
        <v>0.12255800193212631</v>
      </c>
      <c r="F474">
        <v>1.266808684360947</v>
      </c>
      <c r="G474">
        <v>4.6932436767565089E-2</v>
      </c>
      <c r="H474">
        <v>1.329190849874718</v>
      </c>
    </row>
    <row r="475" spans="1:8">
      <c r="A475" t="s">
        <v>1749</v>
      </c>
      <c r="B475">
        <v>548</v>
      </c>
      <c r="C475">
        <v>1.5846983127699681</v>
      </c>
      <c r="D475">
        <v>5.2717328369594828E-2</v>
      </c>
      <c r="E475">
        <v>8.2055499745512073E-2</v>
      </c>
      <c r="F475">
        <v>1.5242014223109841</v>
      </c>
      <c r="G475">
        <v>7.0416228701025471E-2</v>
      </c>
      <c r="H475">
        <v>1.639660103124549</v>
      </c>
    </row>
    <row r="476" spans="1:8">
      <c r="A476" t="s">
        <v>1750</v>
      </c>
      <c r="B476">
        <v>555</v>
      </c>
      <c r="C476">
        <v>1.157908860282777</v>
      </c>
      <c r="D476">
        <v>0.50899306722821303</v>
      </c>
      <c r="E476">
        <v>0.14331831227661529</v>
      </c>
      <c r="F476">
        <v>0.83711059944247512</v>
      </c>
      <c r="G476">
        <v>0.1000128782935213</v>
      </c>
      <c r="H476">
        <v>0.93013619778827228</v>
      </c>
    </row>
    <row r="477" spans="1:8">
      <c r="A477" t="s">
        <v>1751</v>
      </c>
      <c r="B477">
        <v>68</v>
      </c>
      <c r="C477">
        <v>0.78424389730749444</v>
      </c>
      <c r="D477">
        <v>0.30036545135822917</v>
      </c>
      <c r="E477">
        <v>0.1955039147059292</v>
      </c>
      <c r="F477">
        <v>0.63960119108015601</v>
      </c>
      <c r="G477">
        <v>4.314847002582016E-2</v>
      </c>
      <c r="H477">
        <v>0.66844350564754318</v>
      </c>
    </row>
    <row r="478" spans="1:8">
      <c r="A478" t="s">
        <v>1752</v>
      </c>
      <c r="B478">
        <v>296</v>
      </c>
      <c r="C478">
        <v>1.5261921330817609</v>
      </c>
      <c r="D478">
        <v>9.3972467099907725E-2</v>
      </c>
      <c r="E478">
        <v>8.3957150378190612E-2</v>
      </c>
      <c r="F478">
        <v>1.425346221807932</v>
      </c>
      <c r="G478">
        <v>5.9101390371882688E-2</v>
      </c>
      <c r="H478">
        <v>1.5148775938475341</v>
      </c>
    </row>
    <row r="479" spans="1:8">
      <c r="A479" t="s">
        <v>1753</v>
      </c>
      <c r="B479">
        <v>142</v>
      </c>
      <c r="C479">
        <v>0.71435802276567706</v>
      </c>
      <c r="D479">
        <v>0.32636102112737247</v>
      </c>
      <c r="E479">
        <v>0.1584544115276233</v>
      </c>
      <c r="F479">
        <v>0.57345119375537479</v>
      </c>
      <c r="G479">
        <v>6.6230799544468213E-2</v>
      </c>
      <c r="H479">
        <v>0.61412519654280873</v>
      </c>
    </row>
    <row r="480" spans="1:8">
      <c r="A480" t="s">
        <v>1754</v>
      </c>
      <c r="B480">
        <v>30</v>
      </c>
      <c r="C480">
        <v>0.23341605050740119</v>
      </c>
      <c r="D480">
        <v>4.5828217764077021E-2</v>
      </c>
      <c r="E480">
        <v>0.2287716400718702</v>
      </c>
      <c r="F480">
        <v>0.2256308683258047</v>
      </c>
      <c r="G480">
        <v>2.127423999660414E-2</v>
      </c>
      <c r="H480">
        <v>0.23053533231313111</v>
      </c>
    </row>
    <row r="481" spans="1:8">
      <c r="A481" t="s">
        <v>1755</v>
      </c>
      <c r="B481">
        <v>330</v>
      </c>
      <c r="C481">
        <v>1.0274933806010329</v>
      </c>
      <c r="D481">
        <v>0.5880705462473591</v>
      </c>
      <c r="E481">
        <v>0.17184940522691661</v>
      </c>
      <c r="F481">
        <v>0.71217290549538659</v>
      </c>
      <c r="G481">
        <v>0.10282979741378551</v>
      </c>
      <c r="H481">
        <v>0.79379910683887167</v>
      </c>
    </row>
    <row r="482" spans="1:8">
      <c r="A482" t="s">
        <v>1756</v>
      </c>
      <c r="B482">
        <v>18</v>
      </c>
      <c r="C482">
        <v>0.95865217353674193</v>
      </c>
      <c r="D482">
        <v>0.37636343992257248</v>
      </c>
      <c r="E482">
        <v>0.25734759346943242</v>
      </c>
      <c r="F482">
        <v>0.74698382391960905</v>
      </c>
      <c r="G482">
        <v>0.15811710900009601</v>
      </c>
      <c r="H482">
        <v>0.88727759158095809</v>
      </c>
    </row>
    <row r="483" spans="1:8">
      <c r="A483" t="s">
        <v>1757</v>
      </c>
      <c r="B483">
        <v>76</v>
      </c>
      <c r="C483">
        <v>0.80761025748689941</v>
      </c>
      <c r="D483">
        <v>1.751651383132671</v>
      </c>
      <c r="E483">
        <v>0.19168029695245881</v>
      </c>
      <c r="F483">
        <v>0.34828526595028819</v>
      </c>
      <c r="G483">
        <v>5.1977606723753469E-2</v>
      </c>
      <c r="H483">
        <v>0.36738084292150308</v>
      </c>
    </row>
    <row r="484" spans="1:8">
      <c r="A484" t="s">
        <v>1758</v>
      </c>
      <c r="B484">
        <v>14</v>
      </c>
      <c r="C484">
        <v>0.6988646044356418</v>
      </c>
      <c r="D484">
        <v>0.36572699161623878</v>
      </c>
      <c r="E484">
        <v>0.16569261498887991</v>
      </c>
      <c r="F484">
        <v>0.54797616159155771</v>
      </c>
      <c r="G484">
        <v>4.2793518292048291E-2</v>
      </c>
      <c r="H484">
        <v>0.57247435330128471</v>
      </c>
    </row>
    <row r="485" spans="1:8">
      <c r="A485" t="s">
        <v>1759</v>
      </c>
      <c r="B485">
        <v>76</v>
      </c>
      <c r="C485">
        <v>0.74386850353230993</v>
      </c>
      <c r="D485">
        <v>0.93243819966941777</v>
      </c>
      <c r="E485">
        <v>0.17110687710389089</v>
      </c>
      <c r="F485">
        <v>0.43704712286623498</v>
      </c>
      <c r="G485">
        <v>7.5719976307622325E-2</v>
      </c>
      <c r="H485">
        <v>0.47285142128279373</v>
      </c>
    </row>
    <row r="486" spans="1:8">
      <c r="A486" t="s">
        <v>1760</v>
      </c>
      <c r="B486">
        <v>27360</v>
      </c>
      <c r="C486">
        <v>1.0813528409661819</v>
      </c>
      <c r="D486">
        <v>0.5755508402510654</v>
      </c>
      <c r="E486">
        <v>0.13909503388757341</v>
      </c>
      <c r="F486">
        <v>0.75443279661543616</v>
      </c>
      <c r="G486">
        <v>0.1102342844615956</v>
      </c>
      <c r="H486">
        <v>0.84790050171681752</v>
      </c>
    </row>
    <row r="487" spans="1:8">
      <c r="A487" t="s">
        <v>1761</v>
      </c>
      <c r="B487">
        <v>24760</v>
      </c>
      <c r="C487">
        <v>1.1230488769599429</v>
      </c>
      <c r="D487">
        <v>0.32775272867598237</v>
      </c>
      <c r="E487">
        <v>0.13722148680313689</v>
      </c>
      <c r="F487">
        <v>0.90077027383600672</v>
      </c>
      <c r="G487">
        <v>8.8104067440750583E-2</v>
      </c>
      <c r="H487">
        <v>0.9877994206071099</v>
      </c>
    </row>
    <row r="489" spans="1:8" ht="15.5">
      <c r="A489" s="112" t="s">
        <v>1765</v>
      </c>
    </row>
    <row r="491" spans="1:8">
      <c r="A491" s="115" t="s">
        <v>1766</v>
      </c>
      <c r="B491" s="115" t="s">
        <v>1767</v>
      </c>
      <c r="C491" s="115" t="s">
        <v>1442</v>
      </c>
      <c r="D491" s="115" t="s">
        <v>1768</v>
      </c>
    </row>
    <row r="492" spans="1:8">
      <c r="A492">
        <v>-100000</v>
      </c>
      <c r="B492">
        <v>0.19999900000000001</v>
      </c>
      <c r="C492" t="s">
        <v>1769</v>
      </c>
      <c r="D492">
        <v>0.19</v>
      </c>
    </row>
    <row r="493" spans="1:8">
      <c r="A493">
        <v>0.2</v>
      </c>
      <c r="B493">
        <v>0.64999899999999999</v>
      </c>
      <c r="C493" t="s">
        <v>1770</v>
      </c>
      <c r="D493">
        <v>0.16</v>
      </c>
    </row>
    <row r="494" spans="1:8">
      <c r="A494">
        <v>0.65</v>
      </c>
      <c r="B494">
        <v>0.79999900000000002</v>
      </c>
      <c r="C494" t="s">
        <v>1771</v>
      </c>
      <c r="D494">
        <v>0.12609999999999999</v>
      </c>
    </row>
    <row r="495" spans="1:8">
      <c r="A495">
        <v>0.8</v>
      </c>
      <c r="B495">
        <v>1.2499990000000001</v>
      </c>
      <c r="C495" t="s">
        <v>1772</v>
      </c>
      <c r="D495">
        <v>8.8499999999999995E-2</v>
      </c>
    </row>
    <row r="496" spans="1:8">
      <c r="A496">
        <v>1.25</v>
      </c>
      <c r="B496">
        <v>1.4999990000000001</v>
      </c>
      <c r="C496" t="s">
        <v>1773</v>
      </c>
      <c r="D496">
        <v>5.0900000000000001E-2</v>
      </c>
    </row>
    <row r="497" spans="1:4">
      <c r="A497">
        <v>1.5</v>
      </c>
      <c r="B497">
        <v>1.7499990000000001</v>
      </c>
      <c r="C497" t="s">
        <v>1774</v>
      </c>
      <c r="D497">
        <v>3.2099999999999997E-2</v>
      </c>
    </row>
    <row r="498" spans="1:4">
      <c r="A498">
        <v>1.75</v>
      </c>
      <c r="B498">
        <v>1.9999990000000001</v>
      </c>
      <c r="C498" t="s">
        <v>1775</v>
      </c>
      <c r="D498">
        <v>2.75E-2</v>
      </c>
    </row>
    <row r="499" spans="1:4">
      <c r="A499">
        <v>2</v>
      </c>
      <c r="B499">
        <v>2.2499999000000002</v>
      </c>
      <c r="C499" t="s">
        <v>1776</v>
      </c>
      <c r="D499">
        <v>1.84E-2</v>
      </c>
    </row>
    <row r="500" spans="1:4">
      <c r="A500">
        <v>2.25</v>
      </c>
      <c r="B500">
        <v>2.4999899999999999</v>
      </c>
      <c r="C500" t="s">
        <v>1777</v>
      </c>
      <c r="D500">
        <v>1.38E-2</v>
      </c>
    </row>
    <row r="501" spans="1:4">
      <c r="A501">
        <v>2.5</v>
      </c>
      <c r="B501">
        <v>2.9999989999999999</v>
      </c>
      <c r="C501" t="s">
        <v>1778</v>
      </c>
      <c r="D501">
        <v>1.11E-2</v>
      </c>
    </row>
    <row r="502" spans="1:4">
      <c r="A502">
        <v>3</v>
      </c>
      <c r="B502">
        <v>4.2499989999999999</v>
      </c>
      <c r="C502" t="s">
        <v>1779</v>
      </c>
      <c r="D502">
        <v>8.8999999999999999E-3</v>
      </c>
    </row>
    <row r="503" spans="1:4">
      <c r="A503">
        <v>4.25</v>
      </c>
      <c r="B503">
        <v>5.4999989999999999</v>
      </c>
      <c r="C503" t="s">
        <v>1780</v>
      </c>
      <c r="D503">
        <v>7.7999999999999996E-3</v>
      </c>
    </row>
    <row r="504" spans="1:4">
      <c r="A504">
        <v>5.5</v>
      </c>
      <c r="B504">
        <v>6.4999989999999999</v>
      </c>
      <c r="C504" t="s">
        <v>1781</v>
      </c>
      <c r="D504">
        <v>7.0000000000000001E-3</v>
      </c>
    </row>
    <row r="505" spans="1:4">
      <c r="A505">
        <v>6.5</v>
      </c>
      <c r="B505">
        <v>8.4999990000000007</v>
      </c>
      <c r="C505" t="s">
        <v>1782</v>
      </c>
      <c r="D505">
        <v>5.4999999999999997E-3</v>
      </c>
    </row>
    <row r="506" spans="1:4">
      <c r="A506">
        <v>8.5</v>
      </c>
      <c r="B506">
        <v>100000</v>
      </c>
      <c r="C506" t="s">
        <v>1783</v>
      </c>
      <c r="D506">
        <v>4.0000000000000001E-3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Cover Page</vt:lpstr>
      <vt:lpstr>Inputs &amp; Assumptions</vt:lpstr>
      <vt:lpstr>HIST_CON</vt:lpstr>
      <vt:lpstr>HIST_STAND</vt:lpstr>
      <vt:lpstr>RATIO_ANALYSIS</vt:lpstr>
      <vt:lpstr>DUPONT_ANALYSIS</vt:lpstr>
      <vt:lpstr>Schedules</vt:lpstr>
      <vt:lpstr>WC_SCHEDULE</vt:lpstr>
      <vt:lpstr>P&amp;L Schedule</vt:lpstr>
      <vt:lpstr>WACC Schedule</vt:lpstr>
      <vt:lpstr>DCF</vt:lpstr>
      <vt:lpstr>Sensitivity Tables</vt:lpstr>
      <vt:lpstr>Growth Rate Methods</vt:lpstr>
      <vt:lpstr>RAW_DATA</vt:lpstr>
      <vt:lpstr>HS_CONSOLIDATED</vt:lpstr>
      <vt:lpstr>HS_STANDALONE</vt:lpstr>
      <vt:lpstr>Damodaran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SASI</cp:lastModifiedBy>
  <dcterms:created xsi:type="dcterms:W3CDTF">2026-08-21T19:12:57Z</dcterms:created>
  <dcterms:modified xsi:type="dcterms:W3CDTF">2026-08-24T20:12:37Z</dcterms:modified>
</cp:coreProperties>
</file>