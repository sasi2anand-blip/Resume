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Page" sheetId="1" state="visible" r:id="rId3"/>
    <sheet name="Inputs &amp; Assumptions" sheetId="2" state="visible" r:id="rId4"/>
    <sheet name="HIST_CON" sheetId="3" state="visible" r:id="rId5"/>
    <sheet name="HIST_STAND" sheetId="4" state="visible" r:id="rId6"/>
    <sheet name="RATIO_ANALYSIS" sheetId="5" state="visible" r:id="rId7"/>
    <sheet name="DUPONT_ANALYSIS" sheetId="6" state="visible" r:id="rId8"/>
    <sheet name="Schedules" sheetId="7" state="visible" r:id="rId9"/>
    <sheet name="P&amp;L Schedule" sheetId="8" state="visible" r:id="rId10"/>
    <sheet name="WACC Schedule" sheetId="9" state="visible" r:id="rId11"/>
    <sheet name="DCF" sheetId="10" state="visible" r:id="rId12"/>
    <sheet name="Sensitivity Tables" sheetId="11" state="visible" r:id="rId13"/>
    <sheet name="Growth Rate Methods" sheetId="12" state="visible" r:id="rId14"/>
    <sheet name="RAW_DATA" sheetId="13" state="visible" r:id="rId15"/>
    <sheet name="HS_CONSOLIDATED" sheetId="14" state="visible" r:id="rId16"/>
    <sheet name="HS_STANDALONE" sheetId="15" state="visible" r:id="rId17"/>
    <sheet name="Damodaran Data"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<sst xmlns="http://schemas.openxmlformats.org/spreadsheetml/2006/main" count="4937" uniqueCount="1733">
  <si>
    <t xml:space="preserve">Suzlon Energy Limited</t>
  </si>
  <si>
    <t xml:space="preserve">NSE: SUZLON  |  Discounted Cash Flow Valuation</t>
  </si>
  <si>
    <t xml:space="preserve">Valuation date: 26-Sep-2025</t>
  </si>
  <si>
    <t xml:space="preserve">Key Outputs</t>
  </si>
  <si>
    <t xml:space="preserve">Implied Value / Share</t>
  </si>
  <si>
    <t xml:space="preserve">Actual Market Price</t>
  </si>
  <si>
    <t xml:space="preserve">WACC</t>
  </si>
  <si>
    <t xml:space="preserve">Terminal Growth Rate</t>
  </si>
  <si>
    <t xml:space="preserve">Explicit Forecast Horizon</t>
  </si>
  <si>
    <t xml:space="preserve">Contents</t>
  </si>
  <si>
    <t xml:space="preserve">Inputs &amp; Assumptions</t>
  </si>
  <si>
    <t xml:space="preserve">HIST_CON</t>
  </si>
  <si>
    <t xml:space="preserve">HIST_STAND</t>
  </si>
  <si>
    <t xml:space="preserve">RATIO_ANALYSIS</t>
  </si>
  <si>
    <t xml:space="preserve">DUPONT_ANALYSIS</t>
  </si>
  <si>
    <t xml:space="preserve">Schedules</t>
  </si>
  <si>
    <t xml:space="preserve">P&amp;L Schedule</t>
  </si>
  <si>
    <t xml:space="preserve">WACC Schedule</t>
  </si>
  <si>
    <t xml:space="preserve">DCF</t>
  </si>
  <si>
    <t xml:space="preserve">Sensitivity Tables</t>
  </si>
  <si>
    <t xml:space="preserve">Growth Rate Methods</t>
  </si>
  <si>
    <t xml:space="preserve">RAW_DATA</t>
  </si>
  <si>
    <t xml:space="preserve">HS_CONSOLIDATED</t>
  </si>
  <si>
    <t xml:space="preserve">HS_STANDALONE</t>
  </si>
  <si>
    <t xml:space="preserve">Damodaran Data</t>
  </si>
  <si>
    <t xml:space="preserve">Academic valuation project -- not investment advice. Every figure on this page is a live formula referencing the schedules that follow; nothing here is a pasted value.</t>
  </si>
  <si>
    <t xml:space="preserve">#</t>
  </si>
  <si>
    <t xml:space="preserve">Inputs &amp; Assumptions -- forecast years only</t>
  </si>
  <si>
    <t xml:space="preserve">Driver</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</si>
  <si>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</si>
  <si>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</si>
  <si>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</si>
  <si>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</si>
  <si>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</si>
  <si>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</si>
  <si>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</si>
  <si>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</si>
  <si>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</si>
  <si>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FY2026E</t>
  </si>
  <si>
    <t xml:space="preserve">FY2027E</t>
  </si>
  <si>
    <t xml:space="preserve">FY2028E</t>
  </si>
  <si>
    <t xml:space="preserve">FY2029E</t>
  </si>
  <si>
    <t xml:space="preserve">FY2030E</t>
  </si>
  <si>
    <t xml:space="preserve">FY2031E</t>
  </si>
  <si>
    <t xml:space="preserve">FY2032E</t>
  </si>
  <si>
    <t xml:space="preserve">FY2033E</t>
  </si>
  <si>
    <t xml:space="preserve">FY2034E</t>
  </si>
  <si>
    <t xml:space="preserve">FY2035E</t>
  </si>
  <si>
    <t xml:space="preserve">Outlier Filter -- excludes statistically anomalous years (IQR fence on YoY growth) from the Terminal Growth Rate and PP&amp;E Additions Growth trend regressions</t>
  </si>
  <si>
    <t xml:space="preserve">Suggested: Outlier Filter Enabled (1=on, 0=off) -- default 1 (&gt;=5yr history, enough points for a meaningful IQR fence)</t>
  </si>
  <si>
    <t xml:space="preserve">INPUT: Outlier Filter Enabled (1=on, 0=off)</t>
  </si>
  <si>
    <t xml:space="preserve">Terminal / Fade-Target Growth Rate (computed from this company's own full history)</t>
  </si>
  <si>
    <t xml:space="preserve">Suggested: Terminal Growth Rate -- MIN(this company's own full-history log-linear trend on Total Revenue, with statistically anomalous years excluded per the Outlier Filter above, the Risk-Free Rate). No company grows faster than the risk-free rate forever -- caps a fast-growing company's own historical trend (seen on AdaniPorts: ~16.5%/yr, which broke the Value-Driver TV formula outright) without hardcoding an external macro number; slow-growth companies (e.g. Suzlon, ~0.75%/yr) are unaffected since their own trend already sits below the cap.</t>
  </si>
  <si>
    <t xml:space="preserve">INPUT: Terminal Growth Rate (used by the fade)</t>
  </si>
  <si>
    <t xml:space="preserve">Suggested: Growth Fade Half-Life, years -- default 6yr</t>
  </si>
  <si>
    <t xml:space="preserve">INPUT: Growth Fade Half-Life, years</t>
  </si>
  <si>
    <t xml:space="preserve">Suggested: Products Revenue Growth % -- log-linear, last 3yr, half-life decay to terminal</t>
  </si>
  <si>
    <t xml:space="preserve">INPUT: Products Revenue Growth % (overrides the trend/fade)</t>
  </si>
  <si>
    <t xml:space="preserve">Misc. Revenue / WC Schedule Drivers</t>
  </si>
  <si>
    <t xml:space="preserve">Suggested: Misc. Other Operating Revenue % of Total Revenue, last 3yr avg</t>
  </si>
  <si>
    <t xml:space="preserve">INPUT: Misc. Other Operating Revenue % of Total Revenue</t>
  </si>
  <si>
    <t xml:space="preserve">Suggested: Services Revenue Growth % -- log-linear, last 3yr, half-life decay to terminal (simplified vs. an installed-base driver)</t>
  </si>
  <si>
    <t xml:space="preserve">INPUT: Services Revenue Growth % (overrides the trend/fade)</t>
  </si>
  <si>
    <t xml:space="preserve">Working Capital Schedule Drivers</t>
  </si>
  <si>
    <t xml:space="preserve">Suggested: COGS % of Revenue, last 3yr avg</t>
  </si>
  <si>
    <t xml:space="preserve">INPUT: COGS % of Revenue</t>
  </si>
  <si>
    <t xml:space="preserve">Suggested: Days Sales Outstanding, last 3yr avg</t>
  </si>
  <si>
    <t xml:space="preserve">INPUT: Days Sales Outstanding</t>
  </si>
  <si>
    <t xml:space="preserve">Suggested: Days Inventory Outstanding, last 3yr avg</t>
  </si>
  <si>
    <t xml:space="preserve">INPUT: Days Inventory Outstanding</t>
  </si>
  <si>
    <t xml:space="preserve">Suggested: Days Payable Outstanding, last 3yr avg</t>
  </si>
  <si>
    <t xml:space="preserve">INPUT: Days Payable Outstanding</t>
  </si>
  <si>
    <t xml:space="preserve">PP&amp;E Schedule Drivers</t>
  </si>
  <si>
    <t xml:space="preserve">Suggested: Additions Growth % -- log-linear, last 3yr, half-life decay to terminal</t>
  </si>
  <si>
    <t xml:space="preserve">INPUT: Additions Growth % (overrides the trend/fade)</t>
  </si>
  <si>
    <t xml:space="preserve">Suggested: New Asset Useful Life, years -- Ind AS Schedule II general Plant &amp; Machinery default (15yr, generic regulatory constant)</t>
  </si>
  <si>
    <t xml:space="preserve">INPUT: New Asset Useful Life, years</t>
  </si>
  <si>
    <t xml:space="preserve">Suggested: Impairment, % of Opening PP&amp;E, last 3yr avg</t>
  </si>
  <si>
    <t xml:space="preserve">INPUT: Impairment % of Opening PP&amp;E</t>
  </si>
  <si>
    <t xml:space="preserve">Suggested: Other Changes, % of Opening PP&amp;E, last 3yr avg</t>
  </si>
  <si>
    <t xml:space="preserve">INPUT: Other Changes % of Opening PP&amp;E</t>
  </si>
  <si>
    <t xml:space="preserve">Suggested: Disposals, % of Opening PP&amp;E, last 3yr avg</t>
  </si>
  <si>
    <t xml:space="preserve">INPUT: Disposals % of Opening PP&amp;E</t>
  </si>
  <si>
    <t xml:space="preserve">Debt Schedule Drivers</t>
  </si>
  <si>
    <t xml:space="preserve">Suggested: Include Lease Liabilities as Quasi-Debt (1=yes, 0=no) -- default 0 (Borrowings only)</t>
  </si>
  <si>
    <t xml:space="preserve">INPUT: Include Lease Liabilities as Quasi-Debt (1=yes, 0=no)</t>
  </si>
  <si>
    <t xml:space="preserve">Suggested: Effective Interest Rate % -- weighted avg (SUM Interest/SUM Avg Debt), last 3yr</t>
  </si>
  <si>
    <t xml:space="preserve">INPUT: Effective Interest Rate %</t>
  </si>
  <si>
    <t xml:space="preserve">Suggested: Target Debt/Capitalization Ratio -- last actual year (no fade by default, generic)</t>
  </si>
  <si>
    <t xml:space="preserve">INPUT: Target Debt/Capitalization Ratio</t>
  </si>
  <si>
    <t xml:space="preserve">Tax Schedule Drivers</t>
  </si>
  <si>
    <t xml:space="preserve">Suggested: Statutory Corporate Tax Rate -- 25.17% (India Section 115BAA default; override for a different jurisdiction)</t>
  </si>
  <si>
    <t xml:space="preserve">INPUT: Statutory Corporate Tax Rate</t>
  </si>
  <si>
    <t xml:space="preserve">Suggested: Current Tax (MAT-floor) Rate -- materiality/plausibility-filtered avg, last 3yr, widening to full history if none qualify</t>
  </si>
  <si>
    <t xml:space="preserve">INPUT: Current Tax (MAT-floor) Rate</t>
  </si>
  <si>
    <t xml:space="preserve">Equity Schedule Drivers</t>
  </si>
  <si>
    <t xml:space="preserve">Suggested: Dividend Payout %, last 3yr avg</t>
  </si>
  <si>
    <t xml:space="preserve">INPUT: Dividend Payout %</t>
  </si>
  <si>
    <t xml:space="preserve">P&amp;L Schedule Drivers</t>
  </si>
  <si>
    <t xml:space="preserve">Suggested: Employee Benefit Expense, % of Revenue, last 3yr avg</t>
  </si>
  <si>
    <t xml:space="preserve">INPUT: Employee Benefit Expense, % of Revenue</t>
  </si>
  <si>
    <t xml:space="preserve">Suggested: Other Expenses, % of Revenue, last 3yr avg</t>
  </si>
  <si>
    <t xml:space="preserve">INPUT: Other Expenses, % of Revenue</t>
  </si>
  <si>
    <t xml:space="preserve">Suggested: Other Income, % of Revenue, last 3yr avg</t>
  </si>
  <si>
    <t xml:space="preserve">INPUT: Other Income, % of Revenue</t>
  </si>
  <si>
    <t xml:space="preserve">Suggested: D&amp;A Uplift Ratio, last 3yr avg</t>
  </si>
  <si>
    <t xml:space="preserve">INPUT: D&amp;A Uplift Ratio</t>
  </si>
  <si>
    <t xml:space="preserve">Suggested: Finance Cost Uplift Ratio, last 3yr avg</t>
  </si>
  <si>
    <t xml:space="preserve">INPUT: Finance Cost Uplift Ratio</t>
  </si>
  <si>
    <t xml:space="preserve">Suzlon Energy Limited  —  Derived Financial Model</t>
  </si>
  <si>
    <t xml:space="preserve">Green = cross-sheet formula (XLOOKUP against raw data)   |   Black = same-sheet formula (subtotal/total)</t>
  </si>
  <si>
    <t xml:space="preserve">Statement of Profit and Loss</t>
  </si>
  <si>
    <t xml:space="preserve">Income [Abstract]</t>
  </si>
  <si>
    <t xml:space="preserve">Total revenue from operations</t>
  </si>
  <si>
    <t xml:space="preserve">Total other income</t>
  </si>
  <si>
    <t xml:space="preserve">Total income</t>
  </si>
  <si>
    <t xml:space="preserve">COGS</t>
  </si>
  <si>
    <t xml:space="preserve">Cost of materials consumed</t>
  </si>
  <si>
    <t xml:space="preserve">Purchases of stock-in-trade</t>
  </si>
  <si>
    <t xml:space="preserve">Total changes in inventories of finished goods, work-in-progress and stock-in-trade</t>
  </si>
  <si>
    <t xml:space="preserve">Gross Profit</t>
  </si>
  <si>
    <t xml:space="preserve">SG&amp;A</t>
  </si>
  <si>
    <t xml:space="preserve">Total other expenses</t>
  </si>
  <si>
    <t xml:space="preserve">EBITDA</t>
  </si>
  <si>
    <t xml:space="preserve">D&amp;A</t>
  </si>
  <si>
    <t xml:space="preserve">EBIT</t>
  </si>
  <si>
    <t xml:space="preserve">Total finance costs</t>
  </si>
  <si>
    <t xml:space="preserve">Exceptional items before tax</t>
  </si>
  <si>
    <t xml:space="preserve">EBT</t>
  </si>
  <si>
    <t xml:space="preserve">Total current tax</t>
  </si>
  <si>
    <t xml:space="preserve">Deferred tax</t>
  </si>
  <si>
    <t xml:space="preserve">Total tax expense</t>
  </si>
  <si>
    <t xml:space="preserve">NETINCOME</t>
  </si>
  <si>
    <t xml:space="preserve">Balance Sheet</t>
  </si>
  <si>
    <t xml:space="preserve">Assets [Abstract]</t>
  </si>
  <si>
    <t xml:space="preserve">Non-current assets [Abstract]</t>
  </si>
  <si>
    <t xml:space="preserve">Operating</t>
  </si>
  <si>
    <t xml:space="preserve">Property, plant and equipment at end of period</t>
  </si>
  <si>
    <t xml:space="preserve">Capital work-in-progress</t>
  </si>
  <si>
    <t xml:space="preserve">Goodwill at end of period</t>
  </si>
  <si>
    <t xml:space="preserve">Other intangible assets at end of period</t>
  </si>
  <si>
    <t xml:space="preserve">Intangible assets under development</t>
  </si>
  <si>
    <t xml:space="preserve">Trade receivables, non-current</t>
  </si>
  <si>
    <t xml:space="preserve">Total other non-current assets</t>
  </si>
  <si>
    <t xml:space="preserve">Total Operating</t>
  </si>
  <si>
    <t xml:space="preserve">Non-Operating</t>
  </si>
  <si>
    <t xml:space="preserve">Investment property at end of period</t>
  </si>
  <si>
    <t xml:space="preserve">Investments accounted for using equity method</t>
  </si>
  <si>
    <t xml:space="preserve">Non-current investments</t>
  </si>
  <si>
    <t xml:space="preserve">Loans, non-current</t>
  </si>
  <si>
    <t xml:space="preserve">Total other non-current financial assets</t>
  </si>
  <si>
    <t xml:space="preserve">Deferred tax assets (net)</t>
  </si>
  <si>
    <t xml:space="preserve">Total Non-Operating</t>
  </si>
  <si>
    <t xml:space="preserve">Total non-current financial assets</t>
  </si>
  <si>
    <t xml:space="preserve">Total Non-Current Assets</t>
  </si>
  <si>
    <t xml:space="preserve">Current Assets</t>
  </si>
  <si>
    <t xml:space="preserve">Inventories</t>
  </si>
  <si>
    <t xml:space="preserve">Trade receivables, current</t>
  </si>
  <si>
    <t xml:space="preserve">Total other current assets</t>
  </si>
  <si>
    <t xml:space="preserve">Current investments</t>
  </si>
  <si>
    <t xml:space="preserve">Cash and cash equivalents at end of period</t>
  </si>
  <si>
    <t xml:space="preserve">Loans, current</t>
  </si>
  <si>
    <t xml:space="preserve">Total other current financial assets</t>
  </si>
  <si>
    <t xml:space="preserve">Current tax assets, Current</t>
  </si>
  <si>
    <t xml:space="preserve">Total current financial assets</t>
  </si>
  <si>
    <t xml:space="preserve">Total Current Assets</t>
  </si>
  <si>
    <t xml:space="preserve">Non-current assets classified as held for sale</t>
  </si>
  <si>
    <t xml:space="preserve">Total Assets</t>
  </si>
  <si>
    <t xml:space="preserve">Equity and Liabilities</t>
  </si>
  <si>
    <t xml:space="preserve">Equity attributable to owners of parent</t>
  </si>
  <si>
    <t xml:space="preserve">Equity share capital at end of period</t>
  </si>
  <si>
    <t xml:space="preserve">Other equity</t>
  </si>
  <si>
    <t xml:space="preserve">Total equity attributable to owners of parent</t>
  </si>
  <si>
    <t xml:space="preserve">Non controlling interest</t>
  </si>
  <si>
    <t xml:space="preserve">Equity at end of period</t>
  </si>
  <si>
    <t xml:space="preserve">Liabilities</t>
  </si>
  <si>
    <t xml:space="preserve">Non-current liabilities </t>
  </si>
  <si>
    <t xml:space="preserve">Non-current financial liabilities </t>
  </si>
  <si>
    <t xml:space="preserve">Borrowings, non-current</t>
  </si>
  <si>
    <t xml:space="preserve">Trade payables, non-current </t>
  </si>
  <si>
    <t xml:space="preserve">Total other non-current financial liabilities</t>
  </si>
  <si>
    <t xml:space="preserve">Total non-current financial liabilities</t>
  </si>
  <si>
    <t xml:space="preserve">Provisions, non-current</t>
  </si>
  <si>
    <t xml:space="preserve">Total other non-current liabilities</t>
  </si>
  <si>
    <t xml:space="preserve">Total non-current liabilities</t>
  </si>
  <si>
    <t xml:space="preserve">Current liabilities </t>
  </si>
  <si>
    <t xml:space="preserve">Current financial liabilities </t>
  </si>
  <si>
    <t xml:space="preserve">Borrowings, current</t>
  </si>
  <si>
    <t xml:space="preserve">Trade payables, current </t>
  </si>
  <si>
    <t xml:space="preserve">Total trade payables, current</t>
  </si>
  <si>
    <t xml:space="preserve">Total other current financial liabilities</t>
  </si>
  <si>
    <t xml:space="preserve">Total current financial liabilities</t>
  </si>
  <si>
    <t xml:space="preserve">Total other current liabilities</t>
  </si>
  <si>
    <t xml:space="preserve">Provisions, current</t>
  </si>
  <si>
    <t xml:space="preserve">Current tax liabilities</t>
  </si>
  <si>
    <t xml:space="preserve">Total current liabilities</t>
  </si>
  <si>
    <t xml:space="preserve">Liabilities directly associated with assets in disposal group classified as held for sale</t>
  </si>
  <si>
    <t xml:space="preserve">Total equity and liabilities</t>
  </si>
  <si>
    <t xml:space="preserve">BALANCE CHECK (Total Assets − Total Equity &amp; Liabilities)</t>
  </si>
  <si>
    <t xml:space="preserve">Statement of Cash Flows</t>
  </si>
  <si>
    <t xml:space="preserve">Cash flows from used in operating activities</t>
  </si>
  <si>
    <t xml:space="preserve">Total profit before tax</t>
  </si>
  <si>
    <t xml:space="preserve">Adjustments for reconcile profit (loss) </t>
  </si>
  <si>
    <t xml:space="preserve">Adjustments for finance costs</t>
  </si>
  <si>
    <t xml:space="preserve">Adjustments for decrease (increase) in inventories</t>
  </si>
  <si>
    <t xml:space="preserve">Adjustments for decrease (increase) in trade receivables, current</t>
  </si>
  <si>
    <t xml:space="preserve">Adjustments for decrease (increase) in other current assets</t>
  </si>
  <si>
    <t xml:space="preserve">Adjustments for other financial assets, non-current</t>
  </si>
  <si>
    <t xml:space="preserve">Adjustments for increase (decrease) in other current liabilities</t>
  </si>
  <si>
    <t xml:space="preserve">Adjustments for depreciation and amortisation expense</t>
  </si>
  <si>
    <t xml:space="preserve">Adjustments for impairment loss reversal of impairment loss recognised in profit or loss</t>
  </si>
  <si>
    <t xml:space="preserve">Adjustments for other financial liabilities, non-current</t>
  </si>
  <si>
    <t xml:space="preserve">Adjustments for unrealised foreign exchange losses gains</t>
  </si>
  <si>
    <t xml:space="preserve">Adjustments for interest income</t>
  </si>
  <si>
    <t xml:space="preserve">Adjustments for share-based payments</t>
  </si>
  <si>
    <t xml:space="preserve">Other adjustments for which cash effects are investing or financing cash flow</t>
  </si>
  <si>
    <t xml:space="preserve">Other adjustments to reconcile profit (loss)</t>
  </si>
  <si>
    <t xml:space="preserve">Other adjustments for non-cash items</t>
  </si>
  <si>
    <t xml:space="preserve">Total adjustments for reconcile profit (loss)</t>
  </si>
  <si>
    <t xml:space="preserve">Net cash flows from (used in) operations</t>
  </si>
  <si>
    <t xml:space="preserve">Income taxes paid (refund)</t>
  </si>
  <si>
    <t xml:space="preserve">Net cash flows from (used in) operating activities</t>
  </si>
  <si>
    <t xml:space="preserve">Cash flows from used in investing activities [Abstract]</t>
  </si>
  <si>
    <t xml:space="preserve">Cash flows used in obtaining control of subsidiaries or other businesses</t>
  </si>
  <si>
    <t xml:space="preserve">Other cash receipts from sales of equity or debt instruments of other entities</t>
  </si>
  <si>
    <t xml:space="preserve">Other cash payments to acquire equity or debt instruments of other entities</t>
  </si>
  <si>
    <t xml:space="preserve">Other cash receipts from sales of interests in joint ventures</t>
  </si>
  <si>
    <t xml:space="preserve">Proceeds from sales of property, plant and equipment</t>
  </si>
  <si>
    <t xml:space="preserve">Purchase of property, plant and equipment</t>
  </si>
  <si>
    <t xml:space="preserve">Proceeds from sales of investment property</t>
  </si>
  <si>
    <t xml:space="preserve">Purchase of investment property</t>
  </si>
  <si>
    <t xml:space="preserve">Interest received</t>
  </si>
  <si>
    <t xml:space="preserve">Other inflows (outflows) of cash</t>
  </si>
  <si>
    <t xml:space="preserve">Net cash flows from (used in) investing activities</t>
  </si>
  <si>
    <t xml:space="preserve">Cash flows from used in financing activities [Abstract]</t>
  </si>
  <si>
    <t xml:space="preserve">Proceeds from issuing shares</t>
  </si>
  <si>
    <t xml:space="preserve">Proceeds from issuing other equity instruments</t>
  </si>
  <si>
    <t xml:space="preserve">Proceeds from issuing debentures notes bonds etc</t>
  </si>
  <si>
    <t xml:space="preserve">Proceeds from borrowings</t>
  </si>
  <si>
    <t xml:space="preserve">Repayments of borrowings</t>
  </si>
  <si>
    <t xml:space="preserve">Payments of lease liabilities</t>
  </si>
  <si>
    <t xml:space="preserve">Interest paid</t>
  </si>
  <si>
    <t xml:space="preserve">Net cash flows from (used in) financing activities</t>
  </si>
  <si>
    <t xml:space="preserve">Net increase (decrease) in cash and cash equivalents before effect of exchange rate changes</t>
  </si>
  <si>
    <t xml:space="preserve">Effect of exchange rate changes on cash and cash equivalents</t>
  </si>
  <si>
    <t xml:space="preserve">Net increase (decrease) in cash and cash equivalents</t>
  </si>
  <si>
    <t xml:space="preserve">Cash and cash equivalents cash flow statement at beginning of period</t>
  </si>
  <si>
    <t xml:space="preserve">Cash and cash equivalents cash flow statement at end of period</t>
  </si>
  <si>
    <t xml:space="preserve">Adjustments for decrease (increase) in other non-current assets</t>
  </si>
  <si>
    <t xml:space="preserve">Cash flows from losing control of subsidiaries or other businesses</t>
  </si>
  <si>
    <t xml:space="preserve">Proceeds from sales of other long-term assets</t>
  </si>
  <si>
    <t xml:space="preserve">Cash advances and loans made to other parties</t>
  </si>
  <si>
    <t xml:space="preserve">Cash receipts from repayment of advances and loans made to other parties</t>
  </si>
  <si>
    <t xml:space="preserve">Proceeds from exercise of stock options</t>
  </si>
  <si>
    <t xml:space="preserve">Suzlon Energy Limited  —  Ratio Analysis (Consolidated)</t>
  </si>
  <si>
    <t xml:space="preserve">Each ratio shown as Name = Numerator / Denominator, values computed once and reused (Green = first pull/computation from Derived Sheet, Black = same-sheet reuse) | Result appears on the right | Single-year figures (no opening/closing average)</t>
  </si>
  <si>
    <t xml:space="preserve">Profitability and Return Ratios</t>
  </si>
  <si>
    <t xml:space="preserve">Return on Equity</t>
  </si>
  <si>
    <t xml:space="preserve">=</t>
  </si>
  <si>
    <t xml:space="preserve">Net Income</t>
  </si>
  <si>
    <t xml:space="preserve">Equity</t>
  </si>
  <si>
    <t xml:space="preserve">Return on Assets</t>
  </si>
  <si>
    <t xml:space="preserve">Return on Net Assets</t>
  </si>
  <si>
    <t xml:space="preserve">Net PP&amp;E + Net Working Capital</t>
  </si>
  <si>
    <t xml:space="preserve">Return on Invested Capital</t>
  </si>
  <si>
    <t xml:space="preserve">NOPAT (= EBIT × (1 − Tax Expense / EBT))</t>
  </si>
  <si>
    <t xml:space="preserve">Invested Capital (= Debt + Equity − Cash)</t>
  </si>
  <si>
    <t xml:space="preserve">Gross Margin</t>
  </si>
  <si>
    <t xml:space="preserve">Revenue</t>
  </si>
  <si>
    <t xml:space="preserve">SG&amp;A % of Revenue</t>
  </si>
  <si>
    <t xml:space="preserve">Other Operating Expenses % of Revenue</t>
  </si>
  <si>
    <t xml:space="preserve">Other Operating Expenses</t>
  </si>
  <si>
    <t xml:space="preserve">EBITDA Margin</t>
  </si>
  <si>
    <t xml:space="preserve">Check</t>
  </si>
  <si>
    <t xml:space="preserve">Depreciation % of Revenue</t>
  </si>
  <si>
    <t xml:space="preserve">Depreciation &amp; Amortisation</t>
  </si>
  <si>
    <t xml:space="preserve">EBIT Margin</t>
  </si>
  <si>
    <t xml:space="preserve">Other Non-Operating Expense % of Revenue</t>
  </si>
  <si>
    <t xml:space="preserve">Finance Costs + Exceptional Items (net)</t>
  </si>
  <si>
    <t xml:space="preserve">EBT Margin</t>
  </si>
  <si>
    <t xml:space="preserve">EBT (Pre-Tax Income)</t>
  </si>
  <si>
    <t xml:space="preserve">Tax % of Revenue</t>
  </si>
  <si>
    <t xml:space="preserve">Total Tax Expense</t>
  </si>
  <si>
    <t xml:space="preserve">Net Profit Margin</t>
  </si>
  <si>
    <t xml:space="preserve">Effective Tax Rate</t>
  </si>
  <si>
    <t xml:space="preserve">Tax Burden</t>
  </si>
  <si>
    <t xml:space="preserve">Effective Interest Rate</t>
  </si>
  <si>
    <t xml:space="preserve">Finance Costs (absolute)</t>
  </si>
  <si>
    <t xml:space="preserve">Total Debt (= Borrowings + Lease Liabilities)</t>
  </si>
  <si>
    <t xml:space="preserve">Interest Burden</t>
  </si>
  <si>
    <t xml:space="preserve">Asset Utilization Ratios</t>
  </si>
  <si>
    <t xml:space="preserve">Asset Turnover</t>
  </si>
  <si>
    <t xml:space="preserve">PPE Turnover</t>
  </si>
  <si>
    <t xml:space="preserve">Net PP&amp;E</t>
  </si>
  <si>
    <t xml:space="preserve">Cash Turnover</t>
  </si>
  <si>
    <t xml:space="preserve">Cash &amp; Cash Equivalents</t>
  </si>
  <si>
    <t xml:space="preserve">Cash Days</t>
  </si>
  <si>
    <t xml:space="preserve">365 (days)</t>
  </si>
  <si>
    <t xml:space="preserve">Turnover (above)</t>
  </si>
  <si>
    <t xml:space="preserve">A/R Turnover</t>
  </si>
  <si>
    <t xml:space="preserve">Trade Receivables, Current</t>
  </si>
  <si>
    <t xml:space="preserve">A/R Days</t>
  </si>
  <si>
    <t xml:space="preserve">Inventory Turnover</t>
  </si>
  <si>
    <t xml:space="preserve">COGS (= Revenue − Gross Profit)</t>
  </si>
  <si>
    <t xml:space="preserve">Inventory</t>
  </si>
  <si>
    <t xml:space="preserve">Inventory Days</t>
  </si>
  <si>
    <t xml:space="preserve">A/P Turnover</t>
  </si>
  <si>
    <t xml:space="preserve">Trade Payables, Current</t>
  </si>
  <si>
    <t xml:space="preserve">A/P Days</t>
  </si>
  <si>
    <t xml:space="preserve">Cash Conversion Cycle</t>
  </si>
  <si>
    <t xml:space="preserve">(A/R Days + Inventory Days − A/P Days)</t>
  </si>
  <si>
    <t xml:space="preserve">Leverage Ratios</t>
  </si>
  <si>
    <t xml:space="preserve">Total Asset to Equity</t>
  </si>
  <si>
    <t xml:space="preserve">Total Liabilities to Equity</t>
  </si>
  <si>
    <t xml:space="preserve">Total Liabilities (= Total Assets − Equity)</t>
  </si>
  <si>
    <t xml:space="preserve">Debt to Equity</t>
  </si>
  <si>
    <t xml:space="preserve">Debt to EBITDA</t>
  </si>
  <si>
    <t xml:space="preserve">Net Debt to EBITDA</t>
  </si>
  <si>
    <t xml:space="preserve">Net Debt (= Total Debt − Cash)</t>
  </si>
  <si>
    <t xml:space="preserve">Liquidity Ratios</t>
  </si>
  <si>
    <t xml:space="preserve">Current Ratio</t>
  </si>
  <si>
    <t xml:space="preserve">Total Current Liabilities</t>
  </si>
  <si>
    <t xml:space="preserve">Quick Ratio</t>
  </si>
  <si>
    <t xml:space="preserve">Quick Assets (= Current Assets − Inventory)</t>
  </si>
  <si>
    <t xml:space="preserve">Interest Coverage</t>
  </si>
  <si>
    <t xml:space="preserve">Growth Trends (Year-over-Year)</t>
  </si>
  <si>
    <t xml:space="preserve">Revenue Growth %</t>
  </si>
  <si>
    <t xml:space="preserve">n/a</t>
  </si>
  <si>
    <t xml:space="preserve">EBITDA Growth %</t>
  </si>
  <si>
    <t xml:space="preserve">EBIT Growth %</t>
  </si>
  <si>
    <t xml:space="preserve">Net Income Growth %</t>
  </si>
  <si>
    <t xml:space="preserve">Total Assets Growth %</t>
  </si>
  <si>
    <t xml:space="preserve">Degree of Operating Leverage</t>
  </si>
  <si>
    <t xml:space="preserve">Degree of Financial Leverage</t>
  </si>
  <si>
    <t xml:space="preserve">Degree of Total Leverage</t>
  </si>
  <si>
    <t xml:space="preserve">Suzlon Energy Limited  —  DuPont Analysis (Table + 3-Step &amp; 5-Step Pyramids)</t>
  </si>
  <si>
    <t xml:space="preserve">Showing the most recent 8 years   |   Table: Green = pulled from Derived Sheet, Black = computed, Check row confirms all three tie out   |   Pyramids: Green = pulled from Ratio Analysis sheet, blue shading = magnitude heat-map</t>
  </si>
  <si>
    <t xml:space="preserve">Inputs (from Derived Sheet)</t>
  </si>
  <si>
    <t xml:space="preserve">Total Equity</t>
  </si>
  <si>
    <t xml:space="preserve">3-Step DuPont (ROE = Net Margin × Asset Turnover × Equity Multiplier)</t>
  </si>
  <si>
    <t xml:space="preserve">Net Profit Margin (Net Income / Revenue)</t>
  </si>
  <si>
    <t xml:space="preserve">Asset Turnover (Revenue / Total Assets)</t>
  </si>
  <si>
    <t xml:space="preserve">Equity Multiplier (Total Assets / Total Equity)</t>
  </si>
  <si>
    <t xml:space="preserve">ROE — 3-Step DuPont</t>
  </si>
  <si>
    <t xml:space="preserve">5-Step DuPont (ROE = Tax Burden × Interest Burden × Operating Margin × Asset Turnover × Equity Multiplier)</t>
  </si>
  <si>
    <t xml:space="preserve">Tax Burden (Net Income / EBT)</t>
  </si>
  <si>
    <t xml:space="preserve">Interest Burden (EBT / EBIT)</t>
  </si>
  <si>
    <t xml:space="preserve">Operating Margin (EBIT / Revenue)</t>
  </si>
  <si>
    <t xml:space="preserve">ROE — 5-Step DuPont</t>
  </si>
  <si>
    <t xml:space="preserve">Reconciliation Check</t>
  </si>
  <si>
    <t xml:space="preserve">Direct ROE (Net Income / Total Equity)</t>
  </si>
  <si>
    <t xml:space="preserve">CHECK: Direct − 3-Step − 5-Step ROE (should all tie to ~0)</t>
  </si>
  <si>
    <t xml:space="preserve">3-Step DuPont Pyramid</t>
  </si>
  <si>
    <t xml:space="preserve">Working Capital Analysis</t>
  </si>
  <si>
    <t xml:space="preserve">Other Non-Op. Expense %</t>
  </si>
  <si>
    <t xml:space="preserve">Cash Conversion Cycle / WC Funding Gap</t>
  </si>
  <si>
    <t xml:space="preserve">Other Op. Expenses %</t>
  </si>
  <si>
    <t xml:space="preserve">Growth Analysis</t>
  </si>
  <si>
    <t xml:space="preserve">Leverage Analysis</t>
  </si>
  <si>
    <t xml:space="preserve">Revenue Growth</t>
  </si>
  <si>
    <t xml:space="preserve">EBITDA Growth</t>
  </si>
  <si>
    <t xml:space="preserve">Net Income Growth</t>
  </si>
  <si>
    <t xml:space="preserve">Total Asset Growth</t>
  </si>
  <si>
    <t xml:space="preserve">5-Step DuPont Pyramid</t>
  </si>
  <si>
    <t xml:space="preserve">Line item (raw filed units)</t>
  </si>
  <si>
    <t xml:space="preserve">Revenue Schedule</t>
  </si>
  <si>
    <t xml:space="preserve">Total Revenue from Sale of Products</t>
  </si>
  <si>
    <t xml:space="preserve">Total Revenue from Sale of Services</t>
  </si>
  <si>
    <t xml:space="preserve">Miscellaneous Other Operating Revenue</t>
  </si>
  <si>
    <t xml:space="preserve">Total Revenue (= Products + Services + Misc.)</t>
  </si>
  <si>
    <t xml:space="preserve">Tie-check, historical only (Total Revenue - reported Total revenue from operations)</t>
  </si>
  <si>
    <t xml:space="preserve">Time index (1..9)</t>
  </si>
  <si>
    <t xml:space="preserve">LN(Products), zero-years excluded (skipped in the SLOPE range)</t>
  </si>
  <si>
    <t xml:space="preserve">LN(Total Revenue)</t>
  </si>
  <si>
    <t xml:space="preserve">Total Revenue YoY Growth %, per year</t>
  </si>
  <si>
    <t xml:space="preserve">IQR Anomaly Fence on YoY Growth (Q1 | Q3 | IQR | Lower Fence | Upper Fence)</t>
  </si>
  <si>
    <t xml:space="preserve">Inclusion Flag (1=included in trend, 0=excluded as a statistical anomaly)</t>
  </si>
  <si>
    <t xml:space="preserve">LN(Total Revenue), anomalous years excluded per the Inclusion Flag above</t>
  </si>
  <si>
    <t xml:space="preserve">Misc. Other Operating Revenue, % of Total Revenue</t>
  </si>
  <si>
    <t xml:space="preserve">LN(Services), zero-years excluded (skipped in the SLOPE range)</t>
  </si>
  <si>
    <t xml:space="preserve">Working Capital Schedule</t>
  </si>
  <si>
    <t xml:space="preserve">Revenue (= Total Revenue, Revenue Schedule)</t>
  </si>
  <si>
    <t xml:space="preserve">COGS (= -(Materials Consumed + Purchases of Stock-in-Trade + Chg. in Inventories))</t>
  </si>
  <si>
    <t xml:space="preserve">COGS % of Revenue</t>
  </si>
  <si>
    <t xml:space="preserve">Trade Receivables (ending balance)</t>
  </si>
  <si>
    <t xml:space="preserve">Inventories (ending balance)</t>
  </si>
  <si>
    <t xml:space="preserve">Purchases (= COGS + Chg. in Inventories, approximation for DPO)</t>
  </si>
  <si>
    <t xml:space="preserve">Trade Payables (ending balance)</t>
  </si>
  <si>
    <t xml:space="preserve">DSO = Trade Receivables / Revenue x 365</t>
  </si>
  <si>
    <t xml:space="preserve">DIO = Inventories / |COGS| x 365</t>
  </si>
  <si>
    <t xml:space="preserve">DPO = Trade Payables / Purchases x 365</t>
  </si>
  <si>
    <t xml:space="preserve">Net Working Capital = Receivables + Inventories - Payables</t>
  </si>
  <si>
    <t xml:space="preserve">Cash from Working Capital (= prior NWC - current NWC)</t>
  </si>
  <si>
    <t xml:space="preserve">Tie-check, historical only (always 0 by construction -- Receivables/Inventories/Payables are direct reported lookups, not rebuilt)</t>
  </si>
  <si>
    <t xml:space="preserve">PP&amp;E Schedule</t>
  </si>
  <si>
    <t xml:space="preserve">Beginning PP&amp;E (= prior year Ending)</t>
  </si>
  <si>
    <t xml:space="preserve">(+) Additions other than through business combinations</t>
  </si>
  <si>
    <t xml:space="preserve">(+) Business Combinations (historical only)</t>
  </si>
  <si>
    <t xml:space="preserve">(+/-) FX Translation (historical only)</t>
  </si>
  <si>
    <t xml:space="preserve">(-) Depreciation</t>
  </si>
  <si>
    <t xml:space="preserve">(-) Impairment Loss</t>
  </si>
  <si>
    <t xml:space="preserve">(+) Reversal of Impairment (historical only)</t>
  </si>
  <si>
    <t xml:space="preserve">(+/-) Revaluation (historical only)</t>
  </si>
  <si>
    <t xml:space="preserve">(+/-) Other Changes, incl. transfers</t>
  </si>
  <si>
    <t xml:space="preserve">(-) Disposals and Retirements</t>
  </si>
  <si>
    <t xml:space="preserve">(-) Held-for-Sale Reclassification (historical only)</t>
  </si>
  <si>
    <t xml:space="preserve">(-) Loss of Control (historical only)</t>
  </si>
  <si>
    <t xml:space="preserve">Ending PP&amp;E</t>
  </si>
  <si>
    <t xml:space="preserve">Tie-check, historical only</t>
  </si>
  <si>
    <t xml:space="preserve">LN(Additions)</t>
  </si>
  <si>
    <t xml:space="preserve">LN(|Depreciation|)</t>
  </si>
  <si>
    <t xml:space="preserve">Additions YoY Growth %, per year</t>
  </si>
  <si>
    <t xml:space="preserve">IQR Anomaly Fence on Additions YoY Growth (Q1 | Q3 | IQR | Lower Fence | Upper Fence)</t>
  </si>
  <si>
    <t xml:space="preserve">LN(Additions), anomalous years excluded per the Inclusion Flag above</t>
  </si>
  <si>
    <t xml:space="preserve">Impairment, % of Opening PP&amp;E</t>
  </si>
  <si>
    <t xml:space="preserve">Other Changes, % of Opening PP&amp;E</t>
  </si>
  <si>
    <t xml:space="preserve">Disposals, % of Opening PP&amp;E</t>
  </si>
  <si>
    <t xml:space="preserve">Implied Remaining Useful Life of Existing PP&amp;E Base, years (= New Asset Useful Life / 2 -- pre-aged base is on average part-way through its life)</t>
  </si>
  <si>
    <t xml:space="preserve">Existing Asset Depreciation (forecast only)</t>
  </si>
  <si>
    <t xml:space="preserve">New Capex Vintage Depreciation (forecast only, cumulative)</t>
  </si>
  <si>
    <t xml:space="preserve">Debt Schedule</t>
  </si>
  <si>
    <t xml:space="preserve">Beginning Total Debt (= prior year Ending)</t>
  </si>
  <si>
    <t xml:space="preserve">(+) New Debt Raised (= Proceeds from Borrowings + Debentures)</t>
  </si>
  <si>
    <t xml:space="preserve">(-) Debt Repaid (= Repayments of Borrowings + Lease Payments)</t>
  </si>
  <si>
    <t xml:space="preserve">(+/-) Other Non-Cash Debt Movements -- residual: reported Ending - Beginning - New Debt - Repaid</t>
  </si>
  <si>
    <t xml:space="preserve">Ending Total Debt</t>
  </si>
  <si>
    <t xml:space="preserve">Average Total Debt</t>
  </si>
  <si>
    <t xml:space="preserve">Effective Interest Rate %</t>
  </si>
  <si>
    <t xml:space="preserve">Interest Expense</t>
  </si>
  <si>
    <t xml:space="preserve">Tax Schedule</t>
  </si>
  <si>
    <t xml:space="preserve">Profit Before Tax (from Income Statement)</t>
  </si>
  <si>
    <t xml:space="preserve">Total Tax Expense (= Current + Deferred)</t>
  </si>
  <si>
    <t xml:space="preserve">Current Tax Expense</t>
  </si>
  <si>
    <t xml:space="preserve">Deferred Tax Expense</t>
  </si>
  <si>
    <t xml:space="preserve">Beginning Deferred Tax Liability (Asset)</t>
  </si>
  <si>
    <t xml:space="preserve">(+) Deferred Tax Expense recognised in P&amp;L</t>
  </si>
  <si>
    <t xml:space="preserve">(+) Increase through Business Combinations</t>
  </si>
  <si>
    <t xml:space="preserve">Ending Deferred Tax Liability (Asset)</t>
  </si>
  <si>
    <t xml:space="preserve">Current Tax Rate -- Inclusion Flag (materially profitable &amp; plausible rate)</t>
  </si>
  <si>
    <t xml:space="preserve">Current Tax Rate (Current Tax / PBT), per year</t>
  </si>
  <si>
    <t xml:space="preserve">Beginning NOL Pool (= prior year Ending; FY-end start = |Ending DTA| / Statutory Rate)</t>
  </si>
  <si>
    <t xml:space="preserve">(-) NOL Utilised against positive Taxable Income</t>
  </si>
  <si>
    <t xml:space="preserve">(+) New Losses Added (if PBT negative)</t>
  </si>
  <si>
    <t xml:space="preserve">Ending NOL Pool</t>
  </si>
  <si>
    <t xml:space="preserve">Taxable Income = MAX(PBT - Beginning NOL, 0)</t>
  </si>
  <si>
    <t xml:space="preserve">Equity Schedule</t>
  </si>
  <si>
    <t xml:space="preserve">Equity Share Capital (held flat -- no new issuance assumed)</t>
  </si>
  <si>
    <t xml:space="preserve">Beginning Other Equity / Reserves</t>
  </si>
  <si>
    <t xml:space="preserve">(+) Profit for the year (= P&amp;L Schedule Net Income)</t>
  </si>
  <si>
    <t xml:space="preserve">(+/-) Other Comprehensive Income, net of tax</t>
  </si>
  <si>
    <t xml:space="preserve">(-) Dividends Paid</t>
  </si>
  <si>
    <t xml:space="preserve">(+/-) Other Non-Cash Equity Movements -- residual</t>
  </si>
  <si>
    <t xml:space="preserve">Ending Other Equity / Reserves</t>
  </si>
  <si>
    <t xml:space="preserve">Dividend Payout %, of Profit for the year</t>
  </si>
  <si>
    <t xml:space="preserve">Forecast Income Statement</t>
  </si>
  <si>
    <t xml:space="preserve">Line item</t>
  </si>
  <si>
    <t xml:space="preserve">(-) COGS</t>
  </si>
  <si>
    <t xml:space="preserve">(-) Employee Benefit Expense</t>
  </si>
  <si>
    <t xml:space="preserve">(-) Other Expenses</t>
  </si>
  <si>
    <t xml:space="preserve">(-) Depreciation &amp; Amortisation</t>
  </si>
  <si>
    <t xml:space="preserve">(+) Other Income</t>
  </si>
  <si>
    <t xml:space="preserve">(-) Interest Expense</t>
  </si>
  <si>
    <t xml:space="preserve">(-) Exceptional Items (historical only)</t>
  </si>
  <si>
    <t xml:space="preserve">Profit Before Tax</t>
  </si>
  <si>
    <t xml:space="preserve">(-) Total Tax Expense</t>
  </si>
  <si>
    <t xml:space="preserve">D&amp;A Uplift Ratio, per year (|Total D&amp;A| / |PP&amp;E Schedule Depreciation|)</t>
  </si>
  <si>
    <t xml:space="preserve">Finance Cost Uplift Ratio, per year (|Total Finance Costs| / |Debt Schedule Interest|)</t>
  </si>
  <si>
    <t xml:space="preserve">Country</t>
  </si>
  <si>
    <t xml:space="preserve">India</t>
  </si>
  <si>
    <t xml:space="preserve">Share Price (as of 26-Sep-2025)</t>
  </si>
  <si>
    <t xml:space="preserve">Shares Outstanding (as of 26-Sep-2025)</t>
  </si>
  <si>
    <t xml:space="preserve">Market Value of Equity</t>
  </si>
  <si>
    <t xml:space="preserve">Industry Sector</t>
  </si>
  <si>
    <t xml:space="preserve">Power</t>
  </si>
  <si>
    <t xml:space="preserve">Beta Source (options: Global, India, Emerging Markets)</t>
  </si>
  <si>
    <t xml:space="preserve">Global</t>
  </si>
  <si>
    <t xml:space="preserve">Sector Unlevered Beta</t>
  </si>
  <si>
    <t xml:space="preserve">This company's D/E (= Debt Schedule Target Debt/Cap)</t>
  </si>
  <si>
    <t xml:space="preserve">Marginal Tax Rate</t>
  </si>
  <si>
    <t xml:space="preserve">Relevered Beta</t>
  </si>
  <si>
    <t xml:space="preserve">India 10-Year G-Sec Yield (or local equivalent)</t>
  </si>
  <si>
    <t xml:space="preserve">Sovereign Default Spread (looked up by Country)</t>
  </si>
  <si>
    <t xml:space="preserve">Risk-Free Rate</t>
  </si>
  <si>
    <t xml:space="preserve">Total Equity Risk Premium (looked up by Country)</t>
  </si>
  <si>
    <t xml:space="preserve">Cost of Equity = Rf + Beta x ERP</t>
  </si>
  <si>
    <t xml:space="preserve">EBIT (last actual)</t>
  </si>
  <si>
    <t xml:space="preserve">Interest Expense (last actual)</t>
  </si>
  <si>
    <t xml:space="preserve">Interest Coverage Ratio</t>
  </si>
  <si>
    <t xml:space="preserve">Company Default Spread (looked up by Interest Coverage)</t>
  </si>
  <si>
    <t xml:space="preserve">Pre-tax Cost of Debt</t>
  </si>
  <si>
    <t xml:space="preserve">After-Tax Cost of Debt</t>
  </si>
  <si>
    <t xml:space="preserve">Book Value of Debt (last actual)</t>
  </si>
  <si>
    <t xml:space="preserve">Total Capital</t>
  </si>
  <si>
    <t xml:space="preserve">Weight of Equity</t>
  </si>
  <si>
    <t xml:space="preserve">Weight of Debt</t>
  </si>
  <si>
    <t xml:space="preserve">DCF Valuation -- Unlevered FCFF</t>
  </si>
  <si>
    <t xml:space="preserve">Effective Tax Rate (Tax Schedule)</t>
  </si>
  <si>
    <t xml:space="preserve">NOPAT</t>
  </si>
  <si>
    <t xml:space="preserve">(+) D&amp;A</t>
  </si>
  <si>
    <t xml:space="preserve">(-) Capex</t>
  </si>
  <si>
    <t xml:space="preserve">(+/-) Cash from Working Capital</t>
  </si>
  <si>
    <t xml:space="preserve">Unlevered FCFF</t>
  </si>
  <si>
    <t xml:space="preserve">Discount Factor</t>
  </si>
  <si>
    <t xml:space="preserve">PV of FCFF</t>
  </si>
  <si>
    <t xml:space="preserve">Sum of PV of Explicit FCFF</t>
  </si>
  <si>
    <t xml:space="preserve">Terminal Value (Value Driver Formula)</t>
  </si>
  <si>
    <t xml:space="preserve">Terminal Effective Tax Rate (= Statutory Rate)</t>
  </si>
  <si>
    <t xml:space="preserve">Terminal NOPAT</t>
  </si>
  <si>
    <t xml:space="preserve">Terminal Reinvestment Rate = g/WACC</t>
  </si>
  <si>
    <t xml:space="preserve">Terminal Value</t>
  </si>
  <si>
    <t xml:space="preserve">PV of Terminal Value</t>
  </si>
  <si>
    <t xml:space="preserve">Enterprise Value</t>
  </si>
  <si>
    <t xml:space="preserve">(-) Total Debt</t>
  </si>
  <si>
    <t xml:space="preserve">(+) Cash &amp; Equivalents</t>
  </si>
  <si>
    <t xml:space="preserve">Equity Value</t>
  </si>
  <si>
    <t xml:space="preserve">Implied Value Per Share</t>
  </si>
  <si>
    <t xml:space="preserve">Implied ROIC Check (diagnostic only -- does not feed the valuation above)</t>
  </si>
  <si>
    <t xml:space="preserve">Invested Capital, Beginning of Year (= prior year Net PP&amp;E + NWC)</t>
  </si>
  <si>
    <t xml:space="preserve">NOPAT (EBIT x (1 - Effective Tax Rate))</t>
  </si>
  <si>
    <t xml:space="preserve">Implied ROIC = NOPAT / Beginning Invested Capital</t>
  </si>
  <si>
    <t xml:space="preserve">Average Historical ROIC (last 3yr, for context)</t>
  </si>
  <si>
    <t xml:space="preserve">Table 1: WACC (rows) x Terminal Growth Rate (cols) -&gt; Implied Value/Share</t>
  </si>
  <si>
    <t xml:space="preserve">Table 2: Working Capital Efficiency Scale (rows) x WACC (cols) -&gt; Implied Value/Share</t>
  </si>
  <si>
    <t xml:space="preserve">WACC -&gt;</t>
  </si>
  <si>
    <t xml:space="preserve">Cash-from-WC scale (1.0 = base case)</t>
  </si>
  <si>
    <t xml:space="preserve">Table 3: Growth Fade Half-Life, years (rows) x WACC (cols) -&gt; Implied Value/Share</t>
  </si>
  <si>
    <t xml:space="preserve">Overrides the Half-Life INPUT cell in Inputs &amp; Assumptions for this table only -- illustrative, does not change the live model.</t>
  </si>
  <si>
    <t xml:space="preserve">Half-Life (years)</t>
  </si>
  <si>
    <t xml:space="preserve">Note: this table is illustrative only -- the model's revenue/PP&amp;E fade curves already depend on the live Half-Life driver cell, so a true re-run per half-life value requires changing that cell directly (Data Table limitation of independent-formula sensitivity tables).</t>
  </si>
  <si>
    <t xml:space="preserve">Growth Rate Methods -- Cross-Check Panel</t>
  </si>
  <si>
    <t xml:space="preserve">Each method below is one independent estimate of long-run growth. Review them side by side, then type your final judgment call into the Selected Growth Rate cell at the bottom -- and carry that number into the Revenue Schedule's own Terminal Growth Rate INPUT cell yourself. Nothing on this sheet feeds the model automatically.</t>
  </si>
  <si>
    <t xml:space="preserve">Method</t>
  </si>
  <si>
    <t xml:space="preserve">Value</t>
  </si>
  <si>
    <t xml:space="preserve">Notes / Source</t>
  </si>
  <si>
    <t xml:space="preserve">1. Historical Regression (this model's own Suggested driver)</t>
  </si>
  <si>
    <t xml:space="preserve">Backward-looking IQR-filtered historical revenue growth trend. No story behind the number -- a short or distorted history (e.g. a window spanning a demand shock) drags this straight down with it.</t>
  </si>
  <si>
    <t xml:space="preserve">2. Fundamental Growth (g = Reinvestment Rate x ROIC)</t>
  </si>
  <si>
    <t xml:space="preserve">Average Historical ROIC (from DCF sheet's Implied ROIC Check)</t>
  </si>
  <si>
    <t xml:space="preserve">Average Historical Reinvestment Rate (last 3yr)</t>
  </si>
  <si>
    <t xml:space="preserve">-&gt; Fundamental Growth Rate</t>
  </si>
  <si>
    <t xml:space="preserve">Damodaran's preferred method -- ties growth directly to how much capital is being reinvested and how productively it's being deployed, rather than extrapolating a trend line. Reinvestment Rate = (Capex - D&amp;A - Cash from WC) / NOPAT, averaged over the same window as the model's other historical averages.</t>
  </si>
  <si>
    <t xml:space="preserve">3. Analyst Consensus / Sell-Side Estimates</t>
  </si>
  <si>
    <t xml:space="preserve">INPUT: consensus FY+1 growth estimate as of the valuation date</t>
  </si>
  <si>
    <t xml:space="preserve">Source sell-side analyst estimates published around the valuation/announcement date -- this is literally 'what was knowable when the deal was priced.'</t>
  </si>
  <si>
    <t xml:space="preserve">4. Industry / Peer Growth Anchor</t>
  </si>
  <si>
    <t xml:space="preserve">INPUT: industry-body or peer-average growth figure</t>
  </si>
  <si>
    <t xml:space="preserve">Source an industry association (e.g. NASSCOM) or a peer-average growth rate for the same period, as an external sanity check against the company's own trend.</t>
  </si>
  <si>
    <t xml:space="preserve">5. Bottom-Up, Segment-by-Segment</t>
  </si>
  <si>
    <t xml:space="preserve">INPUT: your own segment-weighted roll-up growth rate</t>
  </si>
  <si>
    <t xml:space="preserve">Build each reporting segment's own growth trajectory separately (e.g. by vertical or geography) and roll them up, weighted by segment revenue share. More granular and more defensible, but not automatable -- segment structures differ too much company to company to generalize into a formula.</t>
  </si>
  <si>
    <t xml:space="preserve">6. Backlog / Contracted-Revenue-Based</t>
  </si>
  <si>
    <t xml:space="preserve">INPUT: unsatisfied performance obligations (backlog), latest FY</t>
  </si>
  <si>
    <t xml:space="preserve">From the notes to accounts -- Ind AS 115 'unsatisfied/remaining performance obligations' disclosure. The underlying XBRL concept (TransactionPriceAllocatedToRemainingPerformanceObligations) is real and generic, but this pipeline's extraction tag list doesn't pull it yet, so it's entered by hand here rather than faked as a live lookup.</t>
  </si>
  <si>
    <t xml:space="preserve">INPUT: % of backlog expected to convert within 1 year</t>
  </si>
  <si>
    <t xml:space="preserve">This split is almost always narrative disclosure, not a clean numeric tag -- read it off the same note.</t>
  </si>
  <si>
    <t xml:space="preserve">-&gt; Implied Next-FY Revenue Floor (backlog x %)</t>
  </si>
  <si>
    <t xml:space="preserve">-&gt; Implied Floor Growth (vs. latest FY actual total revenue)</t>
  </si>
  <si>
    <t xml:space="preserve">A floor, not a clean growth output -- the backlog figure only proves how much of next year's revenue is already contractually locked in, it says nothing about the revenue on top of that. Strong directional evidence when the floor growth is already double-digit, but do not treat it as the terminal growth rate itself.</t>
  </si>
  <si>
    <t xml:space="preserve">7. Market-Implied Growth Rate (Reverse-DCF)</t>
  </si>
  <si>
    <t xml:space="preserve">Back-solves: holding WACC and margins fixed, what growth rate makes Implied Value/Share equal the actual market price? Read the row below where Implied Value/Share crosses the market price shown at the top of the grid.</t>
  </si>
  <si>
    <t xml:space="preserve">Actual Market Price (for reference)</t>
  </si>
  <si>
    <t xml:space="preserve">Candidate Terminal Growth Rate</t>
  </si>
  <si>
    <t xml:space="preserve">Implied Value/Share</t>
  </si>
  <si>
    <t xml:space="preserve">Diff vs. Market Price</t>
  </si>
  <si>
    <t xml:space="preserve">Selected Growth Rate (your judgment call)</t>
  </si>
  <si>
    <t xml:space="preserve">Sasi's final judgment call (2026-08-25), applied to the fixed/corrected model: Terminal Growth 5%, Products/Services high-growth-period rate 35% flat (both INPUT overrides). Value/Share = Rs 52.00 vs market Rs 56.04.</t>
  </si>
  <si>
    <t xml:space="preserve">RAW DATA  →</t>
  </si>
  <si>
    <t xml:space="preserve">Raw units, no conversion applied -- source varies by year, see Output/XBRL_Files filenames (_MCA = MCA XBRL, _NSE = NSE Integrated Filing XBRL)</t>
  </si>
  <si>
    <t xml:space="preserve">Concept Tag</t>
  </si>
  <si>
    <t xml:space="preserve">RevenueFromOperations</t>
  </si>
  <si>
    <t xml:space="preserve">OtherIncome</t>
  </si>
  <si>
    <t xml:space="preserve">Income</t>
  </si>
  <si>
    <t xml:space="preserve">Expenses [Abstract]</t>
  </si>
  <si>
    <t xml:space="preserve">CostOfMaterialsConsumed</t>
  </si>
  <si>
    <t xml:space="preserve">PurchasesOfStockInTrade</t>
  </si>
  <si>
    <t xml:space="preserve">ChangesInInventoriesOfFinishedGoodsWorkInProgressAndStockInTrade</t>
  </si>
  <si>
    <t xml:space="preserve">Total employee benefit expense</t>
  </si>
  <si>
    <t xml:space="preserve">EmployeeBenefitExpense</t>
  </si>
  <si>
    <t xml:space="preserve">FinanceCosts</t>
  </si>
  <si>
    <t xml:space="preserve">Total depreciation, depletion and amortisation expense</t>
  </si>
  <si>
    <t xml:space="preserve">DepreciationDepletionAndAmortisationExpense</t>
  </si>
  <si>
    <t xml:space="preserve">OtherExpenses</t>
  </si>
  <si>
    <t xml:space="preserve">Total expenses</t>
  </si>
  <si>
    <t xml:space="preserve">Expenses</t>
  </si>
  <si>
    <t xml:space="preserve">Profit before exceptional items and tax</t>
  </si>
  <si>
    <t xml:space="preserve">ProfitBeforeExceptionalItemsAndTax</t>
  </si>
  <si>
    <t xml:space="preserve">ExceptionalItemsBeforeTax</t>
  </si>
  <si>
    <t xml:space="preserve">ProfitBeforeTax</t>
  </si>
  <si>
    <t xml:space="preserve">Tax expense [Abstract]</t>
  </si>
  <si>
    <t xml:space="preserve">CurrentTax</t>
  </si>
  <si>
    <t xml:space="preserve">DeferredTax</t>
  </si>
  <si>
    <t xml:space="preserve">TaxExpense</t>
  </si>
  <si>
    <t xml:space="preserve">Total profit (loss) for period from continuing operations</t>
  </si>
  <si>
    <t xml:space="preserve">ProfitLossForPeriodFromContinuingOperations</t>
  </si>
  <si>
    <t xml:space="preserve">Total share of profit (loss) of associates and joint ventures accounted for using equity method</t>
  </si>
  <si>
    <t xml:space="preserve">ShareOfProfitLossOfAssociatesAndJointVenturesAccountedForUsingEquityMethod</t>
  </si>
  <si>
    <t xml:space="preserve">Total profit (loss) for period</t>
  </si>
  <si>
    <t xml:space="preserve">ProfitLossForPeriod</t>
  </si>
  <si>
    <t xml:space="preserve">Profit or loss, attributable to owners of parent</t>
  </si>
  <si>
    <t xml:space="preserve">ProfitOrLossAttributableToOwnersOfParent</t>
  </si>
  <si>
    <t xml:space="preserve">Profit or loss, attributable to non-controlling interests</t>
  </si>
  <si>
    <t xml:space="preserve">ProfitOrLossAttributableToNonControllingInterests</t>
  </si>
  <si>
    <t xml:space="preserve">Comprehensive income OCI components presented net of tax [Abstract]</t>
  </si>
  <si>
    <t xml:space="preserve">Other comprehensive income net of tax [Abstract]</t>
  </si>
  <si>
    <t xml:space="preserve">Other comprehensive income that will not be reclassified to profit or loss, net of tax, others</t>
  </si>
  <si>
    <t xml:space="preserve">OtherComprehensiveIncomeThatWillNotBeReclassifiedToProfitOrLossNetOfTaxOthers</t>
  </si>
  <si>
    <t xml:space="preserve">Total other comprehensive income that will not be reclassified to profit or loss, net of tax</t>
  </si>
  <si>
    <t xml:space="preserve">OtherComprehensiveIncomeThatWillNotBeReclassifiedToProfitOrLossNetOfTax</t>
  </si>
  <si>
    <t xml:space="preserve">Other comprehensive income that will be reclassified to profit or loss, net of tax, others</t>
  </si>
  <si>
    <t xml:space="preserve">OtherComprehensiveIncomeThatWillBeReclassifiedToProfitOrLossNetOfTaxOthers</t>
  </si>
  <si>
    <t xml:space="preserve">Total other comprehensive income that will be reclassified to profit or loss, net of tax</t>
  </si>
  <si>
    <t xml:space="preserve">OtherComprehensiveIncomeThatWillBeReclassifiedToProfitOrLossNetOfTax</t>
  </si>
  <si>
    <t xml:space="preserve">Total other comprehensive income</t>
  </si>
  <si>
    <t xml:space="preserve">OtherComprehensiveIncome</t>
  </si>
  <si>
    <t xml:space="preserve">Other comprehensive income attributable to net of tax [Abstract]</t>
  </si>
  <si>
    <t xml:space="preserve">Total comprehensive income</t>
  </si>
  <si>
    <t xml:space="preserve">ComprehensiveIncome</t>
  </si>
  <si>
    <t xml:space="preserve">Comprehensive income attributable to net of tax [Abstract]</t>
  </si>
  <si>
    <t xml:space="preserve">Comprehensive income, attributable to owners of parent</t>
  </si>
  <si>
    <t xml:space="preserve">ComprehensiveIncomeAttributableToOwnersOfParent</t>
  </si>
  <si>
    <t xml:space="preserve">Comprehensive income, attributable to non-controlling interests</t>
  </si>
  <si>
    <t xml:space="preserve">ComprehensiveIncomeAttributableToNoncontrollingInterests</t>
  </si>
  <si>
    <t xml:space="preserve">Comprehensive income OCI components presented before tax [Abstract]</t>
  </si>
  <si>
    <t xml:space="preserve">Other comprehensive income before tax [Abstract]</t>
  </si>
  <si>
    <t xml:space="preserve">Other comprehensive income attributable to [Abstract]</t>
  </si>
  <si>
    <t xml:space="preserve">Comprehensive income attributable to [Abstract]</t>
  </si>
  <si>
    <t xml:space="preserve">Basic earnings per share [Abstract]</t>
  </si>
  <si>
    <t xml:space="preserve">Basic earnings (loss) per share from continuing operations</t>
  </si>
  <si>
    <t xml:space="preserve">BasicEarningsLossPerShareFromContinuingOperations</t>
  </si>
  <si>
    <t xml:space="preserve">Total basic earnings (loss) per share</t>
  </si>
  <si>
    <t xml:space="preserve">BasicEarningsLossPerShare</t>
  </si>
  <si>
    <t xml:space="preserve">Diluted earnings per share [Abstract]</t>
  </si>
  <si>
    <t xml:space="preserve">Diluted earnings (loss) per share from continuing operations</t>
  </si>
  <si>
    <t xml:space="preserve">DilutedEarningsLossPerShareFromContinuingOperations</t>
  </si>
  <si>
    <t xml:space="preserve">Total diluted earnings (loss) per share</t>
  </si>
  <si>
    <t xml:space="preserve">DilutedEarningsLossPerShare</t>
  </si>
  <si>
    <t xml:space="preserve">Additional disclosure on discontinued operations [Abstract]</t>
  </si>
  <si>
    <t xml:space="preserve">Earnings per share [Abstract]</t>
  </si>
  <si>
    <t xml:space="preserve">Earnings per share [Line items]</t>
  </si>
  <si>
    <t xml:space="preserve">PropertyPlantAndEquipment</t>
  </si>
  <si>
    <t xml:space="preserve">CapitalWorkInProgress</t>
  </si>
  <si>
    <t xml:space="preserve">InvestmentProperty</t>
  </si>
  <si>
    <t xml:space="preserve">Goodwill</t>
  </si>
  <si>
    <t xml:space="preserve">OtherIntangibleAssets</t>
  </si>
  <si>
    <t xml:space="preserve">IntangibleAssetsUnderDevelopment</t>
  </si>
  <si>
    <t xml:space="preserve">InvestmentsAccountedForUsingEquityMethod</t>
  </si>
  <si>
    <t xml:space="preserve">Non-current financial assets [Abstract]</t>
  </si>
  <si>
    <t xml:space="preserve">NoncurrentInvestments</t>
  </si>
  <si>
    <t xml:space="preserve">TradeReceivablesNoncurrent</t>
  </si>
  <si>
    <t xml:space="preserve">LoansNoncurrent</t>
  </si>
  <si>
    <t xml:space="preserve">OtherNoncurrentFinancialAssets</t>
  </si>
  <si>
    <t xml:space="preserve">NoncurrentFinancialAssets</t>
  </si>
  <si>
    <t xml:space="preserve">DeferredTaxAssetsNet</t>
  </si>
  <si>
    <t xml:space="preserve">OtherNoncurrentAssets</t>
  </si>
  <si>
    <t xml:space="preserve">Total non-current assets</t>
  </si>
  <si>
    <t xml:space="preserve">NoncurrentAssets</t>
  </si>
  <si>
    <t xml:space="preserve">Current assets [Abstract]</t>
  </si>
  <si>
    <t xml:space="preserve">Current financial assets [Abstract]</t>
  </si>
  <si>
    <t xml:space="preserve">CurrentInvestments</t>
  </si>
  <si>
    <t xml:space="preserve">TradeReceivablesCurrent</t>
  </si>
  <si>
    <t xml:space="preserve">CashAndCashEquivalents</t>
  </si>
  <si>
    <t xml:space="preserve">LoansCurrent</t>
  </si>
  <si>
    <t xml:space="preserve">OtherCurrentFinancialAssets</t>
  </si>
  <si>
    <t xml:space="preserve">CurrentFinancialAssets</t>
  </si>
  <si>
    <t xml:space="preserve">CurrentTaxAssetsCurrent</t>
  </si>
  <si>
    <t xml:space="preserve">OtherCurrentAssets</t>
  </si>
  <si>
    <t xml:space="preserve">Total current assets</t>
  </si>
  <si>
    <t xml:space="preserve">CurrentAssets</t>
  </si>
  <si>
    <t xml:space="preserve">NoncurrentAssetsOrDisposalGroupsClassifiedAsHeldForSaleOrAsHeldForDistributionToOwners</t>
  </si>
  <si>
    <t xml:space="preserve">Assets at end of period</t>
  </si>
  <si>
    <t xml:space="preserve">Assets</t>
  </si>
  <si>
    <t xml:space="preserve">Equity and liabilities [Abstract]</t>
  </si>
  <si>
    <t xml:space="preserve">Equity [Abstract]</t>
  </si>
  <si>
    <t xml:space="preserve">Equity attributable to owners of parent [Abstract]</t>
  </si>
  <si>
    <t xml:space="preserve">EquityShareCapital</t>
  </si>
  <si>
    <t xml:space="preserve">OtherEquity</t>
  </si>
  <si>
    <t xml:space="preserve">EquityAttributableToOwnersOfParent</t>
  </si>
  <si>
    <t xml:space="preserve">NonControllingInterest</t>
  </si>
  <si>
    <t xml:space="preserve">Liabilities [Abstract]</t>
  </si>
  <si>
    <t xml:space="preserve">Non-current liabilities [Abstract]</t>
  </si>
  <si>
    <t xml:space="preserve">Non-current financial liabilities [Abstract]</t>
  </si>
  <si>
    <t xml:space="preserve">BorrowingsNoncurrent</t>
  </si>
  <si>
    <t xml:space="preserve">OtherNoncurrentFinancialLiabilities</t>
  </si>
  <si>
    <t xml:space="preserve">NoncurrentFinancialLiabilities</t>
  </si>
  <si>
    <t xml:space="preserve">ProvisionsNoncurrent</t>
  </si>
  <si>
    <t xml:space="preserve">OtherNoncurrentLiabilities</t>
  </si>
  <si>
    <t xml:space="preserve">NoncurrentLiabilities</t>
  </si>
  <si>
    <t xml:space="preserve">Current liabilities [Abstract]</t>
  </si>
  <si>
    <t xml:space="preserve">Current financial liabilities [Abstract]</t>
  </si>
  <si>
    <t xml:space="preserve">BorrowingsCurrent</t>
  </si>
  <si>
    <t xml:space="preserve">Trade payables, current [Abstract]</t>
  </si>
  <si>
    <t xml:space="preserve">TradePayablesCurrent</t>
  </si>
  <si>
    <t xml:space="preserve">OtherCurrentFinancialLiabilities</t>
  </si>
  <si>
    <t xml:space="preserve">CurrentFinancialLiabilities</t>
  </si>
  <si>
    <t xml:space="preserve">OtherCurrentLiabilities</t>
  </si>
  <si>
    <t xml:space="preserve">ProvisionsCurrent</t>
  </si>
  <si>
    <t xml:space="preserve">CurrentTaxLiabilities</t>
  </si>
  <si>
    <t xml:space="preserve">CurrentLiabilities</t>
  </si>
  <si>
    <t xml:space="preserve">LiabilitiesDirectlyAssociatedWithAssetsInDisposalGroupClassifiedAsHeldForSale</t>
  </si>
  <si>
    <t xml:space="preserve">EquityAndLiabilities</t>
  </si>
  <si>
    <t xml:space="preserve">Cash flows from used in operating activities [Abstract]</t>
  </si>
  <si>
    <t xml:space="preserve">Adjustments for reconcile profit (loss) [Abstract]</t>
  </si>
  <si>
    <t xml:space="preserve">AdjustmentsForFinanceCosts</t>
  </si>
  <si>
    <t xml:space="preserve">AdjustmentsForDecreaseIncreaseInInventories</t>
  </si>
  <si>
    <t xml:space="preserve">AdjustmentsForDecreaseIncreaseInTradeReceivablesCurrent</t>
  </si>
  <si>
    <t xml:space="preserve">AdjustmentsForDecreaseIncreaseInOtherCurrentAssets</t>
  </si>
  <si>
    <t xml:space="preserve">AdjustmentsForOtherFinancialAssetsNoncurrent</t>
  </si>
  <si>
    <t xml:space="preserve">AdjustmentsForIncreaseDecreaseInOtherCurrentLiabilities</t>
  </si>
  <si>
    <t xml:space="preserve">AdjustmentsForDepreciationAndAmortisationExpense</t>
  </si>
  <si>
    <t xml:space="preserve">AdjustmentsForImpairmentLossReversalOfImpairmentLossRecognisedInProfitOrLoss</t>
  </si>
  <si>
    <t xml:space="preserve">AdjustmentsForOtherFinancialLiabilitiesNoncurrent</t>
  </si>
  <si>
    <t xml:space="preserve">AdjustmentsForUnrealisedForeignExchangeLossesGains</t>
  </si>
  <si>
    <t xml:space="preserve">AdjustmentsForInterestIncome</t>
  </si>
  <si>
    <t xml:space="preserve">AdjustmentsForSharebasedPayments</t>
  </si>
  <si>
    <t xml:space="preserve">OtherAdjustmentsForWhichCashEffectsAreInvestingOrFinancingCashFlow</t>
  </si>
  <si>
    <t xml:space="preserve">OtherAdjustmentsToReconcileProfitLoss</t>
  </si>
  <si>
    <t xml:space="preserve">OtherAdjustmentsForNoncashItems</t>
  </si>
  <si>
    <t xml:space="preserve">AdjustmentsForReconcileProfitLoss</t>
  </si>
  <si>
    <t xml:space="preserve">CashFlowsFromUsedInOperations</t>
  </si>
  <si>
    <t xml:space="preserve">IncomeTaxesPaidRefundClassifiedAsOperatingActivities</t>
  </si>
  <si>
    <t xml:space="preserve">CashFlowsFromUsedInOperatingActivities</t>
  </si>
  <si>
    <t xml:space="preserve">CashFlowsUsedInObtainingControlOfSubsidiariesOrOtherBusinessesClassifiedAsInvestingActivities</t>
  </si>
  <si>
    <t xml:space="preserve">OtherCashReceiptsFromSalesOfEquityOrDebtInstrumentsOfOtherEntitiesClassifiedAsInvestingActivities</t>
  </si>
  <si>
    <t xml:space="preserve">OtherCashPaymentsToAcquireEquityOrDebtInstrumentsOfOtherEntitiesClassifiedAsInvestingActivities</t>
  </si>
  <si>
    <t xml:space="preserve">OtherCashReceiptsFromSalesOfInterestsInJointVenturesClassifiedAsInvestingActivities</t>
  </si>
  <si>
    <t xml:space="preserve">ProceedsFromSalesOfPropertyPlantAndEquipmentClassifiedAsInvestingActivities</t>
  </si>
  <si>
    <t xml:space="preserve">PurchaseOfPropertyPlantAndEquipmentClassifiedAsInvestingActivities</t>
  </si>
  <si>
    <t xml:space="preserve">ProceedsFromSalesOfInvestmentPropertyClassifiedAsInvestingActivities</t>
  </si>
  <si>
    <t xml:space="preserve">PurchaseOfInvestmentPropertyClassifiedAsInvestingActivities</t>
  </si>
  <si>
    <t xml:space="preserve">InterestReceivedClassifiedAsInvestingActivities</t>
  </si>
  <si>
    <t xml:space="preserve">OtherInflowsOutflowsOfCashClassifiedAsInvestingActivities</t>
  </si>
  <si>
    <t xml:space="preserve">CashFlowsFromUsedInInvestingActivities</t>
  </si>
  <si>
    <t xml:space="preserve">ProceedsFromIssuingSharesClassifiedAsFinancingActivities</t>
  </si>
  <si>
    <t xml:space="preserve">ProceedsFromIssuingOtherEquityInstruments</t>
  </si>
  <si>
    <t xml:space="preserve">ProceedsFromIssuingDebenturesNotesBondsEtc</t>
  </si>
  <si>
    <t xml:space="preserve">ProceedsFromBorrowingsClassifiedAsFinancingActivities</t>
  </si>
  <si>
    <t xml:space="preserve">RepaymentsOfBorrowingsClassifiedAsFinancingActivities</t>
  </si>
  <si>
    <t xml:space="preserve">PaymentsOfLeaseLiabilitiesClassifiedAsFinancingActivities</t>
  </si>
  <si>
    <t xml:space="preserve">InterestPaidClassifiedAsFinancingActivities</t>
  </si>
  <si>
    <t xml:space="preserve">OtherInflowsOutflowsOfCashClassifiedAsFinancingActivities</t>
  </si>
  <si>
    <t xml:space="preserve">CashFlowsFromUsedInFinancingActivities</t>
  </si>
  <si>
    <t xml:space="preserve">IncreaseDecreaseInCashAndCashEquivalentsBeforeEffectOfExchangeRateChanges</t>
  </si>
  <si>
    <t xml:space="preserve">Effect of exchange rate changes on cash and cash equivalents [Abstract]</t>
  </si>
  <si>
    <t xml:space="preserve">EffectOfExchangeRateChangesOnCashAndCashEquivalents</t>
  </si>
  <si>
    <t xml:space="preserve">IncreaseDecreaseInCashAndCashEquivalents</t>
  </si>
  <si>
    <t xml:space="preserve">NOTES TO ACCOUNTS</t>
  </si>
  <si>
    <t xml:space="preserve">Notes to Statement of Profit and Loss: Additional Information Statement Of Profit And Loss</t>
  </si>
  <si>
    <t xml:space="preserve">Additional information on profit and loss account [Abstract]</t>
  </si>
  <si>
    <t xml:space="preserve">Material income and expense [Abstract]</t>
  </si>
  <si>
    <t xml:space="preserve">Write-downs (reversals of write-downs) of property, plant and equipment [Abstract]</t>
  </si>
  <si>
    <t xml:space="preserve">Impairment loss recognised in profit or loss, property, plant and equipment</t>
  </si>
  <si>
    <t xml:space="preserve">ImpairmentLossRecognisedInProfitOrLossPropertyPlantAndEquipment</t>
  </si>
  <si>
    <t xml:space="preserve">Reversal of impairment loss recognised in profit or loss, property, plant and equipment</t>
  </si>
  <si>
    <t xml:space="preserve">ReversalOfImpairmentLossRecognisedInProfitOrLossPropertyPlantAndEquipment</t>
  </si>
  <si>
    <t xml:space="preserve">Net write-downs (reversals of write-downs) of property, plant and equipment</t>
  </si>
  <si>
    <t xml:space="preserve">WritedownsReversalsOfPropertyPlantAndEquipment</t>
  </si>
  <si>
    <t xml:space="preserve">Share of profit (loss) of associates and joint ventures accounted for using equity method [Abstract]</t>
  </si>
  <si>
    <t xml:space="preserve">Share of profit (loss) of associates accounted for using equity method</t>
  </si>
  <si>
    <t xml:space="preserve">ShareOfProfitLossOfAssociatesAccountedForUsingEquityMethod</t>
  </si>
  <si>
    <t xml:space="preserve">Share of profit (loss) of joint ventures accounted for using equity method</t>
  </si>
  <si>
    <t xml:space="preserve">ShareOfProfitLossOfJointVenturesAccountedForUsingEquityMethod</t>
  </si>
  <si>
    <t xml:space="preserve">Changes in inventories of finished goods, work-in-progress and stock-in-trade [Abstract]</t>
  </si>
  <si>
    <t xml:space="preserve">Changes in other inventories</t>
  </si>
  <si>
    <t xml:space="preserve">ChangesInOtherInventories</t>
  </si>
  <si>
    <t xml:space="preserve">Details of exceptional items [Abstract]</t>
  </si>
  <si>
    <t xml:space="preserve">Exceptional items after tax [Abstract]</t>
  </si>
  <si>
    <t xml:space="preserve">Total exceptional items</t>
  </si>
  <si>
    <t xml:space="preserve">ExceptionalItems</t>
  </si>
  <si>
    <t xml:space="preserve">Details of cost incurred for issuing options or shares under employee stock option or stock purchase scheme [Abstract]</t>
  </si>
  <si>
    <t xml:space="preserve">Revenue from sale of products [Abstract]</t>
  </si>
  <si>
    <t xml:space="preserve">Total revenue from sale of products</t>
  </si>
  <si>
    <t xml:space="preserve">RevenueFromSaleOfProducts</t>
  </si>
  <si>
    <t xml:space="preserve">Revenue from sale of services [Abstract]</t>
  </si>
  <si>
    <t xml:space="preserve">Total revenue from sale of services</t>
  </si>
  <si>
    <t xml:space="preserve">RevenueFromSaleOfServices</t>
  </si>
  <si>
    <t xml:space="preserve">Notes to Statement of Profit and Loss: Earnings Per Share</t>
  </si>
  <si>
    <t xml:space="preserve">Profit (loss), attributable to ordinary equity holders of parent entity [Abstract]</t>
  </si>
  <si>
    <t xml:space="preserve">Profit (loss), attributable to ordinary equity holders of parent entity, used in calculating basic earnings per share</t>
  </si>
  <si>
    <t xml:space="preserve">ProfitLossAttributableToOrdinaryEquityHoldersOfParentEntity</t>
  </si>
  <si>
    <t xml:space="preserve">Profit (loss), attributable to ordinary equity holders of parent entity, used in calculating diluted earnings per share</t>
  </si>
  <si>
    <t xml:space="preserve">ProfitLossAttributableToOrdinaryEquityHoldersOfParentEntityIncludingDilutiveEffects</t>
  </si>
  <si>
    <t xml:space="preserve">Weighted average shares and adjusted weighted average shares [Abstract]</t>
  </si>
  <si>
    <t xml:space="preserve">Weighted average number of ordinary shares outstanding</t>
  </si>
  <si>
    <t xml:space="preserve">WeightedAverageShares</t>
  </si>
  <si>
    <t xml:space="preserve">Adjusted weighted average shares</t>
  </si>
  <si>
    <t xml:space="preserve">AdjustedWeightedAverageShares</t>
  </si>
  <si>
    <t xml:space="preserve">Adjustments to reconcile profit (loss) to numerator used in calculating earnings per share [abstract]</t>
  </si>
  <si>
    <t xml:space="preserve">Participating equity instruments other than ordinary shares [abstract]</t>
  </si>
  <si>
    <t xml:space="preserve">Disclosure of depositary receipts [abstract]</t>
  </si>
  <si>
    <t xml:space="preserve">Disclosure of depositary receipts [Line items]</t>
  </si>
  <si>
    <t xml:space="preserve">Notes to Statement of Profit and Loss: Income Taxes</t>
  </si>
  <si>
    <t xml:space="preserve">Major components of tax expense (income) [Abstract]</t>
  </si>
  <si>
    <t xml:space="preserve">Current tax expense (income) and adjustments for current tax of prior periods [Abstract]</t>
  </si>
  <si>
    <t xml:space="preserve">Current tax expense (income)</t>
  </si>
  <si>
    <t xml:space="preserve">CurrentTaxExpenseIncome</t>
  </si>
  <si>
    <t xml:space="preserve">Adjustments for current tax of prior periods</t>
  </si>
  <si>
    <t xml:space="preserve">AdjustmentsForCurrentTaxOfPriorPeriod</t>
  </si>
  <si>
    <t xml:space="preserve">Total current tax expense (income) and adjustments for current tax of prior periods</t>
  </si>
  <si>
    <t xml:space="preserve">CurrentTaxExpenseIncomeAndAdjustmentsForCurrentTaxOfPriorPeriods</t>
  </si>
  <si>
    <t xml:space="preserve">Deferred tax expense (income) relating to origination and reversal of temporary differences</t>
  </si>
  <si>
    <t xml:space="preserve">DeferredTaxExpenseIncomeRelatingToOriginationAndReversalOfTemporaryDifferences</t>
  </si>
  <si>
    <t xml:space="preserve">Deferred tax expense arising from write-down or reversal of write-down of deferred tax Assets</t>
  </si>
  <si>
    <t xml:space="preserve">DeferredTaxExpenseArisingFromWritedownOrReversalOfWritedownOfDeferredTaxAssets</t>
  </si>
  <si>
    <t xml:space="preserve">Total tax expense (income)</t>
  </si>
  <si>
    <t xml:space="preserve">IncomeTaxExpenseContinuingOperations</t>
  </si>
  <si>
    <t xml:space="preserve">Disclosure of temporary difference, unused tax losses and unused tax credits [Abstract]</t>
  </si>
  <si>
    <t xml:space="preserve">Disclosure of temporary difference, unused tax losses and unused tax credits [Line items]</t>
  </si>
  <si>
    <t xml:space="preserve">Deferred tax assets and liabilities [Abstract]</t>
  </si>
  <si>
    <t xml:space="preserve">Deferred tax assets</t>
  </si>
  <si>
    <t xml:space="preserve">DeferredTaxAssets</t>
  </si>
  <si>
    <t xml:space="preserve">Deferred tax liability (assets) at end of period</t>
  </si>
  <si>
    <t xml:space="preserve">DeferredTaxLiabilityAssets</t>
  </si>
  <si>
    <t xml:space="preserve">Net deferred tax assets and liabilities [Abstract]</t>
  </si>
  <si>
    <t xml:space="preserve">Net deferred tax assets</t>
  </si>
  <si>
    <t xml:space="preserve">NetDeferredTaxAssets</t>
  </si>
  <si>
    <t xml:space="preserve">Deferred tax expense (income) [Abstract]</t>
  </si>
  <si>
    <t xml:space="preserve">Deferred tax expense (income) recognised in profit or loss</t>
  </si>
  <si>
    <t xml:space="preserve">DeferredTaxExpenseIncomeRecognisedInProfitOrLoss</t>
  </si>
  <si>
    <t xml:space="preserve">Reconciliation of changes in deferred tax liability (assets) [Abstract]</t>
  </si>
  <si>
    <t xml:space="preserve">Changes in deferred tax liability (assets) [Abstract]</t>
  </si>
  <si>
    <t xml:space="preserve">Increase (decrease) through business combinations, deferred tax liability (assets)</t>
  </si>
  <si>
    <t xml:space="preserve">IncreaseDecreaseThroughBusinessCombinationsDeferredTaxLiabilityAssets</t>
  </si>
  <si>
    <t xml:space="preserve">Total increase (decrease) in deferred tax liability (assets)</t>
  </si>
  <si>
    <t xml:space="preserve">IncreaseDecreaseInDeferredTaxLiabilityAssets</t>
  </si>
  <si>
    <t xml:space="preserve">Reconciliation of accounting profit multiplied by applicable tax rates [Abstract]</t>
  </si>
  <si>
    <t xml:space="preserve">Accounting profit</t>
  </si>
  <si>
    <t xml:space="preserve">AccountingProfit</t>
  </si>
  <si>
    <t xml:space="preserve">Tax expense (income) at applicable tax rate</t>
  </si>
  <si>
    <t xml:space="preserve">TaxExpenseIncomeAtApplicableTaxRate</t>
  </si>
  <si>
    <t xml:space="preserve">Tax effect of revenues exempt from taxation</t>
  </si>
  <si>
    <t xml:space="preserve">TaxEffectOfRevenuesExemptFromTaxation2011</t>
  </si>
  <si>
    <t xml:space="preserve">Tax effect of expense not deductible in determining taxable profit (tax loss)</t>
  </si>
  <si>
    <t xml:space="preserve">TaxEffectOfExpenseNotDeductibleInDeterminingTaxableProfitTaxLoss</t>
  </si>
  <si>
    <t xml:space="preserve">Tax effect of tax losses</t>
  </si>
  <si>
    <t xml:space="preserve">TaxEffectOfTaxLosses</t>
  </si>
  <si>
    <t xml:space="preserve">Tax effect from change in tax rate</t>
  </si>
  <si>
    <t xml:space="preserve">TaxEffectFromChangeInTaxRate</t>
  </si>
  <si>
    <t xml:space="preserve">Other tax effects for reconciliation between accounting profit and tax expense (income)</t>
  </si>
  <si>
    <t xml:space="preserve">OtherTaxEffectsForReconciliationBetweenAccountingProfitAndTaxExpenseIncome</t>
  </si>
  <si>
    <t xml:space="preserve">Reconciliation of average effective tax rate and applicable tax rate [Abstract]</t>
  </si>
  <si>
    <t xml:space="preserve">Applicable tax rate</t>
  </si>
  <si>
    <t xml:space="preserve">ApplicableTaxRate</t>
  </si>
  <si>
    <t xml:space="preserve">Total average effective tax rate</t>
  </si>
  <si>
    <t xml:space="preserve">AverageEffectiveTaxRate</t>
  </si>
  <si>
    <t xml:space="preserve">Notes to Statement of Profit and Loss: Subclassification And Notes On Income And Expenses</t>
  </si>
  <si>
    <t xml:space="preserve">Disclosure of revenue from operations [Abstract]</t>
  </si>
  <si>
    <t xml:space="preserve">Disclosure of revenue from operations for other than finance company [Abstract]</t>
  </si>
  <si>
    <t xml:space="preserve">Total other operating revenues</t>
  </si>
  <si>
    <t xml:space="preserve">OtherOperatingRevenues</t>
  </si>
  <si>
    <t xml:space="preserve">Total revenue from operations other than finance company</t>
  </si>
  <si>
    <t xml:space="preserve">RevenueFromOperationsOtherThanFinanceCompany</t>
  </si>
  <si>
    <t xml:space="preserve">Disclosure of other operating revenues [Abstract]</t>
  </si>
  <si>
    <t xml:space="preserve">Other operating revenues [Abstract]</t>
  </si>
  <si>
    <t xml:space="preserve">Miscellaneous other operating revenues</t>
  </si>
  <si>
    <t xml:space="preserve">MiscellaneousOtherOperatingRevenues</t>
  </si>
  <si>
    <t xml:space="preserve">Miscellaneous other operating revenues [Abstract]</t>
  </si>
  <si>
    <t xml:space="preserve">Miscellaneous other operating revenues [Line Items]</t>
  </si>
  <si>
    <t xml:space="preserve">Disclosure of other income [Abstract]</t>
  </si>
  <si>
    <t xml:space="preserve">Interest income [Abstract]</t>
  </si>
  <si>
    <t xml:space="preserve">Interest income on current investments [Abstract]</t>
  </si>
  <si>
    <t xml:space="preserve">Interest on fixed deposits, current investments</t>
  </si>
  <si>
    <t xml:space="preserve">InterestOnFixedDepositsCurrentInvestments</t>
  </si>
  <si>
    <t xml:space="preserve">Interest on current intercorporate deposits</t>
  </si>
  <si>
    <t xml:space="preserve">InterestOnCurrentIntercorporateDeposits</t>
  </si>
  <si>
    <t xml:space="preserve">Interest on other current investments</t>
  </si>
  <si>
    <t xml:space="preserve">InterestOnOtherCurrentInvestments</t>
  </si>
  <si>
    <t xml:space="preserve">Total interest income on current investments</t>
  </si>
  <si>
    <t xml:space="preserve">InterestIncomeOnCurrentInvestments</t>
  </si>
  <si>
    <t xml:space="preserve">Total interest income</t>
  </si>
  <si>
    <t xml:space="preserve">InterestIncome</t>
  </si>
  <si>
    <t xml:space="preserve">Net gain/loss on sale of investments [Abstract]</t>
  </si>
  <si>
    <t xml:space="preserve">Net gain/loss on sale of current investments</t>
  </si>
  <si>
    <t xml:space="preserve">NetGainLossOnSaleOfCurrentInvestments</t>
  </si>
  <si>
    <t xml:space="preserve">Total net gain/loss on sale of investments</t>
  </si>
  <si>
    <t xml:space="preserve">NetGainLossOnSaleOfInvestments</t>
  </si>
  <si>
    <t xml:space="preserve">Other non-operating income [Abstract]</t>
  </si>
  <si>
    <t xml:space="preserve">Amount credited to profit and loss as transfer from revaluation reserve on account of additional depreciation charged on revalued tangible assets</t>
  </si>
  <si>
    <t xml:space="preserve">AmountCreditedToProfitAndLossAsTransferFromRevaluationReserveOnAccountOfAdditionalDepreciationChargedOnRevaluedTangibleAssets</t>
  </si>
  <si>
    <t xml:space="preserve">Miscellaneous other non-operating income</t>
  </si>
  <si>
    <t xml:space="preserve">MiscellaneousOtherNonoperatingIncome</t>
  </si>
  <si>
    <t xml:space="preserve">Total other non-operating income</t>
  </si>
  <si>
    <t xml:space="preserve">OtherNonoperatingIncome</t>
  </si>
  <si>
    <t xml:space="preserve">Disclosure of finance cost [Abstract]</t>
  </si>
  <si>
    <t xml:space="preserve">Interest expense [Abstract]</t>
  </si>
  <si>
    <t xml:space="preserve">Other interest charges</t>
  </si>
  <si>
    <t xml:space="preserve">OtherInterestCharges</t>
  </si>
  <si>
    <t xml:space="preserve">Total interest expense</t>
  </si>
  <si>
    <t xml:space="preserve">InterestExpense</t>
  </si>
  <si>
    <t xml:space="preserve">Other borrowing costs</t>
  </si>
  <si>
    <t xml:space="preserve">OtherBorrowingCosts</t>
  </si>
  <si>
    <t xml:space="preserve">Net gain/loss on foreign currency transactions and translations treated as finance costs</t>
  </si>
  <si>
    <t xml:space="preserve">NetGainLossOnForeignCurrencyTransactionsAndTranslationsTreatedAsFinanceCosts</t>
  </si>
  <si>
    <t xml:space="preserve">Employee benefit expense [Abstract]</t>
  </si>
  <si>
    <t xml:space="preserve">Salaries and wages</t>
  </si>
  <si>
    <t xml:space="preserve">SalariesAndWages</t>
  </si>
  <si>
    <t xml:space="preserve">Contribution to provident and other funds [Abstract]</t>
  </si>
  <si>
    <t xml:space="preserve">Contribution to provident and other funds for others</t>
  </si>
  <si>
    <t xml:space="preserve">ContributionToProvidentAndOtherFundsForOthers</t>
  </si>
  <si>
    <t xml:space="preserve">Total contribution to provident and other funds</t>
  </si>
  <si>
    <t xml:space="preserve">ContributionToProvidentAndOtherFunds</t>
  </si>
  <si>
    <t xml:space="preserve">Employee share based payment [Abstract]</t>
  </si>
  <si>
    <t xml:space="preserve">Employee share based payment- Equity settled</t>
  </si>
  <si>
    <t xml:space="preserve">EmployeeShareBasedPaymentEquitySettled</t>
  </si>
  <si>
    <t xml:space="preserve">Total employee share based payment</t>
  </si>
  <si>
    <t xml:space="preserve">EmployeeShareBasedPayment</t>
  </si>
  <si>
    <t xml:space="preserve">Gratuity</t>
  </si>
  <si>
    <t xml:space="preserve">Staff welfare expense</t>
  </si>
  <si>
    <t xml:space="preserve">StaffWelfareExpense</t>
  </si>
  <si>
    <t xml:space="preserve">Depreciation, depletion and amortisation expense [Abstract]</t>
  </si>
  <si>
    <t xml:space="preserve">Depreciation expense</t>
  </si>
  <si>
    <t xml:space="preserve">DepreciationExpense</t>
  </si>
  <si>
    <t xml:space="preserve">Amortisation expense</t>
  </si>
  <si>
    <t xml:space="preserve">AmortisationExpense</t>
  </si>
  <si>
    <t xml:space="preserve">Breakup of other expenses [Abstract]</t>
  </si>
  <si>
    <t xml:space="preserve">Consumption of stores and spare parts</t>
  </si>
  <si>
    <t xml:space="preserve">ConsumptionOfStoresAndSpareParts</t>
  </si>
  <si>
    <t xml:space="preserve">Power and fuel</t>
  </si>
  <si>
    <t xml:space="preserve">PowerAndFuel</t>
  </si>
  <si>
    <t xml:space="preserve">Rent</t>
  </si>
  <si>
    <t xml:space="preserve">Repairs to building</t>
  </si>
  <si>
    <t xml:space="preserve">RepairsToBuilding</t>
  </si>
  <si>
    <t xml:space="preserve">Repairs to machinery</t>
  </si>
  <si>
    <t xml:space="preserve">RepairsToMachinery</t>
  </si>
  <si>
    <t xml:space="preserve">Insurance</t>
  </si>
  <si>
    <t xml:space="preserve">Rates and taxes excluding taxes on income [Abstract]</t>
  </si>
  <si>
    <t xml:space="preserve">Other cess taxes</t>
  </si>
  <si>
    <t xml:space="preserve">OtherCessTaxes</t>
  </si>
  <si>
    <t xml:space="preserve">Total rates and taxes excluding taxes on income</t>
  </si>
  <si>
    <t xml:space="preserve">RatesAndTaxesExcludingTaxesOnIncome</t>
  </si>
  <si>
    <t xml:space="preserve">Research development expenditure</t>
  </si>
  <si>
    <t xml:space="preserve">ResearchDevelopmentExpenditure</t>
  </si>
  <si>
    <t xml:space="preserve">Telephone postage</t>
  </si>
  <si>
    <t xml:space="preserve">TelephonePostage</t>
  </si>
  <si>
    <t xml:space="preserve">Travelling conveyance</t>
  </si>
  <si>
    <t xml:space="preserve">TravellingConveyance</t>
  </si>
  <si>
    <t xml:space="preserve">Donations subscriptions</t>
  </si>
  <si>
    <t xml:space="preserve">DonationsSubscriptions</t>
  </si>
  <si>
    <t xml:space="preserve">Advertising promotional expenses</t>
  </si>
  <si>
    <t xml:space="preserve">AdvertisingPromotionalExpenses</t>
  </si>
  <si>
    <t xml:space="preserve">Commission paid other selling agents</t>
  </si>
  <si>
    <t xml:space="preserve">CommissionPaidOtherSellingAgents</t>
  </si>
  <si>
    <t xml:space="preserve">Secondary packing expenses</t>
  </si>
  <si>
    <t xml:space="preserve">SecondaryPackingExpenses</t>
  </si>
  <si>
    <t xml:space="preserve">Loss on disposal, discard, demolishment and destruction of depreciable property plant and equipment</t>
  </si>
  <si>
    <t xml:space="preserve">LossOnDisposalDiscardDemolishmentAndDestructionOfDepreciablePropertyPlantAndEquipment</t>
  </si>
  <si>
    <t xml:space="preserve">Payments to auditor [Abstract]</t>
  </si>
  <si>
    <t xml:space="preserve">Payment for audit services</t>
  </si>
  <si>
    <t xml:space="preserve">PaymentForAuditServices</t>
  </si>
  <si>
    <t xml:space="preserve">Total payments to auditor</t>
  </si>
  <si>
    <t xml:space="preserve">PaymentsToAuditor</t>
  </si>
  <si>
    <t xml:space="preserve">Miscellaneous expenses</t>
  </si>
  <si>
    <t xml:space="preserve">MiscellaneousExpenses</t>
  </si>
  <si>
    <t xml:space="preserve">Current tax [Abstract]</t>
  </si>
  <si>
    <t xml:space="preserve">Current tax pertaining to previous years</t>
  </si>
  <si>
    <t xml:space="preserve">CurrentTaxPertainingToPreviousYears</t>
  </si>
  <si>
    <t xml:space="preserve">Current tax pertaining to current year</t>
  </si>
  <si>
    <t xml:space="preserve">CurrentTaxPertainingToCurrentYear</t>
  </si>
  <si>
    <t xml:space="preserve">Additional Items (Taxonomy Vintage 2017-03-31)</t>
  </si>
  <si>
    <t xml:space="preserve">Site labour supervision cost contracts</t>
  </si>
  <si>
    <t xml:space="preserve">SiteLabourSupervisionCostContracts</t>
  </si>
  <si>
    <t xml:space="preserve">Total contract cost</t>
  </si>
  <si>
    <t xml:space="preserve">ContractCost</t>
  </si>
  <si>
    <t xml:space="preserve">Notes to Balance Sheet: Additional Disclosures On Balance Sheet</t>
  </si>
  <si>
    <t xml:space="preserve">Additional balance sheet notes [Abstract]</t>
  </si>
  <si>
    <t xml:space="preserve">Contingent liabilities and commitments [Abstract]</t>
  </si>
  <si>
    <t xml:space="preserve">Classification of contingent liabilities [Abstract]</t>
  </si>
  <si>
    <t xml:space="preserve">Claims against company not acknowledged as debt</t>
  </si>
  <si>
    <t xml:space="preserve">ClaimsAgainstCompanyNotAcknowledgedAsDebt</t>
  </si>
  <si>
    <t xml:space="preserve">Guarantees</t>
  </si>
  <si>
    <t xml:space="preserve">Other money for which company is contingently liable</t>
  </si>
  <si>
    <t xml:space="preserve">OtherMoneyForWhichCompanyIsContingentlyLiable</t>
  </si>
  <si>
    <t xml:space="preserve">Total contingent liabilities</t>
  </si>
  <si>
    <t xml:space="preserve">ContingentLiabilities</t>
  </si>
  <si>
    <t xml:space="preserve">Classification of commitments [Abstract]</t>
  </si>
  <si>
    <t xml:space="preserve">Estimated amount of contracts remaining to be executed on capital account and not provided for</t>
  </si>
  <si>
    <t xml:space="preserve">EstimatedAmountOfContractsRemainingToBeExecutedOnCapitalAccountAndNotProvidedFor</t>
  </si>
  <si>
    <t xml:space="preserve">Other commitments</t>
  </si>
  <si>
    <t xml:space="preserve">OtherCommitments</t>
  </si>
  <si>
    <t xml:space="preserve">Total commitments</t>
  </si>
  <si>
    <t xml:space="preserve">Commitments</t>
  </si>
  <si>
    <t xml:space="preserve">Total contingent liabilities and commitments</t>
  </si>
  <si>
    <t xml:space="preserve">ContingentLiabilitiesAndCommitments</t>
  </si>
  <si>
    <t xml:space="preserve">Additional regulatory information [Abstract]</t>
  </si>
  <si>
    <t xml:space="preserve">Notes to Balance Sheet: Current Investments</t>
  </si>
  <si>
    <t xml:space="preserve">Current investments [Abstract]</t>
  </si>
  <si>
    <t xml:space="preserve">Disclosure of details of current investments [Abstract]</t>
  </si>
  <si>
    <t xml:space="preserve">Details of current investments [Line items]</t>
  </si>
  <si>
    <t xml:space="preserve">Aggregate amount of quoted current investments</t>
  </si>
  <si>
    <t xml:space="preserve">AggregateAmountOfQuotedCurrentInvestments</t>
  </si>
  <si>
    <t xml:space="preserve">Market value of quoted current investments</t>
  </si>
  <si>
    <t xml:space="preserve">MarketValueOfQuotedCurrentInvestments</t>
  </si>
  <si>
    <t xml:space="preserve">Aggregate amount of unquoted current investments</t>
  </si>
  <si>
    <t xml:space="preserve">AggregateAmountOfUnquotedCurrentInvestments</t>
  </si>
  <si>
    <t xml:space="preserve">Notes to Balance Sheet: Equity Share Capital</t>
  </si>
  <si>
    <t xml:space="preserve">Disclosure of classes of equity share capital [Abstract]</t>
  </si>
  <si>
    <t xml:space="preserve">Disclosure of classes of equity share capital [Line items]</t>
  </si>
  <si>
    <t xml:space="preserve">Number of shares authorised</t>
  </si>
  <si>
    <t xml:space="preserve">NumberOfSharesAuthorised</t>
  </si>
  <si>
    <t xml:space="preserve">Value of shares authorised</t>
  </si>
  <si>
    <t xml:space="preserve">ValueOfSharesAuthorised</t>
  </si>
  <si>
    <t xml:space="preserve">Number of shares issued</t>
  </si>
  <si>
    <t xml:space="preserve">NumberOfSharesIssued</t>
  </si>
  <si>
    <t xml:space="preserve">Value of shares issued</t>
  </si>
  <si>
    <t xml:space="preserve">ValueOfSharesIssued</t>
  </si>
  <si>
    <t xml:space="preserve">Number of shares subscribed and fully paid</t>
  </si>
  <si>
    <t xml:space="preserve">NumberOfSharesSubscribedAndFullyPaid</t>
  </si>
  <si>
    <t xml:space="preserve">Value of shares subscribed and fully paid</t>
  </si>
  <si>
    <t xml:space="preserve">ValueOfSharesSubscribedAndFullyPaid</t>
  </si>
  <si>
    <t xml:space="preserve">Number of shares subscribed but not fully paid</t>
  </si>
  <si>
    <t xml:space="preserve">NumberOfSharesSubscribedButNotFullyPaid</t>
  </si>
  <si>
    <t xml:space="preserve">Value of shares subscribed but not fully paid</t>
  </si>
  <si>
    <t xml:space="preserve">ValueOfSharesSubscribedButNotFullyPaid</t>
  </si>
  <si>
    <t xml:space="preserve">Total number of shares subscribed</t>
  </si>
  <si>
    <t xml:space="preserve">NumberOfSharesSubscribed</t>
  </si>
  <si>
    <t xml:space="preserve">Total value of shares subscribed</t>
  </si>
  <si>
    <t xml:space="preserve">ValueOfSharesSubscribed</t>
  </si>
  <si>
    <t xml:space="preserve">Value of shares paid-up [Abstract]</t>
  </si>
  <si>
    <t xml:space="preserve">Number of shares paid-up</t>
  </si>
  <si>
    <t xml:space="preserve">NumberOfSharesPaidUp</t>
  </si>
  <si>
    <t xml:space="preserve">Value of shares called</t>
  </si>
  <si>
    <t xml:space="preserve">ValueOfSharesCalled</t>
  </si>
  <si>
    <t xml:space="preserve">Forfeited shares</t>
  </si>
  <si>
    <t xml:space="preserve">ForfeitedShares</t>
  </si>
  <si>
    <t xml:space="preserve">Value of shares paid-up</t>
  </si>
  <si>
    <t xml:space="preserve">ValueOfSharesPaidUp</t>
  </si>
  <si>
    <t xml:space="preserve">Reconciliation of number of shares outstanding [Abstract]</t>
  </si>
  <si>
    <t xml:space="preserve">Number of shares outstanding at end of period</t>
  </si>
  <si>
    <t xml:space="preserve">NumberOfSharesOutstanding</t>
  </si>
  <si>
    <t xml:space="preserve">Changes in number of shares outstanding [Abstract]</t>
  </si>
  <si>
    <t xml:space="preserve">Increase in number of shares outstanding [Abstract]</t>
  </si>
  <si>
    <t xml:space="preserve">Total aggregate number of shares issued during period</t>
  </si>
  <si>
    <t xml:space="preserve">AggregateNumberOfSharesIssuedDuringPeriod</t>
  </si>
  <si>
    <t xml:space="preserve">Decrease in number of shares during period [Abstract]</t>
  </si>
  <si>
    <t xml:space="preserve">Total decrease in number of shares during period</t>
  </si>
  <si>
    <t xml:space="preserve">DecreaseInNumberOfSharesDuringPeriod</t>
  </si>
  <si>
    <t xml:space="preserve">Total increase (decrease) in number of shares outstanding</t>
  </si>
  <si>
    <t xml:space="preserve">IncreaseDecreaseInNumberOfSharesOutstanding</t>
  </si>
  <si>
    <t xml:space="preserve">Reconciliation of value of shares outstanding [Abstract]</t>
  </si>
  <si>
    <t xml:space="preserve">Changes in equity share capital [Abstract]</t>
  </si>
  <si>
    <t xml:space="preserve">Increase in equity share capital during period [Abstract]</t>
  </si>
  <si>
    <t xml:space="preserve">Amount of rights issue during period</t>
  </si>
  <si>
    <t xml:space="preserve">AmountOfRightsIssueDuringPeriod</t>
  </si>
  <si>
    <t xml:space="preserve">Amount of preferential allotment issue arising out of conversion of debentures preference shares during period</t>
  </si>
  <si>
    <t xml:space="preserve">AmountOfPreferentialAllotmentIssueArisingOutOfConversionOfDebenturesPreferenceSharesDuringPeriod</t>
  </si>
  <si>
    <t xml:space="preserve">Amount of other preferential allotment issue during period</t>
  </si>
  <si>
    <t xml:space="preserve">AmountOfOtherPreferentialAllotmentIssueDuringPeriod</t>
  </si>
  <si>
    <t xml:space="preserve">Amount of other issues during period</t>
  </si>
  <si>
    <t xml:space="preserve">AmountOfOtherIssuesDuringPeriod</t>
  </si>
  <si>
    <t xml:space="preserve">Amount of shares issued under employee stock option plan</t>
  </si>
  <si>
    <t xml:space="preserve">AmountOfSharesIssuedUnderEmployeeStockOptionPlan</t>
  </si>
  <si>
    <t xml:space="preserve">Amount of other issue arising out of conversion of securities during period</t>
  </si>
  <si>
    <t xml:space="preserve">AmountOfOtherIssueArisingOutOfConversionOfSecuritiesDuringPeriod</t>
  </si>
  <si>
    <t xml:space="preserve">Total aggregate amount of increase in equity share capital during period</t>
  </si>
  <si>
    <t xml:space="preserve">AggregateAmountOfIncreaseInEquityShareCapitalDuringPeriod</t>
  </si>
  <si>
    <t xml:space="preserve">Decrease in equity share capital during period [Abstract]</t>
  </si>
  <si>
    <t xml:space="preserve">Other decrease in amount of shares</t>
  </si>
  <si>
    <t xml:space="preserve">OtherDecreaseInAmountOfShares</t>
  </si>
  <si>
    <t xml:space="preserve">Total decrease in equity share capital during period</t>
  </si>
  <si>
    <t xml:space="preserve">DecreaseInEquityShareCapitalDuringPeriod</t>
  </si>
  <si>
    <t xml:space="preserve">Total increase (decrease) in share capital</t>
  </si>
  <si>
    <t xml:space="preserve">IncreaseDecreaseInEquityShareCapital</t>
  </si>
  <si>
    <t xml:space="preserve">Notes to Balance Sheet: Goodwill</t>
  </si>
  <si>
    <t xml:space="preserve">Disclosure of reconciliation of changes in goodwill [Abstract]</t>
  </si>
  <si>
    <t xml:space="preserve">Disclosure of reconciliation of changes in goodwill [Line items]</t>
  </si>
  <si>
    <t xml:space="preserve">Notes to Balance Sheet: Investment Property</t>
  </si>
  <si>
    <t xml:space="preserve">Disclosure of detailed information about investment property at cost [Abstract]</t>
  </si>
  <si>
    <t xml:space="preserve">Disclosure of detailed information about investment property [Line items]</t>
  </si>
  <si>
    <t xml:space="preserve">Reconciliation of changes in investment property [Abstract]</t>
  </si>
  <si>
    <t xml:space="preserve">Rental income from investment property, net of direct operating expense [Abstract]</t>
  </si>
  <si>
    <t xml:space="preserve">Rental income from investment property</t>
  </si>
  <si>
    <t xml:space="preserve">RentalIncomeFromInvestmentProperty</t>
  </si>
  <si>
    <t xml:space="preserve">Direct operating expense from investment property [Abstract]</t>
  </si>
  <si>
    <t xml:space="preserve">Direct operating expense from investment property generating rental income</t>
  </si>
  <si>
    <t xml:space="preserve">DirectOperatingExpenseFromInvestmentPropertyGeneratingRentalIncome</t>
  </si>
  <si>
    <t xml:space="preserve">Direct operating expense from investment property not generating rental income</t>
  </si>
  <si>
    <t xml:space="preserve">DirectOperatingExpenseFromInvestmentPropertyNotGeneratingRentalIncome</t>
  </si>
  <si>
    <t xml:space="preserve">Total direct operating expense from investment property</t>
  </si>
  <si>
    <t xml:space="preserve">DirectOperatingExpenseFromInvestmentProperty</t>
  </si>
  <si>
    <t xml:space="preserve">Rental income from investment property, net of direct operating expense</t>
  </si>
  <si>
    <t xml:space="preserve">RentalIncomeFromInvestmentPropertyNetOfDirectOperatingExpense</t>
  </si>
  <si>
    <t xml:space="preserve">Notes to Balance Sheet: Noncurrent Investments</t>
  </si>
  <si>
    <t xml:space="preserve">Non-current investments [Abstract]</t>
  </si>
  <si>
    <t xml:space="preserve">Disclosure of details of non-current investments [Abstract]</t>
  </si>
  <si>
    <t xml:space="preserve">Details of non-current investments [Line items]</t>
  </si>
  <si>
    <t xml:space="preserve">Aggregate amount of quoted non-current investments</t>
  </si>
  <si>
    <t xml:space="preserve">AggregateAmountOfQuotedNoncurrentInvestments</t>
  </si>
  <si>
    <t xml:space="preserve">Aggregate amount of unquoted non-current investments</t>
  </si>
  <si>
    <t xml:space="preserve">AggregateAmountOfUnquotedNoncurrentInvestments</t>
  </si>
  <si>
    <t xml:space="preserve">Notes to Balance Sheet: Other Intangible Assets</t>
  </si>
  <si>
    <t xml:space="preserve">Disclosure of detailed information about other intangible assets [Abstract]</t>
  </si>
  <si>
    <t xml:space="preserve">Disclosure of detailed information about other intangible assets [Line items]</t>
  </si>
  <si>
    <t xml:space="preserve">Reconciliation of changes in other intangible assets [Abstract]</t>
  </si>
  <si>
    <t xml:space="preserve">Changes in Other intangible assets [Abstract]</t>
  </si>
  <si>
    <t xml:space="preserve">Additions other than through business combinations</t>
  </si>
  <si>
    <t xml:space="preserve">AdditionsOtherThanThroughBusinessCombinationsOtherIntangibleAssets</t>
  </si>
  <si>
    <t xml:space="preserve">Increase (decrease) through net exchange differences</t>
  </si>
  <si>
    <t xml:space="preserve">IncreaseDecreaseThroughNetExchangeDifferencesOtherIntangibleAssets</t>
  </si>
  <si>
    <t xml:space="preserve">Amortisation other intangible assets</t>
  </si>
  <si>
    <t xml:space="preserve">AmortisationOtherIntangibleAssets</t>
  </si>
  <si>
    <t xml:space="preserve">Impairment loss recognised in profit or loss</t>
  </si>
  <si>
    <t xml:space="preserve">ImpairmentLossRecognisedInProfitOrLossOtherIntangibleAssets</t>
  </si>
  <si>
    <t xml:space="preserve">Revaluation increase (decrease), other intangible assets</t>
  </si>
  <si>
    <t xml:space="preserve">RevaluationIncreaseDecreaseOtherIntangibleAssets</t>
  </si>
  <si>
    <t xml:space="preserve">Increase (decrease) through transfers and other changes, other intangible assets [Abstract]</t>
  </si>
  <si>
    <t xml:space="preserve">Increase (decrease) through other changes</t>
  </si>
  <si>
    <t xml:space="preserve">IncreaseDecreaseThroughOtherChangesOtherIntangibleAssets</t>
  </si>
  <si>
    <t xml:space="preserve">Total increase (decrease) through transfers and other changes, Other intangible assets</t>
  </si>
  <si>
    <t xml:space="preserve">IncreaseDecreaseThroughTransfersAndOtherChangesOtherIntangibleAssets</t>
  </si>
  <si>
    <t xml:space="preserve">Disposals and retirements, other intangible assets [Abstract]</t>
  </si>
  <si>
    <t xml:space="preserve">Disposals</t>
  </si>
  <si>
    <t xml:space="preserve">DisposalsOtherIntangibleAssets</t>
  </si>
  <si>
    <t xml:space="preserve">Total Disposals and retirements, Other intangible assets</t>
  </si>
  <si>
    <t xml:space="preserve">DisposalsAndRetirementsOtherIntangibleAssets</t>
  </si>
  <si>
    <t xml:space="preserve">Total increase (decrease) in Other intangible assets</t>
  </si>
  <si>
    <t xml:space="preserve">ChangesInOtherIntangibleAssets</t>
  </si>
  <si>
    <t xml:space="preserve">Notes to Balance Sheet: Property Plant And Equipment</t>
  </si>
  <si>
    <t xml:space="preserve">Disclosure of detailed information about property, plant and equipment [Abstract]</t>
  </si>
  <si>
    <t xml:space="preserve">Disclosure of detailed information about property, plant and equipment [Line items]</t>
  </si>
  <si>
    <t xml:space="preserve">Reconciliation of changes in property, plant and equipment [Abstract]</t>
  </si>
  <si>
    <t xml:space="preserve">Changes in property, plant and equipment [Abstract]</t>
  </si>
  <si>
    <t xml:space="preserve">Additions other than through business combinations, property, plant and equipment</t>
  </si>
  <si>
    <t xml:space="preserve">AdditionsOtherThanThroughBusinessCombinationsPropertyPlantAndEquipment</t>
  </si>
  <si>
    <t xml:space="preserve">Acquisitions through business combinations, property, plant and equipment</t>
  </si>
  <si>
    <t xml:space="preserve">AcquisitionsThroughBusinessCombinationsPropertyPlantAndEquipment</t>
  </si>
  <si>
    <t xml:space="preserve">Increase (decrease) through net exchange differences, property, plant and equipment</t>
  </si>
  <si>
    <t xml:space="preserve">IncreaseDecreaseThroughNetExchangeDifferencesPropertyPlantAndEquipment</t>
  </si>
  <si>
    <t xml:space="preserve">Depreciation, property, plant and equipment [Abstract]</t>
  </si>
  <si>
    <t xml:space="preserve">Depreciation recognised in profit or loss</t>
  </si>
  <si>
    <t xml:space="preserve">AmortisationOfRightOfUseAssets</t>
  </si>
  <si>
    <t xml:space="preserve">Total Depreciation property plant and equipment</t>
  </si>
  <si>
    <t xml:space="preserve">DepreciationPropertyPlantAndEquipment</t>
  </si>
  <si>
    <t xml:space="preserve">Revaluation increase (decrease), property, plant and equipment</t>
  </si>
  <si>
    <t xml:space="preserve">RevaluationIncreaseDecreasePropertyPlantAndEquipment</t>
  </si>
  <si>
    <t xml:space="preserve">Increase (decrease) through transfers and other changes, property, plant and equipment [Abstract]</t>
  </si>
  <si>
    <t xml:space="preserve">Increase (decrease) through other changes, property, plant and equipment</t>
  </si>
  <si>
    <t xml:space="preserve">IncreaseDecreaseThroughOtherChangesPropertyPlantAndEquipment</t>
  </si>
  <si>
    <t xml:space="preserve">Total increase (decrease) through transfers and other changes, property, plant and equipment</t>
  </si>
  <si>
    <t xml:space="preserve">IncreaseDecreaseThroughTransfersAndOtherChangesPropertyPlantAndEquipment</t>
  </si>
  <si>
    <t xml:space="preserve">Disposals and retirements, property, plant and equipment [Abstract]</t>
  </si>
  <si>
    <t xml:space="preserve">Disposals, property, plant and equipment</t>
  </si>
  <si>
    <t xml:space="preserve">DisposalsPropertyPlantAndEquipment</t>
  </si>
  <si>
    <t xml:space="preserve">Total disposals and retirements, property, plant and equipment</t>
  </si>
  <si>
    <t xml:space="preserve">DisposalsAndRetirementsPropertyPlantAndEquipment</t>
  </si>
  <si>
    <t xml:space="preserve">Decrease through classified as held for sale, property, plant and equipment</t>
  </si>
  <si>
    <t xml:space="preserve">DecreaseThroughClassifiedAsHeldForSalePropertyPlantAndEquipment</t>
  </si>
  <si>
    <t xml:space="preserve">Decrease through loss of control of subsidiary, property, plant and equipment</t>
  </si>
  <si>
    <t xml:space="preserve">DecreaseThroughLossOfControlOfSubsidiaryPropertyPlantAndEquipment</t>
  </si>
  <si>
    <t xml:space="preserve">Total increase (decrease) in property, plant and equipment</t>
  </si>
  <si>
    <t xml:space="preserve">ChangesInPropertyPlantAndEquipment</t>
  </si>
  <si>
    <t xml:space="preserve">Notes to Balance Sheet: Subclassification And Notes On Liabilities And Assets</t>
  </si>
  <si>
    <t xml:space="preserve">Subclassification and notes on liabilities and assets [Abstract]</t>
  </si>
  <si>
    <t xml:space="preserve">Disclosure of notes on trade receivables [Abstract]</t>
  </si>
  <si>
    <t xml:space="preserve">Subclassification of trade receivables [Abstract]</t>
  </si>
  <si>
    <t xml:space="preserve">Subclassification of trade receivables [Line items]</t>
  </si>
  <si>
    <t xml:space="preserve">Breakup of trade receivables [Abstract]</t>
  </si>
  <si>
    <t xml:space="preserve">Trade receivables, gross</t>
  </si>
  <si>
    <t xml:space="preserve">TradeReceivablesGross</t>
  </si>
  <si>
    <t xml:space="preserve">Allowance for bad and doubtful debts</t>
  </si>
  <si>
    <t xml:space="preserve">AllowanceForBadAndDoubtfulDebts</t>
  </si>
  <si>
    <t xml:space="preserve">Total trade receivables</t>
  </si>
  <si>
    <t xml:space="preserve">TradeReceivables</t>
  </si>
  <si>
    <t xml:space="preserve">Details of trade receivables ageing schedule [Abstract]</t>
  </si>
  <si>
    <t xml:space="preserve">Details of trade receivables ageing schedule [Line Items]</t>
  </si>
  <si>
    <t xml:space="preserve">Other non-current financial assets notes [Abstract]</t>
  </si>
  <si>
    <t xml:space="preserve">Other non-current financial assets [Abstract]</t>
  </si>
  <si>
    <t xml:space="preserve">Other non-current financial assets, others</t>
  </si>
  <si>
    <t xml:space="preserve">OtherNoncurrentFinancialAssetsOthers</t>
  </si>
  <si>
    <t xml:space="preserve">Other non-current financial assets, others [Abstract]</t>
  </si>
  <si>
    <t xml:space="preserve">Other non-current financial assets, others [Line items]</t>
  </si>
  <si>
    <t xml:space="preserve">Other non-current assets notes [Abstract]</t>
  </si>
  <si>
    <t xml:space="preserve">Other non-current assets [Abstract]</t>
  </si>
  <si>
    <t xml:space="preserve">Advances, non-current</t>
  </si>
  <si>
    <t xml:space="preserve">NoncurrentAdvances</t>
  </si>
  <si>
    <t xml:space="preserve">Inventories notes [Abstract]</t>
  </si>
  <si>
    <t xml:space="preserve">Classification of inventories [Abstract]</t>
  </si>
  <si>
    <t xml:space="preserve">Classification of inventories [Line items]</t>
  </si>
  <si>
    <t xml:space="preserve">Cash and bank balances notes [Abstract]</t>
  </si>
  <si>
    <t xml:space="preserve">Cash and bank balances [Abstract]</t>
  </si>
  <si>
    <t xml:space="preserve">Classification of cash and bank balances [Abstract]</t>
  </si>
  <si>
    <t xml:space="preserve">Cash and cash equivalents [Abstract]</t>
  </si>
  <si>
    <t xml:space="preserve">Balance with banks [Abstract]</t>
  </si>
  <si>
    <t xml:space="preserve">Fixed deposits with banks</t>
  </si>
  <si>
    <t xml:space="preserve">FixedDepositsWithBanks</t>
  </si>
  <si>
    <t xml:space="preserve">Other deposits with banks</t>
  </si>
  <si>
    <t xml:space="preserve">OtherDepositsWithBanks</t>
  </si>
  <si>
    <t xml:space="preserve">Other balances with banks</t>
  </si>
  <si>
    <t xml:space="preserve">OtherBalancesWithBanks</t>
  </si>
  <si>
    <t xml:space="preserve">Total balance with banks</t>
  </si>
  <si>
    <t xml:space="preserve">BalanceWithBanks</t>
  </si>
  <si>
    <t xml:space="preserve">Cheques, drafts on hand</t>
  </si>
  <si>
    <t xml:space="preserve">ChequesDraftsOnHand</t>
  </si>
  <si>
    <t xml:space="preserve">Cash on hand</t>
  </si>
  <si>
    <t xml:space="preserve">CashOnHand</t>
  </si>
  <si>
    <t xml:space="preserve">Others</t>
  </si>
  <si>
    <t xml:space="preserve">Total cash and bank balances</t>
  </si>
  <si>
    <t xml:space="preserve">CashAndBankBalances</t>
  </si>
  <si>
    <t xml:space="preserve">Other current financial assets [Abstract]</t>
  </si>
  <si>
    <t xml:space="preserve">Security deposits</t>
  </si>
  <si>
    <t xml:space="preserve">SecurityDeposits</t>
  </si>
  <si>
    <t xml:space="preserve">Other current financial assets others</t>
  </si>
  <si>
    <t xml:space="preserve">OtherCurrentFinancialAssetsOthers</t>
  </si>
  <si>
    <t xml:space="preserve">Other current financial assets others [Abstract]</t>
  </si>
  <si>
    <t xml:space="preserve">Other current financial assets others [Line items]</t>
  </si>
  <si>
    <t xml:space="preserve">Other current assets notes [Abstract]</t>
  </si>
  <si>
    <t xml:space="preserve">Other current assets [Abstract]</t>
  </si>
  <si>
    <t xml:space="preserve">Advances, current</t>
  </si>
  <si>
    <t xml:space="preserve">CurrentAdvances</t>
  </si>
  <si>
    <t xml:space="preserve">Disclosure of other non-current financial liabilities notes [Abstract]</t>
  </si>
  <si>
    <t xml:space="preserve">Other non-current financial liabilities [Abstract]</t>
  </si>
  <si>
    <t xml:space="preserve">Other non-current financial liabilities, others</t>
  </si>
  <si>
    <t xml:space="preserve">OtherNoncurrentFinancialLiabilitiesOthers</t>
  </si>
  <si>
    <t xml:space="preserve">Other non-current financial liabilities others [Abstract]</t>
  </si>
  <si>
    <t xml:space="preserve">Other non-current financial liabilities others [Line items]</t>
  </si>
  <si>
    <t xml:space="preserve">Other non-current liabilities [Abstract]</t>
  </si>
  <si>
    <t xml:space="preserve">Advances received</t>
  </si>
  <si>
    <t xml:space="preserve">AdvancesReceivedNoncurrentLiabilities</t>
  </si>
  <si>
    <t xml:space="preserve">Other non-current liabilities others</t>
  </si>
  <si>
    <t xml:space="preserve">OtherNoncurrentLiabilitiesOthers</t>
  </si>
  <si>
    <t xml:space="preserve">Other non-current liabilities others [Abstract]</t>
  </si>
  <si>
    <t xml:space="preserve">Other non-current liabilities others [Line items]</t>
  </si>
  <si>
    <t xml:space="preserve">Disclosure of other current financial liabilities notes [Abstract]</t>
  </si>
  <si>
    <t xml:space="preserve">Other current financial liabilities [Abstract]</t>
  </si>
  <si>
    <t xml:space="preserve">Interest accrued on borrowings</t>
  </si>
  <si>
    <t xml:space="preserve">InterestAccruedOnBorrowings</t>
  </si>
  <si>
    <t xml:space="preserve">Other current financial liabilities, others</t>
  </si>
  <si>
    <t xml:space="preserve">OtherCurrentFinancialLiabilitiesOthers</t>
  </si>
  <si>
    <t xml:space="preserve">Other current financial liabilities, others [Abstract]</t>
  </si>
  <si>
    <t xml:space="preserve">Other current financial liabilities, others [Line items]</t>
  </si>
  <si>
    <t xml:space="preserve">Disclosure of other current liabilities notes [Abstract]</t>
  </si>
  <si>
    <t xml:space="preserve">Other current liabilities [Abstract]</t>
  </si>
  <si>
    <t xml:space="preserve">Other advance [Abstract]</t>
  </si>
  <si>
    <t xml:space="preserve">Advance received from customers</t>
  </si>
  <si>
    <t xml:space="preserve">AdvanceReceivedFromCustomers</t>
  </si>
  <si>
    <t xml:space="preserve">Total other advance</t>
  </si>
  <si>
    <t xml:space="preserve">OtherAdvance</t>
  </si>
  <si>
    <t xml:space="preserve">Other payables, current [Abstract]</t>
  </si>
  <si>
    <t xml:space="preserve">Gross amount due to customers for contract work, current</t>
  </si>
  <si>
    <t xml:space="preserve">GrossAmountDueToCustomersForContractWorkCurrent</t>
  </si>
  <si>
    <t xml:space="preserve">Total other payables, current</t>
  </si>
  <si>
    <t xml:space="preserve">OtherPayablesCurrent</t>
  </si>
  <si>
    <t xml:space="preserve">Other current liabilities, others</t>
  </si>
  <si>
    <t xml:space="preserve">OtherCurrentLiabilitiesOthers</t>
  </si>
  <si>
    <t xml:space="preserve">Other current liabilities, others [Abstract]</t>
  </si>
  <si>
    <t xml:space="preserve">Other current liabilities, others [Line items]</t>
  </si>
  <si>
    <t xml:space="preserve">Notes to Statement of Cash Flows: Cash Flow Statement</t>
  </si>
  <si>
    <t xml:space="preserve">Cash and cash equivalents if different from Balance Sheet [Abstract]</t>
  </si>
  <si>
    <t xml:space="preserve">CashAndCashEquivalentsCashFlowStatement</t>
  </si>
  <si>
    <t xml:space="preserve">Income taxes paid (refund) [Abstract]</t>
  </si>
  <si>
    <t xml:space="preserve">Total income taxes paid (refund)</t>
  </si>
  <si>
    <t xml:space="preserve">IncomeTaxesPaidRefund</t>
  </si>
  <si>
    <t xml:space="preserve">Notes to Statement of Cash Flows: Effects Of Changes In Foreign Exchange Rates</t>
  </si>
  <si>
    <t xml:space="preserve">Net foreign exchange gain</t>
  </si>
  <si>
    <t xml:space="preserve">NetForeignExchangeGain</t>
  </si>
  <si>
    <t xml:space="preserve">Net foreign exchange loss</t>
  </si>
  <si>
    <t xml:space="preserve">NetForeignExchangeLoss</t>
  </si>
  <si>
    <t xml:space="preserve">General / Cross-Statement Notes</t>
  </si>
  <si>
    <t xml:space="preserve">Notes to General: First Time Adoption</t>
  </si>
  <si>
    <t xml:space="preserve">Disclosure of reconciliation of equity from previous GAAP to Ind AS [Abstract]</t>
  </si>
  <si>
    <t xml:space="preserve">Equity as per Indian GAAP</t>
  </si>
  <si>
    <t xml:space="preserve">EquityAsPerIndianGaap</t>
  </si>
  <si>
    <t xml:space="preserve">Equity as per Ind AS</t>
  </si>
  <si>
    <t xml:space="preserve">EquityAsPerIndAs</t>
  </si>
  <si>
    <t xml:space="preserve">Disclosure of reconciliation of comprehensive income from previous GAAP to Ind AS [Abstract]</t>
  </si>
  <si>
    <t xml:space="preserve">Comprehensive income as per Indian GAAP</t>
  </si>
  <si>
    <t xml:space="preserve">ComprehensiveIncomeAsPerIndianGaap</t>
  </si>
  <si>
    <t xml:space="preserve">Comprehensive income as per Ind AS</t>
  </si>
  <si>
    <t xml:space="preserve">ComprehensiveIncomeAsPerIndAs</t>
  </si>
  <si>
    <t xml:space="preserve">Disclosure of reconciliation of profit (loss) for the period from previous GAAP to Ind AS [Abstract]</t>
  </si>
  <si>
    <t xml:space="preserve">Profit (loss) for the period as per Indian GAAP</t>
  </si>
  <si>
    <t xml:space="preserve">ProfitLossForThePeriodAsPerIndianGaap</t>
  </si>
  <si>
    <t xml:space="preserve">Profit (loss) for the period as per Ind AS</t>
  </si>
  <si>
    <t xml:space="preserve">ProfitLossForThePeriodAsPerIndAs</t>
  </si>
  <si>
    <t xml:space="preserve">Notes to General: Leases</t>
  </si>
  <si>
    <t xml:space="preserve">Disclosure of detailed information about right-of-use assets [Abstract]</t>
  </si>
  <si>
    <t xml:space="preserve">Disclosure of detailed information about right-of-use assets  [Line items]</t>
  </si>
  <si>
    <t xml:space="preserve">Reconciliation of changes in right-of-use assets [Abstract]</t>
  </si>
  <si>
    <t xml:space="preserve">Changes in right-of-use assets [Abstract]</t>
  </si>
  <si>
    <t xml:space="preserve">Depreciation or Amortisation , right-of-use assets  [Abstract]</t>
  </si>
  <si>
    <t xml:space="preserve">Notes to General: Non Current Asset Held For Sale And Discontinued Operations</t>
  </si>
  <si>
    <t xml:space="preserve">Cash flows from continuing and discontinued operations [Abstract]</t>
  </si>
  <si>
    <t xml:space="preserve">Net cash flows from (used in) operating activities, continuing operations</t>
  </si>
  <si>
    <t xml:space="preserve">CashFlowsFromUsedInOperatingActivitiesContinuingOperations</t>
  </si>
  <si>
    <t xml:space="preserve">Net cash flows from (used in) investing activities, continuing operations</t>
  </si>
  <si>
    <t xml:space="preserve">CashFlowsFromUsedInInvestingActivitiesContinuingOperations</t>
  </si>
  <si>
    <t xml:space="preserve">Net cash flows from (used in) financing activities, continuing operations</t>
  </si>
  <si>
    <t xml:space="preserve">CashFlowsFromUsedInFinancingActivitiesContinuingOperations</t>
  </si>
  <si>
    <t xml:space="preserve">Notes to General: Share Based Payment Arrangements</t>
  </si>
  <si>
    <t xml:space="preserve">Number of share options outstanding in share-based payment arrangement at end of period</t>
  </si>
  <si>
    <t xml:space="preserve">NumberOfOutstandingShareOptions</t>
  </si>
  <si>
    <t xml:space="preserve">Number of share options outstanding in share based payment arrangement [Abstract]</t>
  </si>
  <si>
    <t xml:space="preserve">Number of share options granted in share-based payment arrangement</t>
  </si>
  <si>
    <t xml:space="preserve">NumberOfShareOptionsGrantedInSharebasedPaymentArrangement</t>
  </si>
  <si>
    <t xml:space="preserve">Number of share options forfeited in share-based payment arrangement</t>
  </si>
  <si>
    <t xml:space="preserve">NumberOfShareOptionsForfeitedInSharebasedPaymentArrangement</t>
  </si>
  <si>
    <t xml:space="preserve">Number of share options exercised in share-based payment arrangement</t>
  </si>
  <si>
    <t xml:space="preserve">NumberOfShareOptionsExercisedInSharebasedPaymentArrangement</t>
  </si>
  <si>
    <t xml:space="preserve">Number of share options expired in share-based payment arrangement</t>
  </si>
  <si>
    <t xml:space="preserve">NumberOfShareOptionsExpiredInSharebasedPaymentArrangement</t>
  </si>
  <si>
    <t xml:space="preserve">Total changes of number of share options outstanding in share based payment arrangement</t>
  </si>
  <si>
    <t xml:space="preserve">ChangesOfNumberOfShareOptionsOutstandingInShareBasedPaymentArrangement</t>
  </si>
  <si>
    <t xml:space="preserve">Number of share options exercisable in share-based payment arrangement</t>
  </si>
  <si>
    <t xml:space="preserve">NumberOfShareOptionsExercisableInSharebasedPaymentArrangement</t>
  </si>
  <si>
    <t xml:space="preserve">Weighted average exercise price of share options outstanding in share-based payment arrangement at end of period</t>
  </si>
  <si>
    <t xml:space="preserve">WeightedAverageExercisePriceOfShareOptionsOutstandingInSharebasedPaymentArrangement</t>
  </si>
  <si>
    <t xml:space="preserve">Weighted average exercise price of share options outstanding in share based payment arrangement [Abstract]</t>
  </si>
  <si>
    <t xml:space="preserve">Weighted average exercise price of share options granted in share-based payment arrangement</t>
  </si>
  <si>
    <t xml:space="preserve">WeightedAverageExercisePriceOfShareOptionsGrantedInSharebasedPaymentArrangement</t>
  </si>
  <si>
    <t xml:space="preserve">Total changes of weighted average exercise price of share options outstanding in share-based payment arrangement</t>
  </si>
  <si>
    <t xml:space="preserve">ChangesOfWeightedAverageExercisePriceOfShareOptionsOutstandingInSharebasedPaymentArrangement</t>
  </si>
  <si>
    <t xml:space="preserve">Weighted average share price</t>
  </si>
  <si>
    <t xml:space="preserve">WeightedAverageSharePrice</t>
  </si>
  <si>
    <t xml:space="preserve">Weighted average share price, share options granted</t>
  </si>
  <si>
    <t xml:space="preserve">WeightedAverageSharePriceShareOptionsGranted</t>
  </si>
  <si>
    <t xml:space="preserve">Expected volatility, share options granted</t>
  </si>
  <si>
    <t xml:space="preserve">DescriptionOfExpectedVolatilityShareOptionsGranted</t>
  </si>
  <si>
    <t xml:space="preserve">Option life, share options granted</t>
  </si>
  <si>
    <t xml:space="preserve">DescriptionOfOptionLifeShareOptionsGranted</t>
  </si>
  <si>
    <t xml:space="preserve">Risk free interest rate, share options granted</t>
  </si>
  <si>
    <t xml:space="preserve">DescriptionOfRiskFreeInterestRateShareOptionsGranted</t>
  </si>
  <si>
    <t xml:space="preserve">Expense from share-based payment transactions in which goods or services received did not qualify for recognition as assets [Abstract]</t>
  </si>
  <si>
    <t xml:space="preserve">Expense from equity-settled share-based payment transactions</t>
  </si>
  <si>
    <t xml:space="preserve">ExpenseFromEquitysettledSharebasedPaymentTransactionsInWhichGoodsOrServicesReceivedDidNotQualifyForRecognitionAsAssets</t>
  </si>
  <si>
    <t xml:space="preserve">Total expense from share-based payment transactions in which goods or services received did not qualify for recognition as assets</t>
  </si>
  <si>
    <t xml:space="preserve">ExpenseFromSharebasedPaymentTransactionsInWhichGoodsOrServicesReceivedDidNotQualifyForRecognitionAsAssets</t>
  </si>
  <si>
    <t xml:space="preserve">Expense from share-based payment transactions, alternative [abstract]</t>
  </si>
  <si>
    <t xml:space="preserve">Other Comprehensive income, attributable to owners of parent</t>
  </si>
  <si>
    <t xml:space="preserve">OtherComprehensiveIncomeAttributableToOwnersOfParent</t>
  </si>
  <si>
    <t xml:space="preserve">AdjustmentsForDecreaseIncreaseInOtherNoncurrentAssets</t>
  </si>
  <si>
    <t xml:space="preserve">InterestPaidClassifiedAsOperatingActivities</t>
  </si>
  <si>
    <t xml:space="preserve">CashFlowsFromLosingControlOfSubsidiariesOrOtherBusinessesClassifiedAsInvestingActivities</t>
  </si>
  <si>
    <t xml:space="preserve">ProceedsFromSalesOfOtherLongTermAssetsClassifiedAsInvestingActivities</t>
  </si>
  <si>
    <t xml:space="preserve">CashAdvancesAndLoansMadeToOtherPartiesClassifiedAsInvestingActivities</t>
  </si>
  <si>
    <t xml:space="preserve">CashReceiptsFromRepaymentOfAdvancesAndLoansMadeToOtherPartiesClassifiedAsInvestingActivities</t>
  </si>
  <si>
    <t xml:space="preserve">ProceedsFromExerciseOfStockOptions</t>
  </si>
  <si>
    <t xml:space="preserve">Miscellaneous other comprehensive income [Abstract]</t>
  </si>
  <si>
    <t xml:space="preserve">Dilutive effect of convertible instruments on number of ordinary shares</t>
  </si>
  <si>
    <t xml:space="preserve">DilutiveEffectOfConvertibleInstrumentsOnNumberOfOrdinaryShares</t>
  </si>
  <si>
    <t xml:space="preserve">Dilutive effect of share options on number of ordinary shares</t>
  </si>
  <si>
    <t xml:space="preserve">DilutiveEffectOfShareOptionsOnNumberOfOrdinaryShares</t>
  </si>
  <si>
    <t xml:space="preserve">Interest on income tax refund</t>
  </si>
  <si>
    <t xml:space="preserve">InterestOnIncomeTaxRefund</t>
  </si>
  <si>
    <t xml:space="preserve">Interest expense deposits</t>
  </si>
  <si>
    <t xml:space="preserve">InterestExpenseDeposits</t>
  </si>
  <si>
    <t xml:space="preserve">Safety security expenses</t>
  </si>
  <si>
    <t xml:space="preserve">SafetySecurityExpenses</t>
  </si>
  <si>
    <t xml:space="preserve">Transportation distribution expenses</t>
  </si>
  <si>
    <t xml:space="preserve">TransportationDistributionExpenses</t>
  </si>
  <si>
    <t xml:space="preserve">Cost repairs maintenance other assets</t>
  </si>
  <si>
    <t xml:space="preserve">CostRepairsMaintenanceOtherAssets</t>
  </si>
  <si>
    <t xml:space="preserve">Cost transportation [Abstract]</t>
  </si>
  <si>
    <t xml:space="preserve">Cost freight</t>
  </si>
  <si>
    <t xml:space="preserve">CostFreight</t>
  </si>
  <si>
    <t xml:space="preserve">Total cost transportation</t>
  </si>
  <si>
    <t xml:space="preserve">CostTransportation</t>
  </si>
  <si>
    <t xml:space="preserve">Impairment loss on financial assets [Abstract]</t>
  </si>
  <si>
    <t xml:space="preserve">Impairment loss on financial assets trade receivables</t>
  </si>
  <si>
    <t xml:space="preserve">ImpairmentLossOnFinancialAssetsTradeReceivables</t>
  </si>
  <si>
    <t xml:space="preserve">Total impairment loss on financial assets</t>
  </si>
  <si>
    <t xml:space="preserve">ImpairmentLossOnFinancialAssets</t>
  </si>
  <si>
    <t xml:space="preserve">Net provisions charged [Abstract]</t>
  </si>
  <si>
    <t xml:space="preserve">Other provisions created</t>
  </si>
  <si>
    <t xml:space="preserve">OtherProvisionsCreated</t>
  </si>
  <si>
    <t xml:space="preserve">Total net provisions charged</t>
  </si>
  <si>
    <t xml:space="preserve">NetProvisionsCharged</t>
  </si>
  <si>
    <t xml:space="preserve">Payment for taxation matters</t>
  </si>
  <si>
    <t xml:space="preserve">PaymentForTaxationMatters</t>
  </si>
  <si>
    <t xml:space="preserve">Payment for other services</t>
  </si>
  <si>
    <t xml:space="preserve">PaymentForOtherServices</t>
  </si>
  <si>
    <t xml:space="preserve">Payment for reimbursement of expenses</t>
  </si>
  <si>
    <t xml:space="preserve">PaymentForReimbursementOfExpenses</t>
  </si>
  <si>
    <t xml:space="preserve">Design technical assistance apportioned contracts</t>
  </si>
  <si>
    <t xml:space="preserve">DesignTechnicalAssistanceApportionedContracts</t>
  </si>
  <si>
    <t xml:space="preserve">Other overheads apportioned contracts</t>
  </si>
  <si>
    <t xml:space="preserve">OtherOverheadsApportionedContracts</t>
  </si>
  <si>
    <t xml:space="preserve">Total overhead costs apportioned contracts</t>
  </si>
  <si>
    <t xml:space="preserve">OverheadCostsApportionedContracts</t>
  </si>
  <si>
    <t xml:space="preserve">Uncalled liability on shares and other investments partly paid</t>
  </si>
  <si>
    <t xml:space="preserve">UncalledLiabilityOnSharesAndOtherInvestmentsPartlyPaid</t>
  </si>
  <si>
    <t xml:space="preserve">Aggregate provision for diminution in value of non-current investments</t>
  </si>
  <si>
    <t xml:space="preserve">AggregateProvisionForDiminutionInValueOfNoncurrentInvestments</t>
  </si>
  <si>
    <t xml:space="preserve">Goods in transit</t>
  </si>
  <si>
    <t xml:space="preserve">GoodsInTransit</t>
  </si>
  <si>
    <t xml:space="preserve">Revenue received in advance</t>
  </si>
  <si>
    <t xml:space="preserve">RevenueReceivedInAdvance</t>
  </si>
  <si>
    <t xml:space="preserve">Taxes payable other tax</t>
  </si>
  <si>
    <t xml:space="preserve">TaxesPayableOtherTax</t>
  </si>
  <si>
    <t xml:space="preserve">Accrued expenses payable</t>
  </si>
  <si>
    <t xml:space="preserve">AccruedExpensesPayable</t>
  </si>
  <si>
    <t xml:space="preserve">Damodaran Data -- downloaded live each run</t>
  </si>
  <si>
    <t xml:space="preserve">1. Country ERP/CRP/Default Spread</t>
  </si>
  <si>
    <t xml:space="preserve">Region</t>
  </si>
  <si>
    <t xml:space="preserve">Rating</t>
  </si>
  <si>
    <t xml:space="preserve">Default Spread</t>
  </si>
  <si>
    <t xml:space="preserve">Total ERP</t>
  </si>
  <si>
    <t xml:space="preserve">Country Risk Premium</t>
  </si>
  <si>
    <t xml:space="preserve">Abu Dhabi</t>
  </si>
  <si>
    <t xml:space="preserve">Middle East</t>
  </si>
  <si>
    <t xml:space="preserve">Aa2</t>
  </si>
  <si>
    <t xml:space="preserve">Albania</t>
  </si>
  <si>
    <t xml:space="preserve">Eastern Europe &amp; Russia</t>
  </si>
  <si>
    <t xml:space="preserve">Ba3</t>
  </si>
  <si>
    <t xml:space="preserve">Andorra (Principality of)</t>
  </si>
  <si>
    <t xml:space="preserve">Western Europe</t>
  </si>
  <si>
    <t xml:space="preserve">Baa1</t>
  </si>
  <si>
    <t xml:space="preserve">Angola</t>
  </si>
  <si>
    <t xml:space="preserve">Africa</t>
  </si>
  <si>
    <t xml:space="preserve">B3</t>
  </si>
  <si>
    <t xml:space="preserve">Argentina</t>
  </si>
  <si>
    <t xml:space="preserve">Central and South America</t>
  </si>
  <si>
    <t xml:space="preserve">Caa1</t>
  </si>
  <si>
    <t xml:space="preserve">Armenia</t>
  </si>
  <si>
    <t xml:space="preserve">Aruba</t>
  </si>
  <si>
    <t xml:space="preserve">Caribbean</t>
  </si>
  <si>
    <t xml:space="preserve">Baa3</t>
  </si>
  <si>
    <t xml:space="preserve">Australia</t>
  </si>
  <si>
    <t xml:space="preserve">Australia &amp; New Zealand</t>
  </si>
  <si>
    <t xml:space="preserve">Aaa</t>
  </si>
  <si>
    <t xml:space="preserve">Austria</t>
  </si>
  <si>
    <t xml:space="preserve">Aa1</t>
  </si>
  <si>
    <t xml:space="preserve">Azerbaijan</t>
  </si>
  <si>
    <t xml:space="preserve">Bahamas</t>
  </si>
  <si>
    <t xml:space="preserve">B1</t>
  </si>
  <si>
    <t xml:space="preserve">Bahrain</t>
  </si>
  <si>
    <t xml:space="preserve">B2</t>
  </si>
  <si>
    <t xml:space="preserve">Bangladesh</t>
  </si>
  <si>
    <t xml:space="preserve">Asia</t>
  </si>
  <si>
    <t xml:space="preserve">Barbados</t>
  </si>
  <si>
    <t xml:space="preserve">Belarus</t>
  </si>
  <si>
    <t xml:space="preserve">C</t>
  </si>
  <si>
    <t xml:space="preserve">Belgium</t>
  </si>
  <si>
    <t xml:space="preserve">Aa3</t>
  </si>
  <si>
    <t xml:space="preserve">Belize</t>
  </si>
  <si>
    <t xml:space="preserve">Benin</t>
  </si>
  <si>
    <t xml:space="preserve">Bermuda</t>
  </si>
  <si>
    <t xml:space="preserve">A2</t>
  </si>
  <si>
    <t xml:space="preserve">Bolivia</t>
  </si>
  <si>
    <t xml:space="preserve">Ca</t>
  </si>
  <si>
    <t xml:space="preserve">Bosnia and Herzegovina</t>
  </si>
  <si>
    <t xml:space="preserve">Botswana</t>
  </si>
  <si>
    <t xml:space="preserve">Brazil</t>
  </si>
  <si>
    <t xml:space="preserve">Ba1</t>
  </si>
  <si>
    <t xml:space="preserve">Bulgaria</t>
  </si>
  <si>
    <t xml:space="preserve">Burkina Faso</t>
  </si>
  <si>
    <t xml:space="preserve">Cambodia</t>
  </si>
  <si>
    <t xml:space="preserve">Cameroon</t>
  </si>
  <si>
    <t xml:space="preserve">Canada</t>
  </si>
  <si>
    <t xml:space="preserve">North America</t>
  </si>
  <si>
    <t xml:space="preserve">Cape Verde</t>
  </si>
  <si>
    <t xml:space="preserve">Cayman Islands</t>
  </si>
  <si>
    <t xml:space="preserve">Chile</t>
  </si>
  <si>
    <t xml:space="preserve">China</t>
  </si>
  <si>
    <t xml:space="preserve">A1</t>
  </si>
  <si>
    <t xml:space="preserve">Colombia</t>
  </si>
  <si>
    <t xml:space="preserve">Congo (Democratic Republic of)</t>
  </si>
  <si>
    <t xml:space="preserve">Congo (Republic of)</t>
  </si>
  <si>
    <t xml:space="preserve">Caa2</t>
  </si>
  <si>
    <t xml:space="preserve">Cook Islands</t>
  </si>
  <si>
    <t xml:space="preserve">Costa Rica</t>
  </si>
  <si>
    <t xml:space="preserve">Ba2</t>
  </si>
  <si>
    <t xml:space="preserve">Côte d'Ivoire</t>
  </si>
  <si>
    <t xml:space="preserve">Croatia</t>
  </si>
  <si>
    <t xml:space="preserve">A3</t>
  </si>
  <si>
    <t xml:space="preserve">Cuba</t>
  </si>
  <si>
    <t xml:space="preserve">Curacao</t>
  </si>
  <si>
    <t xml:space="preserve">Cyprus</t>
  </si>
  <si>
    <t xml:space="preserve">Czech Republic</t>
  </si>
  <si>
    <t xml:space="preserve">Denmark</t>
  </si>
  <si>
    <t xml:space="preserve">Dominican Republic</t>
  </si>
  <si>
    <t xml:space="preserve">Ecuador</t>
  </si>
  <si>
    <t xml:space="preserve">Caa3</t>
  </si>
  <si>
    <t xml:space="preserve">Egypt</t>
  </si>
  <si>
    <t xml:space="preserve">El Salvador</t>
  </si>
  <si>
    <t xml:space="preserve">Estonia</t>
  </si>
  <si>
    <t xml:space="preserve">Ethiopia</t>
  </si>
  <si>
    <t xml:space="preserve">Fiji</t>
  </si>
  <si>
    <t xml:space="preserve">Finland</t>
  </si>
  <si>
    <t xml:space="preserve">France</t>
  </si>
  <si>
    <t xml:space="preserve">Gabon</t>
  </si>
  <si>
    <t xml:space="preserve">Georgia</t>
  </si>
  <si>
    <t xml:space="preserve">Germany</t>
  </si>
  <si>
    <t xml:space="preserve">Ghana</t>
  </si>
  <si>
    <t xml:space="preserve">Greece</t>
  </si>
  <si>
    <t xml:space="preserve">Guatemala</t>
  </si>
  <si>
    <t xml:space="preserve">Guernsey (States of)</t>
  </si>
  <si>
    <t xml:space="preserve">Honduras</t>
  </si>
  <si>
    <t xml:space="preserve">Hong Kong</t>
  </si>
  <si>
    <t xml:space="preserve">Hungary</t>
  </si>
  <si>
    <t xml:space="preserve">Baa2</t>
  </si>
  <si>
    <t xml:space="preserve">Iceland</t>
  </si>
  <si>
    <t xml:space="preserve">Indonesia</t>
  </si>
  <si>
    <t xml:space="preserve">Iraq</t>
  </si>
  <si>
    <t xml:space="preserve">Ireland</t>
  </si>
  <si>
    <t xml:space="preserve">Isle of Man</t>
  </si>
  <si>
    <t xml:space="preserve">Israel</t>
  </si>
  <si>
    <t xml:space="preserve">Italy</t>
  </si>
  <si>
    <t xml:space="preserve">Jamaica</t>
  </si>
  <si>
    <t xml:space="preserve">Japan</t>
  </si>
  <si>
    <t xml:space="preserve">Jersey (States of)</t>
  </si>
  <si>
    <t xml:space="preserve">Jordan</t>
  </si>
  <si>
    <t xml:space="preserve">Kazakhstan</t>
  </si>
  <si>
    <t xml:space="preserve">Kenya</t>
  </si>
  <si>
    <t xml:space="preserve">Korea</t>
  </si>
  <si>
    <t xml:space="preserve">Kuwait</t>
  </si>
  <si>
    <t xml:space="preserve">Kyrgyzstan</t>
  </si>
  <si>
    <t xml:space="preserve">Laos</t>
  </si>
  <si>
    <t xml:space="preserve">Latvia</t>
  </si>
  <si>
    <t xml:space="preserve">Lebanon</t>
  </si>
  <si>
    <t xml:space="preserve">Liechtenstein</t>
  </si>
  <si>
    <t xml:space="preserve">Lithuania</t>
  </si>
  <si>
    <t xml:space="preserve">Luxembourg</t>
  </si>
  <si>
    <t xml:space="preserve">Macao</t>
  </si>
  <si>
    <t xml:space="preserve">Macedonia</t>
  </si>
  <si>
    <t xml:space="preserve">Malaysia</t>
  </si>
  <si>
    <t xml:space="preserve">Maldives</t>
  </si>
  <si>
    <t xml:space="preserve">Mali</t>
  </si>
  <si>
    <t xml:space="preserve">Malta</t>
  </si>
  <si>
    <t xml:space="preserve">Mauritius</t>
  </si>
  <si>
    <t xml:space="preserve">Mexico</t>
  </si>
  <si>
    <t xml:space="preserve">Moldova</t>
  </si>
  <si>
    <t xml:space="preserve">Mongolia</t>
  </si>
  <si>
    <t xml:space="preserve">Montenegro</t>
  </si>
  <si>
    <t xml:space="preserve">Montserrat</t>
  </si>
  <si>
    <t xml:space="preserve">Morocco</t>
  </si>
  <si>
    <t xml:space="preserve">Mozambique</t>
  </si>
  <si>
    <t xml:space="preserve">Namibia</t>
  </si>
  <si>
    <t xml:space="preserve">Nepal</t>
  </si>
  <si>
    <t xml:space="preserve">Netherlands</t>
  </si>
  <si>
    <t xml:space="preserve">New Zealand</t>
  </si>
  <si>
    <t xml:space="preserve">Nicaragua</t>
  </si>
  <si>
    <t xml:space="preserve">Niger</t>
  </si>
  <si>
    <t xml:space="preserve">Nigeria</t>
  </si>
  <si>
    <t xml:space="preserve">Norway</t>
  </si>
  <si>
    <t xml:space="preserve">Oman</t>
  </si>
  <si>
    <t xml:space="preserve">Pakistan</t>
  </si>
  <si>
    <t xml:space="preserve">Panama</t>
  </si>
  <si>
    <t xml:space="preserve">Papua New Guinea</t>
  </si>
  <si>
    <t xml:space="preserve">Paraguay</t>
  </si>
  <si>
    <t xml:space="preserve">Peru</t>
  </si>
  <si>
    <t xml:space="preserve">Philippines</t>
  </si>
  <si>
    <t xml:space="preserve">Poland</t>
  </si>
  <si>
    <t xml:space="preserve">Portugal</t>
  </si>
  <si>
    <t xml:space="preserve">Qatar</t>
  </si>
  <si>
    <t xml:space="preserve">Ras Al Khaimah (Emirate of)</t>
  </si>
  <si>
    <t xml:space="preserve">Romania</t>
  </si>
  <si>
    <t xml:space="preserve">Rwanda</t>
  </si>
  <si>
    <t xml:space="preserve">Saudi Arabia</t>
  </si>
  <si>
    <t xml:space="preserve">Senegal</t>
  </si>
  <si>
    <t xml:space="preserve">Serbia</t>
  </si>
  <si>
    <t xml:space="preserve">Sharjah</t>
  </si>
  <si>
    <t xml:space="preserve">Singapore</t>
  </si>
  <si>
    <t xml:space="preserve">Slovakia</t>
  </si>
  <si>
    <t xml:space="preserve">Slovenia</t>
  </si>
  <si>
    <t xml:space="preserve">Solomon Islands</t>
  </si>
  <si>
    <t xml:space="preserve">South Africa</t>
  </si>
  <si>
    <t xml:space="preserve">Spain</t>
  </si>
  <si>
    <t xml:space="preserve">Sri Lanka</t>
  </si>
  <si>
    <t xml:space="preserve">St. Maarten</t>
  </si>
  <si>
    <t xml:space="preserve">St. Vincent &amp; the Grenadines</t>
  </si>
  <si>
    <t xml:space="preserve">Suriname</t>
  </si>
  <si>
    <t xml:space="preserve">Swaziland</t>
  </si>
  <si>
    <t xml:space="preserve">Sweden</t>
  </si>
  <si>
    <t xml:space="preserve">Switzerland</t>
  </si>
  <si>
    <t xml:space="preserve">Taiwan</t>
  </si>
  <si>
    <t xml:space="preserve">Tajikistan</t>
  </si>
  <si>
    <t xml:space="preserve">Tanzania</t>
  </si>
  <si>
    <t xml:space="preserve">Thailand</t>
  </si>
  <si>
    <t xml:space="preserve">Togo</t>
  </si>
  <si>
    <t xml:space="preserve">Trinidad and Tobago</t>
  </si>
  <si>
    <t xml:space="preserve">Tunisia</t>
  </si>
  <si>
    <t xml:space="preserve">Turkey</t>
  </si>
  <si>
    <t xml:space="preserve">Turks and Caicos Islands</t>
  </si>
  <si>
    <t xml:space="preserve">Uganda</t>
  </si>
  <si>
    <t xml:space="preserve">Ukraine</t>
  </si>
  <si>
    <t xml:space="preserve">United Arab Emirates</t>
  </si>
  <si>
    <t xml:space="preserve">United Kingdom</t>
  </si>
  <si>
    <t xml:space="preserve">United States</t>
  </si>
  <si>
    <t xml:space="preserve">Uruguay</t>
  </si>
  <si>
    <t xml:space="preserve">Uzbekistan</t>
  </si>
  <si>
    <t xml:space="preserve">Venezuela</t>
  </si>
  <si>
    <t xml:space="preserve">Vietnam</t>
  </si>
  <si>
    <t xml:space="preserve">Zambia</t>
  </si>
  <si>
    <t xml:space="preserve">Frontier Markets (no sovereign ratings)</t>
  </si>
  <si>
    <t xml:space="preserve">PRS Composite Risk Score</t>
  </si>
  <si>
    <t xml:space="preserve">ERP</t>
  </si>
  <si>
    <t xml:space="preserve">CRP</t>
  </si>
  <si>
    <t xml:space="preserve">Algeria</t>
  </si>
  <si>
    <t xml:space="preserve">Brunei</t>
  </si>
  <si>
    <t xml:space="preserve">Gambia</t>
  </si>
  <si>
    <t xml:space="preserve">Guinea</t>
  </si>
  <si>
    <t xml:space="preserve">Guinea-Bissau</t>
  </si>
  <si>
    <t xml:space="preserve">Guyana</t>
  </si>
  <si>
    <t xml:space="preserve">Haiti</t>
  </si>
  <si>
    <t xml:space="preserve">Iran</t>
  </si>
  <si>
    <t xml:space="preserve">Korea, D.P.R.</t>
  </si>
  <si>
    <t xml:space="preserve">Liberia</t>
  </si>
  <si>
    <t xml:space="preserve">Libya</t>
  </si>
  <si>
    <t xml:space="preserve">Madagascar</t>
  </si>
  <si>
    <t xml:space="preserve">Malawi</t>
  </si>
  <si>
    <t xml:space="preserve">Myanmar</t>
  </si>
  <si>
    <t xml:space="preserve">Russia</t>
  </si>
  <si>
    <t xml:space="preserve">Sierra Leone</t>
  </si>
  <si>
    <t xml:space="preserve">Somalia</t>
  </si>
  <si>
    <t xml:space="preserve">Sudan</t>
  </si>
  <si>
    <t xml:space="preserve">Syria</t>
  </si>
  <si>
    <t xml:space="preserve">Yemen, Republic</t>
  </si>
  <si>
    <t xml:space="preserve">Zimbabwe</t>
  </si>
  <si>
    <t xml:space="preserve">2. Industry Beta -- one block per Beta Source</t>
  </si>
  <si>
    <t xml:space="preserve">Beta Source: Global</t>
  </si>
  <si>
    <t xml:space="preserve">Industry</t>
  </si>
  <si>
    <t xml:space="preserve">N Firms</t>
  </si>
  <si>
    <t xml:space="preserve">Levered Beta</t>
  </si>
  <si>
    <t xml:space="preserve">D/E</t>
  </si>
  <si>
    <t xml:space="preserve">Eff. Tax</t>
  </si>
  <si>
    <t xml:space="preserve">Unlevered Beta</t>
  </si>
  <si>
    <t xml:space="preserve">Cash/Firm Value</t>
  </si>
  <si>
    <t xml:space="preserve">Unlevered Beta (cash-adj)</t>
  </si>
  <si>
    <t xml:space="preserve">Advertising</t>
  </si>
  <si>
    <t xml:space="preserve">Aerospace/Defense</t>
  </si>
  <si>
    <t xml:space="preserve">Air Transport</t>
  </si>
  <si>
    <t xml:space="preserve">Apparel</t>
  </si>
  <si>
    <t xml:space="preserve">Auto &amp; Truck</t>
  </si>
  <si>
    <t xml:space="preserve">Auto Parts</t>
  </si>
  <si>
    <t xml:space="preserve">Bank (Money Center)</t>
  </si>
  <si>
    <t xml:space="preserve">Banks (Regional)</t>
  </si>
  <si>
    <t xml:space="preserve">Beverage (Alcoholic)</t>
  </si>
  <si>
    <t xml:space="preserve">Beverage (Soft)</t>
  </si>
  <si>
    <t xml:space="preserve">Broadcasting</t>
  </si>
  <si>
    <t xml:space="preserve">Brokerage &amp; Investment Banking</t>
  </si>
  <si>
    <t xml:space="preserve">Building Materials</t>
  </si>
  <si>
    <t xml:space="preserve">Business &amp; Consumer Services</t>
  </si>
  <si>
    <t xml:space="preserve">Cable TV</t>
  </si>
  <si>
    <t xml:space="preserve">Chemical (Basic)</t>
  </si>
  <si>
    <t xml:space="preserve">Chemical (Diversified)</t>
  </si>
  <si>
    <t xml:space="preserve">Chemical (Specialty)</t>
  </si>
  <si>
    <t xml:space="preserve">Coal &amp; Related Energy</t>
  </si>
  <si>
    <t xml:space="preserve">Computer Services</t>
  </si>
  <si>
    <t xml:space="preserve">Computers/Peripherals</t>
  </si>
  <si>
    <t xml:space="preserve">Construction Supplies</t>
  </si>
  <si>
    <t xml:space="preserve">Diversified</t>
  </si>
  <si>
    <t xml:space="preserve">Drugs (Biotechnology)</t>
  </si>
  <si>
    <t xml:space="preserve">Drugs (Pharmaceutical)</t>
  </si>
  <si>
    <t xml:space="preserve">Education</t>
  </si>
  <si>
    <t xml:space="preserve">Electrical Equipment</t>
  </si>
  <si>
    <t xml:space="preserve">Electronics (Consumer &amp; Office)</t>
  </si>
  <si>
    <t xml:space="preserve">Electronics (General)</t>
  </si>
  <si>
    <t xml:space="preserve">Engineering/Construction</t>
  </si>
  <si>
    <t xml:space="preserve">Entertainment</t>
  </si>
  <si>
    <t xml:space="preserve">Environmental &amp; Waste Services</t>
  </si>
  <si>
    <t xml:space="preserve">Farming/Agriculture</t>
  </si>
  <si>
    <t xml:space="preserve">Financial Svcs. (Non-bank &amp; Insurance)</t>
  </si>
  <si>
    <t xml:space="preserve">Food Processing</t>
  </si>
  <si>
    <t xml:space="preserve">Food Wholesalers</t>
  </si>
  <si>
    <t xml:space="preserve">Furn/Home Furnishings</t>
  </si>
  <si>
    <t xml:space="preserve">Green &amp; Renewable Energy</t>
  </si>
  <si>
    <t xml:space="preserve">Healthcare Products</t>
  </si>
  <si>
    <t xml:space="preserve">Healthcare Support Services</t>
  </si>
  <si>
    <t xml:space="preserve">Heathcare Information and Technology</t>
  </si>
  <si>
    <t xml:space="preserve">Homebuilding</t>
  </si>
  <si>
    <t xml:space="preserve">Hospitals/Healthcare Facilities</t>
  </si>
  <si>
    <t xml:space="preserve">Hotel/Gaming</t>
  </si>
  <si>
    <t xml:space="preserve">Household Products</t>
  </si>
  <si>
    <t xml:space="preserve">Information Services</t>
  </si>
  <si>
    <t xml:space="preserve">Insurance (General)</t>
  </si>
  <si>
    <t xml:space="preserve">Insurance (Life)</t>
  </si>
  <si>
    <t xml:space="preserve">Insurance (Prop/Cas.)</t>
  </si>
  <si>
    <t xml:space="preserve">Investments &amp; Asset Management</t>
  </si>
  <si>
    <t xml:space="preserve">Machinery</t>
  </si>
  <si>
    <t xml:space="preserve">Metals &amp; Mining</t>
  </si>
  <si>
    <t xml:space="preserve">Office Equipment &amp; Services</t>
  </si>
  <si>
    <t xml:space="preserve">Oil/Gas (Integrated)</t>
  </si>
  <si>
    <t xml:space="preserve">Oil/Gas (Production and Exploration)</t>
  </si>
  <si>
    <t xml:space="preserve">Oil/Gas Distribution</t>
  </si>
  <si>
    <t xml:space="preserve">Oilfield Svcs/Equip.</t>
  </si>
  <si>
    <t xml:space="preserve">Packaging &amp; Container</t>
  </si>
  <si>
    <t xml:space="preserve">Paper/Forest Products</t>
  </si>
  <si>
    <t xml:space="preserve">Precious Metals</t>
  </si>
  <si>
    <t xml:space="preserve">Publishing &amp; Newspapers</t>
  </si>
  <si>
    <t xml:space="preserve">R.E.I.T.</t>
  </si>
  <si>
    <t xml:space="preserve">Real Estate (Development)</t>
  </si>
  <si>
    <t xml:space="preserve">Real Estate (General/Diversified)</t>
  </si>
  <si>
    <t xml:space="preserve">Real Estate (Operations &amp; Services)</t>
  </si>
  <si>
    <t xml:space="preserve">Recreation</t>
  </si>
  <si>
    <t xml:space="preserve">Reinsurance</t>
  </si>
  <si>
    <t xml:space="preserve">Restaurant/Dining</t>
  </si>
  <si>
    <t xml:space="preserve">Retail (Automotive)</t>
  </si>
  <si>
    <t xml:space="preserve">Retail (Building Supply)</t>
  </si>
  <si>
    <t xml:space="preserve">Retail (Distributors)</t>
  </si>
  <si>
    <t xml:space="preserve">Retail (General)</t>
  </si>
  <si>
    <t xml:space="preserve">Retail (Grocery and Food)</t>
  </si>
  <si>
    <t xml:space="preserve">Retail (REITs)</t>
  </si>
  <si>
    <t xml:space="preserve">Retail (Special Lines)</t>
  </si>
  <si>
    <t xml:space="preserve">Rubber&amp; Tires</t>
  </si>
  <si>
    <t xml:space="preserve">Semiconductor</t>
  </si>
  <si>
    <t xml:space="preserve">Semiconductor Equip</t>
  </si>
  <si>
    <t xml:space="preserve">Shipbuilding &amp; Marine</t>
  </si>
  <si>
    <t xml:space="preserve">Shoe</t>
  </si>
  <si>
    <t xml:space="preserve">Software (Entertainment)</t>
  </si>
  <si>
    <t xml:space="preserve">Software (Internet)</t>
  </si>
  <si>
    <t xml:space="preserve">Software (System &amp; Application)</t>
  </si>
  <si>
    <t xml:space="preserve">Steel</t>
  </si>
  <si>
    <t xml:space="preserve">Telecom (Wireless)</t>
  </si>
  <si>
    <t xml:space="preserve">Telecom. Equipment</t>
  </si>
  <si>
    <t xml:space="preserve">Telecom. Services</t>
  </si>
  <si>
    <t xml:space="preserve">Tobacco</t>
  </si>
  <si>
    <t xml:space="preserve">Transportation</t>
  </si>
  <si>
    <t xml:space="preserve">Transportation (Railroads)</t>
  </si>
  <si>
    <t xml:space="preserve">Trucking</t>
  </si>
  <si>
    <t xml:space="preserve">Utility (General)</t>
  </si>
  <si>
    <t xml:space="preserve">Utility (Water)</t>
  </si>
  <si>
    <t xml:space="preserve">Total Market</t>
  </si>
  <si>
    <t xml:space="preserve">Total Market (without financials)</t>
  </si>
  <si>
    <t xml:space="preserve">Beta Source: India</t>
  </si>
  <si>
    <t xml:space="preserve">NA</t>
  </si>
  <si>
    <t xml:space="preserve">Beta Source: Emerging Markets</t>
  </si>
  <si>
    <t xml:space="preserve">3. Interest Coverage -&gt; Rating -&gt; Spread (large firms)</t>
  </si>
  <si>
    <t xml:space="preserve">IC Greater Than</t>
  </si>
  <si>
    <t xml:space="preserve">IC Less Than</t>
  </si>
  <si>
    <t xml:space="preserve">Spread</t>
  </si>
  <si>
    <t xml:space="preserve">D2/D</t>
  </si>
  <si>
    <t xml:space="preserve">C2/C</t>
  </si>
  <si>
    <t xml:space="preserve">Ca2/CC</t>
  </si>
  <si>
    <t xml:space="preserve">Caa/CCC</t>
  </si>
  <si>
    <t xml:space="preserve">B3/B-</t>
  </si>
  <si>
    <t xml:space="preserve">B2/B</t>
  </si>
  <si>
    <t xml:space="preserve">B1/B+</t>
  </si>
  <si>
    <t xml:space="preserve">Ba2/BB</t>
  </si>
  <si>
    <t xml:space="preserve">Ba1/BB+</t>
  </si>
  <si>
    <t xml:space="preserve">Baa2/BBB</t>
  </si>
  <si>
    <t xml:space="preserve">A3/A-</t>
  </si>
  <si>
    <t xml:space="preserve">A2/A</t>
  </si>
  <si>
    <t xml:space="preserve">A1/A+</t>
  </si>
  <si>
    <t xml:space="preserve">Aa2/AA</t>
  </si>
  <si>
    <t xml:space="preserve">Aaa/AAA</t>
  </si>
</sst>
</file>

<file path=xl/styles.xml><?xml version="1.0" encoding="utf-8"?>
<styleSheet xmlns="http://schemas.openxmlformats.org/spreadsheetml/2006/main">
  <numFmts count="16">
    <numFmt numFmtId="164" formatCode="General"/>
    <numFmt numFmtId="165" formatCode="0.00"/>
    <numFmt numFmtId="166" formatCode="0.00%"/>
    <numFmt numFmtId="167" formatCode="#,##0;\(#,##0\)"/>
    <numFmt numFmtId="168" formatCode="0.0%"/>
    <numFmt numFmtId="169" formatCode="0.0"/>
    <numFmt numFmtId="170" formatCode="#,##0.00;\(#,##0.00\);\-"/>
    <numFmt numFmtId="171" formatCode="0.0%;\(0.0%\);\-"/>
    <numFmt numFmtId="172" formatCode="0.00\x;\(0.00&quot;x)&quot;;\-"/>
    <numFmt numFmtId="173" formatCode="0"/>
    <numFmt numFmtId="174" formatCode="#,##0.0;\(#,##0.0\);\-"/>
    <numFmt numFmtId="175" formatCode="0.000000;\(0.000000\);\-"/>
    <numFmt numFmtId="176" formatCode="#,##0"/>
    <numFmt numFmtId="177" formatCode="0.0000"/>
    <numFmt numFmtId="178" formatCode="0.000"/>
    <numFmt numFmtId="179" formatCode="#,##0.00;\(#,##0.00\);\-"/>
  </numFmts>
  <fonts count="47">
    <font>
      <sz val="11"/>
      <color theme="1"/>
      <name val="Calibri"/>
      <family val="2"/>
      <charset val="1"/>
    </font>
    <font>
      <sz val="10"/>
      <name val="Arial"/>
      <family val="0"/>
    </font>
    <font>
      <sz val="10"/>
      <name val="Arial"/>
      <family val="0"/>
    </font>
    <font>
      <sz val="10"/>
      <name val="Arial"/>
      <family val="0"/>
    </font>
    <font>
      <b val="true"/>
      <sz val="26"/>
      <color rgb="FF00978D"/>
      <name val="Calibri"/>
      <family val="0"/>
      <charset val="1"/>
    </font>
    <font>
      <sz val="13"/>
      <color rgb="FF808080"/>
      <name val="Calibri"/>
      <family val="0"/>
      <charset val="1"/>
    </font>
    <font>
      <i val="true"/>
      <sz val="11"/>
      <color rgb="FF808080"/>
      <name val="Calibri"/>
      <family val="0"/>
      <charset val="1"/>
    </font>
    <font>
      <b val="true"/>
      <sz val="13"/>
      <color rgb="FFFFFFFF"/>
      <name val="Calibri"/>
      <family val="0"/>
      <charset val="1"/>
    </font>
    <font>
      <sz val="11"/>
      <name val="Calibri"/>
      <family val="0"/>
      <charset val="1"/>
    </font>
    <font>
      <b val="true"/>
      <sz val="12"/>
      <color rgb="FF00978D"/>
      <name val="Calibri"/>
      <family val="0"/>
      <charset val="1"/>
    </font>
    <font>
      <u val="single"/>
      <sz val="11"/>
      <color rgb="FF00978D"/>
      <name val="Calibri"/>
      <family val="0"/>
      <charset val="1"/>
    </font>
    <font>
      <i val="true"/>
      <sz val="9"/>
      <color rgb="FF808080"/>
      <name val="Calibri"/>
      <family val="0"/>
      <charset val="1"/>
    </font>
    <font>
      <b val="true"/>
      <sz val="11"/>
      <color rgb="FFFFFFFF"/>
      <name val="Calibri"/>
      <family val="0"/>
      <charset val="1"/>
    </font>
    <font>
      <b val="true"/>
      <sz val="11"/>
      <name val="Calibri"/>
      <family val="0"/>
      <charset val="1"/>
    </font>
    <font>
      <sz val="11"/>
      <color rgb="FF0000FF"/>
      <name val="Calibri"/>
      <family val="0"/>
      <charset val="1"/>
    </font>
    <font>
      <b val="true"/>
      <sz val="14"/>
      <color rgb="FFFFFFFF"/>
      <name val="Calibri"/>
      <family val="0"/>
      <charset val="1"/>
    </font>
    <font>
      <b val="true"/>
      <sz val="12"/>
      <color rgb="FFFFFFFF"/>
      <name val="Calibri"/>
      <family val="0"/>
      <charset val="1"/>
    </font>
    <font>
      <sz val="11"/>
      <color rgb="FF008000"/>
      <name val="Calibri"/>
      <family val="0"/>
      <charset val="1"/>
    </font>
    <font>
      <b val="true"/>
      <sz val="11"/>
      <color rgb="FF000000"/>
      <name val="Calibri"/>
      <family val="0"/>
      <charset val="1"/>
    </font>
    <font>
      <b val="true"/>
      <i val="true"/>
      <sz val="11"/>
      <name val="Calibri"/>
      <family val="0"/>
      <charset val="1"/>
    </font>
    <font>
      <b val="true"/>
      <sz val="11"/>
      <color rgb="FF1F4E79"/>
      <name val="Calibri"/>
      <family val="0"/>
      <charset val="1"/>
    </font>
    <font>
      <b val="true"/>
      <sz val="12"/>
      <color rgb="FF1F4E79"/>
      <name val="Calibri"/>
      <family val="0"/>
      <charset val="1"/>
    </font>
    <font>
      <sz val="11"/>
      <color rgb="FF000000"/>
      <name val="Calibri"/>
      <family val="0"/>
      <charset val="1"/>
    </font>
    <font>
      <b val="true"/>
      <sz val="13"/>
      <name val="Calibri"/>
      <family val="0"/>
      <charset val="1"/>
    </font>
    <font>
      <b val="true"/>
      <sz val="9"/>
      <name val="Calibri"/>
      <family val="0"/>
      <charset val="1"/>
    </font>
    <font>
      <b val="true"/>
      <sz val="12"/>
      <name val="Calibri"/>
      <family val="0"/>
      <charset val="1"/>
    </font>
    <font>
      <sz val="7"/>
      <color rgb="FF808080"/>
      <name val="Calibri"/>
      <family val="0"/>
      <charset val="1"/>
    </font>
    <font>
      <sz val="9"/>
      <color rgb="FF008000"/>
      <name val="Calibri"/>
      <family val="0"/>
      <charset val="1"/>
    </font>
    <font>
      <b val="true"/>
      <sz val="14"/>
      <color rgb="FF00978D"/>
      <name val="Calibri"/>
      <family val="0"/>
      <charset val="1"/>
    </font>
    <font>
      <sz val="10"/>
      <color rgb="FF000000"/>
      <name val="Calibri"/>
      <family val="0"/>
      <charset val="1"/>
    </font>
    <font>
      <b val="true"/>
      <sz val="10"/>
      <color rgb="FF000000"/>
      <name val="Calibri"/>
      <family val="0"/>
      <charset val="1"/>
    </font>
    <font>
      <i val="true"/>
      <sz val="9"/>
      <color rgb="FF000000"/>
      <name val="Calibri"/>
      <family val="0"/>
      <charset val="1"/>
    </font>
    <font>
      <i val="true"/>
      <sz val="9"/>
      <name val="Calibri"/>
      <family val="0"/>
      <charset val="1"/>
    </font>
    <font>
      <b val="true"/>
      <sz val="10"/>
      <color rgb="FFC00000"/>
      <name val="Calibri"/>
      <family val="0"/>
      <charset val="1"/>
    </font>
    <font>
      <b val="true"/>
      <sz val="11"/>
      <color rgb="FF008000"/>
      <name val="Calibri"/>
      <family val="0"/>
      <charset val="1"/>
    </font>
    <font>
      <b val="true"/>
      <sz val="16"/>
      <color rgb="FF00978D"/>
      <name val="Calibri"/>
      <family val="0"/>
      <charset val="1"/>
    </font>
    <font>
      <b val="true"/>
      <sz val="11"/>
      <color rgb="FF00978D"/>
      <name val="Calibri"/>
      <family val="0"/>
      <charset val="1"/>
    </font>
    <font>
      <b val="true"/>
      <sz val="13"/>
      <color rgb="FF00978D"/>
      <name val="Calibri"/>
      <family val="0"/>
      <charset val="1"/>
    </font>
    <font>
      <b val="true"/>
      <i val="true"/>
      <sz val="9"/>
      <name val="Calibri"/>
      <family val="0"/>
      <charset val="1"/>
    </font>
    <font>
      <i val="true"/>
      <sz val="8"/>
      <color rgb="FF808080"/>
      <name val="Calibri"/>
      <family val="0"/>
      <charset val="1"/>
    </font>
    <font>
      <b val="true"/>
      <sz val="11"/>
      <color rgb="FF0000FF"/>
      <name val="Calibri"/>
      <family val="0"/>
      <charset val="1"/>
    </font>
    <font>
      <b val="true"/>
      <sz val="18"/>
      <color rgb="FFFFFFFF"/>
      <name val="Calibri"/>
      <family val="0"/>
      <charset val="1"/>
    </font>
    <font>
      <b val="true"/>
      <sz val="14"/>
      <name val="Calibri"/>
      <family val="0"/>
      <charset val="1"/>
    </font>
    <font>
      <b val="true"/>
      <sz val="8"/>
      <color rgb="FF808080"/>
      <name val="Calibri"/>
      <family val="0"/>
      <charset val="1"/>
    </font>
    <font>
      <sz val="8"/>
      <color rgb="FF808080"/>
      <name val="Calibri"/>
      <family val="0"/>
      <charset val="1"/>
    </font>
    <font>
      <b val="true"/>
      <sz val="16"/>
      <name val="Calibri"/>
      <family val="0"/>
      <charset val="1"/>
    </font>
    <font>
      <b val="true"/>
      <i val="true"/>
      <sz val="10"/>
      <color rgb="FF00978D"/>
      <name val="Calibri"/>
      <family val="0"/>
      <charset val="1"/>
    </font>
  </fonts>
  <fills count="7">
    <fill>
      <patternFill patternType="none"/>
    </fill>
    <fill>
      <patternFill patternType="gray125"/>
    </fill>
    <fill>
      <patternFill patternType="solid">
        <fgColor rgb="FF00978D"/>
        <bgColor rgb="FF008080"/>
      </patternFill>
    </fill>
    <fill>
      <patternFill patternType="solid">
        <fgColor rgb="FFFFF2CC"/>
        <bgColor rgb="FFFFFFFF"/>
      </patternFill>
    </fill>
    <fill>
      <patternFill patternType="solid">
        <fgColor rgb="FFD9EFEC"/>
        <bgColor rgb="FFD9E1F2"/>
      </patternFill>
    </fill>
    <fill>
      <patternFill patternType="solid">
        <fgColor rgb="FFD9E1F2"/>
        <bgColor rgb="FFD9EFEC"/>
      </patternFill>
    </fill>
    <fill>
      <patternFill patternType="solid">
        <fgColor rgb="FF000000"/>
        <bgColor rgb="FF000080"/>
      </patternFill>
    </fill>
  </fills>
  <borders count="14">
    <border diagonalUp="false" diagonalDown="false">
      <left/>
      <right/>
      <top/>
      <bottom/>
      <diagonal/>
    </border>
    <border diagonalUp="false" diagonalDown="false">
      <left/>
      <right/>
      <top style="thin"/>
      <bottom/>
      <diagonal/>
    </border>
    <border diagonalUp="false" diagonalDown="false">
      <left/>
      <right/>
      <top style="thin"/>
      <bottom style="double"/>
      <diagonal/>
    </border>
    <border diagonalUp="false" diagonalDown="false">
      <left/>
      <right/>
      <top/>
      <bottom style="thin"/>
      <diagonal/>
    </border>
    <border diagonalUp="false" diagonalDown="false">
      <left style="hair"/>
      <right style="hair"/>
      <top style="hair"/>
      <bottom/>
      <diagonal/>
    </border>
    <border diagonalUp="false" diagonalDown="false">
      <left style="hair"/>
      <right/>
      <top/>
      <bottom/>
      <diagonal/>
    </border>
    <border diagonalUp="false" diagonalDown="false">
      <left/>
      <right style="hair"/>
      <top/>
      <bottom/>
      <diagonal/>
    </border>
    <border diagonalUp="false" diagonalDown="false">
      <left style="hair"/>
      <right/>
      <top/>
      <bottom style="hair"/>
      <diagonal/>
    </border>
    <border diagonalUp="false" diagonalDown="false">
      <left/>
      <right/>
      <top/>
      <bottom style="hair"/>
      <diagonal/>
    </border>
    <border diagonalUp="false" diagonalDown="false">
      <left/>
      <right style="hair"/>
      <top/>
      <bottom style="hair"/>
      <diagonal/>
    </border>
    <border diagonalUp="false" diagonalDown="false">
      <left/>
      <right/>
      <top style="hair"/>
      <bottom style="hair"/>
      <diagonal/>
    </border>
    <border diagonalUp="false" diagonalDown="false">
      <left/>
      <right/>
      <top style="hair"/>
      <bottom/>
      <diagonal/>
    </border>
    <border diagonalUp="false" diagonalDown="false">
      <left/>
      <right/>
      <top style="dotted"/>
      <bottom/>
      <diagonal/>
    </border>
    <border diagonalUp="false" diagonalDown="false">
      <left style="dotted"/>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14" fillId="3"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14" fillId="3"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4" fillId="3"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4" fillId="3"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70" fontId="17"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70" fontId="18"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18"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70" fontId="17" fillId="0" borderId="3" xfId="0" applyFont="true" applyBorder="true" applyAlignment="false" applyProtection="false">
      <alignment horizontal="general" vertical="bottom" textRotation="0" wrapText="fals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0" fontId="22" fillId="0" borderId="3"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3" fontId="22" fillId="0" borderId="3" xfId="0" applyFont="true" applyBorder="tru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71" fontId="18" fillId="0" borderId="1" xfId="0" applyFont="true" applyBorder="true" applyAlignment="false" applyProtection="false">
      <alignment horizontal="general" vertical="bottom" textRotation="0" wrapText="false" indent="0" shrinkToFit="false"/>
      <protection locked="true" hidden="false"/>
    </xf>
    <xf numFmtId="175" fontId="18" fillId="0"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24" fillId="0" borderId="4"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5"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center" vertical="bottom" textRotation="0" wrapText="false" indent="0" shrinkToFit="false"/>
      <protection locked="true" hidden="false"/>
    </xf>
    <xf numFmtId="164" fontId="26" fillId="0" borderId="6" xfId="0" applyFont="true" applyBorder="true" applyAlignment="true" applyProtection="false">
      <alignment horizontal="center" vertical="bottom" textRotation="0" wrapText="false" indent="0" shrinkToFit="false"/>
      <protection locked="true" hidden="false"/>
    </xf>
    <xf numFmtId="171" fontId="27" fillId="0" borderId="7" xfId="0" applyFont="true" applyBorder="true" applyAlignment="true" applyProtection="false">
      <alignment horizontal="center" vertical="bottom" textRotation="0" wrapText="false" indent="0" shrinkToFit="false"/>
      <protection locked="true" hidden="false"/>
    </xf>
    <xf numFmtId="171" fontId="27" fillId="0" borderId="8" xfId="0" applyFont="true" applyBorder="true" applyAlignment="true" applyProtection="false">
      <alignment horizontal="center" vertical="bottom" textRotation="0" wrapText="false" indent="0" shrinkToFit="false"/>
      <protection locked="true" hidden="false"/>
    </xf>
    <xf numFmtId="171" fontId="27" fillId="0" borderId="9" xfId="0" applyFont="tru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74" fontId="27" fillId="0" borderId="7" xfId="0" applyFont="true" applyBorder="true" applyAlignment="true" applyProtection="false">
      <alignment horizontal="center" vertical="bottom" textRotation="0" wrapText="false" indent="0" shrinkToFit="false"/>
      <protection locked="true" hidden="false"/>
    </xf>
    <xf numFmtId="174" fontId="27" fillId="0" borderId="8" xfId="0" applyFont="true" applyBorder="true" applyAlignment="true" applyProtection="false">
      <alignment horizontal="center" vertical="bottom" textRotation="0" wrapText="false" indent="0" shrinkToFit="false"/>
      <protection locked="true" hidden="false"/>
    </xf>
    <xf numFmtId="174" fontId="27" fillId="0" borderId="9" xfId="0" applyFont="true" applyBorder="true" applyAlignment="true" applyProtection="false">
      <alignment horizontal="center" vertical="bottom"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72" fontId="27" fillId="0" borderId="7" xfId="0" applyFont="true" applyBorder="true" applyAlignment="true" applyProtection="false">
      <alignment horizontal="center" vertical="bottom" textRotation="0" wrapText="false" indent="0" shrinkToFit="false"/>
      <protection locked="true" hidden="false"/>
    </xf>
    <xf numFmtId="172" fontId="27" fillId="0" borderId="8" xfId="0" applyFont="true" applyBorder="true" applyAlignment="true" applyProtection="false">
      <alignment horizontal="center" vertical="bottom" textRotation="0" wrapText="false" indent="0" shrinkToFit="false"/>
      <protection locked="true" hidden="false"/>
    </xf>
    <xf numFmtId="172" fontId="27" fillId="0" borderId="9" xfId="0" applyFont="true" applyBorder="true" applyAlignment="true" applyProtection="false">
      <alignment horizontal="center" vertical="bottom" textRotation="0" wrapText="false" indent="0" shrinkToFit="false"/>
      <protection locked="true" hidden="false"/>
    </xf>
    <xf numFmtId="164" fontId="0" fillId="0" borderId="13" xfId="0" applyFont="fals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7" fontId="3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7" fontId="36"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4" fillId="3"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78"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6" fontId="36" fillId="0" borderId="0" xfId="0" applyFont="true" applyBorder="false" applyAlignment="false" applyProtection="false">
      <alignment horizontal="general" vertical="bottom" textRotation="0" wrapText="false" indent="0" shrinkToFit="false"/>
      <protection locked="true" hidden="false"/>
    </xf>
    <xf numFmtId="176"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6" fontId="3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8" fontId="32" fillId="0" borderId="0" xfId="0" applyFont="true" applyBorder="false" applyAlignment="false" applyProtection="false">
      <alignment horizontal="general" vertical="bottom" textRotation="0" wrapText="false" indent="0" shrinkToFit="false"/>
      <protection locked="true" hidden="false"/>
    </xf>
    <xf numFmtId="176" fontId="36"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65" fontId="37"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6" fontId="12" fillId="2"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76" fontId="14" fillId="3"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66" fontId="40" fillId="3"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41" fillId="6"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1"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1" shrinkToFit="false"/>
      <protection locked="true" hidden="false"/>
    </xf>
    <xf numFmtId="179" fontId="13"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1"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4" fontId="19" fillId="0" borderId="0" xfId="0" applyFont="true" applyBorder="false" applyAlignment="true" applyProtection="false">
      <alignment horizontal="general" vertical="bottom" textRotation="0" wrapText="false" indent="2" shrinkToFit="false"/>
      <protection locked="true" hidden="false"/>
    </xf>
    <xf numFmtId="164" fontId="8" fillId="0" borderId="0" xfId="0" applyFont="true" applyBorder="false" applyAlignment="true" applyProtection="false">
      <alignment horizontal="general" vertical="bottom" textRotation="0" wrapText="false" indent="3" shrinkToFit="false"/>
      <protection locked="true" hidden="false"/>
    </xf>
    <xf numFmtId="164" fontId="19" fillId="0" borderId="0" xfId="0" applyFont="true" applyBorder="false" applyAlignment="true" applyProtection="false">
      <alignment horizontal="general" vertical="bottom" textRotation="0" wrapText="false" indent="3" shrinkToFit="false"/>
      <protection locked="true" hidden="false"/>
    </xf>
    <xf numFmtId="164" fontId="8" fillId="0" borderId="0" xfId="0" applyFont="true" applyBorder="false" applyAlignment="true" applyProtection="false">
      <alignment horizontal="general" vertical="bottom" textRotation="0" wrapText="false" indent="4" shrinkToFit="false"/>
      <protection locked="true" hidden="false"/>
    </xf>
    <xf numFmtId="164" fontId="13" fillId="0" borderId="1" xfId="0" applyFont="true" applyBorder="true" applyAlignment="true" applyProtection="false">
      <alignment horizontal="general" vertical="bottom" textRotation="0" wrapText="false" indent="3" shrinkToFit="false"/>
      <protection locked="true" hidden="false"/>
    </xf>
    <xf numFmtId="164" fontId="13" fillId="0" borderId="1" xfId="0" applyFont="true" applyBorder="true" applyAlignment="true" applyProtection="false">
      <alignment horizontal="general" vertical="bottom" textRotation="0" wrapText="false" indent="4" shrinkToFit="false"/>
      <protection locked="true" hidden="false"/>
    </xf>
    <xf numFmtId="164" fontId="13" fillId="0" borderId="1" xfId="0" applyFont="true" applyBorder="true" applyAlignment="true" applyProtection="false">
      <alignment horizontal="general" vertical="bottom" textRotation="0" wrapText="false" indent="2" shrinkToFit="false"/>
      <protection locked="true" hidden="false"/>
    </xf>
    <xf numFmtId="164" fontId="19" fillId="0" borderId="0" xfId="0" applyFont="true" applyBorder="false" applyAlignment="true" applyProtection="false">
      <alignment horizontal="general" vertical="bottom" textRotation="0" wrapText="false" indent="4" shrinkToFit="false"/>
      <protection locked="true" hidden="false"/>
    </xf>
    <xf numFmtId="164" fontId="13" fillId="0" borderId="1" xfId="0" applyFont="true" applyBorder="true" applyAlignment="true" applyProtection="false">
      <alignment horizontal="general" vertical="bottom" textRotation="0" wrapText="false" indent="5"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5" shrinkToFit="false"/>
      <protection locked="true" hidden="false"/>
    </xf>
    <xf numFmtId="164" fontId="19" fillId="0" borderId="0" xfId="0" applyFont="true" applyBorder="false" applyAlignment="true" applyProtection="false">
      <alignment horizontal="general" vertical="bottom" textRotation="0" wrapText="false" indent="5" shrinkToFit="false"/>
      <protection locked="true" hidden="false"/>
    </xf>
    <xf numFmtId="164" fontId="8" fillId="0" borderId="0" xfId="0" applyFont="true" applyBorder="false" applyAlignment="true" applyProtection="false">
      <alignment horizontal="general" vertical="bottom" textRotation="0" wrapText="false" indent="6" shrinkToFit="false"/>
      <protection locked="true" hidden="false"/>
    </xf>
    <xf numFmtId="164" fontId="13" fillId="0" borderId="1" xfId="0" applyFont="true" applyBorder="true" applyAlignment="true" applyProtection="false">
      <alignment horizontal="general" vertical="bottom" textRotation="0" wrapText="false" indent="6" shrinkToFit="false"/>
      <protection locked="true" hidden="false"/>
    </xf>
    <xf numFmtId="164" fontId="19" fillId="0" borderId="0" xfId="0" applyFont="true" applyBorder="false" applyAlignment="true" applyProtection="false">
      <alignment horizontal="general" vertical="bottom" textRotation="0" wrapText="false" indent="6" shrinkToFit="false"/>
      <protection locked="true" hidden="false"/>
    </xf>
    <xf numFmtId="164" fontId="8" fillId="0" borderId="0" xfId="0" applyFont="true" applyBorder="false" applyAlignment="true" applyProtection="false">
      <alignment horizontal="general" vertical="bottom" textRotation="0" wrapText="false" indent="7" shrinkToFit="false"/>
      <protection locked="true" hidden="false"/>
    </xf>
    <xf numFmtId="164" fontId="13" fillId="0" borderId="1" xfId="0" applyFont="true" applyBorder="true" applyAlignment="true" applyProtection="false">
      <alignment horizontal="general" vertical="bottom" textRotation="0" wrapText="false" indent="7"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Calibri"/>
        <charset val="1"/>
        <family val="0"/>
        <b val="1"/>
        <color rgb="FF9C0006"/>
      </font>
      <fill>
        <patternFill>
          <bgColor rgb="FFFFC7CE"/>
        </patternFill>
      </fill>
    </dxf>
    <dxf>
      <font>
        <name val="Calibri"/>
        <charset val="1"/>
        <family val="0"/>
        <b val="1"/>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978D"/>
      <rgbColor rgb="FFC0C0C0"/>
      <rgbColor rgb="FF808080"/>
      <rgbColor rgb="FF9999FF"/>
      <rgbColor rgb="FF993366"/>
      <rgbColor rgb="FFFFF2CC"/>
      <rgbColor rgb="FFD9EFEC"/>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uzlon_DCF_FIXED_20260825.xlsx" TargetMode="External"/><Relationship Id="rId2" Type="http://schemas.openxmlformats.org/officeDocument/2006/relationships/hyperlink" Target="../Suzlon_DCF_FIXED_20260825.xlsx" TargetMode="External"/><Relationship Id="rId3" Type="http://schemas.openxmlformats.org/officeDocument/2006/relationships/hyperlink" Target="../Suzlon_DCF_FIXED_20260825.xlsx" TargetMode="External"/><Relationship Id="rId4" Type="http://schemas.openxmlformats.org/officeDocument/2006/relationships/hyperlink" Target="../Suzlon_DCF_FIXED_20260825.xlsx" TargetMode="External"/><Relationship Id="rId5" Type="http://schemas.openxmlformats.org/officeDocument/2006/relationships/hyperlink" Target="../Suzlon_DCF_FIXED_20260825.xlsx" TargetMode="External"/><Relationship Id="rId6" Type="http://schemas.openxmlformats.org/officeDocument/2006/relationships/hyperlink" Target="../Suzlon_DCF_FIXED_20260825.xlsx" TargetMode="External"/><Relationship Id="rId7" Type="http://schemas.openxmlformats.org/officeDocument/2006/relationships/hyperlink" Target="../Suzlon_DCF_FIXED_20260825.xlsx" TargetMode="External"/><Relationship Id="rId8" Type="http://schemas.openxmlformats.org/officeDocument/2006/relationships/hyperlink" Target="../Suzlon_DCF_FIXED_20260825.xlsx" TargetMode="External"/><Relationship Id="rId9" Type="http://schemas.openxmlformats.org/officeDocument/2006/relationships/hyperlink" Target="../Suzlon_DCF_FIXED_20260825.xlsx" TargetMode="External"/><Relationship Id="rId10" Type="http://schemas.openxmlformats.org/officeDocument/2006/relationships/hyperlink" Target="../Suzlon_DCF_FIXED_20260825.xlsx" TargetMode="External"/><Relationship Id="rId11" Type="http://schemas.openxmlformats.org/officeDocument/2006/relationships/hyperlink" Target="../Suzlon_DCF_FIXED_20260825.xlsx" TargetMode="External"/><Relationship Id="rId12" Type="http://schemas.openxmlformats.org/officeDocument/2006/relationships/hyperlink" Target="../Suzlon_DCF_FIXED_20260825.xlsx" TargetMode="External"/><Relationship Id="rId13" Type="http://schemas.openxmlformats.org/officeDocument/2006/relationships/hyperlink" Target="../Suzlon_DCF_FIXED_20260825.xlsx" TargetMode="External"/><Relationship Id="rId14" Type="http://schemas.openxmlformats.org/officeDocument/2006/relationships/hyperlink" Target="../Suzlon_DCF_FIXED_20260825.xlsx" TargetMode="External"/><Relationship Id="rId15" Type="http://schemas.openxmlformats.org/officeDocument/2006/relationships/hyperlink" Target="../Suzlon_DCF_FIXED_20260825.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40"/>
    <col collapsed="false" customWidth="true" hidden="false" outlineLevel="0" max="3" min="3" style="0" width="24"/>
    <col collapsed="false" customWidth="true" hidden="false" outlineLevel="0" max="4" min="4" style="0" width="40"/>
  </cols>
  <sheetData>
    <row r="2" customFormat="false" ht="31.5" hidden="false" customHeight="false" outlineLevel="0" collapsed="false">
      <c r="B2" s="1" t="s">
        <v>0</v>
      </c>
    </row>
    <row r="3" customFormat="false" ht="16.15" hidden="false" customHeight="false" outlineLevel="0" collapsed="false">
      <c r="B3" s="2" t="s">
        <v>1</v>
      </c>
    </row>
    <row r="4" customFormat="false" ht="15" hidden="false" customHeight="false" outlineLevel="0" collapsed="false">
      <c r="B4" s="3" t="s">
        <v>2</v>
      </c>
    </row>
    <row r="7" customFormat="false" ht="16.15" hidden="false" customHeight="false" outlineLevel="0" collapsed="false">
      <c r="B7" s="4" t="s">
        <v>3</v>
      </c>
      <c r="C7" s="5"/>
    </row>
    <row r="8" customFormat="false" ht="15" hidden="false" customHeight="false" outlineLevel="0" collapsed="false">
      <c r="B8" s="6" t="s">
        <v>4</v>
      </c>
      <c r="C8" s="7" t="n">
        <f aca="false">DCF!C33</f>
        <v>52.0012132094114</v>
      </c>
    </row>
    <row r="9" customFormat="false" ht="15" hidden="false" customHeight="false" outlineLevel="0" collapsed="false">
      <c r="B9" s="6" t="s">
        <v>5</v>
      </c>
      <c r="C9" s="7" t="n">
        <f aca="false">'WACC Schedule'!$C6</f>
        <v>56.04</v>
      </c>
    </row>
    <row r="10" customFormat="false" ht="15" hidden="false" customHeight="false" outlineLevel="0" collapsed="false">
      <c r="B10" s="6" t="s">
        <v>6</v>
      </c>
      <c r="C10" s="8" t="n">
        <f aca="false">'WACC Schedule'!$C39</f>
        <v>0.0788672179514766</v>
      </c>
    </row>
    <row r="11" customFormat="false" ht="15" hidden="false" customHeight="false" outlineLevel="0" collapsed="false">
      <c r="B11" s="6" t="s">
        <v>7</v>
      </c>
      <c r="C11" s="8" t="n">
        <f aca="false">DCF!C22</f>
        <v>0.05</v>
      </c>
    </row>
    <row r="12" customFormat="false" ht="15" hidden="false" customHeight="false" outlineLevel="0" collapsed="false">
      <c r="B12" s="6" t="s">
        <v>8</v>
      </c>
      <c r="C12" s="9" t="str">
        <f aca="false">"10 years ("&amp;DCF!C5&amp;"-"&amp;DCF!L5&amp;")"</f>
        <v>10 years (FY2026E-FY2035E)</v>
      </c>
    </row>
    <row r="15" customFormat="false" ht="16.15" hidden="false" customHeight="false" outlineLevel="0" collapsed="false">
      <c r="B15" s="4" t="s">
        <v>9</v>
      </c>
      <c r="C15" s="5"/>
    </row>
    <row r="16" customFormat="false" ht="15" hidden="false" customHeight="false" outlineLevel="0" collapsed="false">
      <c r="B16" s="10" t="s">
        <v>10</v>
      </c>
    </row>
    <row r="17" customFormat="false" ht="15" hidden="false" customHeight="false" outlineLevel="0" collapsed="false">
      <c r="B17" s="10" t="s">
        <v>11</v>
      </c>
    </row>
    <row r="18" customFormat="false" ht="15" hidden="false" customHeight="false" outlineLevel="0" collapsed="false">
      <c r="B18" s="10" t="s">
        <v>12</v>
      </c>
    </row>
    <row r="19" customFormat="false" ht="15" hidden="false" customHeight="false" outlineLevel="0" collapsed="false">
      <c r="B19" s="10" t="s">
        <v>13</v>
      </c>
    </row>
    <row r="20" customFormat="false" ht="15" hidden="false" customHeight="false" outlineLevel="0" collapsed="false">
      <c r="B20" s="10" t="s">
        <v>14</v>
      </c>
    </row>
    <row r="21" customFormat="false" ht="15" hidden="false" customHeight="false" outlineLevel="0" collapsed="false">
      <c r="B21" s="10" t="s">
        <v>15</v>
      </c>
    </row>
    <row r="22" customFormat="false" ht="15" hidden="false" customHeight="false" outlineLevel="0" collapsed="false">
      <c r="B22" s="10" t="s">
        <v>16</v>
      </c>
    </row>
    <row r="23" customFormat="false" ht="15" hidden="false" customHeight="false" outlineLevel="0" collapsed="false">
      <c r="B23" s="10" t="s">
        <v>17</v>
      </c>
    </row>
    <row r="24" customFormat="false" ht="15" hidden="false" customHeight="false" outlineLevel="0" collapsed="false">
      <c r="B24" s="10" t="s">
        <v>18</v>
      </c>
    </row>
    <row r="25" customFormat="false" ht="15" hidden="false" customHeight="false" outlineLevel="0" collapsed="false">
      <c r="B25" s="10" t="s">
        <v>19</v>
      </c>
    </row>
    <row r="26" customFormat="false" ht="15" hidden="false" customHeight="false" outlineLevel="0" collapsed="false">
      <c r="B26" s="10" t="s">
        <v>20</v>
      </c>
    </row>
    <row r="27" customFormat="false" ht="15" hidden="false" customHeight="false" outlineLevel="0" collapsed="false">
      <c r="B27" s="10" t="s">
        <v>21</v>
      </c>
    </row>
    <row r="28" customFormat="false" ht="15" hidden="false" customHeight="false" outlineLevel="0" collapsed="false">
      <c r="B28" s="10" t="s">
        <v>22</v>
      </c>
    </row>
    <row r="29" customFormat="false" ht="15" hidden="false" customHeight="false" outlineLevel="0" collapsed="false">
      <c r="B29" s="10" t="s">
        <v>23</v>
      </c>
    </row>
    <row r="30" customFormat="false" ht="15" hidden="false" customHeight="false" outlineLevel="0" collapsed="false">
      <c r="B30" s="10" t="s">
        <v>24</v>
      </c>
    </row>
    <row r="33" customFormat="false" ht="30" hidden="false" customHeight="true" outlineLevel="0" collapsed="false">
      <c r="B33" s="11" t="s">
        <v>25</v>
      </c>
      <c r="C33" s="11"/>
      <c r="D33" s="11"/>
    </row>
  </sheetData>
  <mergeCells count="1">
    <mergeCell ref="B33:D33"/>
  </mergeCells>
  <hyperlinks>
    <hyperlink ref="B16" r:id="rId1" location="'Inputs%20&amp;%20Assumptions'!A1" display="Inputs &amp; Assumptions"/>
    <hyperlink ref="B17" r:id="rId2" location="'HIST_CON'!A1" display="HIST_CON"/>
    <hyperlink ref="B18" r:id="rId3" location="'HIST_STAND'!A1" display="HIST_STAND"/>
    <hyperlink ref="B19" r:id="rId4" location="'RATIO_ANALYSIS'!A1" display="RATIO_ANALYSIS"/>
    <hyperlink ref="B20" r:id="rId5" location="'DUPONT_ANALYSIS'!A1" display="DUPONT_ANALYSIS"/>
    <hyperlink ref="B21" r:id="rId6" location="'Schedules'!A1" display="Schedules"/>
    <hyperlink ref="B22" r:id="rId7" location="'P&amp;L%20Schedule'!A1" display="P&amp;L Schedule"/>
    <hyperlink ref="B23" r:id="rId8" location="'WACC%20Schedule'!A1" display="WACC Schedule"/>
    <hyperlink ref="B24" r:id="rId9" location="'DCF'!A1" display="DCF"/>
    <hyperlink ref="B25" r:id="rId10" location="'Sensitivity%20Tables'!A1" display="Sensitivity Tables"/>
    <hyperlink ref="B26" r:id="rId11" location="'Growth%20Rate%20Methods'!A1" display="Growth Rate Methods"/>
    <hyperlink ref="B27" r:id="rId12" location="'RAW_DATA'!A1" display="RAW_DATA"/>
    <hyperlink ref="B28" r:id="rId13" location="'HS_CONSOLIDATED'!A1" display="HS_CONSOLIDATED"/>
    <hyperlink ref="B29" r:id="rId14" location="'HS_STANDALONE'!A1" display="HS_STANDALONE"/>
    <hyperlink ref="B30" r:id="rId15" location="'Damodaran%20Data'!A1" display="Damodaran Data"/>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5" hidden="false" customHeight="false" outlineLevel="0" collapsed="false">
      <c r="A1" s="0" t="s">
        <v>26</v>
      </c>
      <c r="B1" s="0" t="s">
        <v>27</v>
      </c>
    </row>
    <row r="3" customFormat="false" ht="15" hidden="false" customHeight="false" outlineLevel="0" collapsed="false">
      <c r="B3" s="12" t="s">
        <v>28</v>
      </c>
      <c r="C3" s="12" t="s">
        <v>29</v>
      </c>
      <c r="D3" s="12" t="s">
        <v>30</v>
      </c>
      <c r="E3" s="12" t="s">
        <v>31</v>
      </c>
      <c r="F3" s="12" t="s">
        <v>32</v>
      </c>
      <c r="G3" s="12" t="s">
        <v>33</v>
      </c>
      <c r="H3" s="12" t="s">
        <v>34</v>
      </c>
      <c r="I3" s="12" t="s">
        <v>35</v>
      </c>
      <c r="J3" s="12" t="s">
        <v>36</v>
      </c>
      <c r="K3" s="12" t="s">
        <v>37</v>
      </c>
      <c r="L3" s="12" t="s">
        <v>38</v>
      </c>
      <c r="M3" s="12" t="s">
        <v>39</v>
      </c>
      <c r="N3" s="12" t="s">
        <v>40</v>
      </c>
      <c r="O3" s="12" t="s">
        <v>41</v>
      </c>
      <c r="P3" s="12" t="s">
        <v>42</v>
      </c>
      <c r="Q3" s="12" t="s">
        <v>43</v>
      </c>
      <c r="R3" s="12" t="s">
        <v>44</v>
      </c>
      <c r="S3" s="12" t="s">
        <v>45</v>
      </c>
      <c r="T3" s="12" t="s">
        <v>46</v>
      </c>
      <c r="U3" s="12" t="s">
        <v>47</v>
      </c>
    </row>
    <row r="5" customFormat="false" ht="15" hidden="false" customHeight="false" outlineLevel="0" collapsed="false">
      <c r="A5" s="0" t="s">
        <v>26</v>
      </c>
      <c r="B5" s="13" t="s">
        <v>48</v>
      </c>
    </row>
    <row r="7" customFormat="false" ht="15" hidden="false" customHeight="false" outlineLevel="0" collapsed="false">
      <c r="B7" s="0" t="s">
        <v>49</v>
      </c>
      <c r="C7" s="14" t="n">
        <v>1</v>
      </c>
    </row>
    <row r="8" customFormat="false" ht="15" hidden="false" customHeight="false" outlineLevel="0" collapsed="false">
      <c r="B8" s="0" t="s">
        <v>50</v>
      </c>
      <c r="C8" s="15"/>
    </row>
    <row r="10" customFormat="false" ht="15" hidden="false" customHeight="false" outlineLevel="0" collapsed="false">
      <c r="A10" s="0" t="s">
        <v>26</v>
      </c>
      <c r="B10" s="13" t="s">
        <v>51</v>
      </c>
    </row>
    <row r="12" customFormat="false" ht="15" hidden="false" customHeight="false" outlineLevel="0" collapsed="false">
      <c r="B12" s="0" t="s">
        <v>52</v>
      </c>
      <c r="C12" s="16" t="n">
        <f aca="false">MIN(SLOPE(Schedules!C18:K18,Schedules!C12:K12),'WACC Schedule'!$C$21)</f>
        <v>-0.00353482348130765</v>
      </c>
      <c r="D12" s="16" t="n">
        <f aca="false">$C$12</f>
        <v>-0.00353482348130765</v>
      </c>
      <c r="E12" s="16" t="n">
        <f aca="false">$C$12</f>
        <v>-0.00353482348130765</v>
      </c>
      <c r="F12" s="16" t="n">
        <f aca="false">$C$12</f>
        <v>-0.00353482348130765</v>
      </c>
      <c r="G12" s="16" t="n">
        <f aca="false">$C$12</f>
        <v>-0.00353482348130765</v>
      </c>
      <c r="H12" s="16" t="n">
        <f aca="false">$C$12</f>
        <v>-0.00353482348130765</v>
      </c>
      <c r="I12" s="16" t="n">
        <f aca="false">$C$12</f>
        <v>-0.00353482348130765</v>
      </c>
      <c r="J12" s="16" t="n">
        <f aca="false">$C$12</f>
        <v>-0.00353482348130765</v>
      </c>
      <c r="K12" s="16" t="n">
        <f aca="false">$C$12</f>
        <v>-0.00353482348130765</v>
      </c>
      <c r="L12" s="16" t="n">
        <f aca="false">$C$12</f>
        <v>-0.00353482348130765</v>
      </c>
    </row>
    <row r="13" customFormat="false" ht="15" hidden="false" customHeight="false" outlineLevel="0" collapsed="false">
      <c r="B13" s="0" t="s">
        <v>53</v>
      </c>
      <c r="C13" s="15" t="n">
        <v>0.05</v>
      </c>
      <c r="D13" s="15"/>
      <c r="E13" s="15"/>
      <c r="F13" s="15"/>
      <c r="G13" s="15"/>
      <c r="H13" s="15"/>
      <c r="I13" s="15"/>
      <c r="J13" s="15"/>
      <c r="K13" s="15"/>
      <c r="L13" s="15"/>
    </row>
    <row r="15" customFormat="false" ht="15" hidden="false" customHeight="false" outlineLevel="0" collapsed="false">
      <c r="B15" s="0" t="s">
        <v>54</v>
      </c>
      <c r="C15" s="14" t="n">
        <v>6</v>
      </c>
    </row>
    <row r="16" customFormat="false" ht="15" hidden="false" customHeight="false" outlineLevel="0" collapsed="false">
      <c r="B16" s="0" t="s">
        <v>55</v>
      </c>
      <c r="C16" s="15"/>
    </row>
    <row r="18" customFormat="false" ht="15" hidden="false" customHeight="false" outlineLevel="0" collapsed="false">
      <c r="B18" s="0" t="s">
        <v>56</v>
      </c>
      <c r="C18" s="16" t="n">
        <f aca="false">IFERROR(IF('Inputs &amp; Assumptions'!$C$13="",'Inputs &amp; Assumptions'!$C$12,'Inputs &amp; Assumptions'!$C$13)+(IF('Inputs &amp; Assumptions'!$C$19="",SLOPE(Schedules!I13:K13,Schedules!I12:K12),'Inputs &amp; Assumptions'!$C$19)-(IF('Inputs &amp; Assumptions'!$C$13="",'Inputs &amp; Assumptions'!$C$12,'Inputs &amp; Assumptions'!$C$13)))*0.5^(1/(IF('Inputs &amp; Assumptions'!$C$16="",'Inputs &amp; Assumptions'!$C$15,'Inputs &amp; Assumptions'!$C$16))),IF('Inputs &amp; Assumptions'!$C$13="",'Inputs &amp; Assumptions'!$C$12,'Inputs &amp; Assumptions'!$C$13))</f>
        <v>0.317269615442102</v>
      </c>
      <c r="D18" s="16" t="n">
        <f aca="false">IFERROR(IF('Inputs &amp; Assumptions'!$C$13="",'Inputs &amp; Assumptions'!$C$12,'Inputs &amp; Assumptions'!$C$13)+(IF('Inputs &amp; Assumptions'!$C$19="",SLOPE(Schedules!I13:K13,Schedules!I12:K12),'Inputs &amp; Assumptions'!$C$19)-(IF('Inputs &amp; Assumptions'!$C$13="",'Inputs &amp; Assumptions'!$C$12,'Inputs &amp; Assumptions'!$C$13)))*0.5^(2/(IF('Inputs &amp; Assumptions'!$C$16="",'Inputs &amp; Assumptions'!$C$15,'Inputs &amp; Assumptions'!$C$16))),IF('Inputs &amp; Assumptions'!$C$13="",'Inputs &amp; Assumptions'!$C$12,'Inputs &amp; Assumptions'!$C$13))</f>
        <v>0.28811015779523</v>
      </c>
      <c r="E18" s="16" t="n">
        <f aca="false">IFERROR(IF('Inputs &amp; Assumptions'!$C$13="",'Inputs &amp; Assumptions'!$C$12,'Inputs &amp; Assumptions'!$C$13)+(IF('Inputs &amp; Assumptions'!$C$19="",SLOPE(Schedules!I13:K13,Schedules!I12:K12),'Inputs &amp; Assumptions'!$C$19)-(IF('Inputs &amp; Assumptions'!$C$13="",'Inputs &amp; Assumptions'!$C$12,'Inputs &amp; Assumptions'!$C$13)))*0.5^(3/(IF('Inputs &amp; Assumptions'!$C$16="",'Inputs &amp; Assumptions'!$C$15,'Inputs &amp; Assumptions'!$C$16))),IF('Inputs &amp; Assumptions'!$C$13="",'Inputs &amp; Assumptions'!$C$12,'Inputs &amp; Assumptions'!$C$13))</f>
        <v>0.262132034355964</v>
      </c>
      <c r="F18" s="16" t="n">
        <f aca="false">IFERROR(IF('Inputs &amp; Assumptions'!$C$13="",'Inputs &amp; Assumptions'!$C$12,'Inputs &amp; Assumptions'!$C$13)+(IF('Inputs &amp; Assumptions'!$C$19="",SLOPE(Schedules!I13:K13,Schedules!I12:K12),'Inputs &amp; Assumptions'!$C$19)-(IF('Inputs &amp; Assumptions'!$C$13="",'Inputs &amp; Assumptions'!$C$12,'Inputs &amp; Assumptions'!$C$13)))*0.5^(4/(IF('Inputs &amp; Assumptions'!$C$16="",'Inputs &amp; Assumptions'!$C$15,'Inputs &amp; Assumptions'!$C$16))),IF('Inputs &amp; Assumptions'!$C$13="",'Inputs &amp; Assumptions'!$C$12,'Inputs &amp; Assumptions'!$C$13))</f>
        <v>0.238988157484231</v>
      </c>
      <c r="G18" s="16" t="n">
        <f aca="false">IFERROR(IF('Inputs &amp; Assumptions'!$C$13="",'Inputs &amp; Assumptions'!$C$12,'Inputs &amp; Assumptions'!$C$13)+(IF('Inputs &amp; Assumptions'!$C$19="",SLOPE(Schedules!I13:K13,Schedules!I12:K12),'Inputs &amp; Assumptions'!$C$19)-(IF('Inputs &amp; Assumptions'!$C$13="",'Inputs &amp; Assumptions'!$C$12,'Inputs &amp; Assumptions'!$C$13)))*0.5^(5/(IF('Inputs &amp; Assumptions'!$C$16="",'Inputs &amp; Assumptions'!$C$15,'Inputs &amp; Assumptions'!$C$16))),IF('Inputs &amp; Assumptions'!$C$13="",'Inputs &amp; Assumptions'!$C$12,'Inputs &amp; Assumptions'!$C$13))</f>
        <v>0.218369307246406</v>
      </c>
      <c r="H18" s="16" t="n">
        <f aca="false">IFERROR(IF('Inputs &amp; Assumptions'!$C$13="",'Inputs &amp; Assumptions'!$C$12,'Inputs &amp; Assumptions'!$C$13)+(IF('Inputs &amp; Assumptions'!$C$19="",SLOPE(Schedules!I13:K13,Schedules!I12:K12),'Inputs &amp; Assumptions'!$C$19)-(IF('Inputs &amp; Assumptions'!$C$13="",'Inputs &amp; Assumptions'!$C$12,'Inputs &amp; Assumptions'!$C$13)))*0.5^(6/(IF('Inputs &amp; Assumptions'!$C$16="",'Inputs &amp; Assumptions'!$C$15,'Inputs &amp; Assumptions'!$C$16))),IF('Inputs &amp; Assumptions'!$C$13="",'Inputs &amp; Assumptions'!$C$12,'Inputs &amp; Assumptions'!$C$13))</f>
        <v>0.2</v>
      </c>
      <c r="I18" s="16" t="n">
        <f aca="false">IFERROR(IF('Inputs &amp; Assumptions'!$C$13="",'Inputs &amp; Assumptions'!$C$12,'Inputs &amp; Assumptions'!$C$13)+(IF('Inputs &amp; Assumptions'!$C$19="",SLOPE(Schedules!I13:K13,Schedules!I12:K12),'Inputs &amp; Assumptions'!$C$19)-(IF('Inputs &amp; Assumptions'!$C$13="",'Inputs &amp; Assumptions'!$C$12,'Inputs &amp; Assumptions'!$C$13)))*0.5^(7/(IF('Inputs &amp; Assumptions'!$C$16="",'Inputs &amp; Assumptions'!$C$15,'Inputs &amp; Assumptions'!$C$16))),IF('Inputs &amp; Assumptions'!$C$13="",'Inputs &amp; Assumptions'!$C$12,'Inputs &amp; Assumptions'!$C$13))</f>
        <v>0.183634807721051</v>
      </c>
      <c r="J18" s="16" t="n">
        <f aca="false">IFERROR(IF('Inputs &amp; Assumptions'!$C$13="",'Inputs &amp; Assumptions'!$C$12,'Inputs &amp; Assumptions'!$C$13)+(IF('Inputs &amp; Assumptions'!$C$19="",SLOPE(Schedules!I13:K13,Schedules!I12:K12),'Inputs &amp; Assumptions'!$C$19)-(IF('Inputs &amp; Assumptions'!$C$13="",'Inputs &amp; Assumptions'!$C$12,'Inputs &amp; Assumptions'!$C$13)))*0.5^(8/(IF('Inputs &amp; Assumptions'!$C$16="",'Inputs &amp; Assumptions'!$C$15,'Inputs &amp; Assumptions'!$C$16))),IF('Inputs &amp; Assumptions'!$C$13="",'Inputs &amp; Assumptions'!$C$12,'Inputs &amp; Assumptions'!$C$13))</f>
        <v>0.169055078897615</v>
      </c>
      <c r="K18" s="16" t="n">
        <f aca="false">IFERROR(IF('Inputs &amp; Assumptions'!$C$13="",'Inputs &amp; Assumptions'!$C$12,'Inputs &amp; Assumptions'!$C$13)+(IF('Inputs &amp; Assumptions'!$C$19="",SLOPE(Schedules!I13:K13,Schedules!I12:K12),'Inputs &amp; Assumptions'!$C$19)-(IF('Inputs &amp; Assumptions'!$C$13="",'Inputs &amp; Assumptions'!$C$12,'Inputs &amp; Assumptions'!$C$13)))*0.5^(9/(IF('Inputs &amp; Assumptions'!$C$16="",'Inputs &amp; Assumptions'!$C$15,'Inputs &amp; Assumptions'!$C$16))),IF('Inputs &amp; Assumptions'!$C$13="",'Inputs &amp; Assumptions'!$C$12,'Inputs &amp; Assumptions'!$C$13))</f>
        <v>0.156066017177982</v>
      </c>
      <c r="L18" s="16" t="n">
        <f aca="false">IFERROR(IF('Inputs &amp; Assumptions'!$C$13="",'Inputs &amp; Assumptions'!$C$12,'Inputs &amp; Assumptions'!$C$13)+(IF('Inputs &amp; Assumptions'!$C$19="",SLOPE(Schedules!I13:K13,Schedules!I12:K12),'Inputs &amp; Assumptions'!$C$19)-(IF('Inputs &amp; Assumptions'!$C$13="",'Inputs &amp; Assumptions'!$C$12,'Inputs &amp; Assumptions'!$C$13)))*0.5^(10/(IF('Inputs &amp; Assumptions'!$C$16="",'Inputs &amp; Assumptions'!$C$15,'Inputs &amp; Assumptions'!$C$16))),IF('Inputs &amp; Assumptions'!$C$13="",'Inputs &amp; Assumptions'!$C$12,'Inputs &amp; Assumptions'!$C$13))</f>
        <v>0.144494078742116</v>
      </c>
    </row>
    <row r="19" customFormat="false" ht="15" hidden="false" customHeight="false" outlineLevel="0" collapsed="false">
      <c r="B19" s="0" t="s">
        <v>57</v>
      </c>
      <c r="C19" s="15" t="n">
        <v>0.35</v>
      </c>
      <c r="D19" s="15" t="n">
        <v>0.35</v>
      </c>
      <c r="E19" s="15" t="n">
        <v>0.35</v>
      </c>
      <c r="F19" s="15" t="n">
        <v>0.35</v>
      </c>
      <c r="G19" s="15" t="n">
        <v>0.35</v>
      </c>
      <c r="H19" s="15" t="n">
        <v>0.35</v>
      </c>
      <c r="I19" s="15" t="n">
        <v>0.35</v>
      </c>
      <c r="J19" s="15" t="n">
        <v>0.35</v>
      </c>
      <c r="K19" s="15" t="n">
        <v>0.35</v>
      </c>
      <c r="L19" s="15" t="n">
        <v>0.35</v>
      </c>
    </row>
    <row r="21" customFormat="false" ht="15" hidden="false" customHeight="false" outlineLevel="0" collapsed="false">
      <c r="A21" s="0" t="s">
        <v>26</v>
      </c>
      <c r="B21" s="13" t="s">
        <v>58</v>
      </c>
    </row>
    <row r="23" customFormat="false" ht="15" hidden="false" customHeight="false" outlineLevel="0" collapsed="false">
      <c r="B23" s="0" t="s">
        <v>59</v>
      </c>
      <c r="C23" s="17" t="n">
        <f aca="false">AVERAGE(Schedules!I24:K24)</f>
        <v>0.00414511537760114</v>
      </c>
      <c r="D23" s="17" t="n">
        <f aca="false">$C$23</f>
        <v>0.00414511537760114</v>
      </c>
      <c r="E23" s="17" t="n">
        <f aca="false">$C$23</f>
        <v>0.00414511537760114</v>
      </c>
      <c r="F23" s="17" t="n">
        <f aca="false">$C$23</f>
        <v>0.00414511537760114</v>
      </c>
      <c r="G23" s="17" t="n">
        <f aca="false">$C$23</f>
        <v>0.00414511537760114</v>
      </c>
      <c r="H23" s="17" t="n">
        <f aca="false">$C$23</f>
        <v>0.00414511537760114</v>
      </c>
      <c r="I23" s="17" t="n">
        <f aca="false">$C$23</f>
        <v>0.00414511537760114</v>
      </c>
      <c r="J23" s="17" t="n">
        <f aca="false">$C$23</f>
        <v>0.00414511537760114</v>
      </c>
      <c r="K23" s="17" t="n">
        <f aca="false">$C$23</f>
        <v>0.00414511537760114</v>
      </c>
      <c r="L23" s="17" t="n">
        <f aca="false">$C$23</f>
        <v>0.00414511537760114</v>
      </c>
    </row>
    <row r="24" customFormat="false" ht="15" hidden="false" customHeight="false" outlineLevel="0" collapsed="false">
      <c r="B24" s="0" t="s">
        <v>60</v>
      </c>
      <c r="C24" s="18"/>
      <c r="D24" s="18"/>
      <c r="E24" s="18"/>
      <c r="F24" s="18"/>
      <c r="G24" s="18"/>
      <c r="H24" s="18"/>
      <c r="I24" s="18"/>
      <c r="J24" s="18"/>
      <c r="K24" s="18"/>
      <c r="L24" s="18"/>
    </row>
    <row r="26" customFormat="false" ht="15" hidden="false" customHeight="false" outlineLevel="0" collapsed="false">
      <c r="B26" s="0" t="s">
        <v>61</v>
      </c>
      <c r="C26" s="16" t="n">
        <f aca="false">IFERROR(IF('Inputs &amp; Assumptions'!$C$13="",'Inputs &amp; Assumptions'!$C$12,'Inputs &amp; Assumptions'!$C$13)+(IF('Inputs &amp; Assumptions'!$C$27="",SLOPE(Schedules!I25:K25,Schedules!I12:K12),'Inputs &amp; Assumptions'!$C$27)-(IF('Inputs &amp; Assumptions'!$C$13="",'Inputs &amp; Assumptions'!$C$12,'Inputs &amp; Assumptions'!$C$13)))*0.5^(1/(IF('Inputs &amp; Assumptions'!$C$16="",'Inputs &amp; Assumptions'!$C$15,'Inputs &amp; Assumptions'!$C$16))),IF('Inputs &amp; Assumptions'!$C$13="",'Inputs &amp; Assumptions'!$C$12,'Inputs &amp; Assumptions'!$C$13))</f>
        <v>0.317269615442102</v>
      </c>
      <c r="D26" s="16" t="n">
        <f aca="false">IFERROR(IF('Inputs &amp; Assumptions'!$C$13="",'Inputs &amp; Assumptions'!$C$12,'Inputs &amp; Assumptions'!$C$13)+(IF('Inputs &amp; Assumptions'!$C$27="",SLOPE(Schedules!I25:K25,Schedules!I12:K12),'Inputs &amp; Assumptions'!$C$27)-(IF('Inputs &amp; Assumptions'!$C$13="",'Inputs &amp; Assumptions'!$C$12,'Inputs &amp; Assumptions'!$C$13)))*0.5^(2/(IF('Inputs &amp; Assumptions'!$C$16="",'Inputs &amp; Assumptions'!$C$15,'Inputs &amp; Assumptions'!$C$16))),IF('Inputs &amp; Assumptions'!$C$13="",'Inputs &amp; Assumptions'!$C$12,'Inputs &amp; Assumptions'!$C$13))</f>
        <v>0.28811015779523</v>
      </c>
      <c r="E26" s="16" t="n">
        <f aca="false">IFERROR(IF('Inputs &amp; Assumptions'!$C$13="",'Inputs &amp; Assumptions'!$C$12,'Inputs &amp; Assumptions'!$C$13)+(IF('Inputs &amp; Assumptions'!$C$27="",SLOPE(Schedules!I25:K25,Schedules!I12:K12),'Inputs &amp; Assumptions'!$C$27)-(IF('Inputs &amp; Assumptions'!$C$13="",'Inputs &amp; Assumptions'!$C$12,'Inputs &amp; Assumptions'!$C$13)))*0.5^(3/(IF('Inputs &amp; Assumptions'!$C$16="",'Inputs &amp; Assumptions'!$C$15,'Inputs &amp; Assumptions'!$C$16))),IF('Inputs &amp; Assumptions'!$C$13="",'Inputs &amp; Assumptions'!$C$12,'Inputs &amp; Assumptions'!$C$13))</f>
        <v>0.262132034355964</v>
      </c>
      <c r="F26" s="16" t="n">
        <f aca="false">IFERROR(IF('Inputs &amp; Assumptions'!$C$13="",'Inputs &amp; Assumptions'!$C$12,'Inputs &amp; Assumptions'!$C$13)+(IF('Inputs &amp; Assumptions'!$C$27="",SLOPE(Schedules!I25:K25,Schedules!I12:K12),'Inputs &amp; Assumptions'!$C$27)-(IF('Inputs &amp; Assumptions'!$C$13="",'Inputs &amp; Assumptions'!$C$12,'Inputs &amp; Assumptions'!$C$13)))*0.5^(4/(IF('Inputs &amp; Assumptions'!$C$16="",'Inputs &amp; Assumptions'!$C$15,'Inputs &amp; Assumptions'!$C$16))),IF('Inputs &amp; Assumptions'!$C$13="",'Inputs &amp; Assumptions'!$C$12,'Inputs &amp; Assumptions'!$C$13))</f>
        <v>0.238988157484231</v>
      </c>
      <c r="G26" s="16" t="n">
        <f aca="false">IFERROR(IF('Inputs &amp; Assumptions'!$C$13="",'Inputs &amp; Assumptions'!$C$12,'Inputs &amp; Assumptions'!$C$13)+(IF('Inputs &amp; Assumptions'!$C$27="",SLOPE(Schedules!I25:K25,Schedules!I12:K12),'Inputs &amp; Assumptions'!$C$27)-(IF('Inputs &amp; Assumptions'!$C$13="",'Inputs &amp; Assumptions'!$C$12,'Inputs &amp; Assumptions'!$C$13)))*0.5^(5/(IF('Inputs &amp; Assumptions'!$C$16="",'Inputs &amp; Assumptions'!$C$15,'Inputs &amp; Assumptions'!$C$16))),IF('Inputs &amp; Assumptions'!$C$13="",'Inputs &amp; Assumptions'!$C$12,'Inputs &amp; Assumptions'!$C$13))</f>
        <v>0.218369307246406</v>
      </c>
      <c r="H26" s="16" t="n">
        <f aca="false">IFERROR(IF('Inputs &amp; Assumptions'!$C$13="",'Inputs &amp; Assumptions'!$C$12,'Inputs &amp; Assumptions'!$C$13)+(IF('Inputs &amp; Assumptions'!$C$27="",SLOPE(Schedules!I25:K25,Schedules!I12:K12),'Inputs &amp; Assumptions'!$C$27)-(IF('Inputs &amp; Assumptions'!$C$13="",'Inputs &amp; Assumptions'!$C$12,'Inputs &amp; Assumptions'!$C$13)))*0.5^(6/(IF('Inputs &amp; Assumptions'!$C$16="",'Inputs &amp; Assumptions'!$C$15,'Inputs &amp; Assumptions'!$C$16))),IF('Inputs &amp; Assumptions'!$C$13="",'Inputs &amp; Assumptions'!$C$12,'Inputs &amp; Assumptions'!$C$13))</f>
        <v>0.2</v>
      </c>
      <c r="I26" s="16" t="n">
        <f aca="false">IFERROR(IF('Inputs &amp; Assumptions'!$C$13="",'Inputs &amp; Assumptions'!$C$12,'Inputs &amp; Assumptions'!$C$13)+(IF('Inputs &amp; Assumptions'!$C$27="",SLOPE(Schedules!I25:K25,Schedules!I12:K12),'Inputs &amp; Assumptions'!$C$27)-(IF('Inputs &amp; Assumptions'!$C$13="",'Inputs &amp; Assumptions'!$C$12,'Inputs &amp; Assumptions'!$C$13)))*0.5^(7/(IF('Inputs &amp; Assumptions'!$C$16="",'Inputs &amp; Assumptions'!$C$15,'Inputs &amp; Assumptions'!$C$16))),IF('Inputs &amp; Assumptions'!$C$13="",'Inputs &amp; Assumptions'!$C$12,'Inputs &amp; Assumptions'!$C$13))</f>
        <v>0.183634807721051</v>
      </c>
      <c r="J26" s="16" t="n">
        <f aca="false">IFERROR(IF('Inputs &amp; Assumptions'!$C$13="",'Inputs &amp; Assumptions'!$C$12,'Inputs &amp; Assumptions'!$C$13)+(IF('Inputs &amp; Assumptions'!$C$27="",SLOPE(Schedules!I25:K25,Schedules!I12:K12),'Inputs &amp; Assumptions'!$C$27)-(IF('Inputs &amp; Assumptions'!$C$13="",'Inputs &amp; Assumptions'!$C$12,'Inputs &amp; Assumptions'!$C$13)))*0.5^(8/(IF('Inputs &amp; Assumptions'!$C$16="",'Inputs &amp; Assumptions'!$C$15,'Inputs &amp; Assumptions'!$C$16))),IF('Inputs &amp; Assumptions'!$C$13="",'Inputs &amp; Assumptions'!$C$12,'Inputs &amp; Assumptions'!$C$13))</f>
        <v>0.169055078897615</v>
      </c>
      <c r="K26" s="16" t="n">
        <f aca="false">IFERROR(IF('Inputs &amp; Assumptions'!$C$13="",'Inputs &amp; Assumptions'!$C$12,'Inputs &amp; Assumptions'!$C$13)+(IF('Inputs &amp; Assumptions'!$C$27="",SLOPE(Schedules!I25:K25,Schedules!I12:K12),'Inputs &amp; Assumptions'!$C$27)-(IF('Inputs &amp; Assumptions'!$C$13="",'Inputs &amp; Assumptions'!$C$12,'Inputs &amp; Assumptions'!$C$13)))*0.5^(9/(IF('Inputs &amp; Assumptions'!$C$16="",'Inputs &amp; Assumptions'!$C$15,'Inputs &amp; Assumptions'!$C$16))),IF('Inputs &amp; Assumptions'!$C$13="",'Inputs &amp; Assumptions'!$C$12,'Inputs &amp; Assumptions'!$C$13))</f>
        <v>0.156066017177982</v>
      </c>
      <c r="L26" s="16" t="n">
        <f aca="false">IFERROR(IF('Inputs &amp; Assumptions'!$C$13="",'Inputs &amp; Assumptions'!$C$12,'Inputs &amp; Assumptions'!$C$13)+(IF('Inputs &amp; Assumptions'!$C$27="",SLOPE(Schedules!I25:K25,Schedules!I12:K12),'Inputs &amp; Assumptions'!$C$27)-(IF('Inputs &amp; Assumptions'!$C$13="",'Inputs &amp; Assumptions'!$C$12,'Inputs &amp; Assumptions'!$C$13)))*0.5^(10/(IF('Inputs &amp; Assumptions'!$C$16="",'Inputs &amp; Assumptions'!$C$15,'Inputs &amp; Assumptions'!$C$16))),IF('Inputs &amp; Assumptions'!$C$13="",'Inputs &amp; Assumptions'!$C$12,'Inputs &amp; Assumptions'!$C$13))</f>
        <v>0.144494078742116</v>
      </c>
    </row>
    <row r="27" customFormat="false" ht="15" hidden="false" customHeight="false" outlineLevel="0" collapsed="false">
      <c r="B27" s="0" t="s">
        <v>62</v>
      </c>
      <c r="C27" s="15" t="n">
        <v>0.35</v>
      </c>
      <c r="D27" s="15" t="n">
        <v>0.35</v>
      </c>
      <c r="E27" s="15" t="n">
        <v>0.35</v>
      </c>
      <c r="F27" s="15" t="n">
        <v>0.35</v>
      </c>
      <c r="G27" s="15" t="n">
        <v>0.35</v>
      </c>
      <c r="H27" s="15" t="n">
        <v>0.35</v>
      </c>
      <c r="I27" s="15" t="n">
        <v>0.35</v>
      </c>
      <c r="J27" s="15" t="n">
        <v>0.35</v>
      </c>
      <c r="K27" s="15" t="n">
        <v>0.35</v>
      </c>
      <c r="L27" s="15" t="n">
        <v>0.35</v>
      </c>
    </row>
    <row r="29" customFormat="false" ht="15" hidden="false" customHeight="false" outlineLevel="0" collapsed="false">
      <c r="A29" s="0" t="s">
        <v>26</v>
      </c>
      <c r="B29" s="13" t="s">
        <v>63</v>
      </c>
    </row>
    <row r="31" customFormat="false" ht="15" hidden="false" customHeight="false" outlineLevel="0" collapsed="false">
      <c r="B31" s="0" t="s">
        <v>64</v>
      </c>
      <c r="C31" s="17" t="n">
        <f aca="false">AVERAGE(Schedules!I33:K33)</f>
        <v>-0.625284797904444</v>
      </c>
      <c r="D31" s="17" t="n">
        <f aca="false">$C$31</f>
        <v>-0.625284797904444</v>
      </c>
      <c r="E31" s="17" t="n">
        <f aca="false">$C$31</f>
        <v>-0.625284797904444</v>
      </c>
      <c r="F31" s="17" t="n">
        <f aca="false">$C$31</f>
        <v>-0.625284797904444</v>
      </c>
      <c r="G31" s="17" t="n">
        <f aca="false">$C$31</f>
        <v>-0.625284797904444</v>
      </c>
      <c r="H31" s="17" t="n">
        <f aca="false">$C$31</f>
        <v>-0.625284797904444</v>
      </c>
      <c r="I31" s="17" t="n">
        <f aca="false">$C$31</f>
        <v>-0.625284797904444</v>
      </c>
      <c r="J31" s="17" t="n">
        <f aca="false">$C$31</f>
        <v>-0.625284797904444</v>
      </c>
      <c r="K31" s="17" t="n">
        <f aca="false">$C$31</f>
        <v>-0.625284797904444</v>
      </c>
      <c r="L31" s="17" t="n">
        <f aca="false">$C$31</f>
        <v>-0.625284797904444</v>
      </c>
    </row>
    <row r="32" customFormat="false" ht="15" hidden="false" customHeight="false" outlineLevel="0" collapsed="false">
      <c r="B32" s="0" t="s">
        <v>65</v>
      </c>
      <c r="C32" s="18"/>
      <c r="D32" s="18"/>
      <c r="E32" s="18"/>
      <c r="F32" s="18"/>
      <c r="G32" s="18"/>
      <c r="H32" s="18"/>
      <c r="I32" s="18"/>
      <c r="J32" s="18"/>
      <c r="K32" s="18"/>
      <c r="L32" s="18"/>
    </row>
    <row r="34" customFormat="false" ht="15" hidden="false" customHeight="false" outlineLevel="0" collapsed="false">
      <c r="B34" s="0" t="s">
        <v>66</v>
      </c>
      <c r="C34" s="19" t="n">
        <f aca="false">AVERAGE(Schedules!I40:K40)</f>
        <v>101.141641188802</v>
      </c>
      <c r="D34" s="19" t="n">
        <f aca="false">$C$34</f>
        <v>101.141641188802</v>
      </c>
      <c r="E34" s="19" t="n">
        <f aca="false">$C$34</f>
        <v>101.141641188802</v>
      </c>
      <c r="F34" s="19" t="n">
        <f aca="false">$C$34</f>
        <v>101.141641188802</v>
      </c>
      <c r="G34" s="19" t="n">
        <f aca="false">$C$34</f>
        <v>101.141641188802</v>
      </c>
      <c r="H34" s="19" t="n">
        <f aca="false">$C$34</f>
        <v>101.141641188802</v>
      </c>
      <c r="I34" s="19" t="n">
        <f aca="false">$C$34</f>
        <v>101.141641188802</v>
      </c>
      <c r="J34" s="19" t="n">
        <f aca="false">$C$34</f>
        <v>101.141641188802</v>
      </c>
      <c r="K34" s="19" t="n">
        <f aca="false">$C$34</f>
        <v>101.141641188802</v>
      </c>
      <c r="L34" s="19" t="n">
        <f aca="false">$C$34</f>
        <v>101.141641188802</v>
      </c>
    </row>
    <row r="35" customFormat="false" ht="15" hidden="false" customHeight="false" outlineLevel="0" collapsed="false">
      <c r="B35" s="0" t="s">
        <v>67</v>
      </c>
      <c r="C35" s="20"/>
      <c r="D35" s="20"/>
      <c r="E35" s="20"/>
      <c r="F35" s="20"/>
      <c r="G35" s="20"/>
      <c r="H35" s="20"/>
      <c r="I35" s="20"/>
      <c r="J35" s="20"/>
      <c r="K35" s="20"/>
      <c r="L35" s="20"/>
    </row>
    <row r="37" customFormat="false" ht="15" hidden="false" customHeight="false" outlineLevel="0" collapsed="false">
      <c r="B37" s="0" t="s">
        <v>68</v>
      </c>
      <c r="C37" s="19" t="n">
        <f aca="false">AVERAGE(Schedules!I41:K41)</f>
        <v>185.932740607531</v>
      </c>
      <c r="D37" s="19" t="n">
        <f aca="false">$C$37</f>
        <v>185.932740607531</v>
      </c>
      <c r="E37" s="19" t="n">
        <f aca="false">$C$37</f>
        <v>185.932740607531</v>
      </c>
      <c r="F37" s="19" t="n">
        <f aca="false">$C$37</f>
        <v>185.932740607531</v>
      </c>
      <c r="G37" s="19" t="n">
        <f aca="false">$C$37</f>
        <v>185.932740607531</v>
      </c>
      <c r="H37" s="19" t="n">
        <f aca="false">$C$37</f>
        <v>185.932740607531</v>
      </c>
      <c r="I37" s="19" t="n">
        <f aca="false">$C$37</f>
        <v>185.932740607531</v>
      </c>
      <c r="J37" s="19" t="n">
        <f aca="false">$C$37</f>
        <v>185.932740607531</v>
      </c>
      <c r="K37" s="19" t="n">
        <f aca="false">$C$37</f>
        <v>185.932740607531</v>
      </c>
      <c r="L37" s="19" t="n">
        <f aca="false">$C$37</f>
        <v>185.932740607531</v>
      </c>
    </row>
    <row r="38" customFormat="false" ht="15" hidden="false" customHeight="false" outlineLevel="0" collapsed="false">
      <c r="B38" s="0" t="s">
        <v>69</v>
      </c>
      <c r="C38" s="20"/>
      <c r="D38" s="20"/>
      <c r="E38" s="20"/>
      <c r="F38" s="20"/>
      <c r="G38" s="20"/>
      <c r="H38" s="20"/>
      <c r="I38" s="20"/>
      <c r="J38" s="20"/>
      <c r="K38" s="20"/>
      <c r="L38" s="20"/>
    </row>
    <row r="40" customFormat="false" ht="15" hidden="false" customHeight="false" outlineLevel="0" collapsed="false">
      <c r="B40" s="0" t="s">
        <v>70</v>
      </c>
      <c r="C40" s="19" t="n">
        <f aca="false">AVERAGE(Schedules!I42:K42)</f>
        <v>135.497830535981</v>
      </c>
      <c r="D40" s="19" t="n">
        <f aca="false">$C$40</f>
        <v>135.497830535981</v>
      </c>
      <c r="E40" s="19" t="n">
        <f aca="false">$C$40</f>
        <v>135.497830535981</v>
      </c>
      <c r="F40" s="19" t="n">
        <f aca="false">$C$40</f>
        <v>135.497830535981</v>
      </c>
      <c r="G40" s="19" t="n">
        <f aca="false">$C$40</f>
        <v>135.497830535981</v>
      </c>
      <c r="H40" s="19" t="n">
        <f aca="false">$C$40</f>
        <v>135.497830535981</v>
      </c>
      <c r="I40" s="19" t="n">
        <f aca="false">$C$40</f>
        <v>135.497830535981</v>
      </c>
      <c r="J40" s="19" t="n">
        <f aca="false">$C$40</f>
        <v>135.497830535981</v>
      </c>
      <c r="K40" s="19" t="n">
        <f aca="false">$C$40</f>
        <v>135.497830535981</v>
      </c>
      <c r="L40" s="19" t="n">
        <f aca="false">$C$40</f>
        <v>135.497830535981</v>
      </c>
    </row>
    <row r="41" customFormat="false" ht="15" hidden="false" customHeight="false" outlineLevel="0" collapsed="false">
      <c r="B41" s="0" t="s">
        <v>71</v>
      </c>
      <c r="C41" s="20"/>
      <c r="D41" s="20"/>
      <c r="E41" s="20"/>
      <c r="F41" s="20"/>
      <c r="G41" s="20"/>
      <c r="H41" s="20"/>
      <c r="I41" s="20"/>
      <c r="J41" s="20"/>
      <c r="K41" s="20"/>
      <c r="L41" s="20"/>
    </row>
    <row r="43" customFormat="false" ht="15" hidden="false" customHeight="false" outlineLevel="0" collapsed="false">
      <c r="A43" s="0" t="s">
        <v>26</v>
      </c>
      <c r="B43" s="13" t="s">
        <v>72</v>
      </c>
    </row>
    <row r="45" customFormat="false" ht="15" hidden="false" customHeight="false" outlineLevel="0" collapsed="false">
      <c r="B45" s="0" t="s">
        <v>73</v>
      </c>
      <c r="C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Assumptions'!$C$13)))*0.5^(1/(IF('Inputs &amp; Assumptions'!$C$16="",'Inputs &amp; Assumptions'!$C$15,'Inputs &amp; Assumptions'!$C$16))))</f>
        <v>0.0475251242644839</v>
      </c>
      <c r="D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Assumptions'!$C$13)))*0.5^(2/(IF('Inputs &amp; Assumptions'!$C$16="",'Inputs &amp; Assumptions'!$C$15,'Inputs &amp; Assumptions'!$C$16))))</f>
        <v>0.0477951363796721</v>
      </c>
      <c r="E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Assumptions'!$C$13)))*0.5^(3/(IF('Inputs &amp; Assumptions'!$C$16="",'Inputs &amp; Assumptions'!$C$15,'Inputs &amp; Assumptions'!$C$16))))</f>
        <v>0.0480356898269756</v>
      </c>
      <c r="F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Assumptions'!$C$13)))*0.5^(4/(IF('Inputs &amp; Assumptions'!$C$16="",'Inputs &amp; Assumptions'!$C$15,'Inputs &amp; Assumptions'!$C$16))))</f>
        <v>0.0482499985848225</v>
      </c>
      <c r="G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Assumptions'!$C$13)))*0.5^(5/(IF('Inputs &amp; Assumptions'!$C$16="",'Inputs &amp; Assumptions'!$C$15,'Inputs &amp; Assumptions'!$C$16))))</f>
        <v>0.0484409259824746</v>
      </c>
      <c r="H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Assumptions'!$C$13)))*0.5^(6/(IF('Inputs &amp; Assumptions'!$C$16="",'Inputs &amp; Assumptions'!$C$15,'Inputs &amp; Assumptions'!$C$16))))</f>
        <v>0.0486110229563007</v>
      </c>
      <c r="I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Assumptions'!$C$13)))*0.5^(7/(IF('Inputs &amp; Assumptions'!$C$16="",'Inputs &amp; Assumptions'!$C$15,'Inputs &amp; Assumptions'!$C$16))))</f>
        <v>0.048762562132242</v>
      </c>
      <c r="J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Assumptions'!$C$13)))*0.5^(8/(IF('Inputs &amp; Assumptions'!$C$16="",'Inputs &amp; Assumptions'!$C$15,'Inputs &amp; Assumptions'!$C$16))))</f>
        <v>0.048897568189836</v>
      </c>
      <c r="K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Assumptions'!$C$13)))*0.5^(9/(IF('Inputs &amp; Assumptions'!$C$16="",'Inputs &amp; Assumptions'!$C$15,'Inputs &amp; Assumptions'!$C$16))))</f>
        <v>0.0490178449134878</v>
      </c>
      <c r="L45" s="16" t="n">
        <f aca="false">(IF('Inputs &amp; Assumptions'!$C$13="",'Inputs &amp; Assumptions'!$C$12,'Inputs &amp; Assumptions'!$C$13)+(IF('Inputs &amp; Assumptions'!$C$46="",MIN(SLOPE(Schedules!I74:K74,Schedules!I70:K70),'WACC Schedule'!$C$21),'Inputs &amp; Assumptions'!$C$46)-(IF('Inputs &amp; Assumptions'!$C$13="",'Inputs &amp; Assumptions'!$C$12,'Inputs &amp; Assumptions'!$C$13)))*0.5^(10/(IF('Inputs &amp; Assumptions'!$C$16="",'Inputs &amp; Assumptions'!$C$15,'Inputs &amp; Assumptions'!$C$16))))</f>
        <v>0.0491249992924113</v>
      </c>
    </row>
    <row r="46" customFormat="false" ht="15" hidden="false" customHeight="false" outlineLevel="0" collapsed="false">
      <c r="B46" s="0" t="s">
        <v>74</v>
      </c>
      <c r="C46" s="15"/>
      <c r="D46" s="15"/>
      <c r="E46" s="15"/>
      <c r="F46" s="15"/>
      <c r="G46" s="15"/>
      <c r="H46" s="15"/>
      <c r="I46" s="15"/>
      <c r="J46" s="15"/>
      <c r="K46" s="15"/>
      <c r="L46" s="15"/>
    </row>
    <row r="48" customFormat="false" ht="15" hidden="false" customHeight="false" outlineLevel="0" collapsed="false">
      <c r="B48" s="0" t="s">
        <v>75</v>
      </c>
      <c r="C48" s="14" t="n">
        <v>15</v>
      </c>
    </row>
    <row r="49" customFormat="false" ht="15" hidden="false" customHeight="false" outlineLevel="0" collapsed="false">
      <c r="B49" s="0" t="s">
        <v>76</v>
      </c>
      <c r="C49" s="15"/>
    </row>
    <row r="51" customFormat="false" ht="15" hidden="false" customHeight="false" outlineLevel="0" collapsed="false">
      <c r="B51" s="0" t="s">
        <v>77</v>
      </c>
      <c r="C51" s="17" t="n">
        <f aca="false">AVERAGE(Schedules!I77:K77)</f>
        <v>0</v>
      </c>
      <c r="D51" s="17" t="n">
        <f aca="false">$C$51</f>
        <v>0</v>
      </c>
      <c r="E51" s="17" t="n">
        <f aca="false">$C$51</f>
        <v>0</v>
      </c>
      <c r="F51" s="17" t="n">
        <f aca="false">$C$51</f>
        <v>0</v>
      </c>
      <c r="G51" s="17" t="n">
        <f aca="false">$C$51</f>
        <v>0</v>
      </c>
      <c r="H51" s="17" t="n">
        <f aca="false">$C$51</f>
        <v>0</v>
      </c>
      <c r="I51" s="17" t="n">
        <f aca="false">$C$51</f>
        <v>0</v>
      </c>
      <c r="J51" s="17" t="n">
        <f aca="false">$C$51</f>
        <v>0</v>
      </c>
      <c r="K51" s="17" t="n">
        <f aca="false">$C$51</f>
        <v>0</v>
      </c>
      <c r="L51" s="17" t="n">
        <f aca="false">$C$51</f>
        <v>0</v>
      </c>
    </row>
    <row r="52" customFormat="false" ht="15" hidden="false" customHeight="false" outlineLevel="0" collapsed="false">
      <c r="B52" s="0" t="s">
        <v>78</v>
      </c>
      <c r="C52" s="18"/>
      <c r="D52" s="18"/>
      <c r="E52" s="18"/>
      <c r="F52" s="18"/>
      <c r="G52" s="18"/>
      <c r="H52" s="18"/>
      <c r="I52" s="18"/>
      <c r="J52" s="18"/>
      <c r="K52" s="18"/>
      <c r="L52" s="18"/>
    </row>
    <row r="54" customFormat="false" ht="15" hidden="false" customHeight="false" outlineLevel="0" collapsed="false">
      <c r="B54" s="0" t="s">
        <v>79</v>
      </c>
      <c r="C54" s="17" t="n">
        <f aca="false">AVERAGE(Schedules!I78:K78)</f>
        <v>0</v>
      </c>
      <c r="D54" s="17" t="n">
        <f aca="false">$C$54</f>
        <v>0</v>
      </c>
      <c r="E54" s="17" t="n">
        <f aca="false">$C$54</f>
        <v>0</v>
      </c>
      <c r="F54" s="17" t="n">
        <f aca="false">$C$54</f>
        <v>0</v>
      </c>
      <c r="G54" s="17" t="n">
        <f aca="false">$C$54</f>
        <v>0</v>
      </c>
      <c r="H54" s="17" t="n">
        <f aca="false">$C$54</f>
        <v>0</v>
      </c>
      <c r="I54" s="17" t="n">
        <f aca="false">$C$54</f>
        <v>0</v>
      </c>
      <c r="J54" s="17" t="n">
        <f aca="false">$C$54</f>
        <v>0</v>
      </c>
      <c r="K54" s="17" t="n">
        <f aca="false">$C$54</f>
        <v>0</v>
      </c>
      <c r="L54" s="17" t="n">
        <f aca="false">$C$54</f>
        <v>0</v>
      </c>
    </row>
    <row r="55" customFormat="false" ht="15" hidden="false" customHeight="false" outlineLevel="0" collapsed="false">
      <c r="B55" s="0" t="s">
        <v>80</v>
      </c>
      <c r="C55" s="18"/>
      <c r="D55" s="18"/>
      <c r="E55" s="18"/>
      <c r="F55" s="18"/>
      <c r="G55" s="18"/>
      <c r="H55" s="18"/>
      <c r="I55" s="18"/>
      <c r="J55" s="18"/>
      <c r="K55" s="18"/>
      <c r="L55" s="18"/>
    </row>
    <row r="57" customFormat="false" ht="15" hidden="false" customHeight="false" outlineLevel="0" collapsed="false">
      <c r="B57" s="0" t="s">
        <v>81</v>
      </c>
      <c r="C57" s="17" t="n">
        <f aca="false">AVERAGE(Schedules!I79:K79)</f>
        <v>0</v>
      </c>
      <c r="D57" s="17" t="n">
        <f aca="false">$C$57</f>
        <v>0</v>
      </c>
      <c r="E57" s="17" t="n">
        <f aca="false">$C$57</f>
        <v>0</v>
      </c>
      <c r="F57" s="17" t="n">
        <f aca="false">$C$57</f>
        <v>0</v>
      </c>
      <c r="G57" s="17" t="n">
        <f aca="false">$C$57</f>
        <v>0</v>
      </c>
      <c r="H57" s="17" t="n">
        <f aca="false">$C$57</f>
        <v>0</v>
      </c>
      <c r="I57" s="17" t="n">
        <f aca="false">$C$57</f>
        <v>0</v>
      </c>
      <c r="J57" s="17" t="n">
        <f aca="false">$C$57</f>
        <v>0</v>
      </c>
      <c r="K57" s="17" t="n">
        <f aca="false">$C$57</f>
        <v>0</v>
      </c>
      <c r="L57" s="17" t="n">
        <f aca="false">$C$57</f>
        <v>0</v>
      </c>
    </row>
    <row r="58" customFormat="false" ht="15" hidden="false" customHeight="false" outlineLevel="0" collapsed="false">
      <c r="B58" s="0" t="s">
        <v>82</v>
      </c>
      <c r="C58" s="18"/>
      <c r="D58" s="18"/>
      <c r="E58" s="18"/>
      <c r="F58" s="18"/>
      <c r="G58" s="18"/>
      <c r="H58" s="18"/>
      <c r="I58" s="18"/>
      <c r="J58" s="18"/>
      <c r="K58" s="18"/>
      <c r="L58" s="18"/>
    </row>
    <row r="60" customFormat="false" ht="15" hidden="false" customHeight="false" outlineLevel="0" collapsed="false">
      <c r="A60" s="0" t="s">
        <v>26</v>
      </c>
      <c r="B60" s="13" t="s">
        <v>83</v>
      </c>
    </row>
    <row r="62" customFormat="false" ht="15" hidden="false" customHeight="false" outlineLevel="0" collapsed="false">
      <c r="B62" s="0" t="s">
        <v>84</v>
      </c>
      <c r="C62" s="14" t="n">
        <v>0</v>
      </c>
    </row>
    <row r="63" customFormat="false" ht="15" hidden="false" customHeight="false" outlineLevel="0" collapsed="false">
      <c r="B63" s="0" t="s">
        <v>85</v>
      </c>
      <c r="C63" s="15"/>
    </row>
    <row r="65" customFormat="false" ht="15" hidden="false" customHeight="false" outlineLevel="0" collapsed="false">
      <c r="B65" s="0" t="s">
        <v>86</v>
      </c>
      <c r="C65" s="17" t="n">
        <f aca="false">SUM(Schedules!I98:K98)/SUM(Schedules!I96:K96)</f>
        <v>0.111047269363903</v>
      </c>
      <c r="D65" s="17" t="n">
        <f aca="false">$C$65</f>
        <v>0.111047269363903</v>
      </c>
      <c r="E65" s="17" t="n">
        <f aca="false">$C$65</f>
        <v>0.111047269363903</v>
      </c>
      <c r="F65" s="17" t="n">
        <f aca="false">$C$65</f>
        <v>0.111047269363903</v>
      </c>
      <c r="G65" s="17" t="n">
        <f aca="false">$C$65</f>
        <v>0.111047269363903</v>
      </c>
      <c r="H65" s="17" t="n">
        <f aca="false">$C$65</f>
        <v>0.111047269363903</v>
      </c>
      <c r="I65" s="17" t="n">
        <f aca="false">$C$65</f>
        <v>0.111047269363903</v>
      </c>
      <c r="J65" s="17" t="n">
        <f aca="false">$C$65</f>
        <v>0.111047269363903</v>
      </c>
      <c r="K65" s="17" t="n">
        <f aca="false">$C$65</f>
        <v>0.111047269363903</v>
      </c>
      <c r="L65" s="17" t="n">
        <f aca="false">$C$65</f>
        <v>0.111047269363903</v>
      </c>
    </row>
    <row r="66" customFormat="false" ht="15" hidden="false" customHeight="false" outlineLevel="0" collapsed="false">
      <c r="B66" s="0" t="s">
        <v>87</v>
      </c>
      <c r="C66" s="18"/>
      <c r="D66" s="18"/>
      <c r="E66" s="18"/>
      <c r="F66" s="18"/>
      <c r="G66" s="18"/>
      <c r="H66" s="18"/>
      <c r="I66" s="18"/>
      <c r="J66" s="18"/>
      <c r="K66" s="18"/>
      <c r="L66" s="18"/>
    </row>
    <row r="68" customFormat="false" ht="15" hidden="false" customHeight="false" outlineLevel="0" collapsed="false">
      <c r="B68" s="0" t="s">
        <v>88</v>
      </c>
      <c r="C68" s="17" t="n">
        <f aca="false">MAX(0,MIN(0.95,(Schedules!K93/(Schedules!K93+(Schedules!K132+Schedules!K140)))))</f>
        <v>0.0443461860526995</v>
      </c>
      <c r="D68" s="17" t="n">
        <f aca="false">$C$68</f>
        <v>0.0443461860526995</v>
      </c>
      <c r="E68" s="17" t="n">
        <f aca="false">$C$68</f>
        <v>0.0443461860526995</v>
      </c>
      <c r="F68" s="17" t="n">
        <f aca="false">$C$68</f>
        <v>0.0443461860526995</v>
      </c>
      <c r="G68" s="17" t="n">
        <f aca="false">$C$68</f>
        <v>0.0443461860526995</v>
      </c>
      <c r="H68" s="17" t="n">
        <f aca="false">$C$68</f>
        <v>0.0443461860526995</v>
      </c>
      <c r="I68" s="17" t="n">
        <f aca="false">$C$68</f>
        <v>0.0443461860526995</v>
      </c>
      <c r="J68" s="17" t="n">
        <f aca="false">$C$68</f>
        <v>0.0443461860526995</v>
      </c>
      <c r="K68" s="17" t="n">
        <f aca="false">$C$68</f>
        <v>0.0443461860526995</v>
      </c>
      <c r="L68" s="17" t="n">
        <f aca="false">$C$68</f>
        <v>0.0443461860526995</v>
      </c>
    </row>
    <row r="69" customFormat="false" ht="15" hidden="false" customHeight="false" outlineLevel="0" collapsed="false">
      <c r="B69" s="0" t="s">
        <v>89</v>
      </c>
      <c r="C69" s="18"/>
      <c r="D69" s="18"/>
      <c r="E69" s="18"/>
      <c r="F69" s="18"/>
      <c r="G69" s="18"/>
      <c r="H69" s="18"/>
      <c r="I69" s="18"/>
      <c r="J69" s="18"/>
      <c r="K69" s="18"/>
      <c r="L69" s="18"/>
    </row>
    <row r="71" customFormat="false" ht="15" hidden="false" customHeight="false" outlineLevel="0" collapsed="false">
      <c r="A71" s="0" t="s">
        <v>26</v>
      </c>
      <c r="B71" s="13" t="s">
        <v>90</v>
      </c>
    </row>
    <row r="73" customFormat="false" ht="15" hidden="false" customHeight="false" outlineLevel="0" collapsed="false">
      <c r="B73" s="0" t="s">
        <v>91</v>
      </c>
      <c r="C73" s="17" t="n">
        <v>0.2517</v>
      </c>
    </row>
    <row r="74" customFormat="false" ht="15" hidden="false" customHeight="false" outlineLevel="0" collapsed="false">
      <c r="B74" s="0" t="s">
        <v>92</v>
      </c>
      <c r="C74" s="18"/>
    </row>
    <row r="76" customFormat="false" ht="15" hidden="false" customHeight="false" outlineLevel="0" collapsed="false">
      <c r="B76" s="0" t="s">
        <v>93</v>
      </c>
      <c r="C76" s="17" t="n">
        <f aca="false">IFERROR(AVERAGEIFS(Schedules!I120:K120,Schedules!I119:K119,1),IFERROR(AVERAGEIFS(Schedules!C120:K120,Schedules!C119:K119,1),0))</f>
        <v>0.00531984811265289</v>
      </c>
      <c r="D76" s="17" t="n">
        <f aca="false">$C$76</f>
        <v>0.00531984811265289</v>
      </c>
      <c r="E76" s="17" t="n">
        <f aca="false">$C$76</f>
        <v>0.00531984811265289</v>
      </c>
      <c r="F76" s="17" t="n">
        <f aca="false">$C$76</f>
        <v>0.00531984811265289</v>
      </c>
      <c r="G76" s="17" t="n">
        <f aca="false">$C$76</f>
        <v>0.00531984811265289</v>
      </c>
      <c r="H76" s="17" t="n">
        <f aca="false">$C$76</f>
        <v>0.00531984811265289</v>
      </c>
      <c r="I76" s="17" t="n">
        <f aca="false">$C$76</f>
        <v>0.00531984811265289</v>
      </c>
      <c r="J76" s="17" t="n">
        <f aca="false">$C$76</f>
        <v>0.00531984811265289</v>
      </c>
      <c r="K76" s="17" t="n">
        <f aca="false">$C$76</f>
        <v>0.00531984811265289</v>
      </c>
      <c r="L76" s="17" t="n">
        <f aca="false">$C$76</f>
        <v>0.00531984811265289</v>
      </c>
    </row>
    <row r="77" customFormat="false" ht="15" hidden="false" customHeight="false" outlineLevel="0" collapsed="false">
      <c r="B77" s="0" t="s">
        <v>94</v>
      </c>
      <c r="C77" s="18"/>
      <c r="D77" s="18"/>
      <c r="E77" s="18"/>
      <c r="F77" s="18"/>
      <c r="G77" s="18"/>
      <c r="H77" s="18"/>
      <c r="I77" s="18"/>
      <c r="J77" s="18"/>
      <c r="K77" s="18"/>
      <c r="L77" s="18"/>
    </row>
    <row r="79" customFormat="false" ht="15" hidden="false" customHeight="false" outlineLevel="0" collapsed="false">
      <c r="A79" s="0" t="s">
        <v>26</v>
      </c>
      <c r="B79" s="13" t="s">
        <v>95</v>
      </c>
    </row>
    <row r="81" customFormat="false" ht="15" hidden="false" customHeight="false" outlineLevel="0" collapsed="false">
      <c r="B81" s="0" t="s">
        <v>96</v>
      </c>
      <c r="C81" s="21" t="n">
        <f aca="false">AVERAGE(Schedules!I142:K142)</f>
        <v>0</v>
      </c>
      <c r="D81" s="21" t="n">
        <f aca="false">$C$81</f>
        <v>0</v>
      </c>
      <c r="E81" s="21" t="n">
        <f aca="false">$C$81</f>
        <v>0</v>
      </c>
      <c r="F81" s="21" t="n">
        <f aca="false">$C$81</f>
        <v>0</v>
      </c>
      <c r="G81" s="21" t="n">
        <f aca="false">$C$81</f>
        <v>0</v>
      </c>
      <c r="H81" s="21" t="n">
        <f aca="false">$C$81</f>
        <v>0</v>
      </c>
      <c r="I81" s="21" t="n">
        <f aca="false">$C$81</f>
        <v>0</v>
      </c>
      <c r="J81" s="21" t="n">
        <f aca="false">$C$81</f>
        <v>0</v>
      </c>
      <c r="K81" s="21" t="n">
        <f aca="false">$C$81</f>
        <v>0</v>
      </c>
      <c r="L81" s="21" t="n">
        <f aca="false">$C$81</f>
        <v>0</v>
      </c>
    </row>
    <row r="82" customFormat="false" ht="15" hidden="false" customHeight="false" outlineLevel="0" collapsed="false">
      <c r="B82" s="0" t="s">
        <v>97</v>
      </c>
      <c r="C82" s="22"/>
      <c r="D82" s="22"/>
      <c r="E82" s="22"/>
      <c r="F82" s="22"/>
      <c r="G82" s="22"/>
      <c r="H82" s="22"/>
      <c r="I82" s="22"/>
      <c r="J82" s="22"/>
      <c r="K82" s="22"/>
      <c r="L82" s="22"/>
    </row>
    <row r="84" customFormat="false" ht="15" hidden="false" customHeight="false" outlineLevel="0" collapsed="false">
      <c r="A84" s="0" t="s">
        <v>26</v>
      </c>
      <c r="B84" s="13" t="s">
        <v>98</v>
      </c>
    </row>
    <row r="86" customFormat="false" ht="15" hidden="false" customHeight="false" outlineLevel="0" collapsed="false">
      <c r="B86" s="0" t="s">
        <v>99</v>
      </c>
      <c r="C86" s="17" t="n">
        <f aca="false">-AVERAGE('P&amp;L Schedule'!I9:K9)/AVERAGE('P&amp;L Schedule'!I7:K7)</f>
        <v>0.0963536411428102</v>
      </c>
      <c r="D86" s="17" t="n">
        <f aca="false">$C$86</f>
        <v>0.0963536411428102</v>
      </c>
      <c r="E86" s="17" t="n">
        <f aca="false">$C$86</f>
        <v>0.0963536411428102</v>
      </c>
      <c r="F86" s="17" t="n">
        <f aca="false">$C$86</f>
        <v>0.0963536411428102</v>
      </c>
      <c r="G86" s="17" t="n">
        <f aca="false">$C$86</f>
        <v>0.0963536411428102</v>
      </c>
      <c r="H86" s="17" t="n">
        <f aca="false">$C$86</f>
        <v>0.0963536411428102</v>
      </c>
      <c r="I86" s="17" t="n">
        <f aca="false">$C$86</f>
        <v>0.0963536411428102</v>
      </c>
      <c r="J86" s="17" t="n">
        <f aca="false">$C$86</f>
        <v>0.0963536411428102</v>
      </c>
      <c r="K86" s="17" t="n">
        <f aca="false">$C$86</f>
        <v>0.0963536411428102</v>
      </c>
      <c r="L86" s="17" t="n">
        <f aca="false">$C$86</f>
        <v>0.0963536411428102</v>
      </c>
    </row>
    <row r="87" customFormat="false" ht="15" hidden="false" customHeight="false" outlineLevel="0" collapsed="false">
      <c r="B87" s="0" t="s">
        <v>100</v>
      </c>
      <c r="C87" s="18"/>
      <c r="D87" s="18"/>
      <c r="E87" s="18"/>
      <c r="F87" s="18"/>
      <c r="G87" s="18"/>
      <c r="H87" s="18"/>
      <c r="I87" s="18"/>
      <c r="J87" s="18"/>
      <c r="K87" s="18"/>
      <c r="L87" s="18"/>
    </row>
    <row r="89" customFormat="false" ht="15" hidden="false" customHeight="false" outlineLevel="0" collapsed="false">
      <c r="B89" s="0" t="s">
        <v>101</v>
      </c>
      <c r="C89" s="17" t="n">
        <f aca="false">-AVERAGE('P&amp;L Schedule'!I10:K10)/AVERAGE('P&amp;L Schedule'!I7:K7)</f>
        <v>0.118271299428458</v>
      </c>
      <c r="D89" s="17" t="n">
        <f aca="false">$C$89</f>
        <v>0.118271299428458</v>
      </c>
      <c r="E89" s="17" t="n">
        <f aca="false">$C$89</f>
        <v>0.118271299428458</v>
      </c>
      <c r="F89" s="17" t="n">
        <f aca="false">$C$89</f>
        <v>0.118271299428458</v>
      </c>
      <c r="G89" s="17" t="n">
        <f aca="false">$C$89</f>
        <v>0.118271299428458</v>
      </c>
      <c r="H89" s="17" t="n">
        <f aca="false">$C$89</f>
        <v>0.118271299428458</v>
      </c>
      <c r="I89" s="17" t="n">
        <f aca="false">$C$89</f>
        <v>0.118271299428458</v>
      </c>
      <c r="J89" s="17" t="n">
        <f aca="false">$C$89</f>
        <v>0.118271299428458</v>
      </c>
      <c r="K89" s="17" t="n">
        <f aca="false">$C$89</f>
        <v>0.118271299428458</v>
      </c>
      <c r="L89" s="17" t="n">
        <f aca="false">$C$89</f>
        <v>0.118271299428458</v>
      </c>
    </row>
    <row r="90" customFormat="false" ht="15" hidden="false" customHeight="false" outlineLevel="0" collapsed="false">
      <c r="B90" s="0" t="s">
        <v>102</v>
      </c>
      <c r="C90" s="18"/>
      <c r="D90" s="18"/>
      <c r="E90" s="18"/>
      <c r="F90" s="18"/>
      <c r="G90" s="18"/>
      <c r="H90" s="18"/>
      <c r="I90" s="18"/>
      <c r="J90" s="18"/>
      <c r="K90" s="18"/>
      <c r="L90" s="18"/>
    </row>
    <row r="92" customFormat="false" ht="15" hidden="false" customHeight="false" outlineLevel="0" collapsed="false">
      <c r="B92" s="0" t="s">
        <v>103</v>
      </c>
      <c r="C92" s="17" t="n">
        <f aca="false">AVERAGE('P&amp;L Schedule'!I16:K16)/AVERAGE('P&amp;L Schedule'!I7:K7)</f>
        <v>0.00690228377347649</v>
      </c>
      <c r="D92" s="17" t="n">
        <f aca="false">$C$92</f>
        <v>0.00690228377347649</v>
      </c>
      <c r="E92" s="17" t="n">
        <f aca="false">$C$92</f>
        <v>0.00690228377347649</v>
      </c>
      <c r="F92" s="17" t="n">
        <f aca="false">$C$92</f>
        <v>0.00690228377347649</v>
      </c>
      <c r="G92" s="17" t="n">
        <f aca="false">$C$92</f>
        <v>0.00690228377347649</v>
      </c>
      <c r="H92" s="17" t="n">
        <f aca="false">$C$92</f>
        <v>0.00690228377347649</v>
      </c>
      <c r="I92" s="17" t="n">
        <f aca="false">$C$92</f>
        <v>0.00690228377347649</v>
      </c>
      <c r="J92" s="17" t="n">
        <f aca="false">$C$92</f>
        <v>0.00690228377347649</v>
      </c>
      <c r="K92" s="17" t="n">
        <f aca="false">$C$92</f>
        <v>0.00690228377347649</v>
      </c>
      <c r="L92" s="17" t="n">
        <f aca="false">$C$92</f>
        <v>0.00690228377347649</v>
      </c>
    </row>
    <row r="93" customFormat="false" ht="15" hidden="false" customHeight="false" outlineLevel="0" collapsed="false">
      <c r="B93" s="0" t="s">
        <v>104</v>
      </c>
      <c r="C93" s="18"/>
      <c r="D93" s="18"/>
      <c r="E93" s="18"/>
      <c r="F93" s="18"/>
      <c r="G93" s="18"/>
      <c r="H93" s="18"/>
      <c r="I93" s="18"/>
      <c r="J93" s="18"/>
      <c r="K93" s="18"/>
      <c r="L93" s="18"/>
    </row>
    <row r="95" customFormat="false" ht="15" hidden="false" customHeight="false" outlineLevel="0" collapsed="false">
      <c r="B95" s="0" t="s">
        <v>105</v>
      </c>
      <c r="C95" s="23" t="n">
        <f aca="false">AVERAGE('P&amp;L Schedule'!I29:K29)</f>
        <v>1.52477548056695</v>
      </c>
      <c r="D95" s="23" t="n">
        <f aca="false">$C$95</f>
        <v>1.52477548056695</v>
      </c>
      <c r="E95" s="23" t="n">
        <f aca="false">$C$95</f>
        <v>1.52477548056695</v>
      </c>
      <c r="F95" s="23" t="n">
        <f aca="false">$C$95</f>
        <v>1.52477548056695</v>
      </c>
      <c r="G95" s="23" t="n">
        <f aca="false">$C$95</f>
        <v>1.52477548056695</v>
      </c>
      <c r="H95" s="23" t="n">
        <f aca="false">$C$95</f>
        <v>1.52477548056695</v>
      </c>
      <c r="I95" s="23" t="n">
        <f aca="false">$C$95</f>
        <v>1.52477548056695</v>
      </c>
      <c r="J95" s="23" t="n">
        <f aca="false">$C$95</f>
        <v>1.52477548056695</v>
      </c>
      <c r="K95" s="23" t="n">
        <f aca="false">$C$95</f>
        <v>1.52477548056695</v>
      </c>
      <c r="L95" s="23" t="n">
        <f aca="false">$C$95</f>
        <v>1.52477548056695</v>
      </c>
    </row>
    <row r="96" customFormat="false" ht="15" hidden="false" customHeight="false" outlineLevel="0" collapsed="false">
      <c r="B96" s="0" t="s">
        <v>106</v>
      </c>
      <c r="C96" s="24"/>
      <c r="D96" s="24"/>
      <c r="E96" s="24"/>
      <c r="F96" s="24"/>
      <c r="G96" s="24"/>
      <c r="H96" s="24"/>
      <c r="I96" s="24"/>
      <c r="J96" s="24"/>
      <c r="K96" s="24"/>
      <c r="L96" s="24"/>
    </row>
    <row r="98" customFormat="false" ht="15" hidden="false" customHeight="false" outlineLevel="0" collapsed="false">
      <c r="B98" s="0" t="s">
        <v>107</v>
      </c>
      <c r="C98" s="23" t="n">
        <f aca="false">AVERAGE('P&amp;L Schedule'!I31:K31)</f>
        <v>1.68835085109796</v>
      </c>
      <c r="D98" s="23" t="n">
        <f aca="false">$C$98</f>
        <v>1.68835085109796</v>
      </c>
      <c r="E98" s="23" t="n">
        <f aca="false">$C$98</f>
        <v>1.68835085109796</v>
      </c>
      <c r="F98" s="23" t="n">
        <f aca="false">$C$98</f>
        <v>1.68835085109796</v>
      </c>
      <c r="G98" s="23" t="n">
        <f aca="false">$C$98</f>
        <v>1.68835085109796</v>
      </c>
      <c r="H98" s="23" t="n">
        <f aca="false">$C$98</f>
        <v>1.68835085109796</v>
      </c>
      <c r="I98" s="23" t="n">
        <f aca="false">$C$98</f>
        <v>1.68835085109796</v>
      </c>
      <c r="J98" s="23" t="n">
        <f aca="false">$C$98</f>
        <v>1.68835085109796</v>
      </c>
      <c r="K98" s="23" t="n">
        <f aca="false">$C$98</f>
        <v>1.68835085109796</v>
      </c>
      <c r="L98" s="23" t="n">
        <f aca="false">$C$98</f>
        <v>1.68835085109796</v>
      </c>
    </row>
    <row r="99" customFormat="false" ht="15" hidden="false" customHeight="false" outlineLevel="0" collapsed="false">
      <c r="B99" s="0" t="s">
        <v>108</v>
      </c>
      <c r="C99" s="24"/>
      <c r="D99" s="24"/>
      <c r="E99" s="24"/>
      <c r="F99" s="24"/>
      <c r="G99" s="24"/>
      <c r="H99" s="24"/>
      <c r="I99" s="24"/>
      <c r="J99" s="24"/>
      <c r="K99" s="24"/>
      <c r="L99" s="24"/>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1.18"/>
    <col collapsed="false" customWidth="true" hidden="false" outlineLevel="0" max="3" min="2" style="0" width="1.15"/>
    <col collapsed="false" customWidth="true" hidden="false" outlineLevel="0" max="4" min="4" style="0" width="55"/>
    <col collapsed="false" customWidth="true" hidden="false" outlineLevel="0" max="13" min="5" style="0" width="20"/>
  </cols>
  <sheetData>
    <row r="1" customFormat="false" ht="24" hidden="false" customHeight="true" outlineLevel="0" collapsed="false">
      <c r="A1" s="25" t="s">
        <v>109</v>
      </c>
      <c r="B1" s="25"/>
      <c r="C1" s="25"/>
      <c r="D1" s="25"/>
      <c r="E1" s="25"/>
      <c r="F1" s="25"/>
      <c r="G1" s="25"/>
      <c r="H1" s="25"/>
      <c r="I1" s="25"/>
      <c r="J1" s="25"/>
      <c r="K1" s="25"/>
      <c r="L1" s="25"/>
      <c r="M1" s="25"/>
    </row>
    <row r="2" customFormat="false" ht="15" hidden="false" customHeight="false" outlineLevel="0" collapsed="false">
      <c r="A2" s="26" t="s">
        <v>110</v>
      </c>
      <c r="B2" s="26"/>
      <c r="C2" s="26"/>
      <c r="D2" s="26"/>
      <c r="E2" s="26"/>
      <c r="F2" s="26"/>
      <c r="G2" s="26"/>
      <c r="H2" s="26"/>
      <c r="I2" s="26"/>
      <c r="J2" s="26"/>
      <c r="K2" s="26"/>
      <c r="L2" s="26"/>
      <c r="M2" s="26"/>
    </row>
    <row r="5" customFormat="false" ht="15" hidden="false" customHeight="false" outlineLevel="0" collapsed="false">
      <c r="A5" s="5" t="s">
        <v>26</v>
      </c>
      <c r="B5" s="27" t="s">
        <v>111</v>
      </c>
      <c r="C5" s="5"/>
      <c r="D5" s="5"/>
      <c r="E5" s="12" t="s">
        <v>29</v>
      </c>
      <c r="F5" s="12" t="s">
        <v>30</v>
      </c>
      <c r="G5" s="12" t="s">
        <v>31</v>
      </c>
      <c r="H5" s="12" t="s">
        <v>32</v>
      </c>
      <c r="I5" s="12" t="s">
        <v>33</v>
      </c>
      <c r="J5" s="12" t="s">
        <v>34</v>
      </c>
      <c r="K5" s="12" t="s">
        <v>35</v>
      </c>
      <c r="L5" s="12" t="s">
        <v>36</v>
      </c>
      <c r="M5" s="12" t="s">
        <v>37</v>
      </c>
    </row>
    <row r="6" customFormat="false" ht="15" hidden="false" customHeight="false" outlineLevel="0" collapsed="false">
      <c r="A6" s="28"/>
      <c r="B6" s="29" t="s">
        <v>112</v>
      </c>
      <c r="C6" s="28"/>
      <c r="D6" s="28"/>
      <c r="E6" s="28"/>
      <c r="F6" s="28"/>
      <c r="G6" s="28"/>
      <c r="H6" s="28"/>
      <c r="I6" s="28"/>
      <c r="J6" s="28"/>
      <c r="K6" s="28"/>
      <c r="L6" s="28"/>
      <c r="M6" s="28"/>
    </row>
    <row r="7" customFormat="false" ht="15" hidden="false" customHeight="false" outlineLevel="0" collapsed="false">
      <c r="C7" s="6" t="s">
        <v>113</v>
      </c>
      <c r="E7" s="30" t="n">
        <f aca="false">_xlfn.XLOOKUP("RevenueFromOperations",HS_CONSOLIDATED!$C:$C,HS_CONSOLIDATED!D:D,0,0,1)</f>
        <v>127143700000</v>
      </c>
      <c r="F7" s="30" t="n">
        <f aca="false">_xlfn.XLOOKUP("RevenueFromOperations",HS_CONSOLIDATED!$C:$C,HS_CONSOLIDATED!E:E,0,0,1)</f>
        <v>83338400000</v>
      </c>
      <c r="G7" s="30" t="n">
        <f aca="false">_xlfn.XLOOKUP("RevenueFromOperations",HS_CONSOLIDATED!$C:$C,HS_CONSOLIDATED!F:F,0,0,1)</f>
        <v>50246900000</v>
      </c>
      <c r="H7" s="30" t="n">
        <f aca="false">_xlfn.XLOOKUP("RevenueFromOperations",HS_CONSOLIDATED!$C:$C,HS_CONSOLIDATED!G:G,0,0,1)</f>
        <v>29728500000</v>
      </c>
      <c r="I7" s="30" t="n">
        <f aca="false">_xlfn.XLOOKUP("RevenueFromOperations",HS_CONSOLIDATED!$C:$C,HS_CONSOLIDATED!H:H,0,0,1)</f>
        <v>33457200000</v>
      </c>
      <c r="J7" s="30" t="n">
        <f aca="false">_xlfn.XLOOKUP("RevenueFromOperations",HS_CONSOLIDATED!$C:$C,HS_CONSOLIDATED!I:I,0,0,1)</f>
        <v>65817800000</v>
      </c>
      <c r="K7" s="30" t="n">
        <f aca="false">_xlfn.XLOOKUP("RevenueFromOperations",HS_CONSOLIDATED!$C:$C,HS_CONSOLIDATED!J:J,0,0,1)</f>
        <v>59705300000</v>
      </c>
      <c r="L7" s="30" t="n">
        <f aca="false">_xlfn.XLOOKUP("RevenueFromOperations",HS_CONSOLIDATED!$C:$C,HS_CONSOLIDATED!K:K,0,0,1)</f>
        <v>65290900000</v>
      </c>
      <c r="M7" s="30" t="n">
        <f aca="false">_xlfn.XLOOKUP("RevenueFromOperations",HS_CONSOLIDATED!$C:$C,HS_CONSOLIDATED!L:L,0,0,1)</f>
        <v>108897400000</v>
      </c>
    </row>
    <row r="8" customFormat="false" ht="15" hidden="false" customHeight="false" outlineLevel="0" collapsed="false">
      <c r="C8" s="6" t="s">
        <v>114</v>
      </c>
      <c r="E8" s="30" t="n">
        <f aca="false">_xlfn.XLOOKUP("OtherIncome",HS_CONSOLIDATED!$C:$C,HS_CONSOLIDATED!D:D,0,0,1)</f>
        <v>888200000</v>
      </c>
      <c r="F8" s="30" t="n">
        <f aca="false">_xlfn.XLOOKUP("OtherIncome",HS_CONSOLIDATED!$C:$C,HS_CONSOLIDATED!E:E,0,0,1)</f>
        <v>791700000</v>
      </c>
      <c r="G8" s="30" t="n">
        <f aca="false">_xlfn.XLOOKUP("OtherIncome",HS_CONSOLIDATED!$C:$C,HS_CONSOLIDATED!F:F,0,0,1)</f>
        <v>499500000</v>
      </c>
      <c r="H8" s="30" t="n">
        <f aca="false">_xlfn.XLOOKUP("OtherIncome",HS_CONSOLIDATED!$C:$C,HS_CONSOLIDATED!G:G,0,0,1)</f>
        <v>275700000</v>
      </c>
      <c r="I8" s="30" t="n">
        <f aca="false">_xlfn.XLOOKUP("OtherIncome",HS_CONSOLIDATED!$C:$C,HS_CONSOLIDATED!H:H,0,0,1)</f>
        <v>198700000</v>
      </c>
      <c r="J8" s="30" t="n">
        <f aca="false">_xlfn.XLOOKUP("OtherIncome",HS_CONSOLIDATED!$C:$C,HS_CONSOLIDATED!I:I,0,0,1)</f>
        <v>221900000</v>
      </c>
      <c r="K8" s="30" t="n">
        <f aca="false">_xlfn.XLOOKUP("OtherIncome",HS_CONSOLIDATED!$C:$C,HS_CONSOLIDATED!J:J,0,0,1)</f>
        <v>196300000</v>
      </c>
      <c r="L8" s="30" t="n">
        <f aca="false">_xlfn.XLOOKUP("OtherIncome",HS_CONSOLIDATED!$C:$C,HS_CONSOLIDATED!K:K,0,0,1)</f>
        <v>384200000</v>
      </c>
      <c r="M8" s="30" t="n">
        <f aca="false">_xlfn.XLOOKUP("OtherIncome",HS_CONSOLIDATED!$C:$C,HS_CONSOLIDATED!L:L,0,0,1)</f>
        <v>1033900000</v>
      </c>
    </row>
    <row r="9" customFormat="false" ht="15" hidden="false" customHeight="false" outlineLevel="0" collapsed="false">
      <c r="A9" s="31"/>
      <c r="B9" s="31"/>
      <c r="C9" s="32" t="s">
        <v>115</v>
      </c>
      <c r="D9" s="31"/>
      <c r="E9" s="33" t="n">
        <f aca="false">IFERROR(SUM(E7:E8),0)</f>
        <v>128031900000</v>
      </c>
      <c r="F9" s="33" t="n">
        <f aca="false">IFERROR(SUM(F7:F8),0)</f>
        <v>84130100000</v>
      </c>
      <c r="G9" s="33" t="n">
        <f aca="false">IFERROR(SUM(G7:G8),0)</f>
        <v>50746400000</v>
      </c>
      <c r="H9" s="33" t="n">
        <f aca="false">IFERROR(SUM(H7:H8),0)</f>
        <v>30004200000</v>
      </c>
      <c r="I9" s="33" t="n">
        <f aca="false">IFERROR(SUM(I7:I8),0)</f>
        <v>33655900000</v>
      </c>
      <c r="J9" s="33" t="n">
        <f aca="false">IFERROR(SUM(J7:J8),0)</f>
        <v>66039700000</v>
      </c>
      <c r="K9" s="33" t="n">
        <f aca="false">IFERROR(SUM(K7:K8),0)</f>
        <v>59901600000</v>
      </c>
      <c r="L9" s="33" t="n">
        <f aca="false">IFERROR(SUM(L7:L8),0)</f>
        <v>65675100000</v>
      </c>
      <c r="M9" s="33" t="n">
        <f aca="false">IFERROR(SUM(M7:M8),0)</f>
        <v>109931300000</v>
      </c>
    </row>
    <row r="10" customFormat="false" ht="15" hidden="false" customHeight="false" outlineLevel="0" collapsed="false">
      <c r="A10" s="28"/>
      <c r="B10" s="29" t="s">
        <v>116</v>
      </c>
      <c r="C10" s="28"/>
      <c r="D10" s="28"/>
      <c r="E10" s="28"/>
      <c r="F10" s="28"/>
      <c r="G10" s="28"/>
      <c r="H10" s="28"/>
      <c r="I10" s="28"/>
      <c r="J10" s="28"/>
      <c r="K10" s="28"/>
      <c r="L10" s="28"/>
      <c r="M10" s="28"/>
    </row>
    <row r="11" customFormat="false" ht="15" hidden="false" customHeight="false" outlineLevel="0" collapsed="false">
      <c r="C11" s="6" t="s">
        <v>117</v>
      </c>
      <c r="E11" s="30" t="n">
        <f aca="false">-_xlfn.XLOOKUP("CostOfMaterialsConsumed",HS_CONSOLIDATED!$C:$C,HS_CONSOLIDATED!D:D,0,0,1)</f>
        <v>-82914400000</v>
      </c>
      <c r="F11" s="30" t="n">
        <f aca="false">-_xlfn.XLOOKUP("CostOfMaterialsConsumed",HS_CONSOLIDATED!$C:$C,HS_CONSOLIDATED!E:E,0,0,1)</f>
        <v>-40319900000</v>
      </c>
      <c r="G11" s="30" t="n">
        <f aca="false">-_xlfn.XLOOKUP("CostOfMaterialsConsumed",HS_CONSOLIDATED!$C:$C,HS_CONSOLIDATED!F:F,0,0,1)</f>
        <v>-29565000000</v>
      </c>
      <c r="H11" s="30" t="n">
        <f aca="false">-_xlfn.XLOOKUP("CostOfMaterialsConsumed",HS_CONSOLIDATED!$C:$C,HS_CONSOLIDATED!G:G,0,0,1)</f>
        <v>-14044100000</v>
      </c>
      <c r="I11" s="30" t="n">
        <f aca="false">-_xlfn.XLOOKUP("CostOfMaterialsConsumed",HS_CONSOLIDATED!$C:$C,HS_CONSOLIDATED!H:H,0,0,1)</f>
        <v>-16107500000</v>
      </c>
      <c r="J11" s="30" t="n">
        <f aca="false">-_xlfn.XLOOKUP("CostOfMaterialsConsumed",HS_CONSOLIDATED!$C:$C,HS_CONSOLIDATED!I:I,0,0,1)</f>
        <v>-40919500000</v>
      </c>
      <c r="K11" s="30" t="n">
        <f aca="false">-_xlfn.XLOOKUP("CostOfMaterialsConsumed",HS_CONSOLIDATED!$C:$C,HS_CONSOLIDATED!J:J,0,0,1)</f>
        <v>-36267600000</v>
      </c>
      <c r="L11" s="30" t="n">
        <f aca="false">-_xlfn.XLOOKUP("CostOfMaterialsConsumed",HS_CONSOLIDATED!$C:$C,HS_CONSOLIDATED!K:K,0,0,1)</f>
        <v>-40186500000</v>
      </c>
      <c r="M11" s="30" t="n">
        <f aca="false">-_xlfn.XLOOKUP("CostOfMaterialsConsumed",HS_CONSOLIDATED!$C:$C,HS_CONSOLIDATED!L:L,0,0,1)</f>
        <v>-71391700000</v>
      </c>
    </row>
    <row r="12" customFormat="false" ht="15" hidden="false" customHeight="false" outlineLevel="0" collapsed="false">
      <c r="C12" s="6" t="s">
        <v>118</v>
      </c>
      <c r="E12" s="30" t="n">
        <f aca="false">-_xlfn.XLOOKUP("PurchasesOfStockInTrade",HS_CONSOLIDATED!$C:$C,HS_CONSOLIDATED!D:D,0,0,1)</f>
        <v>-0</v>
      </c>
      <c r="F12" s="30" t="n">
        <f aca="false">-_xlfn.XLOOKUP("PurchasesOfStockInTrade",HS_CONSOLIDATED!$C:$C,HS_CONSOLIDATED!E:E,0,0,1)</f>
        <v>-9879500000</v>
      </c>
      <c r="G12" s="30" t="n">
        <f aca="false">-_xlfn.XLOOKUP("PurchasesOfStockInTrade",HS_CONSOLIDATED!$C:$C,HS_CONSOLIDATED!F:F,0,0,1)</f>
        <v>-0</v>
      </c>
      <c r="H12" s="30" t="n">
        <f aca="false">-_xlfn.XLOOKUP("PurchasesOfStockInTrade",HS_CONSOLIDATED!$C:$C,HS_CONSOLIDATED!G:G,0,0,1)</f>
        <v>-0</v>
      </c>
      <c r="I12" s="30" t="n">
        <f aca="false">-_xlfn.XLOOKUP("PurchasesOfStockInTrade",HS_CONSOLIDATED!$C:$C,HS_CONSOLIDATED!H:H,0,0,1)</f>
        <v>-0</v>
      </c>
      <c r="J12" s="30" t="n">
        <f aca="false">-_xlfn.XLOOKUP("PurchasesOfStockInTrade",HS_CONSOLIDATED!$C:$C,HS_CONSOLIDATED!I:I,0,0,1)</f>
        <v>-0</v>
      </c>
      <c r="K12" s="30" t="n">
        <f aca="false">-_xlfn.XLOOKUP("PurchasesOfStockInTrade",HS_CONSOLIDATED!$C:$C,HS_CONSOLIDATED!J:J,0,0,1)</f>
        <v>-0</v>
      </c>
      <c r="L12" s="30" t="n">
        <f aca="false">-_xlfn.XLOOKUP("PurchasesOfStockInTrade",HS_CONSOLIDATED!$C:$C,HS_CONSOLIDATED!K:K,0,0,1)</f>
        <v>-0</v>
      </c>
      <c r="M12" s="30" t="n">
        <f aca="false">-_xlfn.XLOOKUP("PurchasesOfStockInTrade",HS_CONSOLIDATED!$C:$C,HS_CONSOLIDATED!L:L,0,0,1)</f>
        <v>-0</v>
      </c>
    </row>
    <row r="13" customFormat="false" ht="15" hidden="false" customHeight="false" outlineLevel="0" collapsed="false">
      <c r="C13" s="6" t="s">
        <v>119</v>
      </c>
      <c r="E13" s="30" t="n">
        <f aca="false">-_xlfn.XLOOKUP("ChangesInInventoriesOfFinishedGoodsWorkInProgressAndStockInTrade",HS_CONSOLIDATED!$C:$C,HS_CONSOLIDATED!D:D,0,0,1)</f>
        <v>7485500000</v>
      </c>
      <c r="F13" s="30" t="n">
        <f aca="false">-_xlfn.XLOOKUP("ChangesInInventoriesOfFinishedGoodsWorkInProgressAndStockInTrade",HS_CONSOLIDATED!$C:$C,HS_CONSOLIDATED!E:E,0,0,1)</f>
        <v>-957700000</v>
      </c>
      <c r="G13" s="30" t="n">
        <f aca="false">-_xlfn.XLOOKUP("ChangesInInventoriesOfFinishedGoodsWorkInProgressAndStockInTrade",HS_CONSOLIDATED!$C:$C,HS_CONSOLIDATED!F:F,0,0,1)</f>
        <v>-418500000</v>
      </c>
      <c r="H13" s="30" t="n">
        <f aca="false">-_xlfn.XLOOKUP("ChangesInInventoriesOfFinishedGoodsWorkInProgressAndStockInTrade",HS_CONSOLIDATED!$C:$C,HS_CONSOLIDATED!G:G,0,0,1)</f>
        <v>-4691000000</v>
      </c>
      <c r="I13" s="30" t="n">
        <f aca="false">-_xlfn.XLOOKUP("ChangesInInventoriesOfFinishedGoodsWorkInProgressAndStockInTrade",HS_CONSOLIDATED!$C:$C,HS_CONSOLIDATED!H:H,0,0,1)</f>
        <v>334800000</v>
      </c>
      <c r="J13" s="30" t="n">
        <f aca="false">-_xlfn.XLOOKUP("ChangesInInventoriesOfFinishedGoodsWorkInProgressAndStockInTrade",HS_CONSOLIDATED!$C:$C,HS_CONSOLIDATED!I:I,0,0,1)</f>
        <v>-2396100000</v>
      </c>
      <c r="K13" s="30" t="n">
        <f aca="false">-_xlfn.XLOOKUP("ChangesInInventoriesOfFinishedGoodsWorkInProgressAndStockInTrade",HS_CONSOLIDATED!$C:$C,HS_CONSOLIDATED!J:J,0,0,1)</f>
        <v>-1559000000</v>
      </c>
      <c r="L13" s="30" t="n">
        <f aca="false">-_xlfn.XLOOKUP("ChangesInInventoriesOfFinishedGoodsWorkInProgressAndStockInTrade",HS_CONSOLIDATED!$C:$C,HS_CONSOLIDATED!K:K,0,0,1)</f>
        <v>365200000</v>
      </c>
      <c r="M13" s="30" t="n">
        <f aca="false">-_xlfn.XLOOKUP("ChangesInInventoriesOfFinishedGoodsWorkInProgressAndStockInTrade",HS_CONSOLIDATED!$C:$C,HS_CONSOLIDATED!L:L,0,0,1)</f>
        <v>2525700000</v>
      </c>
    </row>
    <row r="14" customFormat="false" ht="15" hidden="false" customHeight="false" outlineLevel="0" collapsed="false">
      <c r="A14" s="34"/>
      <c r="B14" s="35" t="s">
        <v>120</v>
      </c>
      <c r="C14" s="34"/>
      <c r="D14" s="34"/>
      <c r="E14" s="36" t="n">
        <f aca="false">IFERROR(E9+SUM(E11:E13),0)</f>
        <v>52603000000</v>
      </c>
      <c r="F14" s="36" t="n">
        <f aca="false">IFERROR(F9+SUM(F11:F13),0)</f>
        <v>32973000000</v>
      </c>
      <c r="G14" s="36" t="n">
        <f aca="false">IFERROR(G9+SUM(G11:G13),0)</f>
        <v>20762900000</v>
      </c>
      <c r="H14" s="36" t="n">
        <f aca="false">IFERROR(H9+SUM(H11:H13),0)</f>
        <v>11269100000</v>
      </c>
      <c r="I14" s="36" t="n">
        <f aca="false">IFERROR(I9+SUM(I11:I13),0)</f>
        <v>17883200000</v>
      </c>
      <c r="J14" s="36" t="n">
        <f aca="false">IFERROR(J9+SUM(J11:J13),0)</f>
        <v>22724100000</v>
      </c>
      <c r="K14" s="36" t="n">
        <f aca="false">IFERROR(K9+SUM(K11:K13),0)</f>
        <v>22075000000</v>
      </c>
      <c r="L14" s="36" t="n">
        <f aca="false">IFERROR(L9+SUM(L11:L13),0)</f>
        <v>25853800000</v>
      </c>
      <c r="M14" s="36" t="n">
        <f aca="false">IFERROR(M9+SUM(M11:M13),0)</f>
        <v>41065300000</v>
      </c>
    </row>
    <row r="15" customFormat="false" ht="15" hidden="false" customHeight="false" outlineLevel="0" collapsed="false">
      <c r="C15" s="6" t="s">
        <v>121</v>
      </c>
      <c r="E15" s="30" t="n">
        <f aca="false">-_xlfn.XLOOKUP("EmployeeBenefitExpense",HS_CONSOLIDATED!$C:$C,HS_CONSOLIDATED!D:D,0,0,1)-_xlfn.XLOOKUP("ExpenditureOnProductionTransportationAndOtherExpenditurePertainingToExplorationAndProductionActivities",HS_CONSOLIDATED!$C:$C,HS_CONSOLIDATED!D:D,0,0,1)</f>
        <v>-10464800000</v>
      </c>
      <c r="F15" s="30" t="n">
        <f aca="false">-_xlfn.XLOOKUP("EmployeeBenefitExpense",HS_CONSOLIDATED!$C:$C,HS_CONSOLIDATED!E:E,0,0,1)-_xlfn.XLOOKUP("ExpenditureOnProductionTransportationAndOtherExpenditurePertainingToExplorationAndProductionActivities",HS_CONSOLIDATED!$C:$C,HS_CONSOLIDATED!E:E,0,0,1)</f>
        <v>-8046800000</v>
      </c>
      <c r="G15" s="30" t="n">
        <f aca="false">-_xlfn.XLOOKUP("EmployeeBenefitExpense",HS_CONSOLIDATED!$C:$C,HS_CONSOLIDATED!F:F,0,0,1)-_xlfn.XLOOKUP("ExpenditureOnProductionTransportationAndOtherExpenditurePertainingToExplorationAndProductionActivities",HS_CONSOLIDATED!$C:$C,HS_CONSOLIDATED!F:F,0,0,1)</f>
        <v>-8741600000</v>
      </c>
      <c r="H15" s="30" t="n">
        <f aca="false">-_xlfn.XLOOKUP("EmployeeBenefitExpense",HS_CONSOLIDATED!$C:$C,HS_CONSOLIDATED!G:G,0,0,1)-_xlfn.XLOOKUP("ExpenditureOnProductionTransportationAndOtherExpenditurePertainingToExplorationAndProductionActivities",HS_CONSOLIDATED!$C:$C,HS_CONSOLIDATED!G:G,0,0,1)</f>
        <v>-7962500000</v>
      </c>
      <c r="I15" s="30" t="n">
        <f aca="false">-_xlfn.XLOOKUP("EmployeeBenefitExpense",HS_CONSOLIDATED!$C:$C,HS_CONSOLIDATED!H:H,0,0,1)-_xlfn.XLOOKUP("ExpenditureOnProductionTransportationAndOtherExpenditurePertainingToExplorationAndProductionActivities",HS_CONSOLIDATED!$C:$C,HS_CONSOLIDATED!H:H,0,0,1)</f>
        <v>-5532100000</v>
      </c>
      <c r="J15" s="30" t="n">
        <f aca="false">-_xlfn.XLOOKUP("EmployeeBenefitExpense",HS_CONSOLIDATED!$C:$C,HS_CONSOLIDATED!I:I,0,0,1)-_xlfn.XLOOKUP("ExpenditureOnProductionTransportationAndOtherExpenditurePertainingToExplorationAndProductionActivities",HS_CONSOLIDATED!$C:$C,HS_CONSOLIDATED!I:I,0,0,1)</f>
        <v>-5453600000</v>
      </c>
      <c r="K15" s="30" t="n">
        <f aca="false">-_xlfn.XLOOKUP("EmployeeBenefitExpense",HS_CONSOLIDATED!$C:$C,HS_CONSOLIDATED!J:J,0,0,1)-_xlfn.XLOOKUP("ExpenditureOnProductionTransportationAndOtherExpenditurePertainingToExplorationAndProductionActivities",HS_CONSOLIDATED!$C:$C,HS_CONSOLIDATED!J:J,0,0,1)</f>
        <v>-6092200000</v>
      </c>
      <c r="L15" s="30" t="n">
        <f aca="false">-_xlfn.XLOOKUP("EmployeeBenefitExpense",HS_CONSOLIDATED!$C:$C,HS_CONSOLIDATED!K:K,0,0,1)-_xlfn.XLOOKUP("ExpenditureOnProductionTransportationAndOtherExpenditurePertainingToExplorationAndProductionActivities",HS_CONSOLIDATED!$C:$C,HS_CONSOLIDATED!K:K,0,0,1)</f>
        <v>-7029000000</v>
      </c>
      <c r="M15" s="30" t="n">
        <f aca="false">-_xlfn.XLOOKUP("EmployeeBenefitExpense",HS_CONSOLIDATED!$C:$C,HS_CONSOLIDATED!L:L,0,0,1)-_xlfn.XLOOKUP("ExpenditureOnProductionTransportationAndOtherExpenditurePertainingToExplorationAndProductionActivities",HS_CONSOLIDATED!$C:$C,HS_CONSOLIDATED!L:L,0,0,1)</f>
        <v>-9415300000</v>
      </c>
    </row>
    <row r="16" customFormat="false" ht="15" hidden="false" customHeight="false" outlineLevel="0" collapsed="false">
      <c r="C16" s="6" t="s">
        <v>122</v>
      </c>
      <c r="E16" s="30" t="n">
        <f aca="false">-_xlfn.XLOOKUP("OtherExpenses",HS_CONSOLIDATED!$C:$C,HS_CONSOLIDATED!D:D,0,0,1)</f>
        <v>-16256100000</v>
      </c>
      <c r="F16" s="30" t="n">
        <f aca="false">-_xlfn.XLOOKUP("OtherExpenses",HS_CONSOLIDATED!$C:$C,HS_CONSOLIDATED!E:E,0,0,1)</f>
        <v>-14103900000</v>
      </c>
      <c r="G16" s="30" t="n">
        <f aca="false">-_xlfn.XLOOKUP("OtherExpenses",HS_CONSOLIDATED!$C:$C,HS_CONSOLIDATED!F:F,0,0,1)</f>
        <v>-11609300000</v>
      </c>
      <c r="H16" s="30" t="n">
        <f aca="false">-_xlfn.XLOOKUP("OtherExpenses",HS_CONSOLIDATED!$C:$C,HS_CONSOLIDATED!G:G,0,0,1)</f>
        <v>-11628200000</v>
      </c>
      <c r="I16" s="30" t="n">
        <f aca="false">-_xlfn.XLOOKUP("OtherExpenses",HS_CONSOLIDATED!$C:$C,HS_CONSOLIDATED!H:H,0,0,1)</f>
        <v>-6809600000</v>
      </c>
      <c r="J16" s="30" t="n">
        <f aca="false">-_xlfn.XLOOKUP("OtherExpenses",HS_CONSOLIDATED!$C:$C,HS_CONSOLIDATED!I:I,0,0,1)</f>
        <v>-8154100000</v>
      </c>
      <c r="K16" s="30" t="n">
        <f aca="false">-_xlfn.XLOOKUP("OtherExpenses",HS_CONSOLIDATED!$C:$C,HS_CONSOLIDATED!J:J,0,0,1)</f>
        <v>-7467300000</v>
      </c>
      <c r="L16" s="30" t="n">
        <f aca="false">-_xlfn.XLOOKUP("OtherExpenses",HS_CONSOLIDATED!$C:$C,HS_CONSOLIDATED!K:K,0,0,1)</f>
        <v>-8151800000</v>
      </c>
      <c r="M16" s="30" t="n">
        <f aca="false">-_xlfn.XLOOKUP("OtherExpenses",HS_CONSOLIDATED!$C:$C,HS_CONSOLIDATED!L:L,0,0,1)</f>
        <v>-12043800000</v>
      </c>
    </row>
    <row r="17" customFormat="false" ht="15" hidden="false" customHeight="false" outlineLevel="0" collapsed="false">
      <c r="A17" s="34"/>
      <c r="B17" s="35" t="s">
        <v>123</v>
      </c>
      <c r="C17" s="34"/>
      <c r="D17" s="34"/>
      <c r="E17" s="36" t="n">
        <f aca="false">IFERROR(SUM(E14:E16),0)</f>
        <v>25882100000</v>
      </c>
      <c r="F17" s="36" t="n">
        <f aca="false">IFERROR(SUM(F14:F16),0)</f>
        <v>10822300000</v>
      </c>
      <c r="G17" s="36" t="n">
        <f aca="false">IFERROR(SUM(G14:G16),0)</f>
        <v>412000000</v>
      </c>
      <c r="H17" s="36" t="n">
        <f aca="false">IFERROR(SUM(H14:H16),0)</f>
        <v>-8321600000</v>
      </c>
      <c r="I17" s="36" t="n">
        <f aca="false">IFERROR(SUM(I14:I16),0)</f>
        <v>5541500000</v>
      </c>
      <c r="J17" s="36" t="n">
        <f aca="false">IFERROR(SUM(J14:J16),0)</f>
        <v>9116400000</v>
      </c>
      <c r="K17" s="36" t="n">
        <f aca="false">IFERROR(SUM(K14:K16),0)</f>
        <v>8515500000</v>
      </c>
      <c r="L17" s="36" t="n">
        <f aca="false">IFERROR(SUM(L14:L16),0)</f>
        <v>10673000000</v>
      </c>
      <c r="M17" s="36" t="n">
        <f aca="false">IFERROR(SUM(M14:M16),0)</f>
        <v>19606200000</v>
      </c>
    </row>
    <row r="18" customFormat="false" ht="15" hidden="false" customHeight="false" outlineLevel="0" collapsed="false">
      <c r="C18" s="6" t="s">
        <v>124</v>
      </c>
      <c r="E18" s="30" t="n">
        <f aca="false">-_xlfn.XLOOKUP("DepreciationDepletionAndAmortisationExpense",HS_CONSOLIDATED!$C:$C,HS_CONSOLIDATED!D:D,0,0,1)</f>
        <v>-3890300000</v>
      </c>
      <c r="F18" s="30" t="n">
        <f aca="false">-_xlfn.XLOOKUP("DepreciationDepletionAndAmortisationExpense",HS_CONSOLIDATED!$C:$C,HS_CONSOLIDATED!E:E,0,0,1)</f>
        <v>-3416100000</v>
      </c>
      <c r="G18" s="30" t="n">
        <f aca="false">-_xlfn.XLOOKUP("DepreciationDepletionAndAmortisationExpense",HS_CONSOLIDATED!$C:$C,HS_CONSOLIDATED!F:F,0,0,1)</f>
        <v>-3418500000</v>
      </c>
      <c r="H18" s="30" t="n">
        <f aca="false">-_xlfn.XLOOKUP("DepreciationDepletionAndAmortisationExpense",HS_CONSOLIDATED!$C:$C,HS_CONSOLIDATED!G:G,0,0,1)</f>
        <v>-4186100000</v>
      </c>
      <c r="I18" s="30" t="n">
        <f aca="false">-_xlfn.XLOOKUP("DepreciationDepletionAndAmortisationExpense",HS_CONSOLIDATED!$C:$C,HS_CONSOLIDATED!H:H,0,0,1)</f>
        <v>-2583800000</v>
      </c>
      <c r="J18" s="30" t="n">
        <f aca="false">-_xlfn.XLOOKUP("DepreciationDepletionAndAmortisationExpense",HS_CONSOLIDATED!$C:$C,HS_CONSOLIDATED!I:I,0,0,1)</f>
        <v>-2598400000</v>
      </c>
      <c r="K18" s="30" t="n">
        <f aca="false">-_xlfn.XLOOKUP("DepreciationDepletionAndAmortisationExpense",HS_CONSOLIDATED!$C:$C,HS_CONSOLIDATED!J:J,0,0,1)</f>
        <v>-2596800000</v>
      </c>
      <c r="L18" s="30" t="n">
        <f aca="false">-_xlfn.XLOOKUP("DepreciationDepletionAndAmortisationExpense",HS_CONSOLIDATED!$C:$C,HS_CONSOLIDATED!K:K,0,0,1)</f>
        <v>-1896000000</v>
      </c>
      <c r="M18" s="30" t="n">
        <f aca="false">-_xlfn.XLOOKUP("DepreciationDepletionAndAmortisationExpense",HS_CONSOLIDATED!$C:$C,HS_CONSOLIDATED!L:L,0,0,1)</f>
        <v>-2591900000</v>
      </c>
    </row>
    <row r="19" customFormat="false" ht="15" hidden="false" customHeight="false" outlineLevel="0" collapsed="false">
      <c r="A19" s="34"/>
      <c r="B19" s="35" t="s">
        <v>125</v>
      </c>
      <c r="C19" s="34"/>
      <c r="D19" s="34"/>
      <c r="E19" s="36" t="n">
        <f aca="false">IFERROR(SUM(E17:E18),0)</f>
        <v>21991800000</v>
      </c>
      <c r="F19" s="36" t="n">
        <f aca="false">IFERROR(SUM(F17:F18),0)</f>
        <v>7406200000</v>
      </c>
      <c r="G19" s="36" t="n">
        <f aca="false">IFERROR(SUM(G17:G18),0)</f>
        <v>-3006500000</v>
      </c>
      <c r="H19" s="36" t="n">
        <f aca="false">IFERROR(SUM(H17:H18),0)</f>
        <v>-12507700000</v>
      </c>
      <c r="I19" s="36" t="n">
        <f aca="false">IFERROR(SUM(I17:I18),0)</f>
        <v>2957700000</v>
      </c>
      <c r="J19" s="36" t="n">
        <f aca="false">IFERROR(SUM(J17:J18),0)</f>
        <v>6518000000</v>
      </c>
      <c r="K19" s="36" t="n">
        <f aca="false">IFERROR(SUM(K17:K18),0)</f>
        <v>5918700000</v>
      </c>
      <c r="L19" s="36" t="n">
        <f aca="false">IFERROR(SUM(L17:L18),0)</f>
        <v>8777000000</v>
      </c>
      <c r="M19" s="36" t="n">
        <f aca="false">IFERROR(SUM(M17:M18),0)</f>
        <v>17014300000</v>
      </c>
    </row>
    <row r="20" customFormat="false" ht="15" hidden="false" customHeight="false" outlineLevel="0" collapsed="false">
      <c r="C20" s="6" t="s">
        <v>126</v>
      </c>
      <c r="E20" s="30" t="n">
        <f aca="false">-_xlfn.XLOOKUP("FinanceCosts",HS_CONSOLIDATED!$C:$C,HS_CONSOLIDATED!D:D,0,0,1)</f>
        <v>-12875900000</v>
      </c>
      <c r="F20" s="30" t="n">
        <f aca="false">-_xlfn.XLOOKUP("FinanceCosts",HS_CONSOLIDATED!$C:$C,HS_CONSOLIDATED!E:E,0,0,1)</f>
        <v>-15809800000</v>
      </c>
      <c r="G20" s="30" t="n">
        <f aca="false">-_xlfn.XLOOKUP("FinanceCosts",HS_CONSOLIDATED!$C:$C,HS_CONSOLIDATED!F:F,0,0,1)</f>
        <v>-12699100000</v>
      </c>
      <c r="H20" s="30" t="n">
        <f aca="false">-_xlfn.XLOOKUP("FinanceCosts",HS_CONSOLIDATED!$C:$C,HS_CONSOLIDATED!G:G,0,0,1)</f>
        <v>-13672900000</v>
      </c>
      <c r="I20" s="30" t="n">
        <f aca="false">-_xlfn.XLOOKUP("FinanceCosts",HS_CONSOLIDATED!$C:$C,HS_CONSOLIDATED!H:H,0,0,1)</f>
        <v>-9962600000</v>
      </c>
      <c r="J20" s="30" t="n">
        <f aca="false">-_xlfn.XLOOKUP("FinanceCosts",HS_CONSOLIDATED!$C:$C,HS_CONSOLIDATED!I:I,0,0,1)</f>
        <v>-7345200000</v>
      </c>
      <c r="K20" s="30" t="n">
        <f aca="false">-_xlfn.XLOOKUP("FinanceCosts",HS_CONSOLIDATED!$C:$C,HS_CONSOLIDATED!J:J,0,0,1)</f>
        <v>-4207600000</v>
      </c>
      <c r="L20" s="30" t="n">
        <f aca="false">-_xlfn.XLOOKUP("FinanceCosts",HS_CONSOLIDATED!$C:$C,HS_CONSOLIDATED!K:K,0,0,1)</f>
        <v>-1643200000</v>
      </c>
      <c r="M20" s="30" t="n">
        <f aca="false">-_xlfn.XLOOKUP("FinanceCosts",HS_CONSOLIDATED!$C:$C,HS_CONSOLIDATED!L:L,0,0,1)</f>
        <v>-2548000000</v>
      </c>
    </row>
    <row r="21" customFormat="false" ht="15" hidden="false" customHeight="false" outlineLevel="0" collapsed="false">
      <c r="C21" s="6" t="s">
        <v>127</v>
      </c>
      <c r="E21" s="30" t="n">
        <f aca="false">_xlfn.XLOOKUP("ExceptionalItemsBeforeTax",HS_CONSOLIDATED!$C:$C,HS_CONSOLIDATED!D:D,0,0,1)</f>
        <v>0</v>
      </c>
      <c r="F21" s="30" t="n">
        <f aca="false">_xlfn.XLOOKUP("ExceptionalItemsBeforeTax",HS_CONSOLIDATED!$C:$C,HS_CONSOLIDATED!E:E,0,0,1)</f>
        <v>4496200000</v>
      </c>
      <c r="G21" s="30" t="n">
        <f aca="false">_xlfn.XLOOKUP("ExceptionalItemsBeforeTax",HS_CONSOLIDATED!$C:$C,HS_CONSOLIDATED!F:F,0,0,1)</f>
        <v>275700000</v>
      </c>
      <c r="H21" s="30" t="n">
        <f aca="false">_xlfn.XLOOKUP("ExceptionalItemsBeforeTax",HS_CONSOLIDATED!$C:$C,HS_CONSOLIDATED!G:G,0,0,1)</f>
        <v>-658900000</v>
      </c>
      <c r="I21" s="30" t="n">
        <f aca="false">_xlfn.XLOOKUP("ExceptionalItemsBeforeTax",HS_CONSOLIDATED!$C:$C,HS_CONSOLIDATED!H:H,0,0,1)</f>
        <v>8054600000</v>
      </c>
      <c r="J21" s="30" t="n">
        <f aca="false">_xlfn.XLOOKUP("ExceptionalItemsBeforeTax",HS_CONSOLIDATED!$C:$C,HS_CONSOLIDATED!I:I,0,0,1)</f>
        <v>831200000</v>
      </c>
      <c r="K21" s="30" t="n">
        <f aca="false">_xlfn.XLOOKUP("ExceptionalItemsBeforeTax",HS_CONSOLIDATED!$C:$C,HS_CONSOLIDATED!J:J,0,0,1)</f>
        <v>27206000000</v>
      </c>
      <c r="L21" s="30" t="n">
        <f aca="false">_xlfn.XLOOKUP("ExceptionalItemsBeforeTax",HS_CONSOLIDATED!$C:$C,HS_CONSOLIDATED!K:K,0,0,1)</f>
        <v>-538900000</v>
      </c>
      <c r="M21" s="30" t="n">
        <f aca="false">_xlfn.XLOOKUP("ExceptionalItemsBeforeTax",HS_CONSOLIDATED!$C:$C,HS_CONSOLIDATED!L:L,0,0,1)</f>
        <v>0</v>
      </c>
    </row>
    <row r="22" customFormat="false" ht="15" hidden="false" customHeight="false" outlineLevel="0" collapsed="false">
      <c r="A22" s="34"/>
      <c r="B22" s="35" t="s">
        <v>128</v>
      </c>
      <c r="C22" s="34"/>
      <c r="D22" s="34"/>
      <c r="E22" s="36" t="n">
        <f aca="false">IFERROR(SUM(E19:E21),0)</f>
        <v>9115900000</v>
      </c>
      <c r="F22" s="36" t="n">
        <f aca="false">IFERROR(SUM(F19:F21),0)</f>
        <v>-3907400000</v>
      </c>
      <c r="G22" s="36" t="n">
        <f aca="false">IFERROR(SUM(G19:G21),0)</f>
        <v>-15429900000</v>
      </c>
      <c r="H22" s="36" t="n">
        <f aca="false">IFERROR(SUM(H19:H21),0)</f>
        <v>-26839500000</v>
      </c>
      <c r="I22" s="36" t="n">
        <f aca="false">IFERROR(SUM(I19:I21),0)</f>
        <v>1049700000</v>
      </c>
      <c r="J22" s="36" t="n">
        <f aca="false">IFERROR(SUM(J19:J21),0)</f>
        <v>4000000</v>
      </c>
      <c r="K22" s="36" t="n">
        <f aca="false">IFERROR(SUM(K19:K21),0)</f>
        <v>28917100000</v>
      </c>
      <c r="L22" s="36" t="n">
        <f aca="false">IFERROR(SUM(L19:L21),0)</f>
        <v>6594900000</v>
      </c>
      <c r="M22" s="36" t="n">
        <f aca="false">IFERROR(SUM(M19:M21),0)</f>
        <v>14466300000</v>
      </c>
    </row>
    <row r="23" customFormat="false" ht="15" hidden="false" customHeight="false" outlineLevel="0" collapsed="false">
      <c r="C23" s="6" t="s">
        <v>129</v>
      </c>
      <c r="E23" s="30" t="n">
        <f aca="false">-_xlfn.XLOOKUP("CurrentTax",HS_CONSOLIDATED!$C:$C,HS_CONSOLIDATED!D:D,0,0,1)</f>
        <v>-117000000</v>
      </c>
      <c r="F23" s="30" t="n">
        <f aca="false">-_xlfn.XLOOKUP("CurrentTax",HS_CONSOLIDATED!$C:$C,HS_CONSOLIDATED!E:E,0,0,1)</f>
        <v>15600000</v>
      </c>
      <c r="G23" s="30" t="n">
        <f aca="false">-_xlfn.XLOOKUP("CurrentTax",HS_CONSOLIDATED!$C:$C,HS_CONSOLIDATED!F:F,0,0,1)</f>
        <v>-30900000</v>
      </c>
      <c r="H23" s="30" t="n">
        <f aca="false">-_xlfn.XLOOKUP("CurrentTax",HS_CONSOLIDATED!$C:$C,HS_CONSOLIDATED!G:G,0,0,1)</f>
        <v>-74400000</v>
      </c>
      <c r="I23" s="30" t="n">
        <f aca="false">-_xlfn.XLOOKUP("CurrentTax",HS_CONSOLIDATED!$C:$C,HS_CONSOLIDATED!H:H,0,0,1)</f>
        <v>-46300000</v>
      </c>
      <c r="J23" s="30" t="n">
        <f aca="false">-_xlfn.XLOOKUP("CurrentTax",HS_CONSOLIDATED!$C:$C,HS_CONSOLIDATED!I:I,0,0,1)</f>
        <v>-1840700000</v>
      </c>
      <c r="K23" s="30" t="n">
        <f aca="false">-_xlfn.XLOOKUP("CurrentTax",HS_CONSOLIDATED!$C:$C,HS_CONSOLIDATED!J:J,0,0,1)</f>
        <v>-46100000</v>
      </c>
      <c r="L23" s="30" t="n">
        <f aca="false">-_xlfn.XLOOKUP("CurrentTax",HS_CONSOLIDATED!$C:$C,HS_CONSOLIDATED!K:K,0,0,1)</f>
        <v>-29000000</v>
      </c>
      <c r="M23" s="30" t="n">
        <f aca="false">-_xlfn.XLOOKUP("CurrentTax",HS_CONSOLIDATED!$C:$C,HS_CONSOLIDATED!L:L,0,0,1)</f>
        <v>-144200000</v>
      </c>
    </row>
    <row r="24" customFormat="false" ht="15" hidden="false" customHeight="false" outlineLevel="0" collapsed="false">
      <c r="C24" s="6" t="s">
        <v>130</v>
      </c>
      <c r="E24" s="30" t="n">
        <f aca="false">-_xlfn.XLOOKUP("DeferredTax",HS_CONSOLIDATED!$C:$C,HS_CONSOLIDATED!D:D,0,0,1)</f>
        <v>-0</v>
      </c>
      <c r="F24" s="30" t="n">
        <f aca="false">-_xlfn.XLOOKUP("DeferredTax",HS_CONSOLIDATED!$C:$C,HS_CONSOLIDATED!E:E,0,0,1)</f>
        <v>-0</v>
      </c>
      <c r="G24" s="30" t="n">
        <f aca="false">-_xlfn.XLOOKUP("DeferredTax",HS_CONSOLIDATED!$C:$C,HS_CONSOLIDATED!F:F,0,0,1)</f>
        <v>149900000</v>
      </c>
      <c r="H24" s="30" t="n">
        <f aca="false">-_xlfn.XLOOKUP("DeferredTax",HS_CONSOLIDATED!$C:$C,HS_CONSOLIDATED!G:G,0,0,1)</f>
        <v>-0</v>
      </c>
      <c r="I24" s="30" t="n">
        <f aca="false">-_xlfn.XLOOKUP("DeferredTax",HS_CONSOLIDATED!$C:$C,HS_CONSOLIDATED!H:H,0,0,1)</f>
        <v>-0</v>
      </c>
      <c r="J24" s="30" t="n">
        <f aca="false">-_xlfn.XLOOKUP("DeferredTax",HS_CONSOLIDATED!$C:$C,HS_CONSOLIDATED!I:I,0,0,1)</f>
        <v>174800000</v>
      </c>
      <c r="K24" s="30" t="n">
        <f aca="false">-_xlfn.XLOOKUP("DeferredTax",HS_CONSOLIDATED!$C:$C,HS_CONSOLIDATED!J:J,0,0,1)</f>
        <v>1900000</v>
      </c>
      <c r="L24" s="30" t="n">
        <f aca="false">-_xlfn.XLOOKUP("DeferredTax",HS_CONSOLIDATED!$C:$C,HS_CONSOLIDATED!K:K,0,0,1)</f>
        <v>37600000</v>
      </c>
      <c r="M24" s="30" t="n">
        <f aca="false">-_xlfn.XLOOKUP("DeferredTax",HS_CONSOLIDATED!$C:$C,HS_CONSOLIDATED!L:L,0,0,1)</f>
        <v>6394200000</v>
      </c>
    </row>
    <row r="25" customFormat="false" ht="15" hidden="false" customHeight="false" outlineLevel="0" collapsed="false">
      <c r="A25" s="31"/>
      <c r="B25" s="31"/>
      <c r="C25" s="32" t="s">
        <v>131</v>
      </c>
      <c r="D25" s="31"/>
      <c r="E25" s="33" t="n">
        <f aca="false">IFERROR(SUM(E23:E24),0)</f>
        <v>-117000000</v>
      </c>
      <c r="F25" s="33" t="n">
        <f aca="false">IFERROR(SUM(F23:F24),0)</f>
        <v>15600000</v>
      </c>
      <c r="G25" s="33" t="n">
        <f aca="false">IFERROR(SUM(G23:G24),0)</f>
        <v>119000000</v>
      </c>
      <c r="H25" s="33" t="n">
        <f aca="false">IFERROR(SUM(H23:H24),0)</f>
        <v>-74400000</v>
      </c>
      <c r="I25" s="33" t="n">
        <f aca="false">IFERROR(SUM(I23:I24),0)</f>
        <v>-46300000</v>
      </c>
      <c r="J25" s="33" t="n">
        <f aca="false">IFERROR(SUM(J23:J24),0)</f>
        <v>-1665900000</v>
      </c>
      <c r="K25" s="33" t="n">
        <f aca="false">IFERROR(SUM(K23:K24),0)</f>
        <v>-44200000</v>
      </c>
      <c r="L25" s="33" t="n">
        <f aca="false">IFERROR(SUM(L23:L24),0)</f>
        <v>8600000</v>
      </c>
      <c r="M25" s="33" t="n">
        <f aca="false">IFERROR(SUM(M23:M24),0)</f>
        <v>6250000000</v>
      </c>
    </row>
    <row r="26" customFormat="false" ht="15" hidden="false" customHeight="false" outlineLevel="0" collapsed="false">
      <c r="A26" s="34"/>
      <c r="B26" s="35" t="s">
        <v>132</v>
      </c>
      <c r="C26" s="34"/>
      <c r="D26" s="34"/>
      <c r="E26" s="36" t="n">
        <f aca="false">IFERROR(E25+E22,0)</f>
        <v>8998900000</v>
      </c>
      <c r="F26" s="36" t="n">
        <f aca="false">IFERROR(F25+F22,0)</f>
        <v>-3891800000</v>
      </c>
      <c r="G26" s="36" t="n">
        <f aca="false">IFERROR(G25+G22,0)</f>
        <v>-15310900000</v>
      </c>
      <c r="H26" s="36" t="n">
        <f aca="false">IFERROR(H25+H22,0)</f>
        <v>-26913900000</v>
      </c>
      <c r="I26" s="36" t="n">
        <f aca="false">IFERROR(I25+I22,0)</f>
        <v>1003400000</v>
      </c>
      <c r="J26" s="36" t="n">
        <f aca="false">IFERROR(J25+J22,0)</f>
        <v>-1661900000</v>
      </c>
      <c r="K26" s="36" t="n">
        <f aca="false">IFERROR(K25+K22,0)</f>
        <v>28872900000</v>
      </c>
      <c r="L26" s="36" t="n">
        <f aca="false">IFERROR(L25+L22,0)</f>
        <v>6603500000</v>
      </c>
      <c r="M26" s="36" t="n">
        <f aca="false">IFERROR(M25+M22,0)</f>
        <v>20716300000</v>
      </c>
    </row>
    <row r="27" customFormat="false" ht="15" hidden="false" customHeight="false" outlineLevel="0" collapsed="false">
      <c r="A27" s="5" t="s">
        <v>26</v>
      </c>
      <c r="B27" s="27" t="s">
        <v>133</v>
      </c>
      <c r="C27" s="5"/>
      <c r="D27" s="5"/>
      <c r="E27" s="5"/>
      <c r="F27" s="5"/>
      <c r="G27" s="5"/>
      <c r="H27" s="5"/>
      <c r="I27" s="5"/>
      <c r="J27" s="5"/>
      <c r="K27" s="5"/>
      <c r="L27" s="5"/>
      <c r="M27" s="5"/>
    </row>
    <row r="28" customFormat="false" ht="15" hidden="false" customHeight="false" outlineLevel="0" collapsed="false">
      <c r="A28" s="28"/>
      <c r="B28" s="29" t="s">
        <v>134</v>
      </c>
      <c r="C28" s="28"/>
      <c r="D28" s="28"/>
      <c r="E28" s="28"/>
      <c r="F28" s="28"/>
      <c r="G28" s="28"/>
      <c r="H28" s="28"/>
      <c r="I28" s="28"/>
      <c r="J28" s="28"/>
      <c r="K28" s="28"/>
      <c r="L28" s="28"/>
      <c r="M28" s="28"/>
    </row>
    <row r="29" customFormat="false" ht="15" hidden="false" customHeight="false" outlineLevel="0" collapsed="false">
      <c r="A29" s="28"/>
      <c r="B29" s="29" t="s">
        <v>135</v>
      </c>
      <c r="C29" s="28"/>
      <c r="D29" s="28"/>
      <c r="E29" s="28"/>
      <c r="F29" s="28"/>
      <c r="G29" s="28"/>
      <c r="H29" s="28"/>
      <c r="I29" s="28"/>
      <c r="J29" s="28"/>
      <c r="K29" s="28"/>
      <c r="L29" s="28"/>
      <c r="M29" s="28"/>
    </row>
    <row r="30" customFormat="false" ht="15" hidden="false" customHeight="false" outlineLevel="0" collapsed="false">
      <c r="A30" s="28"/>
      <c r="B30" s="28"/>
      <c r="C30" s="29" t="s">
        <v>136</v>
      </c>
      <c r="D30" s="28"/>
      <c r="E30" s="28"/>
      <c r="F30" s="28"/>
      <c r="G30" s="28"/>
      <c r="H30" s="28"/>
      <c r="I30" s="28"/>
      <c r="J30" s="28"/>
      <c r="K30" s="28"/>
      <c r="L30" s="28"/>
      <c r="M30" s="28"/>
    </row>
    <row r="31" customFormat="false" ht="15" hidden="false" customHeight="false" outlineLevel="0" collapsed="false">
      <c r="D31" s="6" t="s">
        <v>137</v>
      </c>
      <c r="E31" s="30" t="n">
        <f aca="false">_xlfn.XLOOKUP("PropertyPlantAndEquipment",HS_CONSOLIDATED!$C:$C,HS_CONSOLIDATED!D:D,0,0,1)</f>
        <v>14201800000</v>
      </c>
      <c r="F31" s="30" t="n">
        <f aca="false">_xlfn.XLOOKUP("PropertyPlantAndEquipment",HS_CONSOLIDATED!$C:$C,HS_CONSOLIDATED!E:E,0,0,1)</f>
        <v>12673200000</v>
      </c>
      <c r="G31" s="30" t="n">
        <f aca="false">_xlfn.XLOOKUP("PropertyPlantAndEquipment",HS_CONSOLIDATED!$C:$C,HS_CONSOLIDATED!F:F,0,0,1)</f>
        <v>11473200000</v>
      </c>
      <c r="H31" s="30" t="n">
        <f aca="false">_xlfn.XLOOKUP("PropertyPlantAndEquipment",HS_CONSOLIDATED!$C:$C,HS_CONSOLIDATED!G:G,0,0,1)</f>
        <v>10484300000</v>
      </c>
      <c r="I31" s="30" t="n">
        <f aca="false">_xlfn.XLOOKUP("PropertyPlantAndEquipment",HS_CONSOLIDATED!$C:$C,HS_CONSOLIDATED!H:H,0,0,1)</f>
        <v>9353100000</v>
      </c>
      <c r="J31" s="30" t="n">
        <f aca="false">_xlfn.XLOOKUP("PropertyPlantAndEquipment",HS_CONSOLIDATED!$C:$C,HS_CONSOLIDATED!I:I,0,0,1)</f>
        <v>9073300000</v>
      </c>
      <c r="K31" s="30" t="n">
        <f aca="false">_xlfn.XLOOKUP("PropertyPlantAndEquipment",HS_CONSOLIDATED!$C:$C,HS_CONSOLIDATED!J:J,0,0,1)</f>
        <v>7784500000</v>
      </c>
      <c r="L31" s="30" t="n">
        <f aca="false">_xlfn.XLOOKUP("PropertyPlantAndEquipment",HS_CONSOLIDATED!$C:$C,HS_CONSOLIDATED!K:K,0,0,1)</f>
        <v>8095100000</v>
      </c>
      <c r="M31" s="30" t="n">
        <f aca="false">_xlfn.XLOOKUP("PropertyPlantAndEquipment",HS_CONSOLIDATED!$C:$C,HS_CONSOLIDATED!L:L,0,0,1)</f>
        <v>8220600000</v>
      </c>
    </row>
    <row r="32" customFormat="false" ht="15" hidden="false" customHeight="false" outlineLevel="0" collapsed="false">
      <c r="D32" s="6" t="s">
        <v>138</v>
      </c>
      <c r="E32" s="30" t="n">
        <f aca="false">_xlfn.XLOOKUP("CapitalWorkInProgress",HS_CONSOLIDATED!$C:$C,HS_CONSOLIDATED!D:D,0,0,1)</f>
        <v>1185600000</v>
      </c>
      <c r="F32" s="30" t="n">
        <f aca="false">_xlfn.XLOOKUP("CapitalWorkInProgress",HS_CONSOLIDATED!$C:$C,HS_CONSOLIDATED!E:E,0,0,1)</f>
        <v>1734200000</v>
      </c>
      <c r="G32" s="30" t="n">
        <f aca="false">_xlfn.XLOOKUP("CapitalWorkInProgress",HS_CONSOLIDATED!$C:$C,HS_CONSOLIDATED!F:F,0,0,1)</f>
        <v>2183300000</v>
      </c>
      <c r="H32" s="30" t="n">
        <f aca="false">_xlfn.XLOOKUP("CapitalWorkInProgress",HS_CONSOLIDATED!$C:$C,HS_CONSOLIDATED!G:G,0,0,1)</f>
        <v>1100800000</v>
      </c>
      <c r="I32" s="30" t="n">
        <f aca="false">_xlfn.XLOOKUP("CapitalWorkInProgress",HS_CONSOLIDATED!$C:$C,HS_CONSOLIDATED!H:H,0,0,1)</f>
        <v>1039300000</v>
      </c>
      <c r="J32" s="30" t="n">
        <f aca="false">_xlfn.XLOOKUP("CapitalWorkInProgress",HS_CONSOLIDATED!$C:$C,HS_CONSOLIDATED!I:I,0,0,1)</f>
        <v>152100000</v>
      </c>
      <c r="K32" s="30" t="n">
        <f aca="false">_xlfn.XLOOKUP("CapitalWorkInProgress",HS_CONSOLIDATED!$C:$C,HS_CONSOLIDATED!J:J,0,0,1)</f>
        <v>25700000</v>
      </c>
      <c r="L32" s="30" t="n">
        <f aca="false">_xlfn.XLOOKUP("CapitalWorkInProgress",HS_CONSOLIDATED!$C:$C,HS_CONSOLIDATED!K:K,0,0,1)</f>
        <v>162100000</v>
      </c>
      <c r="M32" s="30" t="n">
        <f aca="false">_xlfn.XLOOKUP("CapitalWorkInProgress",HS_CONSOLIDATED!$C:$C,HS_CONSOLIDATED!L:L,0,0,1)</f>
        <v>886700000</v>
      </c>
    </row>
    <row r="33" customFormat="false" ht="15" hidden="false" customHeight="false" outlineLevel="0" collapsed="false">
      <c r="D33" s="6" t="s">
        <v>139</v>
      </c>
      <c r="E33" s="30" t="n">
        <f aca="false">_xlfn.XLOOKUP("Goodwill",HS_CONSOLIDATED!$C:$C,HS_CONSOLIDATED!D:D,0,0,1)</f>
        <v>76200000</v>
      </c>
      <c r="F33" s="30" t="n">
        <f aca="false">_xlfn.XLOOKUP("Goodwill",HS_CONSOLIDATED!$C:$C,HS_CONSOLIDATED!E:E,0,0,1)</f>
        <v>76300000</v>
      </c>
      <c r="G33" s="30" t="n">
        <f aca="false">_xlfn.XLOOKUP("Goodwill",HS_CONSOLIDATED!$C:$C,HS_CONSOLIDATED!F:F,0,0,1)</f>
        <v>76300000</v>
      </c>
      <c r="H33" s="30" t="n">
        <f aca="false">_xlfn.XLOOKUP("Goodwill",HS_CONSOLIDATED!$C:$C,HS_CONSOLIDATED!G:G,0,0,1)</f>
        <v>76300000</v>
      </c>
      <c r="I33" s="30" t="n">
        <f aca="false">_xlfn.XLOOKUP("Goodwill",HS_CONSOLIDATED!$C:$C,HS_CONSOLIDATED!H:H,0,0,1)</f>
        <v>76300000</v>
      </c>
      <c r="J33" s="30" t="n">
        <f aca="false">_xlfn.XLOOKUP("Goodwill",HS_CONSOLIDATED!$C:$C,HS_CONSOLIDATED!I:I,0,0,1)</f>
        <v>0</v>
      </c>
      <c r="K33" s="30" t="n">
        <f aca="false">_xlfn.XLOOKUP("Goodwill",HS_CONSOLIDATED!$C:$C,HS_CONSOLIDATED!J:J,0,0,1)</f>
        <v>0</v>
      </c>
      <c r="L33" s="30" t="n">
        <f aca="false">_xlfn.XLOOKUP("Goodwill",HS_CONSOLIDATED!$C:$C,HS_CONSOLIDATED!K:K,0,0,1)</f>
        <v>0</v>
      </c>
      <c r="M33" s="30" t="n">
        <f aca="false">_xlfn.XLOOKUP("Goodwill",HS_CONSOLIDATED!$C:$C,HS_CONSOLIDATED!L:L,0,0,1)</f>
        <v>4798300000</v>
      </c>
    </row>
    <row r="34" customFormat="false" ht="15" hidden="false" customHeight="false" outlineLevel="0" collapsed="false">
      <c r="D34" s="6" t="s">
        <v>140</v>
      </c>
      <c r="E34" s="30" t="n">
        <f aca="false">_xlfn.XLOOKUP("OtherIntangibleAssets",HS_CONSOLIDATED!$C:$C,HS_CONSOLIDATED!D:D,0,0,1)</f>
        <v>2033500000</v>
      </c>
      <c r="F34" s="30" t="n">
        <f aca="false">_xlfn.XLOOKUP("OtherIntangibleAssets",HS_CONSOLIDATED!$C:$C,HS_CONSOLIDATED!E:E,0,0,1)</f>
        <v>1471200000</v>
      </c>
      <c r="G34" s="30" t="n">
        <f aca="false">_xlfn.XLOOKUP("OtherIntangibleAssets",HS_CONSOLIDATED!$C:$C,HS_CONSOLIDATED!F:F,0,0,1)</f>
        <v>3274400000</v>
      </c>
      <c r="H34" s="30" t="n">
        <f aca="false">_xlfn.XLOOKUP("OtherIntangibleAssets",HS_CONSOLIDATED!$C:$C,HS_CONSOLIDATED!G:G,0,0,1)</f>
        <v>2675000000</v>
      </c>
      <c r="I34" s="30" t="n">
        <f aca="false">_xlfn.XLOOKUP("OtherIntangibleAssets",HS_CONSOLIDATED!$C:$C,HS_CONSOLIDATED!H:H,0,0,1)</f>
        <v>1904600000</v>
      </c>
      <c r="J34" s="30" t="n">
        <f aca="false">_xlfn.XLOOKUP("OtherIntangibleAssets",HS_CONSOLIDATED!$C:$C,HS_CONSOLIDATED!I:I,0,0,1)</f>
        <v>1211100000</v>
      </c>
      <c r="K34" s="30" t="n">
        <f aca="false">_xlfn.XLOOKUP("OtherIntangibleAssets",HS_CONSOLIDATED!$C:$C,HS_CONSOLIDATED!J:J,0,0,1)</f>
        <v>584800000</v>
      </c>
      <c r="L34" s="30" t="n">
        <f aca="false">_xlfn.XLOOKUP("OtherIntangibleAssets",HS_CONSOLIDATED!$C:$C,HS_CONSOLIDATED!K:K,0,0,1)</f>
        <v>499400000</v>
      </c>
      <c r="M34" s="30" t="n">
        <f aca="false">_xlfn.XLOOKUP("OtherIntangibleAssets",HS_CONSOLIDATED!$C:$C,HS_CONSOLIDATED!L:L,0,0,1)</f>
        <v>4519200000</v>
      </c>
    </row>
    <row r="35" customFormat="false" ht="15" hidden="false" customHeight="false" outlineLevel="0" collapsed="false">
      <c r="D35" s="6" t="s">
        <v>141</v>
      </c>
      <c r="E35" s="30" t="n">
        <f aca="false">_xlfn.XLOOKUP("IntangibleAssetsUnderDevelopment",HS_CONSOLIDATED!$C:$C,HS_CONSOLIDATED!D:D,0,0,1)</f>
        <v>874300000</v>
      </c>
      <c r="F35" s="30" t="n">
        <f aca="false">_xlfn.XLOOKUP("IntangibleAssetsUnderDevelopment",HS_CONSOLIDATED!$C:$C,HS_CONSOLIDATED!E:E,0,0,1)</f>
        <v>1798200000</v>
      </c>
      <c r="G35" s="30" t="n">
        <f aca="false">_xlfn.XLOOKUP("IntangibleAssetsUnderDevelopment",HS_CONSOLIDATED!$C:$C,HS_CONSOLIDATED!F:F,0,0,1)</f>
        <v>104100000</v>
      </c>
      <c r="H35" s="30" t="n">
        <f aca="false">_xlfn.XLOOKUP("IntangibleAssetsUnderDevelopment",HS_CONSOLIDATED!$C:$C,HS_CONSOLIDATED!G:G,0,0,1)</f>
        <v>123000000</v>
      </c>
      <c r="I35" s="30" t="n">
        <f aca="false">_xlfn.XLOOKUP("IntangibleAssetsUnderDevelopment",HS_CONSOLIDATED!$C:$C,HS_CONSOLIDATED!H:H,0,0,1)</f>
        <v>35200000</v>
      </c>
      <c r="J35" s="30" t="n">
        <f aca="false">_xlfn.XLOOKUP("IntangibleAssetsUnderDevelopment",HS_CONSOLIDATED!$C:$C,HS_CONSOLIDATED!I:I,0,0,1)</f>
        <v>44200000</v>
      </c>
      <c r="K35" s="30" t="n">
        <f aca="false">_xlfn.XLOOKUP("IntangibleAssetsUnderDevelopment",HS_CONSOLIDATED!$C:$C,HS_CONSOLIDATED!J:J,0,0,1)</f>
        <v>34300000</v>
      </c>
      <c r="L35" s="30" t="n">
        <f aca="false">_xlfn.XLOOKUP("IntangibleAssetsUnderDevelopment",HS_CONSOLIDATED!$C:$C,HS_CONSOLIDATED!K:K,0,0,1)</f>
        <v>35100000</v>
      </c>
      <c r="M35" s="30" t="n">
        <f aca="false">_xlfn.XLOOKUP("IntangibleAssetsUnderDevelopment",HS_CONSOLIDATED!$C:$C,HS_CONSOLIDATED!L:L,0,0,1)</f>
        <v>164300000</v>
      </c>
    </row>
    <row r="36" customFormat="false" ht="15" hidden="false" customHeight="false" outlineLevel="0" collapsed="false">
      <c r="D36" s="6" t="s">
        <v>142</v>
      </c>
      <c r="E36" s="30" t="n">
        <f aca="false">_xlfn.XLOOKUP("TradeReceivablesNoncurrent",HS_CONSOLIDATED!$C:$C,HS_CONSOLIDATED!D:D,0,0,1)</f>
        <v>457700000</v>
      </c>
      <c r="F36" s="30" t="n">
        <f aca="false">_xlfn.XLOOKUP("TradeReceivablesNoncurrent",HS_CONSOLIDATED!$C:$C,HS_CONSOLIDATED!E:E,0,0,1)</f>
        <v>48400000</v>
      </c>
      <c r="G36" s="30" t="n">
        <f aca="false">_xlfn.XLOOKUP("TradeReceivablesNoncurrent",HS_CONSOLIDATED!$C:$C,HS_CONSOLIDATED!F:F,0,0,1)</f>
        <v>0</v>
      </c>
      <c r="H36" s="30" t="n">
        <f aca="false">_xlfn.XLOOKUP("TradeReceivablesNoncurrent",HS_CONSOLIDATED!$C:$C,HS_CONSOLIDATED!G:G,0,0,1)</f>
        <v>0</v>
      </c>
      <c r="I36" s="30" t="n">
        <f aca="false">_xlfn.XLOOKUP("TradeReceivablesNoncurrent",HS_CONSOLIDATED!$C:$C,HS_CONSOLIDATED!H:H,0,0,1)</f>
        <v>0</v>
      </c>
      <c r="J36" s="30" t="n">
        <f aca="false">_xlfn.XLOOKUP("TradeReceivablesNoncurrent",HS_CONSOLIDATED!$C:$C,HS_CONSOLIDATED!I:I,0,0,1)</f>
        <v>0</v>
      </c>
      <c r="K36" s="30" t="n">
        <f aca="false">_xlfn.XLOOKUP("TradeReceivablesNoncurrent",HS_CONSOLIDATED!$C:$C,HS_CONSOLIDATED!J:J,0,0,1)</f>
        <v>0</v>
      </c>
      <c r="L36" s="30" t="n">
        <f aca="false">_xlfn.XLOOKUP("TradeReceivablesNoncurrent",HS_CONSOLIDATED!$C:$C,HS_CONSOLIDATED!K:K,0,0,1)</f>
        <v>0</v>
      </c>
      <c r="M36" s="30" t="n">
        <f aca="false">_xlfn.XLOOKUP("TradeReceivablesNoncurrent",HS_CONSOLIDATED!$C:$C,HS_CONSOLIDATED!L:L,0,0,1)</f>
        <v>0</v>
      </c>
    </row>
    <row r="37" customFormat="false" ht="15" hidden="false" customHeight="false" outlineLevel="0" collapsed="false">
      <c r="D37" s="6" t="s">
        <v>143</v>
      </c>
      <c r="E37" s="30" t="n">
        <f aca="false">_xlfn.XLOOKUP("OtherNoncurrentAssets",HS_CONSOLIDATED!$C:$C,HS_CONSOLIDATED!D:D,0,0,1)</f>
        <v>1661600000</v>
      </c>
      <c r="F37" s="30" t="n">
        <f aca="false">_xlfn.XLOOKUP("OtherNoncurrentAssets",HS_CONSOLIDATED!$C:$C,HS_CONSOLIDATED!E:E,0,0,1)</f>
        <v>1393800000</v>
      </c>
      <c r="G37" s="30" t="n">
        <f aca="false">_xlfn.XLOOKUP("OtherNoncurrentAssets",HS_CONSOLIDATED!$C:$C,HS_CONSOLIDATED!F:F,0,0,1)</f>
        <v>1038400000</v>
      </c>
      <c r="H37" s="30" t="n">
        <f aca="false">_xlfn.XLOOKUP("OtherNoncurrentAssets",HS_CONSOLIDATED!$C:$C,HS_CONSOLIDATED!G:G,0,0,1)</f>
        <v>510500000</v>
      </c>
      <c r="I37" s="30" t="n">
        <f aca="false">_xlfn.XLOOKUP("OtherNoncurrentAssets",HS_CONSOLIDATED!$C:$C,HS_CONSOLIDATED!H:H,0,0,1)</f>
        <v>544600000</v>
      </c>
      <c r="J37" s="30" t="n">
        <f aca="false">_xlfn.XLOOKUP("OtherNoncurrentAssets",HS_CONSOLIDATED!$C:$C,HS_CONSOLIDATED!I:I,0,0,1)</f>
        <v>292400000</v>
      </c>
      <c r="K37" s="30" t="n">
        <f aca="false">_xlfn.XLOOKUP("OtherNoncurrentAssets",HS_CONSOLIDATED!$C:$C,HS_CONSOLIDATED!J:J,0,0,1)</f>
        <v>402200000</v>
      </c>
      <c r="L37" s="30" t="n">
        <f aca="false">_xlfn.XLOOKUP("OtherNoncurrentAssets",HS_CONSOLIDATED!$C:$C,HS_CONSOLIDATED!K:K,0,0,1)</f>
        <v>784300000</v>
      </c>
      <c r="M37" s="30" t="n">
        <f aca="false">_xlfn.XLOOKUP("OtherNoncurrentAssets",HS_CONSOLIDATED!$C:$C,HS_CONSOLIDATED!L:L,0,0,1)</f>
        <v>751400000</v>
      </c>
    </row>
    <row r="38" customFormat="false" ht="15" hidden="false" customHeight="false" outlineLevel="0" collapsed="false">
      <c r="A38" s="31"/>
      <c r="B38" s="31"/>
      <c r="C38" s="32" t="s">
        <v>144</v>
      </c>
      <c r="D38" s="31"/>
      <c r="E38" s="33" t="n">
        <f aca="false">IFERROR(SUM(E31:E37),0)</f>
        <v>20490700000</v>
      </c>
      <c r="F38" s="33" t="n">
        <f aca="false">IFERROR(SUM(F31:F37),0)</f>
        <v>19195300000</v>
      </c>
      <c r="G38" s="33" t="n">
        <f aca="false">IFERROR(SUM(G31:G37),0)</f>
        <v>18149700000</v>
      </c>
      <c r="H38" s="33" t="n">
        <f aca="false">IFERROR(SUM(H31:H37),0)</f>
        <v>14969900000</v>
      </c>
      <c r="I38" s="33" t="n">
        <f aca="false">IFERROR(SUM(I31:I37),0)</f>
        <v>12953100000</v>
      </c>
      <c r="J38" s="33" t="n">
        <f aca="false">IFERROR(SUM(J31:J37),0)</f>
        <v>10773100000</v>
      </c>
      <c r="K38" s="33" t="n">
        <f aca="false">IFERROR(SUM(K31:K37),0)</f>
        <v>8831500000</v>
      </c>
      <c r="L38" s="33" t="n">
        <f aca="false">IFERROR(SUM(L31:L37),0)</f>
        <v>9576000000</v>
      </c>
      <c r="M38" s="33" t="n">
        <f aca="false">IFERROR(SUM(M31:M37),0)</f>
        <v>19340500000</v>
      </c>
    </row>
    <row r="39" customFormat="false" ht="15" hidden="false" customHeight="false" outlineLevel="0" collapsed="false">
      <c r="A39" s="28"/>
      <c r="B39" s="28"/>
      <c r="C39" s="29" t="s">
        <v>145</v>
      </c>
      <c r="D39" s="28"/>
      <c r="E39" s="28"/>
      <c r="F39" s="28"/>
      <c r="G39" s="28"/>
      <c r="H39" s="28"/>
      <c r="I39" s="28"/>
      <c r="J39" s="28"/>
      <c r="K39" s="28"/>
      <c r="L39" s="28"/>
      <c r="M39" s="28"/>
    </row>
    <row r="40" customFormat="false" ht="15" hidden="false" customHeight="false" outlineLevel="0" collapsed="false">
      <c r="D40" s="6" t="s">
        <v>146</v>
      </c>
      <c r="E40" s="30" t="n">
        <f aca="false">_xlfn.XLOOKUP("InvestmentProperty",HS_CONSOLIDATED!$C:$C,HS_CONSOLIDATED!D:D,0,0,1)</f>
        <v>341400000</v>
      </c>
      <c r="F40" s="30" t="n">
        <f aca="false">_xlfn.XLOOKUP("InvestmentProperty",HS_CONSOLIDATED!$C:$C,HS_CONSOLIDATED!E:E,0,0,1)</f>
        <v>407900000</v>
      </c>
      <c r="G40" s="30" t="n">
        <f aca="false">_xlfn.XLOOKUP("InvestmentProperty",HS_CONSOLIDATED!$C:$C,HS_CONSOLIDATED!F:F,0,0,1)</f>
        <v>373600000</v>
      </c>
      <c r="H40" s="30" t="n">
        <f aca="false">_xlfn.XLOOKUP("InvestmentProperty",HS_CONSOLIDATED!$C:$C,HS_CONSOLIDATED!G:G,0,0,1)</f>
        <v>346700000</v>
      </c>
      <c r="I40" s="30" t="n">
        <f aca="false">_xlfn.XLOOKUP("InvestmentProperty",HS_CONSOLIDATED!$C:$C,HS_CONSOLIDATED!H:H,0,0,1)</f>
        <v>326400000</v>
      </c>
      <c r="J40" s="30" t="n">
        <f aca="false">_xlfn.XLOOKUP("InvestmentProperty",HS_CONSOLIDATED!$C:$C,HS_CONSOLIDATED!I:I,0,0,1)</f>
        <v>308600000</v>
      </c>
      <c r="K40" s="30" t="n">
        <f aca="false">_xlfn.XLOOKUP("InvestmentProperty",HS_CONSOLIDATED!$C:$C,HS_CONSOLIDATED!J:J,0,0,1)</f>
        <v>292100000</v>
      </c>
      <c r="L40" s="30" t="n">
        <f aca="false">_xlfn.XLOOKUP("InvestmentProperty",HS_CONSOLIDATED!$C:$C,HS_CONSOLIDATED!K:K,0,0,1)</f>
        <v>270100000</v>
      </c>
      <c r="M40" s="30" t="n">
        <f aca="false">_xlfn.XLOOKUP("InvestmentProperty",HS_CONSOLIDATED!$C:$C,HS_CONSOLIDATED!L:L,0,0,1)</f>
        <v>257500000</v>
      </c>
    </row>
    <row r="41" customFormat="false" ht="15" hidden="false" customHeight="false" outlineLevel="0" collapsed="false">
      <c r="D41" s="6" t="s">
        <v>147</v>
      </c>
      <c r="E41" s="30" t="n">
        <f aca="false">_xlfn.XLOOKUP("InvestmentsAccountedForUsingEquityMethod",HS_CONSOLIDATED!$C:$C,HS_CONSOLIDATED!D:D,0,0,1)</f>
        <v>0</v>
      </c>
      <c r="F41" s="30" t="n">
        <f aca="false">_xlfn.XLOOKUP("InvestmentsAccountedForUsingEquityMethod",HS_CONSOLIDATED!$C:$C,HS_CONSOLIDATED!E:E,0,0,1)</f>
        <v>668600000</v>
      </c>
      <c r="G41" s="30" t="n">
        <f aca="false">_xlfn.XLOOKUP("InvestmentsAccountedForUsingEquityMethod",HS_CONSOLIDATED!$C:$C,HS_CONSOLIDATED!F:F,0,0,1)</f>
        <v>203000000</v>
      </c>
      <c r="H41" s="30" t="n">
        <f aca="false">_xlfn.XLOOKUP("InvestmentsAccountedForUsingEquityMethod",HS_CONSOLIDATED!$C:$C,HS_CONSOLIDATED!G:G,0,0,1)</f>
        <v>197100000</v>
      </c>
      <c r="I41" s="30" t="n">
        <f aca="false">_xlfn.XLOOKUP("InvestmentsAccountedForUsingEquityMethod",HS_CONSOLIDATED!$C:$C,HS_CONSOLIDATED!H:H,0,0,1)</f>
        <v>229700000</v>
      </c>
      <c r="J41" s="30" t="n">
        <f aca="false">_xlfn.XLOOKUP("InvestmentsAccountedForUsingEquityMethod",HS_CONSOLIDATED!$C:$C,HS_CONSOLIDATED!I:I,0,0,1)</f>
        <v>0</v>
      </c>
      <c r="K41" s="30" t="n">
        <f aca="false">_xlfn.XLOOKUP("InvestmentsAccountedForUsingEquityMethod",HS_CONSOLIDATED!$C:$C,HS_CONSOLIDATED!J:J,0,0,1)</f>
        <v>0</v>
      </c>
      <c r="L41" s="30" t="n">
        <f aca="false">_xlfn.XLOOKUP("InvestmentsAccountedForUsingEquityMethod",HS_CONSOLIDATED!$C:$C,HS_CONSOLIDATED!K:K,0,0,1)</f>
        <v>0</v>
      </c>
      <c r="M41" s="30" t="n">
        <f aca="false">_xlfn.XLOOKUP("InvestmentsAccountedForUsingEquityMethod",HS_CONSOLIDATED!$C:$C,HS_CONSOLIDATED!L:L,0,0,1)</f>
        <v>0</v>
      </c>
    </row>
    <row r="42" customFormat="false" ht="15" hidden="false" customHeight="false" outlineLevel="0" collapsed="false">
      <c r="D42" s="6" t="s">
        <v>148</v>
      </c>
      <c r="E42" s="30" t="n">
        <f aca="false">_xlfn.XLOOKUP("NoncurrentInvestments",HS_CONSOLIDATED!$C:$C,HS_CONSOLIDATED!D:D,0,0,1)</f>
        <v>1885500000</v>
      </c>
      <c r="F42" s="30" t="n">
        <f aca="false">_xlfn.XLOOKUP("NoncurrentInvestments",HS_CONSOLIDATED!$C:$C,HS_CONSOLIDATED!E:E,0,0,1)</f>
        <v>1300000</v>
      </c>
      <c r="G42" s="30" t="n">
        <f aca="false">_xlfn.XLOOKUP("NoncurrentInvestments",HS_CONSOLIDATED!$C:$C,HS_CONSOLIDATED!F:F,0,0,1)</f>
        <v>1300000</v>
      </c>
      <c r="H42" s="30" t="n">
        <f aca="false">_xlfn.XLOOKUP("NoncurrentInvestments",HS_CONSOLIDATED!$C:$C,HS_CONSOLIDATED!G:G,0,0,1)</f>
        <v>300000</v>
      </c>
      <c r="I42" s="30" t="n">
        <f aca="false">_xlfn.XLOOKUP("NoncurrentInvestments",HS_CONSOLIDATED!$C:$C,HS_CONSOLIDATED!H:H,0,0,1)</f>
        <v>300000</v>
      </c>
      <c r="J42" s="30" t="n">
        <f aca="false">_xlfn.XLOOKUP("NoncurrentInvestments",HS_CONSOLIDATED!$C:$C,HS_CONSOLIDATED!I:I,0,0,1)</f>
        <v>300000</v>
      </c>
      <c r="K42" s="30" t="n">
        <f aca="false">_xlfn.XLOOKUP("NoncurrentInvestments",HS_CONSOLIDATED!$C:$C,HS_CONSOLIDATED!J:J,0,0,1)</f>
        <v>300000</v>
      </c>
      <c r="L42" s="30" t="n">
        <f aca="false">_xlfn.XLOOKUP("NoncurrentInvestments",HS_CONSOLIDATED!$C:$C,HS_CONSOLIDATED!K:K,0,0,1)</f>
        <v>300000</v>
      </c>
      <c r="M42" s="30" t="n">
        <f aca="false">_xlfn.XLOOKUP("NoncurrentInvestments",HS_CONSOLIDATED!$C:$C,HS_CONSOLIDATED!L:L,0,0,1)</f>
        <v>300000</v>
      </c>
    </row>
    <row r="43" customFormat="false" ht="15" hidden="false" customHeight="false" outlineLevel="0" collapsed="false">
      <c r="D43" s="6" t="s">
        <v>149</v>
      </c>
      <c r="E43" s="30" t="n">
        <f aca="false">_xlfn.XLOOKUP("LoansNoncurrent",HS_CONSOLIDATED!$C:$C,HS_CONSOLIDATED!D:D,0,0,1)</f>
        <v>59600000</v>
      </c>
      <c r="F43" s="30" t="n">
        <f aca="false">_xlfn.XLOOKUP("LoansNoncurrent",HS_CONSOLIDATED!$C:$C,HS_CONSOLIDATED!E:E,0,0,1)</f>
        <v>11200000</v>
      </c>
      <c r="G43" s="30" t="n">
        <f aca="false">_xlfn.XLOOKUP("LoansNoncurrent",HS_CONSOLIDATED!$C:$C,HS_CONSOLIDATED!F:F,0,0,1)</f>
        <v>0</v>
      </c>
      <c r="H43" s="30" t="n">
        <f aca="false">_xlfn.XLOOKUP("LoansNoncurrent",HS_CONSOLIDATED!$C:$C,HS_CONSOLIDATED!G:G,0,0,1)</f>
        <v>0</v>
      </c>
      <c r="I43" s="30" t="n">
        <f aca="false">_xlfn.XLOOKUP("LoansNoncurrent",HS_CONSOLIDATED!$C:$C,HS_CONSOLIDATED!H:H,0,0,1)</f>
        <v>0</v>
      </c>
      <c r="J43" s="30" t="n">
        <f aca="false">_xlfn.XLOOKUP("LoansNoncurrent",HS_CONSOLIDATED!$C:$C,HS_CONSOLIDATED!I:I,0,0,1)</f>
        <v>0</v>
      </c>
      <c r="K43" s="30" t="n">
        <f aca="false">_xlfn.XLOOKUP("LoansNoncurrent",HS_CONSOLIDATED!$C:$C,HS_CONSOLIDATED!J:J,0,0,1)</f>
        <v>0</v>
      </c>
      <c r="L43" s="30" t="n">
        <f aca="false">_xlfn.XLOOKUP("LoansNoncurrent",HS_CONSOLIDATED!$C:$C,HS_CONSOLIDATED!K:K,0,0,1)</f>
        <v>0</v>
      </c>
      <c r="M43" s="30" t="n">
        <f aca="false">_xlfn.XLOOKUP("LoansNoncurrent",HS_CONSOLIDATED!$C:$C,HS_CONSOLIDATED!L:L,0,0,1)</f>
        <v>0</v>
      </c>
    </row>
    <row r="44" customFormat="false" ht="15" hidden="false" customHeight="false" outlineLevel="0" collapsed="false">
      <c r="D44" s="6" t="s">
        <v>150</v>
      </c>
      <c r="E44" s="30" t="n">
        <f aca="false">_xlfn.XLOOKUP("OtherNoncurrentFinancialAssets",HS_CONSOLIDATED!$C:$C,HS_CONSOLIDATED!D:D,0,0,1)</f>
        <v>7118400000</v>
      </c>
      <c r="F44" s="30" t="n">
        <f aca="false">_xlfn.XLOOKUP("OtherNoncurrentFinancialAssets",HS_CONSOLIDATED!$C:$C,HS_CONSOLIDATED!E:E,0,0,1)</f>
        <v>5811500000</v>
      </c>
      <c r="G44" s="30" t="n">
        <f aca="false">_xlfn.XLOOKUP("OtherNoncurrentFinancialAssets",HS_CONSOLIDATED!$C:$C,HS_CONSOLIDATED!F:F,0,0,1)</f>
        <v>4838100000</v>
      </c>
      <c r="H44" s="30" t="n">
        <f aca="false">_xlfn.XLOOKUP("OtherNoncurrentFinancialAssets",HS_CONSOLIDATED!$C:$C,HS_CONSOLIDATED!G:G,0,0,1)</f>
        <v>2844000000</v>
      </c>
      <c r="I44" s="30" t="n">
        <f aca="false">_xlfn.XLOOKUP("OtherNoncurrentFinancialAssets",HS_CONSOLIDATED!$C:$C,HS_CONSOLIDATED!H:H,0,0,1)</f>
        <v>4026300000</v>
      </c>
      <c r="J44" s="30" t="n">
        <f aca="false">_xlfn.XLOOKUP("OtherNoncurrentFinancialAssets",HS_CONSOLIDATED!$C:$C,HS_CONSOLIDATED!I:I,0,0,1)</f>
        <v>2643100000</v>
      </c>
      <c r="K44" s="30" t="n">
        <f aca="false">_xlfn.XLOOKUP("OtherNoncurrentFinancialAssets",HS_CONSOLIDATED!$C:$C,HS_CONSOLIDATED!J:J,0,0,1)</f>
        <v>4331400000</v>
      </c>
      <c r="L44" s="30" t="n">
        <f aca="false">_xlfn.XLOOKUP("OtherNoncurrentFinancialAssets",HS_CONSOLIDATED!$C:$C,HS_CONSOLIDATED!K:K,0,0,1)</f>
        <v>9029200000</v>
      </c>
      <c r="M44" s="30" t="n">
        <f aca="false">_xlfn.XLOOKUP("OtherNoncurrentFinancialAssets",HS_CONSOLIDATED!$C:$C,HS_CONSOLIDATED!L:L,0,0,1)</f>
        <v>11035000000</v>
      </c>
    </row>
    <row r="45" customFormat="false" ht="15" hidden="false" customHeight="false" outlineLevel="0" collapsed="false">
      <c r="D45" s="6" t="s">
        <v>151</v>
      </c>
      <c r="E45" s="30" t="n">
        <f aca="false">_xlfn.XLOOKUP("DeferredTaxAssetsNet",HS_CONSOLIDATED!$C:$C,HS_CONSOLIDATED!D:D,0,0,1)</f>
        <v>0</v>
      </c>
      <c r="F45" s="30" t="n">
        <f aca="false">_xlfn.XLOOKUP("DeferredTaxAssetsNet",HS_CONSOLIDATED!$C:$C,HS_CONSOLIDATED!E:E,0,0,1)</f>
        <v>0</v>
      </c>
      <c r="G45" s="30" t="n">
        <f aca="false">_xlfn.XLOOKUP("DeferredTaxAssetsNet",HS_CONSOLIDATED!$C:$C,HS_CONSOLIDATED!F:F,0,0,1)</f>
        <v>0</v>
      </c>
      <c r="H45" s="30" t="n">
        <f aca="false">_xlfn.XLOOKUP("DeferredTaxAssetsNet",HS_CONSOLIDATED!$C:$C,HS_CONSOLIDATED!G:G,0,0,1)</f>
        <v>0</v>
      </c>
      <c r="I45" s="30" t="n">
        <f aca="false">_xlfn.XLOOKUP("DeferredTaxAssetsNet",HS_CONSOLIDATED!$C:$C,HS_CONSOLIDATED!H:H,0,0,1)</f>
        <v>0</v>
      </c>
      <c r="J45" s="30" t="n">
        <f aca="false">_xlfn.XLOOKUP("DeferredTaxAssetsNet",HS_CONSOLIDATED!$C:$C,HS_CONSOLIDATED!I:I,0,0,1)</f>
        <v>174800000</v>
      </c>
      <c r="K45" s="30" t="n">
        <f aca="false">_xlfn.XLOOKUP("DeferredTaxAssetsNet",HS_CONSOLIDATED!$C:$C,HS_CONSOLIDATED!J:J,0,0,1)</f>
        <v>2000000</v>
      </c>
      <c r="L45" s="30" t="n">
        <f aca="false">_xlfn.XLOOKUP("DeferredTaxAssetsNet",HS_CONSOLIDATED!$C:$C,HS_CONSOLIDATED!K:K,0,0,1)</f>
        <v>37700000</v>
      </c>
      <c r="M45" s="30" t="n">
        <f aca="false">_xlfn.XLOOKUP("DeferredTaxAssetsNet",HS_CONSOLIDATED!$C:$C,HS_CONSOLIDATED!L:L,0,0,1)</f>
        <v>6445500000</v>
      </c>
    </row>
    <row r="46" customFormat="false" ht="15" hidden="false" customHeight="false" outlineLevel="0" collapsed="false">
      <c r="A46" s="31"/>
      <c r="B46" s="31"/>
      <c r="C46" s="32" t="s">
        <v>152</v>
      </c>
      <c r="D46" s="31"/>
      <c r="E46" s="33" t="n">
        <f aca="false">IFERROR(SUM(E40:E45),0)</f>
        <v>9404900000</v>
      </c>
      <c r="F46" s="33" t="n">
        <f aca="false">IFERROR(SUM(F40:F45),0)</f>
        <v>6900500000</v>
      </c>
      <c r="G46" s="33" t="n">
        <f aca="false">IFERROR(SUM(G40:G45),0)</f>
        <v>5416000000</v>
      </c>
      <c r="H46" s="33" t="n">
        <f aca="false">IFERROR(SUM(H40:H45),0)</f>
        <v>3388100000</v>
      </c>
      <c r="I46" s="33" t="n">
        <f aca="false">IFERROR(SUM(I40:I45),0)</f>
        <v>4582700000</v>
      </c>
      <c r="J46" s="33" t="n">
        <f aca="false">IFERROR(SUM(J40:J45),0)</f>
        <v>3126800000</v>
      </c>
      <c r="K46" s="33" t="n">
        <f aca="false">IFERROR(SUM(K40:K45),0)</f>
        <v>4625800000</v>
      </c>
      <c r="L46" s="33" t="n">
        <f aca="false">IFERROR(SUM(L40:L45),0)</f>
        <v>9337300000</v>
      </c>
      <c r="M46" s="33" t="n">
        <f aca="false">IFERROR(SUM(M40:M45),0)</f>
        <v>17738300000</v>
      </c>
    </row>
    <row r="47" customFormat="false" ht="15" hidden="false" customHeight="false" outlineLevel="0" collapsed="false">
      <c r="C47" s="6" t="s">
        <v>153</v>
      </c>
      <c r="E47" s="30" t="n">
        <f aca="false">_xlfn.XLOOKUP("NoncurrentFinancialAssets",HS_CONSOLIDATED!$C:$C,HS_CONSOLIDATED!D:D,0,0,1)</f>
        <v>9521200000</v>
      </c>
      <c r="F47" s="30" t="n">
        <f aca="false">_xlfn.XLOOKUP("NoncurrentFinancialAssets",HS_CONSOLIDATED!$C:$C,HS_CONSOLIDATED!E:E,0,0,1)</f>
        <v>5872400000</v>
      </c>
      <c r="G47" s="30" t="n">
        <f aca="false">_xlfn.XLOOKUP("NoncurrentFinancialAssets",HS_CONSOLIDATED!$C:$C,HS_CONSOLIDATED!F:F,0,0,1)</f>
        <v>4839400000</v>
      </c>
      <c r="H47" s="30" t="n">
        <f aca="false">_xlfn.XLOOKUP("NoncurrentFinancialAssets",HS_CONSOLIDATED!$C:$C,HS_CONSOLIDATED!G:G,0,0,1)</f>
        <v>2844300000</v>
      </c>
      <c r="I47" s="30" t="n">
        <f aca="false">_xlfn.XLOOKUP("NoncurrentFinancialAssets",HS_CONSOLIDATED!$C:$C,HS_CONSOLIDATED!H:H,0,0,1)</f>
        <v>4026600000</v>
      </c>
      <c r="J47" s="30" t="n">
        <f aca="false">_xlfn.XLOOKUP("NoncurrentFinancialAssets",HS_CONSOLIDATED!$C:$C,HS_CONSOLIDATED!I:I,0,0,1)</f>
        <v>2643400000</v>
      </c>
      <c r="K47" s="30" t="n">
        <f aca="false">_xlfn.XLOOKUP("NoncurrentFinancialAssets",HS_CONSOLIDATED!$C:$C,HS_CONSOLIDATED!J:J,0,0,1)</f>
        <v>4331700000</v>
      </c>
      <c r="L47" s="30" t="n">
        <f aca="false">_xlfn.XLOOKUP("NoncurrentFinancialAssets",HS_CONSOLIDATED!$C:$C,HS_CONSOLIDATED!K:K,0,0,1)</f>
        <v>9029500000</v>
      </c>
      <c r="M47" s="30" t="n">
        <f aca="false">_xlfn.XLOOKUP("NoncurrentFinancialAssets",HS_CONSOLIDATED!$C:$C,HS_CONSOLIDATED!L:L,0,0,1)</f>
        <v>11035300000</v>
      </c>
    </row>
    <row r="48" customFormat="false" ht="15" hidden="false" customHeight="false" outlineLevel="0" collapsed="false">
      <c r="A48" s="34"/>
      <c r="B48" s="35" t="s">
        <v>154</v>
      </c>
      <c r="C48" s="34"/>
      <c r="D48" s="34"/>
      <c r="E48" s="36" t="n">
        <f aca="false">IFERROR(E46+E38,0)</f>
        <v>29895600000</v>
      </c>
      <c r="F48" s="36" t="n">
        <f aca="false">IFERROR(F46+F38,0)</f>
        <v>26095800000</v>
      </c>
      <c r="G48" s="36" t="n">
        <f aca="false">IFERROR(G46+G38,0)</f>
        <v>23565700000</v>
      </c>
      <c r="H48" s="36" t="n">
        <f aca="false">IFERROR(H46+H38,0)</f>
        <v>18358000000</v>
      </c>
      <c r="I48" s="36" t="n">
        <f aca="false">IFERROR(I46+I38,0)</f>
        <v>17535800000</v>
      </c>
      <c r="J48" s="36" t="n">
        <f aca="false">IFERROR(J46+J38,0)</f>
        <v>13899900000</v>
      </c>
      <c r="K48" s="36" t="n">
        <f aca="false">IFERROR(K46+K38,0)</f>
        <v>13457300000</v>
      </c>
      <c r="L48" s="36" t="n">
        <f aca="false">IFERROR(L46+L38,0)</f>
        <v>18913300000</v>
      </c>
      <c r="M48" s="36" t="n">
        <f aca="false">IFERROR(M46+M38,0)</f>
        <v>37078800000</v>
      </c>
    </row>
    <row r="49" customFormat="false" ht="15" hidden="false" customHeight="false" outlineLevel="0" collapsed="false">
      <c r="A49" s="28"/>
      <c r="B49" s="29" t="s">
        <v>155</v>
      </c>
      <c r="C49" s="28"/>
      <c r="D49" s="28"/>
      <c r="E49" s="28"/>
      <c r="F49" s="28"/>
      <c r="G49" s="28"/>
      <c r="H49" s="28"/>
      <c r="I49" s="28"/>
      <c r="J49" s="28"/>
      <c r="K49" s="28"/>
      <c r="L49" s="28"/>
      <c r="M49" s="28"/>
    </row>
    <row r="50" customFormat="false" ht="15" hidden="false" customHeight="false" outlineLevel="0" collapsed="false">
      <c r="A50" s="28"/>
      <c r="B50" s="28"/>
      <c r="C50" s="29" t="s">
        <v>136</v>
      </c>
      <c r="D50" s="28"/>
      <c r="E50" s="28"/>
      <c r="F50" s="28"/>
      <c r="G50" s="28"/>
      <c r="H50" s="28"/>
      <c r="I50" s="28"/>
      <c r="J50" s="28"/>
      <c r="K50" s="28"/>
      <c r="L50" s="28"/>
      <c r="M50" s="28"/>
    </row>
    <row r="51" customFormat="false" ht="15" hidden="false" customHeight="false" outlineLevel="0" collapsed="false">
      <c r="D51" s="6" t="s">
        <v>156</v>
      </c>
      <c r="E51" s="30" t="n">
        <f aca="false">_xlfn.XLOOKUP("Inventories",HS_CONSOLIDATED!$C:$C,HS_CONSOLIDATED!D:D,0,0,1)</f>
        <v>34688400000</v>
      </c>
      <c r="F51" s="30" t="n">
        <f aca="false">_xlfn.XLOOKUP("Inventories",HS_CONSOLIDATED!$C:$C,HS_CONSOLIDATED!E:E,0,0,1)</f>
        <v>30263700000</v>
      </c>
      <c r="G51" s="30" t="n">
        <f aca="false">_xlfn.XLOOKUP("Inventories",HS_CONSOLIDATED!$C:$C,HS_CONSOLIDATED!F:F,0,0,1)</f>
        <v>29139300000</v>
      </c>
      <c r="H51" s="30" t="n">
        <f aca="false">_xlfn.XLOOKUP("Inventories",HS_CONSOLIDATED!$C:$C,HS_CONSOLIDATED!G:G,0,0,1)</f>
        <v>20555900000</v>
      </c>
      <c r="I51" s="30" t="n">
        <f aca="false">_xlfn.XLOOKUP("Inventories",HS_CONSOLIDATED!$C:$C,HS_CONSOLIDATED!H:H,0,0,1)</f>
        <v>21727600000</v>
      </c>
      <c r="J51" s="30" t="n">
        <f aca="false">_xlfn.XLOOKUP("Inventories",HS_CONSOLIDATED!$C:$C,HS_CONSOLIDATED!I:I,0,0,1)</f>
        <v>22079000000</v>
      </c>
      <c r="K51" s="30" t="n">
        <f aca="false">_xlfn.XLOOKUP("Inventories",HS_CONSOLIDATED!$C:$C,HS_CONSOLIDATED!J:J,0,0,1)</f>
        <v>18271300000</v>
      </c>
      <c r="L51" s="30" t="n">
        <f aca="false">_xlfn.XLOOKUP("Inventories",HS_CONSOLIDATED!$C:$C,HS_CONSOLIDATED!K:K,0,0,1)</f>
        <v>22922900000</v>
      </c>
      <c r="M51" s="30" t="n">
        <f aca="false">_xlfn.XLOOKUP("Inventories",HS_CONSOLIDATED!$C:$C,HS_CONSOLIDATED!L:L,0,0,1)</f>
        <v>32335500000</v>
      </c>
    </row>
    <row r="52" customFormat="false" ht="15" hidden="false" customHeight="false" outlineLevel="0" collapsed="false">
      <c r="D52" s="6" t="s">
        <v>157</v>
      </c>
      <c r="E52" s="30" t="n">
        <f aca="false">_xlfn.XLOOKUP("TradeReceivablesCurrent",HS_CONSOLIDATED!$C:$C,HS_CONSOLIDATED!D:D,0,0,1)</f>
        <v>36275300000</v>
      </c>
      <c r="F52" s="30" t="n">
        <f aca="false">_xlfn.XLOOKUP("TradeReceivablesCurrent",HS_CONSOLIDATED!$C:$C,HS_CONSOLIDATED!E:E,0,0,1)</f>
        <v>29851500000</v>
      </c>
      <c r="G52" s="30" t="n">
        <f aca="false">_xlfn.XLOOKUP("TradeReceivablesCurrent",HS_CONSOLIDATED!$C:$C,HS_CONSOLIDATED!F:F,0,0,1)</f>
        <v>18805900000</v>
      </c>
      <c r="H52" s="30" t="n">
        <f aca="false">_xlfn.XLOOKUP("TradeReceivablesCurrent",HS_CONSOLIDATED!$C:$C,HS_CONSOLIDATED!G:G,0,0,1)</f>
        <v>13645400000</v>
      </c>
      <c r="I52" s="30" t="n">
        <f aca="false">_xlfn.XLOOKUP("TradeReceivablesCurrent",HS_CONSOLIDATED!$C:$C,HS_CONSOLIDATED!H:H,0,0,1)</f>
        <v>11897200000</v>
      </c>
      <c r="J52" s="30" t="n">
        <f aca="false">_xlfn.XLOOKUP("TradeReceivablesCurrent",HS_CONSOLIDATED!$C:$C,HS_CONSOLIDATED!I:I,0,0,1)</f>
        <v>13769500000</v>
      </c>
      <c r="K52" s="30" t="n">
        <f aca="false">_xlfn.XLOOKUP("TradeReceivablesCurrent",HS_CONSOLIDATED!$C:$C,HS_CONSOLIDATED!J:J,0,0,1)</f>
        <v>11704400000</v>
      </c>
      <c r="L52" s="30" t="n">
        <f aca="false">_xlfn.XLOOKUP("TradeReceivablesCurrent",HS_CONSOLIDATED!$C:$C,HS_CONSOLIDATED!K:K,0,0,1)</f>
        <v>18295800000</v>
      </c>
      <c r="M52" s="30" t="n">
        <f aca="false">_xlfn.XLOOKUP("TradeReceivablesCurrent",HS_CONSOLIDATED!$C:$C,HS_CONSOLIDATED!L:L,0,0,1)</f>
        <v>38663500000</v>
      </c>
    </row>
    <row r="53" customFormat="false" ht="15" hidden="false" customHeight="false" outlineLevel="0" collapsed="false">
      <c r="D53" s="6" t="s">
        <v>158</v>
      </c>
      <c r="E53" s="30" t="n">
        <f aca="false">_xlfn.XLOOKUP("OtherCurrentAssets",HS_CONSOLIDATED!$C:$C,HS_CONSOLIDATED!D:D,0,0,1)</f>
        <v>10137600000</v>
      </c>
      <c r="F53" s="30" t="n">
        <f aca="false">_xlfn.XLOOKUP("OtherCurrentAssets",HS_CONSOLIDATED!$C:$C,HS_CONSOLIDATED!E:E,0,0,1)</f>
        <v>9306100000</v>
      </c>
      <c r="G53" s="30" t="n">
        <f aca="false">_xlfn.XLOOKUP("OtherCurrentAssets",HS_CONSOLIDATED!$C:$C,HS_CONSOLIDATED!F:F,0,0,1)</f>
        <v>12119300000</v>
      </c>
      <c r="H53" s="30" t="n">
        <f aca="false">_xlfn.XLOOKUP("OtherCurrentAssets",HS_CONSOLIDATED!$C:$C,HS_CONSOLIDATED!G:G,0,0,1)</f>
        <v>9894700000</v>
      </c>
      <c r="I53" s="30" t="n">
        <f aca="false">_xlfn.XLOOKUP("OtherCurrentAssets",HS_CONSOLIDATED!$C:$C,HS_CONSOLIDATED!H:H,0,0,1)</f>
        <v>9695800000</v>
      </c>
      <c r="J53" s="30" t="n">
        <f aca="false">_xlfn.XLOOKUP("OtherCurrentAssets",HS_CONSOLIDATED!$C:$C,HS_CONSOLIDATED!I:I,0,0,1)</f>
        <v>8112600000</v>
      </c>
      <c r="K53" s="30" t="n">
        <f aca="false">_xlfn.XLOOKUP("OtherCurrentAssets",HS_CONSOLIDATED!$C:$C,HS_CONSOLIDATED!J:J,0,0,1)</f>
        <v>6271000000</v>
      </c>
      <c r="L53" s="30" t="n">
        <f aca="false">_xlfn.XLOOKUP("OtherCurrentAssets",HS_CONSOLIDATED!$C:$C,HS_CONSOLIDATED!K:K,0,0,1)</f>
        <v>5942400000</v>
      </c>
      <c r="M53" s="30" t="n">
        <f aca="false">_xlfn.XLOOKUP("OtherCurrentAssets",HS_CONSOLIDATED!$C:$C,HS_CONSOLIDATED!L:L,0,0,1)</f>
        <v>7570400000</v>
      </c>
    </row>
    <row r="54" customFormat="false" ht="15" hidden="false" customHeight="false" outlineLevel="0" collapsed="false">
      <c r="A54" s="31"/>
      <c r="B54" s="31"/>
      <c r="C54" s="32" t="s">
        <v>144</v>
      </c>
      <c r="D54" s="31"/>
      <c r="E54" s="33" t="n">
        <f aca="false">IFERROR(SUM(E51:E53),0)</f>
        <v>81101300000</v>
      </c>
      <c r="F54" s="33" t="n">
        <f aca="false">IFERROR(SUM(F51:F53),0)</f>
        <v>69421300000</v>
      </c>
      <c r="G54" s="33" t="n">
        <f aca="false">IFERROR(SUM(G51:G53),0)</f>
        <v>60064500000</v>
      </c>
      <c r="H54" s="33" t="n">
        <f aca="false">IFERROR(SUM(H51:H53),0)</f>
        <v>44096000000</v>
      </c>
      <c r="I54" s="33" t="n">
        <f aca="false">IFERROR(SUM(I51:I53),0)</f>
        <v>43320600000</v>
      </c>
      <c r="J54" s="33" t="n">
        <f aca="false">IFERROR(SUM(J51:J53),0)</f>
        <v>43961100000</v>
      </c>
      <c r="K54" s="33" t="n">
        <f aca="false">IFERROR(SUM(K51:K53),0)</f>
        <v>36246700000</v>
      </c>
      <c r="L54" s="33" t="n">
        <f aca="false">IFERROR(SUM(L51:L53),0)</f>
        <v>47161100000</v>
      </c>
      <c r="M54" s="33" t="n">
        <f aca="false">IFERROR(SUM(M51:M53),0)</f>
        <v>78569400000</v>
      </c>
    </row>
    <row r="55" customFormat="false" ht="15" hidden="false" customHeight="false" outlineLevel="0" collapsed="false">
      <c r="A55" s="28"/>
      <c r="B55" s="28"/>
      <c r="C55" s="29" t="s">
        <v>145</v>
      </c>
      <c r="D55" s="28"/>
      <c r="E55" s="28"/>
      <c r="F55" s="28"/>
      <c r="G55" s="28"/>
      <c r="H55" s="28"/>
      <c r="I55" s="28"/>
      <c r="J55" s="28"/>
      <c r="K55" s="28"/>
      <c r="L55" s="28"/>
      <c r="M55" s="28"/>
    </row>
    <row r="56" customFormat="false" ht="15" hidden="false" customHeight="false" outlineLevel="0" collapsed="false">
      <c r="D56" s="6" t="s">
        <v>159</v>
      </c>
      <c r="E56" s="30" t="n">
        <f aca="false">_xlfn.XLOOKUP("CurrentInvestments",HS_CONSOLIDATED!$C:$C,HS_CONSOLIDATED!D:D,0,0,1)</f>
        <v>4811000000</v>
      </c>
      <c r="F56" s="30" t="n">
        <f aca="false">_xlfn.XLOOKUP("CurrentInvestments",HS_CONSOLIDATED!$C:$C,HS_CONSOLIDATED!E:E,0,0,1)</f>
        <v>0</v>
      </c>
      <c r="G56" s="30" t="n">
        <f aca="false">_xlfn.XLOOKUP("CurrentInvestments",HS_CONSOLIDATED!$C:$C,HS_CONSOLIDATED!F:F,0,0,1)</f>
        <v>0</v>
      </c>
      <c r="H56" s="30" t="n">
        <f aca="false">_xlfn.XLOOKUP("CurrentInvestments",HS_CONSOLIDATED!$C:$C,HS_CONSOLIDATED!G:G,0,0,1)</f>
        <v>0</v>
      </c>
      <c r="I56" s="30" t="n">
        <f aca="false">_xlfn.XLOOKUP("CurrentInvestments",HS_CONSOLIDATED!$C:$C,HS_CONSOLIDATED!H:H,0,0,1)</f>
        <v>0</v>
      </c>
      <c r="J56" s="30" t="n">
        <f aca="false">_xlfn.XLOOKUP("CurrentInvestments",HS_CONSOLIDATED!$C:$C,HS_CONSOLIDATED!I:I,0,0,1)</f>
        <v>0</v>
      </c>
      <c r="K56" s="30" t="n">
        <f aca="false">_xlfn.XLOOKUP("CurrentInvestments",HS_CONSOLIDATED!$C:$C,HS_CONSOLIDATED!J:J,0,0,1)</f>
        <v>0</v>
      </c>
      <c r="L56" s="30" t="n">
        <f aca="false">_xlfn.XLOOKUP("CurrentInvestments",HS_CONSOLIDATED!$C:$C,HS_CONSOLIDATED!K:K,0,0,1)</f>
        <v>83500000</v>
      </c>
      <c r="M56" s="30" t="n">
        <f aca="false">_xlfn.XLOOKUP("CurrentInvestments",HS_CONSOLIDATED!$C:$C,HS_CONSOLIDATED!L:L,0,0,1)</f>
        <v>429100000</v>
      </c>
    </row>
    <row r="57" customFormat="false" ht="15" hidden="false" customHeight="false" outlineLevel="0" collapsed="false">
      <c r="D57" s="6" t="s">
        <v>160</v>
      </c>
      <c r="E57" s="30" t="n">
        <f aca="false">_xlfn.XLOOKUP("CashAndCashEquivalents",HS_CONSOLIDATED!$C:$C,HS_CONSOLIDATED!D:D,0,0,1)</f>
        <v>3361200000</v>
      </c>
      <c r="F57" s="30" t="n">
        <f aca="false">_xlfn.XLOOKUP("CashAndCashEquivalents",HS_CONSOLIDATED!$C:$C,HS_CONSOLIDATED!E:E,0,0,1)</f>
        <v>5810700000</v>
      </c>
      <c r="G57" s="30" t="n">
        <f aca="false">_xlfn.XLOOKUP("CashAndCashEquivalents",HS_CONSOLIDATED!$C:$C,HS_CONSOLIDATED!F:F,0,0,1)</f>
        <v>746200000</v>
      </c>
      <c r="H57" s="30" t="n">
        <f aca="false">_xlfn.XLOOKUP("CashAndCashEquivalents",HS_CONSOLIDATED!$C:$C,HS_CONSOLIDATED!G:G,0,0,1)</f>
        <v>823300000</v>
      </c>
      <c r="I57" s="30" t="n">
        <f aca="false">_xlfn.XLOOKUP("CashAndCashEquivalents",HS_CONSOLIDATED!$C:$C,HS_CONSOLIDATED!H:H,0,0,1)</f>
        <v>2625000000</v>
      </c>
      <c r="J57" s="30" t="n">
        <f aca="false">_xlfn.XLOOKUP("CashAndCashEquivalents",HS_CONSOLIDATED!$C:$C,HS_CONSOLIDATED!I:I,0,0,1)</f>
        <v>5004300000</v>
      </c>
      <c r="K57" s="30" t="n">
        <f aca="false">_xlfn.XLOOKUP("CashAndCashEquivalents",HS_CONSOLIDATED!$C:$C,HS_CONSOLIDATED!J:J,0,0,1)</f>
        <v>3673100000</v>
      </c>
      <c r="L57" s="30" t="n">
        <f aca="false">_xlfn.XLOOKUP("CashAndCashEquivalents",HS_CONSOLIDATED!$C:$C,HS_CONSOLIDATED!K:K,0,0,1)</f>
        <v>4268400000</v>
      </c>
      <c r="M57" s="30" t="n">
        <f aca="false">_xlfn.XLOOKUP("CashAndCashEquivalents",HS_CONSOLIDATED!$C:$C,HS_CONSOLIDATED!L:L,0,0,1)</f>
        <v>11128300000</v>
      </c>
    </row>
    <row r="58" customFormat="false" ht="15" hidden="false" customHeight="false" outlineLevel="0" collapsed="false">
      <c r="D58" s="6" t="s">
        <v>161</v>
      </c>
      <c r="E58" s="30" t="n">
        <f aca="false">_xlfn.XLOOKUP("LoansCurrent",HS_CONSOLIDATED!$C:$C,HS_CONSOLIDATED!D:D,0,0,1)</f>
        <v>494000000</v>
      </c>
      <c r="F58" s="30" t="n">
        <f aca="false">_xlfn.XLOOKUP("LoansCurrent",HS_CONSOLIDATED!$C:$C,HS_CONSOLIDATED!E:E,0,0,1)</f>
        <v>499300000</v>
      </c>
      <c r="G58" s="30" t="n">
        <f aca="false">_xlfn.XLOOKUP("LoansCurrent",HS_CONSOLIDATED!$C:$C,HS_CONSOLIDATED!F:F,0,0,1)</f>
        <v>115200000</v>
      </c>
      <c r="H58" s="30" t="n">
        <f aca="false">_xlfn.XLOOKUP("LoansCurrent",HS_CONSOLIDATED!$C:$C,HS_CONSOLIDATED!G:G,0,0,1)</f>
        <v>224500000</v>
      </c>
      <c r="I58" s="30" t="n">
        <f aca="false">_xlfn.XLOOKUP("LoansCurrent",HS_CONSOLIDATED!$C:$C,HS_CONSOLIDATED!H:H,0,0,1)</f>
        <v>212700000</v>
      </c>
      <c r="J58" s="30" t="n">
        <f aca="false">_xlfn.XLOOKUP("LoansCurrent",HS_CONSOLIDATED!$C:$C,HS_CONSOLIDATED!I:I,0,0,1)</f>
        <v>9600000</v>
      </c>
      <c r="K58" s="30" t="n">
        <f aca="false">_xlfn.XLOOKUP("LoansCurrent",HS_CONSOLIDATED!$C:$C,HS_CONSOLIDATED!J:J,0,0,1)</f>
        <v>6100000</v>
      </c>
      <c r="L58" s="30" t="n">
        <f aca="false">_xlfn.XLOOKUP("LoansCurrent",HS_CONSOLIDATED!$C:$C,HS_CONSOLIDATED!K:K,0,0,1)</f>
        <v>2600000</v>
      </c>
      <c r="M58" s="30" t="n">
        <f aca="false">_xlfn.XLOOKUP("LoansCurrent",HS_CONSOLIDATED!$C:$C,HS_CONSOLIDATED!L:L,0,0,1)</f>
        <v>2700000</v>
      </c>
    </row>
    <row r="59" customFormat="false" ht="15" hidden="false" customHeight="false" outlineLevel="0" collapsed="false">
      <c r="D59" s="6" t="s">
        <v>162</v>
      </c>
      <c r="E59" s="30" t="n">
        <f aca="false">_xlfn.XLOOKUP("OtherCurrentFinancialAssets",HS_CONSOLIDATED!$C:$C,HS_CONSOLIDATED!D:D,0,0,1)</f>
        <v>1486000000</v>
      </c>
      <c r="F59" s="30" t="n">
        <f aca="false">_xlfn.XLOOKUP("OtherCurrentFinancialAssets",HS_CONSOLIDATED!$C:$C,HS_CONSOLIDATED!E:E,0,0,1)</f>
        <v>2663600000</v>
      </c>
      <c r="G59" s="30" t="n">
        <f aca="false">_xlfn.XLOOKUP("OtherCurrentFinancialAssets",HS_CONSOLIDATED!$C:$C,HS_CONSOLIDATED!F:F,0,0,1)</f>
        <v>3163100000</v>
      </c>
      <c r="H59" s="30" t="n">
        <f aca="false">_xlfn.XLOOKUP("OtherCurrentFinancialAssets",HS_CONSOLIDATED!$C:$C,HS_CONSOLIDATED!G:G,0,0,1)</f>
        <v>1087100000</v>
      </c>
      <c r="I59" s="30" t="n">
        <f aca="false">_xlfn.XLOOKUP("OtherCurrentFinancialAssets",HS_CONSOLIDATED!$C:$C,HS_CONSOLIDATED!H:H,0,0,1)</f>
        <v>1759700000</v>
      </c>
      <c r="J59" s="30" t="n">
        <f aca="false">_xlfn.XLOOKUP("OtherCurrentFinancialAssets",HS_CONSOLIDATED!$C:$C,HS_CONSOLIDATED!I:I,0,0,1)</f>
        <v>1205000000</v>
      </c>
      <c r="K59" s="30" t="n">
        <f aca="false">_xlfn.XLOOKUP("OtherCurrentFinancialAssets",HS_CONSOLIDATED!$C:$C,HS_CONSOLIDATED!J:J,0,0,1)</f>
        <v>1490500000</v>
      </c>
      <c r="L59" s="30" t="n">
        <f aca="false">_xlfn.XLOOKUP("OtherCurrentFinancialAssets",HS_CONSOLIDATED!$C:$C,HS_CONSOLIDATED!K:K,0,0,1)</f>
        <v>1349800000</v>
      </c>
      <c r="M59" s="30" t="n">
        <f aca="false">_xlfn.XLOOKUP("OtherCurrentFinancialAssets",HS_CONSOLIDATED!$C:$C,HS_CONSOLIDATED!L:L,0,0,1)</f>
        <v>1883800000</v>
      </c>
    </row>
    <row r="60" customFormat="false" ht="15" hidden="false" customHeight="false" outlineLevel="0" collapsed="false">
      <c r="D60" s="6" t="s">
        <v>163</v>
      </c>
      <c r="E60" s="30" t="n">
        <f aca="false">_xlfn.XLOOKUP("CurrentTaxAssetsCurrent",HS_CONSOLIDATED!$C:$C,HS_CONSOLIDATED!D:D,0,0,1)</f>
        <v>451900000</v>
      </c>
      <c r="F60" s="30" t="n">
        <f aca="false">_xlfn.XLOOKUP("CurrentTaxAssetsCurrent",HS_CONSOLIDATED!$C:$C,HS_CONSOLIDATED!E:E,0,0,1)</f>
        <v>93300000</v>
      </c>
      <c r="G60" s="30" t="n">
        <f aca="false">_xlfn.XLOOKUP("CurrentTaxAssetsCurrent",HS_CONSOLIDATED!$C:$C,HS_CONSOLIDATED!F:F,0,0,1)</f>
        <v>160800000</v>
      </c>
      <c r="H60" s="30" t="n">
        <f aca="false">_xlfn.XLOOKUP("CurrentTaxAssetsCurrent",HS_CONSOLIDATED!$C:$C,HS_CONSOLIDATED!G:G,0,0,1)</f>
        <v>204600000</v>
      </c>
      <c r="I60" s="30" t="n">
        <f aca="false">_xlfn.XLOOKUP("CurrentTaxAssetsCurrent",HS_CONSOLIDATED!$C:$C,HS_CONSOLIDATED!H:H,0,0,1)</f>
        <v>61200000</v>
      </c>
      <c r="J60" s="30" t="n">
        <f aca="false">_xlfn.XLOOKUP("CurrentTaxAssetsCurrent",HS_CONSOLIDATED!$C:$C,HS_CONSOLIDATED!I:I,0,0,1)</f>
        <v>11100000</v>
      </c>
      <c r="K60" s="30" t="n">
        <f aca="false">_xlfn.XLOOKUP("CurrentTaxAssetsCurrent",HS_CONSOLIDATED!$C:$C,HS_CONSOLIDATED!J:J,0,0,1)</f>
        <v>5400000</v>
      </c>
      <c r="L60" s="30" t="n">
        <f aca="false">_xlfn.XLOOKUP("CurrentTaxAssetsCurrent",HS_CONSOLIDATED!$C:$C,HS_CONSOLIDATED!K:K,0,0,1)</f>
        <v>11500000</v>
      </c>
      <c r="M60" s="30" t="n">
        <f aca="false">_xlfn.XLOOKUP("CurrentTaxAssetsCurrent",HS_CONSOLIDATED!$C:$C,HS_CONSOLIDATED!L:L,0,0,1)</f>
        <v>503800000</v>
      </c>
    </row>
    <row r="61" customFormat="false" ht="15" hidden="false" customHeight="false" outlineLevel="0" collapsed="false">
      <c r="A61" s="31"/>
      <c r="B61" s="31"/>
      <c r="C61" s="32" t="s">
        <v>152</v>
      </c>
      <c r="D61" s="31"/>
      <c r="E61" s="33" t="n">
        <f aca="false">IFERROR(SUM(E56:E60),0)</f>
        <v>10604100000</v>
      </c>
      <c r="F61" s="33" t="n">
        <f aca="false">IFERROR(SUM(F56:F60),0)</f>
        <v>9066900000</v>
      </c>
      <c r="G61" s="33" t="n">
        <f aca="false">IFERROR(SUM(G56:G60),0)</f>
        <v>4185300000</v>
      </c>
      <c r="H61" s="33" t="n">
        <f aca="false">IFERROR(SUM(H56:H60),0)</f>
        <v>2339500000</v>
      </c>
      <c r="I61" s="33" t="n">
        <f aca="false">IFERROR(SUM(I56:I60),0)</f>
        <v>4658600000</v>
      </c>
      <c r="J61" s="33" t="n">
        <f aca="false">IFERROR(SUM(J56:J60),0)</f>
        <v>6230000000</v>
      </c>
      <c r="K61" s="33" t="n">
        <f aca="false">IFERROR(SUM(K56:K60),0)</f>
        <v>5175100000</v>
      </c>
      <c r="L61" s="33" t="n">
        <f aca="false">IFERROR(SUM(L56:L60),0)</f>
        <v>5715800000</v>
      </c>
      <c r="M61" s="33" t="n">
        <f aca="false">IFERROR(SUM(M56:M60),0)</f>
        <v>13947700000</v>
      </c>
    </row>
    <row r="62" customFormat="false" ht="15" hidden="false" customHeight="false" outlineLevel="0" collapsed="false">
      <c r="C62" s="6" t="s">
        <v>164</v>
      </c>
      <c r="E62" s="30" t="n">
        <f aca="false">_xlfn.XLOOKUP("CurrentFinancialAssets",HS_CONSOLIDATED!$C:$C,HS_CONSOLIDATED!D:D,0,0,1)</f>
        <v>46427500000</v>
      </c>
      <c r="F62" s="30" t="n">
        <f aca="false">_xlfn.XLOOKUP("CurrentFinancialAssets",HS_CONSOLIDATED!$C:$C,HS_CONSOLIDATED!E:E,0,0,1)</f>
        <v>38825100000</v>
      </c>
      <c r="G62" s="30" t="n">
        <f aca="false">_xlfn.XLOOKUP("CurrentFinancialAssets",HS_CONSOLIDATED!$C:$C,HS_CONSOLIDATED!F:F,0,0,1)</f>
        <v>22830400000</v>
      </c>
      <c r="H62" s="30" t="n">
        <f aca="false">_xlfn.XLOOKUP("CurrentFinancialAssets",HS_CONSOLIDATED!$C:$C,HS_CONSOLIDATED!G:G,0,0,1)</f>
        <v>15780300000</v>
      </c>
      <c r="I62" s="30" t="n">
        <f aca="false">_xlfn.XLOOKUP("CurrentFinancialAssets",HS_CONSOLIDATED!$C:$C,HS_CONSOLIDATED!H:H,0,0,1)</f>
        <v>16494600000</v>
      </c>
      <c r="J62" s="30" t="n">
        <f aca="false">_xlfn.XLOOKUP("CurrentFinancialAssets",HS_CONSOLIDATED!$C:$C,HS_CONSOLIDATED!I:I,0,0,1)</f>
        <v>19988400000</v>
      </c>
      <c r="K62" s="30" t="n">
        <f aca="false">_xlfn.XLOOKUP("CurrentFinancialAssets",HS_CONSOLIDATED!$C:$C,HS_CONSOLIDATED!J:J,0,0,1)</f>
        <v>16874100000</v>
      </c>
      <c r="L62" s="30" t="n">
        <f aca="false">_xlfn.XLOOKUP("CurrentFinancialAssets",HS_CONSOLIDATED!$C:$C,HS_CONSOLIDATED!K:K,0,0,1)</f>
        <v>24000100000</v>
      </c>
      <c r="M62" s="30" t="n">
        <f aca="false">_xlfn.XLOOKUP("CurrentFinancialAssets",HS_CONSOLIDATED!$C:$C,HS_CONSOLIDATED!L:L,0,0,1)</f>
        <v>52107400000</v>
      </c>
    </row>
    <row r="63" customFormat="false" ht="15" hidden="false" customHeight="false" outlineLevel="0" collapsed="false">
      <c r="A63" s="34"/>
      <c r="B63" s="35" t="s">
        <v>165</v>
      </c>
      <c r="C63" s="34"/>
      <c r="D63" s="34"/>
      <c r="E63" s="36" t="n">
        <f aca="false">IFERROR(E61+E54,0)</f>
        <v>91705400000</v>
      </c>
      <c r="F63" s="36" t="n">
        <f aca="false">IFERROR(F61+F54,0)</f>
        <v>78488200000</v>
      </c>
      <c r="G63" s="36" t="n">
        <f aca="false">IFERROR(G61+G54,0)</f>
        <v>64249800000</v>
      </c>
      <c r="H63" s="36" t="n">
        <f aca="false">IFERROR(H61+H54,0)</f>
        <v>46435500000</v>
      </c>
      <c r="I63" s="36" t="n">
        <f aca="false">IFERROR(I61+I54,0)</f>
        <v>47979200000</v>
      </c>
      <c r="J63" s="36" t="n">
        <f aca="false">IFERROR(J61+J54,0)</f>
        <v>50191100000</v>
      </c>
      <c r="K63" s="36" t="n">
        <f aca="false">IFERROR(K61+K54,0)</f>
        <v>41421800000</v>
      </c>
      <c r="L63" s="36" t="n">
        <f aca="false">IFERROR(L61+L54,0)</f>
        <v>52876900000</v>
      </c>
      <c r="M63" s="36" t="n">
        <f aca="false">IFERROR(M61+M54,0)</f>
        <v>92517100000</v>
      </c>
    </row>
    <row r="64" customFormat="false" ht="15" hidden="false" customHeight="false" outlineLevel="0" collapsed="false">
      <c r="C64" s="6" t="s">
        <v>166</v>
      </c>
      <c r="E64" s="30" t="n">
        <f aca="false">_xlfn.XLOOKUP("NoncurrentAssetsOrDisposalGroupsClassifiedAsHeldForSaleOrAsHeldForDistributionToOwners",HS_CONSOLIDATED!$C:$C,HS_CONSOLIDATED!D:D,0,0,1)</f>
        <v>0</v>
      </c>
      <c r="F64" s="30" t="n">
        <f aca="false">_xlfn.XLOOKUP("NoncurrentAssetsOrDisposalGroupsClassifiedAsHeldForSaleOrAsHeldForDistributionToOwners",HS_CONSOLIDATED!$C:$C,HS_CONSOLIDATED!E:E,0,0,1)</f>
        <v>6621700000</v>
      </c>
      <c r="G64" s="30" t="n">
        <f aca="false">_xlfn.XLOOKUP("NoncurrentAssetsOrDisposalGroupsClassifiedAsHeldForSaleOrAsHeldForDistributionToOwners",HS_CONSOLIDATED!$C:$C,HS_CONSOLIDATED!F:F,0,0,1)</f>
        <v>893600000</v>
      </c>
      <c r="H64" s="30" t="n">
        <f aca="false">_xlfn.XLOOKUP("NoncurrentAssetsOrDisposalGroupsClassifiedAsHeldForSaleOrAsHeldForDistributionToOwners",HS_CONSOLIDATED!$C:$C,HS_CONSOLIDATED!G:G,0,0,1)</f>
        <v>510000000</v>
      </c>
      <c r="I64" s="30" t="n">
        <f aca="false">_xlfn.XLOOKUP("NoncurrentAssetsOrDisposalGroupsClassifiedAsHeldForSaleOrAsHeldForDistributionToOwners",HS_CONSOLIDATED!$C:$C,HS_CONSOLIDATED!H:H,0,0,1)</f>
        <v>495900000</v>
      </c>
      <c r="J64" s="30" t="n">
        <f aca="false">_xlfn.XLOOKUP("NoncurrentAssetsOrDisposalGroupsClassifiedAsHeldForSaleOrAsHeldForDistributionToOwners",HS_CONSOLIDATED!$C:$C,HS_CONSOLIDATED!I:I,0,0,1)</f>
        <v>657600000</v>
      </c>
      <c r="K64" s="30" t="n">
        <f aca="false">_xlfn.XLOOKUP("NoncurrentAssetsOrDisposalGroupsClassifiedAsHeldForSaleOrAsHeldForDistributionToOwners",HS_CONSOLIDATED!$C:$C,HS_CONSOLIDATED!J:J,0,0,1)</f>
        <v>354700000</v>
      </c>
      <c r="L64" s="30" t="n">
        <f aca="false">_xlfn.XLOOKUP("NoncurrentAssetsOrDisposalGroupsClassifiedAsHeldForSaleOrAsHeldForDistributionToOwners",HS_CONSOLIDATED!$C:$C,HS_CONSOLIDATED!K:K,0,0,1)</f>
        <v>0</v>
      </c>
      <c r="M64" s="30" t="n">
        <f aca="false">_xlfn.XLOOKUP("NoncurrentAssetsOrDisposalGroupsClassifiedAsHeldForSaleOrAsHeldForDistributionToOwners",HS_CONSOLIDATED!$C:$C,HS_CONSOLIDATED!L:L,0,0,1)</f>
        <v>0</v>
      </c>
    </row>
    <row r="65" customFormat="false" ht="15" hidden="false" customHeight="false" outlineLevel="0" collapsed="false">
      <c r="A65" s="34"/>
      <c r="B65" s="35" t="s">
        <v>167</v>
      </c>
      <c r="C65" s="34"/>
      <c r="D65" s="34"/>
      <c r="E65" s="36" t="n">
        <f aca="false">IFERROR(SUM(E63:E64)+E48,0)</f>
        <v>121601000000</v>
      </c>
      <c r="F65" s="36" t="n">
        <f aca="false">IFERROR(SUM(F63:F64)+F48,0)</f>
        <v>111205700000</v>
      </c>
      <c r="G65" s="36" t="n">
        <f aca="false">IFERROR(SUM(G63:G64)+G48,0)</f>
        <v>88709100000</v>
      </c>
      <c r="H65" s="36" t="n">
        <f aca="false">IFERROR(SUM(H63:H64)+H48,0)</f>
        <v>65303500000</v>
      </c>
      <c r="I65" s="36" t="n">
        <f aca="false">IFERROR(SUM(I63:I64)+I48,0)</f>
        <v>66010900000</v>
      </c>
      <c r="J65" s="36" t="n">
        <f aca="false">IFERROR(SUM(J63:J64)+J48,0)</f>
        <v>64748600000</v>
      </c>
      <c r="K65" s="36" t="n">
        <f aca="false">IFERROR(SUM(K63:K64)+K48,0)</f>
        <v>55233800000</v>
      </c>
      <c r="L65" s="36" t="n">
        <f aca="false">IFERROR(SUM(L63:L64)+L48,0)</f>
        <v>71790200000</v>
      </c>
      <c r="M65" s="36" t="n">
        <f aca="false">IFERROR(SUM(M63:M64)+M48,0)</f>
        <v>129595900000</v>
      </c>
    </row>
    <row r="66" customFormat="false" ht="15" hidden="false" customHeight="false" outlineLevel="0" collapsed="false">
      <c r="A66" s="28"/>
      <c r="B66" s="29" t="s">
        <v>168</v>
      </c>
      <c r="C66" s="28"/>
      <c r="D66" s="28"/>
      <c r="E66" s="28"/>
      <c r="F66" s="28"/>
      <c r="G66" s="28"/>
      <c r="H66" s="28"/>
      <c r="I66" s="28"/>
      <c r="J66" s="28"/>
      <c r="K66" s="28"/>
      <c r="L66" s="28"/>
      <c r="M66" s="28"/>
    </row>
    <row r="67" customFormat="false" ht="15" hidden="false" customHeight="false" outlineLevel="0" collapsed="false">
      <c r="A67" s="28"/>
      <c r="B67" s="29" t="s">
        <v>169</v>
      </c>
      <c r="C67" s="28"/>
      <c r="D67" s="28"/>
      <c r="E67" s="28"/>
      <c r="F67" s="28"/>
      <c r="G67" s="28"/>
      <c r="H67" s="28"/>
      <c r="I67" s="28"/>
      <c r="J67" s="28"/>
      <c r="K67" s="28"/>
      <c r="L67" s="28"/>
      <c r="M67" s="28"/>
    </row>
    <row r="68" customFormat="false" ht="15" hidden="false" customHeight="false" outlineLevel="0" collapsed="false">
      <c r="C68" s="6" t="s">
        <v>170</v>
      </c>
      <c r="E68" s="30" t="n">
        <f aca="false">_xlfn.XLOOKUP("EquityShareCapital",HS_CONSOLIDATED!$C:$C,HS_CONSOLIDATED!D:D,0,0,1)</f>
        <v>10048800000</v>
      </c>
      <c r="F68" s="30" t="n">
        <f aca="false">_xlfn.XLOOKUP("EquityShareCapital",HS_CONSOLIDATED!$C:$C,HS_CONSOLIDATED!E:E,0,0,1)</f>
        <v>10639500000</v>
      </c>
      <c r="G68" s="30" t="n">
        <f aca="false">_xlfn.XLOOKUP("EquityShareCapital",HS_CONSOLIDATED!$C:$C,HS_CONSOLIDATED!F:F,0,0,1)</f>
        <v>10639500000</v>
      </c>
      <c r="H68" s="30" t="n">
        <f aca="false">_xlfn.XLOOKUP("EquityShareCapital",HS_CONSOLIDATED!$C:$C,HS_CONSOLIDATED!G:G,0,0,1)</f>
        <v>10639500000</v>
      </c>
      <c r="I68" s="30" t="n">
        <f aca="false">_xlfn.XLOOKUP("EquityShareCapital",HS_CONSOLIDATED!$C:$C,HS_CONSOLIDATED!H:H,0,0,1)</f>
        <v>17016000000</v>
      </c>
      <c r="J68" s="30" t="n">
        <f aca="false">_xlfn.XLOOKUP("EquityShareCapital",HS_CONSOLIDATED!$C:$C,HS_CONSOLIDATED!I:I,0,0,1)</f>
        <v>18434900000</v>
      </c>
      <c r="K68" s="30" t="n">
        <f aca="false">_xlfn.XLOOKUP("EquityShareCapital",HS_CONSOLIDATED!$C:$C,HS_CONSOLIDATED!J:J,0,0,1)</f>
        <v>24544000000</v>
      </c>
      <c r="L68" s="30" t="n">
        <f aca="false">_xlfn.XLOOKUP("EquityShareCapital",HS_CONSOLIDATED!$C:$C,HS_CONSOLIDATED!K:K,0,0,1)</f>
        <v>27217200000</v>
      </c>
      <c r="M68" s="30" t="n">
        <f aca="false">_xlfn.XLOOKUP("EquityShareCapital",HS_CONSOLIDATED!$C:$C,HS_CONSOLIDATED!L:L,0,0,1)</f>
        <v>27317900000</v>
      </c>
    </row>
    <row r="69" customFormat="false" ht="15" hidden="false" customHeight="false" outlineLevel="0" collapsed="false">
      <c r="C69" s="6" t="s">
        <v>171</v>
      </c>
      <c r="E69" s="30" t="n">
        <f aca="false">_xlfn.XLOOKUP("OtherEquity",HS_CONSOLIDATED!$C:$C,HS_CONSOLIDATED!D:D,0,0,1)</f>
        <v>-78462100000</v>
      </c>
      <c r="F69" s="30" t="n">
        <f aca="false">_xlfn.XLOOKUP("OtherEquity",HS_CONSOLIDATED!$C:$C,HS_CONSOLIDATED!E:E,0,0,1)</f>
        <v>-80308000000</v>
      </c>
      <c r="G69" s="30" t="n">
        <f aca="false">_xlfn.XLOOKUP("OtherEquity",HS_CONSOLIDATED!$C:$C,HS_CONSOLIDATED!F:F,0,0,1)</f>
        <v>-95615600000</v>
      </c>
      <c r="H69" s="30" t="n">
        <f aca="false">_xlfn.XLOOKUP("OtherEquity",HS_CONSOLIDATED!$C:$C,HS_CONSOLIDATED!G:G,0,0,1)</f>
        <v>-120468900000</v>
      </c>
      <c r="I69" s="30" t="n">
        <f aca="false">_xlfn.XLOOKUP("OtherEquity",HS_CONSOLIDATED!$C:$C,HS_CONSOLIDATED!H:H,0,0,1)</f>
        <v>-50446300000</v>
      </c>
      <c r="J69" s="30" t="n">
        <f aca="false">_xlfn.XLOOKUP("OtherEquity",HS_CONSOLIDATED!$C:$C,HS_CONSOLIDATED!I:I,0,0,1)</f>
        <v>-53692200000</v>
      </c>
      <c r="K69" s="30" t="n">
        <f aca="false">_xlfn.XLOOKUP("OtherEquity",HS_CONSOLIDATED!$C:$C,HS_CONSOLIDATED!J:J,0,0,1)</f>
        <v>-13552600000</v>
      </c>
      <c r="L69" s="30" t="n">
        <f aca="false">_xlfn.XLOOKUP("OtherEquity",HS_CONSOLIDATED!$C:$C,HS_CONSOLIDATED!K:K,0,0,1)</f>
        <v>11985900000</v>
      </c>
      <c r="M69" s="30" t="n">
        <f aca="false">_xlfn.XLOOKUP("OtherEquity",HS_CONSOLIDATED!$C:$C,HS_CONSOLIDATED!L:L,0,0,1)</f>
        <v>33739300000</v>
      </c>
    </row>
    <row r="70" customFormat="false" ht="15" hidden="false" customHeight="false" outlineLevel="0" collapsed="false">
      <c r="A70" s="34"/>
      <c r="B70" s="35" t="s">
        <v>172</v>
      </c>
      <c r="C70" s="34"/>
      <c r="D70" s="34"/>
      <c r="E70" s="36" t="n">
        <f aca="false">IFERROR(SUM(E68:E69),0)</f>
        <v>-68413300000</v>
      </c>
      <c r="F70" s="36" t="n">
        <f aca="false">IFERROR(SUM(F68:F69),0)</f>
        <v>-69668500000</v>
      </c>
      <c r="G70" s="36" t="n">
        <f aca="false">IFERROR(SUM(G68:G69),0)</f>
        <v>-84976100000</v>
      </c>
      <c r="H70" s="36" t="n">
        <f aca="false">IFERROR(SUM(H68:H69),0)</f>
        <v>-109829400000</v>
      </c>
      <c r="I70" s="36" t="n">
        <f aca="false">IFERROR(SUM(I68:I69),0)</f>
        <v>-33430300000</v>
      </c>
      <c r="J70" s="36" t="n">
        <f aca="false">IFERROR(SUM(J68:J69),0)</f>
        <v>-35257300000</v>
      </c>
      <c r="K70" s="36" t="n">
        <f aca="false">IFERROR(SUM(K68:K69),0)</f>
        <v>10991400000</v>
      </c>
      <c r="L70" s="36" t="n">
        <f aca="false">IFERROR(SUM(L68:L69),0)</f>
        <v>39203100000</v>
      </c>
      <c r="M70" s="36" t="n">
        <f aca="false">IFERROR(SUM(M68:M69),0)</f>
        <v>61057200000</v>
      </c>
    </row>
    <row r="71" customFormat="false" ht="15" hidden="false" customHeight="false" outlineLevel="0" collapsed="false">
      <c r="C71" s="6" t="s">
        <v>173</v>
      </c>
      <c r="E71" s="30" t="n">
        <f aca="false">_xlfn.XLOOKUP("NonControllingInterest",HS_CONSOLIDATED!$C:$C,HS_CONSOLIDATED!D:D,0,0,1)</f>
        <v>86800000</v>
      </c>
      <c r="F71" s="30" t="n">
        <f aca="false">_xlfn.XLOOKUP("NonControllingInterest",HS_CONSOLIDATED!$C:$C,HS_CONSOLIDATED!E:E,0,0,1)</f>
        <v>101900000</v>
      </c>
      <c r="G71" s="30" t="n">
        <f aca="false">_xlfn.XLOOKUP("NonControllingInterest",HS_CONSOLIDATED!$C:$C,HS_CONSOLIDATED!F:F,0,0,1)</f>
        <v>-54800000</v>
      </c>
      <c r="H71" s="30" t="n">
        <f aca="false">_xlfn.XLOOKUP("NonControllingInterest",HS_CONSOLIDATED!$C:$C,HS_CONSOLIDATED!G:G,0,0,1)</f>
        <v>-589000000</v>
      </c>
      <c r="I71" s="30" t="n">
        <f aca="false">_xlfn.XLOOKUP("NonControllingInterest",HS_CONSOLIDATED!$C:$C,HS_CONSOLIDATED!H:H,0,0,1)</f>
        <v>-576800000</v>
      </c>
      <c r="J71" s="30" t="n">
        <f aca="false">_xlfn.XLOOKUP("NonControllingInterest",HS_CONSOLIDATED!$C:$C,HS_CONSOLIDATED!I:I,0,0,1)</f>
        <v>-360800000</v>
      </c>
      <c r="K71" s="30" t="n">
        <f aca="false">_xlfn.XLOOKUP("NonControllingInterest",HS_CONSOLIDATED!$C:$C,HS_CONSOLIDATED!J:J,0,0,1)</f>
        <v>0</v>
      </c>
      <c r="L71" s="30" t="n">
        <f aca="false">_xlfn.XLOOKUP("NonControllingInterest",HS_CONSOLIDATED!$C:$C,HS_CONSOLIDATED!K:K,0,0,1)</f>
        <v>0</v>
      </c>
      <c r="M71" s="30" t="n">
        <f aca="false">_xlfn.XLOOKUP("NonControllingInterest",HS_CONSOLIDATED!$C:$C,HS_CONSOLIDATED!L:L,0,0,1)</f>
        <v>0</v>
      </c>
    </row>
    <row r="72" customFormat="false" ht="15" hidden="false" customHeight="false" outlineLevel="0" collapsed="false">
      <c r="A72" s="34"/>
      <c r="B72" s="35" t="s">
        <v>174</v>
      </c>
      <c r="C72" s="34"/>
      <c r="D72" s="34"/>
      <c r="E72" s="36" t="n">
        <f aca="false">IFERROR(SUM(E70:E71),0)</f>
        <v>-68326500000</v>
      </c>
      <c r="F72" s="36" t="n">
        <f aca="false">IFERROR(SUM(F70:F71),0)</f>
        <v>-69566600000</v>
      </c>
      <c r="G72" s="36" t="n">
        <f aca="false">IFERROR(SUM(G70:G71),0)</f>
        <v>-85030900000</v>
      </c>
      <c r="H72" s="36" t="n">
        <f aca="false">IFERROR(SUM(H70:H71),0)</f>
        <v>-110418400000</v>
      </c>
      <c r="I72" s="36" t="n">
        <f aca="false">IFERROR(SUM(I70:I71),0)</f>
        <v>-34007100000</v>
      </c>
      <c r="J72" s="36" t="n">
        <f aca="false">IFERROR(SUM(J70:J71),0)</f>
        <v>-35618100000</v>
      </c>
      <c r="K72" s="36" t="n">
        <f aca="false">IFERROR(SUM(K70:K71),0)</f>
        <v>10991400000</v>
      </c>
      <c r="L72" s="36" t="n">
        <f aca="false">IFERROR(SUM(L70:L71),0)</f>
        <v>39203100000</v>
      </c>
      <c r="M72" s="36" t="n">
        <f aca="false">IFERROR(SUM(M70:M71),0)</f>
        <v>61057200000</v>
      </c>
    </row>
    <row r="73" customFormat="false" ht="15" hidden="false" customHeight="false" outlineLevel="0" collapsed="false">
      <c r="A73" s="28"/>
      <c r="B73" s="29" t="s">
        <v>175</v>
      </c>
      <c r="C73" s="28"/>
      <c r="D73" s="28"/>
      <c r="E73" s="28"/>
      <c r="F73" s="28"/>
      <c r="G73" s="28"/>
      <c r="H73" s="28"/>
      <c r="I73" s="28"/>
      <c r="J73" s="28"/>
      <c r="K73" s="28"/>
      <c r="L73" s="28"/>
      <c r="M73" s="28"/>
    </row>
    <row r="74" customFormat="false" ht="15" hidden="false" customHeight="false" outlineLevel="0" collapsed="false">
      <c r="A74" s="28"/>
      <c r="B74" s="29" t="s">
        <v>176</v>
      </c>
      <c r="C74" s="28"/>
      <c r="D74" s="28"/>
      <c r="E74" s="28"/>
      <c r="F74" s="28"/>
      <c r="G74" s="28"/>
      <c r="H74" s="28"/>
      <c r="I74" s="28"/>
      <c r="J74" s="28"/>
      <c r="K74" s="28"/>
      <c r="L74" s="28"/>
      <c r="M74" s="28"/>
    </row>
    <row r="75" customFormat="false" ht="15" hidden="false" customHeight="false" outlineLevel="0" collapsed="false">
      <c r="A75" s="28"/>
      <c r="B75" s="29" t="s">
        <v>177</v>
      </c>
      <c r="C75" s="28"/>
      <c r="D75" s="28"/>
      <c r="E75" s="28"/>
      <c r="F75" s="28"/>
      <c r="G75" s="28"/>
      <c r="H75" s="28"/>
      <c r="I75" s="28"/>
      <c r="J75" s="28"/>
      <c r="K75" s="28"/>
      <c r="L75" s="28"/>
      <c r="M75" s="28"/>
    </row>
    <row r="76" customFormat="false" ht="15" hidden="false" customHeight="false" outlineLevel="0" collapsed="false">
      <c r="C76" s="6" t="s">
        <v>178</v>
      </c>
      <c r="E76" s="30" t="n">
        <f aca="false">_xlfn.XLOOKUP("BorrowingsNoncurrent",HS_CONSOLIDATED!$C:$C,HS_CONSOLIDATED!D:D,0,0,1)</f>
        <v>48409800000</v>
      </c>
      <c r="F76" s="30" t="n">
        <f aca="false">_xlfn.XLOOKUP("BorrowingsNoncurrent",HS_CONSOLIDATED!$C:$C,HS_CONSOLIDATED!E:E,0,0,1)</f>
        <v>77157100000</v>
      </c>
      <c r="G76" s="30" t="n">
        <f aca="false">_xlfn.XLOOKUP("BorrowingsNoncurrent",HS_CONSOLIDATED!$C:$C,HS_CONSOLIDATED!F:F,0,0,1)</f>
        <v>62441400000</v>
      </c>
      <c r="H76" s="30" t="n">
        <f aca="false">_xlfn.XLOOKUP("BorrowingsNoncurrent",HS_CONSOLIDATED!$C:$C,HS_CONSOLIDATED!G:G,0,0,1)</f>
        <v>8417700000</v>
      </c>
      <c r="I76" s="30" t="n">
        <f aca="false">_xlfn.XLOOKUP("BorrowingsNoncurrent",HS_CONSOLIDATED!$C:$C,HS_CONSOLIDATED!H:H,0,0,1)</f>
        <v>60272000000</v>
      </c>
      <c r="J76" s="30" t="n">
        <f aca="false">_xlfn.XLOOKUP("BorrowingsNoncurrent",HS_CONSOLIDATED!$C:$C,HS_CONSOLIDATED!I:I,0,0,1)</f>
        <v>55924400000</v>
      </c>
      <c r="K76" s="30" t="n">
        <f aca="false">_xlfn.XLOOKUP("BorrowingsNoncurrent",HS_CONSOLIDATED!$C:$C,HS_CONSOLIDATED!J:J,0,0,1)</f>
        <v>15172700000</v>
      </c>
      <c r="L76" s="30" t="n">
        <f aca="false">_xlfn.XLOOKUP("BorrowingsNoncurrent",HS_CONSOLIDATED!$C:$C,HS_CONSOLIDATED!K:K,0,0,1)</f>
        <v>498700000</v>
      </c>
      <c r="M76" s="30" t="n">
        <f aca="false">_xlfn.XLOOKUP("BorrowingsNoncurrent",HS_CONSOLIDATED!$C:$C,HS_CONSOLIDATED!L:L,0,0,1)</f>
        <v>1291900000</v>
      </c>
    </row>
    <row r="77" customFormat="false" ht="15" hidden="false" customHeight="false" outlineLevel="0" collapsed="false">
      <c r="A77" s="28"/>
      <c r="B77" s="28"/>
      <c r="C77" s="29" t="s">
        <v>179</v>
      </c>
      <c r="D77" s="28"/>
      <c r="E77" s="28"/>
      <c r="F77" s="28"/>
      <c r="G77" s="28"/>
      <c r="H77" s="28"/>
      <c r="I77" s="28"/>
      <c r="J77" s="28"/>
      <c r="K77" s="28"/>
      <c r="L77" s="28"/>
      <c r="M77" s="28"/>
    </row>
    <row r="78" customFormat="false" ht="15" hidden="false" customHeight="false" outlineLevel="0" collapsed="false">
      <c r="C78" s="6" t="s">
        <v>180</v>
      </c>
      <c r="E78" s="30" t="n">
        <f aca="false">_xlfn.XLOOKUP("OtherNoncurrentFinancialLiabilities",HS_CONSOLIDATED!$C:$C,HS_CONSOLIDATED!D:D,0,0,1)</f>
        <v>2254600000</v>
      </c>
      <c r="F78" s="30" t="n">
        <f aca="false">_xlfn.XLOOKUP("OtherNoncurrentFinancialLiabilities",HS_CONSOLIDATED!$C:$C,HS_CONSOLIDATED!E:E,0,0,1)</f>
        <v>553300000</v>
      </c>
      <c r="G78" s="30" t="n">
        <f aca="false">_xlfn.XLOOKUP("OtherNoncurrentFinancialLiabilities",HS_CONSOLIDATED!$C:$C,HS_CONSOLIDATED!F:F,0,0,1)</f>
        <v>504900000</v>
      </c>
      <c r="H78" s="30" t="n">
        <f aca="false">_xlfn.XLOOKUP("OtherNoncurrentFinancialLiabilities",HS_CONSOLIDATED!$C:$C,HS_CONSOLIDATED!G:G,0,0,1)</f>
        <v>910900000</v>
      </c>
      <c r="I78" s="30" t="n">
        <f aca="false">_xlfn.XLOOKUP("OtherNoncurrentFinancialLiabilities",HS_CONSOLIDATED!$C:$C,HS_CONSOLIDATED!H:H,0,0,1)</f>
        <v>775400000</v>
      </c>
      <c r="J78" s="30" t="n">
        <f aca="false">_xlfn.XLOOKUP("OtherNoncurrentFinancialLiabilities",HS_CONSOLIDATED!$C:$C,HS_CONSOLIDATED!I:I,0,0,1)</f>
        <v>792100000</v>
      </c>
      <c r="K78" s="30" t="n">
        <f aca="false">_xlfn.XLOOKUP("OtherNoncurrentFinancialLiabilities",HS_CONSOLIDATED!$C:$C,HS_CONSOLIDATED!J:J,0,0,1)</f>
        <v>375200000</v>
      </c>
      <c r="L78" s="30" t="n">
        <f aca="false">_xlfn.XLOOKUP("OtherNoncurrentFinancialLiabilities",HS_CONSOLIDATED!$C:$C,HS_CONSOLIDATED!K:K,0,0,1)</f>
        <v>341300000</v>
      </c>
      <c r="M78" s="30" t="n">
        <f aca="false">_xlfn.XLOOKUP("OtherNoncurrentFinancialLiabilities",HS_CONSOLIDATED!$C:$C,HS_CONSOLIDATED!L:L,0,0,1)</f>
        <v>6546100000</v>
      </c>
    </row>
    <row r="79" customFormat="false" ht="15" hidden="false" customHeight="false" outlineLevel="0" collapsed="false">
      <c r="C79" s="6" t="s">
        <v>181</v>
      </c>
      <c r="E79" s="30" t="n">
        <f aca="false">_xlfn.XLOOKUP("NoncurrentFinancialLiabilities",HS_CONSOLIDATED!$C:$C,HS_CONSOLIDATED!D:D,0,0,1)</f>
        <v>50664400000</v>
      </c>
      <c r="F79" s="30" t="n">
        <f aca="false">_xlfn.XLOOKUP("NoncurrentFinancialLiabilities",HS_CONSOLIDATED!$C:$C,HS_CONSOLIDATED!E:E,0,0,1)</f>
        <v>77710400000</v>
      </c>
      <c r="G79" s="30" t="n">
        <f aca="false">_xlfn.XLOOKUP("NoncurrentFinancialLiabilities",HS_CONSOLIDATED!$C:$C,HS_CONSOLIDATED!F:F,0,0,1)</f>
        <v>62946300000</v>
      </c>
      <c r="H79" s="30" t="n">
        <f aca="false">_xlfn.XLOOKUP("NoncurrentFinancialLiabilities",HS_CONSOLIDATED!$C:$C,HS_CONSOLIDATED!G:G,0,0,1)</f>
        <v>9328600000</v>
      </c>
      <c r="I79" s="30" t="n">
        <f aca="false">_xlfn.XLOOKUP("NoncurrentFinancialLiabilities",HS_CONSOLIDATED!$C:$C,HS_CONSOLIDATED!H:H,0,0,1)</f>
        <v>61047400000</v>
      </c>
      <c r="J79" s="30" t="n">
        <f aca="false">_xlfn.XLOOKUP("NoncurrentFinancialLiabilities",HS_CONSOLIDATED!$C:$C,HS_CONSOLIDATED!I:I,0,0,1)</f>
        <v>56716500000</v>
      </c>
      <c r="K79" s="30" t="n">
        <f aca="false">_xlfn.XLOOKUP("NoncurrentFinancialLiabilities",HS_CONSOLIDATED!$C:$C,HS_CONSOLIDATED!J:J,0,0,1)</f>
        <v>15547900000</v>
      </c>
      <c r="L79" s="30" t="n">
        <f aca="false">_xlfn.XLOOKUP("NoncurrentFinancialLiabilities",HS_CONSOLIDATED!$C:$C,HS_CONSOLIDATED!K:K,0,0,1)</f>
        <v>840000000</v>
      </c>
      <c r="M79" s="30" t="n">
        <f aca="false">_xlfn.XLOOKUP("NoncurrentFinancialLiabilities",HS_CONSOLIDATED!$C:$C,HS_CONSOLIDATED!L:L,0,0,1)</f>
        <v>7838000000</v>
      </c>
    </row>
    <row r="80" customFormat="false" ht="15" hidden="false" customHeight="false" outlineLevel="0" collapsed="false">
      <c r="D80" s="6" t="s">
        <v>182</v>
      </c>
      <c r="E80" s="30" t="n">
        <f aca="false">_xlfn.XLOOKUP("ProvisionsNoncurrent",HS_CONSOLIDATED!$C:$C,HS_CONSOLIDATED!D:D,0,0,1)</f>
        <v>1272000000</v>
      </c>
      <c r="F80" s="30" t="n">
        <f aca="false">_xlfn.XLOOKUP("ProvisionsNoncurrent",HS_CONSOLIDATED!$C:$C,HS_CONSOLIDATED!E:E,0,0,1)</f>
        <v>1204300000</v>
      </c>
      <c r="G80" s="30" t="n">
        <f aca="false">_xlfn.XLOOKUP("ProvisionsNoncurrent",HS_CONSOLIDATED!$C:$C,HS_CONSOLIDATED!F:F,0,0,1)</f>
        <v>1184600000</v>
      </c>
      <c r="H80" s="30" t="n">
        <f aca="false">_xlfn.XLOOKUP("ProvisionsNoncurrent",HS_CONSOLIDATED!$C:$C,HS_CONSOLIDATED!G:G,0,0,1)</f>
        <v>932700000</v>
      </c>
      <c r="I80" s="30" t="n">
        <f aca="false">_xlfn.XLOOKUP("ProvisionsNoncurrent",HS_CONSOLIDATED!$C:$C,HS_CONSOLIDATED!H:H,0,0,1)</f>
        <v>825100000</v>
      </c>
      <c r="J80" s="30" t="n">
        <f aca="false">_xlfn.XLOOKUP("ProvisionsNoncurrent",HS_CONSOLIDATED!$C:$C,HS_CONSOLIDATED!I:I,0,0,1)</f>
        <v>1304300000</v>
      </c>
      <c r="K80" s="30" t="n">
        <f aca="false">_xlfn.XLOOKUP("ProvisionsNoncurrent",HS_CONSOLIDATED!$C:$C,HS_CONSOLIDATED!J:J,0,0,1)</f>
        <v>1681800000</v>
      </c>
      <c r="L80" s="30" t="n">
        <f aca="false">_xlfn.XLOOKUP("ProvisionsNoncurrent",HS_CONSOLIDATED!$C:$C,HS_CONSOLIDATED!K:K,0,0,1)</f>
        <v>1653800000</v>
      </c>
      <c r="M80" s="30" t="n">
        <f aca="false">_xlfn.XLOOKUP("ProvisionsNoncurrent",HS_CONSOLIDATED!$C:$C,HS_CONSOLIDATED!L:L,0,0,1)</f>
        <v>1549800000</v>
      </c>
    </row>
    <row r="81" customFormat="false" ht="15" hidden="false" customHeight="false" outlineLevel="0" collapsed="false">
      <c r="D81" s="6" t="s">
        <v>183</v>
      </c>
      <c r="E81" s="30" t="n">
        <f aca="false">_xlfn.XLOOKUP("OtherNoncurrentLiabilities",HS_CONSOLIDATED!$C:$C,HS_CONSOLIDATED!D:D,0,0,1)</f>
        <v>400200000</v>
      </c>
      <c r="F81" s="30" t="n">
        <f aca="false">_xlfn.XLOOKUP("OtherNoncurrentLiabilities",HS_CONSOLIDATED!$C:$C,HS_CONSOLIDATED!E:E,0,0,1)</f>
        <v>299800000</v>
      </c>
      <c r="G81" s="30" t="n">
        <f aca="false">_xlfn.XLOOKUP("OtherNoncurrentLiabilities",HS_CONSOLIDATED!$C:$C,HS_CONSOLIDATED!F:F,0,0,1)</f>
        <v>117000000</v>
      </c>
      <c r="H81" s="30" t="n">
        <f aca="false">_xlfn.XLOOKUP("OtherNoncurrentLiabilities",HS_CONSOLIDATED!$C:$C,HS_CONSOLIDATED!G:G,0,0,1)</f>
        <v>8900000</v>
      </c>
      <c r="I81" s="30" t="n">
        <f aca="false">_xlfn.XLOOKUP("OtherNoncurrentLiabilities",HS_CONSOLIDATED!$C:$C,HS_CONSOLIDATED!H:H,0,0,1)</f>
        <v>7700000</v>
      </c>
      <c r="J81" s="30" t="n">
        <f aca="false">_xlfn.XLOOKUP("OtherNoncurrentLiabilities",HS_CONSOLIDATED!$C:$C,HS_CONSOLIDATED!I:I,0,0,1)</f>
        <v>1900000</v>
      </c>
      <c r="K81" s="30" t="n">
        <f aca="false">_xlfn.XLOOKUP("OtherNoncurrentLiabilities",HS_CONSOLIDATED!$C:$C,HS_CONSOLIDATED!J:J,0,0,1)</f>
        <v>4800000</v>
      </c>
      <c r="L81" s="30" t="n">
        <f aca="false">_xlfn.XLOOKUP("OtherNoncurrentLiabilities",HS_CONSOLIDATED!$C:$C,HS_CONSOLIDATED!K:K,0,0,1)</f>
        <v>4800000</v>
      </c>
      <c r="M81" s="30" t="n">
        <f aca="false">_xlfn.XLOOKUP("OtherNoncurrentLiabilities",HS_CONSOLIDATED!$C:$C,HS_CONSOLIDATED!L:L,0,0,1)</f>
        <v>4500000</v>
      </c>
    </row>
    <row r="82" customFormat="false" ht="15" hidden="false" customHeight="false" outlineLevel="0" collapsed="false">
      <c r="A82" s="34"/>
      <c r="B82" s="35" t="s">
        <v>184</v>
      </c>
      <c r="C82" s="34"/>
      <c r="D82" s="34"/>
      <c r="E82" s="36" t="n">
        <f aca="false">IFERROR(SUM(E76)+SUM(E78)+SUM(E80:E81),0)</f>
        <v>52336600000</v>
      </c>
      <c r="F82" s="36" t="n">
        <f aca="false">IFERROR(SUM(F76)+SUM(F78)+SUM(F80:F81),0)</f>
        <v>79214500000</v>
      </c>
      <c r="G82" s="36" t="n">
        <f aca="false">IFERROR(SUM(G76)+SUM(G78)+SUM(G80:G81),0)</f>
        <v>64247900000</v>
      </c>
      <c r="H82" s="36" t="n">
        <f aca="false">IFERROR(SUM(H76)+SUM(H78)+SUM(H80:H81),0)</f>
        <v>10270200000</v>
      </c>
      <c r="I82" s="36" t="n">
        <f aca="false">IFERROR(SUM(I76)+SUM(I78)+SUM(I80:I81),0)</f>
        <v>61880200000</v>
      </c>
      <c r="J82" s="36" t="n">
        <f aca="false">IFERROR(SUM(J76)+SUM(J78)+SUM(J80:J81),0)</f>
        <v>58022700000</v>
      </c>
      <c r="K82" s="36" t="n">
        <f aca="false">IFERROR(SUM(K76)+SUM(K78)+SUM(K80:K81),0)</f>
        <v>17234500000</v>
      </c>
      <c r="L82" s="36" t="n">
        <f aca="false">IFERROR(SUM(L76)+SUM(L78)+SUM(L80:L81),0)</f>
        <v>2498600000</v>
      </c>
      <c r="M82" s="36" t="n">
        <f aca="false">IFERROR(SUM(M76)+SUM(M78)+SUM(M80:M81),0)</f>
        <v>9392300000</v>
      </c>
    </row>
    <row r="83" customFormat="false" ht="15" hidden="false" customHeight="false" outlineLevel="0" collapsed="false">
      <c r="A83" s="28"/>
      <c r="B83" s="29" t="s">
        <v>185</v>
      </c>
      <c r="C83" s="28"/>
      <c r="D83" s="28"/>
      <c r="E83" s="28"/>
      <c r="F83" s="28"/>
      <c r="G83" s="28"/>
      <c r="H83" s="28"/>
      <c r="I83" s="28"/>
      <c r="J83" s="28"/>
      <c r="K83" s="28"/>
      <c r="L83" s="28"/>
      <c r="M83" s="28"/>
    </row>
    <row r="84" customFormat="false" ht="15" hidden="false" customHeight="false" outlineLevel="0" collapsed="false">
      <c r="A84" s="28"/>
      <c r="B84" s="29" t="s">
        <v>186</v>
      </c>
      <c r="C84" s="28"/>
      <c r="D84" s="28"/>
      <c r="E84" s="28"/>
      <c r="F84" s="28"/>
      <c r="G84" s="28"/>
      <c r="H84" s="28"/>
      <c r="I84" s="28"/>
      <c r="J84" s="28"/>
      <c r="K84" s="28"/>
      <c r="L84" s="28"/>
      <c r="M84" s="28"/>
    </row>
    <row r="85" customFormat="false" ht="15" hidden="false" customHeight="false" outlineLevel="0" collapsed="false">
      <c r="C85" s="6" t="s">
        <v>187</v>
      </c>
      <c r="E85" s="30" t="n">
        <f aca="false">_xlfn.XLOOKUP("BorrowingsCurrent",HS_CONSOLIDATED!$C:$C,HS_CONSOLIDATED!D:D,0,0,1)</f>
        <v>20763800000</v>
      </c>
      <c r="F85" s="30" t="n">
        <f aca="false">_xlfn.XLOOKUP("BorrowingsCurrent",HS_CONSOLIDATED!$C:$C,HS_CONSOLIDATED!E:E,0,0,1)</f>
        <v>38894500000</v>
      </c>
      <c r="G85" s="30" t="n">
        <f aca="false">_xlfn.XLOOKUP("BorrowingsCurrent",HS_CONSOLIDATED!$C:$C,HS_CONSOLIDATED!F:F,0,0,1)</f>
        <v>33797900000</v>
      </c>
      <c r="H85" s="30" t="n">
        <f aca="false">_xlfn.XLOOKUP("BorrowingsCurrent",HS_CONSOLIDATED!$C:$C,HS_CONSOLIDATED!G:G,0,0,1)</f>
        <v>88438500000</v>
      </c>
      <c r="I85" s="30" t="n">
        <f aca="false">_xlfn.XLOOKUP("BorrowingsCurrent",HS_CONSOLIDATED!$C:$C,HS_CONSOLIDATED!H:H,0,0,1)</f>
        <v>1753400000</v>
      </c>
      <c r="J85" s="30" t="n">
        <f aca="false">_xlfn.XLOOKUP("BorrowingsCurrent",HS_CONSOLIDATED!$C:$C,HS_CONSOLIDATED!I:I,0,0,1)</f>
        <v>7981200000</v>
      </c>
      <c r="K85" s="30" t="n">
        <f aca="false">_xlfn.XLOOKUP("BorrowingsCurrent",HS_CONSOLIDATED!$C:$C,HS_CONSOLIDATED!J:J,0,0,1)</f>
        <v>3876100000</v>
      </c>
      <c r="L85" s="30" t="n">
        <f aca="false">_xlfn.XLOOKUP("BorrowingsCurrent",HS_CONSOLIDATED!$C:$C,HS_CONSOLIDATED!K:K,0,0,1)</f>
        <v>600800000</v>
      </c>
      <c r="M85" s="30" t="n">
        <f aca="false">_xlfn.XLOOKUP("BorrowingsCurrent",HS_CONSOLIDATED!$C:$C,HS_CONSOLIDATED!L:L,0,0,1)</f>
        <v>1541400000</v>
      </c>
    </row>
    <row r="86" customFormat="false" ht="15" hidden="false" customHeight="false" outlineLevel="0" collapsed="false">
      <c r="A86" s="28"/>
      <c r="B86" s="28"/>
      <c r="C86" s="29" t="s">
        <v>188</v>
      </c>
      <c r="D86" s="28"/>
      <c r="E86" s="28"/>
      <c r="F86" s="28"/>
      <c r="G86" s="28"/>
      <c r="H86" s="28"/>
      <c r="I86" s="28"/>
      <c r="J86" s="28"/>
      <c r="K86" s="28"/>
      <c r="L86" s="28"/>
      <c r="M86" s="28"/>
    </row>
    <row r="87" customFormat="false" ht="15" hidden="false" customHeight="false" outlineLevel="0" collapsed="false">
      <c r="D87" s="6" t="s">
        <v>189</v>
      </c>
      <c r="E87" s="30" t="n">
        <f aca="false">_xlfn.XLOOKUP("TradePayablesCurrent",HS_CONSOLIDATED!$C:$C,HS_CONSOLIDATED!D:D,0,0,1)</f>
        <v>48122500000</v>
      </c>
      <c r="F87" s="30" t="n">
        <f aca="false">_xlfn.XLOOKUP("TradePayablesCurrent",HS_CONSOLIDATED!$C:$C,HS_CONSOLIDATED!E:E,0,0,1)</f>
        <v>25266000000</v>
      </c>
      <c r="G87" s="30" t="n">
        <f aca="false">_xlfn.XLOOKUP("TradePayablesCurrent",HS_CONSOLIDATED!$C:$C,HS_CONSOLIDATED!F:F,0,0,1)</f>
        <v>21751900000</v>
      </c>
      <c r="H87" s="30" t="n">
        <f aca="false">_xlfn.XLOOKUP("TradePayablesCurrent",HS_CONSOLIDATED!$C:$C,HS_CONSOLIDATED!G:G,0,0,1)</f>
        <v>12981800000</v>
      </c>
      <c r="I87" s="30" t="n">
        <f aca="false">_xlfn.XLOOKUP("TradePayablesCurrent",HS_CONSOLIDATED!$C:$C,HS_CONSOLIDATED!H:H,0,0,1)</f>
        <v>15819900000</v>
      </c>
      <c r="J87" s="30" t="n">
        <f aca="false">_xlfn.XLOOKUP("TradePayablesCurrent",HS_CONSOLIDATED!$C:$C,HS_CONSOLIDATED!I:I,0,0,1)</f>
        <v>18404900000</v>
      </c>
      <c r="K87" s="30" t="n">
        <f aca="false">_xlfn.XLOOKUP("TradePayablesCurrent",HS_CONSOLIDATED!$C:$C,HS_CONSOLIDATED!J:J,0,0,1)</f>
        <v>8946400000</v>
      </c>
      <c r="L87" s="30" t="n">
        <f aca="false">_xlfn.XLOOKUP("TradePayablesCurrent",HS_CONSOLIDATED!$C:$C,HS_CONSOLIDATED!K:K,0,0,1)</f>
        <v>17957800000</v>
      </c>
      <c r="M87" s="30" t="n">
        <f aca="false">_xlfn.XLOOKUP("TradePayablesCurrent",HS_CONSOLIDATED!$C:$C,HS_CONSOLIDATED!L:L,0,0,1)</f>
        <v>29351400000</v>
      </c>
    </row>
    <row r="88" customFormat="false" ht="15" hidden="false" customHeight="false" outlineLevel="0" collapsed="false">
      <c r="C88" s="6" t="s">
        <v>190</v>
      </c>
      <c r="E88" s="30" t="n">
        <f aca="false">_xlfn.XLOOKUP("OtherCurrentFinancialLiabilities",HS_CONSOLIDATED!$C:$C,HS_CONSOLIDATED!D:D,0,0,1)</f>
        <v>49265400000</v>
      </c>
      <c r="F88" s="30" t="n">
        <f aca="false">_xlfn.XLOOKUP("OtherCurrentFinancialLiabilities",HS_CONSOLIDATED!$C:$C,HS_CONSOLIDATED!E:E,0,0,1)</f>
        <v>15979300000</v>
      </c>
      <c r="G88" s="30" t="n">
        <f aca="false">_xlfn.XLOOKUP("OtherCurrentFinancialLiabilities",HS_CONSOLIDATED!$C:$C,HS_CONSOLIDATED!F:F,0,0,1)</f>
        <v>30606500000</v>
      </c>
      <c r="H88" s="30" t="n">
        <f aca="false">_xlfn.XLOOKUP("OtherCurrentFinancialLiabilities",HS_CONSOLIDATED!$C:$C,HS_CONSOLIDATED!G:G,0,0,1)</f>
        <v>53105400000</v>
      </c>
      <c r="I88" s="30" t="n">
        <f aca="false">_xlfn.XLOOKUP("OtherCurrentFinancialLiabilities",HS_CONSOLIDATED!$C:$C,HS_CONSOLIDATED!H:H,0,0,1)</f>
        <v>10241800000</v>
      </c>
      <c r="J88" s="30" t="n">
        <f aca="false">_xlfn.XLOOKUP("OtherCurrentFinancialLiabilities",HS_CONSOLIDATED!$C:$C,HS_CONSOLIDATED!I:I,0,0,1)</f>
        <v>3803800000</v>
      </c>
      <c r="K88" s="30" t="n">
        <f aca="false">_xlfn.XLOOKUP("OtherCurrentFinancialLiabilities",HS_CONSOLIDATED!$C:$C,HS_CONSOLIDATED!J:J,0,0,1)</f>
        <v>2165300000</v>
      </c>
      <c r="L88" s="30" t="n">
        <f aca="false">_xlfn.XLOOKUP("OtherCurrentFinancialLiabilities",HS_CONSOLIDATED!$C:$C,HS_CONSOLIDATED!K:K,0,0,1)</f>
        <v>1889300000</v>
      </c>
      <c r="M88" s="30" t="n">
        <f aca="false">_xlfn.XLOOKUP("OtherCurrentFinancialLiabilities",HS_CONSOLIDATED!$C:$C,HS_CONSOLIDATED!L:L,0,0,1)</f>
        <v>4140400000</v>
      </c>
    </row>
    <row r="89" customFormat="false" ht="15" hidden="false" customHeight="false" outlineLevel="0" collapsed="false">
      <c r="B89" s="6" t="s">
        <v>191</v>
      </c>
      <c r="E89" s="30" t="n">
        <f aca="false">_xlfn.XLOOKUP("CurrentFinancialLiabilities",HS_CONSOLIDATED!$C:$C,HS_CONSOLIDATED!D:D,0,0,1)</f>
        <v>118151700000</v>
      </c>
      <c r="F89" s="30" t="n">
        <f aca="false">_xlfn.XLOOKUP("CurrentFinancialLiabilities",HS_CONSOLIDATED!$C:$C,HS_CONSOLIDATED!E:E,0,0,1)</f>
        <v>80139800000</v>
      </c>
      <c r="G89" s="30" t="n">
        <f aca="false">_xlfn.XLOOKUP("CurrentFinancialLiabilities",HS_CONSOLIDATED!$C:$C,HS_CONSOLIDATED!F:F,0,0,1)</f>
        <v>86156300000</v>
      </c>
      <c r="H89" s="30" t="n">
        <f aca="false">_xlfn.XLOOKUP("CurrentFinancialLiabilities",HS_CONSOLIDATED!$C:$C,HS_CONSOLIDATED!G:G,0,0,1)</f>
        <v>154525700000</v>
      </c>
      <c r="I89" s="30" t="n">
        <f aca="false">_xlfn.XLOOKUP("CurrentFinancialLiabilities",HS_CONSOLIDATED!$C:$C,HS_CONSOLIDATED!H:H,0,0,1)</f>
        <v>27815100000</v>
      </c>
      <c r="J89" s="30" t="n">
        <f aca="false">_xlfn.XLOOKUP("CurrentFinancialLiabilities",HS_CONSOLIDATED!$C:$C,HS_CONSOLIDATED!I:I,0,0,1)</f>
        <v>30189900000</v>
      </c>
      <c r="K89" s="30" t="n">
        <f aca="false">_xlfn.XLOOKUP("CurrentFinancialLiabilities",HS_CONSOLIDATED!$C:$C,HS_CONSOLIDATED!J:J,0,0,1)</f>
        <v>14987800000</v>
      </c>
      <c r="L89" s="30" t="n">
        <f aca="false">_xlfn.XLOOKUP("CurrentFinancialLiabilities",HS_CONSOLIDATED!$C:$C,HS_CONSOLIDATED!K:K,0,0,1)</f>
        <v>20447900000</v>
      </c>
      <c r="M89" s="30" t="n">
        <f aca="false">_xlfn.XLOOKUP("CurrentFinancialLiabilities",HS_CONSOLIDATED!$C:$C,HS_CONSOLIDATED!L:L,0,0,1)</f>
        <v>35033200000</v>
      </c>
    </row>
    <row r="90" customFormat="false" ht="15" hidden="false" customHeight="false" outlineLevel="0" collapsed="false">
      <c r="C90" s="6" t="s">
        <v>192</v>
      </c>
      <c r="E90" s="30" t="n">
        <f aca="false">_xlfn.XLOOKUP("OtherCurrentLiabilities",HS_CONSOLIDATED!$C:$C,HS_CONSOLIDATED!D:D,0,0,1)</f>
        <v>11221300000</v>
      </c>
      <c r="F90" s="30" t="n">
        <f aca="false">_xlfn.XLOOKUP("OtherCurrentLiabilities",HS_CONSOLIDATED!$C:$C,HS_CONSOLIDATED!E:E,0,0,1)</f>
        <v>10363800000</v>
      </c>
      <c r="G90" s="30" t="n">
        <f aca="false">_xlfn.XLOOKUP("OtherCurrentLiabilities",HS_CONSOLIDATED!$C:$C,HS_CONSOLIDATED!F:F,0,0,1)</f>
        <v>15940600000</v>
      </c>
      <c r="H90" s="30" t="n">
        <f aca="false">_xlfn.XLOOKUP("OtherCurrentLiabilities",HS_CONSOLIDATED!$C:$C,HS_CONSOLIDATED!G:G,0,0,1)</f>
        <v>3869400000</v>
      </c>
      <c r="I90" s="30" t="n">
        <f aca="false">_xlfn.XLOOKUP("OtherCurrentLiabilities",HS_CONSOLIDATED!$C:$C,HS_CONSOLIDATED!H:H,0,0,1)</f>
        <v>4931300000</v>
      </c>
      <c r="J90" s="30" t="n">
        <f aca="false">_xlfn.XLOOKUP("OtherCurrentLiabilities",HS_CONSOLIDATED!$C:$C,HS_CONSOLIDATED!I:I,0,0,1)</f>
        <v>5582900000</v>
      </c>
      <c r="K90" s="30" t="n">
        <f aca="false">_xlfn.XLOOKUP("OtherCurrentLiabilities",HS_CONSOLIDATED!$C:$C,HS_CONSOLIDATED!J:J,0,0,1)</f>
        <v>6311700000</v>
      </c>
      <c r="L90" s="30" t="n">
        <f aca="false">_xlfn.XLOOKUP("OtherCurrentLiabilities",HS_CONSOLIDATED!$C:$C,HS_CONSOLIDATED!K:K,0,0,1)</f>
        <v>4105200000</v>
      </c>
      <c r="M90" s="30" t="n">
        <f aca="false">_xlfn.XLOOKUP("OtherCurrentLiabilities",HS_CONSOLIDATED!$C:$C,HS_CONSOLIDATED!L:L,0,0,1)</f>
        <v>18391200000</v>
      </c>
    </row>
    <row r="91" customFormat="false" ht="15" hidden="false" customHeight="false" outlineLevel="0" collapsed="false">
      <c r="C91" s="6" t="s">
        <v>193</v>
      </c>
      <c r="E91" s="30" t="n">
        <f aca="false">_xlfn.XLOOKUP("ProvisionsCurrent",HS_CONSOLIDATED!$C:$C,HS_CONSOLIDATED!D:D,0,0,1)</f>
        <v>8217900000</v>
      </c>
      <c r="F91" s="30" t="n">
        <f aca="false">_xlfn.XLOOKUP("ProvisionsCurrent",HS_CONSOLIDATED!$C:$C,HS_CONSOLIDATED!E:E,0,0,1)</f>
        <v>8185800000</v>
      </c>
      <c r="G91" s="30" t="n">
        <f aca="false">_xlfn.XLOOKUP("ProvisionsCurrent",HS_CONSOLIDATED!$C:$C,HS_CONSOLIDATED!F:F,0,0,1)</f>
        <v>7395200000</v>
      </c>
      <c r="H91" s="30" t="n">
        <f aca="false">_xlfn.XLOOKUP("ProvisionsCurrent",HS_CONSOLIDATED!$C:$C,HS_CONSOLIDATED!G:G,0,0,1)</f>
        <v>7056600000</v>
      </c>
      <c r="I91" s="30" t="n">
        <f aca="false">_xlfn.XLOOKUP("ProvisionsCurrent",HS_CONSOLIDATED!$C:$C,HS_CONSOLIDATED!H:H,0,0,1)</f>
        <v>5391400000</v>
      </c>
      <c r="J91" s="30" t="n">
        <f aca="false">_xlfn.XLOOKUP("ProvisionsCurrent",HS_CONSOLIDATED!$C:$C,HS_CONSOLIDATED!I:I,0,0,1)</f>
        <v>6571200000</v>
      </c>
      <c r="K91" s="30" t="n">
        <f aca="false">_xlfn.XLOOKUP("ProvisionsCurrent",HS_CONSOLIDATED!$C:$C,HS_CONSOLIDATED!J:J,0,0,1)</f>
        <v>5708400000</v>
      </c>
      <c r="L91" s="30" t="n">
        <f aca="false">_xlfn.XLOOKUP("ProvisionsCurrent",HS_CONSOLIDATED!$C:$C,HS_CONSOLIDATED!K:K,0,0,1)</f>
        <v>5515800000</v>
      </c>
      <c r="M91" s="30" t="n">
        <f aca="false">_xlfn.XLOOKUP("ProvisionsCurrent",HS_CONSOLIDATED!$C:$C,HS_CONSOLIDATED!L:L,0,0,1)</f>
        <v>5637300000</v>
      </c>
    </row>
    <row r="92" customFormat="false" ht="15" hidden="false" customHeight="false" outlineLevel="0" collapsed="false">
      <c r="C92" s="6" t="s">
        <v>194</v>
      </c>
      <c r="E92" s="30" t="n">
        <f aca="false">_xlfn.XLOOKUP("CurrentTaxLiabilities",HS_CONSOLIDATED!$C:$C,HS_CONSOLIDATED!D:D,0,0,1)</f>
        <v>0</v>
      </c>
      <c r="F92" s="30" t="n">
        <f aca="false">_xlfn.XLOOKUP("CurrentTaxLiabilities",HS_CONSOLIDATED!$C:$C,HS_CONSOLIDATED!E:E,0,0,1)</f>
        <v>0</v>
      </c>
      <c r="G92" s="30" t="n">
        <f aca="false">_xlfn.XLOOKUP("CurrentTaxLiabilities",HS_CONSOLIDATED!$C:$C,HS_CONSOLIDATED!F:F,0,0,1)</f>
        <v>0</v>
      </c>
      <c r="H92" s="30" t="n">
        <f aca="false">_xlfn.XLOOKUP("CurrentTaxLiabilities",HS_CONSOLIDATED!$C:$C,HS_CONSOLIDATED!G:G,0,0,1)</f>
        <v>0</v>
      </c>
      <c r="I92" s="30" t="n">
        <f aca="false">_xlfn.XLOOKUP("CurrentTaxLiabilities",HS_CONSOLIDATED!$C:$C,HS_CONSOLIDATED!H:H,0,0,1)</f>
        <v>0</v>
      </c>
      <c r="J92" s="30" t="n">
        <f aca="false">_xlfn.XLOOKUP("CurrentTaxLiabilities",HS_CONSOLIDATED!$C:$C,HS_CONSOLIDATED!I:I,0,0,1)</f>
        <v>0</v>
      </c>
      <c r="K92" s="30" t="n">
        <f aca="false">_xlfn.XLOOKUP("CurrentTaxLiabilities",HS_CONSOLIDATED!$C:$C,HS_CONSOLIDATED!J:J,0,0,1)</f>
        <v>0</v>
      </c>
      <c r="L92" s="30" t="n">
        <f aca="false">_xlfn.XLOOKUP("CurrentTaxLiabilities",HS_CONSOLIDATED!$C:$C,HS_CONSOLIDATED!K:K,0,0,1)</f>
        <v>19600000</v>
      </c>
      <c r="M92" s="30" t="n">
        <f aca="false">_xlfn.XLOOKUP("CurrentTaxLiabilities",HS_CONSOLIDATED!$C:$C,HS_CONSOLIDATED!L:L,0,0,1)</f>
        <v>84700000</v>
      </c>
    </row>
    <row r="93" customFormat="false" ht="15" hidden="false" customHeight="false" outlineLevel="0" collapsed="false">
      <c r="A93" s="34"/>
      <c r="B93" s="35" t="s">
        <v>195</v>
      </c>
      <c r="C93" s="34"/>
      <c r="D93" s="34"/>
      <c r="E93" s="36" t="n">
        <f aca="false">IFERROR(SUM(E85)+SUM(E87:E88)+SUM(E90:E92),0)</f>
        <v>137590900000</v>
      </c>
      <c r="F93" s="36" t="n">
        <f aca="false">IFERROR(SUM(F85)+SUM(F87:F88)+SUM(F90:F92),0)</f>
        <v>98689400000</v>
      </c>
      <c r="G93" s="36" t="n">
        <f aca="false">IFERROR(SUM(G85)+SUM(G87:G88)+SUM(G90:G92),0)</f>
        <v>109492100000</v>
      </c>
      <c r="H93" s="36" t="n">
        <f aca="false">IFERROR(SUM(H85)+SUM(H87:H88)+SUM(H90:H92),0)</f>
        <v>165451700000</v>
      </c>
      <c r="I93" s="36" t="n">
        <f aca="false">IFERROR(SUM(I85)+SUM(I87:I88)+SUM(I90:I92),0)</f>
        <v>38137800000</v>
      </c>
      <c r="J93" s="36" t="n">
        <f aca="false">IFERROR(SUM(J85)+SUM(J87:J88)+SUM(J90:J92),0)</f>
        <v>42344000000</v>
      </c>
      <c r="K93" s="36" t="n">
        <f aca="false">IFERROR(SUM(K85)+SUM(K87:K88)+SUM(K90:K92),0)</f>
        <v>27007900000</v>
      </c>
      <c r="L93" s="36" t="n">
        <f aca="false">IFERROR(SUM(L85)+SUM(L87:L88)+SUM(L90:L92),0)</f>
        <v>30088500000</v>
      </c>
      <c r="M93" s="36" t="n">
        <f aca="false">IFERROR(SUM(M85)+SUM(M87:M88)+SUM(M90:M92),0)</f>
        <v>59146400000</v>
      </c>
    </row>
    <row r="94" customFormat="false" ht="15" hidden="false" customHeight="false" outlineLevel="0" collapsed="false">
      <c r="C94" s="6" t="s">
        <v>196</v>
      </c>
      <c r="E94" s="30" t="n">
        <f aca="false">_xlfn.XLOOKUP("LiabilitiesDirectlyAssociatedWithAssetsInDisposalGroupClassifiedAsHeldForSale",HS_CONSOLIDATED!$C:$C,HS_CONSOLIDATED!D:D,0,0,1)</f>
        <v>0</v>
      </c>
      <c r="F94" s="30" t="n">
        <f aca="false">_xlfn.XLOOKUP("LiabilitiesDirectlyAssociatedWithAssetsInDisposalGroupClassifiedAsHeldForSale",HS_CONSOLIDATED!$C:$C,HS_CONSOLIDATED!E:E,0,0,1)</f>
        <v>2868400000</v>
      </c>
      <c r="G94" s="30" t="n">
        <f aca="false">_xlfn.XLOOKUP("LiabilitiesDirectlyAssociatedWithAssetsInDisposalGroupClassifiedAsHeldForSale",HS_CONSOLIDATED!$C:$C,HS_CONSOLIDATED!F:F,0,0,1)</f>
        <v>0</v>
      </c>
      <c r="H94" s="30" t="n">
        <f aca="false">_xlfn.XLOOKUP("LiabilitiesDirectlyAssociatedWithAssetsInDisposalGroupClassifiedAsHeldForSale",HS_CONSOLIDATED!$C:$C,HS_CONSOLIDATED!G:G,0,0,1)</f>
        <v>0</v>
      </c>
      <c r="I94" s="30" t="n">
        <f aca="false">_xlfn.XLOOKUP("LiabilitiesDirectlyAssociatedWithAssetsInDisposalGroupClassifiedAsHeldForSale",HS_CONSOLIDATED!$C:$C,HS_CONSOLIDATED!H:H,0,0,1)</f>
        <v>0</v>
      </c>
      <c r="J94" s="30" t="n">
        <f aca="false">_xlfn.XLOOKUP("LiabilitiesDirectlyAssociatedWithAssetsInDisposalGroupClassifiedAsHeldForSale",HS_CONSOLIDATED!$C:$C,HS_CONSOLIDATED!I:I,0,0,1)</f>
        <v>0</v>
      </c>
      <c r="K94" s="30" t="n">
        <f aca="false">_xlfn.XLOOKUP("LiabilitiesDirectlyAssociatedWithAssetsInDisposalGroupClassifiedAsHeldForSale",HS_CONSOLIDATED!$C:$C,HS_CONSOLIDATED!J:J,0,0,1)</f>
        <v>0</v>
      </c>
      <c r="L94" s="30" t="n">
        <f aca="false">_xlfn.XLOOKUP("LiabilitiesDirectlyAssociatedWithAssetsInDisposalGroupClassifiedAsHeldForSale",HS_CONSOLIDATED!$C:$C,HS_CONSOLIDATED!K:K,0,0,1)</f>
        <v>0</v>
      </c>
      <c r="M94" s="30" t="n">
        <f aca="false">_xlfn.XLOOKUP("LiabilitiesDirectlyAssociatedWithAssetsInDisposalGroupClassifiedAsHeldForSale",HS_CONSOLIDATED!$C:$C,HS_CONSOLIDATED!L:L,0,0,1)</f>
        <v>0</v>
      </c>
    </row>
    <row r="95" customFormat="false" ht="15" hidden="false" customHeight="false" outlineLevel="0" collapsed="false">
      <c r="A95" s="34"/>
      <c r="B95" s="35" t="s">
        <v>175</v>
      </c>
      <c r="C95" s="34"/>
      <c r="D95" s="34"/>
      <c r="E95" s="36" t="n">
        <f aca="false">IFERROR(SUM(E93:E94)+E82,0)</f>
        <v>189927500000</v>
      </c>
      <c r="F95" s="36" t="n">
        <f aca="false">IFERROR(SUM(F93:F94)+F82,0)</f>
        <v>180772300000</v>
      </c>
      <c r="G95" s="36" t="n">
        <f aca="false">IFERROR(SUM(G93:G94)+G82,0)</f>
        <v>173740000000</v>
      </c>
      <c r="H95" s="36" t="n">
        <f aca="false">IFERROR(SUM(H93:H94)+H82,0)</f>
        <v>175721900000</v>
      </c>
      <c r="I95" s="36" t="n">
        <f aca="false">IFERROR(SUM(I93:I94)+I82,0)</f>
        <v>100018000000</v>
      </c>
      <c r="J95" s="36" t="n">
        <f aca="false">IFERROR(SUM(J93:J94)+J82,0)</f>
        <v>100366700000</v>
      </c>
      <c r="K95" s="36" t="n">
        <f aca="false">IFERROR(SUM(K93:K94)+K82,0)</f>
        <v>44242400000</v>
      </c>
      <c r="L95" s="36" t="n">
        <f aca="false">IFERROR(SUM(L93:L94)+L82,0)</f>
        <v>32587100000</v>
      </c>
      <c r="M95" s="36" t="n">
        <f aca="false">IFERROR(SUM(M93:M94)+M82,0)</f>
        <v>68538700000</v>
      </c>
    </row>
    <row r="96" customFormat="false" ht="15" hidden="false" customHeight="false" outlineLevel="0" collapsed="false">
      <c r="A96" s="34"/>
      <c r="B96" s="35" t="s">
        <v>197</v>
      </c>
      <c r="C96" s="34"/>
      <c r="D96" s="34"/>
      <c r="E96" s="36" t="n">
        <f aca="false">IFERROR(E72+E95,0)</f>
        <v>121601000000</v>
      </c>
      <c r="F96" s="36" t="n">
        <f aca="false">IFERROR(F72+F95,0)</f>
        <v>111205700000</v>
      </c>
      <c r="G96" s="36" t="n">
        <f aca="false">IFERROR(G72+G95,0)</f>
        <v>88709100000</v>
      </c>
      <c r="H96" s="36" t="n">
        <f aca="false">IFERROR(H72+H95,0)</f>
        <v>65303500000</v>
      </c>
      <c r="I96" s="36" t="n">
        <f aca="false">IFERROR(I72+I95,0)</f>
        <v>66010900000</v>
      </c>
      <c r="J96" s="36" t="n">
        <f aca="false">IFERROR(J72+J95,0)</f>
        <v>64748600000</v>
      </c>
      <c r="K96" s="36" t="n">
        <f aca="false">IFERROR(K72+K95,0)</f>
        <v>55233800000</v>
      </c>
      <c r="L96" s="36" t="n">
        <f aca="false">IFERROR(L72+L95,0)</f>
        <v>71790200000</v>
      </c>
      <c r="M96" s="36" t="n">
        <f aca="false">IFERROR(M72+M95,0)</f>
        <v>129595900000</v>
      </c>
    </row>
    <row r="97" customFormat="false" ht="15" hidden="false" customHeight="false" outlineLevel="0" collapsed="false">
      <c r="B97" s="37" t="s">
        <v>198</v>
      </c>
      <c r="E97" s="38" t="n">
        <f aca="false">E65-E96</f>
        <v>0</v>
      </c>
      <c r="F97" s="38" t="n">
        <f aca="false">F65-F96</f>
        <v>0</v>
      </c>
      <c r="G97" s="38" t="n">
        <f aca="false">G65-G96</f>
        <v>0</v>
      </c>
      <c r="H97" s="38" t="n">
        <f aca="false">H65-H96</f>
        <v>0</v>
      </c>
      <c r="I97" s="38" t="n">
        <f aca="false">I65-I96</f>
        <v>0</v>
      </c>
      <c r="J97" s="38" t="n">
        <f aca="false">J65-J96</f>
        <v>0</v>
      </c>
      <c r="K97" s="38" t="n">
        <f aca="false">K65-K96</f>
        <v>0</v>
      </c>
      <c r="L97" s="38" t="n">
        <f aca="false">L65-L96</f>
        <v>0</v>
      </c>
      <c r="M97" s="38" t="n">
        <f aca="false">M65-M96</f>
        <v>0</v>
      </c>
    </row>
    <row r="98" customFormat="false" ht="15" hidden="false" customHeight="false" outlineLevel="0" collapsed="false">
      <c r="A98" s="5" t="s">
        <v>26</v>
      </c>
      <c r="B98" s="27" t="s">
        <v>199</v>
      </c>
      <c r="C98" s="5"/>
      <c r="D98" s="5"/>
      <c r="E98" s="5"/>
      <c r="F98" s="5"/>
      <c r="G98" s="5"/>
      <c r="H98" s="5"/>
      <c r="I98" s="5"/>
      <c r="J98" s="5"/>
      <c r="K98" s="5"/>
      <c r="L98" s="5"/>
      <c r="M98" s="5"/>
    </row>
    <row r="99" customFormat="false" ht="15" hidden="false" customHeight="false" outlineLevel="0" collapsed="false">
      <c r="A99" s="28"/>
      <c r="B99" s="29" t="s">
        <v>200</v>
      </c>
      <c r="C99" s="28"/>
      <c r="D99" s="28"/>
      <c r="E99" s="28"/>
      <c r="F99" s="28"/>
      <c r="G99" s="28"/>
      <c r="H99" s="28"/>
      <c r="I99" s="28"/>
      <c r="J99" s="28"/>
      <c r="K99" s="28"/>
      <c r="L99" s="28"/>
      <c r="M99" s="28"/>
    </row>
    <row r="100" customFormat="false" ht="15" hidden="false" customHeight="false" outlineLevel="0" collapsed="false">
      <c r="C100" s="6" t="s">
        <v>201</v>
      </c>
      <c r="E100" s="30" t="n">
        <f aca="false">_xlfn.XLOOKUP("ProfitBeforeTax",HS_CONSOLIDATED!$C:$C,HS_CONSOLIDATED!D:D,0,0,1)</f>
        <v>9115900000</v>
      </c>
      <c r="F100" s="30" t="n">
        <f aca="false">_xlfn.XLOOKUP("ProfitBeforeTax",HS_CONSOLIDATED!$C:$C,HS_CONSOLIDATED!E:E,0,0,1)</f>
        <v>-3907400000</v>
      </c>
      <c r="G100" s="30" t="n">
        <f aca="false">_xlfn.XLOOKUP("ProfitBeforeTax",HS_CONSOLIDATED!$C:$C,HS_CONSOLIDATED!F:F,0,0,1)</f>
        <v>-15429900000</v>
      </c>
      <c r="H100" s="30" t="n">
        <f aca="false">_xlfn.XLOOKUP("ProfitBeforeTax",HS_CONSOLIDATED!$C:$C,HS_CONSOLIDATED!G:G,0,0,1)</f>
        <v>-26839500000</v>
      </c>
      <c r="I100" s="30" t="n">
        <f aca="false">_xlfn.XLOOKUP("ProfitBeforeTax",HS_CONSOLIDATED!$C:$C,HS_CONSOLIDATED!H:H,0,0,1)</f>
        <v>1049700000</v>
      </c>
      <c r="J100" s="30" t="n">
        <f aca="false">_xlfn.XLOOKUP("ProfitBeforeTax",HS_CONSOLIDATED!$C:$C,HS_CONSOLIDATED!I:I,0,0,1)</f>
        <v>4000000</v>
      </c>
      <c r="K100" s="30" t="n">
        <f aca="false">_xlfn.XLOOKUP("ProfitBeforeTax",HS_CONSOLIDATED!$C:$C,HS_CONSOLIDATED!J:J,0,0,1)</f>
        <v>28917100000</v>
      </c>
      <c r="L100" s="30" t="n">
        <f aca="false">_xlfn.XLOOKUP("ProfitBeforeTax",HS_CONSOLIDATED!$C:$C,HS_CONSOLIDATED!K:K,0,0,1)</f>
        <v>6594900000</v>
      </c>
      <c r="M100" s="30" t="n">
        <f aca="false">_xlfn.XLOOKUP("ProfitBeforeTax",HS_CONSOLIDATED!$C:$C,HS_CONSOLIDATED!L:L,0,0,1)</f>
        <v>14466300000</v>
      </c>
    </row>
    <row r="101" customFormat="false" ht="15" hidden="false" customHeight="false" outlineLevel="0" collapsed="false">
      <c r="A101" s="28"/>
      <c r="B101" s="28"/>
      <c r="C101" s="29" t="s">
        <v>202</v>
      </c>
      <c r="D101" s="28"/>
      <c r="E101" s="28"/>
      <c r="F101" s="28"/>
      <c r="G101" s="28"/>
      <c r="H101" s="28"/>
      <c r="I101" s="28"/>
      <c r="J101" s="28"/>
      <c r="K101" s="28"/>
      <c r="L101" s="28"/>
      <c r="M101" s="28"/>
    </row>
    <row r="102" customFormat="false" ht="15" hidden="false" customHeight="false" outlineLevel="0" collapsed="false">
      <c r="D102" s="6" t="s">
        <v>203</v>
      </c>
      <c r="E102" s="30" t="n">
        <f aca="false">_xlfn.XLOOKUP("AdjustmentsForFinanceCosts",HS_CONSOLIDATED!$C:$C,HS_CONSOLIDATED!D:D,0,0,1)</f>
        <v>11485000000</v>
      </c>
      <c r="F102" s="30" t="n">
        <f aca="false">_xlfn.XLOOKUP("AdjustmentsForFinanceCosts",HS_CONSOLIDATED!$C:$C,HS_CONSOLIDATED!E:E,0,0,1)</f>
        <v>14012500000</v>
      </c>
      <c r="G102" s="30" t="n">
        <f aca="false">_xlfn.XLOOKUP("AdjustmentsForFinanceCosts",HS_CONSOLIDATED!$C:$C,HS_CONSOLIDATED!F:F,0,0,1)</f>
        <v>11795000000</v>
      </c>
      <c r="H102" s="30" t="n">
        <f aca="false">_xlfn.XLOOKUP("AdjustmentsForFinanceCosts",HS_CONSOLIDATED!$C:$C,HS_CONSOLIDATED!G:G,0,0,1)</f>
        <v>12901200000</v>
      </c>
      <c r="I102" s="30" t="n">
        <f aca="false">_xlfn.XLOOKUP("AdjustmentsForFinanceCosts",HS_CONSOLIDATED!$C:$C,HS_CONSOLIDATED!H:H,0,0,1)</f>
        <v>9573700000</v>
      </c>
      <c r="J102" s="30" t="n">
        <f aca="false">_xlfn.XLOOKUP("AdjustmentsForFinanceCosts",HS_CONSOLIDATED!$C:$C,HS_CONSOLIDATED!I:I,0,0,1)</f>
        <v>7025700000</v>
      </c>
      <c r="K102" s="30" t="n">
        <f aca="false">_xlfn.XLOOKUP("AdjustmentsForFinanceCosts",HS_CONSOLIDATED!$C:$C,HS_CONSOLIDATED!J:J,0,0,1)</f>
        <v>3829700000</v>
      </c>
      <c r="L102" s="30" t="n">
        <f aca="false">_xlfn.XLOOKUP("AdjustmentsForFinanceCosts",HS_CONSOLIDATED!$C:$C,HS_CONSOLIDATED!K:K,0,0,1)</f>
        <v>1056500000</v>
      </c>
      <c r="M102" s="30" t="n">
        <f aca="false">_xlfn.XLOOKUP("AdjustmentsForFinanceCosts",HS_CONSOLIDATED!$C:$C,HS_CONSOLIDATED!L:L,0,0,1)</f>
        <v>1056800000</v>
      </c>
    </row>
    <row r="103" customFormat="false" ht="15" hidden="false" customHeight="false" outlineLevel="0" collapsed="false">
      <c r="D103" s="6" t="s">
        <v>204</v>
      </c>
      <c r="E103" s="30" t="n">
        <f aca="false">_xlfn.XLOOKUP("AdjustmentsForDecreaseIncreaseInInventories",HS_CONSOLIDATED!$C:$C,HS_CONSOLIDATED!D:D,0,0,1)</f>
        <v>-9441900000</v>
      </c>
      <c r="F103" s="30" t="n">
        <f aca="false">_xlfn.XLOOKUP("AdjustmentsForDecreaseIncreaseInInventories",HS_CONSOLIDATED!$C:$C,HS_CONSOLIDATED!E:E,0,0,1)</f>
        <v>4008300000</v>
      </c>
      <c r="G103" s="30" t="n">
        <f aca="false">_xlfn.XLOOKUP("AdjustmentsForDecreaseIncreaseInInventories",HS_CONSOLIDATED!$C:$C,HS_CONSOLIDATED!F:F,0,0,1)</f>
        <v>1124400000</v>
      </c>
      <c r="H103" s="30" t="n">
        <f aca="false">_xlfn.XLOOKUP("AdjustmentsForDecreaseIncreaseInInventories",HS_CONSOLIDATED!$C:$C,HS_CONSOLIDATED!G:G,0,0,1)</f>
        <v>8583400000</v>
      </c>
      <c r="I103" s="30" t="n">
        <f aca="false">_xlfn.XLOOKUP("AdjustmentsForDecreaseIncreaseInInventories",HS_CONSOLIDATED!$C:$C,HS_CONSOLIDATED!H:H,0,0,1)</f>
        <v>-1171700000</v>
      </c>
      <c r="J103" s="30" t="n">
        <f aca="false">_xlfn.XLOOKUP("AdjustmentsForDecreaseIncreaseInInventories",HS_CONSOLIDATED!$C:$C,HS_CONSOLIDATED!I:I,0,0,1)</f>
        <v>-485200000</v>
      </c>
      <c r="K103" s="30" t="n">
        <f aca="false">_xlfn.XLOOKUP("AdjustmentsForDecreaseIncreaseInInventories",HS_CONSOLIDATED!$C:$C,HS_CONSOLIDATED!J:J,0,0,1)</f>
        <v>3807700000</v>
      </c>
      <c r="L103" s="30" t="n">
        <f aca="false">_xlfn.XLOOKUP("AdjustmentsForDecreaseIncreaseInInventories",HS_CONSOLIDATED!$C:$C,HS_CONSOLIDATED!K:K,0,0,1)</f>
        <v>-4651600000</v>
      </c>
      <c r="M103" s="30" t="n">
        <f aca="false">_xlfn.XLOOKUP("AdjustmentsForDecreaseIncreaseInInventories",HS_CONSOLIDATED!$C:$C,HS_CONSOLIDATED!L:L,0,0,1)</f>
        <v>-8187300000</v>
      </c>
    </row>
    <row r="104" customFormat="false" ht="15" hidden="false" customHeight="false" outlineLevel="0" collapsed="false">
      <c r="D104" s="6" t="s">
        <v>205</v>
      </c>
      <c r="E104" s="30" t="n">
        <f aca="false">_xlfn.XLOOKUP("AdjustmentsForDecreaseIncreaseInTradeReceivablesCurrent",HS_CONSOLIDATED!$C:$C,HS_CONSOLIDATED!D:D,0,0,1)</f>
        <v>-10467400000</v>
      </c>
      <c r="F104" s="30" t="n">
        <f aca="false">_xlfn.XLOOKUP("AdjustmentsForDecreaseIncreaseInTradeReceivablesCurrent",HS_CONSOLIDATED!$C:$C,HS_CONSOLIDATED!E:E,0,0,1)</f>
        <v>6875000000</v>
      </c>
      <c r="G104" s="30" t="n">
        <f aca="false">_xlfn.XLOOKUP("AdjustmentsForDecreaseIncreaseInTradeReceivablesCurrent",HS_CONSOLIDATED!$C:$C,HS_CONSOLIDATED!F:F,0,0,1)</f>
        <v>10066900000</v>
      </c>
      <c r="H104" s="30" t="n">
        <f aca="false">_xlfn.XLOOKUP("AdjustmentsForDecreaseIncreaseInTradeReceivablesCurrent",HS_CONSOLIDATED!$C:$C,HS_CONSOLIDATED!G:G,0,0,1)</f>
        <v>1889100000</v>
      </c>
      <c r="I104" s="30" t="n">
        <f aca="false">_xlfn.XLOOKUP("AdjustmentsForDecreaseIncreaseInTradeReceivablesCurrent",HS_CONSOLIDATED!$C:$C,HS_CONSOLIDATED!H:H,0,0,1)</f>
        <v>677600000</v>
      </c>
      <c r="J104" s="30" t="n">
        <f aca="false">_xlfn.XLOOKUP("AdjustmentsForDecreaseIncreaseInTradeReceivablesCurrent",HS_CONSOLIDATED!$C:$C,HS_CONSOLIDATED!I:I,0,0,1)</f>
        <v>-2304900000</v>
      </c>
      <c r="K104" s="30" t="n">
        <f aca="false">_xlfn.XLOOKUP("AdjustmentsForDecreaseIncreaseInTradeReceivablesCurrent",HS_CONSOLIDATED!$C:$C,HS_CONSOLIDATED!J:J,0,0,1)</f>
        <v>1930800000</v>
      </c>
      <c r="L104" s="30" t="n">
        <f aca="false">_xlfn.XLOOKUP("AdjustmentsForDecreaseIncreaseInTradeReceivablesCurrent",HS_CONSOLIDATED!$C:$C,HS_CONSOLIDATED!K:K,0,0,1)</f>
        <v>-6769100000</v>
      </c>
      <c r="M104" s="30" t="n">
        <f aca="false">_xlfn.XLOOKUP("AdjustmentsForDecreaseIncreaseInTradeReceivablesCurrent",HS_CONSOLIDATED!$C:$C,HS_CONSOLIDATED!L:L,0,0,1)</f>
        <v>-20068300000</v>
      </c>
    </row>
    <row r="105" customFormat="false" ht="15" hidden="false" customHeight="false" outlineLevel="0" collapsed="false">
      <c r="D105" s="6" t="s">
        <v>206</v>
      </c>
      <c r="E105" s="30" t="n">
        <f aca="false">_xlfn.XLOOKUP("AdjustmentsForDecreaseIncreaseInOtherCurrentAssets",HS_CONSOLIDATED!$C:$C,HS_CONSOLIDATED!D:D,0,0,1)</f>
        <v>-3151500000</v>
      </c>
      <c r="F105" s="30" t="n">
        <f aca="false">_xlfn.XLOOKUP("AdjustmentsForDecreaseIncreaseInOtherCurrentAssets",HS_CONSOLIDATED!$C:$C,HS_CONSOLIDATED!E:E,0,0,1)</f>
        <v>4300000</v>
      </c>
      <c r="G105" s="30" t="n">
        <f aca="false">_xlfn.XLOOKUP("AdjustmentsForDecreaseIncreaseInOtherCurrentAssets",HS_CONSOLIDATED!$C:$C,HS_CONSOLIDATED!F:F,0,0,1)</f>
        <v>-1817300000</v>
      </c>
      <c r="H105" s="30" t="n">
        <f aca="false">_xlfn.XLOOKUP("AdjustmentsForDecreaseIncreaseInOtherCurrentAssets",HS_CONSOLIDATED!$C:$C,HS_CONSOLIDATED!G:G,0,0,1)</f>
        <v>5910200000</v>
      </c>
      <c r="I105" s="30" t="n">
        <f aca="false">_xlfn.XLOOKUP("AdjustmentsForDecreaseIncreaseInOtherCurrentAssets",HS_CONSOLIDATED!$C:$C,HS_CONSOLIDATED!H:H,0,0,1)</f>
        <v>-1640500000</v>
      </c>
      <c r="J105" s="30" t="n">
        <f aca="false">_xlfn.XLOOKUP("AdjustmentsForDecreaseIncreaseInOtherCurrentAssets",HS_CONSOLIDATED!$C:$C,HS_CONSOLIDATED!I:I,0,0,1)</f>
        <v>3534800000</v>
      </c>
      <c r="K105" s="30" t="n">
        <f aca="false">_xlfn.XLOOKUP("AdjustmentsForDecreaseIncreaseInOtherCurrentAssets",HS_CONSOLIDATED!$C:$C,HS_CONSOLIDATED!J:J,0,0,1)</f>
        <v>5900000</v>
      </c>
      <c r="L105" s="30" t="n">
        <f aca="false">_xlfn.XLOOKUP("AdjustmentsForDecreaseIncreaseInOtherCurrentAssets",HS_CONSOLIDATED!$C:$C,HS_CONSOLIDATED!K:K,0,0,1)</f>
        <v>0</v>
      </c>
      <c r="M105" s="30" t="n">
        <f aca="false">_xlfn.XLOOKUP("AdjustmentsForDecreaseIncreaseInOtherCurrentAssets",HS_CONSOLIDATED!$C:$C,HS_CONSOLIDATED!L:L,0,0,1)</f>
        <v>0</v>
      </c>
    </row>
    <row r="106" customFormat="false" ht="15" hidden="false" customHeight="false" outlineLevel="0" collapsed="false">
      <c r="D106" s="6" t="s">
        <v>207</v>
      </c>
      <c r="E106" s="30" t="n">
        <f aca="false">_xlfn.XLOOKUP("AdjustmentsForOtherFinancialAssetsNoncurrent",HS_CONSOLIDATED!$C:$C,HS_CONSOLIDATED!D:D,0,0,1)</f>
        <v>0</v>
      </c>
      <c r="F106" s="30" t="n">
        <f aca="false">_xlfn.XLOOKUP("AdjustmentsForOtherFinancialAssetsNoncurrent",HS_CONSOLIDATED!$C:$C,HS_CONSOLIDATED!E:E,0,0,1)</f>
        <v>0</v>
      </c>
      <c r="G106" s="30" t="n">
        <f aca="false">_xlfn.XLOOKUP("AdjustmentsForOtherFinancialAssetsNoncurrent",HS_CONSOLIDATED!$C:$C,HS_CONSOLIDATED!F:F,0,0,1)</f>
        <v>0</v>
      </c>
      <c r="H106" s="30" t="n">
        <f aca="false">_xlfn.XLOOKUP("AdjustmentsForOtherFinancialAssetsNoncurrent",HS_CONSOLIDATED!$C:$C,HS_CONSOLIDATED!G:G,0,0,1)</f>
        <v>0</v>
      </c>
      <c r="I106" s="30" t="n">
        <f aca="false">_xlfn.XLOOKUP("AdjustmentsForOtherFinancialAssetsNoncurrent",HS_CONSOLIDATED!$C:$C,HS_CONSOLIDATED!H:H,0,0,1)</f>
        <v>0</v>
      </c>
      <c r="J106" s="30" t="n">
        <f aca="false">_xlfn.XLOOKUP("AdjustmentsForOtherFinancialAssetsNoncurrent",HS_CONSOLIDATED!$C:$C,HS_CONSOLIDATED!I:I,0,0,1)</f>
        <v>0</v>
      </c>
      <c r="K106" s="30" t="n">
        <f aca="false">_xlfn.XLOOKUP("AdjustmentsForOtherFinancialAssetsNoncurrent",HS_CONSOLIDATED!$C:$C,HS_CONSOLIDATED!J:J,0,0,1)</f>
        <v>0</v>
      </c>
      <c r="L106" s="30" t="n">
        <f aca="false">_xlfn.XLOOKUP("AdjustmentsForOtherFinancialAssetsNoncurrent",HS_CONSOLIDATED!$C:$C,HS_CONSOLIDATED!K:K,0,0,1)</f>
        <v>-3996900000</v>
      </c>
      <c r="M106" s="30" t="n">
        <f aca="false">_xlfn.XLOOKUP("AdjustmentsForOtherFinancialAssetsNoncurrent",HS_CONSOLIDATED!$C:$C,HS_CONSOLIDATED!L:L,0,0,1)</f>
        <v>-3687400000</v>
      </c>
    </row>
    <row r="107" customFormat="false" ht="15" hidden="false" customHeight="false" outlineLevel="0" collapsed="false">
      <c r="D107" s="6" t="s">
        <v>208</v>
      </c>
      <c r="E107" s="30" t="n">
        <f aca="false">_xlfn.XLOOKUP("AdjustmentsForIncreaseDecreaseInOtherCurrentLiabilities",HS_CONSOLIDATED!$C:$C,HS_CONSOLIDATED!D:D,0,0,1)</f>
        <v>15067900000</v>
      </c>
      <c r="F107" s="30" t="n">
        <f aca="false">_xlfn.XLOOKUP("AdjustmentsForIncreaseDecreaseInOtherCurrentLiabilities",HS_CONSOLIDATED!$C:$C,HS_CONSOLIDATED!E:E,0,0,1)</f>
        <v>-23565000000</v>
      </c>
      <c r="G107" s="30" t="n">
        <f aca="false">_xlfn.XLOOKUP("AdjustmentsForIncreaseDecreaseInOtherCurrentLiabilities",HS_CONSOLIDATED!$C:$C,HS_CONSOLIDATED!F:F,0,0,1)</f>
        <v>-433900000</v>
      </c>
      <c r="H107" s="30" t="n">
        <f aca="false">_xlfn.XLOOKUP("AdjustmentsForIncreaseDecreaseInOtherCurrentLiabilities",HS_CONSOLIDATED!$C:$C,HS_CONSOLIDATED!G:G,0,0,1)</f>
        <v>-22331600000</v>
      </c>
      <c r="I107" s="30" t="n">
        <f aca="false">_xlfn.XLOOKUP("AdjustmentsForIncreaseDecreaseInOtherCurrentLiabilities",HS_CONSOLIDATED!$C:$C,HS_CONSOLIDATED!H:H,0,0,1)</f>
        <v>540500000</v>
      </c>
      <c r="J107" s="30" t="n">
        <f aca="false">_xlfn.XLOOKUP("AdjustmentsForIncreaseDecreaseInOtherCurrentLiabilities",HS_CONSOLIDATED!$C:$C,HS_CONSOLIDATED!I:I,0,0,1)</f>
        <v>825400000</v>
      </c>
      <c r="K107" s="30" t="n">
        <f aca="false">_xlfn.XLOOKUP("AdjustmentsForIncreaseDecreaseInOtherCurrentLiabilities",HS_CONSOLIDATED!$C:$C,HS_CONSOLIDATED!J:J,0,0,1)</f>
        <v>-11176600000</v>
      </c>
      <c r="L107" s="30" t="n">
        <f aca="false">_xlfn.XLOOKUP("AdjustmentsForIncreaseDecreaseInOtherCurrentLiabilities",HS_CONSOLIDATED!$C:$C,HS_CONSOLIDATED!K:K,0,0,1)</f>
        <v>0</v>
      </c>
      <c r="M107" s="30" t="n">
        <f aca="false">_xlfn.XLOOKUP("AdjustmentsForIncreaseDecreaseInOtherCurrentLiabilities",HS_CONSOLIDATED!$C:$C,HS_CONSOLIDATED!L:L,0,0,1)</f>
        <v>0</v>
      </c>
    </row>
    <row r="108" customFormat="false" ht="15" hidden="false" customHeight="false" outlineLevel="0" collapsed="false">
      <c r="D108" s="6" t="s">
        <v>209</v>
      </c>
      <c r="E108" s="30" t="n">
        <f aca="false">_xlfn.XLOOKUP("AdjustmentsForDepreciationAndAmortisationExpense",HS_CONSOLIDATED!$C:$C,HS_CONSOLIDATED!D:D,0,0,1)</f>
        <v>3890300000</v>
      </c>
      <c r="F108" s="30" t="n">
        <f aca="false">_xlfn.XLOOKUP("AdjustmentsForDepreciationAndAmortisationExpense",HS_CONSOLIDATED!$C:$C,HS_CONSOLIDATED!E:E,0,0,1)</f>
        <v>3416100000</v>
      </c>
      <c r="G108" s="30" t="n">
        <f aca="false">_xlfn.XLOOKUP("AdjustmentsForDepreciationAndAmortisationExpense",HS_CONSOLIDATED!$C:$C,HS_CONSOLIDATED!F:F,0,0,1)</f>
        <v>3418500000</v>
      </c>
      <c r="H108" s="30" t="n">
        <f aca="false">_xlfn.XLOOKUP("AdjustmentsForDepreciationAndAmortisationExpense",HS_CONSOLIDATED!$C:$C,HS_CONSOLIDATED!G:G,0,0,1)</f>
        <v>4186100000</v>
      </c>
      <c r="I108" s="30" t="n">
        <f aca="false">_xlfn.XLOOKUP("AdjustmentsForDepreciationAndAmortisationExpense",HS_CONSOLIDATED!$C:$C,HS_CONSOLIDATED!H:H,0,0,1)</f>
        <v>2583800000</v>
      </c>
      <c r="J108" s="30" t="n">
        <f aca="false">_xlfn.XLOOKUP("AdjustmentsForDepreciationAndAmortisationExpense",HS_CONSOLIDATED!$C:$C,HS_CONSOLIDATED!I:I,0,0,1)</f>
        <v>2598400000</v>
      </c>
      <c r="K108" s="30" t="n">
        <f aca="false">_xlfn.XLOOKUP("AdjustmentsForDepreciationAndAmortisationExpense",HS_CONSOLIDATED!$C:$C,HS_CONSOLIDATED!J:J,0,0,1)</f>
        <v>2596800000</v>
      </c>
      <c r="L108" s="30" t="n">
        <f aca="false">_xlfn.XLOOKUP("AdjustmentsForDepreciationAndAmortisationExpense",HS_CONSOLIDATED!$C:$C,HS_CONSOLIDATED!K:K,0,0,1)</f>
        <v>1896000000</v>
      </c>
      <c r="M108" s="30" t="n">
        <f aca="false">_xlfn.XLOOKUP("AdjustmentsForDepreciationAndAmortisationExpense",HS_CONSOLIDATED!$C:$C,HS_CONSOLIDATED!L:L,0,0,1)</f>
        <v>2591900000</v>
      </c>
    </row>
    <row r="109" customFormat="false" ht="15" hidden="false" customHeight="false" outlineLevel="0" collapsed="false">
      <c r="D109" s="6" t="s">
        <v>210</v>
      </c>
      <c r="E109" s="30" t="n">
        <f aca="false">_xlfn.XLOOKUP("AdjustmentsForImpairmentLossReversalOfImpairmentLossRecognisedInProfitOrLoss",HS_CONSOLIDATED!$C:$C,HS_CONSOLIDATED!D:D,0,0,1)</f>
        <v>0</v>
      </c>
      <c r="F109" s="30" t="n">
        <f aca="false">_xlfn.XLOOKUP("AdjustmentsForImpairmentLossReversalOfImpairmentLossRecognisedInProfitOrLoss",HS_CONSOLIDATED!$C:$C,HS_CONSOLIDATED!E:E,0,0,1)</f>
        <v>-219300000</v>
      </c>
      <c r="G109" s="30" t="n">
        <f aca="false">_xlfn.XLOOKUP("AdjustmentsForImpairmentLossReversalOfImpairmentLossRecognisedInProfitOrLoss",HS_CONSOLIDATED!$C:$C,HS_CONSOLIDATED!F:F,0,0,1)</f>
        <v>-114500000</v>
      </c>
      <c r="H109" s="30" t="n">
        <f aca="false">_xlfn.XLOOKUP("AdjustmentsForImpairmentLossReversalOfImpairmentLossRecognisedInProfitOrLoss",HS_CONSOLIDATED!$C:$C,HS_CONSOLIDATED!G:G,0,0,1)</f>
        <v>-52500000</v>
      </c>
      <c r="I109" s="30" t="n">
        <f aca="false">_xlfn.XLOOKUP("AdjustmentsForImpairmentLossReversalOfImpairmentLossRecognisedInProfitOrLoss",HS_CONSOLIDATED!$C:$C,HS_CONSOLIDATED!H:H,0,0,1)</f>
        <v>24300000</v>
      </c>
      <c r="J109" s="30" t="n">
        <f aca="false">_xlfn.XLOOKUP("AdjustmentsForImpairmentLossReversalOfImpairmentLossRecognisedInProfitOrLoss",HS_CONSOLIDATED!$C:$C,HS_CONSOLIDATED!I:I,0,0,1)</f>
        <v>12400000</v>
      </c>
      <c r="K109" s="30" t="n">
        <f aca="false">_xlfn.XLOOKUP("AdjustmentsForImpairmentLossReversalOfImpairmentLossRecognisedInProfitOrLoss",HS_CONSOLIDATED!$C:$C,HS_CONSOLIDATED!J:J,0,0,1)</f>
        <v>-32300000</v>
      </c>
      <c r="L109" s="30" t="n">
        <f aca="false">_xlfn.XLOOKUP("AdjustmentsForImpairmentLossReversalOfImpairmentLossRecognisedInProfitOrLoss",HS_CONSOLIDATED!$C:$C,HS_CONSOLIDATED!K:K,0,0,1)</f>
        <v>54800000</v>
      </c>
      <c r="M109" s="30" t="n">
        <f aca="false">_xlfn.XLOOKUP("AdjustmentsForImpairmentLossReversalOfImpairmentLossRecognisedInProfitOrLoss",HS_CONSOLIDATED!$C:$C,HS_CONSOLIDATED!L:L,0,0,1)</f>
        <v>195200000</v>
      </c>
    </row>
    <row r="110" customFormat="false" ht="15" hidden="false" customHeight="false" outlineLevel="0" collapsed="false">
      <c r="D110" s="6" t="s">
        <v>211</v>
      </c>
      <c r="E110" s="30" t="n">
        <f aca="false">_xlfn.XLOOKUP("AdjustmentsForOtherFinancialLiabilitiesNoncurrent",HS_CONSOLIDATED!$C:$C,HS_CONSOLIDATED!D:D,0,0,1)</f>
        <v>0</v>
      </c>
      <c r="F110" s="30" t="n">
        <f aca="false">_xlfn.XLOOKUP("AdjustmentsForOtherFinancialLiabilitiesNoncurrent",HS_CONSOLIDATED!$C:$C,HS_CONSOLIDATED!E:E,0,0,1)</f>
        <v>0</v>
      </c>
      <c r="G110" s="30" t="n">
        <f aca="false">_xlfn.XLOOKUP("AdjustmentsForOtherFinancialLiabilitiesNoncurrent",HS_CONSOLIDATED!$C:$C,HS_CONSOLIDATED!F:F,0,0,1)</f>
        <v>0</v>
      </c>
      <c r="H110" s="30" t="n">
        <f aca="false">_xlfn.XLOOKUP("AdjustmentsForOtherFinancialLiabilitiesNoncurrent",HS_CONSOLIDATED!$C:$C,HS_CONSOLIDATED!G:G,0,0,1)</f>
        <v>0</v>
      </c>
      <c r="I110" s="30" t="n">
        <f aca="false">_xlfn.XLOOKUP("AdjustmentsForOtherFinancialLiabilitiesNoncurrent",HS_CONSOLIDATED!$C:$C,HS_CONSOLIDATED!H:H,0,0,1)</f>
        <v>0</v>
      </c>
      <c r="J110" s="30" t="n">
        <f aca="false">_xlfn.XLOOKUP("AdjustmentsForOtherFinancialLiabilitiesNoncurrent",HS_CONSOLIDATED!$C:$C,HS_CONSOLIDATED!I:I,0,0,1)</f>
        <v>0</v>
      </c>
      <c r="K110" s="30" t="n">
        <f aca="false">_xlfn.XLOOKUP("AdjustmentsForOtherFinancialLiabilitiesNoncurrent",HS_CONSOLIDATED!$C:$C,HS_CONSOLIDATED!J:J,0,0,1)</f>
        <v>0</v>
      </c>
      <c r="L110" s="30" t="n">
        <f aca="false">_xlfn.XLOOKUP("AdjustmentsForOtherFinancialLiabilitiesNoncurrent",HS_CONSOLIDATED!$C:$C,HS_CONSOLIDATED!K:K,0,0,1)</f>
        <v>4807200000</v>
      </c>
      <c r="M110" s="30" t="n">
        <f aca="false">_xlfn.XLOOKUP("AdjustmentsForOtherFinancialLiabilitiesNoncurrent",HS_CONSOLIDATED!$C:$C,HS_CONSOLIDATED!L:L,0,0,1)</f>
        <v>23040800000</v>
      </c>
    </row>
    <row r="111" customFormat="false" ht="15" hidden="false" customHeight="false" outlineLevel="0" collapsed="false">
      <c r="D111" s="6" t="s">
        <v>212</v>
      </c>
      <c r="E111" s="30" t="n">
        <f aca="false">_xlfn.XLOOKUP("AdjustmentsForUnrealisedForeignExchangeLossesGains",HS_CONSOLIDATED!$C:$C,HS_CONSOLIDATED!D:D,0,0,1)</f>
        <v>-1215600000</v>
      </c>
      <c r="F111" s="30" t="n">
        <f aca="false">_xlfn.XLOOKUP("AdjustmentsForUnrealisedForeignExchangeLossesGains",HS_CONSOLIDATED!$C:$C,HS_CONSOLIDATED!E:E,0,0,1)</f>
        <v>514700000</v>
      </c>
      <c r="G111" s="30" t="n">
        <f aca="false">_xlfn.XLOOKUP("AdjustmentsForUnrealisedForeignExchangeLossesGains",HS_CONSOLIDATED!$C:$C,HS_CONSOLIDATED!F:F,0,0,1)</f>
        <v>2403600000</v>
      </c>
      <c r="H111" s="30" t="n">
        <f aca="false">_xlfn.XLOOKUP("AdjustmentsForUnrealisedForeignExchangeLossesGains",HS_CONSOLIDATED!$C:$C,HS_CONSOLIDATED!G:G,0,0,1)</f>
        <v>4976300000</v>
      </c>
      <c r="I111" s="30" t="n">
        <f aca="false">_xlfn.XLOOKUP("AdjustmentsForUnrealisedForeignExchangeLossesGains",HS_CONSOLIDATED!$C:$C,HS_CONSOLIDATED!H:H,0,0,1)</f>
        <v>455200000</v>
      </c>
      <c r="J111" s="30" t="n">
        <f aca="false">_xlfn.XLOOKUP("AdjustmentsForUnrealisedForeignExchangeLossesGains",HS_CONSOLIDATED!$C:$C,HS_CONSOLIDATED!I:I,0,0,1)</f>
        <v>322700000</v>
      </c>
      <c r="K111" s="30" t="n">
        <f aca="false">_xlfn.XLOOKUP("AdjustmentsForUnrealisedForeignExchangeLossesGains",HS_CONSOLIDATED!$C:$C,HS_CONSOLIDATED!J:J,0,0,1)</f>
        <v>111100000</v>
      </c>
      <c r="L111" s="30" t="n">
        <f aca="false">_xlfn.XLOOKUP("AdjustmentsForUnrealisedForeignExchangeLossesGains",HS_CONSOLIDATED!$C:$C,HS_CONSOLIDATED!K:K,0,0,1)</f>
        <v>0</v>
      </c>
      <c r="M111" s="30" t="n">
        <f aca="false">_xlfn.XLOOKUP("AdjustmentsForUnrealisedForeignExchangeLossesGains",HS_CONSOLIDATED!$C:$C,HS_CONSOLIDATED!L:L,0,0,1)</f>
        <v>0</v>
      </c>
    </row>
    <row r="112" customFormat="false" ht="15" hidden="false" customHeight="false" outlineLevel="0" collapsed="false">
      <c r="D112" s="6" t="s">
        <v>213</v>
      </c>
      <c r="E112" s="30" t="n">
        <f aca="false">_xlfn.XLOOKUP("AdjustmentsForInterestIncome",HS_CONSOLIDATED!$C:$C,HS_CONSOLIDATED!D:D,0,0,1)</f>
        <v>0</v>
      </c>
      <c r="F112" s="30" t="n">
        <f aca="false">_xlfn.XLOOKUP("AdjustmentsForInterestIncome",HS_CONSOLIDATED!$C:$C,HS_CONSOLIDATED!E:E,0,0,1)</f>
        <v>0</v>
      </c>
      <c r="G112" s="30" t="n">
        <f aca="false">_xlfn.XLOOKUP("AdjustmentsForInterestIncome",HS_CONSOLIDATED!$C:$C,HS_CONSOLIDATED!F:F,0,0,1)</f>
        <v>0</v>
      </c>
      <c r="H112" s="30" t="n">
        <f aca="false">_xlfn.XLOOKUP("AdjustmentsForInterestIncome",HS_CONSOLIDATED!$C:$C,HS_CONSOLIDATED!G:G,0,0,1)</f>
        <v>0</v>
      </c>
      <c r="I112" s="30" t="n">
        <f aca="false">_xlfn.XLOOKUP("AdjustmentsForInterestIncome",HS_CONSOLIDATED!$C:$C,HS_CONSOLIDATED!H:H,0,0,1)</f>
        <v>0</v>
      </c>
      <c r="J112" s="30" t="n">
        <f aca="false">_xlfn.XLOOKUP("AdjustmentsForInterestIncome",HS_CONSOLIDATED!$C:$C,HS_CONSOLIDATED!I:I,0,0,1)</f>
        <v>0</v>
      </c>
      <c r="K112" s="30" t="n">
        <f aca="false">_xlfn.XLOOKUP("AdjustmentsForInterestIncome",HS_CONSOLIDATED!$C:$C,HS_CONSOLIDATED!J:J,0,0,1)</f>
        <v>0</v>
      </c>
      <c r="L112" s="30" t="n">
        <f aca="false">_xlfn.XLOOKUP("AdjustmentsForInterestIncome",HS_CONSOLIDATED!$C:$C,HS_CONSOLIDATED!K:K,0,0,1)</f>
        <v>383000000</v>
      </c>
      <c r="M112" s="30" t="n">
        <f aca="false">_xlfn.XLOOKUP("AdjustmentsForInterestIncome",HS_CONSOLIDATED!$C:$C,HS_CONSOLIDATED!L:L,0,0,1)</f>
        <v>1029800000</v>
      </c>
    </row>
    <row r="113" customFormat="false" ht="15" hidden="false" customHeight="false" outlineLevel="0" collapsed="false">
      <c r="D113" s="6" t="s">
        <v>214</v>
      </c>
      <c r="E113" s="30" t="n">
        <f aca="false">_xlfn.XLOOKUP("AdjustmentsForSharebasedPayments",HS_CONSOLIDATED!$C:$C,HS_CONSOLIDATED!D:D,0,0,1)</f>
        <v>192800000</v>
      </c>
      <c r="F113" s="30" t="n">
        <f aca="false">_xlfn.XLOOKUP("AdjustmentsForSharebasedPayments",HS_CONSOLIDATED!$C:$C,HS_CONSOLIDATED!E:E,0,0,1)</f>
        <v>0</v>
      </c>
      <c r="G113" s="30" t="n">
        <f aca="false">_xlfn.XLOOKUP("AdjustmentsForSharebasedPayments",HS_CONSOLIDATED!$C:$C,HS_CONSOLIDATED!F:F,0,0,1)</f>
        <v>0</v>
      </c>
      <c r="H113" s="30" t="n">
        <f aca="false">_xlfn.XLOOKUP("AdjustmentsForSharebasedPayments",HS_CONSOLIDATED!$C:$C,HS_CONSOLIDATED!G:G,0,0,1)</f>
        <v>0</v>
      </c>
      <c r="I113" s="30" t="n">
        <f aca="false">_xlfn.XLOOKUP("AdjustmentsForSharebasedPayments",HS_CONSOLIDATED!$C:$C,HS_CONSOLIDATED!H:H,0,0,1)</f>
        <v>0</v>
      </c>
      <c r="J113" s="30" t="n">
        <f aca="false">_xlfn.XLOOKUP("AdjustmentsForSharebasedPayments",HS_CONSOLIDATED!$C:$C,HS_CONSOLIDATED!I:I,0,0,1)</f>
        <v>0</v>
      </c>
      <c r="K113" s="30" t="n">
        <f aca="false">_xlfn.XLOOKUP("AdjustmentsForSharebasedPayments",HS_CONSOLIDATED!$C:$C,HS_CONSOLIDATED!J:J,0,0,1)</f>
        <v>0</v>
      </c>
      <c r="L113" s="30" t="n">
        <f aca="false">_xlfn.XLOOKUP("AdjustmentsForSharebasedPayments",HS_CONSOLIDATED!$C:$C,HS_CONSOLIDATED!K:K,0,0,1)</f>
        <v>291400000</v>
      </c>
      <c r="M113" s="30" t="n">
        <f aca="false">_xlfn.XLOOKUP("AdjustmentsForSharebasedPayments",HS_CONSOLIDATED!$C:$C,HS_CONSOLIDATED!L:L,0,0,1)</f>
        <v>1149500000</v>
      </c>
    </row>
    <row r="114" customFormat="false" ht="15" hidden="false" customHeight="false" outlineLevel="0" collapsed="false">
      <c r="D114" s="6" t="s">
        <v>215</v>
      </c>
      <c r="E114" s="30" t="n">
        <f aca="false">_xlfn.XLOOKUP("OtherAdjustmentsForWhichCashEffectsAreInvestingOrFinancingCashFlow",HS_CONSOLIDATED!$C:$C,HS_CONSOLIDATED!D:D,0,0,1)</f>
        <v>-417800000</v>
      </c>
      <c r="F114" s="30" t="n">
        <f aca="false">_xlfn.XLOOKUP("OtherAdjustmentsForWhichCashEffectsAreInvestingOrFinancingCashFlow",HS_CONSOLIDATED!$C:$C,HS_CONSOLIDATED!E:E,0,0,1)</f>
        <v>-405500000</v>
      </c>
      <c r="G114" s="30" t="n">
        <f aca="false">_xlfn.XLOOKUP("OtherAdjustmentsForWhichCashEffectsAreInvestingOrFinancingCashFlow",HS_CONSOLIDATED!$C:$C,HS_CONSOLIDATED!F:F,0,0,1)</f>
        <v>-149900000</v>
      </c>
      <c r="H114" s="30" t="n">
        <f aca="false">_xlfn.XLOOKUP("OtherAdjustmentsForWhichCashEffectsAreInvestingOrFinancingCashFlow",HS_CONSOLIDATED!$C:$C,HS_CONSOLIDATED!G:G,0,0,1)</f>
        <v>39700000</v>
      </c>
      <c r="I114" s="30" t="n">
        <f aca="false">_xlfn.XLOOKUP("OtherAdjustmentsForWhichCashEffectsAreInvestingOrFinancingCashFlow",HS_CONSOLIDATED!$C:$C,HS_CONSOLIDATED!H:H,0,0,1)</f>
        <v>0</v>
      </c>
      <c r="J114" s="30" t="n">
        <f aca="false">_xlfn.XLOOKUP("OtherAdjustmentsForWhichCashEffectsAreInvestingOrFinancingCashFlow",HS_CONSOLIDATED!$C:$C,HS_CONSOLIDATED!I:I,0,0,1)</f>
        <v>0</v>
      </c>
      <c r="K114" s="30" t="n">
        <f aca="false">_xlfn.XLOOKUP("OtherAdjustmentsForWhichCashEffectsAreInvestingOrFinancingCashFlow",HS_CONSOLIDATED!$C:$C,HS_CONSOLIDATED!J:J,0,0,1)</f>
        <v>0</v>
      </c>
      <c r="L114" s="30" t="n">
        <f aca="false">_xlfn.XLOOKUP("OtherAdjustmentsForWhichCashEffectsAreInvestingOrFinancingCashFlow",HS_CONSOLIDATED!$C:$C,HS_CONSOLIDATED!K:K,0,0,1)</f>
        <v>0</v>
      </c>
      <c r="M114" s="30" t="n">
        <f aca="false">_xlfn.XLOOKUP("OtherAdjustmentsForWhichCashEffectsAreInvestingOrFinancingCashFlow",HS_CONSOLIDATED!$C:$C,HS_CONSOLIDATED!L:L,0,0,1)</f>
        <v>0</v>
      </c>
    </row>
    <row r="115" customFormat="false" ht="15" hidden="false" customHeight="false" outlineLevel="0" collapsed="false">
      <c r="D115" s="6" t="s">
        <v>216</v>
      </c>
      <c r="E115" s="30" t="n">
        <f aca="false">_xlfn.XLOOKUP("OtherAdjustmentsToReconcileProfitLoss",HS_CONSOLIDATED!$C:$C,HS_CONSOLIDATED!D:D,0,0,1)</f>
        <v>3634300000</v>
      </c>
      <c r="F115" s="30" t="n">
        <f aca="false">_xlfn.XLOOKUP("OtherAdjustmentsToReconcileProfitLoss",HS_CONSOLIDATED!$C:$C,HS_CONSOLIDATED!E:E,0,0,1)</f>
        <v>1729200000</v>
      </c>
      <c r="G115" s="30" t="n">
        <f aca="false">_xlfn.XLOOKUP("OtherAdjustmentsToReconcileProfitLoss",HS_CONSOLIDATED!$C:$C,HS_CONSOLIDATED!F:F,0,0,1)</f>
        <v>1268500000</v>
      </c>
      <c r="H115" s="30" t="n">
        <f aca="false">_xlfn.XLOOKUP("OtherAdjustmentsToReconcileProfitLoss",HS_CONSOLIDATED!$C:$C,HS_CONSOLIDATED!G:G,0,0,1)</f>
        <v>1816000000</v>
      </c>
      <c r="I115" s="30" t="n">
        <f aca="false">_xlfn.XLOOKUP("OtherAdjustmentsToReconcileProfitLoss",HS_CONSOLIDATED!$C:$C,HS_CONSOLIDATED!H:H,0,0,1)</f>
        <v>309500000</v>
      </c>
      <c r="J115" s="30" t="n">
        <f aca="false">_xlfn.XLOOKUP("OtherAdjustmentsToReconcileProfitLoss",HS_CONSOLIDATED!$C:$C,HS_CONSOLIDATED!I:I,0,0,1)</f>
        <v>2586000000</v>
      </c>
      <c r="K115" s="30" t="n">
        <f aca="false">_xlfn.XLOOKUP("OtherAdjustmentsToReconcileProfitLoss",HS_CONSOLIDATED!$C:$C,HS_CONSOLIDATED!J:J,0,0,1)</f>
        <v>2031600000</v>
      </c>
      <c r="L115" s="30" t="n">
        <f aca="false">_xlfn.XLOOKUP("OtherAdjustmentsToReconcileProfitLoss",HS_CONSOLIDATED!$C:$C,HS_CONSOLIDATED!K:K,0,0,1)</f>
        <v>2098200000</v>
      </c>
      <c r="M115" s="30" t="n">
        <f aca="false">_xlfn.XLOOKUP("OtherAdjustmentsToReconcileProfitLoss",HS_CONSOLIDATED!$C:$C,HS_CONSOLIDATED!L:L,0,0,1)</f>
        <v>1407300000</v>
      </c>
    </row>
    <row r="116" customFormat="false" ht="15" hidden="false" customHeight="false" outlineLevel="0" collapsed="false">
      <c r="D116" s="6" t="s">
        <v>217</v>
      </c>
      <c r="E116" s="30" t="n">
        <f aca="false">_xlfn.XLOOKUP("OtherAdjustmentsForNoncashItems",HS_CONSOLIDATED!$C:$C,HS_CONSOLIDATED!D:D,0,0,1)</f>
        <v>-1987800000</v>
      </c>
      <c r="F116" s="30" t="n">
        <f aca="false">_xlfn.XLOOKUP("OtherAdjustmentsForNoncashItems",HS_CONSOLIDATED!$C:$C,HS_CONSOLIDATED!E:E,0,0,1)</f>
        <v>-4151100000</v>
      </c>
      <c r="G116" s="30" t="n">
        <f aca="false">_xlfn.XLOOKUP("OtherAdjustmentsForNoncashItems",HS_CONSOLIDATED!$C:$C,HS_CONSOLIDATED!F:F,0,0,1)</f>
        <v>439000000</v>
      </c>
      <c r="H116" s="30" t="n">
        <f aca="false">_xlfn.XLOOKUP("OtherAdjustmentsForNoncashItems",HS_CONSOLIDATED!$C:$C,HS_CONSOLIDATED!G:G,0,0,1)</f>
        <v>-292800000</v>
      </c>
      <c r="I116" s="30" t="n">
        <f aca="false">_xlfn.XLOOKUP("OtherAdjustmentsForNoncashItems",HS_CONSOLIDATED!$C:$C,HS_CONSOLIDATED!H:H,0,0,1)</f>
        <v>-7231000000</v>
      </c>
      <c r="J116" s="30" t="n">
        <f aca="false">_xlfn.XLOOKUP("OtherAdjustmentsForNoncashItems",HS_CONSOLIDATED!$C:$C,HS_CONSOLIDATED!I:I,0,0,1)</f>
        <v>-1194600000</v>
      </c>
      <c r="K116" s="30" t="n">
        <f aca="false">_xlfn.XLOOKUP("OtherAdjustmentsForNoncashItems",HS_CONSOLIDATED!$C:$C,HS_CONSOLIDATED!J:J,0,0,1)</f>
        <v>-27205900000</v>
      </c>
      <c r="L116" s="30" t="n">
        <f aca="false">_xlfn.XLOOKUP("OtherAdjustmentsForNoncashItems",HS_CONSOLIDATED!$C:$C,HS_CONSOLIDATED!K:K,0,0,1)</f>
        <v>0</v>
      </c>
      <c r="M116" s="30" t="n">
        <f aca="false">_xlfn.XLOOKUP("OtherAdjustmentsForNoncashItems",HS_CONSOLIDATED!$C:$C,HS_CONSOLIDATED!L:L,0,0,1)</f>
        <v>0</v>
      </c>
    </row>
    <row r="117" customFormat="false" ht="15" hidden="false" customHeight="false" outlineLevel="0" collapsed="false">
      <c r="D117" s="6" t="s">
        <v>218</v>
      </c>
      <c r="E117" s="30" t="n">
        <f aca="false">_xlfn.XLOOKUP("AdjustmentsForReconcileProfitLoss",HS_CONSOLIDATED!$C:$C,HS_CONSOLIDATED!D:D,0,0,1)</f>
        <v>7588300000</v>
      </c>
      <c r="F117" s="30" t="n">
        <f aca="false">_xlfn.XLOOKUP("AdjustmentsForReconcileProfitLoss",HS_CONSOLIDATED!$C:$C,HS_CONSOLIDATED!E:E,0,0,1)</f>
        <v>2219200000</v>
      </c>
      <c r="G117" s="30" t="n">
        <f aca="false">_xlfn.XLOOKUP("AdjustmentsForReconcileProfitLoss",HS_CONSOLIDATED!$C:$C,HS_CONSOLIDATED!F:F,0,0,1)</f>
        <v>28000300000</v>
      </c>
      <c r="H117" s="30" t="n">
        <f aca="false">_xlfn.XLOOKUP("AdjustmentsForReconcileProfitLoss",HS_CONSOLIDATED!$C:$C,HS_CONSOLIDATED!G:G,0,0,1)</f>
        <v>17625100000</v>
      </c>
      <c r="I117" s="30" t="n">
        <f aca="false">_xlfn.XLOOKUP("AdjustmentsForReconcileProfitLoss",HS_CONSOLIDATED!$C:$C,HS_CONSOLIDATED!H:H,0,0,1)</f>
        <v>4121400000</v>
      </c>
      <c r="J117" s="30" t="n">
        <f aca="false">_xlfn.XLOOKUP("AdjustmentsForReconcileProfitLoss",HS_CONSOLIDATED!$C:$C,HS_CONSOLIDATED!I:I,0,0,1)</f>
        <v>12920700000</v>
      </c>
      <c r="K117" s="30" t="n">
        <f aca="false">_xlfn.XLOOKUP("AdjustmentsForReconcileProfitLoss",HS_CONSOLIDATED!$C:$C,HS_CONSOLIDATED!J:J,0,0,1)</f>
        <v>-24101200000</v>
      </c>
      <c r="L117" s="30" t="n">
        <f aca="false">_xlfn.XLOOKUP("AdjustmentsForReconcileProfitLoss",HS_CONSOLIDATED!$C:$C,HS_CONSOLIDATED!K:K,0,0,1)</f>
        <v>-5596500000</v>
      </c>
      <c r="M117" s="30" t="n">
        <f aca="false">_xlfn.XLOOKUP("AdjustmentsForReconcileProfitLoss",HS_CONSOLIDATED!$C:$C,HS_CONSOLIDATED!L:L,0,0,1)</f>
        <v>-3531300000</v>
      </c>
    </row>
    <row r="118" customFormat="false" ht="15" hidden="false" customHeight="false" outlineLevel="0" collapsed="false">
      <c r="A118" s="31"/>
      <c r="B118" s="31"/>
      <c r="C118" s="32" t="s">
        <v>219</v>
      </c>
      <c r="D118" s="31"/>
      <c r="E118" s="33" t="n">
        <f aca="false">IFERROR(E117+E100,0)</f>
        <v>16704200000</v>
      </c>
      <c r="F118" s="33" t="n">
        <f aca="false">IFERROR(F117+F100,0)</f>
        <v>-1688200000</v>
      </c>
      <c r="G118" s="33" t="n">
        <f aca="false">IFERROR(G117+G100,0)</f>
        <v>12570400000</v>
      </c>
      <c r="H118" s="33" t="n">
        <f aca="false">IFERROR(H117+H100,0)</f>
        <v>-9214400000</v>
      </c>
      <c r="I118" s="33" t="n">
        <f aca="false">IFERROR(I117+I100,0)</f>
        <v>5171100000</v>
      </c>
      <c r="J118" s="33" t="n">
        <f aca="false">IFERROR(J117+J100,0)</f>
        <v>12924700000</v>
      </c>
      <c r="K118" s="33" t="n">
        <f aca="false">IFERROR(K117+K100,0)</f>
        <v>4815900000</v>
      </c>
      <c r="L118" s="33" t="n">
        <f aca="false">IFERROR(L117+L100,0)</f>
        <v>998400000</v>
      </c>
      <c r="M118" s="33" t="n">
        <f aca="false">IFERROR(M117+M100,0)</f>
        <v>10935000000</v>
      </c>
    </row>
    <row r="119" customFormat="false" ht="15" hidden="false" customHeight="false" outlineLevel="0" collapsed="false">
      <c r="C119" s="6" t="s">
        <v>220</v>
      </c>
      <c r="E119" s="30" t="n">
        <f aca="false">-_xlfn.XLOOKUP("IncomeTaxesPaidRefundClassifiedAsOperatingActivities",HS_CONSOLIDATED!$C:$C,HS_CONSOLIDATED!D:D,0,0,1)</f>
        <v>-615900000</v>
      </c>
      <c r="F119" s="30" t="n">
        <f aca="false">-_xlfn.XLOOKUP("IncomeTaxesPaidRefundClassifiedAsOperatingActivities",HS_CONSOLIDATED!$C:$C,HS_CONSOLIDATED!E:E,0,0,1)</f>
        <v>593800000</v>
      </c>
      <c r="G119" s="30" t="n">
        <f aca="false">-_xlfn.XLOOKUP("IncomeTaxesPaidRefundClassifiedAsOperatingActivities",HS_CONSOLIDATED!$C:$C,HS_CONSOLIDATED!F:F,0,0,1)</f>
        <v>97000000</v>
      </c>
      <c r="H119" s="30" t="n">
        <f aca="false">-_xlfn.XLOOKUP("IncomeTaxesPaidRefundClassifiedAsOperatingActivities",HS_CONSOLIDATED!$C:$C,HS_CONSOLIDATED!G:G,0,0,1)</f>
        <v>-76000000</v>
      </c>
      <c r="I119" s="30" t="n">
        <f aca="false">-_xlfn.XLOOKUP("IncomeTaxesPaidRefundClassifiedAsOperatingActivities",HS_CONSOLIDATED!$C:$C,HS_CONSOLIDATED!H:H,0,0,1)</f>
        <v>133900000</v>
      </c>
      <c r="J119" s="30" t="n">
        <f aca="false">-_xlfn.XLOOKUP("IncomeTaxesPaidRefundClassifiedAsOperatingActivities",HS_CONSOLIDATED!$C:$C,HS_CONSOLIDATED!I:I,0,0,1)</f>
        <v>94300000</v>
      </c>
      <c r="K119" s="30" t="n">
        <f aca="false">-_xlfn.XLOOKUP("IncomeTaxesPaidRefundClassifiedAsOperatingActivities",HS_CONSOLIDATED!$C:$C,HS_CONSOLIDATED!J:J,0,0,1)</f>
        <v>-149300000</v>
      </c>
      <c r="L119" s="30" t="n">
        <f aca="false">-_xlfn.XLOOKUP("IncomeTaxesPaidRefundClassifiedAsOperatingActivities",HS_CONSOLIDATED!$C:$C,HS_CONSOLIDATED!K:K,0,0,1)</f>
        <v>-203100000</v>
      </c>
      <c r="M119" s="30" t="n">
        <f aca="false">-_xlfn.XLOOKUP("IncomeTaxesPaidRefundClassifiedAsOperatingActivities",HS_CONSOLIDATED!$C:$C,HS_CONSOLIDATED!L:L,0,0,1)</f>
        <v>-15400000</v>
      </c>
    </row>
    <row r="120" customFormat="false" ht="15" hidden="false" customHeight="false" outlineLevel="0" collapsed="false">
      <c r="A120" s="31"/>
      <c r="B120" s="31"/>
      <c r="C120" s="32" t="s">
        <v>221</v>
      </c>
      <c r="D120" s="31"/>
      <c r="E120" s="33" t="n">
        <f aca="false">IFERROR(SUM(E118:E119),0)</f>
        <v>16088300000</v>
      </c>
      <c r="F120" s="33" t="n">
        <f aca="false">IFERROR(SUM(F118:F119),0)</f>
        <v>-1094400000</v>
      </c>
      <c r="G120" s="33" t="n">
        <f aca="false">IFERROR(SUM(G118:G119),0)</f>
        <v>12667400000</v>
      </c>
      <c r="H120" s="33" t="n">
        <f aca="false">IFERROR(SUM(H118:H119),0)</f>
        <v>-9290400000</v>
      </c>
      <c r="I120" s="33" t="n">
        <f aca="false">IFERROR(SUM(I118:I119),0)</f>
        <v>5305000000</v>
      </c>
      <c r="J120" s="33" t="n">
        <f aca="false">IFERROR(SUM(J118:J119),0)</f>
        <v>13019000000</v>
      </c>
      <c r="K120" s="33" t="n">
        <f aca="false">IFERROR(SUM(K118:K119),0)</f>
        <v>4666600000</v>
      </c>
      <c r="L120" s="33" t="n">
        <f aca="false">IFERROR(SUM(L118:L119),0)</f>
        <v>795300000</v>
      </c>
      <c r="M120" s="33" t="n">
        <f aca="false">IFERROR(SUM(M118:M119),0)</f>
        <v>10919600000</v>
      </c>
    </row>
    <row r="121" customFormat="false" ht="15" hidden="false" customHeight="false" outlineLevel="0" collapsed="false">
      <c r="A121" s="28"/>
      <c r="B121" s="28"/>
      <c r="C121" s="29" t="s">
        <v>222</v>
      </c>
      <c r="D121" s="28"/>
      <c r="E121" s="28"/>
      <c r="F121" s="28"/>
      <c r="G121" s="28"/>
      <c r="H121" s="28"/>
      <c r="I121" s="28"/>
      <c r="J121" s="28"/>
      <c r="K121" s="28"/>
      <c r="L121" s="28"/>
      <c r="M121" s="28"/>
    </row>
    <row r="122" customFormat="false" ht="15" hidden="false" customHeight="false" outlineLevel="0" collapsed="false">
      <c r="D122" s="6" t="s">
        <v>223</v>
      </c>
      <c r="E122" s="30" t="n">
        <f aca="false">-_xlfn.XLOOKUP("CashFlowsUsedInObtainingControlOfSubsidiariesOrOtherBusinessesClassifiedAsInvestingActivities",HS_CONSOLIDATED!$C:$C,HS_CONSOLIDATED!D:D,0,0,1)</f>
        <v>-0</v>
      </c>
      <c r="F122" s="30" t="n">
        <f aca="false">-_xlfn.XLOOKUP("CashFlowsUsedInObtainingControlOfSubsidiariesOrOtherBusinessesClassifiedAsInvestingActivities",HS_CONSOLIDATED!$C:$C,HS_CONSOLIDATED!E:E,0,0,1)</f>
        <v>-0</v>
      </c>
      <c r="G122" s="30" t="n">
        <f aca="false">-_xlfn.XLOOKUP("CashFlowsUsedInObtainingControlOfSubsidiariesOrOtherBusinessesClassifiedAsInvestingActivities",HS_CONSOLIDATED!$C:$C,HS_CONSOLIDATED!F:F,0,0,1)</f>
        <v>-0</v>
      </c>
      <c r="H122" s="30" t="n">
        <f aca="false">-_xlfn.XLOOKUP("CashFlowsUsedInObtainingControlOfSubsidiariesOrOtherBusinessesClassifiedAsInvestingActivities",HS_CONSOLIDATED!$C:$C,HS_CONSOLIDATED!G:G,0,0,1)</f>
        <v>-0</v>
      </c>
      <c r="I122" s="30" t="n">
        <f aca="false">-_xlfn.XLOOKUP("CashFlowsUsedInObtainingControlOfSubsidiariesOrOtherBusinessesClassifiedAsInvestingActivities",HS_CONSOLIDATED!$C:$C,HS_CONSOLIDATED!H:H,0,0,1)</f>
        <v>-0</v>
      </c>
      <c r="J122" s="30" t="n">
        <f aca="false">-_xlfn.XLOOKUP("CashFlowsUsedInObtainingControlOfSubsidiariesOrOtherBusinessesClassifiedAsInvestingActivities",HS_CONSOLIDATED!$C:$C,HS_CONSOLIDATED!I:I,0,0,1)</f>
        <v>-0</v>
      </c>
      <c r="K122" s="30" t="n">
        <f aca="false">-_xlfn.XLOOKUP("CashFlowsUsedInObtainingControlOfSubsidiariesOrOtherBusinessesClassifiedAsInvestingActivities",HS_CONSOLIDATED!$C:$C,HS_CONSOLIDATED!J:J,0,0,1)</f>
        <v>-0</v>
      </c>
      <c r="L122" s="30" t="n">
        <f aca="false">-_xlfn.XLOOKUP("CashFlowsUsedInObtainingControlOfSubsidiariesOrOtherBusinessesClassifiedAsInvestingActivities",HS_CONSOLIDATED!$C:$C,HS_CONSOLIDATED!K:K,0,0,1)</f>
        <v>-0</v>
      </c>
      <c r="M122" s="30" t="n">
        <f aca="false">-_xlfn.XLOOKUP("CashFlowsUsedInObtainingControlOfSubsidiariesOrOtherBusinessesClassifiedAsInvestingActivities",HS_CONSOLIDATED!$C:$C,HS_CONSOLIDATED!L:L,0,0,1)</f>
        <v>-4413300000</v>
      </c>
    </row>
    <row r="123" customFormat="false" ht="15" hidden="false" customHeight="false" outlineLevel="0" collapsed="false">
      <c r="D123" s="6" t="s">
        <v>224</v>
      </c>
      <c r="E123" s="30" t="n">
        <f aca="false">_xlfn.XLOOKUP("OtherCashReceiptsFromSalesOfEquityOrDebtInstrumentsOfOtherEntitiesClassifiedAsInvestingActivities",HS_CONSOLIDATED!$C:$C,HS_CONSOLIDATED!D:D,0,0,1)</f>
        <v>85500000</v>
      </c>
      <c r="F123" s="30" t="n">
        <f aca="false">_xlfn.XLOOKUP("OtherCashReceiptsFromSalesOfEquityOrDebtInstrumentsOfOtherEntitiesClassifiedAsInvestingActivities",HS_CONSOLIDATED!$C:$C,HS_CONSOLIDATED!E:E,0,0,1)</f>
        <v>800000</v>
      </c>
      <c r="G123" s="30" t="n">
        <f aca="false">_xlfn.XLOOKUP("OtherCashReceiptsFromSalesOfEquityOrDebtInstrumentsOfOtherEntitiesClassifiedAsInvestingActivities",HS_CONSOLIDATED!$C:$C,HS_CONSOLIDATED!F:F,0,0,1)</f>
        <v>2855300000</v>
      </c>
      <c r="H123" s="30" t="n">
        <f aca="false">_xlfn.XLOOKUP("OtherCashReceiptsFromSalesOfEquityOrDebtInstrumentsOfOtherEntitiesClassifiedAsInvestingActivities",HS_CONSOLIDATED!$C:$C,HS_CONSOLIDATED!G:G,0,0,1)</f>
        <v>305100000</v>
      </c>
      <c r="I123" s="30" t="n">
        <f aca="false">_xlfn.XLOOKUP("OtherCashReceiptsFromSalesOfEquityOrDebtInstrumentsOfOtherEntitiesClassifiedAsInvestingActivities",HS_CONSOLIDATED!$C:$C,HS_CONSOLIDATED!H:H,0,0,1)</f>
        <v>0</v>
      </c>
      <c r="J123" s="30" t="n">
        <f aca="false">_xlfn.XLOOKUP("OtherCashReceiptsFromSalesOfEquityOrDebtInstrumentsOfOtherEntitiesClassifiedAsInvestingActivities",HS_CONSOLIDATED!$C:$C,HS_CONSOLIDATED!I:I,0,0,1)</f>
        <v>0</v>
      </c>
      <c r="K123" s="30" t="n">
        <f aca="false">_xlfn.XLOOKUP("OtherCashReceiptsFromSalesOfEquityOrDebtInstrumentsOfOtherEntitiesClassifiedAsInvestingActivities",HS_CONSOLIDATED!$C:$C,HS_CONSOLIDATED!J:J,0,0,1)</f>
        <v>0</v>
      </c>
      <c r="L123" s="30" t="n">
        <f aca="false">_xlfn.XLOOKUP("OtherCashReceiptsFromSalesOfEquityOrDebtInstrumentsOfOtherEntitiesClassifiedAsInvestingActivities",HS_CONSOLIDATED!$C:$C,HS_CONSOLIDATED!K:K,0,0,1)</f>
        <v>0</v>
      </c>
      <c r="M123" s="30" t="n">
        <f aca="false">_xlfn.XLOOKUP("OtherCashReceiptsFromSalesOfEquityOrDebtInstrumentsOfOtherEntitiesClassifiedAsInvestingActivities",HS_CONSOLIDATED!$C:$C,HS_CONSOLIDATED!L:L,0,0,1)</f>
        <v>0</v>
      </c>
    </row>
    <row r="124" customFormat="false" ht="15" hidden="false" customHeight="false" outlineLevel="0" collapsed="false">
      <c r="D124" s="6" t="s">
        <v>225</v>
      </c>
      <c r="E124" s="30" t="n">
        <f aca="false">-_xlfn.XLOOKUP("OtherCashPaymentsToAcquireEquityOrDebtInstrumentsOfOtherEntitiesClassifiedAsInvestingActivities",HS_CONSOLIDATED!$C:$C,HS_CONSOLIDATED!D:D,0,0,1)</f>
        <v>-1525600000</v>
      </c>
      <c r="F124" s="30" t="n">
        <f aca="false">-_xlfn.XLOOKUP("OtherCashPaymentsToAcquireEquityOrDebtInstrumentsOfOtherEntitiesClassifiedAsInvestingActivities",HS_CONSOLIDATED!$C:$C,HS_CONSOLIDATED!E:E,0,0,1)</f>
        <v>-307200000</v>
      </c>
      <c r="G124" s="30" t="n">
        <f aca="false">-_xlfn.XLOOKUP("OtherCashPaymentsToAcquireEquityOrDebtInstrumentsOfOtherEntitiesClassifiedAsInvestingActivities",HS_CONSOLIDATED!$C:$C,HS_CONSOLIDATED!F:F,0,0,1)</f>
        <v>-68100000</v>
      </c>
      <c r="H124" s="30" t="n">
        <f aca="false">-_xlfn.XLOOKUP("OtherCashPaymentsToAcquireEquityOrDebtInstrumentsOfOtherEntitiesClassifiedAsInvestingActivities",HS_CONSOLIDATED!$C:$C,HS_CONSOLIDATED!G:G,0,0,1)</f>
        <v>-0</v>
      </c>
      <c r="I124" s="30" t="n">
        <f aca="false">-_xlfn.XLOOKUP("OtherCashPaymentsToAcquireEquityOrDebtInstrumentsOfOtherEntitiesClassifiedAsInvestingActivities",HS_CONSOLIDATED!$C:$C,HS_CONSOLIDATED!H:H,0,0,1)</f>
        <v>-0</v>
      </c>
      <c r="J124" s="30" t="n">
        <f aca="false">-_xlfn.XLOOKUP("OtherCashPaymentsToAcquireEquityOrDebtInstrumentsOfOtherEntitiesClassifiedAsInvestingActivities",HS_CONSOLIDATED!$C:$C,HS_CONSOLIDATED!I:I,0,0,1)</f>
        <v>-0</v>
      </c>
      <c r="K124" s="30" t="n">
        <f aca="false">-_xlfn.XLOOKUP("OtherCashPaymentsToAcquireEquityOrDebtInstrumentsOfOtherEntitiesClassifiedAsInvestingActivities",HS_CONSOLIDATED!$C:$C,HS_CONSOLIDATED!J:J,0,0,1)</f>
        <v>-0</v>
      </c>
      <c r="L124" s="30" t="n">
        <f aca="false">-_xlfn.XLOOKUP("OtherCashPaymentsToAcquireEquityOrDebtInstrumentsOfOtherEntitiesClassifiedAsInvestingActivities",HS_CONSOLIDATED!$C:$C,HS_CONSOLIDATED!K:K,0,0,1)</f>
        <v>-0</v>
      </c>
      <c r="M124" s="30" t="n">
        <f aca="false">-_xlfn.XLOOKUP("OtherCashPaymentsToAcquireEquityOrDebtInstrumentsOfOtherEntitiesClassifiedAsInvestingActivities",HS_CONSOLIDATED!$C:$C,HS_CONSOLIDATED!L:L,0,0,1)</f>
        <v>-0</v>
      </c>
    </row>
    <row r="125" customFormat="false" ht="15" hidden="false" customHeight="false" outlineLevel="0" collapsed="false">
      <c r="D125" s="6" t="s">
        <v>226</v>
      </c>
      <c r="E125" s="30" t="n">
        <f aca="false">_xlfn.XLOOKUP("OtherCashReceiptsFromSalesOfInterestsInJointVenturesClassifiedAsInvestingActivities",HS_CONSOLIDATED!$C:$C,HS_CONSOLIDATED!D:D,0,0,1)</f>
        <v>0</v>
      </c>
      <c r="F125" s="30" t="n">
        <f aca="false">_xlfn.XLOOKUP("OtherCashReceiptsFromSalesOfInterestsInJointVenturesClassifiedAsInvestingActivities",HS_CONSOLIDATED!$C:$C,HS_CONSOLIDATED!E:E,0,0,1)</f>
        <v>0</v>
      </c>
      <c r="G125" s="30" t="n">
        <f aca="false">_xlfn.XLOOKUP("OtherCashReceiptsFromSalesOfInterestsInJointVenturesClassifiedAsInvestingActivities",HS_CONSOLIDATED!$C:$C,HS_CONSOLIDATED!F:F,0,0,1)</f>
        <v>0</v>
      </c>
      <c r="H125" s="30" t="n">
        <f aca="false">_xlfn.XLOOKUP("OtherCashReceiptsFromSalesOfInterestsInJointVenturesClassifiedAsInvestingActivities",HS_CONSOLIDATED!$C:$C,HS_CONSOLIDATED!G:G,0,0,1)</f>
        <v>0</v>
      </c>
      <c r="I125" s="30" t="n">
        <f aca="false">_xlfn.XLOOKUP("OtherCashReceiptsFromSalesOfInterestsInJointVenturesClassifiedAsInvestingActivities",HS_CONSOLIDATED!$C:$C,HS_CONSOLIDATED!H:H,0,0,1)</f>
        <v>0</v>
      </c>
      <c r="J125" s="30" t="n">
        <f aca="false">_xlfn.XLOOKUP("OtherCashReceiptsFromSalesOfInterestsInJointVenturesClassifiedAsInvestingActivities",HS_CONSOLIDATED!$C:$C,HS_CONSOLIDATED!I:I,0,0,1)</f>
        <v>106700000</v>
      </c>
      <c r="K125" s="30" t="n">
        <f aca="false">_xlfn.XLOOKUP("OtherCashReceiptsFromSalesOfInterestsInJointVenturesClassifiedAsInvestingActivities",HS_CONSOLIDATED!$C:$C,HS_CONSOLIDATED!J:J,0,0,1)</f>
        <v>769600000</v>
      </c>
      <c r="L125" s="30" t="n">
        <f aca="false">_xlfn.XLOOKUP("OtherCashReceiptsFromSalesOfInterestsInJointVenturesClassifiedAsInvestingActivities",HS_CONSOLIDATED!$C:$C,HS_CONSOLIDATED!K:K,0,0,1)</f>
        <v>436800000</v>
      </c>
      <c r="M125" s="30" t="n">
        <f aca="false">_xlfn.XLOOKUP("OtherCashReceiptsFromSalesOfInterestsInJointVenturesClassifiedAsInvestingActivities",HS_CONSOLIDATED!$C:$C,HS_CONSOLIDATED!L:L,0,0,1)</f>
        <v>0</v>
      </c>
    </row>
    <row r="126" customFormat="false" ht="15" hidden="false" customHeight="false" outlineLevel="0" collapsed="false">
      <c r="D126" s="6" t="s">
        <v>227</v>
      </c>
      <c r="E126" s="30" t="n">
        <f aca="false">_xlfn.XLOOKUP("ProceedsFromSalesOfPropertyPlantAndEquipmentClassifiedAsInvestingActivities",HS_CONSOLIDATED!$C:$C,HS_CONSOLIDATED!D:D,0,0,1)</f>
        <v>226800000</v>
      </c>
      <c r="F126" s="30" t="n">
        <f aca="false">_xlfn.XLOOKUP("ProceedsFromSalesOfPropertyPlantAndEquipmentClassifiedAsInvestingActivities",HS_CONSOLIDATED!$C:$C,HS_CONSOLIDATED!E:E,0,0,1)</f>
        <v>552200000</v>
      </c>
      <c r="G126" s="30" t="n">
        <f aca="false">_xlfn.XLOOKUP("ProceedsFromSalesOfPropertyPlantAndEquipmentClassifiedAsInvestingActivities",HS_CONSOLIDATED!$C:$C,HS_CONSOLIDATED!F:F,0,0,1)</f>
        <v>356300000</v>
      </c>
      <c r="H126" s="30" t="n">
        <f aca="false">_xlfn.XLOOKUP("ProceedsFromSalesOfPropertyPlantAndEquipmentClassifiedAsInvestingActivities",HS_CONSOLIDATED!$C:$C,HS_CONSOLIDATED!G:G,0,0,1)</f>
        <v>6800000</v>
      </c>
      <c r="I126" s="30" t="n">
        <f aca="false">_xlfn.XLOOKUP("ProceedsFromSalesOfPropertyPlantAndEquipmentClassifiedAsInvestingActivities",HS_CONSOLIDATED!$C:$C,HS_CONSOLIDATED!H:H,0,0,1)</f>
        <v>29500000</v>
      </c>
      <c r="J126" s="30" t="n">
        <f aca="false">_xlfn.XLOOKUP("ProceedsFromSalesOfPropertyPlantAndEquipmentClassifiedAsInvestingActivities",HS_CONSOLIDATED!$C:$C,HS_CONSOLIDATED!I:I,0,0,1)</f>
        <v>9000000</v>
      </c>
      <c r="K126" s="30" t="n">
        <f aca="false">_xlfn.XLOOKUP("ProceedsFromSalesOfPropertyPlantAndEquipmentClassifiedAsInvestingActivities",HS_CONSOLIDATED!$C:$C,HS_CONSOLIDATED!J:J,0,0,1)</f>
        <v>864800000</v>
      </c>
      <c r="L126" s="30" t="n">
        <f aca="false">_xlfn.XLOOKUP("ProceedsFromSalesOfPropertyPlantAndEquipmentClassifiedAsInvestingActivities",HS_CONSOLIDATED!$C:$C,HS_CONSOLIDATED!K:K,0,0,1)</f>
        <v>9700000</v>
      </c>
      <c r="M126" s="30" t="n">
        <f aca="false">_xlfn.XLOOKUP("ProceedsFromSalesOfPropertyPlantAndEquipmentClassifiedAsInvestingActivities",HS_CONSOLIDATED!$C:$C,HS_CONSOLIDATED!L:L,0,0,1)</f>
        <v>21900000</v>
      </c>
    </row>
    <row r="127" customFormat="false" ht="15" hidden="false" customHeight="false" outlineLevel="0" collapsed="false">
      <c r="D127" s="6" t="s">
        <v>228</v>
      </c>
      <c r="E127" s="30" t="n">
        <f aca="false">-_xlfn.XLOOKUP("PurchaseOfPropertyPlantAndEquipmentClassifiedAsInvestingActivities",HS_CONSOLIDATED!$C:$C,HS_CONSOLIDATED!D:D,0,0,1)</f>
        <v>-4139600000</v>
      </c>
      <c r="F127" s="30" t="n">
        <f aca="false">-_xlfn.XLOOKUP("PurchaseOfPropertyPlantAndEquipmentClassifiedAsInvestingActivities",HS_CONSOLIDATED!$C:$C,HS_CONSOLIDATED!E:E,0,0,1)</f>
        <v>-7095500000</v>
      </c>
      <c r="G127" s="30" t="n">
        <f aca="false">-_xlfn.XLOOKUP("PurchaseOfPropertyPlantAndEquipmentClassifiedAsInvestingActivities",HS_CONSOLIDATED!$C:$C,HS_CONSOLIDATED!F:F,0,0,1)</f>
        <v>-2825700000</v>
      </c>
      <c r="H127" s="30" t="n">
        <f aca="false">-_xlfn.XLOOKUP("PurchaseOfPropertyPlantAndEquipmentClassifiedAsInvestingActivities",HS_CONSOLIDATED!$C:$C,HS_CONSOLIDATED!G:G,0,0,1)</f>
        <v>-1004900000</v>
      </c>
      <c r="I127" s="30" t="n">
        <f aca="false">-_xlfn.XLOOKUP("PurchaseOfPropertyPlantAndEquipmentClassifiedAsInvestingActivities",HS_CONSOLIDATED!$C:$C,HS_CONSOLIDATED!H:H,0,0,1)</f>
        <v>-519300000</v>
      </c>
      <c r="J127" s="30" t="n">
        <f aca="false">-_xlfn.XLOOKUP("PurchaseOfPropertyPlantAndEquipmentClassifiedAsInvestingActivities",HS_CONSOLIDATED!$C:$C,HS_CONSOLIDATED!I:I,0,0,1)</f>
        <v>-767200000</v>
      </c>
      <c r="K127" s="30" t="n">
        <f aca="false">-_xlfn.XLOOKUP("PurchaseOfPropertyPlantAndEquipmentClassifiedAsInvestingActivities",HS_CONSOLIDATED!$C:$C,HS_CONSOLIDATED!J:J,0,0,1)</f>
        <v>-1006800000</v>
      </c>
      <c r="L127" s="30" t="n">
        <f aca="false">-_xlfn.XLOOKUP("PurchaseOfPropertyPlantAndEquipmentClassifiedAsInvestingActivities",HS_CONSOLIDATED!$C:$C,HS_CONSOLIDATED!K:K,0,0,1)</f>
        <v>-2273600000</v>
      </c>
      <c r="M127" s="30" t="n">
        <f aca="false">-_xlfn.XLOOKUP("PurchaseOfPropertyPlantAndEquipmentClassifiedAsInvestingActivities",HS_CONSOLIDATED!$C:$C,HS_CONSOLIDATED!L:L,0,0,1)</f>
        <v>-3706100000</v>
      </c>
    </row>
    <row r="128" customFormat="false" ht="15" hidden="false" customHeight="false" outlineLevel="0" collapsed="false">
      <c r="D128" s="6" t="s">
        <v>229</v>
      </c>
      <c r="E128" s="30" t="n">
        <f aca="false">_xlfn.XLOOKUP("ProceedsFromSalesOfInvestmentPropertyClassifiedAsInvestingActivities",HS_CONSOLIDATED!$C:$C,HS_CONSOLIDATED!D:D,0,0,1)</f>
        <v>0</v>
      </c>
      <c r="F128" s="30" t="n">
        <f aca="false">_xlfn.XLOOKUP("ProceedsFromSalesOfInvestmentPropertyClassifiedAsInvestingActivities",HS_CONSOLIDATED!$C:$C,HS_CONSOLIDATED!E:E,0,0,1)</f>
        <v>0</v>
      </c>
      <c r="G128" s="30" t="n">
        <f aca="false">_xlfn.XLOOKUP("ProceedsFromSalesOfInvestmentPropertyClassifiedAsInvestingActivities",HS_CONSOLIDATED!$C:$C,HS_CONSOLIDATED!F:F,0,0,1)</f>
        <v>497300000</v>
      </c>
      <c r="H128" s="30" t="n">
        <f aca="false">_xlfn.XLOOKUP("ProceedsFromSalesOfInvestmentPropertyClassifiedAsInvestingActivities",HS_CONSOLIDATED!$C:$C,HS_CONSOLIDATED!G:G,0,0,1)</f>
        <v>254200000</v>
      </c>
      <c r="I128" s="30" t="n">
        <f aca="false">_xlfn.XLOOKUP("ProceedsFromSalesOfInvestmentPropertyClassifiedAsInvestingActivities",HS_CONSOLIDATED!$C:$C,HS_CONSOLIDATED!H:H,0,0,1)</f>
        <v>133300000</v>
      </c>
      <c r="J128" s="30" t="n">
        <f aca="false">_xlfn.XLOOKUP("ProceedsFromSalesOfInvestmentPropertyClassifiedAsInvestingActivities",HS_CONSOLIDATED!$C:$C,HS_CONSOLIDATED!I:I,0,0,1)</f>
        <v>99300000</v>
      </c>
      <c r="K128" s="30" t="n">
        <f aca="false">_xlfn.XLOOKUP("ProceedsFromSalesOfInvestmentPropertyClassifiedAsInvestingActivities",HS_CONSOLIDATED!$C:$C,HS_CONSOLIDATED!J:J,0,0,1)</f>
        <v>101700000</v>
      </c>
      <c r="L128" s="30" t="n">
        <f aca="false">_xlfn.XLOOKUP("ProceedsFromSalesOfInvestmentPropertyClassifiedAsInvestingActivities",HS_CONSOLIDATED!$C:$C,HS_CONSOLIDATED!K:K,0,0,1)</f>
        <v>142100000</v>
      </c>
      <c r="M128" s="30" t="n">
        <f aca="false">_xlfn.XLOOKUP("ProceedsFromSalesOfInvestmentPropertyClassifiedAsInvestingActivities",HS_CONSOLIDATED!$C:$C,HS_CONSOLIDATED!L:L,0,0,1)</f>
        <v>148700000</v>
      </c>
    </row>
    <row r="129" customFormat="false" ht="15" hidden="false" customHeight="false" outlineLevel="0" collapsed="false">
      <c r="D129" s="6" t="s">
        <v>230</v>
      </c>
      <c r="E129" s="30" t="n">
        <f aca="false">-_xlfn.XLOOKUP("PurchaseOfInvestmentPropertyClassifiedAsInvestingActivities",HS_CONSOLIDATED!$C:$C,HS_CONSOLIDATED!D:D,0,0,1)</f>
        <v>-0</v>
      </c>
      <c r="F129" s="30" t="n">
        <f aca="false">-_xlfn.XLOOKUP("PurchaseOfInvestmentPropertyClassifiedAsInvestingActivities",HS_CONSOLIDATED!$C:$C,HS_CONSOLIDATED!E:E,0,0,1)</f>
        <v>-0</v>
      </c>
      <c r="G129" s="30" t="n">
        <f aca="false">-_xlfn.XLOOKUP("PurchaseOfInvestmentPropertyClassifiedAsInvestingActivities",HS_CONSOLIDATED!$C:$C,HS_CONSOLIDATED!F:F,0,0,1)</f>
        <v>-294000000</v>
      </c>
      <c r="H129" s="30" t="n">
        <f aca="false">-_xlfn.XLOOKUP("PurchaseOfInvestmentPropertyClassifiedAsInvestingActivities",HS_CONSOLIDATED!$C:$C,HS_CONSOLIDATED!G:G,0,0,1)</f>
        <v>-0</v>
      </c>
      <c r="I129" s="30" t="n">
        <f aca="false">-_xlfn.XLOOKUP("PurchaseOfInvestmentPropertyClassifiedAsInvestingActivities",HS_CONSOLIDATED!$C:$C,HS_CONSOLIDATED!H:H,0,0,1)</f>
        <v>-0</v>
      </c>
      <c r="J129" s="30" t="n">
        <f aca="false">-_xlfn.XLOOKUP("PurchaseOfInvestmentPropertyClassifiedAsInvestingActivities",HS_CONSOLIDATED!$C:$C,HS_CONSOLIDATED!I:I,0,0,1)</f>
        <v>-0</v>
      </c>
      <c r="K129" s="30" t="n">
        <f aca="false">-_xlfn.XLOOKUP("PurchaseOfInvestmentPropertyClassifiedAsInvestingActivities",HS_CONSOLIDATED!$C:$C,HS_CONSOLIDATED!J:J,0,0,1)</f>
        <v>-0</v>
      </c>
      <c r="L129" s="30" t="n">
        <f aca="false">-_xlfn.XLOOKUP("PurchaseOfInvestmentPropertyClassifiedAsInvestingActivities",HS_CONSOLIDATED!$C:$C,HS_CONSOLIDATED!K:K,0,0,1)</f>
        <v>-0</v>
      </c>
      <c r="M129" s="30" t="n">
        <f aca="false">-_xlfn.XLOOKUP("PurchaseOfInvestmentPropertyClassifiedAsInvestingActivities",HS_CONSOLIDATED!$C:$C,HS_CONSOLIDATED!L:L,0,0,1)</f>
        <v>-0</v>
      </c>
    </row>
    <row r="130" customFormat="false" ht="15" hidden="false" customHeight="false" outlineLevel="0" collapsed="false">
      <c r="D130" s="6" t="s">
        <v>231</v>
      </c>
      <c r="E130" s="30" t="n">
        <f aca="false">_xlfn.XLOOKUP("InterestReceivedClassifiedAsInvestingActivities",HS_CONSOLIDATED!$C:$C,HS_CONSOLIDATED!D:D,0,0,1)</f>
        <v>343400000</v>
      </c>
      <c r="F130" s="30" t="n">
        <f aca="false">_xlfn.XLOOKUP("InterestReceivedClassifiedAsInvestingActivities",HS_CONSOLIDATED!$C:$C,HS_CONSOLIDATED!E:E,0,0,1)</f>
        <v>368500000</v>
      </c>
      <c r="G130" s="30" t="n">
        <f aca="false">_xlfn.XLOOKUP("InterestReceivedClassifiedAsInvestingActivities",HS_CONSOLIDATED!$C:$C,HS_CONSOLIDATED!F:F,0,0,1)</f>
        <v>335100000</v>
      </c>
      <c r="H130" s="30" t="n">
        <f aca="false">_xlfn.XLOOKUP("InterestReceivedClassifiedAsInvestingActivities",HS_CONSOLIDATED!$C:$C,HS_CONSOLIDATED!G:G,0,0,1)</f>
        <v>265000000</v>
      </c>
      <c r="I130" s="30" t="n">
        <f aca="false">_xlfn.XLOOKUP("InterestReceivedClassifiedAsInvestingActivities",HS_CONSOLIDATED!$C:$C,HS_CONSOLIDATED!H:H,0,0,1)</f>
        <v>87200000</v>
      </c>
      <c r="J130" s="30" t="n">
        <f aca="false">_xlfn.XLOOKUP("InterestReceivedClassifiedAsInvestingActivities",HS_CONSOLIDATED!$C:$C,HS_CONSOLIDATED!I:I,0,0,1)</f>
        <v>164800000</v>
      </c>
      <c r="K130" s="30" t="n">
        <f aca="false">_xlfn.XLOOKUP("InterestReceivedClassifiedAsInvestingActivities",HS_CONSOLIDATED!$C:$C,HS_CONSOLIDATED!J:J,0,0,1)</f>
        <v>119800000</v>
      </c>
      <c r="L130" s="30" t="n">
        <f aca="false">_xlfn.XLOOKUP("InterestReceivedClassifiedAsInvestingActivities",HS_CONSOLIDATED!$C:$C,HS_CONSOLIDATED!K:K,0,0,1)</f>
        <v>251800000</v>
      </c>
      <c r="M130" s="30" t="n">
        <f aca="false">_xlfn.XLOOKUP("InterestReceivedClassifiedAsInvestingActivities",HS_CONSOLIDATED!$C:$C,HS_CONSOLIDATED!L:L,0,0,1)</f>
        <v>772800000</v>
      </c>
    </row>
    <row r="131" customFormat="false" ht="15" hidden="false" customHeight="false" outlineLevel="0" collapsed="false">
      <c r="D131" s="6" t="s">
        <v>232</v>
      </c>
      <c r="E131" s="30" t="n">
        <f aca="false">_xlfn.XLOOKUP("OtherInflowsOutflowsOfCashClassifiedAsInvestingActivities",HS_CONSOLIDATED!$C:$C,HS_CONSOLIDATED!D:D,0,0,1)</f>
        <v>-1493200000</v>
      </c>
      <c r="F131" s="30" t="n">
        <f aca="false">_xlfn.XLOOKUP("OtherInflowsOutflowsOfCashClassifiedAsInvestingActivities",HS_CONSOLIDATED!$C:$C,HS_CONSOLIDATED!E:E,0,0,1)</f>
        <v>5146600000</v>
      </c>
      <c r="G131" s="30" t="n">
        <f aca="false">_xlfn.XLOOKUP("OtherInflowsOutflowsOfCashClassifiedAsInvestingActivities",HS_CONSOLIDATED!$C:$C,HS_CONSOLIDATED!F:F,0,0,1)</f>
        <v>395300000</v>
      </c>
      <c r="H131" s="30" t="n">
        <f aca="false">_xlfn.XLOOKUP("OtherInflowsOutflowsOfCashClassifiedAsInvestingActivities",HS_CONSOLIDATED!$C:$C,HS_CONSOLIDATED!G:G,0,0,1)</f>
        <v>-150800000</v>
      </c>
      <c r="I131" s="30" t="n">
        <f aca="false">_xlfn.XLOOKUP("OtherInflowsOutflowsOfCashClassifiedAsInvestingActivities",HS_CONSOLIDATED!$C:$C,HS_CONSOLIDATED!H:H,0,0,1)</f>
        <v>32000000</v>
      </c>
      <c r="J131" s="30" t="n">
        <f aca="false">_xlfn.XLOOKUP("OtherInflowsOutflowsOfCashClassifiedAsInvestingActivities",HS_CONSOLIDATED!$C:$C,HS_CONSOLIDATED!I:I,0,0,1)</f>
        <v>203100000</v>
      </c>
      <c r="K131" s="30" t="n">
        <f aca="false">_xlfn.XLOOKUP("OtherInflowsOutflowsOfCashClassifiedAsInvestingActivities",HS_CONSOLIDATED!$C:$C,HS_CONSOLIDATED!J:J,0,0,1)</f>
        <v>0</v>
      </c>
      <c r="L131" s="30" t="n">
        <f aca="false">_xlfn.XLOOKUP("OtherInflowsOutflowsOfCashClassifiedAsInvestingActivities",HS_CONSOLIDATED!$C:$C,HS_CONSOLIDATED!K:K,0,0,1)</f>
        <v>-82300000</v>
      </c>
      <c r="M131" s="30" t="n">
        <f aca="false">_xlfn.XLOOKUP("OtherInflowsOutflowsOfCashClassifiedAsInvestingActivities",HS_CONSOLIDATED!$C:$C,HS_CONSOLIDATED!L:L,0,0,1)</f>
        <v>-341400000</v>
      </c>
    </row>
    <row r="132" customFormat="false" ht="15" hidden="false" customHeight="false" outlineLevel="0" collapsed="false">
      <c r="A132" s="31"/>
      <c r="B132" s="31"/>
      <c r="C132" s="31"/>
      <c r="D132" s="32" t="s">
        <v>233</v>
      </c>
      <c r="E132" s="33" t="n">
        <f aca="false">IFERROR(SUM(E122:E131),0)</f>
        <v>-6502700000</v>
      </c>
      <c r="F132" s="33" t="n">
        <f aca="false">IFERROR(SUM(F122:F131),0)</f>
        <v>-1334600000</v>
      </c>
      <c r="G132" s="33" t="n">
        <f aca="false">IFERROR(SUM(G122:G131),0)</f>
        <v>1251500000</v>
      </c>
      <c r="H132" s="33" t="n">
        <f aca="false">IFERROR(SUM(H122:H131),0)</f>
        <v>-324600000</v>
      </c>
      <c r="I132" s="33" t="n">
        <f aca="false">IFERROR(SUM(I122:I131),0)</f>
        <v>-237300000</v>
      </c>
      <c r="J132" s="33" t="n">
        <f aca="false">IFERROR(SUM(J122:J131),0)</f>
        <v>-184300000</v>
      </c>
      <c r="K132" s="33" t="n">
        <f aca="false">IFERROR(SUM(K122:K131),0)</f>
        <v>849100000</v>
      </c>
      <c r="L132" s="33" t="n">
        <f aca="false">IFERROR(SUM(L122:L131),0)</f>
        <v>-1515500000</v>
      </c>
      <c r="M132" s="33" t="n">
        <f aca="false">IFERROR(SUM(M122:M131),0)</f>
        <v>-7517400000</v>
      </c>
    </row>
    <row r="133" customFormat="false" ht="15" hidden="false" customHeight="false" outlineLevel="0" collapsed="false">
      <c r="A133" s="28"/>
      <c r="B133" s="28"/>
      <c r="C133" s="29" t="s">
        <v>234</v>
      </c>
      <c r="D133" s="28"/>
      <c r="E133" s="28"/>
      <c r="F133" s="28"/>
      <c r="G133" s="28"/>
      <c r="H133" s="28"/>
      <c r="I133" s="28"/>
      <c r="J133" s="28"/>
      <c r="K133" s="28"/>
      <c r="L133" s="28"/>
      <c r="M133" s="28"/>
    </row>
    <row r="134" customFormat="false" ht="15" hidden="false" customHeight="false" outlineLevel="0" collapsed="false">
      <c r="D134" s="6" t="s">
        <v>235</v>
      </c>
      <c r="E134" s="30" t="n">
        <f aca="false">_xlfn.XLOOKUP("ProceedsFromIssuingSharesClassifiedAsFinancingActivities",HS_CONSOLIDATED!$C:$C,HS_CONSOLIDATED!D:D,0,0,1)</f>
        <v>0</v>
      </c>
      <c r="F134" s="30" t="n">
        <f aca="false">_xlfn.XLOOKUP("ProceedsFromIssuingSharesClassifiedAsFinancingActivities",HS_CONSOLIDATED!$C:$C,HS_CONSOLIDATED!E:E,0,0,1)</f>
        <v>0</v>
      </c>
      <c r="G134" s="30" t="n">
        <f aca="false">_xlfn.XLOOKUP("ProceedsFromIssuingSharesClassifiedAsFinancingActivities",HS_CONSOLIDATED!$C:$C,HS_CONSOLIDATED!F:F,0,0,1)</f>
        <v>0</v>
      </c>
      <c r="H134" s="30" t="n">
        <f aca="false">_xlfn.XLOOKUP("ProceedsFromIssuingSharesClassifiedAsFinancingActivities",HS_CONSOLIDATED!$C:$C,HS_CONSOLIDATED!G:G,0,0,1)</f>
        <v>0</v>
      </c>
      <c r="I134" s="30" t="n">
        <f aca="false">_xlfn.XLOOKUP("ProceedsFromIssuingSharesClassifiedAsFinancingActivities",HS_CONSOLIDATED!$C:$C,HS_CONSOLIDATED!H:H,0,0,1)</f>
        <v>3421600000</v>
      </c>
      <c r="J134" s="30" t="n">
        <f aca="false">_xlfn.XLOOKUP("ProceedsFromIssuingSharesClassifiedAsFinancingActivities",HS_CONSOLIDATED!$C:$C,HS_CONSOLIDATED!I:I,0,0,1)</f>
        <v>0</v>
      </c>
      <c r="K134" s="30" t="n">
        <f aca="false">_xlfn.XLOOKUP("ProceedsFromIssuingSharesClassifiedAsFinancingActivities",HS_CONSOLIDATED!$C:$C,HS_CONSOLIDATED!J:J,0,0,1)</f>
        <v>0</v>
      </c>
      <c r="L134" s="30" t="n">
        <f aca="false">_xlfn.XLOOKUP("ProceedsFromIssuingSharesClassifiedAsFinancingActivities",HS_CONSOLIDATED!$C:$C,HS_CONSOLIDATED!K:K,0,0,1)</f>
        <v>20652100000</v>
      </c>
      <c r="M134" s="30" t="n">
        <f aca="false">_xlfn.XLOOKUP("ProceedsFromIssuingSharesClassifiedAsFinancingActivities",HS_CONSOLIDATED!$C:$C,HS_CONSOLIDATED!L:L,0,0,1)</f>
        <v>221600000</v>
      </c>
    </row>
    <row r="135" customFormat="false" ht="15" hidden="false" customHeight="false" outlineLevel="0" collapsed="false">
      <c r="D135" s="6" t="s">
        <v>236</v>
      </c>
      <c r="E135" s="30" t="n">
        <f aca="false">_xlfn.XLOOKUP("ProceedsFromIssuingOtherEquityInstruments",HS_CONSOLIDATED!$C:$C,HS_CONSOLIDATED!D:D,0,0,1)</f>
        <v>0</v>
      </c>
      <c r="F135" s="30" t="n">
        <f aca="false">_xlfn.XLOOKUP("ProceedsFromIssuingOtherEquityInstruments",HS_CONSOLIDATED!$C:$C,HS_CONSOLIDATED!E:E,0,0,1)</f>
        <v>0</v>
      </c>
      <c r="G135" s="30" t="n">
        <f aca="false">_xlfn.XLOOKUP("ProceedsFromIssuingOtherEquityInstruments",HS_CONSOLIDATED!$C:$C,HS_CONSOLIDATED!F:F,0,0,1)</f>
        <v>0</v>
      </c>
      <c r="H135" s="30" t="n">
        <f aca="false">_xlfn.XLOOKUP("ProceedsFromIssuingOtherEquityInstruments",HS_CONSOLIDATED!$C:$C,HS_CONSOLIDATED!G:G,0,0,1)</f>
        <v>0</v>
      </c>
      <c r="I135" s="30" t="n">
        <f aca="false">_xlfn.XLOOKUP("ProceedsFromIssuingOtherEquityInstruments",HS_CONSOLIDATED!$C:$C,HS_CONSOLIDATED!H:H,0,0,1)</f>
        <v>0</v>
      </c>
      <c r="J135" s="30" t="n">
        <f aca="false">_xlfn.XLOOKUP("ProceedsFromIssuingOtherEquityInstruments",HS_CONSOLIDATED!$C:$C,HS_CONSOLIDATED!I:I,0,0,1)</f>
        <v>0</v>
      </c>
      <c r="K135" s="30" t="n">
        <f aca="false">_xlfn.XLOOKUP("ProceedsFromIssuingOtherEquityInstruments",HS_CONSOLIDATED!$C:$C,HS_CONSOLIDATED!J:J,0,0,1)</f>
        <v>10796700000</v>
      </c>
      <c r="L135" s="30" t="n">
        <f aca="false">_xlfn.XLOOKUP("ProceedsFromIssuingOtherEquityInstruments",HS_CONSOLIDATED!$C:$C,HS_CONSOLIDATED!K:K,0,0,1)</f>
        <v>0</v>
      </c>
      <c r="M135" s="30" t="n">
        <f aca="false">_xlfn.XLOOKUP("ProceedsFromIssuingOtherEquityInstruments",HS_CONSOLIDATED!$C:$C,HS_CONSOLIDATED!L:L,0,0,1)</f>
        <v>0</v>
      </c>
    </row>
    <row r="136" customFormat="false" ht="15" hidden="false" customHeight="false" outlineLevel="0" collapsed="false">
      <c r="D136" s="6" t="s">
        <v>237</v>
      </c>
      <c r="E136" s="30" t="n">
        <f aca="false">_xlfn.XLOOKUP("ProceedsFromIssuingDebenturesNotesBondsEtc",HS_CONSOLIDATED!$C:$C,HS_CONSOLIDATED!D:D,0,0,1)</f>
        <v>0</v>
      </c>
      <c r="F136" s="30" t="n">
        <f aca="false">_xlfn.XLOOKUP("ProceedsFromIssuingDebenturesNotesBondsEtc",HS_CONSOLIDATED!$C:$C,HS_CONSOLIDATED!E:E,0,0,1)</f>
        <v>0</v>
      </c>
      <c r="G136" s="30" t="n">
        <f aca="false">_xlfn.XLOOKUP("ProceedsFromIssuingDebenturesNotesBondsEtc",HS_CONSOLIDATED!$C:$C,HS_CONSOLIDATED!F:F,0,0,1)</f>
        <v>0</v>
      </c>
      <c r="H136" s="30" t="n">
        <f aca="false">_xlfn.XLOOKUP("ProceedsFromIssuingDebenturesNotesBondsEtc",HS_CONSOLIDATED!$C:$C,HS_CONSOLIDATED!G:G,0,0,1)</f>
        <v>0</v>
      </c>
      <c r="I136" s="30" t="n">
        <f aca="false">_xlfn.XLOOKUP("ProceedsFromIssuingDebenturesNotesBondsEtc",HS_CONSOLIDATED!$C:$C,HS_CONSOLIDATED!H:H,0,0,1)</f>
        <v>499800000</v>
      </c>
      <c r="J136" s="30" t="n">
        <f aca="false">_xlfn.XLOOKUP("ProceedsFromIssuingDebenturesNotesBondsEtc",HS_CONSOLIDATED!$C:$C,HS_CONSOLIDATED!I:I,0,0,1)</f>
        <v>0</v>
      </c>
      <c r="K136" s="30" t="n">
        <f aca="false">_xlfn.XLOOKUP("ProceedsFromIssuingDebenturesNotesBondsEtc",HS_CONSOLIDATED!$C:$C,HS_CONSOLIDATED!J:J,0,0,1)</f>
        <v>0</v>
      </c>
      <c r="L136" s="30" t="n">
        <f aca="false">_xlfn.XLOOKUP("ProceedsFromIssuingDebenturesNotesBondsEtc",HS_CONSOLIDATED!$C:$C,HS_CONSOLIDATED!K:K,0,0,1)</f>
        <v>0</v>
      </c>
      <c r="M136" s="30" t="n">
        <f aca="false">_xlfn.XLOOKUP("ProceedsFromIssuingDebenturesNotesBondsEtc",HS_CONSOLIDATED!$C:$C,HS_CONSOLIDATED!L:L,0,0,1)</f>
        <v>0</v>
      </c>
    </row>
    <row r="137" customFormat="false" ht="15" hidden="false" customHeight="false" outlineLevel="0" collapsed="false">
      <c r="D137" s="6" t="s">
        <v>238</v>
      </c>
      <c r="E137" s="30" t="n">
        <f aca="false">_xlfn.XLOOKUP("ProceedsFromBorrowingsClassifiedAsFinancingActivities",HS_CONSOLIDATED!$C:$C,HS_CONSOLIDATED!D:D,0,0,1)</f>
        <v>4760100000</v>
      </c>
      <c r="F137" s="30" t="n">
        <f aca="false">_xlfn.XLOOKUP("ProceedsFromBorrowingsClassifiedAsFinancingActivities",HS_CONSOLIDATED!$C:$C,HS_CONSOLIDATED!E:E,0,0,1)</f>
        <v>20617300000</v>
      </c>
      <c r="G137" s="30" t="n">
        <f aca="false">_xlfn.XLOOKUP("ProceedsFromBorrowingsClassifiedAsFinancingActivities",HS_CONSOLIDATED!$C:$C,HS_CONSOLIDATED!F:F,0,0,1)</f>
        <v>-4922000000</v>
      </c>
      <c r="H137" s="30" t="n">
        <f aca="false">_xlfn.XLOOKUP("ProceedsFromBorrowingsClassifiedAsFinancingActivities",HS_CONSOLIDATED!$C:$C,HS_CONSOLIDATED!G:G,0,0,1)</f>
        <v>55872200000</v>
      </c>
      <c r="I137" s="30" t="n">
        <f aca="false">_xlfn.XLOOKUP("ProceedsFromBorrowingsClassifiedAsFinancingActivities",HS_CONSOLIDATED!$C:$C,HS_CONSOLIDATED!H:H,0,0,1)</f>
        <v>-1184800000</v>
      </c>
      <c r="J137" s="30" t="n">
        <f aca="false">_xlfn.XLOOKUP("ProceedsFromBorrowingsClassifiedAsFinancingActivities",HS_CONSOLIDATED!$C:$C,HS_CONSOLIDATED!I:I,0,0,1)</f>
        <v>-1485500000</v>
      </c>
      <c r="K137" s="30" t="n">
        <f aca="false">_xlfn.XLOOKUP("ProceedsFromBorrowingsClassifiedAsFinancingActivities",HS_CONSOLIDATED!$C:$C,HS_CONSOLIDATED!J:J,0,0,1)</f>
        <v>30447000000</v>
      </c>
      <c r="L137" s="30" t="n">
        <f aca="false">_xlfn.XLOOKUP("ProceedsFromBorrowingsClassifiedAsFinancingActivities",HS_CONSOLIDATED!$C:$C,HS_CONSOLIDATED!K:K,0,0,1)</f>
        <v>0</v>
      </c>
      <c r="M137" s="30" t="n">
        <f aca="false">_xlfn.XLOOKUP("ProceedsFromBorrowingsClassifiedAsFinancingActivities",HS_CONSOLIDATED!$C:$C,HS_CONSOLIDATED!L:L,0,0,1)</f>
        <v>0</v>
      </c>
    </row>
    <row r="138" customFormat="false" ht="15" hidden="false" customHeight="false" outlineLevel="0" collapsed="false">
      <c r="D138" s="6" t="s">
        <v>239</v>
      </c>
      <c r="E138" s="30" t="n">
        <f aca="false">-_xlfn.XLOOKUP("RepaymentsOfBorrowingsClassifiedAsFinancingActivities",HS_CONSOLIDATED!$C:$C,HS_CONSOLIDATED!D:D,0,0,1)</f>
        <v>-6970000000</v>
      </c>
      <c r="F138" s="30" t="n">
        <f aca="false">-_xlfn.XLOOKUP("RepaymentsOfBorrowingsClassifiedAsFinancingActivities",HS_CONSOLIDATED!$C:$C,HS_CONSOLIDATED!E:E,0,0,1)</f>
        <v>-5216100000</v>
      </c>
      <c r="G138" s="30" t="n">
        <f aca="false">-_xlfn.XLOOKUP("RepaymentsOfBorrowingsClassifiedAsFinancingActivities",HS_CONSOLIDATED!$C:$C,HS_CONSOLIDATED!F:F,0,0,1)</f>
        <v>-3035700000</v>
      </c>
      <c r="H138" s="30" t="n">
        <f aca="false">-_xlfn.XLOOKUP("RepaymentsOfBorrowingsClassifiedAsFinancingActivities",HS_CONSOLIDATED!$C:$C,HS_CONSOLIDATED!G:G,0,0,1)</f>
        <v>-41745300000</v>
      </c>
      <c r="I138" s="30" t="n">
        <f aca="false">-_xlfn.XLOOKUP("RepaymentsOfBorrowingsClassifiedAsFinancingActivities",HS_CONSOLIDATED!$C:$C,HS_CONSOLIDATED!H:H,0,0,1)</f>
        <v>-1914200000</v>
      </c>
      <c r="J138" s="30" t="n">
        <f aca="false">-_xlfn.XLOOKUP("RepaymentsOfBorrowingsClassifiedAsFinancingActivities",HS_CONSOLIDATED!$C:$C,HS_CONSOLIDATED!I:I,0,0,1)</f>
        <v>-5748100000</v>
      </c>
      <c r="K138" s="30" t="n">
        <f aca="false">-_xlfn.XLOOKUP("RepaymentsOfBorrowingsClassifiedAsFinancingActivities",HS_CONSOLIDATED!$C:$C,HS_CONSOLIDATED!J:J,0,0,1)</f>
        <v>-43835300000</v>
      </c>
      <c r="L138" s="30" t="n">
        <f aca="false">-_xlfn.XLOOKUP("RepaymentsOfBorrowingsClassifiedAsFinancingActivities",HS_CONSOLIDATED!$C:$C,HS_CONSOLIDATED!K:K,0,0,1)</f>
        <v>-18033600000</v>
      </c>
      <c r="M138" s="30" t="n">
        <f aca="false">-_xlfn.XLOOKUP("RepaymentsOfBorrowingsClassifiedAsFinancingActivities",HS_CONSOLIDATED!$C:$C,HS_CONSOLIDATED!L:L,0,0,1)</f>
        <v>4194600000</v>
      </c>
    </row>
    <row r="139" customFormat="false" ht="15" hidden="false" customHeight="false" outlineLevel="0" collapsed="false">
      <c r="D139" s="6" t="s">
        <v>240</v>
      </c>
      <c r="E139" s="30" t="n">
        <f aca="false">-_xlfn.XLOOKUP("PaymentsOfLeaseLiabilitiesClassifiedAsFinancingActivities",HS_CONSOLIDATED!$C:$C,HS_CONSOLIDATED!D:D,0,0,1)</f>
        <v>-0</v>
      </c>
      <c r="F139" s="30" t="n">
        <f aca="false">-_xlfn.XLOOKUP("PaymentsOfLeaseLiabilitiesClassifiedAsFinancingActivities",HS_CONSOLIDATED!$C:$C,HS_CONSOLIDATED!E:E,0,0,1)</f>
        <v>-0</v>
      </c>
      <c r="G139" s="30" t="n">
        <f aca="false">-_xlfn.XLOOKUP("PaymentsOfLeaseLiabilitiesClassifiedAsFinancingActivities",HS_CONSOLIDATED!$C:$C,HS_CONSOLIDATED!F:F,0,0,1)</f>
        <v>-0</v>
      </c>
      <c r="H139" s="30" t="n">
        <f aca="false">-_xlfn.XLOOKUP("PaymentsOfLeaseLiabilitiesClassifiedAsFinancingActivities",HS_CONSOLIDATED!$C:$C,HS_CONSOLIDATED!G:G,0,0,1)</f>
        <v>-0</v>
      </c>
      <c r="I139" s="30" t="n">
        <f aca="false">-_xlfn.XLOOKUP("PaymentsOfLeaseLiabilitiesClassifiedAsFinancingActivities",HS_CONSOLIDATED!$C:$C,HS_CONSOLIDATED!H:H,0,0,1)</f>
        <v>-0</v>
      </c>
      <c r="J139" s="30" t="n">
        <f aca="false">-_xlfn.XLOOKUP("PaymentsOfLeaseLiabilitiesClassifiedAsFinancingActivities",HS_CONSOLIDATED!$C:$C,HS_CONSOLIDATED!I:I,0,0,1)</f>
        <v>-0</v>
      </c>
      <c r="K139" s="30" t="n">
        <f aca="false">-_xlfn.XLOOKUP("PaymentsOfLeaseLiabilitiesClassifiedAsFinancingActivities",HS_CONSOLIDATED!$C:$C,HS_CONSOLIDATED!J:J,0,0,1)</f>
        <v>-0</v>
      </c>
      <c r="L139" s="30" t="n">
        <f aca="false">-_xlfn.XLOOKUP("PaymentsOfLeaseLiabilitiesClassifiedAsFinancingActivities",HS_CONSOLIDATED!$C:$C,HS_CONSOLIDATED!K:K,0,0,1)</f>
        <v>-231600000</v>
      </c>
      <c r="M139" s="30" t="n">
        <f aca="false">-_xlfn.XLOOKUP("PaymentsOfLeaseLiabilitiesClassifiedAsFinancingActivities",HS_CONSOLIDATED!$C:$C,HS_CONSOLIDATED!L:L,0,0,1)</f>
        <v>-283700000</v>
      </c>
    </row>
    <row r="140" customFormat="false" ht="15" hidden="false" customHeight="false" outlineLevel="0" collapsed="false">
      <c r="D140" s="6" t="s">
        <v>241</v>
      </c>
      <c r="E140" s="30" t="n">
        <f aca="false">-_xlfn.XLOOKUP("InterestPaidClassifiedAsFinancingActivities",HS_CONSOLIDATED!$C:$C,HS_CONSOLIDATED!D:D,0,0,1)</f>
        <v>-10280300000</v>
      </c>
      <c r="F140" s="30" t="n">
        <f aca="false">-_xlfn.XLOOKUP("InterestPaidClassifiedAsFinancingActivities",HS_CONSOLIDATED!$C:$C,HS_CONSOLIDATED!E:E,0,0,1)</f>
        <v>-10477400000</v>
      </c>
      <c r="G140" s="30" t="n">
        <f aca="false">-_xlfn.XLOOKUP("InterestPaidClassifiedAsFinancingActivities",HS_CONSOLIDATED!$C:$C,HS_CONSOLIDATED!F:F,0,0,1)</f>
        <v>-11025700000</v>
      </c>
      <c r="H140" s="30" t="n">
        <f aca="false">-_xlfn.XLOOKUP("InterestPaidClassifiedAsFinancingActivities",HS_CONSOLIDATED!$C:$C,HS_CONSOLIDATED!G:G,0,0,1)</f>
        <v>-4434500000</v>
      </c>
      <c r="I140" s="30" t="n">
        <f aca="false">-_xlfn.XLOOKUP("InterestPaidClassifiedAsFinancingActivities",HS_CONSOLIDATED!$C:$C,HS_CONSOLIDATED!H:H,0,0,1)</f>
        <v>-4088400000</v>
      </c>
      <c r="J140" s="30" t="n">
        <f aca="false">-_xlfn.XLOOKUP("InterestPaidClassifiedAsFinancingActivities",HS_CONSOLIDATED!$C:$C,HS_CONSOLIDATED!I:I,0,0,1)</f>
        <v>-3215900000</v>
      </c>
      <c r="K140" s="30" t="n">
        <f aca="false">-_xlfn.XLOOKUP("InterestPaidClassifiedAsFinancingActivities",HS_CONSOLIDATED!$C:$C,HS_CONSOLIDATED!J:J,0,0,1)</f>
        <v>-4253300000</v>
      </c>
      <c r="L140" s="30" t="n">
        <f aca="false">-_xlfn.XLOOKUP("InterestPaidClassifiedAsFinancingActivities",HS_CONSOLIDATED!$C:$C,HS_CONSOLIDATED!K:K,0,0,1)</f>
        <v>-0</v>
      </c>
      <c r="M140" s="30" t="n">
        <f aca="false">-_xlfn.XLOOKUP("InterestPaidClassifiedAsFinancingActivities",HS_CONSOLIDATED!$C:$C,HS_CONSOLIDATED!L:L,0,0,1)</f>
        <v>-0</v>
      </c>
    </row>
    <row r="141" customFormat="false" ht="15" hidden="false" customHeight="false" outlineLevel="0" collapsed="false">
      <c r="D141" s="6" t="s">
        <v>232</v>
      </c>
      <c r="E141" s="30" t="n">
        <f aca="false">_xlfn.XLOOKUP("OtherInflowsOutflowsOfCashClassifiedAsFinancingActivities",HS_CONSOLIDATED!$C:$C,HS_CONSOLIDATED!D:D,0,0,1)</f>
        <v>0</v>
      </c>
      <c r="F141" s="30" t="n">
        <f aca="false">_xlfn.XLOOKUP("OtherInflowsOutflowsOfCashClassifiedAsFinancingActivities",HS_CONSOLIDATED!$C:$C,HS_CONSOLIDATED!E:E,0,0,1)</f>
        <v>0</v>
      </c>
      <c r="G141" s="30" t="n">
        <f aca="false">_xlfn.XLOOKUP("OtherInflowsOutflowsOfCashClassifiedAsFinancingActivities",HS_CONSOLIDATED!$C:$C,HS_CONSOLIDATED!F:F,0,0,1)</f>
        <v>0</v>
      </c>
      <c r="H141" s="30" t="n">
        <f aca="false">_xlfn.XLOOKUP("OtherInflowsOutflowsOfCashClassifiedAsFinancingActivities",HS_CONSOLIDATED!$C:$C,HS_CONSOLIDATED!G:G,0,0,1)</f>
        <v>0</v>
      </c>
      <c r="I141" s="30" t="n">
        <f aca="false">_xlfn.XLOOKUP("OtherInflowsOutflowsOfCashClassifiedAsFinancingActivities",HS_CONSOLIDATED!$C:$C,HS_CONSOLIDATED!H:H,0,0,1)</f>
        <v>0</v>
      </c>
      <c r="J141" s="30" t="n">
        <f aca="false">_xlfn.XLOOKUP("OtherInflowsOutflowsOfCashClassifiedAsFinancingActivities",HS_CONSOLIDATED!$C:$C,HS_CONSOLIDATED!I:I,0,0,1)</f>
        <v>0</v>
      </c>
      <c r="K141" s="30" t="n">
        <f aca="false">_xlfn.XLOOKUP("OtherInflowsOutflowsOfCashClassifiedAsFinancingActivities",HS_CONSOLIDATED!$C:$C,HS_CONSOLIDATED!J:J,0,0,1)</f>
        <v>0</v>
      </c>
      <c r="L141" s="30" t="n">
        <f aca="false">_xlfn.XLOOKUP("OtherInflowsOutflowsOfCashClassifiedAsFinancingActivities",HS_CONSOLIDATED!$C:$C,HS_CONSOLIDATED!K:K,0,0,1)</f>
        <v>-1070600000</v>
      </c>
      <c r="M141" s="30" t="n">
        <f aca="false">_xlfn.XLOOKUP("OtherInflowsOutflowsOfCashClassifiedAsFinancingActivities",HS_CONSOLIDATED!$C:$C,HS_CONSOLIDATED!L:L,0,0,1)</f>
        <v>-702400000</v>
      </c>
    </row>
    <row r="142" customFormat="false" ht="15" hidden="false" customHeight="false" outlineLevel="0" collapsed="false">
      <c r="A142" s="31"/>
      <c r="B142" s="31"/>
      <c r="C142" s="31"/>
      <c r="D142" s="32" t="s">
        <v>242</v>
      </c>
      <c r="E142" s="33" t="n">
        <f aca="false">IFERROR(SUM(E134:E141),0)</f>
        <v>-12490200000</v>
      </c>
      <c r="F142" s="33" t="n">
        <f aca="false">IFERROR(SUM(F134:F141),0)</f>
        <v>4923800000</v>
      </c>
      <c r="G142" s="33" t="n">
        <f aca="false">IFERROR(SUM(G134:G141),0)</f>
        <v>-18983400000</v>
      </c>
      <c r="H142" s="33" t="n">
        <f aca="false">IFERROR(SUM(H134:H141),0)</f>
        <v>9692400000</v>
      </c>
      <c r="I142" s="33" t="n">
        <f aca="false">IFERROR(SUM(I134:I141),0)</f>
        <v>-3266000000</v>
      </c>
      <c r="J142" s="33" t="n">
        <f aca="false">IFERROR(SUM(J134:J141),0)</f>
        <v>-10449500000</v>
      </c>
      <c r="K142" s="33" t="n">
        <f aca="false">IFERROR(SUM(K134:K141),0)</f>
        <v>-6844900000</v>
      </c>
      <c r="L142" s="33" t="n">
        <f aca="false">IFERROR(SUM(L134:L141),0)</f>
        <v>1316300000</v>
      </c>
      <c r="M142" s="33" t="n">
        <f aca="false">IFERROR(SUM(M134:M141),0)</f>
        <v>3430100000</v>
      </c>
    </row>
    <row r="143" customFormat="false" ht="15" hidden="false" customHeight="false" outlineLevel="0" collapsed="false">
      <c r="A143" s="31"/>
      <c r="B143" s="31"/>
      <c r="C143" s="31"/>
      <c r="D143" s="32" t="s">
        <v>243</v>
      </c>
      <c r="E143" s="33" t="n">
        <f aca="false">IFERROR(E120+E132+E142,0)</f>
        <v>-2904600000</v>
      </c>
      <c r="F143" s="33" t="n">
        <f aca="false">IFERROR(F120+F132+F142,0)</f>
        <v>2494800000</v>
      </c>
      <c r="G143" s="33" t="n">
        <f aca="false">IFERROR(G120+G132+G142,0)</f>
        <v>-5064500000</v>
      </c>
      <c r="H143" s="33" t="n">
        <f aca="false">IFERROR(H120+H132+H142,0)</f>
        <v>77400000</v>
      </c>
      <c r="I143" s="33" t="n">
        <f aca="false">IFERROR(I120+I132+I142,0)</f>
        <v>1801700000</v>
      </c>
      <c r="J143" s="33" t="n">
        <f aca="false">IFERROR(J120+J132+J142,0)</f>
        <v>2385200000</v>
      </c>
      <c r="K143" s="33" t="n">
        <f aca="false">IFERROR(K120+K132+K142,0)</f>
        <v>-1329200000</v>
      </c>
      <c r="L143" s="33" t="n">
        <f aca="false">IFERROR(L120+L132+L142,0)</f>
        <v>596100000</v>
      </c>
      <c r="M143" s="33" t="n">
        <f aca="false">IFERROR(M120+M132+M142,0)</f>
        <v>6832300000</v>
      </c>
    </row>
    <row r="144" customFormat="false" ht="15" hidden="false" customHeight="false" outlineLevel="0" collapsed="false">
      <c r="A144" s="28"/>
      <c r="B144" s="28"/>
      <c r="C144" s="29" t="s">
        <v>244</v>
      </c>
      <c r="D144" s="28"/>
      <c r="E144" s="28"/>
      <c r="F144" s="28"/>
      <c r="G144" s="28"/>
      <c r="H144" s="28"/>
      <c r="I144" s="28"/>
      <c r="J144" s="28"/>
      <c r="K144" s="28"/>
      <c r="L144" s="28"/>
      <c r="M144" s="28"/>
    </row>
    <row r="145" customFormat="false" ht="15" hidden="false" customHeight="false" outlineLevel="0" collapsed="false">
      <c r="D145" s="6" t="s">
        <v>244</v>
      </c>
      <c r="E145" s="30" t="n">
        <f aca="false">_xlfn.XLOOKUP("EffectOfExchangeRateChangesOnCashAndCashEquivalents",HS_CONSOLIDATED!$C:$C,HS_CONSOLIDATED!D:D,0,0,1)</f>
        <v>0</v>
      </c>
      <c r="F145" s="30" t="n">
        <f aca="false">_xlfn.XLOOKUP("EffectOfExchangeRateChangesOnCashAndCashEquivalents",HS_CONSOLIDATED!$C:$C,HS_CONSOLIDATED!E:E,0,0,1)</f>
        <v>-45300000</v>
      </c>
      <c r="G145" s="30" t="n">
        <f aca="false">_xlfn.XLOOKUP("EffectOfExchangeRateChangesOnCashAndCashEquivalents",HS_CONSOLIDATED!$C:$C,HS_CONSOLIDATED!F:F,0,0,1)</f>
        <v>0</v>
      </c>
      <c r="H145" s="30" t="n">
        <f aca="false">_xlfn.XLOOKUP("EffectOfExchangeRateChangesOnCashAndCashEquivalents",HS_CONSOLIDATED!$C:$C,HS_CONSOLIDATED!G:G,0,0,1)</f>
        <v>-300000</v>
      </c>
      <c r="I145" s="30" t="n">
        <f aca="false">_xlfn.XLOOKUP("EffectOfExchangeRateChangesOnCashAndCashEquivalents",HS_CONSOLIDATED!$C:$C,HS_CONSOLIDATED!H:H,0,0,1)</f>
        <v>0</v>
      </c>
      <c r="J145" s="30" t="n">
        <f aca="false">_xlfn.XLOOKUP("EffectOfExchangeRateChangesOnCashAndCashEquivalents",HS_CONSOLIDATED!$C:$C,HS_CONSOLIDATED!I:I,0,0,1)</f>
        <v>-5900000</v>
      </c>
      <c r="K145" s="30" t="n">
        <f aca="false">_xlfn.XLOOKUP("EffectOfExchangeRateChangesOnCashAndCashEquivalents",HS_CONSOLIDATED!$C:$C,HS_CONSOLIDATED!J:J,0,0,1)</f>
        <v>-2000000</v>
      </c>
      <c r="L145" s="30" t="n">
        <f aca="false">_xlfn.XLOOKUP("EffectOfExchangeRateChangesOnCashAndCashEquivalents",HS_CONSOLIDATED!$C:$C,HS_CONSOLIDATED!K:K,0,0,1)</f>
        <v>-800000</v>
      </c>
      <c r="M145" s="30" t="n">
        <f aca="false">_xlfn.XLOOKUP("EffectOfExchangeRateChangesOnCashAndCashEquivalents",HS_CONSOLIDATED!$C:$C,HS_CONSOLIDATED!L:L,0,0,1)</f>
        <v>27600000</v>
      </c>
    </row>
    <row r="146" customFormat="false" ht="15" hidden="false" customHeight="false" outlineLevel="0" collapsed="false">
      <c r="A146" s="31"/>
      <c r="B146" s="31"/>
      <c r="C146" s="31"/>
      <c r="D146" s="32" t="s">
        <v>245</v>
      </c>
      <c r="E146" s="33" t="n">
        <f aca="false">IFERROR(E143+E145,0)</f>
        <v>-2904600000</v>
      </c>
      <c r="F146" s="33" t="n">
        <f aca="false">IFERROR(F143+F145,0)</f>
        <v>2449500000</v>
      </c>
      <c r="G146" s="33" t="n">
        <f aca="false">IFERROR(G143+G145,0)</f>
        <v>-5064500000</v>
      </c>
      <c r="H146" s="33" t="n">
        <f aca="false">IFERROR(H143+H145,0)</f>
        <v>77100000</v>
      </c>
      <c r="I146" s="33" t="n">
        <f aca="false">IFERROR(I143+I145,0)</f>
        <v>1801700000</v>
      </c>
      <c r="J146" s="33" t="n">
        <f aca="false">IFERROR(J143+J145,0)</f>
        <v>2379300000</v>
      </c>
      <c r="K146" s="33" t="n">
        <f aca="false">IFERROR(K143+K145,0)</f>
        <v>-1331200000</v>
      </c>
      <c r="L146" s="33" t="n">
        <f aca="false">IFERROR(L143+L145,0)</f>
        <v>595300000</v>
      </c>
      <c r="M146" s="33" t="n">
        <f aca="false">IFERROR(M143+M145,0)</f>
        <v>6859900000</v>
      </c>
    </row>
    <row r="147" customFormat="false" ht="15" hidden="false" customHeight="false" outlineLevel="0" collapsed="false">
      <c r="A147" s="31"/>
      <c r="B147" s="31"/>
      <c r="C147" s="31"/>
      <c r="D147" s="32" t="s">
        <v>246</v>
      </c>
      <c r="E147" s="33" t="n">
        <f aca="false">IFERROR(E148-E146,0)</f>
        <v>6265800000</v>
      </c>
      <c r="F147" s="33" t="n">
        <f aca="false">IFERROR(F148-F146,0)</f>
        <v>3361200000</v>
      </c>
      <c r="G147" s="33" t="n">
        <f aca="false">IFERROR(G148-G146,0)</f>
        <v>5810700000</v>
      </c>
      <c r="H147" s="33" t="n">
        <f aca="false">IFERROR(H148-H146,0)</f>
        <v>746200000</v>
      </c>
      <c r="I147" s="33" t="n">
        <f aca="false">IFERROR(I148-I146,0)</f>
        <v>823300000</v>
      </c>
      <c r="J147" s="33" t="n">
        <f aca="false">IFERROR(J148-J146,0)</f>
        <v>2625000000</v>
      </c>
      <c r="K147" s="33" t="n">
        <f aca="false">IFERROR(K148-K146,0)</f>
        <v>5004300000</v>
      </c>
      <c r="L147" s="33" t="n">
        <f aca="false">IFERROR(L148-L146,0)</f>
        <v>3673100000</v>
      </c>
      <c r="M147" s="33" t="n">
        <f aca="false">IFERROR(M148-M146,0)</f>
        <v>4268400000</v>
      </c>
    </row>
    <row r="148" customFormat="false" ht="15" hidden="false" customHeight="false" outlineLevel="0" collapsed="false">
      <c r="D148" s="6" t="s">
        <v>247</v>
      </c>
      <c r="E148" s="30" t="n">
        <f aca="false">_xlfn.XLOOKUP("CashAndCashEquivalentsCashFlowStatement",HS_CONSOLIDATED!$C:$C,HS_CONSOLIDATED!D:D,0,0,1)</f>
        <v>3361200000</v>
      </c>
      <c r="F148" s="30" t="n">
        <f aca="false">_xlfn.XLOOKUP("CashAndCashEquivalentsCashFlowStatement",HS_CONSOLIDATED!$C:$C,HS_CONSOLIDATED!E:E,0,0,1)</f>
        <v>5810700000</v>
      </c>
      <c r="G148" s="30" t="n">
        <f aca="false">_xlfn.XLOOKUP("CashAndCashEquivalentsCashFlowStatement",HS_CONSOLIDATED!$C:$C,HS_CONSOLIDATED!F:F,0,0,1)</f>
        <v>746200000</v>
      </c>
      <c r="H148" s="30" t="n">
        <f aca="false">_xlfn.XLOOKUP("CashAndCashEquivalentsCashFlowStatement",HS_CONSOLIDATED!$C:$C,HS_CONSOLIDATED!G:G,0,0,1)</f>
        <v>823300000</v>
      </c>
      <c r="I148" s="30" t="n">
        <f aca="false">_xlfn.XLOOKUP("CashAndCashEquivalentsCashFlowStatement",HS_CONSOLIDATED!$C:$C,HS_CONSOLIDATED!H:H,0,0,1)</f>
        <v>2625000000</v>
      </c>
      <c r="J148" s="30" t="n">
        <f aca="false">_xlfn.XLOOKUP("CashAndCashEquivalentsCashFlowStatement",HS_CONSOLIDATED!$C:$C,HS_CONSOLIDATED!I:I,0,0,1)</f>
        <v>5004300000</v>
      </c>
      <c r="K148" s="30" t="n">
        <f aca="false">_xlfn.XLOOKUP("CashAndCashEquivalentsCashFlowStatement",HS_CONSOLIDATED!$C:$C,HS_CONSOLIDATED!J:J,0,0,1)</f>
        <v>3673100000</v>
      </c>
      <c r="L148" s="30" t="n">
        <f aca="false">_xlfn.XLOOKUP("CashAndCashEquivalentsCashFlowStatement",HS_CONSOLIDATED!$C:$C,HS_CONSOLIDATED!K:K,0,0,1)</f>
        <v>4268400000</v>
      </c>
      <c r="M148" s="30" t="n">
        <f aca="false">_xlfn.XLOOKUP("CashAndCashEquivalentsCashFlowStatement",HS_CONSOLIDATED!$C:$C,HS_CONSOLIDATED!L:L,0,0,1)</f>
        <v>11128300000</v>
      </c>
    </row>
  </sheetData>
  <mergeCells count="2">
    <mergeCell ref="A1:M1"/>
    <mergeCell ref="A2:M2"/>
  </mergeCells>
  <conditionalFormatting sqref="E97:M97">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1.18"/>
    <col collapsed="false" customWidth="true" hidden="false" outlineLevel="0" max="3" min="2" style="0" width="1.15"/>
    <col collapsed="false" customWidth="true" hidden="false" outlineLevel="0" max="4" min="4" style="0" width="55"/>
    <col collapsed="false" customWidth="true" hidden="false" outlineLevel="0" max="13" min="5" style="0" width="20"/>
  </cols>
  <sheetData>
    <row r="1" customFormat="false" ht="24" hidden="false" customHeight="true" outlineLevel="0" collapsed="false">
      <c r="A1" s="25" t="s">
        <v>109</v>
      </c>
      <c r="B1" s="25"/>
      <c r="C1" s="25"/>
      <c r="D1" s="25"/>
      <c r="E1" s="25"/>
      <c r="F1" s="25"/>
      <c r="G1" s="25"/>
      <c r="H1" s="25"/>
      <c r="I1" s="25"/>
      <c r="J1" s="25"/>
      <c r="K1" s="25"/>
      <c r="L1" s="25"/>
      <c r="M1" s="25"/>
    </row>
    <row r="2" customFormat="false" ht="15" hidden="false" customHeight="false" outlineLevel="0" collapsed="false">
      <c r="A2" s="26" t="s">
        <v>110</v>
      </c>
      <c r="B2" s="26"/>
      <c r="C2" s="26"/>
      <c r="D2" s="26"/>
      <c r="E2" s="26"/>
      <c r="F2" s="26"/>
      <c r="G2" s="26"/>
      <c r="H2" s="26"/>
      <c r="I2" s="26"/>
      <c r="J2" s="26"/>
      <c r="K2" s="26"/>
      <c r="L2" s="26"/>
      <c r="M2" s="26"/>
    </row>
    <row r="5" customFormat="false" ht="15" hidden="false" customHeight="false" outlineLevel="0" collapsed="false">
      <c r="A5" s="5" t="s">
        <v>26</v>
      </c>
      <c r="B5" s="27" t="s">
        <v>111</v>
      </c>
      <c r="C5" s="5"/>
      <c r="D5" s="5"/>
      <c r="E5" s="12" t="s">
        <v>29</v>
      </c>
      <c r="F5" s="12" t="s">
        <v>30</v>
      </c>
      <c r="G5" s="12" t="s">
        <v>31</v>
      </c>
      <c r="H5" s="12" t="s">
        <v>32</v>
      </c>
      <c r="I5" s="12" t="s">
        <v>33</v>
      </c>
      <c r="J5" s="12" t="s">
        <v>34</v>
      </c>
      <c r="K5" s="12" t="s">
        <v>35</v>
      </c>
      <c r="L5" s="12" t="s">
        <v>36</v>
      </c>
      <c r="M5" s="12" t="s">
        <v>37</v>
      </c>
    </row>
    <row r="6" customFormat="false" ht="15" hidden="false" customHeight="false" outlineLevel="0" collapsed="false">
      <c r="A6" s="28"/>
      <c r="B6" s="29" t="s">
        <v>112</v>
      </c>
      <c r="C6" s="28"/>
      <c r="D6" s="28"/>
      <c r="E6" s="28"/>
      <c r="F6" s="28"/>
      <c r="G6" s="28"/>
      <c r="H6" s="28"/>
      <c r="I6" s="28"/>
      <c r="J6" s="28"/>
      <c r="K6" s="28"/>
      <c r="L6" s="28"/>
      <c r="M6" s="28"/>
    </row>
    <row r="7" customFormat="false" ht="15" hidden="false" customHeight="false" outlineLevel="0" collapsed="false">
      <c r="C7" s="6" t="s">
        <v>113</v>
      </c>
      <c r="E7" s="30" t="n">
        <f aca="false">_xlfn.XLOOKUP("RevenueFromOperations",HS_STANDALONE!$C:$C,HS_STANDALONE!D:D,0,0,1)</f>
        <v>92456800000</v>
      </c>
      <c r="F7" s="30" t="n">
        <f aca="false">_xlfn.XLOOKUP("RevenueFromOperations",HS_STANDALONE!$C:$C,HS_STANDALONE!E:E,0,0,1)</f>
        <v>61664800000</v>
      </c>
      <c r="G7" s="30" t="n">
        <f aca="false">_xlfn.XLOOKUP("RevenueFromOperations",HS_STANDALONE!$C:$C,HS_STANDALONE!F:F,0,0,1)</f>
        <v>25435000000</v>
      </c>
      <c r="H7" s="30" t="n">
        <f aca="false">_xlfn.XLOOKUP("RevenueFromOperations",HS_STANDALONE!$C:$C,HS_STANDALONE!G:G,0,0,1)</f>
        <v>3759500000</v>
      </c>
      <c r="I7" s="30" t="n">
        <f aca="false">_xlfn.XLOOKUP("RevenueFromOperations",HS_STANDALONE!$C:$C,HS_STANDALONE!H:H,0,0,1)</f>
        <v>12473100000</v>
      </c>
      <c r="J7" s="30" t="n">
        <f aca="false">_xlfn.XLOOKUP("RevenueFromOperations",HS_STANDALONE!$C:$C,HS_STANDALONE!I:I,0,0,1)</f>
        <v>40400400000</v>
      </c>
      <c r="K7" s="30" t="n">
        <f aca="false">_xlfn.XLOOKUP("RevenueFromOperations",HS_STANDALONE!$C:$C,HS_STANDALONE!J:J,0,0,1)</f>
        <v>35904400000</v>
      </c>
      <c r="L7" s="30" t="n">
        <f aca="false">_xlfn.XLOOKUP("RevenueFromOperations",HS_STANDALONE!$C:$C,HS_STANDALONE!K:K,0,0,1)</f>
        <v>38602500000</v>
      </c>
      <c r="M7" s="30" t="n">
        <f aca="false">_xlfn.XLOOKUP("RevenueFromOperations",HS_STANDALONE!$C:$C,HS_STANDALONE!L:L,0,0,1)</f>
        <v>101977200000</v>
      </c>
    </row>
    <row r="8" customFormat="false" ht="15" hidden="false" customHeight="false" outlineLevel="0" collapsed="false">
      <c r="C8" s="6" t="s">
        <v>114</v>
      </c>
      <c r="E8" s="30" t="n">
        <f aca="false">_xlfn.XLOOKUP("OtherIncome",HS_STANDALONE!$C:$C,HS_STANDALONE!D:D,0,0,1)</f>
        <v>4009700000</v>
      </c>
      <c r="F8" s="30" t="n">
        <f aca="false">_xlfn.XLOOKUP("OtherIncome",HS_STANDALONE!$C:$C,HS_STANDALONE!E:E,0,0,1)</f>
        <v>3691600000</v>
      </c>
      <c r="G8" s="30" t="n">
        <f aca="false">_xlfn.XLOOKUP("OtherIncome",HS_STANDALONE!$C:$C,HS_STANDALONE!F:F,0,0,1)</f>
        <v>4359800000</v>
      </c>
      <c r="H8" s="30" t="n">
        <f aca="false">_xlfn.XLOOKUP("OtherIncome",HS_STANDALONE!$C:$C,HS_STANDALONE!G:G,0,0,1)</f>
        <v>2361800000</v>
      </c>
      <c r="I8" s="30" t="n">
        <f aca="false">_xlfn.XLOOKUP("OtherIncome",HS_STANDALONE!$C:$C,HS_STANDALONE!H:H,0,0,1)</f>
        <v>697500000</v>
      </c>
      <c r="J8" s="30" t="n">
        <f aca="false">_xlfn.XLOOKUP("OtherIncome",HS_STANDALONE!$C:$C,HS_STANDALONE!I:I,0,0,1)</f>
        <v>630200000</v>
      </c>
      <c r="K8" s="30" t="n">
        <f aca="false">_xlfn.XLOOKUP("OtherIncome",HS_STANDALONE!$C:$C,HS_STANDALONE!J:J,0,0,1)</f>
        <v>1922200000</v>
      </c>
      <c r="L8" s="30" t="n">
        <f aca="false">_xlfn.XLOOKUP("OtherIncome",HS_STANDALONE!$C:$C,HS_STANDALONE!K:K,0,0,1)</f>
        <v>1928800000</v>
      </c>
      <c r="M8" s="30" t="n">
        <f aca="false">_xlfn.XLOOKUP("OtherIncome",HS_STANDALONE!$C:$C,HS_STANDALONE!L:L,0,0,1)</f>
        <v>1023100000</v>
      </c>
    </row>
    <row r="9" customFormat="false" ht="15" hidden="false" customHeight="false" outlineLevel="0" collapsed="false">
      <c r="A9" s="31"/>
      <c r="B9" s="31"/>
      <c r="C9" s="32" t="s">
        <v>115</v>
      </c>
      <c r="D9" s="31"/>
      <c r="E9" s="33" t="n">
        <f aca="false">IFERROR(SUM(E7:E8),0)</f>
        <v>96466500000</v>
      </c>
      <c r="F9" s="33" t="n">
        <f aca="false">IFERROR(SUM(F7:F8),0)</f>
        <v>65356400000</v>
      </c>
      <c r="G9" s="33" t="n">
        <f aca="false">IFERROR(SUM(G7:G8),0)</f>
        <v>29794800000</v>
      </c>
      <c r="H9" s="33" t="n">
        <f aca="false">IFERROR(SUM(H7:H8),0)</f>
        <v>6121300000</v>
      </c>
      <c r="I9" s="33" t="n">
        <f aca="false">IFERROR(SUM(I7:I8),0)</f>
        <v>13170600000</v>
      </c>
      <c r="J9" s="33" t="n">
        <f aca="false">IFERROR(SUM(J7:J8),0)</f>
        <v>41030600000</v>
      </c>
      <c r="K9" s="33" t="n">
        <f aca="false">IFERROR(SUM(K7:K8),0)</f>
        <v>37826600000</v>
      </c>
      <c r="L9" s="33" t="n">
        <f aca="false">IFERROR(SUM(L7:L8),0)</f>
        <v>40531300000</v>
      </c>
      <c r="M9" s="33" t="n">
        <f aca="false">IFERROR(SUM(M7:M8),0)</f>
        <v>103000300000</v>
      </c>
    </row>
    <row r="10" customFormat="false" ht="15" hidden="false" customHeight="false" outlineLevel="0" collapsed="false">
      <c r="A10" s="28"/>
      <c r="B10" s="29" t="s">
        <v>116</v>
      </c>
      <c r="C10" s="28"/>
      <c r="D10" s="28"/>
      <c r="E10" s="28"/>
      <c r="F10" s="28"/>
      <c r="G10" s="28"/>
      <c r="H10" s="28"/>
      <c r="I10" s="28"/>
      <c r="J10" s="28"/>
      <c r="K10" s="28"/>
      <c r="L10" s="28"/>
      <c r="M10" s="28"/>
    </row>
    <row r="11" customFormat="false" ht="15" hidden="false" customHeight="false" outlineLevel="0" collapsed="false">
      <c r="C11" s="6" t="s">
        <v>117</v>
      </c>
      <c r="E11" s="30" t="n">
        <f aca="false">-_xlfn.XLOOKUP("CostOfMaterialsConsumed",HS_STANDALONE!$C:$C,HS_STANDALONE!D:D,0,0,1)</f>
        <v>-58734400000</v>
      </c>
      <c r="F11" s="30" t="n">
        <f aca="false">-_xlfn.XLOOKUP("CostOfMaterialsConsumed",HS_STANDALONE!$C:$C,HS_STANDALONE!E:E,0,0,1)</f>
        <v>-27451000000</v>
      </c>
      <c r="G11" s="30" t="n">
        <f aca="false">-_xlfn.XLOOKUP("CostOfMaterialsConsumed",HS_STANDALONE!$C:$C,HS_STANDALONE!F:F,0,0,1)</f>
        <v>-15179200000</v>
      </c>
      <c r="H11" s="30" t="n">
        <f aca="false">-_xlfn.XLOOKUP("CostOfMaterialsConsumed",HS_STANDALONE!$C:$C,HS_STANDALONE!G:G,0,0,1)</f>
        <v>-2730600000</v>
      </c>
      <c r="I11" s="30" t="n">
        <f aca="false">-_xlfn.XLOOKUP("CostOfMaterialsConsumed",HS_STANDALONE!$C:$C,HS_STANDALONE!H:H,0,0,1)</f>
        <v>-6855100000</v>
      </c>
      <c r="J11" s="30" t="n">
        <f aca="false">-_xlfn.XLOOKUP("CostOfMaterialsConsumed",HS_STANDALONE!$C:$C,HS_STANDALONE!I:I,0,0,1)</f>
        <v>-30843300000</v>
      </c>
      <c r="K11" s="30" t="n">
        <f aca="false">-_xlfn.XLOOKUP("CostOfMaterialsConsumed",HS_STANDALONE!$C:$C,HS_STANDALONE!J:J,0,0,1)</f>
        <v>-26629700000</v>
      </c>
      <c r="L11" s="30" t="n">
        <f aca="false">-_xlfn.XLOOKUP("CostOfMaterialsConsumed",HS_STANDALONE!$C:$C,HS_STANDALONE!K:K,0,0,1)</f>
        <v>-28531300000</v>
      </c>
      <c r="M11" s="30" t="n">
        <f aca="false">-_xlfn.XLOOKUP("CostOfMaterialsConsumed",HS_STANDALONE!$C:$C,HS_STANDALONE!L:L,0,0,1)</f>
        <v>-69868900000</v>
      </c>
    </row>
    <row r="12" customFormat="false" ht="15" hidden="false" customHeight="false" outlineLevel="0" collapsed="false">
      <c r="C12" s="6" t="s">
        <v>118</v>
      </c>
      <c r="E12" s="30" t="n">
        <f aca="false">-_xlfn.XLOOKUP("PurchasesOfStockInTrade",HS_STANDALONE!$C:$C,HS_STANDALONE!D:D,0,0,1)</f>
        <v>-4919900000</v>
      </c>
      <c r="F12" s="30" t="n">
        <f aca="false">-_xlfn.XLOOKUP("PurchasesOfStockInTrade",HS_STANDALONE!$C:$C,HS_STANDALONE!E:E,0,0,1)</f>
        <v>-9879500000</v>
      </c>
      <c r="G12" s="30" t="n">
        <f aca="false">-_xlfn.XLOOKUP("PurchasesOfStockInTrade",HS_STANDALONE!$C:$C,HS_STANDALONE!F:F,0,0,1)</f>
        <v>-58100000</v>
      </c>
      <c r="H12" s="30" t="n">
        <f aca="false">-_xlfn.XLOOKUP("PurchasesOfStockInTrade",HS_STANDALONE!$C:$C,HS_STANDALONE!G:G,0,0,1)</f>
        <v>-0</v>
      </c>
      <c r="I12" s="30" t="n">
        <f aca="false">-_xlfn.XLOOKUP("PurchasesOfStockInTrade",HS_STANDALONE!$C:$C,HS_STANDALONE!H:H,0,0,1)</f>
        <v>-0</v>
      </c>
      <c r="J12" s="30" t="n">
        <f aca="false">-_xlfn.XLOOKUP("PurchasesOfStockInTrade",HS_STANDALONE!$C:$C,HS_STANDALONE!I:I,0,0,1)</f>
        <v>-0</v>
      </c>
      <c r="K12" s="30" t="n">
        <f aca="false">-_xlfn.XLOOKUP("PurchasesOfStockInTrade",HS_STANDALONE!$C:$C,HS_STANDALONE!J:J,0,0,1)</f>
        <v>-0</v>
      </c>
      <c r="L12" s="30" t="n">
        <f aca="false">-_xlfn.XLOOKUP("PurchasesOfStockInTrade",HS_STANDALONE!$C:$C,HS_STANDALONE!K:K,0,0,1)</f>
        <v>-0</v>
      </c>
      <c r="M12" s="30" t="n">
        <f aca="false">-_xlfn.XLOOKUP("PurchasesOfStockInTrade",HS_STANDALONE!$C:$C,HS_STANDALONE!L:L,0,0,1)</f>
        <v>-0</v>
      </c>
    </row>
    <row r="13" customFormat="false" ht="15" hidden="false" customHeight="false" outlineLevel="0" collapsed="false">
      <c r="C13" s="6" t="s">
        <v>119</v>
      </c>
      <c r="E13" s="30" t="n">
        <f aca="false">-_xlfn.XLOOKUP("ChangesInInventoriesOfFinishedGoodsWorkInProgressAndStockInTrade",HS_STANDALONE!$C:$C,HS_STANDALONE!D:D,0,0,1)</f>
        <v>8235700000</v>
      </c>
      <c r="F13" s="30" t="n">
        <f aca="false">-_xlfn.XLOOKUP("ChangesInInventoriesOfFinishedGoodsWorkInProgressAndStockInTrade",HS_STANDALONE!$C:$C,HS_STANDALONE!E:E,0,0,1)</f>
        <v>-3853000000</v>
      </c>
      <c r="G13" s="30" t="n">
        <f aca="false">-_xlfn.XLOOKUP("ChangesInInventoriesOfFinishedGoodsWorkInProgressAndStockInTrade",HS_STANDALONE!$C:$C,HS_STANDALONE!F:F,0,0,1)</f>
        <v>-1960000000</v>
      </c>
      <c r="H13" s="30" t="n">
        <f aca="false">-_xlfn.XLOOKUP("ChangesInInventoriesOfFinishedGoodsWorkInProgressAndStockInTrade",HS_STANDALONE!$C:$C,HS_STANDALONE!G:G,0,0,1)</f>
        <v>-1083100000</v>
      </c>
      <c r="I13" s="30" t="n">
        <f aca="false">-_xlfn.XLOOKUP("ChangesInInventoriesOfFinishedGoodsWorkInProgressAndStockInTrade",HS_STANDALONE!$C:$C,HS_STANDALONE!H:H,0,0,1)</f>
        <v>-630100000</v>
      </c>
      <c r="J13" s="30" t="n">
        <f aca="false">-_xlfn.XLOOKUP("ChangesInInventoriesOfFinishedGoodsWorkInProgressAndStockInTrade",HS_STANDALONE!$C:$C,HS_STANDALONE!I:I,0,0,1)</f>
        <v>-96700000</v>
      </c>
      <c r="K13" s="30" t="n">
        <f aca="false">-_xlfn.XLOOKUP("ChangesInInventoriesOfFinishedGoodsWorkInProgressAndStockInTrade",HS_STANDALONE!$C:$C,HS_STANDALONE!J:J,0,0,1)</f>
        <v>-775300000</v>
      </c>
      <c r="L13" s="30" t="n">
        <f aca="false">-_xlfn.XLOOKUP("ChangesInInventoriesOfFinishedGoodsWorkInProgressAndStockInTrade",HS_STANDALONE!$C:$C,HS_STANDALONE!K:K,0,0,1)</f>
        <v>452900000</v>
      </c>
      <c r="M13" s="30" t="n">
        <f aca="false">-_xlfn.XLOOKUP("ChangesInInventoriesOfFinishedGoodsWorkInProgressAndStockInTrade",HS_STANDALONE!$C:$C,HS_STANDALONE!L:L,0,0,1)</f>
        <v>2691700000</v>
      </c>
    </row>
    <row r="14" customFormat="false" ht="15" hidden="false" customHeight="false" outlineLevel="0" collapsed="false">
      <c r="A14" s="34"/>
      <c r="B14" s="35" t="s">
        <v>120</v>
      </c>
      <c r="C14" s="34"/>
      <c r="D14" s="34"/>
      <c r="E14" s="36" t="n">
        <f aca="false">IFERROR(E9+SUM(E11:E13),0)</f>
        <v>41047900000</v>
      </c>
      <c r="F14" s="36" t="n">
        <f aca="false">IFERROR(F9+SUM(F11:F13),0)</f>
        <v>24172900000</v>
      </c>
      <c r="G14" s="36" t="n">
        <f aca="false">IFERROR(G9+SUM(G11:G13),0)</f>
        <v>12597500000</v>
      </c>
      <c r="H14" s="36" t="n">
        <f aca="false">IFERROR(H9+SUM(H11:H13),0)</f>
        <v>2307600000</v>
      </c>
      <c r="I14" s="36" t="n">
        <f aca="false">IFERROR(I9+SUM(I11:I13),0)</f>
        <v>5685400000</v>
      </c>
      <c r="J14" s="36" t="n">
        <f aca="false">IFERROR(J9+SUM(J11:J13),0)</f>
        <v>10090600000</v>
      </c>
      <c r="K14" s="36" t="n">
        <f aca="false">IFERROR(K9+SUM(K11:K13),0)</f>
        <v>10421600000</v>
      </c>
      <c r="L14" s="36" t="n">
        <f aca="false">IFERROR(L9+SUM(L11:L13),0)</f>
        <v>12452900000</v>
      </c>
      <c r="M14" s="36" t="n">
        <f aca="false">IFERROR(M9+SUM(M11:M13),0)</f>
        <v>35823100000</v>
      </c>
    </row>
    <row r="15" customFormat="false" ht="15" hidden="false" customHeight="false" outlineLevel="0" collapsed="false">
      <c r="C15" s="6" t="s">
        <v>121</v>
      </c>
      <c r="E15" s="30" t="n">
        <f aca="false">-_xlfn.XLOOKUP("EmployeeBenefitExpense",HS_STANDALONE!$C:$C,HS_STANDALONE!D:D,0,0,1)-_xlfn.XLOOKUP("ExpenditureOnProductionTransportationAndOtherExpenditurePertainingToExplorationAndProductionActivities",HS_STANDALONE!$C:$C,HS_STANDALONE!D:D,0,0,1)</f>
        <v>-4151900000</v>
      </c>
      <c r="F15" s="30" t="n">
        <f aca="false">-_xlfn.XLOOKUP("EmployeeBenefitExpense",HS_STANDALONE!$C:$C,HS_STANDALONE!E:E,0,0,1)-_xlfn.XLOOKUP("ExpenditureOnProductionTransportationAndOtherExpenditurePertainingToExplorationAndProductionActivities",HS_STANDALONE!$C:$C,HS_STANDALONE!E:E,0,0,1)</f>
        <v>-2784800000</v>
      </c>
      <c r="G15" s="30" t="n">
        <f aca="false">-_xlfn.XLOOKUP("EmployeeBenefitExpense",HS_STANDALONE!$C:$C,HS_STANDALONE!F:F,0,0,1)-_xlfn.XLOOKUP("ExpenditureOnProductionTransportationAndOtherExpenditurePertainingToExplorationAndProductionActivities",HS_STANDALONE!$C:$C,HS_STANDALONE!F:F,0,0,1)</f>
        <v>-3265400000</v>
      </c>
      <c r="H15" s="30" t="n">
        <f aca="false">-_xlfn.XLOOKUP("EmployeeBenefitExpense",HS_STANDALONE!$C:$C,HS_STANDALONE!G:G,0,0,1)-_xlfn.XLOOKUP("ExpenditureOnProductionTransportationAndOtherExpenditurePertainingToExplorationAndProductionActivities",HS_STANDALONE!$C:$C,HS_STANDALONE!G:G,0,0,1)</f>
        <v>-2714800000</v>
      </c>
      <c r="I15" s="30" t="n">
        <f aca="false">-_xlfn.XLOOKUP("EmployeeBenefitExpense",HS_STANDALONE!$C:$C,HS_STANDALONE!H:H,0,0,1)-_xlfn.XLOOKUP("ExpenditureOnProductionTransportationAndOtherExpenditurePertainingToExplorationAndProductionActivities",HS_STANDALONE!$C:$C,HS_STANDALONE!H:H,0,0,1)</f>
        <v>-1829700000</v>
      </c>
      <c r="J15" s="30" t="n">
        <f aca="false">-_xlfn.XLOOKUP("EmployeeBenefitExpense",HS_STANDALONE!$C:$C,HS_STANDALONE!I:I,0,0,1)-_xlfn.XLOOKUP("ExpenditureOnProductionTransportationAndOtherExpenditurePertainingToExplorationAndProductionActivities",HS_STANDALONE!$C:$C,HS_STANDALONE!I:I,0,0,1)</f>
        <v>-2256200000</v>
      </c>
      <c r="K15" s="30" t="n">
        <f aca="false">-_xlfn.XLOOKUP("EmployeeBenefitExpense",HS_STANDALONE!$C:$C,HS_STANDALONE!J:J,0,0,1)-_xlfn.XLOOKUP("ExpenditureOnProductionTransportationAndOtherExpenditurePertainingToExplorationAndProductionActivities",HS_STANDALONE!$C:$C,HS_STANDALONE!J:J,0,0,1)</f>
        <v>-2525100000</v>
      </c>
      <c r="L15" s="30" t="n">
        <f aca="false">-_xlfn.XLOOKUP("EmployeeBenefitExpense",HS_STANDALONE!$C:$C,HS_STANDALONE!K:K,0,0,1)-_xlfn.XLOOKUP("ExpenditureOnProductionTransportationAndOtherExpenditurePertainingToExplorationAndProductionActivities",HS_STANDALONE!$C:$C,HS_STANDALONE!K:K,0,0,1)</f>
        <v>-3123600000</v>
      </c>
      <c r="M15" s="30" t="n">
        <f aca="false">-_xlfn.XLOOKUP("EmployeeBenefitExpense",HS_STANDALONE!$C:$C,HS_STANDALONE!L:L,0,0,1)-_xlfn.XLOOKUP("ExpenditureOnProductionTransportationAndOtherExpenditurePertainingToExplorationAndProductionActivities",HS_STANDALONE!$C:$C,HS_STANDALONE!L:L,0,0,1)</f>
        <v>-7917500000</v>
      </c>
    </row>
    <row r="16" customFormat="false" ht="15" hidden="false" customHeight="false" outlineLevel="0" collapsed="false">
      <c r="C16" s="6" t="s">
        <v>122</v>
      </c>
      <c r="E16" s="30" t="n">
        <f aca="false">-_xlfn.XLOOKUP("OtherExpenses",HS_STANDALONE!$C:$C,HS_STANDALONE!D:D,0,0,1)</f>
        <v>-14534700000</v>
      </c>
      <c r="F16" s="30" t="n">
        <f aca="false">-_xlfn.XLOOKUP("OtherExpenses",HS_STANDALONE!$C:$C,HS_STANDALONE!E:E,0,0,1)</f>
        <v>-11054300000</v>
      </c>
      <c r="G16" s="30" t="n">
        <f aca="false">-_xlfn.XLOOKUP("OtherExpenses",HS_STANDALONE!$C:$C,HS_STANDALONE!F:F,0,0,1)</f>
        <v>-6812500000</v>
      </c>
      <c r="H16" s="30" t="n">
        <f aca="false">-_xlfn.XLOOKUP("OtherExpenses",HS_STANDALONE!$C:$C,HS_STANDALONE!G:G,0,0,1)</f>
        <v>-6204900000</v>
      </c>
      <c r="I16" s="30" t="n">
        <f aca="false">-_xlfn.XLOOKUP("OtherExpenses",HS_STANDALONE!$C:$C,HS_STANDALONE!H:H,0,0,1)</f>
        <v>-4159900000</v>
      </c>
      <c r="J16" s="30" t="n">
        <f aca="false">-_xlfn.XLOOKUP("OtherExpenses",HS_STANDALONE!$C:$C,HS_STANDALONE!I:I,0,0,1)</f>
        <v>-6510200000</v>
      </c>
      <c r="K16" s="30" t="n">
        <f aca="false">-_xlfn.XLOOKUP("OtherExpenses",HS_STANDALONE!$C:$C,HS_STANDALONE!J:J,0,0,1)</f>
        <v>-5373700000</v>
      </c>
      <c r="L16" s="30" t="n">
        <f aca="false">-_xlfn.XLOOKUP("OtherExpenses",HS_STANDALONE!$C:$C,HS_STANDALONE!K:K,0,0,1)</f>
        <v>-5194000000</v>
      </c>
      <c r="M16" s="30" t="n">
        <f aca="false">-_xlfn.XLOOKUP("OtherExpenses",HS_STANDALONE!$C:$C,HS_STANDALONE!L:L,0,0,1)</f>
        <v>-10239900000</v>
      </c>
    </row>
    <row r="17" customFormat="false" ht="15" hidden="false" customHeight="false" outlineLevel="0" collapsed="false">
      <c r="A17" s="34"/>
      <c r="B17" s="35" t="s">
        <v>123</v>
      </c>
      <c r="C17" s="34"/>
      <c r="D17" s="34"/>
      <c r="E17" s="36" t="n">
        <f aca="false">IFERROR(SUM(E14:E16),0)</f>
        <v>22361300000</v>
      </c>
      <c r="F17" s="36" t="n">
        <f aca="false">IFERROR(SUM(F14:F16),0)</f>
        <v>10333800000</v>
      </c>
      <c r="G17" s="36" t="n">
        <f aca="false">IFERROR(SUM(G14:G16),0)</f>
        <v>2519600000</v>
      </c>
      <c r="H17" s="36" t="n">
        <f aca="false">IFERROR(SUM(H14:H16),0)</f>
        <v>-6612100000</v>
      </c>
      <c r="I17" s="36" t="n">
        <f aca="false">IFERROR(SUM(I14:I16),0)</f>
        <v>-304200000</v>
      </c>
      <c r="J17" s="36" t="n">
        <f aca="false">IFERROR(SUM(J14:J16),0)</f>
        <v>1324200000</v>
      </c>
      <c r="K17" s="36" t="n">
        <f aca="false">IFERROR(SUM(K14:K16),0)</f>
        <v>2522800000</v>
      </c>
      <c r="L17" s="36" t="n">
        <f aca="false">IFERROR(SUM(L14:L16),0)</f>
        <v>4135300000</v>
      </c>
      <c r="M17" s="36" t="n">
        <f aca="false">IFERROR(SUM(M14:M16),0)</f>
        <v>17665700000</v>
      </c>
    </row>
    <row r="18" customFormat="false" ht="15" hidden="false" customHeight="false" outlineLevel="0" collapsed="false">
      <c r="C18" s="6" t="s">
        <v>124</v>
      </c>
      <c r="E18" s="30" t="n">
        <f aca="false">-_xlfn.XLOOKUP("DepreciationDepletionAndAmortisationExpense",HS_STANDALONE!$C:$C,HS_STANDALONE!D:D,0,0,1)</f>
        <v>-4139900000</v>
      </c>
      <c r="F18" s="30" t="n">
        <f aca="false">-_xlfn.XLOOKUP("DepreciationDepletionAndAmortisationExpense",HS_STANDALONE!$C:$C,HS_STANDALONE!E:E,0,0,1)</f>
        <v>-4192800000</v>
      </c>
      <c r="G18" s="30" t="n">
        <f aca="false">-_xlfn.XLOOKUP("DepreciationDepletionAndAmortisationExpense",HS_STANDALONE!$C:$C,HS_STANDALONE!F:F,0,0,1)</f>
        <v>-4389100000</v>
      </c>
      <c r="H18" s="30" t="n">
        <f aca="false">-_xlfn.XLOOKUP("DepreciationDepletionAndAmortisationExpense",HS_STANDALONE!$C:$C,HS_STANDALONE!G:G,0,0,1)</f>
        <v>-6821500000</v>
      </c>
      <c r="I18" s="30" t="n">
        <f aca="false">-_xlfn.XLOOKUP("DepreciationDepletionAndAmortisationExpense",HS_STANDALONE!$C:$C,HS_STANDALONE!H:H,0,0,1)</f>
        <v>-1865000000</v>
      </c>
      <c r="J18" s="30" t="n">
        <f aca="false">-_xlfn.XLOOKUP("DepreciationDepletionAndAmortisationExpense",HS_STANDALONE!$C:$C,HS_STANDALONE!I:I,0,0,1)</f>
        <v>-1851300000</v>
      </c>
      <c r="K18" s="30" t="n">
        <f aca="false">-_xlfn.XLOOKUP("DepreciationDepletionAndAmortisationExpense",HS_STANDALONE!$C:$C,HS_STANDALONE!J:J,0,0,1)</f>
        <v>-1900400000</v>
      </c>
      <c r="L18" s="30" t="n">
        <f aca="false">-_xlfn.XLOOKUP("DepreciationDepletionAndAmortisationExpense",HS_STANDALONE!$C:$C,HS_STANDALONE!K:K,0,0,1)</f>
        <v>-1195700000</v>
      </c>
      <c r="M18" s="30" t="n">
        <f aca="false">-_xlfn.XLOOKUP("DepreciationDepletionAndAmortisationExpense",HS_STANDALONE!$C:$C,HS_STANDALONE!L:L,0,0,1)</f>
        <v>-1668500000</v>
      </c>
    </row>
    <row r="19" customFormat="false" ht="15" hidden="false" customHeight="false" outlineLevel="0" collapsed="false">
      <c r="A19" s="34"/>
      <c r="B19" s="35" t="s">
        <v>125</v>
      </c>
      <c r="C19" s="34"/>
      <c r="D19" s="34"/>
      <c r="E19" s="36" t="n">
        <f aca="false">IFERROR(SUM(E17:E18),0)</f>
        <v>18221400000</v>
      </c>
      <c r="F19" s="36" t="n">
        <f aca="false">IFERROR(SUM(F17:F18),0)</f>
        <v>6141000000</v>
      </c>
      <c r="G19" s="36" t="n">
        <f aca="false">IFERROR(SUM(G17:G18),0)</f>
        <v>-1869500000</v>
      </c>
      <c r="H19" s="36" t="n">
        <f aca="false">IFERROR(SUM(H17:H18),0)</f>
        <v>-13433600000</v>
      </c>
      <c r="I19" s="36" t="n">
        <f aca="false">IFERROR(SUM(I17:I18),0)</f>
        <v>-2169200000</v>
      </c>
      <c r="J19" s="36" t="n">
        <f aca="false">IFERROR(SUM(J17:J18),0)</f>
        <v>-527100000</v>
      </c>
      <c r="K19" s="36" t="n">
        <f aca="false">IFERROR(SUM(K17:K18),0)</f>
        <v>622400000</v>
      </c>
      <c r="L19" s="36" t="n">
        <f aca="false">IFERROR(SUM(L17:L18),0)</f>
        <v>2939600000</v>
      </c>
      <c r="M19" s="36" t="n">
        <f aca="false">IFERROR(SUM(M17:M18),0)</f>
        <v>15997200000</v>
      </c>
    </row>
    <row r="20" customFormat="false" ht="15" hidden="false" customHeight="false" outlineLevel="0" collapsed="false">
      <c r="C20" s="6" t="s">
        <v>126</v>
      </c>
      <c r="E20" s="30" t="n">
        <f aca="false">-_xlfn.XLOOKUP("FinanceCosts",HS_STANDALONE!$C:$C,HS_STANDALONE!D:D,0,0,1)</f>
        <v>-9307100000</v>
      </c>
      <c r="F20" s="30" t="n">
        <f aca="false">-_xlfn.XLOOKUP("FinanceCosts",HS_STANDALONE!$C:$C,HS_STANDALONE!E:E,0,0,1)</f>
        <v>-12228400000</v>
      </c>
      <c r="G20" s="30" t="n">
        <f aca="false">-_xlfn.XLOOKUP("FinanceCosts",HS_STANDALONE!$C:$C,HS_STANDALONE!F:F,0,0,1)</f>
        <v>-9436500000</v>
      </c>
      <c r="H20" s="30" t="n">
        <f aca="false">-_xlfn.XLOOKUP("FinanceCosts",HS_STANDALONE!$C:$C,HS_STANDALONE!G:G,0,0,1)</f>
        <v>-11405700000</v>
      </c>
      <c r="I20" s="30" t="n">
        <f aca="false">-_xlfn.XLOOKUP("FinanceCosts",HS_STANDALONE!$C:$C,HS_STANDALONE!H:H,0,0,1)</f>
        <v>-9830700000</v>
      </c>
      <c r="J20" s="30" t="n">
        <f aca="false">-_xlfn.XLOOKUP("FinanceCosts",HS_STANDALONE!$C:$C,HS_STANDALONE!I:I,0,0,1)</f>
        <v>-7770800000</v>
      </c>
      <c r="K20" s="30" t="n">
        <f aca="false">-_xlfn.XLOOKUP("FinanceCosts",HS_STANDALONE!$C:$C,HS_STANDALONE!J:J,0,0,1)</f>
        <v>-4415600000</v>
      </c>
      <c r="L20" s="30" t="n">
        <f aca="false">-_xlfn.XLOOKUP("FinanceCosts",HS_STANDALONE!$C:$C,HS_STANDALONE!K:K,0,0,1)</f>
        <v>-2256700000</v>
      </c>
      <c r="M20" s="30" t="n">
        <f aca="false">-_xlfn.XLOOKUP("FinanceCosts",HS_STANDALONE!$C:$C,HS_STANDALONE!L:L,0,0,1)</f>
        <v>-2288600000</v>
      </c>
    </row>
    <row r="21" customFormat="false" ht="15" hidden="false" customHeight="false" outlineLevel="0" collapsed="false">
      <c r="C21" s="6" t="s">
        <v>127</v>
      </c>
      <c r="E21" s="30" t="n">
        <f aca="false">_xlfn.XLOOKUP("ExceptionalItemsBeforeTax",HS_STANDALONE!$C:$C,HS_STANDALONE!D:D,0,0,1)</f>
        <v>-5357800000</v>
      </c>
      <c r="F21" s="30" t="n">
        <f aca="false">_xlfn.XLOOKUP("ExceptionalItemsBeforeTax",HS_STANDALONE!$C:$C,HS_STANDALONE!E:E,0,0,1)</f>
        <v>-5460000000</v>
      </c>
      <c r="G21" s="30" t="n">
        <f aca="false">_xlfn.XLOOKUP("ExceptionalItemsBeforeTax",HS_STANDALONE!$C:$C,HS_STANDALONE!F:F,0,0,1)</f>
        <v>-62813800000</v>
      </c>
      <c r="H21" s="30" t="n">
        <f aca="false">_xlfn.XLOOKUP("ExceptionalItemsBeforeTax",HS_STANDALONE!$C:$C,HS_STANDALONE!G:G,0,0,1)</f>
        <v>-7920500000</v>
      </c>
      <c r="I21" s="30" t="n">
        <f aca="false">_xlfn.XLOOKUP("ExceptionalItemsBeforeTax",HS_STANDALONE!$C:$C,HS_STANDALONE!H:H,0,0,1)</f>
        <v>8015900000</v>
      </c>
      <c r="J21" s="30" t="n">
        <f aca="false">_xlfn.XLOOKUP("ExceptionalItemsBeforeTax",HS_STANDALONE!$C:$C,HS_STANDALONE!I:I,0,0,1)</f>
        <v>-828700000</v>
      </c>
      <c r="K21" s="30" t="n">
        <f aca="false">_xlfn.XLOOKUP("ExceptionalItemsBeforeTax",HS_STANDALONE!$C:$C,HS_STANDALONE!J:J,0,0,1)</f>
        <v>25420800000</v>
      </c>
      <c r="L21" s="30" t="n">
        <f aca="false">_xlfn.XLOOKUP("ExceptionalItemsBeforeTax",HS_STANDALONE!$C:$C,HS_STANDALONE!K:K,0,0,1)</f>
        <v>251400000</v>
      </c>
      <c r="M21" s="30" t="n">
        <f aca="false">_xlfn.XLOOKUP("ExceptionalItemsBeforeTax",HS_STANDALONE!$C:$C,HS_STANDALONE!L:L,0,0,1)</f>
        <v>1028600000</v>
      </c>
    </row>
    <row r="22" customFormat="false" ht="15" hidden="false" customHeight="false" outlineLevel="0" collapsed="false">
      <c r="A22" s="34"/>
      <c r="B22" s="35" t="s">
        <v>128</v>
      </c>
      <c r="C22" s="34"/>
      <c r="D22" s="34"/>
      <c r="E22" s="36" t="n">
        <f aca="false">IFERROR(SUM(E19:E21),0)</f>
        <v>3556500000</v>
      </c>
      <c r="F22" s="36" t="n">
        <f aca="false">IFERROR(SUM(F19:F21),0)</f>
        <v>-11547400000</v>
      </c>
      <c r="G22" s="36" t="n">
        <f aca="false">IFERROR(SUM(G19:G21),0)</f>
        <v>-74119800000</v>
      </c>
      <c r="H22" s="36" t="n">
        <f aca="false">IFERROR(SUM(H19:H21),0)</f>
        <v>-32759800000</v>
      </c>
      <c r="I22" s="36" t="n">
        <f aca="false">IFERROR(SUM(I19:I21),0)</f>
        <v>-3984000000</v>
      </c>
      <c r="J22" s="36" t="n">
        <f aca="false">IFERROR(SUM(J19:J21),0)</f>
        <v>-9126600000</v>
      </c>
      <c r="K22" s="36" t="n">
        <f aca="false">IFERROR(SUM(K19:K21),0)</f>
        <v>21627600000</v>
      </c>
      <c r="L22" s="36" t="n">
        <f aca="false">IFERROR(SUM(L19:L21),0)</f>
        <v>934300000</v>
      </c>
      <c r="M22" s="36" t="n">
        <f aca="false">IFERROR(SUM(M19:M21),0)</f>
        <v>14737200000</v>
      </c>
    </row>
    <row r="23" customFormat="false" ht="15" hidden="false" customHeight="false" outlineLevel="0" collapsed="false">
      <c r="C23" s="6" t="s">
        <v>129</v>
      </c>
      <c r="E23" s="30" t="n">
        <f aca="false">-_xlfn.XLOOKUP("CurrentTax",HS_STANDALONE!$C:$C,HS_STANDALONE!D:D,0,0,1)</f>
        <v>500000</v>
      </c>
      <c r="F23" s="30" t="n">
        <f aca="false">-_xlfn.XLOOKUP("CurrentTax",HS_STANDALONE!$C:$C,HS_STANDALONE!E:E,0,0,1)</f>
        <v>-14000000</v>
      </c>
      <c r="G23" s="30" t="n">
        <f aca="false">-_xlfn.XLOOKUP("CurrentTax",HS_STANDALONE!$C:$C,HS_STANDALONE!F:F,0,0,1)</f>
        <v>-13500000</v>
      </c>
      <c r="H23" s="30" t="n">
        <f aca="false">-_xlfn.XLOOKUP("CurrentTax",HS_STANDALONE!$C:$C,HS_STANDALONE!G:G,0,0,1)</f>
        <v>-6500000</v>
      </c>
      <c r="I23" s="30" t="n">
        <f aca="false">-_xlfn.XLOOKUP("CurrentTax",HS_STANDALONE!$C:$C,HS_STANDALONE!H:H,0,0,1)</f>
        <v>-0</v>
      </c>
      <c r="J23" s="30" t="n">
        <f aca="false">-_xlfn.XLOOKUP("CurrentTax",HS_STANDALONE!$C:$C,HS_STANDALONE!I:I,0,0,1)</f>
        <v>-0</v>
      </c>
      <c r="K23" s="30" t="n">
        <f aca="false">-_xlfn.XLOOKUP("CurrentTax",HS_STANDALONE!$C:$C,HS_STANDALONE!J:J,0,0,1)</f>
        <v>-0</v>
      </c>
      <c r="L23" s="30" t="n">
        <f aca="false">-_xlfn.XLOOKUP("CurrentTax",HS_STANDALONE!$C:$C,HS_STANDALONE!K:K,0,0,1)</f>
        <v>-0</v>
      </c>
      <c r="M23" s="30" t="n">
        <f aca="false">-_xlfn.XLOOKUP("CurrentTax",HS_STANDALONE!$C:$C,HS_STANDALONE!L:L,0,0,1)</f>
        <v>-70500000</v>
      </c>
    </row>
    <row r="24" customFormat="false" ht="15" hidden="false" customHeight="false" outlineLevel="0" collapsed="false">
      <c r="C24" s="6" t="s">
        <v>130</v>
      </c>
      <c r="E24" s="30" t="n">
        <f aca="false">-_xlfn.XLOOKUP("DeferredTax",HS_STANDALONE!$C:$C,HS_STANDALONE!D:D,0,0,1)</f>
        <v>-0</v>
      </c>
      <c r="F24" s="30" t="n">
        <f aca="false">-_xlfn.XLOOKUP("DeferredTax",HS_STANDALONE!$C:$C,HS_STANDALONE!E:E,0,0,1)</f>
        <v>-0</v>
      </c>
      <c r="G24" s="30" t="n">
        <f aca="false">-_xlfn.XLOOKUP("DeferredTax",HS_STANDALONE!$C:$C,HS_STANDALONE!F:F,0,0,1)</f>
        <v>-0</v>
      </c>
      <c r="H24" s="30" t="n">
        <f aca="false">-_xlfn.XLOOKUP("DeferredTax",HS_STANDALONE!$C:$C,HS_STANDALONE!G:G,0,0,1)</f>
        <v>-0</v>
      </c>
      <c r="I24" s="30" t="n">
        <f aca="false">-_xlfn.XLOOKUP("DeferredTax",HS_STANDALONE!$C:$C,HS_STANDALONE!H:H,0,0,1)</f>
        <v>-0</v>
      </c>
      <c r="J24" s="30" t="n">
        <f aca="false">-_xlfn.XLOOKUP("DeferredTax",HS_STANDALONE!$C:$C,HS_STANDALONE!I:I,0,0,1)</f>
        <v>-0</v>
      </c>
      <c r="K24" s="30" t="n">
        <f aca="false">-_xlfn.XLOOKUP("DeferredTax",HS_STANDALONE!$C:$C,HS_STANDALONE!J:J,0,0,1)</f>
        <v>-0</v>
      </c>
      <c r="L24" s="30" t="n">
        <f aca="false">-_xlfn.XLOOKUP("DeferredTax",HS_STANDALONE!$C:$C,HS_STANDALONE!K:K,0,0,1)</f>
        <v>-0</v>
      </c>
      <c r="M24" s="30" t="n">
        <f aca="false">-_xlfn.XLOOKUP("DeferredTax",HS_STANDALONE!$C:$C,HS_STANDALONE!L:L,0,0,1)</f>
        <v>6380500000</v>
      </c>
    </row>
    <row r="25" customFormat="false" ht="15" hidden="false" customHeight="false" outlineLevel="0" collapsed="false">
      <c r="A25" s="31"/>
      <c r="B25" s="31"/>
      <c r="C25" s="32" t="s">
        <v>131</v>
      </c>
      <c r="D25" s="31"/>
      <c r="E25" s="33" t="n">
        <f aca="false">IFERROR(SUM(E23:E24),0)</f>
        <v>500000</v>
      </c>
      <c r="F25" s="33" t="n">
        <f aca="false">IFERROR(SUM(F23:F24),0)</f>
        <v>-14000000</v>
      </c>
      <c r="G25" s="33" t="n">
        <f aca="false">IFERROR(SUM(G23:G24),0)</f>
        <v>-13500000</v>
      </c>
      <c r="H25" s="33" t="n">
        <f aca="false">IFERROR(SUM(H23:H24),0)</f>
        <v>-6500000</v>
      </c>
      <c r="I25" s="33" t="n">
        <f aca="false">IFERROR(SUM(I23:I24),0)</f>
        <v>0</v>
      </c>
      <c r="J25" s="33" t="n">
        <f aca="false">IFERROR(SUM(J23:J24),0)</f>
        <v>0</v>
      </c>
      <c r="K25" s="33" t="n">
        <f aca="false">IFERROR(SUM(K23:K24),0)</f>
        <v>0</v>
      </c>
      <c r="L25" s="33" t="n">
        <f aca="false">IFERROR(SUM(L23:L24),0)</f>
        <v>0</v>
      </c>
      <c r="M25" s="33" t="n">
        <f aca="false">IFERROR(SUM(M23:M24),0)</f>
        <v>6310000000</v>
      </c>
    </row>
    <row r="26" customFormat="false" ht="15" hidden="false" customHeight="false" outlineLevel="0" collapsed="false">
      <c r="A26" s="34"/>
      <c r="B26" s="35" t="s">
        <v>132</v>
      </c>
      <c r="C26" s="34"/>
      <c r="D26" s="34"/>
      <c r="E26" s="36" t="n">
        <f aca="false">IFERROR(E25+E22,0)</f>
        <v>3557000000</v>
      </c>
      <c r="F26" s="36" t="n">
        <f aca="false">IFERROR(F25+F22,0)</f>
        <v>-11561400000</v>
      </c>
      <c r="G26" s="36" t="n">
        <f aca="false">IFERROR(G25+G22,0)</f>
        <v>-74133300000</v>
      </c>
      <c r="H26" s="36" t="n">
        <f aca="false">IFERROR(H25+H22,0)</f>
        <v>-32766300000</v>
      </c>
      <c r="I26" s="36" t="n">
        <f aca="false">IFERROR(I25+I22,0)</f>
        <v>-3984000000</v>
      </c>
      <c r="J26" s="36" t="n">
        <f aca="false">IFERROR(J25+J22,0)</f>
        <v>-9126600000</v>
      </c>
      <c r="K26" s="36" t="n">
        <f aca="false">IFERROR(K25+K22,0)</f>
        <v>21627600000</v>
      </c>
      <c r="L26" s="36" t="n">
        <f aca="false">IFERROR(L25+L22,0)</f>
        <v>934300000</v>
      </c>
      <c r="M26" s="36" t="n">
        <f aca="false">IFERROR(M25+M22,0)</f>
        <v>21047200000</v>
      </c>
    </row>
    <row r="27" customFormat="false" ht="15" hidden="false" customHeight="false" outlineLevel="0" collapsed="false">
      <c r="A27" s="5" t="s">
        <v>26</v>
      </c>
      <c r="B27" s="27" t="s">
        <v>133</v>
      </c>
      <c r="C27" s="5"/>
      <c r="D27" s="5"/>
      <c r="E27" s="5"/>
      <c r="F27" s="5"/>
      <c r="G27" s="5"/>
      <c r="H27" s="5"/>
      <c r="I27" s="5"/>
      <c r="J27" s="5"/>
      <c r="K27" s="5"/>
      <c r="L27" s="5"/>
      <c r="M27" s="5"/>
    </row>
    <row r="28" customFormat="false" ht="15" hidden="false" customHeight="false" outlineLevel="0" collapsed="false">
      <c r="A28" s="28"/>
      <c r="B28" s="29" t="s">
        <v>134</v>
      </c>
      <c r="C28" s="28"/>
      <c r="D28" s="28"/>
      <c r="E28" s="28"/>
      <c r="F28" s="28"/>
      <c r="G28" s="28"/>
      <c r="H28" s="28"/>
      <c r="I28" s="28"/>
      <c r="J28" s="28"/>
      <c r="K28" s="28"/>
      <c r="L28" s="28"/>
      <c r="M28" s="28"/>
    </row>
    <row r="29" customFormat="false" ht="15" hidden="false" customHeight="false" outlineLevel="0" collapsed="false">
      <c r="A29" s="28"/>
      <c r="B29" s="29" t="s">
        <v>135</v>
      </c>
      <c r="C29" s="28"/>
      <c r="D29" s="28"/>
      <c r="E29" s="28"/>
      <c r="F29" s="28"/>
      <c r="G29" s="28"/>
      <c r="H29" s="28"/>
      <c r="I29" s="28"/>
      <c r="J29" s="28"/>
      <c r="K29" s="28"/>
      <c r="L29" s="28"/>
      <c r="M29" s="28"/>
    </row>
    <row r="30" customFormat="false" ht="15" hidden="false" customHeight="false" outlineLevel="0" collapsed="false">
      <c r="A30" s="28"/>
      <c r="B30" s="28"/>
      <c r="C30" s="29" t="s">
        <v>136</v>
      </c>
      <c r="D30" s="28"/>
      <c r="E30" s="28"/>
      <c r="F30" s="28"/>
      <c r="G30" s="28"/>
      <c r="H30" s="28"/>
      <c r="I30" s="28"/>
      <c r="J30" s="28"/>
      <c r="K30" s="28"/>
      <c r="L30" s="28"/>
      <c r="M30" s="28"/>
    </row>
    <row r="31" customFormat="false" ht="15" hidden="false" customHeight="false" outlineLevel="0" collapsed="false">
      <c r="D31" s="6" t="s">
        <v>137</v>
      </c>
      <c r="E31" s="30" t="n">
        <f aca="false">_xlfn.XLOOKUP("PropertyPlantAndEquipment",HS_STANDALONE!$C:$C,HS_STANDALONE!D:D,0,0,1)</f>
        <v>9261500000</v>
      </c>
      <c r="F31" s="30" t="n">
        <f aca="false">_xlfn.XLOOKUP("PropertyPlantAndEquipment",HS_STANDALONE!$C:$C,HS_STANDALONE!E:E,0,0,1)</f>
        <v>8097900000</v>
      </c>
      <c r="G31" s="30" t="n">
        <f aca="false">_xlfn.XLOOKUP("PropertyPlantAndEquipment",HS_STANDALONE!$C:$C,HS_STANDALONE!F:F,0,0,1)</f>
        <v>7369100000</v>
      </c>
      <c r="H31" s="30" t="n">
        <f aca="false">_xlfn.XLOOKUP("PropertyPlantAndEquipment",HS_STANDALONE!$C:$C,HS_STANDALONE!G:G,0,0,1)</f>
        <v>5872900000</v>
      </c>
      <c r="I31" s="30" t="n">
        <f aca="false">_xlfn.XLOOKUP("PropertyPlantAndEquipment",HS_STANDALONE!$C:$C,HS_STANDALONE!H:H,0,0,1)</f>
        <v>5309000000</v>
      </c>
      <c r="J31" s="30" t="n">
        <f aca="false">_xlfn.XLOOKUP("PropertyPlantAndEquipment",HS_STANDALONE!$C:$C,HS_STANDALONE!I:I,0,0,1)</f>
        <v>5257400000</v>
      </c>
      <c r="K31" s="30" t="n">
        <f aca="false">_xlfn.XLOOKUP("PropertyPlantAndEquipment",HS_STANDALONE!$C:$C,HS_STANDALONE!J:J,0,0,1)</f>
        <v>4342600000</v>
      </c>
      <c r="L31" s="30" t="n">
        <f aca="false">_xlfn.XLOOKUP("PropertyPlantAndEquipment",HS_STANDALONE!$C:$C,HS_STANDALONE!K:K,0,0,1)</f>
        <v>5079500000</v>
      </c>
      <c r="M31" s="30" t="n">
        <f aca="false">_xlfn.XLOOKUP("PropertyPlantAndEquipment",HS_STANDALONE!$C:$C,HS_STANDALONE!L:L,0,0,1)</f>
        <v>6153700000</v>
      </c>
    </row>
    <row r="32" customFormat="false" ht="15" hidden="false" customHeight="false" outlineLevel="0" collapsed="false">
      <c r="D32" s="6" t="s">
        <v>138</v>
      </c>
      <c r="E32" s="30" t="n">
        <f aca="false">_xlfn.XLOOKUP("CapitalWorkInProgress",HS_STANDALONE!$C:$C,HS_STANDALONE!D:D,0,0,1)</f>
        <v>727300000</v>
      </c>
      <c r="F32" s="30" t="n">
        <f aca="false">_xlfn.XLOOKUP("CapitalWorkInProgress",HS_STANDALONE!$C:$C,HS_STANDALONE!E:E,0,0,1)</f>
        <v>1120600000</v>
      </c>
      <c r="G32" s="30" t="n">
        <f aca="false">_xlfn.XLOOKUP("CapitalWorkInProgress",HS_STANDALONE!$C:$C,HS_STANDALONE!F:F,0,0,1)</f>
        <v>1297400000</v>
      </c>
      <c r="H32" s="30" t="n">
        <f aca="false">_xlfn.XLOOKUP("CapitalWorkInProgress",HS_STANDALONE!$C:$C,HS_STANDALONE!G:G,0,0,1)</f>
        <v>1046000000</v>
      </c>
      <c r="I32" s="30" t="n">
        <f aca="false">_xlfn.XLOOKUP("CapitalWorkInProgress",HS_STANDALONE!$C:$C,HS_STANDALONE!H:H,0,0,1)</f>
        <v>963400000</v>
      </c>
      <c r="J32" s="30" t="n">
        <f aca="false">_xlfn.XLOOKUP("CapitalWorkInProgress",HS_STANDALONE!$C:$C,HS_STANDALONE!I:I,0,0,1)</f>
        <v>76300000</v>
      </c>
      <c r="K32" s="30" t="n">
        <f aca="false">_xlfn.XLOOKUP("CapitalWorkInProgress",HS_STANDALONE!$C:$C,HS_STANDALONE!J:J,0,0,1)</f>
        <v>8700000</v>
      </c>
      <c r="L32" s="30" t="n">
        <f aca="false">_xlfn.XLOOKUP("CapitalWorkInProgress",HS_STANDALONE!$C:$C,HS_STANDALONE!K:K,0,0,1)</f>
        <v>33700000</v>
      </c>
      <c r="M32" s="30" t="n">
        <f aca="false">_xlfn.XLOOKUP("CapitalWorkInProgress",HS_STANDALONE!$C:$C,HS_STANDALONE!L:L,0,0,1)</f>
        <v>596000000</v>
      </c>
    </row>
    <row r="33" customFormat="false" ht="15" hidden="false" customHeight="false" outlineLevel="0" collapsed="false">
      <c r="D33" s="6" t="s">
        <v>139</v>
      </c>
      <c r="E33" s="30" t="n">
        <f aca="false">_xlfn.XLOOKUP("Goodwill",HS_STANDALONE!$C:$C,HS_STANDALONE!D:D,0,0,1)</f>
        <v>6433600000</v>
      </c>
      <c r="F33" s="30" t="n">
        <f aca="false">_xlfn.XLOOKUP("Goodwill",HS_STANDALONE!$C:$C,HS_STANDALONE!E:E,0,0,1)</f>
        <v>4718000000</v>
      </c>
      <c r="G33" s="30" t="n">
        <f aca="false">_xlfn.XLOOKUP("Goodwill",HS_STANDALONE!$C:$C,HS_STANDALONE!F:F,0,0,1)</f>
        <v>3002400000</v>
      </c>
      <c r="H33" s="30" t="n">
        <f aca="false">_xlfn.XLOOKUP("Goodwill",HS_STANDALONE!$C:$C,HS_STANDALONE!G:G,0,0,1)</f>
        <v>0</v>
      </c>
      <c r="I33" s="30" t="n">
        <f aca="false">_xlfn.XLOOKUP("Goodwill",HS_STANDALONE!$C:$C,HS_STANDALONE!H:H,0,0,1)</f>
        <v>0</v>
      </c>
      <c r="J33" s="30" t="n">
        <f aca="false">_xlfn.XLOOKUP("Goodwill",HS_STANDALONE!$C:$C,HS_STANDALONE!I:I,0,0,1)</f>
        <v>0</v>
      </c>
      <c r="K33" s="30" t="n">
        <f aca="false">_xlfn.XLOOKUP("Goodwill",HS_STANDALONE!$C:$C,HS_STANDALONE!J:J,0,0,1)</f>
        <v>0</v>
      </c>
      <c r="L33" s="30" t="n">
        <f aca="false">_xlfn.XLOOKUP("Goodwill",HS_STANDALONE!$C:$C,HS_STANDALONE!K:K,0,0,1)</f>
        <v>0</v>
      </c>
      <c r="M33" s="30" t="n">
        <f aca="false">_xlfn.XLOOKUP("Goodwill",HS_STANDALONE!$C:$C,HS_STANDALONE!L:L,0,0,1)</f>
        <v>0</v>
      </c>
    </row>
    <row r="34" customFormat="false" ht="15" hidden="false" customHeight="false" outlineLevel="0" collapsed="false">
      <c r="D34" s="6" t="s">
        <v>140</v>
      </c>
      <c r="E34" s="30" t="n">
        <f aca="false">_xlfn.XLOOKUP("OtherIntangibleAssets",HS_STANDALONE!$C:$C,HS_STANDALONE!D:D,0,0,1)</f>
        <v>1858800000</v>
      </c>
      <c r="F34" s="30" t="n">
        <f aca="false">_xlfn.XLOOKUP("OtherIntangibleAssets",HS_STANDALONE!$C:$C,HS_STANDALONE!E:E,0,0,1)</f>
        <v>1476100000</v>
      </c>
      <c r="G34" s="30" t="n">
        <f aca="false">_xlfn.XLOOKUP("OtherIntangibleAssets",HS_STANDALONE!$C:$C,HS_STANDALONE!F:F,0,0,1)</f>
        <v>3297700000</v>
      </c>
      <c r="H34" s="30" t="n">
        <f aca="false">_xlfn.XLOOKUP("OtherIntangibleAssets",HS_STANDALONE!$C:$C,HS_STANDALONE!G:G,0,0,1)</f>
        <v>2705900000</v>
      </c>
      <c r="I34" s="30" t="n">
        <f aca="false">_xlfn.XLOOKUP("OtherIntangibleAssets",HS_STANDALONE!$C:$C,HS_STANDALONE!H:H,0,0,1)</f>
        <v>1942400000</v>
      </c>
      <c r="J34" s="30" t="n">
        <f aca="false">_xlfn.XLOOKUP("OtherIntangibleAssets",HS_STANDALONE!$C:$C,HS_STANDALONE!I:I,0,0,1)</f>
        <v>1247000000</v>
      </c>
      <c r="K34" s="30" t="n">
        <f aca="false">_xlfn.XLOOKUP("OtherIntangibleAssets",HS_STANDALONE!$C:$C,HS_STANDALONE!J:J,0,0,1)</f>
        <v>629000000</v>
      </c>
      <c r="L34" s="30" t="n">
        <f aca="false">_xlfn.XLOOKUP("OtherIntangibleAssets",HS_STANDALONE!$C:$C,HS_STANDALONE!K:K,0,0,1)</f>
        <v>536400000</v>
      </c>
      <c r="M34" s="30" t="n">
        <f aca="false">_xlfn.XLOOKUP("OtherIntangibleAssets",HS_STANDALONE!$C:$C,HS_STANDALONE!L:L,0,0,1)</f>
        <v>913500000</v>
      </c>
    </row>
    <row r="35" customFormat="false" ht="15" hidden="false" customHeight="false" outlineLevel="0" collapsed="false">
      <c r="D35" s="6" t="s">
        <v>141</v>
      </c>
      <c r="E35" s="30" t="n">
        <f aca="false">_xlfn.XLOOKUP("IntangibleAssetsUnderDevelopment",HS_STANDALONE!$C:$C,HS_STANDALONE!D:D,0,0,1)</f>
        <v>555300000</v>
      </c>
      <c r="F35" s="30" t="n">
        <f aca="false">_xlfn.XLOOKUP("IntangibleAssetsUnderDevelopment",HS_STANDALONE!$C:$C,HS_STANDALONE!E:E,0,0,1)</f>
        <v>1798200000</v>
      </c>
      <c r="G35" s="30" t="n">
        <f aca="false">_xlfn.XLOOKUP("IntangibleAssetsUnderDevelopment",HS_STANDALONE!$C:$C,HS_STANDALONE!F:F,0,0,1)</f>
        <v>104100000</v>
      </c>
      <c r="H35" s="30" t="n">
        <f aca="false">_xlfn.XLOOKUP("IntangibleAssetsUnderDevelopment",HS_STANDALONE!$C:$C,HS_STANDALONE!G:G,0,0,1)</f>
        <v>123000000</v>
      </c>
      <c r="I35" s="30" t="n">
        <f aca="false">_xlfn.XLOOKUP("IntangibleAssetsUnderDevelopment",HS_STANDALONE!$C:$C,HS_STANDALONE!H:H,0,0,1)</f>
        <v>35200000</v>
      </c>
      <c r="J35" s="30" t="n">
        <f aca="false">_xlfn.XLOOKUP("IntangibleAssetsUnderDevelopment",HS_STANDALONE!$C:$C,HS_STANDALONE!I:I,0,0,1)</f>
        <v>44200000</v>
      </c>
      <c r="K35" s="30" t="n">
        <f aca="false">_xlfn.XLOOKUP("IntangibleAssetsUnderDevelopment",HS_STANDALONE!$C:$C,HS_STANDALONE!J:J,0,0,1)</f>
        <v>34300000</v>
      </c>
      <c r="L35" s="30" t="n">
        <f aca="false">_xlfn.XLOOKUP("IntangibleAssetsUnderDevelopment",HS_STANDALONE!$C:$C,HS_STANDALONE!K:K,0,0,1)</f>
        <v>35100000</v>
      </c>
      <c r="M35" s="30" t="n">
        <f aca="false">_xlfn.XLOOKUP("IntangibleAssetsUnderDevelopment",HS_STANDALONE!$C:$C,HS_STANDALONE!L:L,0,0,1)</f>
        <v>163500000</v>
      </c>
    </row>
    <row r="36" customFormat="false" ht="15" hidden="false" customHeight="false" outlineLevel="0" collapsed="false">
      <c r="D36" s="6" t="s">
        <v>142</v>
      </c>
      <c r="E36" s="30" t="n">
        <f aca="false">_xlfn.XLOOKUP("TradeReceivablesNoncurrent",HS_STANDALONE!$C:$C,HS_STANDALONE!D:D,0,0,1)</f>
        <v>346400000</v>
      </c>
      <c r="F36" s="30" t="n">
        <f aca="false">_xlfn.XLOOKUP("TradeReceivablesNoncurrent",HS_STANDALONE!$C:$C,HS_STANDALONE!E:E,0,0,1)</f>
        <v>48400000</v>
      </c>
      <c r="G36" s="30" t="n">
        <f aca="false">_xlfn.XLOOKUP("TradeReceivablesNoncurrent",HS_STANDALONE!$C:$C,HS_STANDALONE!F:F,0,0,1)</f>
        <v>0</v>
      </c>
      <c r="H36" s="30" t="n">
        <f aca="false">_xlfn.XLOOKUP("TradeReceivablesNoncurrent",HS_STANDALONE!$C:$C,HS_STANDALONE!G:G,0,0,1)</f>
        <v>0</v>
      </c>
      <c r="I36" s="30" t="n">
        <f aca="false">_xlfn.XLOOKUP("TradeReceivablesNoncurrent",HS_STANDALONE!$C:$C,HS_STANDALONE!H:H,0,0,1)</f>
        <v>0</v>
      </c>
      <c r="J36" s="30" t="n">
        <f aca="false">_xlfn.XLOOKUP("TradeReceivablesNoncurrent",HS_STANDALONE!$C:$C,HS_STANDALONE!I:I,0,0,1)</f>
        <v>0</v>
      </c>
      <c r="K36" s="30" t="n">
        <f aca="false">_xlfn.XLOOKUP("TradeReceivablesNoncurrent",HS_STANDALONE!$C:$C,HS_STANDALONE!J:J,0,0,1)</f>
        <v>0</v>
      </c>
      <c r="L36" s="30" t="n">
        <f aca="false">_xlfn.XLOOKUP("TradeReceivablesNoncurrent",HS_STANDALONE!$C:$C,HS_STANDALONE!K:K,0,0,1)</f>
        <v>0</v>
      </c>
      <c r="M36" s="30" t="n">
        <f aca="false">_xlfn.XLOOKUP("TradeReceivablesNoncurrent",HS_STANDALONE!$C:$C,HS_STANDALONE!L:L,0,0,1)</f>
        <v>0</v>
      </c>
    </row>
    <row r="37" customFormat="false" ht="15" hidden="false" customHeight="false" outlineLevel="0" collapsed="false">
      <c r="D37" s="6" t="s">
        <v>143</v>
      </c>
      <c r="E37" s="30" t="n">
        <f aca="false">_xlfn.XLOOKUP("OtherNoncurrentAssets",HS_STANDALONE!$C:$C,HS_STANDALONE!D:D,0,0,1)</f>
        <v>317100000</v>
      </c>
      <c r="F37" s="30" t="n">
        <f aca="false">_xlfn.XLOOKUP("OtherNoncurrentAssets",HS_STANDALONE!$C:$C,HS_STANDALONE!E:E,0,0,1)</f>
        <v>269600000</v>
      </c>
      <c r="G37" s="30" t="n">
        <f aca="false">_xlfn.XLOOKUP("OtherNoncurrentAssets",HS_STANDALONE!$C:$C,HS_STANDALONE!F:F,0,0,1)</f>
        <v>186700000</v>
      </c>
      <c r="H37" s="30" t="n">
        <f aca="false">_xlfn.XLOOKUP("OtherNoncurrentAssets",HS_STANDALONE!$C:$C,HS_STANDALONE!G:G,0,0,1)</f>
        <v>725800000</v>
      </c>
      <c r="I37" s="30" t="n">
        <f aca="false">_xlfn.XLOOKUP("OtherNoncurrentAssets",HS_STANDALONE!$C:$C,HS_STANDALONE!H:H,0,0,1)</f>
        <v>652200000</v>
      </c>
      <c r="J37" s="30" t="n">
        <f aca="false">_xlfn.XLOOKUP("OtherNoncurrentAssets",HS_STANDALONE!$C:$C,HS_STANDALONE!I:I,0,0,1)</f>
        <v>692900000</v>
      </c>
      <c r="K37" s="30" t="n">
        <f aca="false">_xlfn.XLOOKUP("OtherNoncurrentAssets",HS_STANDALONE!$C:$C,HS_STANDALONE!J:J,0,0,1)</f>
        <v>713100000</v>
      </c>
      <c r="L37" s="30" t="n">
        <f aca="false">_xlfn.XLOOKUP("OtherNoncurrentAssets",HS_STANDALONE!$C:$C,HS_STANDALONE!K:K,0,0,1)</f>
        <v>421200000</v>
      </c>
      <c r="M37" s="30" t="n">
        <f aca="false">_xlfn.XLOOKUP("OtherNoncurrentAssets",HS_STANDALONE!$C:$C,HS_STANDALONE!L:L,0,0,1)</f>
        <v>625400000</v>
      </c>
    </row>
    <row r="38" customFormat="false" ht="15" hidden="false" customHeight="false" outlineLevel="0" collapsed="false">
      <c r="A38" s="31"/>
      <c r="B38" s="31"/>
      <c r="C38" s="32" t="s">
        <v>144</v>
      </c>
      <c r="D38" s="31"/>
      <c r="E38" s="33" t="n">
        <f aca="false">IFERROR(SUM(E31:E37),0)</f>
        <v>19500000000</v>
      </c>
      <c r="F38" s="33" t="n">
        <f aca="false">IFERROR(SUM(F31:F37),0)</f>
        <v>17528800000</v>
      </c>
      <c r="G38" s="33" t="n">
        <f aca="false">IFERROR(SUM(G31:G37),0)</f>
        <v>15257400000</v>
      </c>
      <c r="H38" s="33" t="n">
        <f aca="false">IFERROR(SUM(H31:H37),0)</f>
        <v>10473600000</v>
      </c>
      <c r="I38" s="33" t="n">
        <f aca="false">IFERROR(SUM(I31:I37),0)</f>
        <v>8902200000</v>
      </c>
      <c r="J38" s="33" t="n">
        <f aca="false">IFERROR(SUM(J31:J37),0)</f>
        <v>7317800000</v>
      </c>
      <c r="K38" s="33" t="n">
        <f aca="false">IFERROR(SUM(K31:K37),0)</f>
        <v>5727700000</v>
      </c>
      <c r="L38" s="33" t="n">
        <f aca="false">IFERROR(SUM(L31:L37),0)</f>
        <v>6105900000</v>
      </c>
      <c r="M38" s="33" t="n">
        <f aca="false">IFERROR(SUM(M31:M37),0)</f>
        <v>8452100000</v>
      </c>
    </row>
    <row r="39" customFormat="false" ht="15" hidden="false" customHeight="false" outlineLevel="0" collapsed="false">
      <c r="A39" s="28"/>
      <c r="B39" s="28"/>
      <c r="C39" s="29" t="s">
        <v>145</v>
      </c>
      <c r="D39" s="28"/>
      <c r="E39" s="28"/>
      <c r="F39" s="28"/>
      <c r="G39" s="28"/>
      <c r="H39" s="28"/>
      <c r="I39" s="28"/>
      <c r="J39" s="28"/>
      <c r="K39" s="28"/>
      <c r="L39" s="28"/>
      <c r="M39" s="28"/>
    </row>
    <row r="40" customFormat="false" ht="15" hidden="false" customHeight="false" outlineLevel="0" collapsed="false">
      <c r="D40" s="6" t="s">
        <v>146</v>
      </c>
      <c r="E40" s="30" t="n">
        <f aca="false">_xlfn.XLOOKUP("InvestmentProperty",HS_STANDALONE!$C:$C,HS_STANDALONE!D:D,0,0,1)</f>
        <v>341400000</v>
      </c>
      <c r="F40" s="30" t="n">
        <f aca="false">_xlfn.XLOOKUP("InvestmentProperty",HS_STANDALONE!$C:$C,HS_STANDALONE!E:E,0,0,1)</f>
        <v>407900000</v>
      </c>
      <c r="G40" s="30" t="n">
        <f aca="false">_xlfn.XLOOKUP("InvestmentProperty",HS_STANDALONE!$C:$C,HS_STANDALONE!F:F,0,0,1)</f>
        <v>373600000</v>
      </c>
      <c r="H40" s="30" t="n">
        <f aca="false">_xlfn.XLOOKUP("InvestmentProperty",HS_STANDALONE!$C:$C,HS_STANDALONE!G:G,0,0,1)</f>
        <v>346700000</v>
      </c>
      <c r="I40" s="30" t="n">
        <f aca="false">_xlfn.XLOOKUP("InvestmentProperty",HS_STANDALONE!$C:$C,HS_STANDALONE!H:H,0,0,1)</f>
        <v>326400000</v>
      </c>
      <c r="J40" s="30" t="n">
        <f aca="false">_xlfn.XLOOKUP("InvestmentProperty",HS_STANDALONE!$C:$C,HS_STANDALONE!I:I,0,0,1)</f>
        <v>308600000</v>
      </c>
      <c r="K40" s="30" t="n">
        <f aca="false">_xlfn.XLOOKUP("InvestmentProperty",HS_STANDALONE!$C:$C,HS_STANDALONE!J:J,0,0,1)</f>
        <v>292100000</v>
      </c>
      <c r="L40" s="30" t="n">
        <f aca="false">_xlfn.XLOOKUP("InvestmentProperty",HS_STANDALONE!$C:$C,HS_STANDALONE!K:K,0,0,1)</f>
        <v>270100000</v>
      </c>
      <c r="M40" s="30" t="n">
        <f aca="false">_xlfn.XLOOKUP("InvestmentProperty",HS_STANDALONE!$C:$C,HS_STANDALONE!L:L,0,0,1)</f>
        <v>257500000</v>
      </c>
    </row>
    <row r="41" customFormat="false" ht="15" hidden="false" customHeight="false" outlineLevel="0" collapsed="false">
      <c r="D41" s="6" t="s">
        <v>147</v>
      </c>
      <c r="E41" s="30" t="n">
        <f aca="false">_xlfn.XLOOKUP("InvestmentsAccountedForUsingEquityMethod",HS_STANDALONE!$C:$C,HS_STANDALONE!D:D,0,0,1)</f>
        <v>0</v>
      </c>
      <c r="F41" s="30" t="n">
        <f aca="false">_xlfn.XLOOKUP("InvestmentsAccountedForUsingEquityMethod",HS_STANDALONE!$C:$C,HS_STANDALONE!E:E,0,0,1)</f>
        <v>1155400000</v>
      </c>
      <c r="G41" s="30" t="n">
        <f aca="false">_xlfn.XLOOKUP("InvestmentsAccountedForUsingEquityMethod",HS_STANDALONE!$C:$C,HS_STANDALONE!F:F,0,0,1)</f>
        <v>0</v>
      </c>
      <c r="H41" s="30" t="n">
        <f aca="false">_xlfn.XLOOKUP("InvestmentsAccountedForUsingEquityMethod",HS_STANDALONE!$C:$C,HS_STANDALONE!G:G,0,0,1)</f>
        <v>298000000</v>
      </c>
      <c r="I41" s="30" t="n">
        <f aca="false">_xlfn.XLOOKUP("InvestmentsAccountedForUsingEquityMethod",HS_STANDALONE!$C:$C,HS_STANDALONE!H:H,0,0,1)</f>
        <v>298000000</v>
      </c>
      <c r="J41" s="30" t="n">
        <f aca="false">_xlfn.XLOOKUP("InvestmentsAccountedForUsingEquityMethod",HS_STANDALONE!$C:$C,HS_STANDALONE!I:I,0,0,1)</f>
        <v>0</v>
      </c>
      <c r="K41" s="30" t="n">
        <f aca="false">_xlfn.XLOOKUP("InvestmentsAccountedForUsingEquityMethod",HS_STANDALONE!$C:$C,HS_STANDALONE!J:J,0,0,1)</f>
        <v>0</v>
      </c>
      <c r="L41" s="30" t="n">
        <f aca="false">_xlfn.XLOOKUP("InvestmentsAccountedForUsingEquityMethod",HS_STANDALONE!$C:$C,HS_STANDALONE!K:K,0,0,1)</f>
        <v>0</v>
      </c>
      <c r="M41" s="30" t="n">
        <f aca="false">_xlfn.XLOOKUP("InvestmentsAccountedForUsingEquityMethod",HS_STANDALONE!$C:$C,HS_STANDALONE!L:L,0,0,1)</f>
        <v>0</v>
      </c>
    </row>
    <row r="42" customFormat="false" ht="15" hidden="false" customHeight="false" outlineLevel="0" collapsed="false">
      <c r="D42" s="6" t="s">
        <v>148</v>
      </c>
      <c r="E42" s="30" t="n">
        <f aca="false">_xlfn.XLOOKUP("NoncurrentInvestments",HS_STANDALONE!$C:$C,HS_STANDALONE!D:D,0,0,1)</f>
        <v>31667700000</v>
      </c>
      <c r="F42" s="30" t="n">
        <f aca="false">_xlfn.XLOOKUP("NoncurrentInvestments",HS_STANDALONE!$C:$C,HS_STANDALONE!E:E,0,0,1)</f>
        <v>27629200000</v>
      </c>
      <c r="G42" s="30" t="n">
        <f aca="false">_xlfn.XLOOKUP("NoncurrentInvestments",HS_STANDALONE!$C:$C,HS_STANDALONE!F:F,0,0,1)</f>
        <v>20085800000</v>
      </c>
      <c r="H42" s="30" t="n">
        <f aca="false">_xlfn.XLOOKUP("NoncurrentInvestments",HS_STANDALONE!$C:$C,HS_STANDALONE!G:G,0,0,1)</f>
        <v>17521500000</v>
      </c>
      <c r="I42" s="30" t="n">
        <f aca="false">_xlfn.XLOOKUP("NoncurrentInvestments",HS_STANDALONE!$C:$C,HS_STANDALONE!H:H,0,0,1)</f>
        <v>17508400000</v>
      </c>
      <c r="J42" s="30" t="n">
        <f aca="false">_xlfn.XLOOKUP("NoncurrentInvestments",HS_STANDALONE!$C:$C,HS_STANDALONE!I:I,0,0,1)</f>
        <v>17519800000</v>
      </c>
      <c r="K42" s="30" t="n">
        <f aca="false">_xlfn.XLOOKUP("NoncurrentInvestments",HS_STANDALONE!$C:$C,HS_STANDALONE!J:J,0,0,1)</f>
        <v>17539000000</v>
      </c>
      <c r="L42" s="30" t="n">
        <f aca="false">_xlfn.XLOOKUP("NoncurrentInvestments",HS_STANDALONE!$C:$C,HS_STANDALONE!K:K,0,0,1)</f>
        <v>17564600000</v>
      </c>
      <c r="M42" s="30" t="n">
        <f aca="false">_xlfn.XLOOKUP("NoncurrentInvestments",HS_STANDALONE!$C:$C,HS_STANDALONE!L:L,0,0,1)</f>
        <v>12776900000</v>
      </c>
    </row>
    <row r="43" customFormat="false" ht="15" hidden="false" customHeight="false" outlineLevel="0" collapsed="false">
      <c r="D43" s="6" t="s">
        <v>149</v>
      </c>
      <c r="E43" s="30" t="n">
        <f aca="false">_xlfn.XLOOKUP("LoansNoncurrent",HS_STANDALONE!$C:$C,HS_STANDALONE!D:D,0,0,1)</f>
        <v>11292400000</v>
      </c>
      <c r="F43" s="30" t="n">
        <f aca="false">_xlfn.XLOOKUP("LoansNoncurrent",HS_STANDALONE!$C:$C,HS_STANDALONE!E:E,0,0,1)</f>
        <v>9975300000</v>
      </c>
      <c r="G43" s="30" t="n">
        <f aca="false">_xlfn.XLOOKUP("LoansNoncurrent",HS_STANDALONE!$C:$C,HS_STANDALONE!F:F,0,0,1)</f>
        <v>6599200000</v>
      </c>
      <c r="H43" s="30" t="n">
        <f aca="false">_xlfn.XLOOKUP("LoansNoncurrent",HS_STANDALONE!$C:$C,HS_STANDALONE!G:G,0,0,1)</f>
        <v>4191600000</v>
      </c>
      <c r="I43" s="30" t="n">
        <f aca="false">_xlfn.XLOOKUP("LoansNoncurrent",HS_STANDALONE!$C:$C,HS_STANDALONE!H:H,0,0,1)</f>
        <v>2899700000</v>
      </c>
      <c r="J43" s="30" t="n">
        <f aca="false">_xlfn.XLOOKUP("LoansNoncurrent",HS_STANDALONE!$C:$C,HS_STANDALONE!I:I,0,0,1)</f>
        <v>525100000</v>
      </c>
      <c r="K43" s="30" t="n">
        <f aca="false">_xlfn.XLOOKUP("LoansNoncurrent",HS_STANDALONE!$C:$C,HS_STANDALONE!J:J,0,0,1)</f>
        <v>12444200000</v>
      </c>
      <c r="L43" s="30" t="n">
        <f aca="false">_xlfn.XLOOKUP("LoansNoncurrent",HS_STANDALONE!$C:$C,HS_STANDALONE!K:K,0,0,1)</f>
        <v>9790700000</v>
      </c>
      <c r="M43" s="30" t="n">
        <f aca="false">_xlfn.XLOOKUP("LoansNoncurrent",HS_STANDALONE!$C:$C,HS_STANDALONE!L:L,0,0,1)</f>
        <v>1390600000</v>
      </c>
    </row>
    <row r="44" customFormat="false" ht="15" hidden="false" customHeight="false" outlineLevel="0" collapsed="false">
      <c r="D44" s="6" t="s">
        <v>150</v>
      </c>
      <c r="E44" s="30" t="n">
        <f aca="false">_xlfn.XLOOKUP("OtherNoncurrentFinancialAssets",HS_STANDALONE!$C:$C,HS_STANDALONE!D:D,0,0,1)</f>
        <v>6204600000</v>
      </c>
      <c r="F44" s="30" t="n">
        <f aca="false">_xlfn.XLOOKUP("OtherNoncurrentFinancialAssets",HS_STANDALONE!$C:$C,HS_STANDALONE!E:E,0,0,1)</f>
        <v>4882200000</v>
      </c>
      <c r="G44" s="30" t="n">
        <f aca="false">_xlfn.XLOOKUP("OtherNoncurrentFinancialAssets",HS_STANDALONE!$C:$C,HS_STANDALONE!F:F,0,0,1)</f>
        <v>4176900000</v>
      </c>
      <c r="H44" s="30" t="n">
        <f aca="false">_xlfn.XLOOKUP("OtherNoncurrentFinancialAssets",HS_STANDALONE!$C:$C,HS_STANDALONE!G:G,0,0,1)</f>
        <v>2288300000</v>
      </c>
      <c r="I44" s="30" t="n">
        <f aca="false">_xlfn.XLOOKUP("OtherNoncurrentFinancialAssets",HS_STANDALONE!$C:$C,HS_STANDALONE!H:H,0,0,1)</f>
        <v>3453000000</v>
      </c>
      <c r="J44" s="30" t="n">
        <f aca="false">_xlfn.XLOOKUP("OtherNoncurrentFinancialAssets",HS_STANDALONE!$C:$C,HS_STANDALONE!I:I,0,0,1)</f>
        <v>2286700000</v>
      </c>
      <c r="K44" s="30" t="n">
        <f aca="false">_xlfn.XLOOKUP("OtherNoncurrentFinancialAssets",HS_STANDALONE!$C:$C,HS_STANDALONE!J:J,0,0,1)</f>
        <v>3833900000</v>
      </c>
      <c r="L44" s="30" t="n">
        <f aca="false">_xlfn.XLOOKUP("OtherNoncurrentFinancialAssets",HS_STANDALONE!$C:$C,HS_STANDALONE!K:K,0,0,1)</f>
        <v>8416700000</v>
      </c>
      <c r="M44" s="30" t="n">
        <f aca="false">_xlfn.XLOOKUP("OtherNoncurrentFinancialAssets",HS_STANDALONE!$C:$C,HS_STANDALONE!L:L,0,0,1)</f>
        <v>10626700000</v>
      </c>
    </row>
    <row r="45" customFormat="false" ht="15" hidden="false" customHeight="false" outlineLevel="0" collapsed="false">
      <c r="D45" s="6" t="s">
        <v>151</v>
      </c>
      <c r="E45" s="30" t="n">
        <f aca="false">_xlfn.XLOOKUP("DeferredTaxAssetsNet",HS_STANDALONE!$C:$C,HS_STANDALONE!D:D,0,0,1)</f>
        <v>0</v>
      </c>
      <c r="F45" s="30" t="n">
        <f aca="false">_xlfn.XLOOKUP("DeferredTaxAssetsNet",HS_STANDALONE!$C:$C,HS_STANDALONE!E:E,0,0,1)</f>
        <v>0</v>
      </c>
      <c r="G45" s="30" t="n">
        <f aca="false">_xlfn.XLOOKUP("DeferredTaxAssetsNet",HS_STANDALONE!$C:$C,HS_STANDALONE!F:F,0,0,1)</f>
        <v>0</v>
      </c>
      <c r="H45" s="30" t="n">
        <f aca="false">_xlfn.XLOOKUP("DeferredTaxAssetsNet",HS_STANDALONE!$C:$C,HS_STANDALONE!G:G,0,0,1)</f>
        <v>0</v>
      </c>
      <c r="I45" s="30" t="n">
        <f aca="false">_xlfn.XLOOKUP("DeferredTaxAssetsNet",HS_STANDALONE!$C:$C,HS_STANDALONE!H:H,0,0,1)</f>
        <v>0</v>
      </c>
      <c r="J45" s="30" t="n">
        <f aca="false">_xlfn.XLOOKUP("DeferredTaxAssetsNet",HS_STANDALONE!$C:$C,HS_STANDALONE!I:I,0,0,1)</f>
        <v>0</v>
      </c>
      <c r="K45" s="30" t="n">
        <f aca="false">_xlfn.XLOOKUP("DeferredTaxAssetsNet",HS_STANDALONE!$C:$C,HS_STANDALONE!J:J,0,0,1)</f>
        <v>0</v>
      </c>
      <c r="L45" s="30" t="n">
        <f aca="false">_xlfn.XLOOKUP("DeferredTaxAssetsNet",HS_STANDALONE!$C:$C,HS_STANDALONE!K:K,0,0,1)</f>
        <v>0</v>
      </c>
      <c r="M45" s="30" t="n">
        <f aca="false">_xlfn.XLOOKUP("DeferredTaxAssetsNet",HS_STANDALONE!$C:$C,HS_STANDALONE!L:L,0,0,1)</f>
        <v>6380500000</v>
      </c>
    </row>
    <row r="46" customFormat="false" ht="15" hidden="false" customHeight="false" outlineLevel="0" collapsed="false">
      <c r="A46" s="31"/>
      <c r="B46" s="31"/>
      <c r="C46" s="32" t="s">
        <v>152</v>
      </c>
      <c r="D46" s="31"/>
      <c r="E46" s="33" t="n">
        <f aca="false">IFERROR(SUM(E40:E45),0)</f>
        <v>49506100000</v>
      </c>
      <c r="F46" s="33" t="n">
        <f aca="false">IFERROR(SUM(F40:F45),0)</f>
        <v>44050000000</v>
      </c>
      <c r="G46" s="33" t="n">
        <f aca="false">IFERROR(SUM(G40:G45),0)</f>
        <v>31235500000</v>
      </c>
      <c r="H46" s="33" t="n">
        <f aca="false">IFERROR(SUM(H40:H45),0)</f>
        <v>24646100000</v>
      </c>
      <c r="I46" s="33" t="n">
        <f aca="false">IFERROR(SUM(I40:I45),0)</f>
        <v>24485500000</v>
      </c>
      <c r="J46" s="33" t="n">
        <f aca="false">IFERROR(SUM(J40:J45),0)</f>
        <v>20640200000</v>
      </c>
      <c r="K46" s="33" t="n">
        <f aca="false">IFERROR(SUM(K40:K45),0)</f>
        <v>34109200000</v>
      </c>
      <c r="L46" s="33" t="n">
        <f aca="false">IFERROR(SUM(L40:L45),0)</f>
        <v>36042100000</v>
      </c>
      <c r="M46" s="33" t="n">
        <f aca="false">IFERROR(SUM(M40:M45),0)</f>
        <v>31432200000</v>
      </c>
    </row>
    <row r="47" customFormat="false" ht="15" hidden="false" customHeight="false" outlineLevel="0" collapsed="false">
      <c r="C47" s="6" t="s">
        <v>153</v>
      </c>
      <c r="E47" s="30" t="n">
        <f aca="false">_xlfn.XLOOKUP("NoncurrentFinancialAssets",HS_STANDALONE!$C:$C,HS_STANDALONE!D:D,0,0,1)</f>
        <v>49511100000</v>
      </c>
      <c r="F47" s="30" t="n">
        <f aca="false">_xlfn.XLOOKUP("NoncurrentFinancialAssets",HS_STANDALONE!$C:$C,HS_STANDALONE!E:E,0,0,1)</f>
        <v>42535100000</v>
      </c>
      <c r="G47" s="30" t="n">
        <f aca="false">_xlfn.XLOOKUP("NoncurrentFinancialAssets",HS_STANDALONE!$C:$C,HS_STANDALONE!F:F,0,0,1)</f>
        <v>30861900000</v>
      </c>
      <c r="H47" s="30" t="n">
        <f aca="false">_xlfn.XLOOKUP("NoncurrentFinancialAssets",HS_STANDALONE!$C:$C,HS_STANDALONE!G:G,0,0,1)</f>
        <v>24001400000</v>
      </c>
      <c r="I47" s="30" t="n">
        <f aca="false">_xlfn.XLOOKUP("NoncurrentFinancialAssets",HS_STANDALONE!$C:$C,HS_STANDALONE!H:H,0,0,1)</f>
        <v>23861100000</v>
      </c>
      <c r="J47" s="30" t="n">
        <f aca="false">_xlfn.XLOOKUP("NoncurrentFinancialAssets",HS_STANDALONE!$C:$C,HS_STANDALONE!I:I,0,0,1)</f>
        <v>20331600000</v>
      </c>
      <c r="K47" s="30" t="n">
        <f aca="false">_xlfn.XLOOKUP("NoncurrentFinancialAssets",HS_STANDALONE!$C:$C,HS_STANDALONE!J:J,0,0,1)</f>
        <v>33817100000</v>
      </c>
      <c r="L47" s="30" t="n">
        <f aca="false">_xlfn.XLOOKUP("NoncurrentFinancialAssets",HS_STANDALONE!$C:$C,HS_STANDALONE!K:K,0,0,1)</f>
        <v>35772000000</v>
      </c>
      <c r="M47" s="30" t="n">
        <f aca="false">_xlfn.XLOOKUP("NoncurrentFinancialAssets",HS_STANDALONE!$C:$C,HS_STANDALONE!L:L,0,0,1)</f>
        <v>24794200000</v>
      </c>
    </row>
    <row r="48" customFormat="false" ht="15" hidden="false" customHeight="false" outlineLevel="0" collapsed="false">
      <c r="A48" s="34"/>
      <c r="B48" s="35" t="s">
        <v>154</v>
      </c>
      <c r="C48" s="34"/>
      <c r="D48" s="34"/>
      <c r="E48" s="36" t="n">
        <f aca="false">IFERROR(E46+E38,0)</f>
        <v>69006100000</v>
      </c>
      <c r="F48" s="36" t="n">
        <f aca="false">IFERROR(F46+F38,0)</f>
        <v>61578800000</v>
      </c>
      <c r="G48" s="36" t="n">
        <f aca="false">IFERROR(G46+G38,0)</f>
        <v>46492900000</v>
      </c>
      <c r="H48" s="36" t="n">
        <f aca="false">IFERROR(H46+H38,0)</f>
        <v>35119700000</v>
      </c>
      <c r="I48" s="36" t="n">
        <f aca="false">IFERROR(I46+I38,0)</f>
        <v>33387700000</v>
      </c>
      <c r="J48" s="36" t="n">
        <f aca="false">IFERROR(J46+J38,0)</f>
        <v>27958000000</v>
      </c>
      <c r="K48" s="36" t="n">
        <f aca="false">IFERROR(K46+K38,0)</f>
        <v>39836900000</v>
      </c>
      <c r="L48" s="36" t="n">
        <f aca="false">IFERROR(L46+L38,0)</f>
        <v>42148000000</v>
      </c>
      <c r="M48" s="36" t="n">
        <f aca="false">IFERROR(M46+M38,0)</f>
        <v>39884300000</v>
      </c>
    </row>
    <row r="49" customFormat="false" ht="15" hidden="false" customHeight="false" outlineLevel="0" collapsed="false">
      <c r="A49" s="28"/>
      <c r="B49" s="29" t="s">
        <v>155</v>
      </c>
      <c r="C49" s="28"/>
      <c r="D49" s="28"/>
      <c r="E49" s="28"/>
      <c r="F49" s="28"/>
      <c r="G49" s="28"/>
      <c r="H49" s="28"/>
      <c r="I49" s="28"/>
      <c r="J49" s="28"/>
      <c r="K49" s="28"/>
      <c r="L49" s="28"/>
      <c r="M49" s="28"/>
    </row>
    <row r="50" customFormat="false" ht="15" hidden="false" customHeight="false" outlineLevel="0" collapsed="false">
      <c r="A50" s="28"/>
      <c r="B50" s="28"/>
      <c r="C50" s="29" t="s">
        <v>136</v>
      </c>
      <c r="D50" s="28"/>
      <c r="E50" s="28"/>
      <c r="F50" s="28"/>
      <c r="G50" s="28"/>
      <c r="H50" s="28"/>
      <c r="I50" s="28"/>
      <c r="J50" s="28"/>
      <c r="K50" s="28"/>
      <c r="L50" s="28"/>
      <c r="M50" s="28"/>
    </row>
    <row r="51" customFormat="false" ht="15" hidden="false" customHeight="false" outlineLevel="0" collapsed="false">
      <c r="D51" s="6" t="s">
        <v>156</v>
      </c>
      <c r="E51" s="30" t="n">
        <f aca="false">_xlfn.XLOOKUP("Inventories",HS_STANDALONE!$C:$C,HS_STANDALONE!D:D,0,0,1)</f>
        <v>22758700000</v>
      </c>
      <c r="F51" s="30" t="n">
        <f aca="false">_xlfn.XLOOKUP("Inventories",HS_STANDALONE!$C:$C,HS_STANDALONE!E:E,0,0,1)</f>
        <v>15518100000</v>
      </c>
      <c r="G51" s="30" t="n">
        <f aca="false">_xlfn.XLOOKUP("Inventories",HS_STANDALONE!$C:$C,HS_STANDALONE!F:F,0,0,1)</f>
        <v>11803400000</v>
      </c>
      <c r="H51" s="30" t="n">
        <f aca="false">_xlfn.XLOOKUP("Inventories",HS_STANDALONE!$C:$C,HS_STANDALONE!G:G,0,0,1)</f>
        <v>8971400000</v>
      </c>
      <c r="I51" s="30" t="n">
        <f aca="false">_xlfn.XLOOKUP("Inventories",HS_STANDALONE!$C:$C,HS_STANDALONE!H:H,0,0,1)</f>
        <v>8619300000</v>
      </c>
      <c r="J51" s="30" t="n">
        <f aca="false">_xlfn.XLOOKUP("Inventories",HS_STANDALONE!$C:$C,HS_STANDALONE!I:I,0,0,1)</f>
        <v>11674700000</v>
      </c>
      <c r="K51" s="30" t="n">
        <f aca="false">_xlfn.XLOOKUP("Inventories",HS_STANDALONE!$C:$C,HS_STANDALONE!J:J,0,0,1)</f>
        <v>7604200000</v>
      </c>
      <c r="L51" s="30" t="n">
        <f aca="false">_xlfn.XLOOKUP("Inventories",HS_STANDALONE!$C:$C,HS_STANDALONE!K:K,0,0,1)</f>
        <v>11884500000</v>
      </c>
      <c r="M51" s="30" t="n">
        <f aca="false">_xlfn.XLOOKUP("Inventories",HS_STANDALONE!$C:$C,HS_STANDALONE!L:L,0,0,1)</f>
        <v>28571100000</v>
      </c>
    </row>
    <row r="52" customFormat="false" ht="15" hidden="false" customHeight="false" outlineLevel="0" collapsed="false">
      <c r="D52" s="6" t="s">
        <v>157</v>
      </c>
      <c r="E52" s="30" t="n">
        <f aca="false">_xlfn.XLOOKUP("TradeReceivablesCurrent",HS_STANDALONE!$C:$C,HS_STANDALONE!D:D,0,0,1)</f>
        <v>23068800000</v>
      </c>
      <c r="F52" s="30" t="n">
        <f aca="false">_xlfn.XLOOKUP("TradeReceivablesCurrent",HS_STANDALONE!$C:$C,HS_STANDALONE!E:E,0,0,1)</f>
        <v>18919300000</v>
      </c>
      <c r="G52" s="30" t="n">
        <f aca="false">_xlfn.XLOOKUP("TradeReceivablesCurrent",HS_STANDALONE!$C:$C,HS_STANDALONE!F:F,0,0,1)</f>
        <v>10906100000</v>
      </c>
      <c r="H52" s="30" t="n">
        <f aca="false">_xlfn.XLOOKUP("TradeReceivablesCurrent",HS_STANDALONE!$C:$C,HS_STANDALONE!G:G,0,0,1)</f>
        <v>4254000000</v>
      </c>
      <c r="I52" s="30" t="n">
        <f aca="false">_xlfn.XLOOKUP("TradeReceivablesCurrent",HS_STANDALONE!$C:$C,HS_STANDALONE!H:H,0,0,1)</f>
        <v>3793000000</v>
      </c>
      <c r="J52" s="30" t="n">
        <f aca="false">_xlfn.XLOOKUP("TradeReceivablesCurrent",HS_STANDALONE!$C:$C,HS_STANDALONE!I:I,0,0,1)</f>
        <v>6676300000</v>
      </c>
      <c r="K52" s="30" t="n">
        <f aca="false">_xlfn.XLOOKUP("TradeReceivablesCurrent",HS_STANDALONE!$C:$C,HS_STANDALONE!J:J,0,0,1)</f>
        <v>5463200000</v>
      </c>
      <c r="L52" s="30" t="n">
        <f aca="false">_xlfn.XLOOKUP("TradeReceivablesCurrent",HS_STANDALONE!$C:$C,HS_STANDALONE!K:K,0,0,1)</f>
        <v>11156300000</v>
      </c>
      <c r="M52" s="30" t="n">
        <f aca="false">_xlfn.XLOOKUP("TradeReceivablesCurrent",HS_STANDALONE!$C:$C,HS_STANDALONE!L:L,0,0,1)</f>
        <v>36829000000</v>
      </c>
    </row>
    <row r="53" customFormat="false" ht="15" hidden="false" customHeight="false" outlineLevel="0" collapsed="false">
      <c r="D53" s="6" t="s">
        <v>158</v>
      </c>
      <c r="E53" s="30" t="n">
        <f aca="false">_xlfn.XLOOKUP("OtherCurrentAssets",HS_STANDALONE!$C:$C,HS_STANDALONE!D:D,0,0,1)</f>
        <v>2029400000</v>
      </c>
      <c r="F53" s="30" t="n">
        <f aca="false">_xlfn.XLOOKUP("OtherCurrentAssets",HS_STANDALONE!$C:$C,HS_STANDALONE!E:E,0,0,1)</f>
        <v>2817600000</v>
      </c>
      <c r="G53" s="30" t="n">
        <f aca="false">_xlfn.XLOOKUP("OtherCurrentAssets",HS_STANDALONE!$C:$C,HS_STANDALONE!F:F,0,0,1)</f>
        <v>4995600000</v>
      </c>
      <c r="H53" s="30" t="n">
        <f aca="false">_xlfn.XLOOKUP("OtherCurrentAssets",HS_STANDALONE!$C:$C,HS_STANDALONE!G:G,0,0,1)</f>
        <v>3557200000</v>
      </c>
      <c r="I53" s="30" t="n">
        <f aca="false">_xlfn.XLOOKUP("OtherCurrentAssets",HS_STANDALONE!$C:$C,HS_STANDALONE!H:H,0,0,1)</f>
        <v>4367200000</v>
      </c>
      <c r="J53" s="30" t="n">
        <f aca="false">_xlfn.XLOOKUP("OtherCurrentAssets",HS_STANDALONE!$C:$C,HS_STANDALONE!I:I,0,0,1)</f>
        <v>4100300000</v>
      </c>
      <c r="K53" s="30" t="n">
        <f aca="false">_xlfn.XLOOKUP("OtherCurrentAssets",HS_STANDALONE!$C:$C,HS_STANDALONE!J:J,0,0,1)</f>
        <v>3630100000</v>
      </c>
      <c r="L53" s="30" t="n">
        <f aca="false">_xlfn.XLOOKUP("OtherCurrentAssets",HS_STANDALONE!$C:$C,HS_STANDALONE!K:K,0,0,1)</f>
        <v>3062500000</v>
      </c>
      <c r="M53" s="30" t="n">
        <f aca="false">_xlfn.XLOOKUP("OtherCurrentAssets",HS_STANDALONE!$C:$C,HS_STANDALONE!L:L,0,0,1)</f>
        <v>5836400000</v>
      </c>
    </row>
    <row r="54" customFormat="false" ht="15" hidden="false" customHeight="false" outlineLevel="0" collapsed="false">
      <c r="A54" s="31"/>
      <c r="B54" s="31"/>
      <c r="C54" s="32" t="s">
        <v>144</v>
      </c>
      <c r="D54" s="31"/>
      <c r="E54" s="33" t="n">
        <f aca="false">IFERROR(SUM(E51:E53),0)</f>
        <v>47856900000</v>
      </c>
      <c r="F54" s="33" t="n">
        <f aca="false">IFERROR(SUM(F51:F53),0)</f>
        <v>37255000000</v>
      </c>
      <c r="G54" s="33" t="n">
        <f aca="false">IFERROR(SUM(G51:G53),0)</f>
        <v>27705100000</v>
      </c>
      <c r="H54" s="33" t="n">
        <f aca="false">IFERROR(SUM(H51:H53),0)</f>
        <v>16782600000</v>
      </c>
      <c r="I54" s="33" t="n">
        <f aca="false">IFERROR(SUM(I51:I53),0)</f>
        <v>16779500000</v>
      </c>
      <c r="J54" s="33" t="n">
        <f aca="false">IFERROR(SUM(J51:J53),0)</f>
        <v>22451300000</v>
      </c>
      <c r="K54" s="33" t="n">
        <f aca="false">IFERROR(SUM(K51:K53),0)</f>
        <v>16697500000</v>
      </c>
      <c r="L54" s="33" t="n">
        <f aca="false">IFERROR(SUM(L51:L53),0)</f>
        <v>26103300000</v>
      </c>
      <c r="M54" s="33" t="n">
        <f aca="false">IFERROR(SUM(M51:M53),0)</f>
        <v>71236500000</v>
      </c>
    </row>
    <row r="55" customFormat="false" ht="15" hidden="false" customHeight="false" outlineLevel="0" collapsed="false">
      <c r="A55" s="28"/>
      <c r="B55" s="28"/>
      <c r="C55" s="29" t="s">
        <v>145</v>
      </c>
      <c r="D55" s="28"/>
      <c r="E55" s="28"/>
      <c r="F55" s="28"/>
      <c r="G55" s="28"/>
      <c r="H55" s="28"/>
      <c r="I55" s="28"/>
      <c r="J55" s="28"/>
      <c r="K55" s="28"/>
      <c r="L55" s="28"/>
      <c r="M55" s="28"/>
    </row>
    <row r="56" customFormat="false" ht="15" hidden="false" customHeight="false" outlineLevel="0" collapsed="false">
      <c r="D56" s="6" t="s">
        <v>159</v>
      </c>
      <c r="E56" s="30" t="n">
        <f aca="false">_xlfn.XLOOKUP("CurrentInvestments",HS_STANDALONE!$C:$C,HS_STANDALONE!D:D,0,0,1)</f>
        <v>4811000000</v>
      </c>
      <c r="F56" s="30" t="n">
        <f aca="false">_xlfn.XLOOKUP("CurrentInvestments",HS_STANDALONE!$C:$C,HS_STANDALONE!E:E,0,0,1)</f>
        <v>0</v>
      </c>
      <c r="G56" s="30" t="n">
        <f aca="false">_xlfn.XLOOKUP("CurrentInvestments",HS_STANDALONE!$C:$C,HS_STANDALONE!F:F,0,0,1)</f>
        <v>0</v>
      </c>
      <c r="H56" s="30" t="n">
        <f aca="false">_xlfn.XLOOKUP("CurrentInvestments",HS_STANDALONE!$C:$C,HS_STANDALONE!G:G,0,0,1)</f>
        <v>0</v>
      </c>
      <c r="I56" s="30" t="n">
        <f aca="false">_xlfn.XLOOKUP("CurrentInvestments",HS_STANDALONE!$C:$C,HS_STANDALONE!H:H,0,0,1)</f>
        <v>0</v>
      </c>
      <c r="J56" s="30" t="n">
        <f aca="false">_xlfn.XLOOKUP("CurrentInvestments",HS_STANDALONE!$C:$C,HS_STANDALONE!I:I,0,0,1)</f>
        <v>0</v>
      </c>
      <c r="K56" s="30" t="n">
        <f aca="false">_xlfn.XLOOKUP("CurrentInvestments",HS_STANDALONE!$C:$C,HS_STANDALONE!J:J,0,0,1)</f>
        <v>0</v>
      </c>
      <c r="L56" s="30" t="n">
        <f aca="false">_xlfn.XLOOKUP("CurrentInvestments",HS_STANDALONE!$C:$C,HS_STANDALONE!K:K,0,0,1)</f>
        <v>0</v>
      </c>
      <c r="M56" s="30" t="n">
        <f aca="false">_xlfn.XLOOKUP("CurrentInvestments",HS_STANDALONE!$C:$C,HS_STANDALONE!L:L,0,0,1)</f>
        <v>0</v>
      </c>
    </row>
    <row r="57" customFormat="false" ht="15" hidden="false" customHeight="false" outlineLevel="0" collapsed="false">
      <c r="D57" s="6" t="s">
        <v>160</v>
      </c>
      <c r="E57" s="30" t="n">
        <f aca="false">_xlfn.XLOOKUP("CashAndCashEquivalents",HS_STANDALONE!$C:$C,HS_STANDALONE!D:D,0,0,1)</f>
        <v>1533800000</v>
      </c>
      <c r="F57" s="30" t="n">
        <f aca="false">_xlfn.XLOOKUP("CashAndCashEquivalents",HS_STANDALONE!$C:$C,HS_STANDALONE!E:E,0,0,1)</f>
        <v>4467000000</v>
      </c>
      <c r="G57" s="30" t="n">
        <f aca="false">_xlfn.XLOOKUP("CashAndCashEquivalents",HS_STANDALONE!$C:$C,HS_STANDALONE!F:F,0,0,1)</f>
        <v>162000000</v>
      </c>
      <c r="H57" s="30" t="n">
        <f aca="false">_xlfn.XLOOKUP("CashAndCashEquivalents",HS_STANDALONE!$C:$C,HS_STANDALONE!G:G,0,0,1)</f>
        <v>362800000</v>
      </c>
      <c r="I57" s="30" t="n">
        <f aca="false">_xlfn.XLOOKUP("CashAndCashEquivalents",HS_STANDALONE!$C:$C,HS_STANDALONE!H:H,0,0,1)</f>
        <v>1936500000</v>
      </c>
      <c r="J57" s="30" t="n">
        <f aca="false">_xlfn.XLOOKUP("CashAndCashEquivalents",HS_STANDALONE!$C:$C,HS_STANDALONE!I:I,0,0,1)</f>
        <v>4100200000</v>
      </c>
      <c r="K57" s="30" t="n">
        <f aca="false">_xlfn.XLOOKUP("CashAndCashEquivalents",HS_STANDALONE!$C:$C,HS_STANDALONE!J:J,0,0,1)</f>
        <v>2906300000</v>
      </c>
      <c r="L57" s="30" t="n">
        <f aca="false">_xlfn.XLOOKUP("CashAndCashEquivalents",HS_STANDALONE!$C:$C,HS_STANDALONE!K:K,0,0,1)</f>
        <v>2631300000</v>
      </c>
      <c r="M57" s="30" t="n">
        <f aca="false">_xlfn.XLOOKUP("CashAndCashEquivalents",HS_STANDALONE!$C:$C,HS_STANDALONE!L:L,0,0,1)</f>
        <v>9968000000</v>
      </c>
    </row>
    <row r="58" customFormat="false" ht="15" hidden="false" customHeight="false" outlineLevel="0" collapsed="false">
      <c r="D58" s="6" t="s">
        <v>161</v>
      </c>
      <c r="E58" s="30" t="n">
        <f aca="false">_xlfn.XLOOKUP("LoansCurrent",HS_STANDALONE!$C:$C,HS_STANDALONE!D:D,0,0,1)</f>
        <v>17866300000</v>
      </c>
      <c r="F58" s="30" t="n">
        <f aca="false">_xlfn.XLOOKUP("LoansCurrent",HS_STANDALONE!$C:$C,HS_STANDALONE!E:E,0,0,1)</f>
        <v>19507300000</v>
      </c>
      <c r="G58" s="30" t="n">
        <f aca="false">_xlfn.XLOOKUP("LoansCurrent",HS_STANDALONE!$C:$C,HS_STANDALONE!F:F,0,0,1)</f>
        <v>7328600000</v>
      </c>
      <c r="H58" s="30" t="n">
        <f aca="false">_xlfn.XLOOKUP("LoansCurrent",HS_STANDALONE!$C:$C,HS_STANDALONE!G:G,0,0,1)</f>
        <v>3781400000</v>
      </c>
      <c r="I58" s="30" t="n">
        <f aca="false">_xlfn.XLOOKUP("LoansCurrent",HS_STANDALONE!$C:$C,HS_STANDALONE!H:H,0,0,1)</f>
        <v>212800000</v>
      </c>
      <c r="J58" s="30" t="n">
        <f aca="false">_xlfn.XLOOKUP("LoansCurrent",HS_STANDALONE!$C:$C,HS_STANDALONE!I:I,0,0,1)</f>
        <v>523500000</v>
      </c>
      <c r="K58" s="30" t="n">
        <f aca="false">_xlfn.XLOOKUP("LoansCurrent",HS_STANDALONE!$C:$C,HS_STANDALONE!J:J,0,0,1)</f>
        <v>6100000</v>
      </c>
      <c r="L58" s="30" t="n">
        <f aca="false">_xlfn.XLOOKUP("LoansCurrent",HS_STANDALONE!$C:$C,HS_STANDALONE!K:K,0,0,1)</f>
        <v>2500000</v>
      </c>
      <c r="M58" s="30" t="n">
        <f aca="false">_xlfn.XLOOKUP("LoansCurrent",HS_STANDALONE!$C:$C,HS_STANDALONE!L:L,0,0,1)</f>
        <v>2700000</v>
      </c>
    </row>
    <row r="59" customFormat="false" ht="15" hidden="false" customHeight="false" outlineLevel="0" collapsed="false">
      <c r="D59" s="6" t="s">
        <v>162</v>
      </c>
      <c r="E59" s="30" t="n">
        <f aca="false">_xlfn.XLOOKUP("OtherCurrentFinancialAssets",HS_STANDALONE!$C:$C,HS_STANDALONE!D:D,0,0,1)</f>
        <v>1032300000</v>
      </c>
      <c r="F59" s="30" t="n">
        <f aca="false">_xlfn.XLOOKUP("OtherCurrentFinancialAssets",HS_STANDALONE!$C:$C,HS_STANDALONE!E:E,0,0,1)</f>
        <v>1955400000</v>
      </c>
      <c r="G59" s="30" t="n">
        <f aca="false">_xlfn.XLOOKUP("OtherCurrentFinancialAssets",HS_STANDALONE!$C:$C,HS_STANDALONE!F:F,0,0,1)</f>
        <v>2758100000</v>
      </c>
      <c r="H59" s="30" t="n">
        <f aca="false">_xlfn.XLOOKUP("OtherCurrentFinancialAssets",HS_STANDALONE!$C:$C,HS_STANDALONE!G:G,0,0,1)</f>
        <v>708300000</v>
      </c>
      <c r="I59" s="30" t="n">
        <f aca="false">_xlfn.XLOOKUP("OtherCurrentFinancialAssets",HS_STANDALONE!$C:$C,HS_STANDALONE!H:H,0,0,1)</f>
        <v>838800000</v>
      </c>
      <c r="J59" s="30" t="n">
        <f aca="false">_xlfn.XLOOKUP("OtherCurrentFinancialAssets",HS_STANDALONE!$C:$C,HS_STANDALONE!I:I,0,0,1)</f>
        <v>763600000</v>
      </c>
      <c r="K59" s="30" t="n">
        <f aca="false">_xlfn.XLOOKUP("OtherCurrentFinancialAssets",HS_STANDALONE!$C:$C,HS_STANDALONE!J:J,0,0,1)</f>
        <v>755000000</v>
      </c>
      <c r="L59" s="30" t="n">
        <f aca="false">_xlfn.XLOOKUP("OtherCurrentFinancialAssets",HS_STANDALONE!$C:$C,HS_STANDALONE!K:K,0,0,1)</f>
        <v>761500000</v>
      </c>
      <c r="M59" s="30" t="n">
        <f aca="false">_xlfn.XLOOKUP("OtherCurrentFinancialAssets",HS_STANDALONE!$C:$C,HS_STANDALONE!L:L,0,0,1)</f>
        <v>1856300000</v>
      </c>
    </row>
    <row r="60" customFormat="false" ht="15" hidden="false" customHeight="false" outlineLevel="0" collapsed="false">
      <c r="D60" s="6" t="s">
        <v>163</v>
      </c>
      <c r="E60" s="30" t="n">
        <f aca="false">_xlfn.XLOOKUP("CurrentTaxAssetsCurrent",HS_STANDALONE!$C:$C,HS_STANDALONE!D:D,0,0,1)</f>
        <v>153900000</v>
      </c>
      <c r="F60" s="30" t="n">
        <f aca="false">_xlfn.XLOOKUP("CurrentTaxAssetsCurrent",HS_STANDALONE!$C:$C,HS_STANDALONE!E:E,0,0,1)</f>
        <v>62700000</v>
      </c>
      <c r="G60" s="30" t="n">
        <f aca="false">_xlfn.XLOOKUP("CurrentTaxAssetsCurrent",HS_STANDALONE!$C:$C,HS_STANDALONE!F:F,0,0,1)</f>
        <v>42700000</v>
      </c>
      <c r="H60" s="30" t="n">
        <f aca="false">_xlfn.XLOOKUP("CurrentTaxAssetsCurrent",HS_STANDALONE!$C:$C,HS_STANDALONE!G:G,0,0,1)</f>
        <v>44800000</v>
      </c>
      <c r="I60" s="30" t="n">
        <f aca="false">_xlfn.XLOOKUP("CurrentTaxAssetsCurrent",HS_STANDALONE!$C:$C,HS_STANDALONE!H:H,0,0,1)</f>
        <v>44800000</v>
      </c>
      <c r="J60" s="30" t="n">
        <f aca="false">_xlfn.XLOOKUP("CurrentTaxAssetsCurrent",HS_STANDALONE!$C:$C,HS_STANDALONE!I:I,0,0,1)</f>
        <v>600000</v>
      </c>
      <c r="K60" s="30" t="n">
        <f aca="false">_xlfn.XLOOKUP("CurrentTaxAssetsCurrent",HS_STANDALONE!$C:$C,HS_STANDALONE!J:J,0,0,1)</f>
        <v>0</v>
      </c>
      <c r="L60" s="30" t="n">
        <f aca="false">_xlfn.XLOOKUP("CurrentTaxAssetsCurrent",HS_STANDALONE!$C:$C,HS_STANDALONE!K:K,0,0,1)</f>
        <v>0</v>
      </c>
      <c r="M60" s="30" t="n">
        <f aca="false">_xlfn.XLOOKUP("CurrentTaxAssetsCurrent",HS_STANDALONE!$C:$C,HS_STANDALONE!L:L,0,0,1)</f>
        <v>496800000</v>
      </c>
    </row>
    <row r="61" customFormat="false" ht="15" hidden="false" customHeight="false" outlineLevel="0" collapsed="false">
      <c r="A61" s="31"/>
      <c r="B61" s="31"/>
      <c r="C61" s="32" t="s">
        <v>152</v>
      </c>
      <c r="D61" s="31"/>
      <c r="E61" s="33" t="n">
        <f aca="false">IFERROR(SUM(E56:E60),0)</f>
        <v>25397300000</v>
      </c>
      <c r="F61" s="33" t="n">
        <f aca="false">IFERROR(SUM(F56:F60),0)</f>
        <v>25992400000</v>
      </c>
      <c r="G61" s="33" t="n">
        <f aca="false">IFERROR(SUM(G56:G60),0)</f>
        <v>10291400000</v>
      </c>
      <c r="H61" s="33" t="n">
        <f aca="false">IFERROR(SUM(H56:H60),0)</f>
        <v>4897300000</v>
      </c>
      <c r="I61" s="33" t="n">
        <f aca="false">IFERROR(SUM(I56:I60),0)</f>
        <v>3032900000</v>
      </c>
      <c r="J61" s="33" t="n">
        <f aca="false">IFERROR(SUM(J56:J60),0)</f>
        <v>5387900000</v>
      </c>
      <c r="K61" s="33" t="n">
        <f aca="false">IFERROR(SUM(K56:K60),0)</f>
        <v>3667400000</v>
      </c>
      <c r="L61" s="33" t="n">
        <f aca="false">IFERROR(SUM(L56:L60),0)</f>
        <v>3395300000</v>
      </c>
      <c r="M61" s="33" t="n">
        <f aca="false">IFERROR(SUM(M56:M60),0)</f>
        <v>12323800000</v>
      </c>
    </row>
    <row r="62" customFormat="false" ht="15" hidden="false" customHeight="false" outlineLevel="0" collapsed="false">
      <c r="C62" s="6" t="s">
        <v>164</v>
      </c>
      <c r="E62" s="30" t="n">
        <f aca="false">_xlfn.XLOOKUP("CurrentFinancialAssets",HS_STANDALONE!$C:$C,HS_STANDALONE!D:D,0,0,1)</f>
        <v>48312200000</v>
      </c>
      <c r="F62" s="30" t="n">
        <f aca="false">_xlfn.XLOOKUP("CurrentFinancialAssets",HS_STANDALONE!$C:$C,HS_STANDALONE!E:E,0,0,1)</f>
        <v>44849000000</v>
      </c>
      <c r="G62" s="30" t="n">
        <f aca="false">_xlfn.XLOOKUP("CurrentFinancialAssets",HS_STANDALONE!$C:$C,HS_STANDALONE!F:F,0,0,1)</f>
        <v>21154800000</v>
      </c>
      <c r="H62" s="30" t="n">
        <f aca="false">_xlfn.XLOOKUP("CurrentFinancialAssets",HS_STANDALONE!$C:$C,HS_STANDALONE!G:G,0,0,1)</f>
        <v>9106500000</v>
      </c>
      <c r="I62" s="30" t="n">
        <f aca="false">_xlfn.XLOOKUP("CurrentFinancialAssets",HS_STANDALONE!$C:$C,HS_STANDALONE!H:H,0,0,1)</f>
        <v>6781100000</v>
      </c>
      <c r="J62" s="30" t="n">
        <f aca="false">_xlfn.XLOOKUP("CurrentFinancialAssets",HS_STANDALONE!$C:$C,HS_STANDALONE!I:I,0,0,1)</f>
        <v>12063600000</v>
      </c>
      <c r="K62" s="30" t="n">
        <f aca="false">_xlfn.XLOOKUP("CurrentFinancialAssets",HS_STANDALONE!$C:$C,HS_STANDALONE!J:J,0,0,1)</f>
        <v>9130600000</v>
      </c>
      <c r="L62" s="30" t="n">
        <f aca="false">_xlfn.XLOOKUP("CurrentFinancialAssets",HS_STANDALONE!$C:$C,HS_STANDALONE!K:K,0,0,1)</f>
        <v>14551600000</v>
      </c>
      <c r="M62" s="30" t="n">
        <f aca="false">_xlfn.XLOOKUP("CurrentFinancialAssets",HS_STANDALONE!$C:$C,HS_STANDALONE!L:L,0,0,1)</f>
        <v>48656000000</v>
      </c>
    </row>
    <row r="63" customFormat="false" ht="15" hidden="false" customHeight="false" outlineLevel="0" collapsed="false">
      <c r="A63" s="34"/>
      <c r="B63" s="35" t="s">
        <v>165</v>
      </c>
      <c r="C63" s="34"/>
      <c r="D63" s="34"/>
      <c r="E63" s="36" t="n">
        <f aca="false">IFERROR(E61+E54,0)</f>
        <v>73254200000</v>
      </c>
      <c r="F63" s="36" t="n">
        <f aca="false">IFERROR(F61+F54,0)</f>
        <v>63247400000</v>
      </c>
      <c r="G63" s="36" t="n">
        <f aca="false">IFERROR(G61+G54,0)</f>
        <v>37996500000</v>
      </c>
      <c r="H63" s="36" t="n">
        <f aca="false">IFERROR(H61+H54,0)</f>
        <v>21679900000</v>
      </c>
      <c r="I63" s="36" t="n">
        <f aca="false">IFERROR(I61+I54,0)</f>
        <v>19812400000</v>
      </c>
      <c r="J63" s="36" t="n">
        <f aca="false">IFERROR(J61+J54,0)</f>
        <v>27839200000</v>
      </c>
      <c r="K63" s="36" t="n">
        <f aca="false">IFERROR(K61+K54,0)</f>
        <v>20364900000</v>
      </c>
      <c r="L63" s="36" t="n">
        <f aca="false">IFERROR(L61+L54,0)</f>
        <v>29498600000</v>
      </c>
      <c r="M63" s="36" t="n">
        <f aca="false">IFERROR(M61+M54,0)</f>
        <v>83560300000</v>
      </c>
    </row>
    <row r="64" customFormat="false" ht="15" hidden="false" customHeight="false" outlineLevel="0" collapsed="false">
      <c r="C64" s="6" t="s">
        <v>166</v>
      </c>
      <c r="E64" s="30" t="n">
        <f aca="false">_xlfn.XLOOKUP("NoncurrentAssetsOrDisposalGroupsClassifiedAsHeldForSaleOrAsHeldForDistributionToOwners",HS_STANDALONE!$C:$C,HS_STANDALONE!D:D,0,0,1)</f>
        <v>0</v>
      </c>
      <c r="F64" s="30" t="n">
        <f aca="false">_xlfn.XLOOKUP("NoncurrentAssetsOrDisposalGroupsClassifiedAsHeldForSaleOrAsHeldForDistributionToOwners",HS_STANDALONE!$C:$C,HS_STANDALONE!E:E,0,0,1)</f>
        <v>3584000000</v>
      </c>
      <c r="G64" s="30" t="n">
        <f aca="false">_xlfn.XLOOKUP("NoncurrentAssetsOrDisposalGroupsClassifiedAsHeldForSaleOrAsHeldForDistributionToOwners",HS_STANDALONE!$C:$C,HS_STANDALONE!F:F,0,0,1)</f>
        <v>738300000</v>
      </c>
      <c r="H64" s="30" t="n">
        <f aca="false">_xlfn.XLOOKUP("NoncurrentAssetsOrDisposalGroupsClassifiedAsHeldForSaleOrAsHeldForDistributionToOwners",HS_STANDALONE!$C:$C,HS_STANDALONE!G:G,0,0,1)</f>
        <v>434400000</v>
      </c>
      <c r="I64" s="30" t="n">
        <f aca="false">_xlfn.XLOOKUP("NoncurrentAssetsOrDisposalGroupsClassifiedAsHeldForSaleOrAsHeldForDistributionToOwners",HS_STANDALONE!$C:$C,HS_STANDALONE!H:H,0,0,1)</f>
        <v>420300000</v>
      </c>
      <c r="J64" s="30" t="n">
        <f aca="false">_xlfn.XLOOKUP("NoncurrentAssetsOrDisposalGroupsClassifiedAsHeldForSaleOrAsHeldForDistributionToOwners",HS_STANDALONE!$C:$C,HS_STANDALONE!I:I,0,0,1)</f>
        <v>955400000</v>
      </c>
      <c r="K64" s="30" t="n">
        <f aca="false">_xlfn.XLOOKUP("NoncurrentAssetsOrDisposalGroupsClassifiedAsHeldForSaleOrAsHeldForDistributionToOwners",HS_STANDALONE!$C:$C,HS_STANDALONE!J:J,0,0,1)</f>
        <v>278100000</v>
      </c>
      <c r="L64" s="30" t="n">
        <f aca="false">_xlfn.XLOOKUP("NoncurrentAssetsOrDisposalGroupsClassifiedAsHeldForSaleOrAsHeldForDistributionToOwners",HS_STANDALONE!$C:$C,HS_STANDALONE!K:K,0,0,1)</f>
        <v>0</v>
      </c>
      <c r="M64" s="30" t="n">
        <f aca="false">_xlfn.XLOOKUP("NoncurrentAssetsOrDisposalGroupsClassifiedAsHeldForSaleOrAsHeldForDistributionToOwners",HS_STANDALONE!$C:$C,HS_STANDALONE!L:L,0,0,1)</f>
        <v>0</v>
      </c>
    </row>
    <row r="65" customFormat="false" ht="15" hidden="false" customHeight="false" outlineLevel="0" collapsed="false">
      <c r="A65" s="34"/>
      <c r="B65" s="35" t="s">
        <v>167</v>
      </c>
      <c r="C65" s="34"/>
      <c r="D65" s="34"/>
      <c r="E65" s="36" t="n">
        <f aca="false">IFERROR(SUM(E63:E64)+E48,0)</f>
        <v>142260300000</v>
      </c>
      <c r="F65" s="36" t="n">
        <f aca="false">IFERROR(SUM(F63:F64)+F48,0)</f>
        <v>128410200000</v>
      </c>
      <c r="G65" s="36" t="n">
        <f aca="false">IFERROR(SUM(G63:G64)+G48,0)</f>
        <v>85227700000</v>
      </c>
      <c r="H65" s="36" t="n">
        <f aca="false">IFERROR(SUM(H63:H64)+H48,0)</f>
        <v>57234000000</v>
      </c>
      <c r="I65" s="36" t="n">
        <f aca="false">IFERROR(SUM(I63:I64)+I48,0)</f>
        <v>53620400000</v>
      </c>
      <c r="J65" s="36" t="n">
        <f aca="false">IFERROR(SUM(J63:J64)+J48,0)</f>
        <v>56752600000</v>
      </c>
      <c r="K65" s="36" t="n">
        <f aca="false">IFERROR(SUM(K63:K64)+K48,0)</f>
        <v>60479900000</v>
      </c>
      <c r="L65" s="36" t="n">
        <f aca="false">IFERROR(SUM(L63:L64)+L48,0)</f>
        <v>71646600000</v>
      </c>
      <c r="M65" s="36" t="n">
        <f aca="false">IFERROR(SUM(M63:M64)+M48,0)</f>
        <v>123444600000</v>
      </c>
    </row>
    <row r="66" customFormat="false" ht="15" hidden="false" customHeight="false" outlineLevel="0" collapsed="false">
      <c r="A66" s="28"/>
      <c r="B66" s="29" t="s">
        <v>168</v>
      </c>
      <c r="C66" s="28"/>
      <c r="D66" s="28"/>
      <c r="E66" s="28"/>
      <c r="F66" s="28"/>
      <c r="G66" s="28"/>
      <c r="H66" s="28"/>
      <c r="I66" s="28"/>
      <c r="J66" s="28"/>
      <c r="K66" s="28"/>
      <c r="L66" s="28"/>
      <c r="M66" s="28"/>
    </row>
    <row r="67" customFormat="false" ht="15" hidden="false" customHeight="false" outlineLevel="0" collapsed="false">
      <c r="A67" s="28"/>
      <c r="B67" s="29" t="s">
        <v>169</v>
      </c>
      <c r="C67" s="28"/>
      <c r="D67" s="28"/>
      <c r="E67" s="28"/>
      <c r="F67" s="28"/>
      <c r="G67" s="28"/>
      <c r="H67" s="28"/>
      <c r="I67" s="28"/>
      <c r="J67" s="28"/>
      <c r="K67" s="28"/>
      <c r="L67" s="28"/>
      <c r="M67" s="28"/>
    </row>
    <row r="68" customFormat="false" ht="15" hidden="false" customHeight="false" outlineLevel="0" collapsed="false">
      <c r="C68" s="6" t="s">
        <v>170</v>
      </c>
      <c r="E68" s="30" t="n">
        <f aca="false">_xlfn.XLOOKUP("EquityShareCapital",HS_STANDALONE!$C:$C,HS_STANDALONE!D:D,0,0,1)</f>
        <v>10048800000</v>
      </c>
      <c r="F68" s="30" t="n">
        <f aca="false">_xlfn.XLOOKUP("EquityShareCapital",HS_STANDALONE!$C:$C,HS_STANDALONE!E:E,0,0,1)</f>
        <v>10639500000</v>
      </c>
      <c r="G68" s="30" t="n">
        <f aca="false">_xlfn.XLOOKUP("EquityShareCapital",HS_STANDALONE!$C:$C,HS_STANDALONE!F:F,0,0,1)</f>
        <v>10639500000</v>
      </c>
      <c r="H68" s="30" t="n">
        <f aca="false">_xlfn.XLOOKUP("EquityShareCapital",HS_STANDALONE!$C:$C,HS_STANDALONE!G:G,0,0,1)</f>
        <v>10639500000</v>
      </c>
      <c r="I68" s="30" t="n">
        <f aca="false">_xlfn.XLOOKUP("EquityShareCapital",HS_STANDALONE!$C:$C,HS_STANDALONE!H:H,0,0,1)</f>
        <v>17016000000</v>
      </c>
      <c r="J68" s="30" t="n">
        <f aca="false">_xlfn.XLOOKUP("EquityShareCapital",HS_STANDALONE!$C:$C,HS_STANDALONE!I:I,0,0,1)</f>
        <v>18434900000</v>
      </c>
      <c r="K68" s="30" t="n">
        <f aca="false">_xlfn.XLOOKUP("EquityShareCapital",HS_STANDALONE!$C:$C,HS_STANDALONE!J:J,0,0,1)</f>
        <v>24544000000</v>
      </c>
      <c r="L68" s="30" t="n">
        <f aca="false">_xlfn.XLOOKUP("EquityShareCapital",HS_STANDALONE!$C:$C,HS_STANDALONE!K:K,0,0,1)</f>
        <v>27217200000</v>
      </c>
      <c r="M68" s="30" t="n">
        <f aca="false">_xlfn.XLOOKUP("EquityShareCapital",HS_STANDALONE!$C:$C,HS_STANDALONE!L:L,0,0,1)</f>
        <v>27317900000</v>
      </c>
    </row>
    <row r="69" customFormat="false" ht="15" hidden="false" customHeight="false" outlineLevel="0" collapsed="false">
      <c r="C69" s="6" t="s">
        <v>171</v>
      </c>
      <c r="E69" s="30" t="n">
        <f aca="false">_xlfn.XLOOKUP("OtherEquity",HS_STANDALONE!$C:$C,HS_STANDALONE!D:D,0,0,1)</f>
        <v>175900000</v>
      </c>
      <c r="F69" s="30" t="n">
        <f aca="false">_xlfn.XLOOKUP("OtherEquity",HS_STANDALONE!$C:$C,HS_STANDALONE!E:E,0,0,1)</f>
        <v>-7103400000</v>
      </c>
      <c r="G69" s="30" t="n">
        <f aca="false">_xlfn.XLOOKUP("OtherEquity",HS_STANDALONE!$C:$C,HS_STANDALONE!F:F,0,0,1)</f>
        <v>-80869300000</v>
      </c>
      <c r="H69" s="30" t="n">
        <f aca="false">_xlfn.XLOOKUP("OtherEquity",HS_STANDALONE!$C:$C,HS_STANDALONE!G:G,0,0,1)</f>
        <v>-113422400000</v>
      </c>
      <c r="I69" s="30" t="n">
        <f aca="false">_xlfn.XLOOKUP("OtherEquity",HS_STANDALONE!$C:$C,HS_STANDALONE!H:H,0,0,1)</f>
        <v>-56804300000</v>
      </c>
      <c r="J69" s="30" t="n">
        <f aca="false">_xlfn.XLOOKUP("OtherEquity",HS_STANDALONE!$C:$C,HS_STANDALONE!I:I,0,0,1)</f>
        <v>-57355800000</v>
      </c>
      <c r="K69" s="30" t="n">
        <f aca="false">_xlfn.XLOOKUP("OtherEquity",HS_STANDALONE!$C:$C,HS_STANDALONE!J:J,0,0,1)</f>
        <v>-10350100000</v>
      </c>
      <c r="L69" s="30" t="n">
        <f aca="false">_xlfn.XLOOKUP("OtherEquity",HS_STANDALONE!$C:$C,HS_STANDALONE!K:K,0,0,1)</f>
        <v>8851300000</v>
      </c>
      <c r="M69" s="30" t="n">
        <f aca="false">_xlfn.XLOOKUP("OtherEquity",HS_STANDALONE!$C:$C,HS_STANDALONE!L:L,0,0,1)</f>
        <v>27972100000</v>
      </c>
    </row>
    <row r="70" customFormat="false" ht="15" hidden="false" customHeight="false" outlineLevel="0" collapsed="false">
      <c r="A70" s="34"/>
      <c r="B70" s="35" t="s">
        <v>172</v>
      </c>
      <c r="C70" s="34"/>
      <c r="D70" s="34"/>
      <c r="E70" s="36" t="n">
        <f aca="false">IFERROR(SUM(E68:E69),0)</f>
        <v>10224700000</v>
      </c>
      <c r="F70" s="36" t="n">
        <f aca="false">IFERROR(SUM(F68:F69),0)</f>
        <v>3536100000</v>
      </c>
      <c r="G70" s="36" t="n">
        <f aca="false">IFERROR(SUM(G68:G69),0)</f>
        <v>-70229800000</v>
      </c>
      <c r="H70" s="36" t="n">
        <f aca="false">IFERROR(SUM(H68:H69),0)</f>
        <v>-102782900000</v>
      </c>
      <c r="I70" s="36" t="n">
        <f aca="false">IFERROR(SUM(I68:I69),0)</f>
        <v>-39788300000</v>
      </c>
      <c r="J70" s="36" t="n">
        <f aca="false">IFERROR(SUM(J68:J69),0)</f>
        <v>-38920900000</v>
      </c>
      <c r="K70" s="36" t="n">
        <f aca="false">IFERROR(SUM(K68:K69),0)</f>
        <v>14193900000</v>
      </c>
      <c r="L70" s="36" t="n">
        <f aca="false">IFERROR(SUM(L68:L69),0)</f>
        <v>36068500000</v>
      </c>
      <c r="M70" s="36" t="n">
        <f aca="false">IFERROR(SUM(M68:M69),0)</f>
        <v>55290000000</v>
      </c>
    </row>
    <row r="71" customFormat="false" ht="15" hidden="false" customHeight="false" outlineLevel="0" collapsed="false">
      <c r="A71" s="34"/>
      <c r="B71" s="35" t="s">
        <v>174</v>
      </c>
      <c r="C71" s="34"/>
      <c r="D71" s="34"/>
      <c r="E71" s="36" t="n">
        <f aca="false">IFERROR(SUM(E70),0)</f>
        <v>10224700000</v>
      </c>
      <c r="F71" s="36" t="n">
        <f aca="false">IFERROR(SUM(F70),0)</f>
        <v>3536100000</v>
      </c>
      <c r="G71" s="36" t="n">
        <f aca="false">IFERROR(SUM(G70),0)</f>
        <v>-70229800000</v>
      </c>
      <c r="H71" s="36" t="n">
        <f aca="false">IFERROR(SUM(H70),0)</f>
        <v>-102782900000</v>
      </c>
      <c r="I71" s="36" t="n">
        <f aca="false">IFERROR(SUM(I70),0)</f>
        <v>-39788300000</v>
      </c>
      <c r="J71" s="36" t="n">
        <f aca="false">IFERROR(SUM(J70),0)</f>
        <v>-38920900000</v>
      </c>
      <c r="K71" s="36" t="n">
        <f aca="false">IFERROR(SUM(K70),0)</f>
        <v>14193900000</v>
      </c>
      <c r="L71" s="36" t="n">
        <f aca="false">IFERROR(SUM(L70),0)</f>
        <v>36068500000</v>
      </c>
      <c r="M71" s="36" t="n">
        <f aca="false">IFERROR(SUM(M70),0)</f>
        <v>55290000000</v>
      </c>
    </row>
    <row r="72" customFormat="false" ht="15" hidden="false" customHeight="false" outlineLevel="0" collapsed="false">
      <c r="A72" s="28"/>
      <c r="B72" s="29" t="s">
        <v>175</v>
      </c>
      <c r="C72" s="28"/>
      <c r="D72" s="28"/>
      <c r="E72" s="28"/>
      <c r="F72" s="28"/>
      <c r="G72" s="28"/>
      <c r="H72" s="28"/>
      <c r="I72" s="28"/>
      <c r="J72" s="28"/>
      <c r="K72" s="28"/>
      <c r="L72" s="28"/>
      <c r="M72" s="28"/>
    </row>
    <row r="73" customFormat="false" ht="15" hidden="false" customHeight="false" outlineLevel="0" collapsed="false">
      <c r="A73" s="28"/>
      <c r="B73" s="29" t="s">
        <v>176</v>
      </c>
      <c r="C73" s="28"/>
      <c r="D73" s="28"/>
      <c r="E73" s="28"/>
      <c r="F73" s="28"/>
      <c r="G73" s="28"/>
      <c r="H73" s="28"/>
      <c r="I73" s="28"/>
      <c r="J73" s="28"/>
      <c r="K73" s="28"/>
      <c r="L73" s="28"/>
      <c r="M73" s="28"/>
    </row>
    <row r="74" customFormat="false" ht="15" hidden="false" customHeight="false" outlineLevel="0" collapsed="false">
      <c r="A74" s="28"/>
      <c r="B74" s="29" t="s">
        <v>177</v>
      </c>
      <c r="C74" s="28"/>
      <c r="D74" s="28"/>
      <c r="E74" s="28"/>
      <c r="F74" s="28"/>
      <c r="G74" s="28"/>
      <c r="H74" s="28"/>
      <c r="I74" s="28"/>
      <c r="J74" s="28"/>
      <c r="K74" s="28"/>
      <c r="L74" s="28"/>
      <c r="M74" s="28"/>
    </row>
    <row r="75" customFormat="false" ht="15" hidden="false" customHeight="false" outlineLevel="0" collapsed="false">
      <c r="C75" s="6" t="s">
        <v>178</v>
      </c>
      <c r="E75" s="30" t="n">
        <f aca="false">_xlfn.XLOOKUP("BorrowingsNoncurrent",HS_STANDALONE!$C:$C,HS_STANDALONE!D:D,0,0,1)</f>
        <v>40385400000</v>
      </c>
      <c r="F75" s="30" t="n">
        <f aca="false">_xlfn.XLOOKUP("BorrowingsNoncurrent",HS_STANDALONE!$C:$C,HS_STANDALONE!E:E,0,0,1)</f>
        <v>33629500000</v>
      </c>
      <c r="G75" s="30" t="n">
        <f aca="false">_xlfn.XLOOKUP("BorrowingsNoncurrent",HS_STANDALONE!$C:$C,HS_STANDALONE!F:F,0,0,1)</f>
        <v>18425300000</v>
      </c>
      <c r="H75" s="30" t="n">
        <f aca="false">_xlfn.XLOOKUP("BorrowingsNoncurrent",HS_STANDALONE!$C:$C,HS_STANDALONE!G:G,0,0,1)</f>
        <v>6536600000</v>
      </c>
      <c r="I75" s="30" t="n">
        <f aca="false">_xlfn.XLOOKUP("BorrowingsNoncurrent",HS_STANDALONE!$C:$C,HS_STANDALONE!H:H,0,0,1)</f>
        <v>42928800000</v>
      </c>
      <c r="J75" s="30" t="n">
        <f aca="false">_xlfn.XLOOKUP("BorrowingsNoncurrent",HS_STANDALONE!$C:$C,HS_STANDALONE!I:I,0,0,1)</f>
        <v>37746900000</v>
      </c>
      <c r="K75" s="30" t="n">
        <f aca="false">_xlfn.XLOOKUP("BorrowingsNoncurrent",HS_STANDALONE!$C:$C,HS_STANDALONE!J:J,0,0,1)</f>
        <v>20089800000</v>
      </c>
      <c r="L75" s="30" t="n">
        <f aca="false">_xlfn.XLOOKUP("BorrowingsNoncurrent",HS_STANDALONE!$C:$C,HS_STANDALONE!K:K,0,0,1)</f>
        <v>6361800000</v>
      </c>
      <c r="M75" s="30" t="n">
        <f aca="false">_xlfn.XLOOKUP("BorrowingsNoncurrent",HS_STANDALONE!$C:$C,HS_STANDALONE!L:L,0,0,1)</f>
        <v>0</v>
      </c>
    </row>
    <row r="76" customFormat="false" ht="15" hidden="false" customHeight="false" outlineLevel="0" collapsed="false">
      <c r="A76" s="28"/>
      <c r="B76" s="28"/>
      <c r="C76" s="29" t="s">
        <v>179</v>
      </c>
      <c r="D76" s="28"/>
      <c r="E76" s="28"/>
      <c r="F76" s="28"/>
      <c r="G76" s="28"/>
      <c r="H76" s="28"/>
      <c r="I76" s="28"/>
      <c r="J76" s="28"/>
      <c r="K76" s="28"/>
      <c r="L76" s="28"/>
      <c r="M76" s="28"/>
    </row>
    <row r="77" customFormat="false" ht="15" hidden="false" customHeight="false" outlineLevel="0" collapsed="false">
      <c r="C77" s="6" t="s">
        <v>180</v>
      </c>
      <c r="E77" s="30" t="n">
        <f aca="false">_xlfn.XLOOKUP("OtherNoncurrentFinancialLiabilities",HS_STANDALONE!$C:$C,HS_STANDALONE!D:D,0,0,1)</f>
        <v>2015900000</v>
      </c>
      <c r="F77" s="30" t="n">
        <f aca="false">_xlfn.XLOOKUP("OtherNoncurrentFinancialLiabilities",HS_STANDALONE!$C:$C,HS_STANDALONE!E:E,0,0,1)</f>
        <v>94800000</v>
      </c>
      <c r="G77" s="30" t="n">
        <f aca="false">_xlfn.XLOOKUP("OtherNoncurrentFinancialLiabilities",HS_STANDALONE!$C:$C,HS_STANDALONE!F:F,0,0,1)</f>
        <v>64900000</v>
      </c>
      <c r="H77" s="30" t="n">
        <f aca="false">_xlfn.XLOOKUP("OtherNoncurrentFinancialLiabilities",HS_STANDALONE!$C:$C,HS_STANDALONE!G:G,0,0,1)</f>
        <v>678500000</v>
      </c>
      <c r="I77" s="30" t="n">
        <f aca="false">_xlfn.XLOOKUP("OtherNoncurrentFinancialLiabilities",HS_STANDALONE!$C:$C,HS_STANDALONE!H:H,0,0,1)</f>
        <v>21200300000</v>
      </c>
      <c r="J77" s="30" t="n">
        <f aca="false">_xlfn.XLOOKUP("OtherNoncurrentFinancialLiabilities",HS_STANDALONE!$C:$C,HS_STANDALONE!I:I,0,0,1)</f>
        <v>23948700000</v>
      </c>
      <c r="K77" s="30" t="n">
        <f aca="false">_xlfn.XLOOKUP("OtherNoncurrentFinancialLiabilities",HS_STANDALONE!$C:$C,HS_STANDALONE!J:J,0,0,1)</f>
        <v>83800000</v>
      </c>
      <c r="L77" s="30" t="n">
        <f aca="false">_xlfn.XLOOKUP("OtherNoncurrentFinancialLiabilities",HS_STANDALONE!$C:$C,HS_STANDALONE!K:K,0,0,1)</f>
        <v>190500000</v>
      </c>
      <c r="M77" s="30" t="n">
        <f aca="false">_xlfn.XLOOKUP("OtherNoncurrentFinancialLiabilities",HS_STANDALONE!$C:$C,HS_STANDALONE!L:L,0,0,1)</f>
        <v>6409100000</v>
      </c>
    </row>
    <row r="78" customFormat="false" ht="15" hidden="false" customHeight="false" outlineLevel="0" collapsed="false">
      <c r="C78" s="6" t="s">
        <v>181</v>
      </c>
      <c r="E78" s="30" t="n">
        <f aca="false">_xlfn.XLOOKUP("NoncurrentFinancialLiabilities",HS_STANDALONE!$C:$C,HS_STANDALONE!D:D,0,0,1)</f>
        <v>42401300000</v>
      </c>
      <c r="F78" s="30" t="n">
        <f aca="false">_xlfn.XLOOKUP("NoncurrentFinancialLiabilities",HS_STANDALONE!$C:$C,HS_STANDALONE!E:E,0,0,1)</f>
        <v>33724300000</v>
      </c>
      <c r="G78" s="30" t="n">
        <f aca="false">_xlfn.XLOOKUP("NoncurrentFinancialLiabilities",HS_STANDALONE!$C:$C,HS_STANDALONE!F:F,0,0,1)</f>
        <v>18490200000</v>
      </c>
      <c r="H78" s="30" t="n">
        <f aca="false">_xlfn.XLOOKUP("NoncurrentFinancialLiabilities",HS_STANDALONE!$C:$C,HS_STANDALONE!G:G,0,0,1)</f>
        <v>7215100000</v>
      </c>
      <c r="I78" s="30" t="n">
        <f aca="false">_xlfn.XLOOKUP("NoncurrentFinancialLiabilities",HS_STANDALONE!$C:$C,HS_STANDALONE!H:H,0,0,1)</f>
        <v>64129100000</v>
      </c>
      <c r="J78" s="30" t="n">
        <f aca="false">_xlfn.XLOOKUP("NoncurrentFinancialLiabilities",HS_STANDALONE!$C:$C,HS_STANDALONE!I:I,0,0,1)</f>
        <v>61695600000</v>
      </c>
      <c r="K78" s="30" t="n">
        <f aca="false">_xlfn.XLOOKUP("NoncurrentFinancialLiabilities",HS_STANDALONE!$C:$C,HS_STANDALONE!J:J,0,0,1)</f>
        <v>20173600000</v>
      </c>
      <c r="L78" s="30" t="n">
        <f aca="false">_xlfn.XLOOKUP("NoncurrentFinancialLiabilities",HS_STANDALONE!$C:$C,HS_STANDALONE!K:K,0,0,1)</f>
        <v>6552300000</v>
      </c>
      <c r="M78" s="30" t="n">
        <f aca="false">_xlfn.XLOOKUP("NoncurrentFinancialLiabilities",HS_STANDALONE!$C:$C,HS_STANDALONE!L:L,0,0,1)</f>
        <v>6409100000</v>
      </c>
    </row>
    <row r="79" customFormat="false" ht="15" hidden="false" customHeight="false" outlineLevel="0" collapsed="false">
      <c r="D79" s="6" t="s">
        <v>182</v>
      </c>
      <c r="E79" s="30" t="n">
        <f aca="false">_xlfn.XLOOKUP("ProvisionsNoncurrent",HS_STANDALONE!$C:$C,HS_STANDALONE!D:D,0,0,1)</f>
        <v>582700000</v>
      </c>
      <c r="F79" s="30" t="n">
        <f aca="false">_xlfn.XLOOKUP("ProvisionsNoncurrent",HS_STANDALONE!$C:$C,HS_STANDALONE!E:E,0,0,1)</f>
        <v>876200000</v>
      </c>
      <c r="G79" s="30" t="n">
        <f aca="false">_xlfn.XLOOKUP("ProvisionsNoncurrent",HS_STANDALONE!$C:$C,HS_STANDALONE!F:F,0,0,1)</f>
        <v>40340600000</v>
      </c>
      <c r="H79" s="30" t="n">
        <f aca="false">_xlfn.XLOOKUP("ProvisionsNoncurrent",HS_STANDALONE!$C:$C,HS_STANDALONE!G:G,0,0,1)</f>
        <v>798800000</v>
      </c>
      <c r="I79" s="30" t="n">
        <f aca="false">_xlfn.XLOOKUP("ProvisionsNoncurrent",HS_STANDALONE!$C:$C,HS_STANDALONE!H:H,0,0,1)</f>
        <v>651700000</v>
      </c>
      <c r="J79" s="30" t="n">
        <f aca="false">_xlfn.XLOOKUP("ProvisionsNoncurrent",HS_STANDALONE!$C:$C,HS_STANDALONE!I:I,0,0,1)</f>
        <v>1129600000</v>
      </c>
      <c r="K79" s="30" t="n">
        <f aca="false">_xlfn.XLOOKUP("ProvisionsNoncurrent",HS_STANDALONE!$C:$C,HS_STANDALONE!J:J,0,0,1)</f>
        <v>1448300000</v>
      </c>
      <c r="L79" s="30" t="n">
        <f aca="false">_xlfn.XLOOKUP("ProvisionsNoncurrent",HS_STANDALONE!$C:$C,HS_STANDALONE!K:K,0,0,1)</f>
        <v>1441400000</v>
      </c>
      <c r="M79" s="30" t="n">
        <f aca="false">_xlfn.XLOOKUP("ProvisionsNoncurrent",HS_STANDALONE!$C:$C,HS_STANDALONE!L:L,0,0,1)</f>
        <v>1479600000</v>
      </c>
    </row>
    <row r="80" customFormat="false" ht="15" hidden="false" customHeight="false" outlineLevel="0" collapsed="false">
      <c r="D80" s="6" t="s">
        <v>183</v>
      </c>
      <c r="E80" s="30" t="n">
        <f aca="false">_xlfn.XLOOKUP("OtherNoncurrentLiabilities",HS_STANDALONE!$C:$C,HS_STANDALONE!D:D,0,0,1)</f>
        <v>400200000</v>
      </c>
      <c r="F80" s="30" t="n">
        <f aca="false">_xlfn.XLOOKUP("OtherNoncurrentLiabilities",HS_STANDALONE!$C:$C,HS_STANDALONE!E:E,0,0,1)</f>
        <v>299900000</v>
      </c>
      <c r="G80" s="30" t="n">
        <f aca="false">_xlfn.XLOOKUP("OtherNoncurrentLiabilities",HS_STANDALONE!$C:$C,HS_STANDALONE!F:F,0,0,1)</f>
        <v>117000000</v>
      </c>
      <c r="H80" s="30" t="n">
        <f aca="false">_xlfn.XLOOKUP("OtherNoncurrentLiabilities",HS_STANDALONE!$C:$C,HS_STANDALONE!G:G,0,0,1)</f>
        <v>8900000</v>
      </c>
      <c r="I80" s="30" t="n">
        <f aca="false">_xlfn.XLOOKUP("OtherNoncurrentLiabilities",HS_STANDALONE!$C:$C,HS_STANDALONE!H:H,0,0,1)</f>
        <v>7700000</v>
      </c>
      <c r="J80" s="30" t="n">
        <f aca="false">_xlfn.XLOOKUP("OtherNoncurrentLiabilities",HS_STANDALONE!$C:$C,HS_STANDALONE!I:I,0,0,1)</f>
        <v>1900000</v>
      </c>
      <c r="K80" s="30" t="n">
        <f aca="false">_xlfn.XLOOKUP("OtherNoncurrentLiabilities",HS_STANDALONE!$C:$C,HS_STANDALONE!J:J,0,0,1)</f>
        <v>4800000</v>
      </c>
      <c r="L80" s="30" t="n">
        <f aca="false">_xlfn.XLOOKUP("OtherNoncurrentLiabilities",HS_STANDALONE!$C:$C,HS_STANDALONE!K:K,0,0,1)</f>
        <v>4800000</v>
      </c>
      <c r="M80" s="30" t="n">
        <f aca="false">_xlfn.XLOOKUP("OtherNoncurrentLiabilities",HS_STANDALONE!$C:$C,HS_STANDALONE!L:L,0,0,1)</f>
        <v>4500000</v>
      </c>
    </row>
    <row r="81" customFormat="false" ht="15" hidden="false" customHeight="false" outlineLevel="0" collapsed="false">
      <c r="A81" s="34"/>
      <c r="B81" s="35" t="s">
        <v>184</v>
      </c>
      <c r="C81" s="34"/>
      <c r="D81" s="34"/>
      <c r="E81" s="36" t="n">
        <f aca="false">IFERROR(SUM(E75)+SUM(E77)+SUM(E79:E80),0)</f>
        <v>43384200000</v>
      </c>
      <c r="F81" s="36" t="n">
        <f aca="false">IFERROR(SUM(F75)+SUM(F77)+SUM(F79:F80),0)</f>
        <v>34900400000</v>
      </c>
      <c r="G81" s="36" t="n">
        <f aca="false">IFERROR(SUM(G75)+SUM(G77)+SUM(G79:G80),0)</f>
        <v>58947800000</v>
      </c>
      <c r="H81" s="36" t="n">
        <f aca="false">IFERROR(SUM(H75)+SUM(H77)+SUM(H79:H80),0)</f>
        <v>8022800000</v>
      </c>
      <c r="I81" s="36" t="n">
        <f aca="false">IFERROR(SUM(I75)+SUM(I77)+SUM(I79:I80),0)</f>
        <v>64788500000</v>
      </c>
      <c r="J81" s="36" t="n">
        <f aca="false">IFERROR(SUM(J75)+SUM(J77)+SUM(J79:J80),0)</f>
        <v>62827100000</v>
      </c>
      <c r="K81" s="36" t="n">
        <f aca="false">IFERROR(SUM(K75)+SUM(K77)+SUM(K79:K80),0)</f>
        <v>21626700000</v>
      </c>
      <c r="L81" s="36" t="n">
        <f aca="false">IFERROR(SUM(L75)+SUM(L77)+SUM(L79:L80),0)</f>
        <v>7998500000</v>
      </c>
      <c r="M81" s="36" t="n">
        <f aca="false">IFERROR(SUM(M75)+SUM(M77)+SUM(M79:M80),0)</f>
        <v>7893200000</v>
      </c>
    </row>
    <row r="82" customFormat="false" ht="15" hidden="false" customHeight="false" outlineLevel="0" collapsed="false">
      <c r="A82" s="28"/>
      <c r="B82" s="29" t="s">
        <v>185</v>
      </c>
      <c r="C82" s="28"/>
      <c r="D82" s="28"/>
      <c r="E82" s="28"/>
      <c r="F82" s="28"/>
      <c r="G82" s="28"/>
      <c r="H82" s="28"/>
      <c r="I82" s="28"/>
      <c r="J82" s="28"/>
      <c r="K82" s="28"/>
      <c r="L82" s="28"/>
      <c r="M82" s="28"/>
    </row>
    <row r="83" customFormat="false" ht="15" hidden="false" customHeight="false" outlineLevel="0" collapsed="false">
      <c r="A83" s="28"/>
      <c r="B83" s="29" t="s">
        <v>186</v>
      </c>
      <c r="C83" s="28"/>
      <c r="D83" s="28"/>
      <c r="E83" s="28"/>
      <c r="F83" s="28"/>
      <c r="G83" s="28"/>
      <c r="H83" s="28"/>
      <c r="I83" s="28"/>
      <c r="J83" s="28"/>
      <c r="K83" s="28"/>
      <c r="L83" s="28"/>
      <c r="M83" s="28"/>
    </row>
    <row r="84" customFormat="false" ht="15" hidden="false" customHeight="false" outlineLevel="0" collapsed="false">
      <c r="C84" s="6" t="s">
        <v>187</v>
      </c>
      <c r="E84" s="30" t="n">
        <f aca="false">_xlfn.XLOOKUP("BorrowingsCurrent",HS_STANDALONE!$C:$C,HS_STANDALONE!D:D,0,0,1)</f>
        <v>19757000000</v>
      </c>
      <c r="F84" s="30" t="n">
        <f aca="false">_xlfn.XLOOKUP("BorrowingsCurrent",HS_STANDALONE!$C:$C,HS_STANDALONE!E:E,0,0,1)</f>
        <v>37667400000</v>
      </c>
      <c r="G84" s="30" t="n">
        <f aca="false">_xlfn.XLOOKUP("BorrowingsCurrent",HS_STANDALONE!$C:$C,HS_STANDALONE!F:F,0,0,1)</f>
        <v>32579800000</v>
      </c>
      <c r="H84" s="30" t="n">
        <f aca="false">_xlfn.XLOOKUP("BorrowingsCurrent",HS_STANDALONE!$C:$C,HS_STANDALONE!G:G,0,0,1)</f>
        <v>82606900000</v>
      </c>
      <c r="I84" s="30" t="n">
        <f aca="false">_xlfn.XLOOKUP("BorrowingsCurrent",HS_STANDALONE!$C:$C,HS_STANDALONE!H:H,0,0,1)</f>
        <v>2000000000</v>
      </c>
      <c r="J84" s="30" t="n">
        <f aca="false">_xlfn.XLOOKUP("BorrowingsCurrent",HS_STANDALONE!$C:$C,HS_STANDALONE!I:I,0,0,1)</f>
        <v>0</v>
      </c>
      <c r="K84" s="30" t="n">
        <f aca="false">_xlfn.XLOOKUP("BorrowingsCurrent",HS_STANDALONE!$C:$C,HS_STANDALONE!J:J,0,0,1)</f>
        <v>3230200000</v>
      </c>
      <c r="L84" s="30" t="n">
        <f aca="false">_xlfn.XLOOKUP("BorrowingsCurrent",HS_STANDALONE!$C:$C,HS_STANDALONE!K:K,0,0,1)</f>
        <v>0</v>
      </c>
      <c r="M84" s="30" t="n">
        <f aca="false">_xlfn.XLOOKUP("BorrowingsCurrent",HS_STANDALONE!$C:$C,HS_STANDALONE!L:L,0,0,1)</f>
        <v>0</v>
      </c>
    </row>
    <row r="85" customFormat="false" ht="15" hidden="false" customHeight="false" outlineLevel="0" collapsed="false">
      <c r="A85" s="28"/>
      <c r="B85" s="28"/>
      <c r="C85" s="29" t="s">
        <v>188</v>
      </c>
      <c r="D85" s="28"/>
      <c r="E85" s="28"/>
      <c r="F85" s="28"/>
      <c r="G85" s="28"/>
      <c r="H85" s="28"/>
      <c r="I85" s="28"/>
      <c r="J85" s="28"/>
      <c r="K85" s="28"/>
      <c r="L85" s="28"/>
      <c r="M85" s="28"/>
    </row>
    <row r="86" customFormat="false" ht="15" hidden="false" customHeight="false" outlineLevel="0" collapsed="false">
      <c r="D86" s="6" t="s">
        <v>189</v>
      </c>
      <c r="E86" s="30" t="n">
        <f aca="false">_xlfn.XLOOKUP("TradePayablesCurrent",HS_STANDALONE!$C:$C,HS_STANDALONE!D:D,0,0,1)</f>
        <v>46546400000</v>
      </c>
      <c r="F86" s="30" t="n">
        <f aca="false">_xlfn.XLOOKUP("TradePayablesCurrent",HS_STANDALONE!$C:$C,HS_STANDALONE!E:E,0,0,1)</f>
        <v>24340800000</v>
      </c>
      <c r="G86" s="30" t="n">
        <f aca="false">_xlfn.XLOOKUP("TradePayablesCurrent",HS_STANDALONE!$C:$C,HS_STANDALONE!F:F,0,0,1)</f>
        <v>17933400000</v>
      </c>
      <c r="H86" s="30" t="n">
        <f aca="false">_xlfn.XLOOKUP("TradePayablesCurrent",HS_STANDALONE!$C:$C,HS_STANDALONE!G:G,0,0,1)</f>
        <v>11578600000</v>
      </c>
      <c r="I86" s="30" t="n">
        <f aca="false">_xlfn.XLOOKUP("TradePayablesCurrent",HS_STANDALONE!$C:$C,HS_STANDALONE!H:H,0,0,1)</f>
        <v>13724500000</v>
      </c>
      <c r="J86" s="30" t="n">
        <f aca="false">_xlfn.XLOOKUP("TradePayablesCurrent",HS_STANDALONE!$C:$C,HS_STANDALONE!I:I,0,0,1)</f>
        <v>18159400000</v>
      </c>
      <c r="K86" s="30" t="n">
        <f aca="false">_xlfn.XLOOKUP("TradePayablesCurrent",HS_STANDALONE!$C:$C,HS_STANDALONE!J:J,0,0,1)</f>
        <v>10620900000</v>
      </c>
      <c r="L86" s="30" t="n">
        <f aca="false">_xlfn.XLOOKUP("TradePayablesCurrent",HS_STANDALONE!$C:$C,HS_STANDALONE!K:K,0,0,1)</f>
        <v>19388100000</v>
      </c>
      <c r="M86" s="30" t="n">
        <f aca="false">_xlfn.XLOOKUP("TradePayablesCurrent",HS_STANDALONE!$C:$C,HS_STANDALONE!L:L,0,0,1)</f>
        <v>33332000000</v>
      </c>
    </row>
    <row r="87" customFormat="false" ht="15" hidden="false" customHeight="false" outlineLevel="0" collapsed="false">
      <c r="C87" s="6" t="s">
        <v>190</v>
      </c>
      <c r="E87" s="30" t="n">
        <f aca="false">_xlfn.XLOOKUP("OtherCurrentFinancialLiabilities",HS_STANDALONE!$C:$C,HS_STANDALONE!D:D,0,0,1)</f>
        <v>6787600000</v>
      </c>
      <c r="F87" s="30" t="n">
        <f aca="false">_xlfn.XLOOKUP("OtherCurrentFinancialLiabilities",HS_STANDALONE!$C:$C,HS_STANDALONE!E:E,0,0,1)</f>
        <v>13378300000</v>
      </c>
      <c r="G87" s="30" t="n">
        <f aca="false">_xlfn.XLOOKUP("OtherCurrentFinancialLiabilities",HS_STANDALONE!$C:$C,HS_STANDALONE!F:F,0,0,1)</f>
        <v>26912000000</v>
      </c>
      <c r="H87" s="30" t="n">
        <f aca="false">_xlfn.XLOOKUP("OtherCurrentFinancialLiabilities",HS_STANDALONE!$C:$C,HS_STANDALONE!G:G,0,0,1)</f>
        <v>49280000000</v>
      </c>
      <c r="I87" s="30" t="n">
        <f aca="false">_xlfn.XLOOKUP("OtherCurrentFinancialLiabilities",HS_STANDALONE!$C:$C,HS_STANDALONE!H:H,0,0,1)</f>
        <v>5282000000</v>
      </c>
      <c r="J87" s="30" t="n">
        <f aca="false">_xlfn.XLOOKUP("OtherCurrentFinancialLiabilities",HS_STANDALONE!$C:$C,HS_STANDALONE!I:I,0,0,1)</f>
        <v>7075000000</v>
      </c>
      <c r="K87" s="30" t="n">
        <f aca="false">_xlfn.XLOOKUP("OtherCurrentFinancialLiabilities",HS_STANDALONE!$C:$C,HS_STANDALONE!J:J,0,0,1)</f>
        <v>2262000000</v>
      </c>
      <c r="L87" s="30" t="n">
        <f aca="false">_xlfn.XLOOKUP("OtherCurrentFinancialLiabilities",HS_STANDALONE!$C:$C,HS_STANDALONE!K:K,0,0,1)</f>
        <v>1985300000</v>
      </c>
      <c r="M87" s="30" t="n">
        <f aca="false">_xlfn.XLOOKUP("OtherCurrentFinancialLiabilities",HS_STANDALONE!$C:$C,HS_STANDALONE!L:L,0,0,1)</f>
        <v>3819400000</v>
      </c>
    </row>
    <row r="88" customFormat="false" ht="15" hidden="false" customHeight="false" outlineLevel="0" collapsed="false">
      <c r="B88" s="6" t="s">
        <v>191</v>
      </c>
      <c r="E88" s="30" t="n">
        <f aca="false">_xlfn.XLOOKUP("CurrentFinancialLiabilities",HS_STANDALONE!$C:$C,HS_STANDALONE!D:D,0,0,1)</f>
        <v>73091000000</v>
      </c>
      <c r="F88" s="30" t="n">
        <f aca="false">_xlfn.XLOOKUP("CurrentFinancialLiabilities",HS_STANDALONE!$C:$C,HS_STANDALONE!E:E,0,0,1)</f>
        <v>75386500000</v>
      </c>
      <c r="G88" s="30" t="n">
        <f aca="false">_xlfn.XLOOKUP("CurrentFinancialLiabilities",HS_STANDALONE!$C:$C,HS_STANDALONE!F:F,0,0,1)</f>
        <v>77425200000</v>
      </c>
      <c r="H88" s="30" t="n">
        <f aca="false">_xlfn.XLOOKUP("CurrentFinancialLiabilities",HS_STANDALONE!$C:$C,HS_STANDALONE!G:G,0,0,1)</f>
        <v>143465500000</v>
      </c>
      <c r="I88" s="30" t="n">
        <f aca="false">_xlfn.XLOOKUP("CurrentFinancialLiabilities",HS_STANDALONE!$C:$C,HS_STANDALONE!H:H,0,0,1)</f>
        <v>21006500000</v>
      </c>
      <c r="J88" s="30" t="n">
        <f aca="false">_xlfn.XLOOKUP("CurrentFinancialLiabilities",HS_STANDALONE!$C:$C,HS_STANDALONE!I:I,0,0,1)</f>
        <v>25234400000</v>
      </c>
      <c r="K88" s="30" t="n">
        <f aca="false">_xlfn.XLOOKUP("CurrentFinancialLiabilities",HS_STANDALONE!$C:$C,HS_STANDALONE!J:J,0,0,1)</f>
        <v>16113100000</v>
      </c>
      <c r="L88" s="30" t="n">
        <f aca="false">_xlfn.XLOOKUP("CurrentFinancialLiabilities",HS_STANDALONE!$C:$C,HS_STANDALONE!K:K,0,0,1)</f>
        <v>21373400000</v>
      </c>
      <c r="M88" s="30" t="n">
        <f aca="false">_xlfn.XLOOKUP("CurrentFinancialLiabilities",HS_STANDALONE!$C:$C,HS_STANDALONE!L:L,0,0,1)</f>
        <v>37151400000</v>
      </c>
    </row>
    <row r="89" customFormat="false" ht="15" hidden="false" customHeight="false" outlineLevel="0" collapsed="false">
      <c r="C89" s="6" t="s">
        <v>192</v>
      </c>
      <c r="E89" s="30" t="n">
        <f aca="false">_xlfn.XLOOKUP("OtherCurrentLiabilities",HS_STANDALONE!$C:$C,HS_STANDALONE!D:D,0,0,1)</f>
        <v>8691200000</v>
      </c>
      <c r="F89" s="30" t="n">
        <f aca="false">_xlfn.XLOOKUP("OtherCurrentLiabilities",HS_STANDALONE!$C:$C,HS_STANDALONE!E:E,0,0,1)</f>
        <v>7627900000</v>
      </c>
      <c r="G89" s="30" t="n">
        <f aca="false">_xlfn.XLOOKUP("OtherCurrentLiabilities",HS_STANDALONE!$C:$C,HS_STANDALONE!F:F,0,0,1)</f>
        <v>12749300000</v>
      </c>
      <c r="H89" s="30" t="n">
        <f aca="false">_xlfn.XLOOKUP("OtherCurrentLiabilities",HS_STANDALONE!$C:$C,HS_STANDALONE!G:G,0,0,1)</f>
        <v>2747000000</v>
      </c>
      <c r="I89" s="30" t="n">
        <f aca="false">_xlfn.XLOOKUP("OtherCurrentLiabilities",HS_STANDALONE!$C:$C,HS_STANDALONE!H:H,0,0,1)</f>
        <v>3222400000</v>
      </c>
      <c r="J89" s="30" t="n">
        <f aca="false">_xlfn.XLOOKUP("OtherCurrentLiabilities",HS_STANDALONE!$C:$C,HS_STANDALONE!I:I,0,0,1)</f>
        <v>3659400000</v>
      </c>
      <c r="K89" s="30" t="n">
        <f aca="false">_xlfn.XLOOKUP("OtherCurrentLiabilities",HS_STANDALONE!$C:$C,HS_STANDALONE!J:J,0,0,1)</f>
        <v>4034200000</v>
      </c>
      <c r="L89" s="30" t="n">
        <f aca="false">_xlfn.XLOOKUP("OtherCurrentLiabilities",HS_STANDALONE!$C:$C,HS_STANDALONE!K:K,0,0,1)</f>
        <v>1927900000</v>
      </c>
      <c r="M89" s="30" t="n">
        <f aca="false">_xlfn.XLOOKUP("OtherCurrentLiabilities",HS_STANDALONE!$C:$C,HS_STANDALONE!L:L,0,0,1)</f>
        <v>17537500000</v>
      </c>
    </row>
    <row r="90" customFormat="false" ht="15" hidden="false" customHeight="false" outlineLevel="0" collapsed="false">
      <c r="C90" s="6" t="s">
        <v>193</v>
      </c>
      <c r="E90" s="30" t="n">
        <f aca="false">_xlfn.XLOOKUP("ProvisionsCurrent",HS_STANDALONE!$C:$C,HS_STANDALONE!D:D,0,0,1)</f>
        <v>6869200000</v>
      </c>
      <c r="F90" s="30" t="n">
        <f aca="false">_xlfn.XLOOKUP("ProvisionsCurrent",HS_STANDALONE!$C:$C,HS_STANDALONE!E:E,0,0,1)</f>
        <v>6959300000</v>
      </c>
      <c r="G90" s="30" t="n">
        <f aca="false">_xlfn.XLOOKUP("ProvisionsCurrent",HS_STANDALONE!$C:$C,HS_STANDALONE!F:F,0,0,1)</f>
        <v>6335200000</v>
      </c>
      <c r="H90" s="30" t="n">
        <f aca="false">_xlfn.XLOOKUP("ProvisionsCurrent",HS_STANDALONE!$C:$C,HS_STANDALONE!G:G,0,0,1)</f>
        <v>5781600000</v>
      </c>
      <c r="I90" s="30" t="n">
        <f aca="false">_xlfn.XLOOKUP("ProvisionsCurrent",HS_STANDALONE!$C:$C,HS_STANDALONE!H:H,0,0,1)</f>
        <v>4391300000</v>
      </c>
      <c r="J90" s="30" t="n">
        <f aca="false">_xlfn.XLOOKUP("ProvisionsCurrent",HS_STANDALONE!$C:$C,HS_STANDALONE!I:I,0,0,1)</f>
        <v>3952600000</v>
      </c>
      <c r="K90" s="30" t="n">
        <f aca="false">_xlfn.XLOOKUP("ProvisionsCurrent",HS_STANDALONE!$C:$C,HS_STANDALONE!J:J,0,0,1)</f>
        <v>4512000000</v>
      </c>
      <c r="L90" s="30" t="n">
        <f aca="false">_xlfn.XLOOKUP("ProvisionsCurrent",HS_STANDALONE!$C:$C,HS_STANDALONE!K:K,0,0,1)</f>
        <v>4278300000</v>
      </c>
      <c r="M90" s="30" t="n">
        <f aca="false">_xlfn.XLOOKUP("ProvisionsCurrent",HS_STANDALONE!$C:$C,HS_STANDALONE!L:L,0,0,1)</f>
        <v>5502000000</v>
      </c>
    </row>
    <row r="91" customFormat="false" ht="15" hidden="false" customHeight="false" outlineLevel="0" collapsed="false">
      <c r="C91" s="6" t="s">
        <v>194</v>
      </c>
      <c r="E91" s="30" t="n">
        <f aca="false">_xlfn.XLOOKUP("CurrentTaxLiabilities",HS_STANDALONE!$C:$C,HS_STANDALONE!D:D,0,0,1)</f>
        <v>0</v>
      </c>
      <c r="F91" s="30" t="n">
        <f aca="false">_xlfn.XLOOKUP("CurrentTaxLiabilities",HS_STANDALONE!$C:$C,HS_STANDALONE!E:E,0,0,1)</f>
        <v>0</v>
      </c>
      <c r="G91" s="30" t="n">
        <f aca="false">_xlfn.XLOOKUP("CurrentTaxLiabilities",HS_STANDALONE!$C:$C,HS_STANDALONE!F:F,0,0,1)</f>
        <v>0</v>
      </c>
      <c r="H91" s="30" t="n">
        <f aca="false">_xlfn.XLOOKUP("CurrentTaxLiabilities",HS_STANDALONE!$C:$C,HS_STANDALONE!G:G,0,0,1)</f>
        <v>0</v>
      </c>
      <c r="I91" s="30" t="n">
        <f aca="false">_xlfn.XLOOKUP("CurrentTaxLiabilities",HS_STANDALONE!$C:$C,HS_STANDALONE!H:H,0,0,1)</f>
        <v>0</v>
      </c>
      <c r="J91" s="30" t="n">
        <f aca="false">_xlfn.XLOOKUP("CurrentTaxLiabilities",HS_STANDALONE!$C:$C,HS_STANDALONE!I:I,0,0,1)</f>
        <v>0</v>
      </c>
      <c r="K91" s="30" t="n">
        <f aca="false">_xlfn.XLOOKUP("CurrentTaxLiabilities",HS_STANDALONE!$C:$C,HS_STANDALONE!J:J,0,0,1)</f>
        <v>0</v>
      </c>
      <c r="L91" s="30" t="n">
        <f aca="false">_xlfn.XLOOKUP("CurrentTaxLiabilities",HS_STANDALONE!$C:$C,HS_STANDALONE!K:K,0,0,1)</f>
        <v>0</v>
      </c>
      <c r="M91" s="30" t="n">
        <f aca="false">_xlfn.XLOOKUP("CurrentTaxLiabilities",HS_STANDALONE!$C:$C,HS_STANDALONE!L:L,0,0,1)</f>
        <v>70500000</v>
      </c>
    </row>
    <row r="92" customFormat="false" ht="15" hidden="false" customHeight="false" outlineLevel="0" collapsed="false">
      <c r="A92" s="34"/>
      <c r="B92" s="35" t="s">
        <v>195</v>
      </c>
      <c r="C92" s="34"/>
      <c r="D92" s="34"/>
      <c r="E92" s="36" t="n">
        <f aca="false">IFERROR(SUM(E84)+SUM(E86:E87)+SUM(E89:E91),0)</f>
        <v>88651400000</v>
      </c>
      <c r="F92" s="36" t="n">
        <f aca="false">IFERROR(SUM(F84)+SUM(F86:F87)+SUM(F89:F91),0)</f>
        <v>89973700000</v>
      </c>
      <c r="G92" s="36" t="n">
        <f aca="false">IFERROR(SUM(G84)+SUM(G86:G87)+SUM(G89:G91),0)</f>
        <v>96509700000</v>
      </c>
      <c r="H92" s="36" t="n">
        <f aca="false">IFERROR(SUM(H84)+SUM(H86:H87)+SUM(H89:H91),0)</f>
        <v>151994100000</v>
      </c>
      <c r="I92" s="36" t="n">
        <f aca="false">IFERROR(SUM(I84)+SUM(I86:I87)+SUM(I89:I91),0)</f>
        <v>28620200000</v>
      </c>
      <c r="J92" s="36" t="n">
        <f aca="false">IFERROR(SUM(J84)+SUM(J86:J87)+SUM(J89:J91),0)</f>
        <v>32846400000</v>
      </c>
      <c r="K92" s="36" t="n">
        <f aca="false">IFERROR(SUM(K84)+SUM(K86:K87)+SUM(K89:K91),0)</f>
        <v>24659300000</v>
      </c>
      <c r="L92" s="36" t="n">
        <f aca="false">IFERROR(SUM(L84)+SUM(L86:L87)+SUM(L89:L91),0)</f>
        <v>27579600000</v>
      </c>
      <c r="M92" s="36" t="n">
        <f aca="false">IFERROR(SUM(M84)+SUM(M86:M87)+SUM(M89:M91),0)</f>
        <v>60261400000</v>
      </c>
    </row>
    <row r="93" customFormat="false" ht="15" hidden="false" customHeight="false" outlineLevel="0" collapsed="false">
      <c r="A93" s="34"/>
      <c r="B93" s="35" t="s">
        <v>175</v>
      </c>
      <c r="C93" s="34"/>
      <c r="D93" s="34"/>
      <c r="E93" s="36" t="n">
        <f aca="false">IFERROR(SUM(E92)+E81,0)</f>
        <v>132035600000</v>
      </c>
      <c r="F93" s="36" t="n">
        <f aca="false">IFERROR(SUM(F92)+F81,0)</f>
        <v>124874100000</v>
      </c>
      <c r="G93" s="36" t="n">
        <f aca="false">IFERROR(SUM(G92)+G81,0)</f>
        <v>155457500000</v>
      </c>
      <c r="H93" s="36" t="n">
        <f aca="false">IFERROR(SUM(H92)+H81,0)</f>
        <v>160016900000</v>
      </c>
      <c r="I93" s="36" t="n">
        <f aca="false">IFERROR(SUM(I92)+I81,0)</f>
        <v>93408700000</v>
      </c>
      <c r="J93" s="36" t="n">
        <f aca="false">IFERROR(SUM(J92)+J81,0)</f>
        <v>95673500000</v>
      </c>
      <c r="K93" s="36" t="n">
        <f aca="false">IFERROR(SUM(K92)+K81,0)</f>
        <v>46286000000</v>
      </c>
      <c r="L93" s="36" t="n">
        <f aca="false">IFERROR(SUM(L92)+L81,0)</f>
        <v>35578100000</v>
      </c>
      <c r="M93" s="36" t="n">
        <f aca="false">IFERROR(SUM(M92)+M81,0)</f>
        <v>68154600000</v>
      </c>
    </row>
    <row r="94" customFormat="false" ht="15" hidden="false" customHeight="false" outlineLevel="0" collapsed="false">
      <c r="A94" s="34"/>
      <c r="B94" s="35" t="s">
        <v>197</v>
      </c>
      <c r="C94" s="34"/>
      <c r="D94" s="34"/>
      <c r="E94" s="36" t="n">
        <f aca="false">IFERROR(E71+E93,0)</f>
        <v>142260300000</v>
      </c>
      <c r="F94" s="36" t="n">
        <f aca="false">IFERROR(F71+F93,0)</f>
        <v>128410200000</v>
      </c>
      <c r="G94" s="36" t="n">
        <f aca="false">IFERROR(G71+G93,0)</f>
        <v>85227700000</v>
      </c>
      <c r="H94" s="36" t="n">
        <f aca="false">IFERROR(H71+H93,0)</f>
        <v>57234000000</v>
      </c>
      <c r="I94" s="36" t="n">
        <f aca="false">IFERROR(I71+I93,0)</f>
        <v>53620400000</v>
      </c>
      <c r="J94" s="36" t="n">
        <f aca="false">IFERROR(J71+J93,0)</f>
        <v>56752600000</v>
      </c>
      <c r="K94" s="36" t="n">
        <f aca="false">IFERROR(K71+K93,0)</f>
        <v>60479900000</v>
      </c>
      <c r="L94" s="36" t="n">
        <f aca="false">IFERROR(L71+L93,0)</f>
        <v>71646600000</v>
      </c>
      <c r="M94" s="36" t="n">
        <f aca="false">IFERROR(M71+M93,0)</f>
        <v>123444600000</v>
      </c>
    </row>
    <row r="95" customFormat="false" ht="15" hidden="false" customHeight="false" outlineLevel="0" collapsed="false">
      <c r="B95" s="37" t="s">
        <v>198</v>
      </c>
      <c r="E95" s="38" t="n">
        <f aca="false">E65-E94</f>
        <v>0</v>
      </c>
      <c r="F95" s="38" t="n">
        <f aca="false">F65-F94</f>
        <v>0</v>
      </c>
      <c r="G95" s="38" t="n">
        <f aca="false">G65-G94</f>
        <v>0</v>
      </c>
      <c r="H95" s="38" t="n">
        <f aca="false">H65-H94</f>
        <v>0</v>
      </c>
      <c r="I95" s="38" t="n">
        <f aca="false">I65-I94</f>
        <v>0</v>
      </c>
      <c r="J95" s="38" t="n">
        <f aca="false">J65-J94</f>
        <v>0</v>
      </c>
      <c r="K95" s="38" t="n">
        <f aca="false">K65-K94</f>
        <v>0</v>
      </c>
      <c r="L95" s="38" t="n">
        <f aca="false">L65-L94</f>
        <v>0</v>
      </c>
      <c r="M95" s="38" t="n">
        <f aca="false">M65-M94</f>
        <v>0</v>
      </c>
    </row>
    <row r="96" customFormat="false" ht="15" hidden="false" customHeight="false" outlineLevel="0" collapsed="false">
      <c r="A96" s="5" t="s">
        <v>26</v>
      </c>
      <c r="B96" s="27" t="s">
        <v>199</v>
      </c>
      <c r="C96" s="5"/>
      <c r="D96" s="5"/>
      <c r="E96" s="5"/>
      <c r="F96" s="5"/>
      <c r="G96" s="5"/>
      <c r="H96" s="5"/>
      <c r="I96" s="5"/>
      <c r="J96" s="5"/>
      <c r="K96" s="5"/>
      <c r="L96" s="5"/>
      <c r="M96" s="5"/>
    </row>
    <row r="97" customFormat="false" ht="15" hidden="false" customHeight="false" outlineLevel="0" collapsed="false">
      <c r="A97" s="28"/>
      <c r="B97" s="29" t="s">
        <v>200</v>
      </c>
      <c r="C97" s="28"/>
      <c r="D97" s="28"/>
      <c r="E97" s="28"/>
      <c r="F97" s="28"/>
      <c r="G97" s="28"/>
      <c r="H97" s="28"/>
      <c r="I97" s="28"/>
      <c r="J97" s="28"/>
      <c r="K97" s="28"/>
      <c r="L97" s="28"/>
      <c r="M97" s="28"/>
    </row>
    <row r="98" customFormat="false" ht="15" hidden="false" customHeight="false" outlineLevel="0" collapsed="false">
      <c r="C98" s="6" t="s">
        <v>201</v>
      </c>
      <c r="E98" s="30" t="n">
        <f aca="false">_xlfn.XLOOKUP("ProfitBeforeTax",HS_STANDALONE!$C:$C,HS_STANDALONE!D:D,0,0,1)</f>
        <v>3556500000</v>
      </c>
      <c r="F98" s="30" t="n">
        <f aca="false">_xlfn.XLOOKUP("ProfitBeforeTax",HS_STANDALONE!$C:$C,HS_STANDALONE!E:E,0,0,1)</f>
        <v>-11547400000</v>
      </c>
      <c r="G98" s="30" t="n">
        <f aca="false">_xlfn.XLOOKUP("ProfitBeforeTax",HS_STANDALONE!$C:$C,HS_STANDALONE!F:F,0,0,1)</f>
        <v>-74119800000</v>
      </c>
      <c r="H98" s="30" t="n">
        <f aca="false">_xlfn.XLOOKUP("ProfitBeforeTax",HS_STANDALONE!$C:$C,HS_STANDALONE!G:G,0,0,1)</f>
        <v>-32759800000</v>
      </c>
      <c r="I98" s="30" t="n">
        <f aca="false">_xlfn.XLOOKUP("ProfitBeforeTax",HS_STANDALONE!$C:$C,HS_STANDALONE!H:H,0,0,1)</f>
        <v>-3984000000</v>
      </c>
      <c r="J98" s="30" t="n">
        <f aca="false">_xlfn.XLOOKUP("ProfitBeforeTax",HS_STANDALONE!$C:$C,HS_STANDALONE!I:I,0,0,1)</f>
        <v>-9126600000</v>
      </c>
      <c r="K98" s="30" t="n">
        <f aca="false">_xlfn.XLOOKUP("ProfitBeforeTax",HS_STANDALONE!$C:$C,HS_STANDALONE!J:J,0,0,1)</f>
        <v>21627600000</v>
      </c>
      <c r="L98" s="30" t="n">
        <f aca="false">_xlfn.XLOOKUP("ProfitBeforeTax",HS_STANDALONE!$C:$C,HS_STANDALONE!K:K,0,0,1)</f>
        <v>934300000</v>
      </c>
      <c r="M98" s="30" t="n">
        <f aca="false">_xlfn.XLOOKUP("ProfitBeforeTax",HS_STANDALONE!$C:$C,HS_STANDALONE!L:L,0,0,1)</f>
        <v>14737200000</v>
      </c>
    </row>
    <row r="99" customFormat="false" ht="15" hidden="false" customHeight="false" outlineLevel="0" collapsed="false">
      <c r="A99" s="28"/>
      <c r="B99" s="28"/>
      <c r="C99" s="29" t="s">
        <v>202</v>
      </c>
      <c r="D99" s="28"/>
      <c r="E99" s="28"/>
      <c r="F99" s="28"/>
      <c r="G99" s="28"/>
      <c r="H99" s="28"/>
      <c r="I99" s="28"/>
      <c r="J99" s="28"/>
      <c r="K99" s="28"/>
      <c r="L99" s="28"/>
      <c r="M99" s="28"/>
    </row>
    <row r="100" customFormat="false" ht="15" hidden="false" customHeight="false" outlineLevel="0" collapsed="false">
      <c r="D100" s="6" t="s">
        <v>203</v>
      </c>
      <c r="E100" s="30" t="n">
        <f aca="false">_xlfn.XLOOKUP("AdjustmentsForFinanceCosts",HS_STANDALONE!$C:$C,HS_STANDALONE!D:D,0,0,1)</f>
        <v>8057100000</v>
      </c>
      <c r="F100" s="30" t="n">
        <f aca="false">_xlfn.XLOOKUP("AdjustmentsForFinanceCosts",HS_STANDALONE!$C:$C,HS_STANDALONE!E:E,0,0,1)</f>
        <v>0</v>
      </c>
      <c r="G100" s="30" t="n">
        <f aca="false">_xlfn.XLOOKUP("AdjustmentsForFinanceCosts",HS_STANDALONE!$C:$C,HS_STANDALONE!F:F,0,0,1)</f>
        <v>0</v>
      </c>
      <c r="H100" s="30" t="n">
        <f aca="false">_xlfn.XLOOKUP("AdjustmentsForFinanceCosts",HS_STANDALONE!$C:$C,HS_STANDALONE!G:G,0,0,1)</f>
        <v>0</v>
      </c>
      <c r="I100" s="30" t="n">
        <f aca="false">_xlfn.XLOOKUP("AdjustmentsForFinanceCosts",HS_STANDALONE!$C:$C,HS_STANDALONE!H:H,0,0,1)</f>
        <v>0</v>
      </c>
      <c r="J100" s="30" t="n">
        <f aca="false">_xlfn.XLOOKUP("AdjustmentsForFinanceCosts",HS_STANDALONE!$C:$C,HS_STANDALONE!I:I,0,0,1)</f>
        <v>0</v>
      </c>
      <c r="K100" s="30" t="n">
        <f aca="false">_xlfn.XLOOKUP("AdjustmentsForFinanceCosts",HS_STANDALONE!$C:$C,HS_STANDALONE!J:J,0,0,1)</f>
        <v>0</v>
      </c>
      <c r="L100" s="30" t="n">
        <f aca="false">_xlfn.XLOOKUP("AdjustmentsForFinanceCosts",HS_STANDALONE!$C:$C,HS_STANDALONE!K:K,0,0,1)</f>
        <v>0</v>
      </c>
      <c r="M100" s="30" t="n">
        <f aca="false">_xlfn.XLOOKUP("AdjustmentsForFinanceCosts",HS_STANDALONE!$C:$C,HS_STANDALONE!L:L,0,0,1)</f>
        <v>840100000</v>
      </c>
    </row>
    <row r="101" customFormat="false" ht="15" hidden="false" customHeight="false" outlineLevel="0" collapsed="false">
      <c r="D101" s="6" t="s">
        <v>204</v>
      </c>
      <c r="E101" s="30" t="n">
        <f aca="false">_xlfn.XLOOKUP("AdjustmentsForDecreaseIncreaseInInventories",HS_STANDALONE!$C:$C,HS_STANDALONE!D:D,0,0,1)</f>
        <v>-8747100000</v>
      </c>
      <c r="F101" s="30" t="n">
        <f aca="false">_xlfn.XLOOKUP("AdjustmentsForDecreaseIncreaseInInventories",HS_STANDALONE!$C:$C,HS_STANDALONE!E:E,0,0,1)</f>
        <v>7240600000</v>
      </c>
      <c r="G101" s="30" t="n">
        <f aca="false">_xlfn.XLOOKUP("AdjustmentsForDecreaseIncreaseInInventories",HS_STANDALONE!$C:$C,HS_STANDALONE!F:F,0,0,1)</f>
        <v>3714600000</v>
      </c>
      <c r="H101" s="30" t="n">
        <f aca="false">_xlfn.XLOOKUP("AdjustmentsForDecreaseIncreaseInInventories",HS_STANDALONE!$C:$C,HS_STANDALONE!G:G,0,0,1)</f>
        <v>2832000000</v>
      </c>
      <c r="I101" s="30" t="n">
        <f aca="false">_xlfn.XLOOKUP("AdjustmentsForDecreaseIncreaseInInventories",HS_STANDALONE!$C:$C,HS_STANDALONE!H:H,0,0,1)</f>
        <v>352000000</v>
      </c>
      <c r="J101" s="30" t="n">
        <f aca="false">_xlfn.XLOOKUP("AdjustmentsForDecreaseIncreaseInInventories",HS_STANDALONE!$C:$C,HS_STANDALONE!I:I,0,0,1)</f>
        <v>-3055300000</v>
      </c>
      <c r="K101" s="30" t="n">
        <f aca="false">_xlfn.XLOOKUP("AdjustmentsForDecreaseIncreaseInInventories",HS_STANDALONE!$C:$C,HS_STANDALONE!J:J,0,0,1)</f>
        <v>4070500000</v>
      </c>
      <c r="L101" s="30" t="n">
        <f aca="false">_xlfn.XLOOKUP("AdjustmentsForDecreaseIncreaseInInventories",HS_STANDALONE!$C:$C,HS_STANDALONE!K:K,0,0,1)</f>
        <v>-4280300000</v>
      </c>
      <c r="M101" s="30" t="n">
        <f aca="false">_xlfn.XLOOKUP("AdjustmentsForDecreaseIncreaseInInventories",HS_STANDALONE!$C:$C,HS_STANDALONE!L:L,0,0,1)</f>
        <v>-7910200000</v>
      </c>
    </row>
    <row r="102" customFormat="false" ht="15" hidden="false" customHeight="false" outlineLevel="0" collapsed="false">
      <c r="D102" s="6" t="s">
        <v>205</v>
      </c>
      <c r="E102" s="30" t="n">
        <f aca="false">_xlfn.XLOOKUP("AdjustmentsForDecreaseIncreaseInTradeReceivablesCurrent",HS_STANDALONE!$C:$C,HS_STANDALONE!D:D,0,0,1)</f>
        <v>-4388400000</v>
      </c>
      <c r="F102" s="30" t="n">
        <f aca="false">_xlfn.XLOOKUP("AdjustmentsForDecreaseIncreaseInTradeReceivablesCurrent",HS_STANDALONE!$C:$C,HS_STANDALONE!E:E,0,0,1)</f>
        <v>4566500000</v>
      </c>
      <c r="G102" s="30" t="n">
        <f aca="false">_xlfn.XLOOKUP("AdjustmentsForDecreaseIncreaseInTradeReceivablesCurrent",HS_STANDALONE!$C:$C,HS_STANDALONE!F:F,0,0,1)</f>
        <v>8188900000</v>
      </c>
      <c r="H102" s="30" t="n">
        <f aca="false">_xlfn.XLOOKUP("AdjustmentsForDecreaseIncreaseInTradeReceivablesCurrent",HS_STANDALONE!$C:$C,HS_STANDALONE!G:G,0,0,1)</f>
        <v>4936500000</v>
      </c>
      <c r="I102" s="30" t="n">
        <f aca="false">_xlfn.XLOOKUP("AdjustmentsForDecreaseIncreaseInTradeReceivablesCurrent",HS_STANDALONE!$C:$C,HS_STANDALONE!H:H,0,0,1)</f>
        <v>220000000</v>
      </c>
      <c r="J102" s="30" t="n">
        <f aca="false">_xlfn.XLOOKUP("AdjustmentsForDecreaseIncreaseInTradeReceivablesCurrent",HS_STANDALONE!$C:$C,HS_STANDALONE!I:I,0,0,1)</f>
        <v>-3001900000</v>
      </c>
      <c r="K102" s="30" t="n">
        <f aca="false">_xlfn.XLOOKUP("AdjustmentsForDecreaseIncreaseInTradeReceivablesCurrent",HS_STANDALONE!$C:$C,HS_STANDALONE!J:J,0,0,1)</f>
        <v>1249900000</v>
      </c>
      <c r="L102" s="30" t="n">
        <f aca="false">_xlfn.XLOOKUP("AdjustmentsForDecreaseIncreaseInTradeReceivablesCurrent",HS_STANDALONE!$C:$C,HS_STANDALONE!K:K,0,0,1)</f>
        <v>-5686800000</v>
      </c>
      <c r="M102" s="30" t="n">
        <f aca="false">_xlfn.XLOOKUP("AdjustmentsForDecreaseIncreaseInTradeReceivablesCurrent",HS_STANDALONE!$C:$C,HS_STANDALONE!L:L,0,0,1)</f>
        <v>-20523900000</v>
      </c>
    </row>
    <row r="103" customFormat="false" ht="15" hidden="false" customHeight="false" outlineLevel="0" collapsed="false">
      <c r="D103" s="6" t="s">
        <v>206</v>
      </c>
      <c r="E103" s="30" t="n">
        <f aca="false">_xlfn.XLOOKUP("AdjustmentsForDecreaseIncreaseInOtherCurrentAssets",HS_STANDALONE!$C:$C,HS_STANDALONE!D:D,0,0,1)</f>
        <v>7542700000</v>
      </c>
      <c r="F103" s="30" t="n">
        <f aca="false">_xlfn.XLOOKUP("AdjustmentsForDecreaseIncreaseInOtherCurrentAssets",HS_STANDALONE!$C:$C,HS_STANDALONE!E:E,0,0,1)</f>
        <v>0</v>
      </c>
      <c r="G103" s="30" t="n">
        <f aca="false">_xlfn.XLOOKUP("AdjustmentsForDecreaseIncreaseInOtherCurrentAssets",HS_STANDALONE!$C:$C,HS_STANDALONE!F:F,0,0,1)</f>
        <v>0</v>
      </c>
      <c r="H103" s="30" t="n">
        <f aca="false">_xlfn.XLOOKUP("AdjustmentsForDecreaseIncreaseInOtherCurrentAssets",HS_STANDALONE!$C:$C,HS_STANDALONE!G:G,0,0,1)</f>
        <v>0</v>
      </c>
      <c r="I103" s="30" t="n">
        <f aca="false">_xlfn.XLOOKUP("AdjustmentsForDecreaseIncreaseInOtherCurrentAssets",HS_STANDALONE!$C:$C,HS_STANDALONE!H:H,0,0,1)</f>
        <v>0</v>
      </c>
      <c r="J103" s="30" t="n">
        <f aca="false">_xlfn.XLOOKUP("AdjustmentsForDecreaseIncreaseInOtherCurrentAssets",HS_STANDALONE!$C:$C,HS_STANDALONE!I:I,0,0,1)</f>
        <v>0</v>
      </c>
      <c r="K103" s="30" t="n">
        <f aca="false">_xlfn.XLOOKUP("AdjustmentsForDecreaseIncreaseInOtherCurrentAssets",HS_STANDALONE!$C:$C,HS_STANDALONE!J:J,0,0,1)</f>
        <v>0</v>
      </c>
      <c r="L103" s="30" t="n">
        <f aca="false">_xlfn.XLOOKUP("AdjustmentsForDecreaseIncreaseInOtherCurrentAssets",HS_STANDALONE!$C:$C,HS_STANDALONE!K:K,0,0,1)</f>
        <v>0</v>
      </c>
      <c r="M103" s="30" t="n">
        <f aca="false">_xlfn.XLOOKUP("AdjustmentsForDecreaseIncreaseInOtherCurrentAssets",HS_STANDALONE!$C:$C,HS_STANDALONE!L:L,0,0,1)</f>
        <v>0</v>
      </c>
    </row>
    <row r="104" customFormat="false" ht="15" hidden="false" customHeight="false" outlineLevel="0" collapsed="false">
      <c r="D104" s="6" t="s">
        <v>248</v>
      </c>
      <c r="E104" s="30" t="n">
        <f aca="false">_xlfn.XLOOKUP("AdjustmentsForDecreaseIncreaseInOtherNoncurrentAssets",HS_STANDALONE!$C:$C,HS_STANDALONE!D:D,0,0,1)</f>
        <v>0</v>
      </c>
      <c r="F104" s="30" t="n">
        <f aca="false">_xlfn.XLOOKUP("AdjustmentsForDecreaseIncreaseInOtherNoncurrentAssets",HS_STANDALONE!$C:$C,HS_STANDALONE!E:E,0,0,1)</f>
        <v>-1097400000</v>
      </c>
      <c r="G104" s="30" t="n">
        <f aca="false">_xlfn.XLOOKUP("AdjustmentsForDecreaseIncreaseInOtherNoncurrentAssets",HS_STANDALONE!$C:$C,HS_STANDALONE!F:F,0,0,1)</f>
        <v>-1777800000</v>
      </c>
      <c r="H104" s="30" t="n">
        <f aca="false">_xlfn.XLOOKUP("AdjustmentsForDecreaseIncreaseInOtherNoncurrentAssets",HS_STANDALONE!$C:$C,HS_STANDALONE!G:G,0,0,1)</f>
        <v>-36325700000</v>
      </c>
      <c r="I104" s="30" t="n">
        <f aca="false">_xlfn.XLOOKUP("AdjustmentsForDecreaseIncreaseInOtherNoncurrentAssets",HS_STANDALONE!$C:$C,HS_STANDALONE!H:H,0,0,1)</f>
        <v>-1555200000</v>
      </c>
      <c r="J104" s="30" t="n">
        <f aca="false">_xlfn.XLOOKUP("AdjustmentsForDecreaseIncreaseInOtherNoncurrentAssets",HS_STANDALONE!$C:$C,HS_STANDALONE!I:I,0,0,1)</f>
        <v>-149100000</v>
      </c>
      <c r="K104" s="30" t="n">
        <f aca="false">_xlfn.XLOOKUP("AdjustmentsForDecreaseIncreaseInOtherNoncurrentAssets",HS_STANDALONE!$C:$C,HS_STANDALONE!J:J,0,0,1)</f>
        <v>738700000</v>
      </c>
      <c r="L104" s="30" t="n">
        <f aca="false">_xlfn.XLOOKUP("AdjustmentsForDecreaseIncreaseInOtherNoncurrentAssets",HS_STANDALONE!$C:$C,HS_STANDALONE!K:K,0,0,1)</f>
        <v>-3893400000</v>
      </c>
      <c r="M104" s="30" t="n">
        <f aca="false">_xlfn.XLOOKUP("AdjustmentsForDecreaseIncreaseInOtherNoncurrentAssets",HS_STANDALONE!$C:$C,HS_STANDALONE!L:L,0,0,1)</f>
        <v>-3586600000</v>
      </c>
    </row>
    <row r="105" customFormat="false" ht="15" hidden="false" customHeight="false" outlineLevel="0" collapsed="false">
      <c r="D105" s="6" t="s">
        <v>208</v>
      </c>
      <c r="E105" s="30" t="n">
        <f aca="false">_xlfn.XLOOKUP("AdjustmentsForIncreaseDecreaseInOtherCurrentLiabilities",HS_STANDALONE!$C:$C,HS_STANDALONE!D:D,0,0,1)</f>
        <v>11900400000</v>
      </c>
      <c r="F105" s="30" t="n">
        <f aca="false">_xlfn.XLOOKUP("AdjustmentsForIncreaseDecreaseInOtherCurrentLiabilities",HS_STANDALONE!$C:$C,HS_STANDALONE!E:E,0,0,1)</f>
        <v>-25580000000</v>
      </c>
      <c r="G105" s="30" t="n">
        <f aca="false">_xlfn.XLOOKUP("AdjustmentsForIncreaseDecreaseInOtherCurrentLiabilities",HS_STANDALONE!$C:$C,HS_STANDALONE!F:F,0,0,1)</f>
        <v>-5023600000</v>
      </c>
      <c r="H105" s="30" t="n">
        <f aca="false">_xlfn.XLOOKUP("AdjustmentsForIncreaseDecreaseInOtherCurrentLiabilities",HS_STANDALONE!$C:$C,HS_STANDALONE!G:G,0,0,1)</f>
        <v>23153000000</v>
      </c>
      <c r="I105" s="30" t="n">
        <f aca="false">_xlfn.XLOOKUP("AdjustmentsForIncreaseDecreaseInOtherCurrentLiabilities",HS_STANDALONE!$C:$C,HS_STANDALONE!H:H,0,0,1)</f>
        <v>110700000</v>
      </c>
      <c r="J105" s="30" t="n">
        <f aca="false">_xlfn.XLOOKUP("AdjustmentsForIncreaseDecreaseInOtherCurrentLiabilities",HS_STANDALONE!$C:$C,HS_STANDALONE!I:I,0,0,1)</f>
        <v>2615300000</v>
      </c>
      <c r="K105" s="30" t="n">
        <f aca="false">_xlfn.XLOOKUP("AdjustmentsForIncreaseDecreaseInOtherCurrentLiabilities",HS_STANDALONE!$C:$C,HS_STANDALONE!J:J,0,0,1)</f>
        <v>-7925600000</v>
      </c>
      <c r="L105" s="30" t="n">
        <f aca="false">_xlfn.XLOOKUP("AdjustmentsForIncreaseDecreaseInOtherCurrentLiabilities",HS_STANDALONE!$C:$C,HS_STANDALONE!K:K,0,0,1)</f>
        <v>5122400000</v>
      </c>
      <c r="M105" s="30" t="n">
        <f aca="false">_xlfn.XLOOKUP("AdjustmentsForIncreaseDecreaseInOtherCurrentLiabilities",HS_STANDALONE!$C:$C,HS_STANDALONE!L:L,0,0,1)</f>
        <v>22914200000</v>
      </c>
    </row>
    <row r="106" customFormat="false" ht="15" hidden="false" customHeight="false" outlineLevel="0" collapsed="false">
      <c r="D106" s="6" t="s">
        <v>209</v>
      </c>
      <c r="E106" s="30" t="n">
        <f aca="false">_xlfn.XLOOKUP("AdjustmentsForDepreciationAndAmortisationExpense",HS_STANDALONE!$C:$C,HS_STANDALONE!D:D,0,0,1)</f>
        <v>4139900000</v>
      </c>
      <c r="F106" s="30" t="n">
        <f aca="false">_xlfn.XLOOKUP("AdjustmentsForDepreciationAndAmortisationExpense",HS_STANDALONE!$C:$C,HS_STANDALONE!E:E,0,0,1)</f>
        <v>4192800000</v>
      </c>
      <c r="G106" s="30" t="n">
        <f aca="false">_xlfn.XLOOKUP("AdjustmentsForDepreciationAndAmortisationExpense",HS_STANDALONE!$C:$C,HS_STANDALONE!F:F,0,0,1)</f>
        <v>4389100000</v>
      </c>
      <c r="H106" s="30" t="n">
        <f aca="false">_xlfn.XLOOKUP("AdjustmentsForDepreciationAndAmortisationExpense",HS_STANDALONE!$C:$C,HS_STANDALONE!G:G,0,0,1)</f>
        <v>6821500000</v>
      </c>
      <c r="I106" s="30" t="n">
        <f aca="false">_xlfn.XLOOKUP("AdjustmentsForDepreciationAndAmortisationExpense",HS_STANDALONE!$C:$C,HS_STANDALONE!H:H,0,0,1)</f>
        <v>1864900000</v>
      </c>
      <c r="J106" s="30" t="n">
        <f aca="false">_xlfn.XLOOKUP("AdjustmentsForDepreciationAndAmortisationExpense",HS_STANDALONE!$C:$C,HS_STANDALONE!I:I,0,0,1)</f>
        <v>1851300000</v>
      </c>
      <c r="K106" s="30" t="n">
        <f aca="false">_xlfn.XLOOKUP("AdjustmentsForDepreciationAndAmortisationExpense",HS_STANDALONE!$C:$C,HS_STANDALONE!J:J,0,0,1)</f>
        <v>1900400000</v>
      </c>
      <c r="L106" s="30" t="n">
        <f aca="false">_xlfn.XLOOKUP("AdjustmentsForDepreciationAndAmortisationExpense",HS_STANDALONE!$C:$C,HS_STANDALONE!K:K,0,0,1)</f>
        <v>1195700000</v>
      </c>
      <c r="M106" s="30" t="n">
        <f aca="false">_xlfn.XLOOKUP("AdjustmentsForDepreciationAndAmortisationExpense",HS_STANDALONE!$C:$C,HS_STANDALONE!L:L,0,0,1)</f>
        <v>1668500000</v>
      </c>
    </row>
    <row r="107" customFormat="false" ht="15" hidden="false" customHeight="false" outlineLevel="0" collapsed="false">
      <c r="D107" s="6" t="s">
        <v>210</v>
      </c>
      <c r="E107" s="30" t="n">
        <f aca="false">_xlfn.XLOOKUP("AdjustmentsForImpairmentLossReversalOfImpairmentLossRecognisedInProfitOrLoss",HS_STANDALONE!$C:$C,HS_STANDALONE!D:D,0,0,1)</f>
        <v>0</v>
      </c>
      <c r="F107" s="30" t="n">
        <f aca="false">_xlfn.XLOOKUP("AdjustmentsForImpairmentLossReversalOfImpairmentLossRecognisedInProfitOrLoss",HS_STANDALONE!$C:$C,HS_STANDALONE!E:E,0,0,1)</f>
        <v>-44900000</v>
      </c>
      <c r="G107" s="30" t="n">
        <f aca="false">_xlfn.XLOOKUP("AdjustmentsForImpairmentLossReversalOfImpairmentLossRecognisedInProfitOrLoss",HS_STANDALONE!$C:$C,HS_STANDALONE!F:F,0,0,1)</f>
        <v>-81400000</v>
      </c>
      <c r="H107" s="30" t="n">
        <f aca="false">_xlfn.XLOOKUP("AdjustmentsForImpairmentLossReversalOfImpairmentLossRecognisedInProfitOrLoss",HS_STANDALONE!$C:$C,HS_STANDALONE!G:G,0,0,1)</f>
        <v>-67200000</v>
      </c>
      <c r="I107" s="30" t="n">
        <f aca="false">_xlfn.XLOOKUP("AdjustmentsForImpairmentLossReversalOfImpairmentLossRecognisedInProfitOrLoss",HS_STANDALONE!$C:$C,HS_STANDALONE!H:H,0,0,1)</f>
        <v>178900000</v>
      </c>
      <c r="J107" s="30" t="n">
        <f aca="false">_xlfn.XLOOKUP("AdjustmentsForImpairmentLossReversalOfImpairmentLossRecognisedInProfitOrLoss",HS_STANDALONE!$C:$C,HS_STANDALONE!I:I,0,0,1)</f>
        <v>-11100000</v>
      </c>
      <c r="K107" s="30" t="n">
        <f aca="false">_xlfn.XLOOKUP("AdjustmentsForImpairmentLossReversalOfImpairmentLossRecognisedInProfitOrLoss",HS_STANDALONE!$C:$C,HS_STANDALONE!J:J,0,0,1)</f>
        <v>-58900000</v>
      </c>
      <c r="L107" s="30" t="n">
        <f aca="false">_xlfn.XLOOKUP("AdjustmentsForImpairmentLossReversalOfImpairmentLossRecognisedInProfitOrLoss",HS_STANDALONE!$C:$C,HS_STANDALONE!K:K,0,0,1)</f>
        <v>57500000</v>
      </c>
      <c r="M107" s="30" t="n">
        <f aca="false">_xlfn.XLOOKUP("AdjustmentsForImpairmentLossReversalOfImpairmentLossRecognisedInProfitOrLoss",HS_STANDALONE!$C:$C,HS_STANDALONE!L:L,0,0,1)</f>
        <v>196200000</v>
      </c>
    </row>
    <row r="108" customFormat="false" ht="15" hidden="false" customHeight="false" outlineLevel="0" collapsed="false">
      <c r="D108" s="6" t="s">
        <v>212</v>
      </c>
      <c r="E108" s="30" t="n">
        <f aca="false">_xlfn.XLOOKUP("AdjustmentsForUnrealisedForeignExchangeLossesGains",HS_STANDALONE!$C:$C,HS_STANDALONE!D:D,0,0,1)</f>
        <v>458600000</v>
      </c>
      <c r="F108" s="30" t="n">
        <f aca="false">_xlfn.XLOOKUP("AdjustmentsForUnrealisedForeignExchangeLossesGains",HS_STANDALONE!$C:$C,HS_STANDALONE!E:E,0,0,1)</f>
        <v>-221300000</v>
      </c>
      <c r="G108" s="30" t="n">
        <f aca="false">_xlfn.XLOOKUP("AdjustmentsForUnrealisedForeignExchangeLossesGains",HS_STANDALONE!$C:$C,HS_STANDALONE!F:F,0,0,1)</f>
        <v>931600000</v>
      </c>
      <c r="H108" s="30" t="n">
        <f aca="false">_xlfn.XLOOKUP("AdjustmentsForUnrealisedForeignExchangeLossesGains",HS_STANDALONE!$C:$C,HS_STANDALONE!G:G,0,0,1)</f>
        <v>1307400000</v>
      </c>
      <c r="I108" s="30" t="n">
        <f aca="false">_xlfn.XLOOKUP("AdjustmentsForUnrealisedForeignExchangeLossesGains",HS_STANDALONE!$C:$C,HS_STANDALONE!H:H,0,0,1)</f>
        <v>-52000000</v>
      </c>
      <c r="J108" s="30" t="n">
        <f aca="false">_xlfn.XLOOKUP("AdjustmentsForUnrealisedForeignExchangeLossesGains",HS_STANDALONE!$C:$C,HS_STANDALONE!I:I,0,0,1)</f>
        <v>38800000</v>
      </c>
      <c r="K108" s="30" t="n">
        <f aca="false">_xlfn.XLOOKUP("AdjustmentsForUnrealisedForeignExchangeLossesGains",HS_STANDALONE!$C:$C,HS_STANDALONE!J:J,0,0,1)</f>
        <v>-8200000</v>
      </c>
      <c r="L108" s="30" t="n">
        <f aca="false">_xlfn.XLOOKUP("AdjustmentsForUnrealisedForeignExchangeLossesGains",HS_STANDALONE!$C:$C,HS_STANDALONE!K:K,0,0,1)</f>
        <v>-400000</v>
      </c>
      <c r="M108" s="30" t="n">
        <f aca="false">_xlfn.XLOOKUP("AdjustmentsForUnrealisedForeignExchangeLossesGains",HS_STANDALONE!$C:$C,HS_STANDALONE!L:L,0,0,1)</f>
        <v>-1000000</v>
      </c>
    </row>
    <row r="109" customFormat="false" ht="15" hidden="false" customHeight="false" outlineLevel="0" collapsed="false">
      <c r="D109" s="6" t="s">
        <v>213</v>
      </c>
      <c r="E109" s="30" t="n">
        <f aca="false">_xlfn.XLOOKUP("AdjustmentsForInterestIncome",HS_STANDALONE!$C:$C,HS_STANDALONE!D:D,0,0,1)</f>
        <v>3793100000</v>
      </c>
      <c r="F109" s="30" t="n">
        <f aca="false">_xlfn.XLOOKUP("AdjustmentsForInterestIncome",HS_STANDALONE!$C:$C,HS_STANDALONE!E:E,0,0,1)</f>
        <v>0</v>
      </c>
      <c r="G109" s="30" t="n">
        <f aca="false">_xlfn.XLOOKUP("AdjustmentsForInterestIncome",HS_STANDALONE!$C:$C,HS_STANDALONE!F:F,0,0,1)</f>
        <v>0</v>
      </c>
      <c r="H109" s="30" t="n">
        <f aca="false">_xlfn.XLOOKUP("AdjustmentsForInterestIncome",HS_STANDALONE!$C:$C,HS_STANDALONE!G:G,0,0,1)</f>
        <v>0</v>
      </c>
      <c r="I109" s="30" t="n">
        <f aca="false">_xlfn.XLOOKUP("AdjustmentsForInterestIncome",HS_STANDALONE!$C:$C,HS_STANDALONE!H:H,0,0,1)</f>
        <v>0</v>
      </c>
      <c r="J109" s="30" t="n">
        <f aca="false">_xlfn.XLOOKUP("AdjustmentsForInterestIncome",HS_STANDALONE!$C:$C,HS_STANDALONE!I:I,0,0,1)</f>
        <v>0</v>
      </c>
      <c r="K109" s="30" t="n">
        <f aca="false">_xlfn.XLOOKUP("AdjustmentsForInterestIncome",HS_STANDALONE!$C:$C,HS_STANDALONE!J:J,0,0,1)</f>
        <v>0</v>
      </c>
      <c r="L109" s="30" t="n">
        <f aca="false">_xlfn.XLOOKUP("AdjustmentsForInterestIncome",HS_STANDALONE!$C:$C,HS_STANDALONE!K:K,0,0,1)</f>
        <v>0</v>
      </c>
      <c r="M109" s="30" t="n">
        <f aca="false">_xlfn.XLOOKUP("AdjustmentsForInterestIncome",HS_STANDALONE!$C:$C,HS_STANDALONE!L:L,0,0,1)</f>
        <v>0</v>
      </c>
    </row>
    <row r="110" customFormat="false" ht="15" hidden="false" customHeight="false" outlineLevel="0" collapsed="false">
      <c r="D110" s="6" t="s">
        <v>214</v>
      </c>
      <c r="E110" s="30" t="n">
        <f aca="false">_xlfn.XLOOKUP("AdjustmentsForSharebasedPayments",HS_STANDALONE!$C:$C,HS_STANDALONE!D:D,0,0,1)</f>
        <v>22400000</v>
      </c>
      <c r="F110" s="30" t="n">
        <f aca="false">_xlfn.XLOOKUP("AdjustmentsForSharebasedPayments",HS_STANDALONE!$C:$C,HS_STANDALONE!E:E,0,0,1)</f>
        <v>0</v>
      </c>
      <c r="G110" s="30" t="n">
        <f aca="false">_xlfn.XLOOKUP("AdjustmentsForSharebasedPayments",HS_STANDALONE!$C:$C,HS_STANDALONE!F:F,0,0,1)</f>
        <v>0</v>
      </c>
      <c r="H110" s="30" t="n">
        <f aca="false">_xlfn.XLOOKUP("AdjustmentsForSharebasedPayments",HS_STANDALONE!$C:$C,HS_STANDALONE!G:G,0,0,1)</f>
        <v>0</v>
      </c>
      <c r="I110" s="30" t="n">
        <f aca="false">_xlfn.XLOOKUP("AdjustmentsForSharebasedPayments",HS_STANDALONE!$C:$C,HS_STANDALONE!H:H,0,0,1)</f>
        <v>0</v>
      </c>
      <c r="J110" s="30" t="n">
        <f aca="false">_xlfn.XLOOKUP("AdjustmentsForSharebasedPayments",HS_STANDALONE!$C:$C,HS_STANDALONE!I:I,0,0,1)</f>
        <v>0</v>
      </c>
      <c r="K110" s="30" t="n">
        <f aca="false">_xlfn.XLOOKUP("AdjustmentsForSharebasedPayments",HS_STANDALONE!$C:$C,HS_STANDALONE!J:J,0,0,1)</f>
        <v>0</v>
      </c>
      <c r="L110" s="30" t="n">
        <f aca="false">_xlfn.XLOOKUP("AdjustmentsForSharebasedPayments",HS_STANDALONE!$C:$C,HS_STANDALONE!K:K,0,0,1)</f>
        <v>220800000</v>
      </c>
      <c r="M110" s="30" t="n">
        <f aca="false">_xlfn.XLOOKUP("AdjustmentsForSharebasedPayments",HS_STANDALONE!$C:$C,HS_STANDALONE!L:L,0,0,1)</f>
        <v>1111900000</v>
      </c>
    </row>
    <row r="111" customFormat="false" ht="15" hidden="false" customHeight="false" outlineLevel="0" collapsed="false">
      <c r="D111" s="6" t="s">
        <v>215</v>
      </c>
      <c r="E111" s="30" t="n">
        <f aca="false">_xlfn.XLOOKUP("OtherAdjustmentsForWhichCashEffectsAreInvestingOrFinancingCashFlow",HS_STANDALONE!$C:$C,HS_STANDALONE!D:D,0,0,1)</f>
        <v>-208700000</v>
      </c>
      <c r="F111" s="30" t="n">
        <f aca="false">_xlfn.XLOOKUP("OtherAdjustmentsForWhichCashEffectsAreInvestingOrFinancingCashFlow",HS_STANDALONE!$C:$C,HS_STANDALONE!E:E,0,0,1)</f>
        <v>-308300000</v>
      </c>
      <c r="G111" s="30" t="n">
        <f aca="false">_xlfn.XLOOKUP("OtherAdjustmentsForWhichCashEffectsAreInvestingOrFinancingCashFlow",HS_STANDALONE!$C:$C,HS_STANDALONE!F:F,0,0,1)</f>
        <v>-149900000</v>
      </c>
      <c r="H111" s="30" t="n">
        <f aca="false">_xlfn.XLOOKUP("OtherAdjustmentsForWhichCashEffectsAreInvestingOrFinancingCashFlow",HS_STANDALONE!$C:$C,HS_STANDALONE!G:G,0,0,1)</f>
        <v>33000000</v>
      </c>
      <c r="I111" s="30" t="n">
        <f aca="false">_xlfn.XLOOKUP("OtherAdjustmentsForWhichCashEffectsAreInvestingOrFinancingCashFlow",HS_STANDALONE!$C:$C,HS_STANDALONE!H:H,0,0,1)</f>
        <v>16800000</v>
      </c>
      <c r="J111" s="30" t="n">
        <f aca="false">_xlfn.XLOOKUP("OtherAdjustmentsForWhichCashEffectsAreInvestingOrFinancingCashFlow",HS_STANDALONE!$C:$C,HS_STANDALONE!I:I,0,0,1)</f>
        <v>66300000</v>
      </c>
      <c r="K111" s="30" t="n">
        <f aca="false">_xlfn.XLOOKUP("OtherAdjustmentsForWhichCashEffectsAreInvestingOrFinancingCashFlow",HS_STANDALONE!$C:$C,HS_STANDALONE!J:J,0,0,1)</f>
        <v>10500000</v>
      </c>
      <c r="L111" s="30" t="n">
        <f aca="false">_xlfn.XLOOKUP("OtherAdjustmentsForWhichCashEffectsAreInvestingOrFinancingCashFlow",HS_STANDALONE!$C:$C,HS_STANDALONE!K:K,0,0,1)</f>
        <v>74000000</v>
      </c>
      <c r="M111" s="30" t="n">
        <f aca="false">_xlfn.XLOOKUP("OtherAdjustmentsForWhichCashEffectsAreInvestingOrFinancingCashFlow",HS_STANDALONE!$C:$C,HS_STANDALONE!L:L,0,0,1)</f>
        <v>-1044400000</v>
      </c>
    </row>
    <row r="112" customFormat="false" ht="15" hidden="false" customHeight="false" outlineLevel="0" collapsed="false">
      <c r="D112" s="6" t="s">
        <v>216</v>
      </c>
      <c r="E112" s="30" t="n">
        <f aca="false">_xlfn.XLOOKUP("OtherAdjustmentsToReconcileProfitLoss",HS_STANDALONE!$C:$C,HS_STANDALONE!D:D,0,0,1)</f>
        <v>4087000000</v>
      </c>
      <c r="F112" s="30" t="n">
        <f aca="false">_xlfn.XLOOKUP("OtherAdjustmentsToReconcileProfitLoss",HS_STANDALONE!$C:$C,HS_STANDALONE!E:E,0,0,1)</f>
        <v>4354000000</v>
      </c>
      <c r="G112" s="30" t="n">
        <f aca="false">_xlfn.XLOOKUP("OtherAdjustmentsToReconcileProfitLoss",HS_STANDALONE!$C:$C,HS_STANDALONE!F:F,0,0,1)</f>
        <v>60551700000</v>
      </c>
      <c r="H112" s="30" t="n">
        <f aca="false">_xlfn.XLOOKUP("OtherAdjustmentsToReconcileProfitLoss",HS_STANDALONE!$C:$C,HS_STANDALONE!G:G,0,0,1)</f>
        <v>6050600000</v>
      </c>
      <c r="I112" s="30" t="n">
        <f aca="false">_xlfn.XLOOKUP("OtherAdjustmentsToReconcileProfitLoss",HS_STANDALONE!$C:$C,HS_STANDALONE!H:H,0,0,1)</f>
        <v>-8600900000</v>
      </c>
      <c r="J112" s="30" t="n">
        <f aca="false">_xlfn.XLOOKUP("OtherAdjustmentsToReconcileProfitLoss",HS_STANDALONE!$C:$C,HS_STANDALONE!I:I,0,0,1)</f>
        <v>2131100000</v>
      </c>
      <c r="K112" s="30" t="n">
        <f aca="false">_xlfn.XLOOKUP("OtherAdjustmentsToReconcileProfitLoss",HS_STANDALONE!$C:$C,HS_STANDALONE!J:J,0,0,1)</f>
        <v>-25921300000</v>
      </c>
      <c r="L112" s="30" t="n">
        <f aca="false">_xlfn.XLOOKUP("OtherAdjustmentsToReconcileProfitLoss",HS_STANDALONE!$C:$C,HS_STANDALONE!K:K,0,0,1)</f>
        <v>-1285200000</v>
      </c>
      <c r="M112" s="30" t="n">
        <f aca="false">_xlfn.XLOOKUP("OtherAdjustmentsToReconcileProfitLoss",HS_STANDALONE!$C:$C,HS_STANDALONE!L:L,0,0,1)</f>
        <v>626400000</v>
      </c>
    </row>
    <row r="113" customFormat="false" ht="15" hidden="false" customHeight="false" outlineLevel="0" collapsed="false">
      <c r="D113" s="6" t="s">
        <v>217</v>
      </c>
      <c r="E113" s="30" t="n">
        <f aca="false">_xlfn.XLOOKUP("OtherAdjustmentsForNoncashItems",HS_STANDALONE!$C:$C,HS_STANDALONE!D:D,0,0,1)</f>
        <v>5498600000</v>
      </c>
      <c r="F113" s="30" t="n">
        <f aca="false">_xlfn.XLOOKUP("OtherAdjustmentsForNoncashItems",HS_STANDALONE!$C:$C,HS_STANDALONE!E:E,0,0,1)</f>
        <v>-174500000</v>
      </c>
      <c r="G113" s="30" t="n">
        <f aca="false">_xlfn.XLOOKUP("OtherAdjustmentsForNoncashItems",HS_STANDALONE!$C:$C,HS_STANDALONE!F:F,0,0,1)</f>
        <v>-388800000</v>
      </c>
      <c r="H113" s="30" t="n">
        <f aca="false">_xlfn.XLOOKUP("OtherAdjustmentsForNoncashItems",HS_STANDALONE!$C:$C,HS_STANDALONE!G:G,0,0,1)</f>
        <v>724200000</v>
      </c>
      <c r="I113" s="30" t="n">
        <f aca="false">_xlfn.XLOOKUP("OtherAdjustmentsForNoncashItems",HS_STANDALONE!$C:$C,HS_STANDALONE!H:H,0,0,1)</f>
        <v>274500000</v>
      </c>
      <c r="J113" s="30" t="n">
        <f aca="false">_xlfn.XLOOKUP("OtherAdjustmentsForNoncashItems",HS_STANDALONE!$C:$C,HS_STANDALONE!I:I,0,0,1)</f>
        <v>382600000</v>
      </c>
      <c r="K113" s="30" t="n">
        <f aca="false">_xlfn.XLOOKUP("OtherAdjustmentsForNoncashItems",HS_STANDALONE!$C:$C,HS_STANDALONE!J:J,0,0,1)</f>
        <v>-55000000</v>
      </c>
      <c r="L113" s="30" t="n">
        <f aca="false">_xlfn.XLOOKUP("OtherAdjustmentsForNoncashItems",HS_STANDALONE!$C:$C,HS_STANDALONE!K:K,0,0,1)</f>
        <v>-65900000</v>
      </c>
      <c r="M113" s="30" t="n">
        <f aca="false">_xlfn.XLOOKUP("OtherAdjustmentsForNoncashItems",HS_STANDALONE!$C:$C,HS_STANDALONE!L:L,0,0,1)</f>
        <v>62100000</v>
      </c>
    </row>
    <row r="114" customFormat="false" ht="15" hidden="false" customHeight="false" outlineLevel="0" collapsed="false">
      <c r="D114" s="6" t="s">
        <v>218</v>
      </c>
      <c r="E114" s="30" t="n">
        <f aca="false">_xlfn.XLOOKUP("AdjustmentsForReconcileProfitLoss",HS_STANDALONE!$C:$C,HS_STANDALONE!D:D,0,0,1)</f>
        <v>24569400000</v>
      </c>
      <c r="F114" s="30" t="n">
        <f aca="false">_xlfn.XLOOKUP("AdjustmentsForReconcileProfitLoss",HS_STANDALONE!$C:$C,HS_STANDALONE!E:E,0,0,1)</f>
        <v>-7072500000</v>
      </c>
      <c r="G114" s="30" t="n">
        <f aca="false">_xlfn.XLOOKUP("AdjustmentsForReconcileProfitLoss",HS_STANDALONE!$C:$C,HS_STANDALONE!F:F,0,0,1)</f>
        <v>70354400000</v>
      </c>
      <c r="H114" s="30" t="n">
        <f aca="false">_xlfn.XLOOKUP("AdjustmentsForReconcileProfitLoss",HS_STANDALONE!$C:$C,HS_STANDALONE!G:G,0,0,1)</f>
        <v>9465300000</v>
      </c>
      <c r="I114" s="30" t="n">
        <f aca="false">_xlfn.XLOOKUP("AdjustmentsForReconcileProfitLoss",HS_STANDALONE!$C:$C,HS_STANDALONE!H:H,0,0,1)</f>
        <v>-7190300000</v>
      </c>
      <c r="J114" s="30" t="n">
        <f aca="false">_xlfn.XLOOKUP("AdjustmentsForReconcileProfitLoss",HS_STANDALONE!$C:$C,HS_STANDALONE!I:I,0,0,1)</f>
        <v>868000000</v>
      </c>
      <c r="K114" s="30" t="n">
        <f aca="false">_xlfn.XLOOKUP("AdjustmentsForReconcileProfitLoss",HS_STANDALONE!$C:$C,HS_STANDALONE!J:J,0,0,1)</f>
        <v>-25999000000</v>
      </c>
      <c r="L114" s="30" t="n">
        <f aca="false">_xlfn.XLOOKUP("AdjustmentsForReconcileProfitLoss",HS_STANDALONE!$C:$C,HS_STANDALONE!K:K,0,0,1)</f>
        <v>-8541600000</v>
      </c>
      <c r="M114" s="30" t="n">
        <f aca="false">_xlfn.XLOOKUP("AdjustmentsForReconcileProfitLoss",HS_STANDALONE!$C:$C,HS_STANDALONE!L:L,0,0,1)</f>
        <v>-5646700000</v>
      </c>
    </row>
    <row r="115" customFormat="false" ht="15" hidden="false" customHeight="false" outlineLevel="0" collapsed="false">
      <c r="A115" s="31"/>
      <c r="B115" s="31"/>
      <c r="C115" s="32" t="s">
        <v>219</v>
      </c>
      <c r="D115" s="31"/>
      <c r="E115" s="33" t="n">
        <f aca="false">IFERROR(E114+E98,0)</f>
        <v>28125900000</v>
      </c>
      <c r="F115" s="33" t="n">
        <f aca="false">IFERROR(F114+F98,0)</f>
        <v>-18619900000</v>
      </c>
      <c r="G115" s="33" t="n">
        <f aca="false">IFERROR(G114+G98,0)</f>
        <v>-3765400000</v>
      </c>
      <c r="H115" s="33" t="n">
        <f aca="false">IFERROR(H114+H98,0)</f>
        <v>-23294500000</v>
      </c>
      <c r="I115" s="33" t="n">
        <f aca="false">IFERROR(I114+I98,0)</f>
        <v>-11174300000</v>
      </c>
      <c r="J115" s="33" t="n">
        <f aca="false">IFERROR(J114+J98,0)</f>
        <v>-8258600000</v>
      </c>
      <c r="K115" s="33" t="n">
        <f aca="false">IFERROR(K114+K98,0)</f>
        <v>-4371400000</v>
      </c>
      <c r="L115" s="33" t="n">
        <f aca="false">IFERROR(L114+L98,0)</f>
        <v>-7607300000</v>
      </c>
      <c r="M115" s="33" t="n">
        <f aca="false">IFERROR(M114+M98,0)</f>
        <v>9090500000</v>
      </c>
    </row>
    <row r="116" customFormat="false" ht="15" hidden="false" customHeight="false" outlineLevel="0" collapsed="false">
      <c r="C116" s="6" t="s">
        <v>241</v>
      </c>
      <c r="E116" s="30" t="n">
        <f aca="false">-_xlfn.XLOOKUP("InterestPaidClassifiedAsOperatingActivities",HS_STANDALONE!$C:$C,HS_STANDALONE!D:D,0,0,1)</f>
        <v>-0</v>
      </c>
      <c r="F116" s="30" t="n">
        <f aca="false">-_xlfn.XLOOKUP("InterestPaidClassifiedAsOperatingActivities",HS_STANDALONE!$C:$C,HS_STANDALONE!E:E,0,0,1)</f>
        <v>10598800000</v>
      </c>
      <c r="G116" s="30" t="n">
        <f aca="false">-_xlfn.XLOOKUP("InterestPaidClassifiedAsOperatingActivities",HS_STANDALONE!$C:$C,HS_STANDALONE!F:F,0,0,1)</f>
        <v>8250500000</v>
      </c>
      <c r="H116" s="30" t="n">
        <f aca="false">-_xlfn.XLOOKUP("InterestPaidClassifiedAsOperatingActivities",HS_STANDALONE!$C:$C,HS_STANDALONE!G:G,0,0,1)</f>
        <v>10743500000</v>
      </c>
      <c r="I116" s="30" t="n">
        <f aca="false">-_xlfn.XLOOKUP("InterestPaidClassifiedAsOperatingActivities",HS_STANDALONE!$C:$C,HS_STANDALONE!H:H,0,0,1)</f>
        <v>9526700000</v>
      </c>
      <c r="J116" s="30" t="n">
        <f aca="false">-_xlfn.XLOOKUP("InterestPaidClassifiedAsOperatingActivities",HS_STANDALONE!$C:$C,HS_STANDALONE!I:I,0,0,1)</f>
        <v>7509000000</v>
      </c>
      <c r="K116" s="30" t="n">
        <f aca="false">-_xlfn.XLOOKUP("InterestPaidClassifiedAsOperatingActivities",HS_STANDALONE!$C:$C,HS_STANDALONE!J:J,0,0,1)</f>
        <v>4081100000</v>
      </c>
      <c r="L116" s="30" t="n">
        <f aca="false">-_xlfn.XLOOKUP("InterestPaidClassifiedAsOperatingActivities",HS_STANDALONE!$C:$C,HS_STANDALONE!K:K,0,0,1)</f>
        <v>1654700000</v>
      </c>
      <c r="M116" s="30" t="n">
        <f aca="false">-_xlfn.XLOOKUP("InterestPaidClassifiedAsOperatingActivities",HS_STANDALONE!$C:$C,HS_STANDALONE!L:L,0,0,1)</f>
        <v>-0</v>
      </c>
    </row>
    <row r="117" customFormat="false" ht="15" hidden="false" customHeight="false" outlineLevel="0" collapsed="false">
      <c r="C117" s="6" t="s">
        <v>220</v>
      </c>
      <c r="E117" s="30" t="n">
        <f aca="false">-_xlfn.XLOOKUP("IncomeTaxesPaidRefundClassifiedAsOperatingActivities",HS_STANDALONE!$C:$C,HS_STANDALONE!D:D,0,0,1)</f>
        <v>-43200000</v>
      </c>
      <c r="F117" s="30" t="n">
        <f aca="false">-_xlfn.XLOOKUP("IncomeTaxesPaidRefundClassifiedAsOperatingActivities",HS_STANDALONE!$C:$C,HS_STANDALONE!E:E,0,0,1)</f>
        <v>59400000</v>
      </c>
      <c r="G117" s="30" t="n">
        <f aca="false">-_xlfn.XLOOKUP("IncomeTaxesPaidRefundClassifiedAsOperatingActivities",HS_STANDALONE!$C:$C,HS_STANDALONE!F:F,0,0,1)</f>
        <v>13500000</v>
      </c>
      <c r="H117" s="30" t="n">
        <f aca="false">-_xlfn.XLOOKUP("IncomeTaxesPaidRefundClassifiedAsOperatingActivities",HS_STANDALONE!$C:$C,HS_STANDALONE!G:G,0,0,1)</f>
        <v>-19500000</v>
      </c>
      <c r="I117" s="30" t="n">
        <f aca="false">-_xlfn.XLOOKUP("IncomeTaxesPaidRefundClassifiedAsOperatingActivities",HS_STANDALONE!$C:$C,HS_STANDALONE!H:H,0,0,1)</f>
        <v>33900000</v>
      </c>
      <c r="J117" s="30" t="n">
        <f aca="false">-_xlfn.XLOOKUP("IncomeTaxesPaidRefundClassifiedAsOperatingActivities",HS_STANDALONE!$C:$C,HS_STANDALONE!I:I,0,0,1)</f>
        <v>5000000</v>
      </c>
      <c r="K117" s="30" t="n">
        <f aca="false">-_xlfn.XLOOKUP("IncomeTaxesPaidRefundClassifiedAsOperatingActivities",HS_STANDALONE!$C:$C,HS_STANDALONE!J:J,0,0,1)</f>
        <v>-21200000</v>
      </c>
      <c r="L117" s="30" t="n">
        <f aca="false">-_xlfn.XLOOKUP("IncomeTaxesPaidRefundClassifiedAsOperatingActivities",HS_STANDALONE!$C:$C,HS_STANDALONE!K:K,0,0,1)</f>
        <v>-9300000</v>
      </c>
      <c r="M117" s="30" t="n">
        <f aca="false">-_xlfn.XLOOKUP("IncomeTaxesPaidRefundClassifiedAsOperatingActivities",HS_STANDALONE!$C:$C,HS_STANDALONE!L:L,0,0,1)</f>
        <v>64600000</v>
      </c>
    </row>
    <row r="118" customFormat="false" ht="15" hidden="false" customHeight="false" outlineLevel="0" collapsed="false">
      <c r="A118" s="31"/>
      <c r="B118" s="31"/>
      <c r="C118" s="32" t="s">
        <v>221</v>
      </c>
      <c r="D118" s="31"/>
      <c r="E118" s="33" t="n">
        <f aca="false">IFERROR(SUM(E115:E117),0)</f>
        <v>28082700000</v>
      </c>
      <c r="F118" s="33" t="n">
        <f aca="false">IFERROR(SUM(F115:F117),0)</f>
        <v>-7961700000</v>
      </c>
      <c r="G118" s="33" t="n">
        <f aca="false">IFERROR(SUM(G115:G117),0)</f>
        <v>4498600000</v>
      </c>
      <c r="H118" s="33" t="n">
        <f aca="false">IFERROR(SUM(H115:H117),0)</f>
        <v>-12570500000</v>
      </c>
      <c r="I118" s="33" t="n">
        <f aca="false">IFERROR(SUM(I115:I117),0)</f>
        <v>-1613700000</v>
      </c>
      <c r="J118" s="33" t="n">
        <f aca="false">IFERROR(SUM(J115:J117),0)</f>
        <v>-744600000</v>
      </c>
      <c r="K118" s="33" t="n">
        <f aca="false">IFERROR(SUM(K115:K117),0)</f>
        <v>-311500000</v>
      </c>
      <c r="L118" s="33" t="n">
        <f aca="false">IFERROR(SUM(L115:L117),0)</f>
        <v>-5961900000</v>
      </c>
      <c r="M118" s="33" t="n">
        <f aca="false">IFERROR(SUM(M115:M117),0)</f>
        <v>9155100000</v>
      </c>
    </row>
    <row r="119" customFormat="false" ht="15" hidden="false" customHeight="false" outlineLevel="0" collapsed="false">
      <c r="A119" s="28"/>
      <c r="B119" s="28"/>
      <c r="C119" s="29" t="s">
        <v>222</v>
      </c>
      <c r="D119" s="28"/>
      <c r="E119" s="28"/>
      <c r="F119" s="28"/>
      <c r="G119" s="28"/>
      <c r="H119" s="28"/>
      <c r="I119" s="28"/>
      <c r="J119" s="28"/>
      <c r="K119" s="28"/>
      <c r="L119" s="28"/>
      <c r="M119" s="28"/>
    </row>
    <row r="120" customFormat="false" ht="15" hidden="false" customHeight="false" outlineLevel="0" collapsed="false">
      <c r="D120" s="6" t="s">
        <v>249</v>
      </c>
      <c r="E120" s="30" t="n">
        <f aca="false">_xlfn.XLOOKUP("CashFlowsFromLosingControlOfSubsidiariesOrOtherBusinessesClassifiedAsInvestingActivities",HS_STANDALONE!$C:$C,HS_STANDALONE!D:D,0,0,1)</f>
        <v>85500000</v>
      </c>
      <c r="F120" s="30" t="n">
        <f aca="false">_xlfn.XLOOKUP("CashFlowsFromLosingControlOfSubsidiariesOrOtherBusinessesClassifiedAsInvestingActivities",HS_STANDALONE!$C:$C,HS_STANDALONE!E:E,0,0,1)</f>
        <v>800000</v>
      </c>
      <c r="G120" s="30" t="n">
        <f aca="false">_xlfn.XLOOKUP("CashFlowsFromLosingControlOfSubsidiariesOrOtherBusinessesClassifiedAsInvestingActivities",HS_STANDALONE!$C:$C,HS_STANDALONE!F:F,0,0,1)</f>
        <v>2855300000</v>
      </c>
      <c r="H120" s="30" t="n">
        <f aca="false">_xlfn.XLOOKUP("CashFlowsFromLosingControlOfSubsidiariesOrOtherBusinessesClassifiedAsInvestingActivities",HS_STANDALONE!$C:$C,HS_STANDALONE!G:G,0,0,1)</f>
        <v>303800000</v>
      </c>
      <c r="I120" s="30" t="n">
        <f aca="false">_xlfn.XLOOKUP("CashFlowsFromLosingControlOfSubsidiariesOrOtherBusinessesClassifiedAsInvestingActivities",HS_STANDALONE!$C:$C,HS_STANDALONE!H:H,0,0,1)</f>
        <v>0</v>
      </c>
      <c r="J120" s="30" t="n">
        <f aca="false">_xlfn.XLOOKUP("CashFlowsFromLosingControlOfSubsidiariesOrOtherBusinessesClassifiedAsInvestingActivities",HS_STANDALONE!$C:$C,HS_STANDALONE!I:I,0,0,1)</f>
        <v>0</v>
      </c>
      <c r="K120" s="30" t="n">
        <f aca="false">_xlfn.XLOOKUP("CashFlowsFromLosingControlOfSubsidiariesOrOtherBusinessesClassifiedAsInvestingActivities",HS_STANDALONE!$C:$C,HS_STANDALONE!J:J,0,0,1)</f>
        <v>0</v>
      </c>
      <c r="L120" s="30" t="n">
        <f aca="false">_xlfn.XLOOKUP("CashFlowsFromLosingControlOfSubsidiariesOrOtherBusinessesClassifiedAsInvestingActivities",HS_STANDALONE!$C:$C,HS_STANDALONE!K:K,0,0,1)</f>
        <v>0</v>
      </c>
      <c r="M120" s="30" t="n">
        <f aca="false">_xlfn.XLOOKUP("CashFlowsFromLosingControlOfSubsidiariesOrOtherBusinessesClassifiedAsInvestingActivities",HS_STANDALONE!$C:$C,HS_STANDALONE!L:L,0,0,1)</f>
        <v>0</v>
      </c>
    </row>
    <row r="121" customFormat="false" ht="15" hidden="false" customHeight="false" outlineLevel="0" collapsed="false">
      <c r="D121" s="6" t="s">
        <v>223</v>
      </c>
      <c r="E121" s="30" t="n">
        <f aca="false">-_xlfn.XLOOKUP("CashFlowsUsedInObtainingControlOfSubsidiariesOrOtherBusinessesClassifiedAsInvestingActivities",HS_STANDALONE!$C:$C,HS_STANDALONE!D:D,0,0,1)</f>
        <v>-7200300000</v>
      </c>
      <c r="F121" s="30" t="n">
        <f aca="false">-_xlfn.XLOOKUP("CashFlowsUsedInObtainingControlOfSubsidiariesOrOtherBusinessesClassifiedAsInvestingActivities",HS_STANDALONE!$C:$C,HS_STANDALONE!E:E,0,0,1)</f>
        <v>-5049800000</v>
      </c>
      <c r="G121" s="30" t="n">
        <f aca="false">-_xlfn.XLOOKUP("CashFlowsUsedInObtainingControlOfSubsidiariesOrOtherBusinessesClassifiedAsInvestingActivities",HS_STANDALONE!$C:$C,HS_STANDALONE!F:F,0,0,1)</f>
        <v>-403300000</v>
      </c>
      <c r="H121" s="30" t="n">
        <f aca="false">-_xlfn.XLOOKUP("CashFlowsUsedInObtainingControlOfSubsidiariesOrOtherBusinessesClassifiedAsInvestingActivities",HS_STANDALONE!$C:$C,HS_STANDALONE!G:G,0,0,1)</f>
        <v>-0</v>
      </c>
      <c r="I121" s="30" t="n">
        <f aca="false">-_xlfn.XLOOKUP("CashFlowsUsedInObtainingControlOfSubsidiariesOrOtherBusinessesClassifiedAsInvestingActivities",HS_STANDALONE!$C:$C,HS_STANDALONE!H:H,0,0,1)</f>
        <v>-0</v>
      </c>
      <c r="J121" s="30" t="n">
        <f aca="false">-_xlfn.XLOOKUP("CashFlowsUsedInObtainingControlOfSubsidiariesOrOtherBusinessesClassifiedAsInvestingActivities",HS_STANDALONE!$C:$C,HS_STANDALONE!I:I,0,0,1)</f>
        <v>-0</v>
      </c>
      <c r="K121" s="30" t="n">
        <f aca="false">-_xlfn.XLOOKUP("CashFlowsUsedInObtainingControlOfSubsidiariesOrOtherBusinessesClassifiedAsInvestingActivities",HS_STANDALONE!$C:$C,HS_STANDALONE!J:J,0,0,1)</f>
        <v>-0</v>
      </c>
      <c r="L121" s="30" t="n">
        <f aca="false">-_xlfn.XLOOKUP("CashFlowsUsedInObtainingControlOfSubsidiariesOrOtherBusinessesClassifiedAsInvestingActivities",HS_STANDALONE!$C:$C,HS_STANDALONE!K:K,0,0,1)</f>
        <v>-0</v>
      </c>
      <c r="M121" s="30" t="n">
        <f aca="false">-_xlfn.XLOOKUP("CashFlowsUsedInObtainingControlOfSubsidiariesOrOtherBusinessesClassifiedAsInvestingActivities",HS_STANDALONE!$C:$C,HS_STANDALONE!L:L,0,0,1)</f>
        <v>-6413800000</v>
      </c>
    </row>
    <row r="122" customFormat="false" ht="15" hidden="false" customHeight="false" outlineLevel="0" collapsed="false">
      <c r="D122" s="6" t="s">
        <v>226</v>
      </c>
      <c r="E122" s="30" t="n">
        <f aca="false">_xlfn.XLOOKUP("OtherCashReceiptsFromSalesOfInterestsInJointVenturesClassifiedAsInvestingActivities",HS_STANDALONE!$C:$C,HS_STANDALONE!D:D,0,0,1)</f>
        <v>0</v>
      </c>
      <c r="F122" s="30" t="n">
        <f aca="false">_xlfn.XLOOKUP("OtherCashReceiptsFromSalesOfInterestsInJointVenturesClassifiedAsInvestingActivities",HS_STANDALONE!$C:$C,HS_STANDALONE!E:E,0,0,1)</f>
        <v>0</v>
      </c>
      <c r="G122" s="30" t="n">
        <f aca="false">_xlfn.XLOOKUP("OtherCashReceiptsFromSalesOfInterestsInJointVenturesClassifiedAsInvestingActivities",HS_STANDALONE!$C:$C,HS_STANDALONE!F:F,0,0,1)</f>
        <v>0</v>
      </c>
      <c r="H122" s="30" t="n">
        <f aca="false">_xlfn.XLOOKUP("OtherCashReceiptsFromSalesOfInterestsInJointVenturesClassifiedAsInvestingActivities",HS_STANDALONE!$C:$C,HS_STANDALONE!G:G,0,0,1)</f>
        <v>0</v>
      </c>
      <c r="I122" s="30" t="n">
        <f aca="false">_xlfn.XLOOKUP("OtherCashReceiptsFromSalesOfInterestsInJointVenturesClassifiedAsInvestingActivities",HS_STANDALONE!$C:$C,HS_STANDALONE!H:H,0,0,1)</f>
        <v>0</v>
      </c>
      <c r="J122" s="30" t="n">
        <f aca="false">_xlfn.XLOOKUP("OtherCashReceiptsFromSalesOfInterestsInJointVenturesClassifiedAsInvestingActivities",HS_STANDALONE!$C:$C,HS_STANDALONE!I:I,0,0,1)</f>
        <v>0</v>
      </c>
      <c r="K122" s="30" t="n">
        <f aca="false">_xlfn.XLOOKUP("OtherCashReceiptsFromSalesOfInterestsInJointVenturesClassifiedAsInvestingActivities",HS_STANDALONE!$C:$C,HS_STANDALONE!J:J,0,0,1)</f>
        <v>0</v>
      </c>
      <c r="L122" s="30" t="n">
        <f aca="false">_xlfn.XLOOKUP("OtherCashReceiptsFromSalesOfInterestsInJointVenturesClassifiedAsInvestingActivities",HS_STANDALONE!$C:$C,HS_STANDALONE!K:K,0,0,1)</f>
        <v>0</v>
      </c>
      <c r="M122" s="30" t="n">
        <f aca="false">_xlfn.XLOOKUP("OtherCashReceiptsFromSalesOfInterestsInJointVenturesClassifiedAsInvestingActivities",HS_STANDALONE!$C:$C,HS_STANDALONE!L:L,0,0,1)</f>
        <v>350000000</v>
      </c>
    </row>
    <row r="123" customFormat="false" ht="15" hidden="false" customHeight="false" outlineLevel="0" collapsed="false">
      <c r="D123" s="6" t="s">
        <v>227</v>
      </c>
      <c r="E123" s="30" t="n">
        <f aca="false">_xlfn.XLOOKUP("ProceedsFromSalesOfPropertyPlantAndEquipmentClassifiedAsInvestingActivities",HS_STANDALONE!$C:$C,HS_STANDALONE!D:D,0,0,1)</f>
        <v>13600000</v>
      </c>
      <c r="F123" s="30" t="n">
        <f aca="false">_xlfn.XLOOKUP("ProceedsFromSalesOfPropertyPlantAndEquipmentClassifiedAsInvestingActivities",HS_STANDALONE!$C:$C,HS_STANDALONE!E:E,0,0,1)</f>
        <v>612300000</v>
      </c>
      <c r="G123" s="30" t="n">
        <f aca="false">_xlfn.XLOOKUP("ProceedsFromSalesOfPropertyPlantAndEquipmentClassifiedAsInvestingActivities",HS_STANDALONE!$C:$C,HS_STANDALONE!F:F,0,0,1)</f>
        <v>338300000</v>
      </c>
      <c r="H123" s="30" t="n">
        <f aca="false">_xlfn.XLOOKUP("ProceedsFromSalesOfPropertyPlantAndEquipmentClassifiedAsInvestingActivities",HS_STANDALONE!$C:$C,HS_STANDALONE!G:G,0,0,1)</f>
        <v>3500000</v>
      </c>
      <c r="I123" s="30" t="n">
        <f aca="false">_xlfn.XLOOKUP("ProceedsFromSalesOfPropertyPlantAndEquipmentClassifiedAsInvestingActivities",HS_STANDALONE!$C:$C,HS_STANDALONE!H:H,0,0,1)</f>
        <v>17700000</v>
      </c>
      <c r="J123" s="30" t="n">
        <f aca="false">_xlfn.XLOOKUP("ProceedsFromSalesOfPropertyPlantAndEquipmentClassifiedAsInvestingActivities",HS_STANDALONE!$C:$C,HS_STANDALONE!I:I,0,0,1)</f>
        <v>6300000</v>
      </c>
      <c r="K123" s="30" t="n">
        <f aca="false">_xlfn.XLOOKUP("ProceedsFromSalesOfPropertyPlantAndEquipmentClassifiedAsInvestingActivities",HS_STANDALONE!$C:$C,HS_STANDALONE!J:J,0,0,1)</f>
        <v>855200000</v>
      </c>
      <c r="L123" s="30" t="n">
        <f aca="false">_xlfn.XLOOKUP("ProceedsFromSalesOfPropertyPlantAndEquipmentClassifiedAsInvestingActivities",HS_STANDALONE!$C:$C,HS_STANDALONE!K:K,0,0,1)</f>
        <v>9800000</v>
      </c>
      <c r="M123" s="30" t="n">
        <f aca="false">_xlfn.XLOOKUP("ProceedsFromSalesOfPropertyPlantAndEquipmentClassifiedAsInvestingActivities",HS_STANDALONE!$C:$C,HS_STANDALONE!L:L,0,0,1)</f>
        <v>4500000</v>
      </c>
    </row>
    <row r="124" customFormat="false" ht="15" hidden="false" customHeight="false" outlineLevel="0" collapsed="false">
      <c r="D124" s="6" t="s">
        <v>228</v>
      </c>
      <c r="E124" s="30" t="n">
        <f aca="false">-_xlfn.XLOOKUP("PurchaseOfPropertyPlantAndEquipmentClassifiedAsInvestingActivities",HS_STANDALONE!$C:$C,HS_STANDALONE!D:D,0,0,1)</f>
        <v>-3573600000</v>
      </c>
      <c r="F124" s="30" t="n">
        <f aca="false">-_xlfn.XLOOKUP("PurchaseOfPropertyPlantAndEquipmentClassifiedAsInvestingActivities",HS_STANDALONE!$C:$C,HS_STANDALONE!E:E,0,0,1)</f>
        <v>-2922000000</v>
      </c>
      <c r="G124" s="30" t="n">
        <f aca="false">-_xlfn.XLOOKUP("PurchaseOfPropertyPlantAndEquipmentClassifiedAsInvestingActivities",HS_STANDALONE!$C:$C,HS_STANDALONE!F:F,0,0,1)</f>
        <v>-2304700000</v>
      </c>
      <c r="H124" s="30" t="n">
        <f aca="false">-_xlfn.XLOOKUP("PurchaseOfPropertyPlantAndEquipmentClassifiedAsInvestingActivities",HS_STANDALONE!$C:$C,HS_STANDALONE!G:G,0,0,1)</f>
        <v>-975900000</v>
      </c>
      <c r="I124" s="30" t="n">
        <f aca="false">-_xlfn.XLOOKUP("PurchaseOfPropertyPlantAndEquipmentClassifiedAsInvestingActivities",HS_STANDALONE!$C:$C,HS_STANDALONE!H:H,0,0,1)</f>
        <v>-387300000</v>
      </c>
      <c r="J124" s="30" t="n">
        <f aca="false">-_xlfn.XLOOKUP("PurchaseOfPropertyPlantAndEquipmentClassifiedAsInvestingActivities",HS_STANDALONE!$C:$C,HS_STANDALONE!I:I,0,0,1)</f>
        <v>-521600000</v>
      </c>
      <c r="K124" s="30" t="n">
        <f aca="false">-_xlfn.XLOOKUP("PurchaseOfPropertyPlantAndEquipmentClassifiedAsInvestingActivities",HS_STANDALONE!$C:$C,HS_STANDALONE!J:J,0,0,1)</f>
        <v>-819800000</v>
      </c>
      <c r="L124" s="30" t="n">
        <f aca="false">-_xlfn.XLOOKUP("PurchaseOfPropertyPlantAndEquipmentClassifiedAsInvestingActivities",HS_STANDALONE!$C:$C,HS_STANDALONE!K:K,0,0,1)</f>
        <v>-1836500000</v>
      </c>
      <c r="M124" s="30" t="n">
        <f aca="false">-_xlfn.XLOOKUP("PurchaseOfPropertyPlantAndEquipmentClassifiedAsInvestingActivities",HS_STANDALONE!$C:$C,HS_STANDALONE!L:L,0,0,1)</f>
        <v>-3284600000</v>
      </c>
    </row>
    <row r="125" customFormat="false" ht="15" hidden="false" customHeight="false" outlineLevel="0" collapsed="false">
      <c r="D125" s="6" t="s">
        <v>250</v>
      </c>
      <c r="E125" s="30" t="n">
        <f aca="false">_xlfn.XLOOKUP("ProceedsFromSalesOfOtherLongTermAssetsClassifiedAsInvestingActivities",HS_STANDALONE!$C:$C,HS_STANDALONE!D:D,0,0,1)</f>
        <v>0</v>
      </c>
      <c r="F125" s="30" t="n">
        <f aca="false">_xlfn.XLOOKUP("ProceedsFromSalesOfOtherLongTermAssetsClassifiedAsInvestingActivities",HS_STANDALONE!$C:$C,HS_STANDALONE!E:E,0,0,1)</f>
        <v>0</v>
      </c>
      <c r="G125" s="30" t="n">
        <f aca="false">_xlfn.XLOOKUP("ProceedsFromSalesOfOtherLongTermAssetsClassifiedAsInvestingActivities",HS_STANDALONE!$C:$C,HS_STANDALONE!F:F,0,0,1)</f>
        <v>0</v>
      </c>
      <c r="H125" s="30" t="n">
        <f aca="false">_xlfn.XLOOKUP("ProceedsFromSalesOfOtherLongTermAssetsClassifiedAsInvestingActivities",HS_STANDALONE!$C:$C,HS_STANDALONE!G:G,0,0,1)</f>
        <v>0</v>
      </c>
      <c r="I125" s="30" t="n">
        <f aca="false">_xlfn.XLOOKUP("ProceedsFromSalesOfOtherLongTermAssetsClassifiedAsInvestingActivities",HS_STANDALONE!$C:$C,HS_STANDALONE!H:H,0,0,1)</f>
        <v>0</v>
      </c>
      <c r="J125" s="30" t="n">
        <f aca="false">_xlfn.XLOOKUP("ProceedsFromSalesOfOtherLongTermAssetsClassifiedAsInvestingActivities",HS_STANDALONE!$C:$C,HS_STANDALONE!I:I,0,0,1)</f>
        <v>0</v>
      </c>
      <c r="K125" s="30" t="n">
        <f aca="false">_xlfn.XLOOKUP("ProceedsFromSalesOfOtherLongTermAssetsClassifiedAsInvestingActivities",HS_STANDALONE!$C:$C,HS_STANDALONE!J:J,0,0,1)</f>
        <v>642300000</v>
      </c>
      <c r="L125" s="30" t="n">
        <f aca="false">_xlfn.XLOOKUP("ProceedsFromSalesOfOtherLongTermAssetsClassifiedAsInvestingActivities",HS_STANDALONE!$C:$C,HS_STANDALONE!K:K,0,0,1)</f>
        <v>445300000</v>
      </c>
      <c r="M125" s="30" t="n">
        <f aca="false">_xlfn.XLOOKUP("ProceedsFromSalesOfOtherLongTermAssetsClassifiedAsInvestingActivities",HS_STANDALONE!$C:$C,HS_STANDALONE!L:L,0,0,1)</f>
        <v>0</v>
      </c>
    </row>
    <row r="126" customFormat="false" ht="15" hidden="false" customHeight="false" outlineLevel="0" collapsed="false">
      <c r="D126" s="6" t="s">
        <v>251</v>
      </c>
      <c r="E126" s="30" t="n">
        <f aca="false">-_xlfn.XLOOKUP("CashAdvancesAndLoansMadeToOtherPartiesClassifiedAsInvestingActivities",HS_STANDALONE!$C:$C,HS_STANDALONE!D:D,0,0,1)</f>
        <v>-10592600000</v>
      </c>
      <c r="F126" s="30" t="n">
        <f aca="false">-_xlfn.XLOOKUP("CashAdvancesAndLoansMadeToOtherPartiesClassifiedAsInvestingActivities",HS_STANDALONE!$C:$C,HS_STANDALONE!E:E,0,0,1)</f>
        <v>-0</v>
      </c>
      <c r="G126" s="30" t="n">
        <f aca="false">-_xlfn.XLOOKUP("CashAdvancesAndLoansMadeToOtherPartiesClassifiedAsInvestingActivities",HS_STANDALONE!$C:$C,HS_STANDALONE!F:F,0,0,1)</f>
        <v>-0</v>
      </c>
      <c r="H126" s="30" t="n">
        <f aca="false">-_xlfn.XLOOKUP("CashAdvancesAndLoansMadeToOtherPartiesClassifiedAsInvestingActivities",HS_STANDALONE!$C:$C,HS_STANDALONE!G:G,0,0,1)</f>
        <v>-0</v>
      </c>
      <c r="I126" s="30" t="n">
        <f aca="false">-_xlfn.XLOOKUP("CashAdvancesAndLoansMadeToOtherPartiesClassifiedAsInvestingActivities",HS_STANDALONE!$C:$C,HS_STANDALONE!H:H,0,0,1)</f>
        <v>-0</v>
      </c>
      <c r="J126" s="30" t="n">
        <f aca="false">-_xlfn.XLOOKUP("CashAdvancesAndLoansMadeToOtherPartiesClassifiedAsInvestingActivities",HS_STANDALONE!$C:$C,HS_STANDALONE!I:I,0,0,1)</f>
        <v>-0</v>
      </c>
      <c r="K126" s="30" t="n">
        <f aca="false">-_xlfn.XLOOKUP("CashAdvancesAndLoansMadeToOtherPartiesClassifiedAsInvestingActivities",HS_STANDALONE!$C:$C,HS_STANDALONE!J:J,0,0,1)</f>
        <v>-0</v>
      </c>
      <c r="L126" s="30" t="n">
        <f aca="false">-_xlfn.XLOOKUP("CashAdvancesAndLoansMadeToOtherPartiesClassifiedAsInvestingActivities",HS_STANDALONE!$C:$C,HS_STANDALONE!K:K,0,0,1)</f>
        <v>-0</v>
      </c>
      <c r="M126" s="30" t="n">
        <f aca="false">-_xlfn.XLOOKUP("CashAdvancesAndLoansMadeToOtherPartiesClassifiedAsInvestingActivities",HS_STANDALONE!$C:$C,HS_STANDALONE!L:L,0,0,1)</f>
        <v>-575500000</v>
      </c>
    </row>
    <row r="127" customFormat="false" ht="15" hidden="false" customHeight="false" outlineLevel="0" collapsed="false">
      <c r="D127" s="6" t="s">
        <v>252</v>
      </c>
      <c r="E127" s="30" t="n">
        <f aca="false">_xlfn.XLOOKUP("CashReceiptsFromRepaymentOfAdvancesAndLoansMadeToOtherPartiesClassifiedAsInvestingActivities",HS_STANDALONE!$C:$C,HS_STANDALONE!D:D,0,0,1)</f>
        <v>0</v>
      </c>
      <c r="F127" s="30" t="n">
        <f aca="false">_xlfn.XLOOKUP("CashReceiptsFromRepaymentOfAdvancesAndLoansMadeToOtherPartiesClassifiedAsInvestingActivities",HS_STANDALONE!$C:$C,HS_STANDALONE!E:E,0,0,1)</f>
        <v>2378400000</v>
      </c>
      <c r="G127" s="30" t="n">
        <f aca="false">_xlfn.XLOOKUP("CashReceiptsFromRepaymentOfAdvancesAndLoansMadeToOtherPartiesClassifiedAsInvestingActivities",HS_STANDALONE!$C:$C,HS_STANDALONE!F:F,0,0,1)</f>
        <v>4002800000</v>
      </c>
      <c r="H127" s="30" t="n">
        <f aca="false">_xlfn.XLOOKUP("CashReceiptsFromRepaymentOfAdvancesAndLoansMadeToOtherPartiesClassifiedAsInvestingActivities",HS_STANDALONE!$C:$C,HS_STANDALONE!G:G,0,0,1)</f>
        <v>-35152900000</v>
      </c>
      <c r="I127" s="30" t="n">
        <f aca="false">_xlfn.XLOOKUP("CashReceiptsFromRepaymentOfAdvancesAndLoansMadeToOtherPartiesClassifiedAsInvestingActivities",HS_STANDALONE!$C:$C,HS_STANDALONE!H:H,0,0,1)</f>
        <v>4880600000</v>
      </c>
      <c r="J127" s="30" t="n">
        <f aca="false">_xlfn.XLOOKUP("CashReceiptsFromRepaymentOfAdvancesAndLoansMadeToOtherPartiesClassifiedAsInvestingActivities",HS_STANDALONE!$C:$C,HS_STANDALONE!I:I,0,0,1)</f>
        <v>11709500000</v>
      </c>
      <c r="K127" s="30" t="n">
        <f aca="false">_xlfn.XLOOKUP("CashReceiptsFromRepaymentOfAdvancesAndLoansMadeToOtherPartiesClassifiedAsInvestingActivities",HS_STANDALONE!$C:$C,HS_STANDALONE!J:J,0,0,1)</f>
        <v>2848400000</v>
      </c>
      <c r="L127" s="30" t="n">
        <f aca="false">_xlfn.XLOOKUP("CashReceiptsFromRepaymentOfAdvancesAndLoansMadeToOtherPartiesClassifiedAsInvestingActivities",HS_STANDALONE!$C:$C,HS_STANDALONE!K:K,0,0,1)</f>
        <v>4403200000</v>
      </c>
      <c r="M127" s="30" t="n">
        <f aca="false">_xlfn.XLOOKUP("CashReceiptsFromRepaymentOfAdvancesAndLoansMadeToOtherPartiesClassifiedAsInvestingActivities",HS_STANDALONE!$C:$C,HS_STANDALONE!L:L,0,0,1)</f>
        <v>2919000000</v>
      </c>
    </row>
    <row r="128" customFormat="false" ht="15" hidden="false" customHeight="false" outlineLevel="0" collapsed="false">
      <c r="D128" s="6" t="s">
        <v>231</v>
      </c>
      <c r="E128" s="30" t="n">
        <f aca="false">_xlfn.XLOOKUP("InterestReceivedClassifiedAsInvestingActivities",HS_STANDALONE!$C:$C,HS_STANDALONE!D:D,0,0,1)</f>
        <v>4650500000</v>
      </c>
      <c r="F128" s="30" t="n">
        <f aca="false">_xlfn.XLOOKUP("InterestReceivedClassifiedAsInvestingActivities",HS_STANDALONE!$C:$C,HS_STANDALONE!E:E,0,0,1)</f>
        <v>195500000</v>
      </c>
      <c r="G128" s="30" t="n">
        <f aca="false">_xlfn.XLOOKUP("InterestReceivedClassifiedAsInvestingActivities",HS_STANDALONE!$C:$C,HS_STANDALONE!F:F,0,0,1)</f>
        <v>0</v>
      </c>
      <c r="H128" s="30" t="n">
        <f aca="false">_xlfn.XLOOKUP("InterestReceivedClassifiedAsInvestingActivities",HS_STANDALONE!$C:$C,HS_STANDALONE!G:G,0,0,1)</f>
        <v>0</v>
      </c>
      <c r="I128" s="30" t="n">
        <f aca="false">_xlfn.XLOOKUP("InterestReceivedClassifiedAsInvestingActivities",HS_STANDALONE!$C:$C,HS_STANDALONE!H:H,0,0,1)</f>
        <v>0</v>
      </c>
      <c r="J128" s="30" t="n">
        <f aca="false">_xlfn.XLOOKUP("InterestReceivedClassifiedAsInvestingActivities",HS_STANDALONE!$C:$C,HS_STANDALONE!I:I,0,0,1)</f>
        <v>0</v>
      </c>
      <c r="K128" s="30" t="n">
        <f aca="false">_xlfn.XLOOKUP("InterestReceivedClassifiedAsInvestingActivities",HS_STANDALONE!$C:$C,HS_STANDALONE!J:J,0,0,1)</f>
        <v>0</v>
      </c>
      <c r="L128" s="30" t="n">
        <f aca="false">_xlfn.XLOOKUP("InterestReceivedClassifiedAsInvestingActivities",HS_STANDALONE!$C:$C,HS_STANDALONE!K:K,0,0,1)</f>
        <v>0</v>
      </c>
      <c r="M128" s="30" t="n">
        <f aca="false">_xlfn.XLOOKUP("InterestReceivedClassifiedAsInvestingActivities",HS_STANDALONE!$C:$C,HS_STANDALONE!L:L,0,0,1)</f>
        <v>647900000</v>
      </c>
    </row>
    <row r="129" customFormat="false" ht="15" hidden="false" customHeight="false" outlineLevel="0" collapsed="false">
      <c r="D129" s="6" t="s">
        <v>232</v>
      </c>
      <c r="E129" s="30" t="n">
        <f aca="false">_xlfn.XLOOKUP("OtherInflowsOutflowsOfCashClassifiedAsInvestingActivities",HS_STANDALONE!$C:$C,HS_STANDALONE!D:D,0,0,1)</f>
        <v>-1897000000</v>
      </c>
      <c r="F129" s="30" t="n">
        <f aca="false">_xlfn.XLOOKUP("OtherInflowsOutflowsOfCashClassifiedAsInvestingActivities",HS_STANDALONE!$C:$C,HS_STANDALONE!E:E,0,0,1)</f>
        <v>5104200000</v>
      </c>
      <c r="G129" s="30" t="n">
        <f aca="false">_xlfn.XLOOKUP("OtherInflowsOutflowsOfCashClassifiedAsInvestingActivities",HS_STANDALONE!$C:$C,HS_STANDALONE!F:F,0,0,1)</f>
        <v>850500000</v>
      </c>
      <c r="H129" s="30" t="n">
        <f aca="false">_xlfn.XLOOKUP("OtherInflowsOutflowsOfCashClassifiedAsInvestingActivities",HS_STANDALONE!$C:$C,HS_STANDALONE!G:G,0,0,1)</f>
        <v>793300000</v>
      </c>
      <c r="I129" s="30" t="n">
        <f aca="false">_xlfn.XLOOKUP("OtherInflowsOutflowsOfCashClassifiedAsInvestingActivities",HS_STANDALONE!$C:$C,HS_STANDALONE!H:H,0,0,1)</f>
        <v>664800000</v>
      </c>
      <c r="J129" s="30" t="n">
        <f aca="false">_xlfn.XLOOKUP("OtherInflowsOutflowsOfCashClassifiedAsInvestingActivities",HS_STANDALONE!$C:$C,HS_STANDALONE!I:I,0,0,1)</f>
        <v>602900000</v>
      </c>
      <c r="K129" s="30" t="n">
        <f aca="false">_xlfn.XLOOKUP("OtherInflowsOutflowsOfCashClassifiedAsInvestingActivities",HS_STANDALONE!$C:$C,HS_STANDALONE!J:J,0,0,1)</f>
        <v>550600000</v>
      </c>
      <c r="L129" s="30" t="n">
        <f aca="false">_xlfn.XLOOKUP("OtherInflowsOutflowsOfCashClassifiedAsInvestingActivities",HS_STANDALONE!$C:$C,HS_STANDALONE!K:K,0,0,1)</f>
        <v>743800000</v>
      </c>
      <c r="M129" s="30" t="n">
        <f aca="false">_xlfn.XLOOKUP("OtherInflowsOutflowsOfCashClassifiedAsInvestingActivities",HS_STANDALONE!$C:$C,HS_STANDALONE!L:L,0,0,1)</f>
        <v>233500000</v>
      </c>
    </row>
    <row r="130" customFormat="false" ht="15" hidden="false" customHeight="false" outlineLevel="0" collapsed="false">
      <c r="A130" s="31"/>
      <c r="B130" s="31"/>
      <c r="C130" s="31"/>
      <c r="D130" s="32" t="s">
        <v>233</v>
      </c>
      <c r="E130" s="33" t="n">
        <f aca="false">IFERROR(SUM(E120:E129),0)</f>
        <v>-18513900000</v>
      </c>
      <c r="F130" s="33" t="n">
        <f aca="false">IFERROR(SUM(F120:F129),0)</f>
        <v>319400000</v>
      </c>
      <c r="G130" s="33" t="n">
        <f aca="false">IFERROR(SUM(G120:G129),0)</f>
        <v>5338900000</v>
      </c>
      <c r="H130" s="33" t="n">
        <f aca="false">IFERROR(SUM(H120:H129),0)</f>
        <v>-35028200000</v>
      </c>
      <c r="I130" s="33" t="n">
        <f aca="false">IFERROR(SUM(I120:I129),0)</f>
        <v>5175800000</v>
      </c>
      <c r="J130" s="33" t="n">
        <f aca="false">IFERROR(SUM(J120:J129),0)</f>
        <v>11797100000</v>
      </c>
      <c r="K130" s="33" t="n">
        <f aca="false">IFERROR(SUM(K120:K129),0)</f>
        <v>4076700000</v>
      </c>
      <c r="L130" s="33" t="n">
        <f aca="false">IFERROR(SUM(L120:L129),0)</f>
        <v>3765600000</v>
      </c>
      <c r="M130" s="33" t="n">
        <f aca="false">IFERROR(SUM(M120:M129),0)</f>
        <v>-6119000000</v>
      </c>
    </row>
    <row r="131" customFormat="false" ht="15" hidden="false" customHeight="false" outlineLevel="0" collapsed="false">
      <c r="A131" s="28"/>
      <c r="B131" s="28"/>
      <c r="C131" s="29" t="s">
        <v>234</v>
      </c>
      <c r="D131" s="28"/>
      <c r="E131" s="28"/>
      <c r="F131" s="28"/>
      <c r="G131" s="28"/>
      <c r="H131" s="28"/>
      <c r="I131" s="28"/>
      <c r="J131" s="28"/>
      <c r="K131" s="28"/>
      <c r="L131" s="28"/>
      <c r="M131" s="28"/>
    </row>
    <row r="132" customFormat="false" ht="15" hidden="false" customHeight="false" outlineLevel="0" collapsed="false">
      <c r="D132" s="6" t="s">
        <v>235</v>
      </c>
      <c r="E132" s="30" t="n">
        <f aca="false">_xlfn.XLOOKUP("ProceedsFromIssuingSharesClassifiedAsFinancingActivities",HS_STANDALONE!$C:$C,HS_STANDALONE!D:D,0,0,1)</f>
        <v>0</v>
      </c>
      <c r="F132" s="30" t="n">
        <f aca="false">_xlfn.XLOOKUP("ProceedsFromIssuingSharesClassifiedAsFinancingActivities",HS_STANDALONE!$C:$C,HS_STANDALONE!E:E,0,0,1)</f>
        <v>0</v>
      </c>
      <c r="G132" s="30" t="n">
        <f aca="false">_xlfn.XLOOKUP("ProceedsFromIssuingSharesClassifiedAsFinancingActivities",HS_STANDALONE!$C:$C,HS_STANDALONE!F:F,0,0,1)</f>
        <v>0</v>
      </c>
      <c r="H132" s="30" t="n">
        <f aca="false">_xlfn.XLOOKUP("ProceedsFromIssuingSharesClassifiedAsFinancingActivities",HS_STANDALONE!$C:$C,HS_STANDALONE!G:G,0,0,1)</f>
        <v>0</v>
      </c>
      <c r="I132" s="30" t="n">
        <f aca="false">_xlfn.XLOOKUP("ProceedsFromIssuingSharesClassifiedAsFinancingActivities",HS_STANDALONE!$C:$C,HS_STANDALONE!H:H,0,0,1)</f>
        <v>3421600000</v>
      </c>
      <c r="J132" s="30" t="n">
        <f aca="false">_xlfn.XLOOKUP("ProceedsFromIssuingSharesClassifiedAsFinancingActivities",HS_STANDALONE!$C:$C,HS_STANDALONE!I:I,0,0,1)</f>
        <v>0</v>
      </c>
      <c r="K132" s="30" t="n">
        <f aca="false">_xlfn.XLOOKUP("ProceedsFromIssuingSharesClassifiedAsFinancingActivities",HS_STANDALONE!$C:$C,HS_STANDALONE!J:J,0,0,1)</f>
        <v>10796700000</v>
      </c>
      <c r="L132" s="30" t="n">
        <f aca="false">_xlfn.XLOOKUP("ProceedsFromIssuingSharesClassifiedAsFinancingActivities",HS_STANDALONE!$C:$C,HS_STANDALONE!K:K,0,0,1)</f>
        <v>20652100000</v>
      </c>
      <c r="M132" s="30" t="n">
        <f aca="false">_xlfn.XLOOKUP("ProceedsFromIssuingSharesClassifiedAsFinancingActivities",HS_STANDALONE!$C:$C,HS_STANDALONE!L:L,0,0,1)</f>
        <v>221600000</v>
      </c>
    </row>
    <row r="133" customFormat="false" ht="15" hidden="false" customHeight="false" outlineLevel="0" collapsed="false">
      <c r="D133" s="6" t="s">
        <v>236</v>
      </c>
      <c r="E133" s="30" t="n">
        <f aca="false">_xlfn.XLOOKUP("ProceedsFromIssuingOtherEquityInstruments",HS_STANDALONE!$C:$C,HS_STANDALONE!D:D,0,0,1)</f>
        <v>0</v>
      </c>
      <c r="F133" s="30" t="n">
        <f aca="false">_xlfn.XLOOKUP("ProceedsFromIssuingOtherEquityInstruments",HS_STANDALONE!$C:$C,HS_STANDALONE!E:E,0,0,1)</f>
        <v>0</v>
      </c>
      <c r="G133" s="30" t="n">
        <f aca="false">_xlfn.XLOOKUP("ProceedsFromIssuingOtherEquityInstruments",HS_STANDALONE!$C:$C,HS_STANDALONE!F:F,0,0,1)</f>
        <v>0</v>
      </c>
      <c r="H133" s="30" t="n">
        <f aca="false">_xlfn.XLOOKUP("ProceedsFromIssuingOtherEquityInstruments",HS_STANDALONE!$C:$C,HS_STANDALONE!G:G,0,0,1)</f>
        <v>0</v>
      </c>
      <c r="I133" s="30" t="n">
        <f aca="false">_xlfn.XLOOKUP("ProceedsFromIssuingOtherEquityInstruments",HS_STANDALONE!$C:$C,HS_STANDALONE!H:H,0,0,1)</f>
        <v>499800000</v>
      </c>
      <c r="J133" s="30" t="n">
        <f aca="false">_xlfn.XLOOKUP("ProceedsFromIssuingOtherEquityInstruments",HS_STANDALONE!$C:$C,HS_STANDALONE!I:I,0,0,1)</f>
        <v>0</v>
      </c>
      <c r="K133" s="30" t="n">
        <f aca="false">_xlfn.XLOOKUP("ProceedsFromIssuingOtherEquityInstruments",HS_STANDALONE!$C:$C,HS_STANDALONE!J:J,0,0,1)</f>
        <v>0</v>
      </c>
      <c r="L133" s="30" t="n">
        <f aca="false">_xlfn.XLOOKUP("ProceedsFromIssuingOtherEquityInstruments",HS_STANDALONE!$C:$C,HS_STANDALONE!K:K,0,0,1)</f>
        <v>0</v>
      </c>
      <c r="M133" s="30" t="n">
        <f aca="false">_xlfn.XLOOKUP("ProceedsFromIssuingOtherEquityInstruments",HS_STANDALONE!$C:$C,HS_STANDALONE!L:L,0,0,1)</f>
        <v>0</v>
      </c>
    </row>
    <row r="134" customFormat="false" ht="15" hidden="false" customHeight="false" outlineLevel="0" collapsed="false">
      <c r="D134" s="6" t="s">
        <v>253</v>
      </c>
      <c r="E134" s="30" t="n">
        <f aca="false">_xlfn.XLOOKUP("ProceedsFromExerciseOfStockOptions",HS_STANDALONE!$C:$C,HS_STANDALONE!D:D,0,0,1)</f>
        <v>0</v>
      </c>
      <c r="F134" s="30" t="n">
        <f aca="false">_xlfn.XLOOKUP("ProceedsFromExerciseOfStockOptions",HS_STANDALONE!$C:$C,HS_STANDALONE!E:E,0,0,1)</f>
        <v>0</v>
      </c>
      <c r="G134" s="30" t="n">
        <f aca="false">_xlfn.XLOOKUP("ProceedsFromExerciseOfStockOptions",HS_STANDALONE!$C:$C,HS_STANDALONE!F:F,0,0,1)</f>
        <v>0</v>
      </c>
      <c r="H134" s="30" t="n">
        <f aca="false">_xlfn.XLOOKUP("ProceedsFromExerciseOfStockOptions",HS_STANDALONE!$C:$C,HS_STANDALONE!G:G,0,0,1)</f>
        <v>0</v>
      </c>
      <c r="I134" s="30" t="n">
        <f aca="false">_xlfn.XLOOKUP("ProceedsFromExerciseOfStockOptions",HS_STANDALONE!$C:$C,HS_STANDALONE!H:H,0,0,1)</f>
        <v>0</v>
      </c>
      <c r="J134" s="30" t="n">
        <f aca="false">_xlfn.XLOOKUP("ProceedsFromExerciseOfStockOptions",HS_STANDALONE!$C:$C,HS_STANDALONE!I:I,0,0,1)</f>
        <v>0</v>
      </c>
      <c r="K134" s="30" t="n">
        <f aca="false">_xlfn.XLOOKUP("ProceedsFromExerciseOfStockOptions",HS_STANDALONE!$C:$C,HS_STANDALONE!J:J,0,0,1)</f>
        <v>0</v>
      </c>
      <c r="L134" s="30" t="n">
        <f aca="false">_xlfn.XLOOKUP("ProceedsFromExerciseOfStockOptions",HS_STANDALONE!$C:$C,HS_STANDALONE!K:K,0,0,1)</f>
        <v>0</v>
      </c>
      <c r="M134" s="30" t="n">
        <f aca="false">_xlfn.XLOOKUP("ProceedsFromExerciseOfStockOptions",HS_STANDALONE!$C:$C,HS_STANDALONE!L:L,0,0,1)</f>
        <v>37600000</v>
      </c>
    </row>
    <row r="135" customFormat="false" ht="15" hidden="false" customHeight="false" outlineLevel="0" collapsed="false">
      <c r="D135" s="6" t="s">
        <v>238</v>
      </c>
      <c r="E135" s="30" t="n">
        <f aca="false">_xlfn.XLOOKUP("ProceedsFromBorrowingsClassifiedAsFinancingActivities",HS_STANDALONE!$C:$C,HS_STANDALONE!D:D,0,0,1)</f>
        <v>1994200000</v>
      </c>
      <c r="F135" s="30" t="n">
        <f aca="false">_xlfn.XLOOKUP("ProceedsFromBorrowingsClassifiedAsFinancingActivities",HS_STANDALONE!$C:$C,HS_STANDALONE!E:E,0,0,1)</f>
        <v>17910400000</v>
      </c>
      <c r="G135" s="30" t="n">
        <f aca="false">_xlfn.XLOOKUP("ProceedsFromBorrowingsClassifiedAsFinancingActivities",HS_STANDALONE!$C:$C,HS_STANDALONE!F:F,0,0,1)</f>
        <v>-5087600000</v>
      </c>
      <c r="H135" s="30" t="n">
        <f aca="false">_xlfn.XLOOKUP("ProceedsFromBorrowingsClassifiedAsFinancingActivities",HS_STANDALONE!$C:$C,HS_STANDALONE!G:G,0,0,1)</f>
        <v>51258700000</v>
      </c>
      <c r="I135" s="30" t="n">
        <f aca="false">_xlfn.XLOOKUP("ProceedsFromBorrowingsClassifiedAsFinancingActivities",HS_STANDALONE!$C:$C,HS_STANDALONE!H:H,0,0,1)</f>
        <v>0</v>
      </c>
      <c r="J135" s="30" t="n">
        <f aca="false">_xlfn.XLOOKUP("ProceedsFromBorrowingsClassifiedAsFinancingActivities",HS_STANDALONE!$C:$C,HS_STANDALONE!I:I,0,0,1)</f>
        <v>0</v>
      </c>
      <c r="K135" s="30" t="n">
        <f aca="false">_xlfn.XLOOKUP("ProceedsFromBorrowingsClassifiedAsFinancingActivities",HS_STANDALONE!$C:$C,HS_STANDALONE!J:J,0,0,1)</f>
        <v>29609600000</v>
      </c>
      <c r="L135" s="30" t="n">
        <f aca="false">_xlfn.XLOOKUP("ProceedsFromBorrowingsClassifiedAsFinancingActivities",HS_STANDALONE!$C:$C,HS_STANDALONE!K:K,0,0,1)</f>
        <v>0</v>
      </c>
      <c r="M135" s="30" t="n">
        <f aca="false">_xlfn.XLOOKUP("ProceedsFromBorrowingsClassifiedAsFinancingActivities",HS_STANDALONE!$C:$C,HS_STANDALONE!L:L,0,0,1)</f>
        <v>4112100000</v>
      </c>
    </row>
    <row r="136" customFormat="false" ht="15" hidden="false" customHeight="false" outlineLevel="0" collapsed="false">
      <c r="D136" s="6" t="s">
        <v>239</v>
      </c>
      <c r="E136" s="30" t="n">
        <f aca="false">-_xlfn.XLOOKUP("RepaymentsOfBorrowingsClassifiedAsFinancingActivities",HS_STANDALONE!$C:$C,HS_STANDALONE!D:D,0,0,1)</f>
        <v>-4375600000</v>
      </c>
      <c r="F136" s="30" t="n">
        <f aca="false">-_xlfn.XLOOKUP("RepaymentsOfBorrowingsClassifiedAsFinancingActivities",HS_STANDALONE!$C:$C,HS_STANDALONE!E:E,0,0,1)</f>
        <v>-568300000</v>
      </c>
      <c r="G136" s="30" t="n">
        <f aca="false">-_xlfn.XLOOKUP("RepaymentsOfBorrowingsClassifiedAsFinancingActivities",HS_STANDALONE!$C:$C,HS_STANDALONE!F:F,0,0,1)</f>
        <v>-1689800000</v>
      </c>
      <c r="H136" s="30" t="n">
        <f aca="false">-_xlfn.XLOOKUP("RepaymentsOfBorrowingsClassifiedAsFinancingActivities",HS_STANDALONE!$C:$C,HS_STANDALONE!G:G,0,0,1)</f>
        <v>-262200000</v>
      </c>
      <c r="I136" s="30" t="n">
        <f aca="false">-_xlfn.XLOOKUP("RepaymentsOfBorrowingsClassifiedAsFinancingActivities",HS_STANDALONE!$C:$C,HS_STANDALONE!H:H,0,0,1)</f>
        <v>-2222500000</v>
      </c>
      <c r="J136" s="30" t="n">
        <f aca="false">-_xlfn.XLOOKUP("RepaymentsOfBorrowingsClassifiedAsFinancingActivities",HS_STANDALONE!$C:$C,HS_STANDALONE!I:I,0,0,1)</f>
        <v>-5764000000</v>
      </c>
      <c r="K136" s="30" t="n">
        <f aca="false">-_xlfn.XLOOKUP("RepaymentsOfBorrowingsClassifiedAsFinancingActivities",HS_STANDALONE!$C:$C,HS_STANDALONE!J:J,0,0,1)</f>
        <v>-41353300000</v>
      </c>
      <c r="L136" s="30" t="n">
        <f aca="false">-_xlfn.XLOOKUP("RepaymentsOfBorrowingsClassifiedAsFinancingActivities",HS_STANDALONE!$C:$C,HS_STANDALONE!K:K,0,0,1)</f>
        <v>-17773800000</v>
      </c>
      <c r="M136" s="30" t="n">
        <f aca="false">-_xlfn.XLOOKUP("RepaymentsOfBorrowingsClassifiedAsFinancingActivities",HS_STANDALONE!$C:$C,HS_STANDALONE!L:L,0,0,1)</f>
        <v>-0</v>
      </c>
    </row>
    <row r="137" customFormat="false" ht="15" hidden="false" customHeight="false" outlineLevel="0" collapsed="false">
      <c r="D137" s="6" t="s">
        <v>240</v>
      </c>
      <c r="E137" s="30" t="n">
        <f aca="false">-_xlfn.XLOOKUP("PaymentsOfLeaseLiabilitiesClassifiedAsFinancingActivities",HS_STANDALONE!$C:$C,HS_STANDALONE!D:D,0,0,1)</f>
        <v>-0</v>
      </c>
      <c r="F137" s="30" t="n">
        <f aca="false">-_xlfn.XLOOKUP("PaymentsOfLeaseLiabilitiesClassifiedAsFinancingActivities",HS_STANDALONE!$C:$C,HS_STANDALONE!E:E,0,0,1)</f>
        <v>-0</v>
      </c>
      <c r="G137" s="30" t="n">
        <f aca="false">-_xlfn.XLOOKUP("PaymentsOfLeaseLiabilitiesClassifiedAsFinancingActivities",HS_STANDALONE!$C:$C,HS_STANDALONE!F:F,0,0,1)</f>
        <v>-0</v>
      </c>
      <c r="H137" s="30" t="n">
        <f aca="false">-_xlfn.XLOOKUP("PaymentsOfLeaseLiabilitiesClassifiedAsFinancingActivities",HS_STANDALONE!$C:$C,HS_STANDALONE!G:G,0,0,1)</f>
        <v>-0</v>
      </c>
      <c r="I137" s="30" t="n">
        <f aca="false">-_xlfn.XLOOKUP("PaymentsOfLeaseLiabilitiesClassifiedAsFinancingActivities",HS_STANDALONE!$C:$C,HS_STANDALONE!H:H,0,0,1)</f>
        <v>-0</v>
      </c>
      <c r="J137" s="30" t="n">
        <f aca="false">-_xlfn.XLOOKUP("PaymentsOfLeaseLiabilitiesClassifiedAsFinancingActivities",HS_STANDALONE!$C:$C,HS_STANDALONE!I:I,0,0,1)</f>
        <v>-0</v>
      </c>
      <c r="K137" s="30" t="n">
        <f aca="false">-_xlfn.XLOOKUP("PaymentsOfLeaseLiabilitiesClassifiedAsFinancingActivities",HS_STANDALONE!$C:$C,HS_STANDALONE!J:J,0,0,1)</f>
        <v>-0</v>
      </c>
      <c r="L137" s="30" t="n">
        <f aca="false">-_xlfn.XLOOKUP("PaymentsOfLeaseLiabilitiesClassifiedAsFinancingActivities",HS_STANDALONE!$C:$C,HS_STANDALONE!K:K,0,0,1)</f>
        <v>-128100000</v>
      </c>
      <c r="M137" s="30" t="n">
        <f aca="false">-_xlfn.XLOOKUP("PaymentsOfLeaseLiabilitiesClassifiedAsFinancingActivities",HS_STANDALONE!$C:$C,HS_STANDALONE!L:L,0,0,1)</f>
        <v>-258000000</v>
      </c>
    </row>
    <row r="138" customFormat="false" ht="15" hidden="false" customHeight="false" outlineLevel="0" collapsed="false">
      <c r="D138" s="6" t="s">
        <v>241</v>
      </c>
      <c r="E138" s="30" t="n">
        <f aca="false">-_xlfn.XLOOKUP("InterestPaidClassifiedAsFinancingActivities",HS_STANDALONE!$C:$C,HS_STANDALONE!D:D,0,0,1)</f>
        <v>-6595700000</v>
      </c>
      <c r="F138" s="30" t="n">
        <f aca="false">-_xlfn.XLOOKUP("InterestPaidClassifiedAsFinancingActivities",HS_STANDALONE!$C:$C,HS_STANDALONE!E:E,0,0,1)</f>
        <v>-6766600000</v>
      </c>
      <c r="G138" s="30" t="n">
        <f aca="false">-_xlfn.XLOOKUP("InterestPaidClassifiedAsFinancingActivities",HS_STANDALONE!$C:$C,HS_STANDALONE!F:F,0,0,1)</f>
        <v>-7365100000</v>
      </c>
      <c r="H138" s="30" t="n">
        <f aca="false">-_xlfn.XLOOKUP("InterestPaidClassifiedAsFinancingActivities",HS_STANDALONE!$C:$C,HS_STANDALONE!G:G,0,0,1)</f>
        <v>-3197000000</v>
      </c>
      <c r="I138" s="30" t="n">
        <f aca="false">-_xlfn.XLOOKUP("InterestPaidClassifiedAsFinancingActivities",HS_STANDALONE!$C:$C,HS_STANDALONE!H:H,0,0,1)</f>
        <v>-3687300000</v>
      </c>
      <c r="J138" s="30" t="n">
        <f aca="false">-_xlfn.XLOOKUP("InterestPaidClassifiedAsFinancingActivities",HS_STANDALONE!$C:$C,HS_STANDALONE!I:I,0,0,1)</f>
        <v>-3124800000</v>
      </c>
      <c r="K138" s="30" t="n">
        <f aca="false">-_xlfn.XLOOKUP("InterestPaidClassifiedAsFinancingActivities",HS_STANDALONE!$C:$C,HS_STANDALONE!J:J,0,0,1)</f>
        <v>-4012100000</v>
      </c>
      <c r="L138" s="30" t="n">
        <f aca="false">-_xlfn.XLOOKUP("InterestPaidClassifiedAsFinancingActivities",HS_STANDALONE!$C:$C,HS_STANDALONE!K:K,0,0,1)</f>
        <v>-899500000</v>
      </c>
      <c r="M138" s="30" t="n">
        <f aca="false">-_xlfn.XLOOKUP("InterestPaidClassifiedAsFinancingActivities",HS_STANDALONE!$C:$C,HS_STANDALONE!L:L,0,0,1)</f>
        <v>-503500000</v>
      </c>
    </row>
    <row r="139" customFormat="false" ht="15" hidden="false" customHeight="false" outlineLevel="0" collapsed="false">
      <c r="D139" s="6" t="s">
        <v>232</v>
      </c>
      <c r="E139" s="30" t="n">
        <f aca="false">_xlfn.XLOOKUP("OtherInflowsOutflowsOfCashClassifiedAsFinancingActivities",HS_STANDALONE!$C:$C,HS_STANDALONE!D:D,0,0,1)</f>
        <v>0</v>
      </c>
      <c r="F139" s="30" t="n">
        <f aca="false">_xlfn.XLOOKUP("OtherInflowsOutflowsOfCashClassifiedAsFinancingActivities",HS_STANDALONE!$C:$C,HS_STANDALONE!E:E,0,0,1)</f>
        <v>0</v>
      </c>
      <c r="G139" s="30" t="n">
        <f aca="false">_xlfn.XLOOKUP("OtherInflowsOutflowsOfCashClassifiedAsFinancingActivities",HS_STANDALONE!$C:$C,HS_STANDALONE!F:F,0,0,1)</f>
        <v>0</v>
      </c>
      <c r="H139" s="30" t="n">
        <f aca="false">_xlfn.XLOOKUP("OtherInflowsOutflowsOfCashClassifiedAsFinancingActivities",HS_STANDALONE!$C:$C,HS_STANDALONE!G:G,0,0,1)</f>
        <v>0</v>
      </c>
      <c r="I139" s="30" t="n">
        <f aca="false">_xlfn.XLOOKUP("OtherInflowsOutflowsOfCashClassifiedAsFinancingActivities",HS_STANDALONE!$C:$C,HS_STANDALONE!H:H,0,0,1)</f>
        <v>0</v>
      </c>
      <c r="J139" s="30" t="n">
        <f aca="false">_xlfn.XLOOKUP("OtherInflowsOutflowsOfCashClassifiedAsFinancingActivities",HS_STANDALONE!$C:$C,HS_STANDALONE!I:I,0,0,1)</f>
        <v>0</v>
      </c>
      <c r="K139" s="30" t="n">
        <f aca="false">_xlfn.XLOOKUP("OtherInflowsOutflowsOfCashClassifiedAsFinancingActivities",HS_STANDALONE!$C:$C,HS_STANDALONE!J:J,0,0,1)</f>
        <v>0</v>
      </c>
      <c r="L139" s="30" t="n">
        <f aca="false">_xlfn.XLOOKUP("OtherInflowsOutflowsOfCashClassifiedAsFinancingActivities",HS_STANDALONE!$C:$C,HS_STANDALONE!K:K,0,0,1)</f>
        <v>70600000</v>
      </c>
      <c r="M139" s="30" t="n">
        <f aca="false">_xlfn.XLOOKUP("OtherInflowsOutflowsOfCashClassifiedAsFinancingActivities",HS_STANDALONE!$C:$C,HS_STANDALONE!L:L,0,0,1)</f>
        <v>-299500000</v>
      </c>
    </row>
    <row r="140" customFormat="false" ht="15" hidden="false" customHeight="false" outlineLevel="0" collapsed="false">
      <c r="A140" s="31"/>
      <c r="B140" s="31"/>
      <c r="C140" s="31"/>
      <c r="D140" s="32" t="s">
        <v>242</v>
      </c>
      <c r="E140" s="33" t="n">
        <f aca="false">IFERROR(SUM(E132:E139),0)</f>
        <v>-8977100000</v>
      </c>
      <c r="F140" s="33" t="n">
        <f aca="false">IFERROR(SUM(F132:F139),0)</f>
        <v>10575500000</v>
      </c>
      <c r="G140" s="33" t="n">
        <f aca="false">IFERROR(SUM(G132:G139),0)</f>
        <v>-14142500000</v>
      </c>
      <c r="H140" s="33" t="n">
        <f aca="false">IFERROR(SUM(H132:H139),0)</f>
        <v>47799500000</v>
      </c>
      <c r="I140" s="33" t="n">
        <f aca="false">IFERROR(SUM(I132:I139),0)</f>
        <v>-1988400000</v>
      </c>
      <c r="J140" s="33" t="n">
        <f aca="false">IFERROR(SUM(J132:J139),0)</f>
        <v>-8888800000</v>
      </c>
      <c r="K140" s="33" t="n">
        <f aca="false">IFERROR(SUM(K132:K139),0)</f>
        <v>-4959100000</v>
      </c>
      <c r="L140" s="33" t="n">
        <f aca="false">IFERROR(SUM(L132:L139),0)</f>
        <v>1921300000</v>
      </c>
      <c r="M140" s="33" t="n">
        <f aca="false">IFERROR(SUM(M132:M139),0)</f>
        <v>3310300000</v>
      </c>
    </row>
    <row r="141" customFormat="false" ht="15" hidden="false" customHeight="false" outlineLevel="0" collapsed="false">
      <c r="A141" s="31"/>
      <c r="B141" s="31"/>
      <c r="C141" s="31"/>
      <c r="D141" s="32" t="s">
        <v>243</v>
      </c>
      <c r="E141" s="33" t="n">
        <f aca="false">IFERROR(E118+E130+E140,0)</f>
        <v>591700000</v>
      </c>
      <c r="F141" s="33" t="n">
        <f aca="false">IFERROR(F118+F130+F140,0)</f>
        <v>2933200000</v>
      </c>
      <c r="G141" s="33" t="n">
        <f aca="false">IFERROR(G118+G130+G140,0)</f>
        <v>-4305000000</v>
      </c>
      <c r="H141" s="33" t="n">
        <f aca="false">IFERROR(H118+H130+H140,0)</f>
        <v>200800000</v>
      </c>
      <c r="I141" s="33" t="n">
        <f aca="false">IFERROR(I118+I130+I140,0)</f>
        <v>1573700000</v>
      </c>
      <c r="J141" s="33" t="n">
        <f aca="false">IFERROR(J118+J130+J140,0)</f>
        <v>2163700000</v>
      </c>
      <c r="K141" s="33" t="n">
        <f aca="false">IFERROR(K118+K130+K140,0)</f>
        <v>-1193900000</v>
      </c>
      <c r="L141" s="33" t="n">
        <f aca="false">IFERROR(L118+L130+L140,0)</f>
        <v>-275000000</v>
      </c>
      <c r="M141" s="33" t="n">
        <f aca="false">IFERROR(M118+M130+M140,0)</f>
        <v>6346400000</v>
      </c>
    </row>
    <row r="142" customFormat="false" ht="15" hidden="false" customHeight="false" outlineLevel="0" collapsed="false">
      <c r="A142" s="28"/>
      <c r="B142" s="28"/>
      <c r="C142" s="29" t="s">
        <v>244</v>
      </c>
      <c r="D142" s="28"/>
      <c r="E142" s="28"/>
      <c r="F142" s="28"/>
      <c r="G142" s="28"/>
      <c r="H142" s="28"/>
      <c r="I142" s="28"/>
      <c r="J142" s="28"/>
      <c r="K142" s="28"/>
      <c r="L142" s="28"/>
      <c r="M142" s="28"/>
    </row>
    <row r="143" customFormat="false" ht="15" hidden="false" customHeight="false" outlineLevel="0" collapsed="false">
      <c r="A143" s="31"/>
      <c r="B143" s="31"/>
      <c r="C143" s="31"/>
      <c r="D143" s="32" t="s">
        <v>245</v>
      </c>
      <c r="E143" s="33" t="n">
        <f aca="false">IFERROR(E141+0,0)</f>
        <v>591700000</v>
      </c>
      <c r="F143" s="33" t="n">
        <f aca="false">IFERROR(F141+0,0)</f>
        <v>2933200000</v>
      </c>
      <c r="G143" s="33" t="n">
        <f aca="false">IFERROR(G141+0,0)</f>
        <v>-4305000000</v>
      </c>
      <c r="H143" s="33" t="n">
        <f aca="false">IFERROR(H141+0,0)</f>
        <v>200800000</v>
      </c>
      <c r="I143" s="33" t="n">
        <f aca="false">IFERROR(I141+0,0)</f>
        <v>1573700000</v>
      </c>
      <c r="J143" s="33" t="n">
        <f aca="false">IFERROR(J141+0,0)</f>
        <v>2163700000</v>
      </c>
      <c r="K143" s="33" t="n">
        <f aca="false">IFERROR(K141+0,0)</f>
        <v>-1193900000</v>
      </c>
      <c r="L143" s="33" t="n">
        <f aca="false">IFERROR(L141+0,0)</f>
        <v>-275000000</v>
      </c>
      <c r="M143" s="33" t="n">
        <f aca="false">IFERROR(M141+0,0)</f>
        <v>6346400000</v>
      </c>
    </row>
    <row r="144" customFormat="false" ht="15" hidden="false" customHeight="false" outlineLevel="0" collapsed="false">
      <c r="A144" s="31"/>
      <c r="B144" s="31"/>
      <c r="C144" s="31"/>
      <c r="D144" s="32" t="s">
        <v>246</v>
      </c>
      <c r="E144" s="33" t="n">
        <f aca="false">IFERROR(E145-E143,0)</f>
        <v>942100000</v>
      </c>
      <c r="F144" s="33" t="n">
        <f aca="false">IFERROR(F145-F143,0)</f>
        <v>1533800000</v>
      </c>
      <c r="G144" s="33" t="n">
        <f aca="false">IFERROR(G145-G143,0)</f>
        <v>4467000000</v>
      </c>
      <c r="H144" s="33" t="n">
        <f aca="false">IFERROR(H145-H143,0)</f>
        <v>162000000</v>
      </c>
      <c r="I144" s="33" t="n">
        <f aca="false">IFERROR(I145-I143,0)</f>
        <v>362800000</v>
      </c>
      <c r="J144" s="33" t="n">
        <f aca="false">IFERROR(J145-J143,0)</f>
        <v>1936500000</v>
      </c>
      <c r="K144" s="33" t="n">
        <f aca="false">IFERROR(K145-K143,0)</f>
        <v>4100200000</v>
      </c>
      <c r="L144" s="33" t="n">
        <f aca="false">IFERROR(L145-L143,0)</f>
        <v>2906300000</v>
      </c>
      <c r="M144" s="33" t="n">
        <f aca="false">IFERROR(M145-M143,0)</f>
        <v>3621600000</v>
      </c>
    </row>
    <row r="145" customFormat="false" ht="15" hidden="false" customHeight="false" outlineLevel="0" collapsed="false">
      <c r="D145" s="6" t="s">
        <v>247</v>
      </c>
      <c r="E145" s="30" t="n">
        <f aca="false">_xlfn.XLOOKUP("CashAndCashEquivalentsCashFlowStatement",HS_STANDALONE!$C:$C,HS_STANDALONE!D:D,0,0,1)</f>
        <v>1533800000</v>
      </c>
      <c r="F145" s="30" t="n">
        <f aca="false">_xlfn.XLOOKUP("CashAndCashEquivalentsCashFlowStatement",HS_STANDALONE!$C:$C,HS_STANDALONE!E:E,0,0,1)</f>
        <v>4467000000</v>
      </c>
      <c r="G145" s="30" t="n">
        <f aca="false">_xlfn.XLOOKUP("CashAndCashEquivalentsCashFlowStatement",HS_STANDALONE!$C:$C,HS_STANDALONE!F:F,0,0,1)</f>
        <v>162000000</v>
      </c>
      <c r="H145" s="30" t="n">
        <f aca="false">_xlfn.XLOOKUP("CashAndCashEquivalentsCashFlowStatement",HS_STANDALONE!$C:$C,HS_STANDALONE!G:G,0,0,1)</f>
        <v>362800000</v>
      </c>
      <c r="I145" s="30" t="n">
        <f aca="false">_xlfn.XLOOKUP("CashAndCashEquivalentsCashFlowStatement",HS_STANDALONE!$C:$C,HS_STANDALONE!H:H,0,0,1)</f>
        <v>1936500000</v>
      </c>
      <c r="J145" s="30" t="n">
        <f aca="false">_xlfn.XLOOKUP("CashAndCashEquivalentsCashFlowStatement",HS_STANDALONE!$C:$C,HS_STANDALONE!I:I,0,0,1)</f>
        <v>4100200000</v>
      </c>
      <c r="K145" s="30" t="n">
        <f aca="false">_xlfn.XLOOKUP("CashAndCashEquivalentsCashFlowStatement",HS_STANDALONE!$C:$C,HS_STANDALONE!J:J,0,0,1)</f>
        <v>2906300000</v>
      </c>
      <c r="L145" s="30" t="n">
        <f aca="false">_xlfn.XLOOKUP("CashAndCashEquivalentsCashFlowStatement",HS_STANDALONE!$C:$C,HS_STANDALONE!K:K,0,0,1)</f>
        <v>2631300000</v>
      </c>
      <c r="M145" s="30" t="n">
        <f aca="false">_xlfn.XLOOKUP("CashAndCashEquivalentsCashFlowStatement",HS_STANDALONE!$C:$C,HS_STANDALONE!L:L,0,0,1)</f>
        <v>9968000000</v>
      </c>
    </row>
  </sheetData>
  <mergeCells count="2">
    <mergeCell ref="A1:M1"/>
    <mergeCell ref="A2:M2"/>
  </mergeCells>
  <conditionalFormatting sqref="E95:M95">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3"/>
    <col collapsed="false" customWidth="true" hidden="false" outlineLevel="0" max="4" min="4" style="0" width="38"/>
    <col collapsed="false" customWidth="true" hidden="false" outlineLevel="0" max="5" min="5" style="0" width="3"/>
    <col collapsed="false" customWidth="true" hidden="false" outlineLevel="0" max="14" min="6" style="0" width="18"/>
    <col collapsed="false" customWidth="true" hidden="false" outlineLevel="0" max="15" min="15" style="0" width="3"/>
    <col collapsed="false" customWidth="true" hidden="false" outlineLevel="0" max="24" min="16" style="0" width="16"/>
  </cols>
  <sheetData>
    <row r="1" customFormat="false" ht="24" hidden="false" customHeight="true" outlineLevel="0" collapsed="false">
      <c r="A1" s="25" t="s">
        <v>254</v>
      </c>
      <c r="B1" s="25"/>
      <c r="C1" s="25"/>
      <c r="D1" s="25"/>
      <c r="E1" s="25"/>
      <c r="F1" s="25"/>
      <c r="G1" s="25"/>
      <c r="H1" s="25"/>
      <c r="I1" s="25"/>
      <c r="J1" s="25"/>
      <c r="K1" s="25"/>
      <c r="L1" s="25"/>
      <c r="M1" s="25"/>
      <c r="N1" s="25"/>
      <c r="O1" s="25"/>
      <c r="P1" s="25"/>
      <c r="Q1" s="25"/>
      <c r="R1" s="25"/>
      <c r="S1" s="25"/>
      <c r="T1" s="25"/>
      <c r="U1" s="25"/>
      <c r="V1" s="25"/>
      <c r="W1" s="25"/>
      <c r="X1" s="25"/>
    </row>
    <row r="2" customFormat="false" ht="15" hidden="false" customHeight="false" outlineLevel="0" collapsed="false">
      <c r="A2" s="26" t="s">
        <v>255</v>
      </c>
      <c r="B2" s="26"/>
      <c r="C2" s="26"/>
      <c r="D2" s="26"/>
      <c r="E2" s="26"/>
      <c r="F2" s="26"/>
      <c r="G2" s="26"/>
      <c r="H2" s="26"/>
      <c r="I2" s="26"/>
      <c r="J2" s="26"/>
      <c r="K2" s="26"/>
      <c r="L2" s="26"/>
      <c r="M2" s="26"/>
      <c r="N2" s="26"/>
      <c r="O2" s="26"/>
      <c r="P2" s="26"/>
      <c r="Q2" s="26"/>
      <c r="R2" s="26"/>
      <c r="S2" s="26"/>
      <c r="T2" s="26"/>
      <c r="U2" s="26"/>
      <c r="V2" s="26"/>
      <c r="W2" s="26"/>
      <c r="X2" s="26"/>
    </row>
    <row r="5" customFormat="false" ht="15" hidden="false" customHeight="false" outlineLevel="0" collapsed="false">
      <c r="A5" s="39" t="s">
        <v>26</v>
      </c>
      <c r="B5" s="40"/>
      <c r="C5" s="39"/>
      <c r="D5" s="39"/>
      <c r="E5" s="39"/>
      <c r="F5" s="41" t="s">
        <v>29</v>
      </c>
      <c r="G5" s="41" t="s">
        <v>30</v>
      </c>
      <c r="H5" s="41" t="s">
        <v>31</v>
      </c>
      <c r="I5" s="41" t="s">
        <v>32</v>
      </c>
      <c r="J5" s="41" t="s">
        <v>33</v>
      </c>
      <c r="K5" s="41" t="s">
        <v>34</v>
      </c>
      <c r="L5" s="41" t="s">
        <v>35</v>
      </c>
      <c r="M5" s="41" t="s">
        <v>36</v>
      </c>
      <c r="N5" s="41" t="s">
        <v>37</v>
      </c>
      <c r="O5" s="39"/>
      <c r="P5" s="41" t="s">
        <v>29</v>
      </c>
      <c r="Q5" s="41" t="s">
        <v>30</v>
      </c>
      <c r="R5" s="41" t="s">
        <v>31</v>
      </c>
      <c r="S5" s="41" t="s">
        <v>32</v>
      </c>
      <c r="T5" s="41" t="s">
        <v>33</v>
      </c>
      <c r="U5" s="41" t="s">
        <v>34</v>
      </c>
      <c r="V5" s="41" t="s">
        <v>35</v>
      </c>
      <c r="W5" s="41" t="s">
        <v>36</v>
      </c>
      <c r="X5" s="41" t="s">
        <v>37</v>
      </c>
    </row>
    <row r="6" customFormat="false" ht="15" hidden="false" customHeight="false" outlineLevel="0" collapsed="false">
      <c r="A6" s="39" t="s">
        <v>26</v>
      </c>
      <c r="B6" s="42" t="s">
        <v>256</v>
      </c>
      <c r="C6" s="39"/>
      <c r="D6" s="39"/>
      <c r="E6" s="39"/>
      <c r="F6" s="39"/>
      <c r="G6" s="39"/>
      <c r="H6" s="39"/>
      <c r="I6" s="39"/>
      <c r="J6" s="39"/>
      <c r="K6" s="39"/>
      <c r="L6" s="39"/>
      <c r="M6" s="39"/>
      <c r="N6" s="39"/>
      <c r="O6" s="39"/>
      <c r="P6" s="39"/>
      <c r="Q6" s="39"/>
      <c r="R6" s="39"/>
      <c r="S6" s="39"/>
      <c r="T6" s="39"/>
      <c r="U6" s="39"/>
      <c r="V6" s="39"/>
      <c r="W6" s="39"/>
      <c r="X6" s="39"/>
    </row>
    <row r="7" customFormat="false" ht="15" hidden="false" customHeight="false" outlineLevel="0" collapsed="false">
      <c r="B7" s="43" t="s">
        <v>257</v>
      </c>
      <c r="C7" s="43" t="s">
        <v>258</v>
      </c>
      <c r="D7" s="44" t="s">
        <v>259</v>
      </c>
      <c r="E7" s="44" t="s">
        <v>258</v>
      </c>
      <c r="F7" s="45" t="n">
        <f aca="false">HIST_CON!E26</f>
        <v>8998900000</v>
      </c>
      <c r="G7" s="45" t="n">
        <f aca="false">HIST_CON!F26</f>
        <v>-3891800000</v>
      </c>
      <c r="H7" s="45" t="n">
        <f aca="false">HIST_CON!G26</f>
        <v>-15310900000</v>
      </c>
      <c r="I7" s="45" t="n">
        <f aca="false">HIST_CON!H26</f>
        <v>-26913900000</v>
      </c>
      <c r="J7" s="45" t="n">
        <f aca="false">HIST_CON!I26</f>
        <v>1003400000</v>
      </c>
      <c r="K7" s="45" t="n">
        <f aca="false">HIST_CON!J26</f>
        <v>-1661900000</v>
      </c>
      <c r="L7" s="45" t="n">
        <f aca="false">HIST_CON!K26</f>
        <v>28872900000</v>
      </c>
      <c r="M7" s="45" t="n">
        <f aca="false">HIST_CON!L26</f>
        <v>6603500000</v>
      </c>
      <c r="N7" s="45" t="n">
        <f aca="false">HIST_CON!M26</f>
        <v>20716300000</v>
      </c>
      <c r="O7" s="13" t="s">
        <v>258</v>
      </c>
      <c r="P7" s="46" t="n">
        <f aca="false">IF(F8=0,"",F7/F8)</f>
        <v>-0.13170438995119</v>
      </c>
      <c r="Q7" s="46" t="n">
        <f aca="false">IF(G8=0,"",G7/G8)</f>
        <v>0.0559435131226767</v>
      </c>
      <c r="R7" s="46" t="n">
        <f aca="false">IF(H8=0,"",H7/H8)</f>
        <v>0.180062777178649</v>
      </c>
      <c r="S7" s="46" t="n">
        <f aca="false">IF(I8=0,"",I7/I8)</f>
        <v>0.243744701969962</v>
      </c>
      <c r="T7" s="46" t="n">
        <f aca="false">IF(J8=0,"",J7/J8)</f>
        <v>-0.029505603241676</v>
      </c>
      <c r="U7" s="46" t="n">
        <f aca="false">IF(K8=0,"",K7/K8)</f>
        <v>0.0466588616461855</v>
      </c>
      <c r="V7" s="46" t="n">
        <f aca="false">IF(L8=0,"",L7/L8)</f>
        <v>2.62686282002293</v>
      </c>
      <c r="W7" s="46" t="n">
        <f aca="false">IF(M8=0,"",M7/M8)</f>
        <v>0.168443311880948</v>
      </c>
      <c r="X7" s="46" t="n">
        <f aca="false">IF(N8=0,"",N7/N8)</f>
        <v>0.33929331839652</v>
      </c>
    </row>
    <row r="8" customFormat="false" ht="15" hidden="false" customHeight="false" outlineLevel="0" collapsed="false">
      <c r="D8" s="6" t="s">
        <v>260</v>
      </c>
      <c r="F8" s="30" t="n">
        <f aca="false">HIST_CON!E72</f>
        <v>-68326500000</v>
      </c>
      <c r="G8" s="30" t="n">
        <f aca="false">HIST_CON!F72</f>
        <v>-69566600000</v>
      </c>
      <c r="H8" s="30" t="n">
        <f aca="false">HIST_CON!G72</f>
        <v>-85030900000</v>
      </c>
      <c r="I8" s="30" t="n">
        <f aca="false">HIST_CON!H72</f>
        <v>-110418400000</v>
      </c>
      <c r="J8" s="30" t="n">
        <f aca="false">HIST_CON!I72</f>
        <v>-34007100000</v>
      </c>
      <c r="K8" s="30" t="n">
        <f aca="false">HIST_CON!J72</f>
        <v>-35618100000</v>
      </c>
      <c r="L8" s="30" t="n">
        <f aca="false">HIST_CON!K72</f>
        <v>10991400000</v>
      </c>
      <c r="M8" s="30" t="n">
        <f aca="false">HIST_CON!L72</f>
        <v>39203100000</v>
      </c>
      <c r="N8" s="30" t="n">
        <f aca="false">HIST_CON!M72</f>
        <v>61057200000</v>
      </c>
    </row>
    <row r="10" customFormat="false" ht="15" hidden="false" customHeight="false" outlineLevel="0" collapsed="false">
      <c r="B10" s="43" t="s">
        <v>261</v>
      </c>
      <c r="C10" s="43" t="s">
        <v>258</v>
      </c>
      <c r="D10" s="44" t="s">
        <v>259</v>
      </c>
      <c r="E10" s="44" t="s">
        <v>258</v>
      </c>
      <c r="F10" s="47" t="n">
        <f aca="false">+F7</f>
        <v>8998900000</v>
      </c>
      <c r="G10" s="47" t="n">
        <f aca="false">+G7</f>
        <v>-3891800000</v>
      </c>
      <c r="H10" s="47" t="n">
        <f aca="false">+H7</f>
        <v>-15310900000</v>
      </c>
      <c r="I10" s="47" t="n">
        <f aca="false">+I7</f>
        <v>-26913900000</v>
      </c>
      <c r="J10" s="47" t="n">
        <f aca="false">+J7</f>
        <v>1003400000</v>
      </c>
      <c r="K10" s="47" t="n">
        <f aca="false">+K7</f>
        <v>-1661900000</v>
      </c>
      <c r="L10" s="47" t="n">
        <f aca="false">+L7</f>
        <v>28872900000</v>
      </c>
      <c r="M10" s="47" t="n">
        <f aca="false">+M7</f>
        <v>6603500000</v>
      </c>
      <c r="N10" s="47" t="n">
        <f aca="false">+N7</f>
        <v>20716300000</v>
      </c>
      <c r="O10" s="13" t="s">
        <v>258</v>
      </c>
      <c r="P10" s="46" t="n">
        <f aca="false">IF(F11=0,"",F10/F11)</f>
        <v>0.074003503260664</v>
      </c>
      <c r="Q10" s="46" t="n">
        <f aca="false">IF(G11=0,"",G10/G11)</f>
        <v>-0.0349964075582457</v>
      </c>
      <c r="R10" s="46" t="n">
        <f aca="false">IF(H11=0,"",H10/H11)</f>
        <v>-0.172596723447764</v>
      </c>
      <c r="S10" s="46" t="n">
        <f aca="false">IF(I11=0,"",I10/I11)</f>
        <v>-0.412135643571937</v>
      </c>
      <c r="T10" s="46" t="n">
        <f aca="false">IF(J11=0,"",J10/J11)</f>
        <v>0.0152005199141354</v>
      </c>
      <c r="U10" s="46" t="n">
        <f aca="false">IF(K11=0,"",K10/K11)</f>
        <v>-0.025666964227798</v>
      </c>
      <c r="V10" s="46" t="n">
        <f aca="false">IF(L11=0,"",L10/L11)</f>
        <v>0.522739699242131</v>
      </c>
      <c r="W10" s="46" t="n">
        <f aca="false">IF(M11=0,"",M10/M11)</f>
        <v>0.091983306913757</v>
      </c>
      <c r="X10" s="46" t="n">
        <f aca="false">IF(N11=0,"",N10/N11)</f>
        <v>0.159853050906703</v>
      </c>
    </row>
    <row r="11" customFormat="false" ht="15" hidden="false" customHeight="false" outlineLevel="0" collapsed="false">
      <c r="D11" s="6" t="s">
        <v>167</v>
      </c>
      <c r="F11" s="30" t="n">
        <f aca="false">HIST_CON!E65</f>
        <v>121601000000</v>
      </c>
      <c r="G11" s="30" t="n">
        <f aca="false">HIST_CON!F65</f>
        <v>111205700000</v>
      </c>
      <c r="H11" s="30" t="n">
        <f aca="false">HIST_CON!G65</f>
        <v>88709100000</v>
      </c>
      <c r="I11" s="30" t="n">
        <f aca="false">HIST_CON!H65</f>
        <v>65303500000</v>
      </c>
      <c r="J11" s="30" t="n">
        <f aca="false">HIST_CON!I65</f>
        <v>66010900000</v>
      </c>
      <c r="K11" s="30" t="n">
        <f aca="false">HIST_CON!J65</f>
        <v>64748600000</v>
      </c>
      <c r="L11" s="30" t="n">
        <f aca="false">HIST_CON!K65</f>
        <v>55233800000</v>
      </c>
      <c r="M11" s="30" t="n">
        <f aca="false">HIST_CON!L65</f>
        <v>71790200000</v>
      </c>
      <c r="N11" s="30" t="n">
        <f aca="false">HIST_CON!M65</f>
        <v>129595900000</v>
      </c>
    </row>
    <row r="13" customFormat="false" ht="15" hidden="false" customHeight="false" outlineLevel="0" collapsed="false">
      <c r="B13" s="43" t="s">
        <v>262</v>
      </c>
      <c r="C13" s="43" t="s">
        <v>258</v>
      </c>
      <c r="D13" s="44" t="s">
        <v>259</v>
      </c>
      <c r="E13" s="44" t="s">
        <v>258</v>
      </c>
      <c r="F13" s="47" t="n">
        <f aca="false">+F7</f>
        <v>8998900000</v>
      </c>
      <c r="G13" s="47" t="n">
        <f aca="false">+G7</f>
        <v>-3891800000</v>
      </c>
      <c r="H13" s="47" t="n">
        <f aca="false">+H7</f>
        <v>-15310900000</v>
      </c>
      <c r="I13" s="47" t="n">
        <f aca="false">+I7</f>
        <v>-26913900000</v>
      </c>
      <c r="J13" s="47" t="n">
        <f aca="false">+J7</f>
        <v>1003400000</v>
      </c>
      <c r="K13" s="47" t="n">
        <f aca="false">+K7</f>
        <v>-1661900000</v>
      </c>
      <c r="L13" s="47" t="n">
        <f aca="false">+L7</f>
        <v>28872900000</v>
      </c>
      <c r="M13" s="47" t="n">
        <f aca="false">+M7</f>
        <v>6603500000</v>
      </c>
      <c r="N13" s="47" t="n">
        <f aca="false">+N7</f>
        <v>20716300000</v>
      </c>
      <c r="O13" s="13" t="s">
        <v>258</v>
      </c>
      <c r="P13" s="46" t="n">
        <f aca="false">IF(F14=0,"",F13/F14)</f>
        <v>-0.28402301498878</v>
      </c>
      <c r="Q13" s="46" t="n">
        <f aca="false">IF(G14=0,"",G13/G14)</f>
        <v>0.516976620616366</v>
      </c>
      <c r="R13" s="46" t="n">
        <f aca="false">IF(H14=0,"",H13/H14)</f>
        <v>0.453399705648063</v>
      </c>
      <c r="S13" s="46" t="n">
        <f aca="false">IF(I14=0,"",I13/I14)</f>
        <v>0.247981469042742</v>
      </c>
      <c r="T13" s="46" t="n">
        <f aca="false">IF(J14=0,"",J13/J14)</f>
        <v>0.0522753913881581</v>
      </c>
      <c r="U13" s="46" t="n">
        <f aca="false">IF(K14=0,"",K13/K14)</f>
        <v>-0.0982187182336115</v>
      </c>
      <c r="V13" s="46" t="n">
        <f aca="false">IF(L14=0,"",L13/L14)</f>
        <v>1.3006748234107</v>
      </c>
      <c r="W13" s="46" t="n">
        <f aca="false">IF(M14=0,"",M13/M14)</f>
        <v>0.213819677173895</v>
      </c>
      <c r="X13" s="46" t="n">
        <f aca="false">IF(N14=0,"",N13/N14)</f>
        <v>0.498092149079255</v>
      </c>
    </row>
    <row r="14" customFormat="false" ht="15" hidden="false" customHeight="false" outlineLevel="0" collapsed="false">
      <c r="D14" s="6" t="s">
        <v>263</v>
      </c>
      <c r="F14" s="30" t="n">
        <f aca="false">HIST_CON!E31+(HIST_CON!E63-HIST_CON!E93)</f>
        <v>-31683700000</v>
      </c>
      <c r="G14" s="30" t="n">
        <f aca="false">HIST_CON!F31+(HIST_CON!F63-HIST_CON!F93)</f>
        <v>-7528000000</v>
      </c>
      <c r="H14" s="30" t="n">
        <f aca="false">HIST_CON!G31+(HIST_CON!G63-HIST_CON!G93)</f>
        <v>-33769100000</v>
      </c>
      <c r="I14" s="30" t="n">
        <f aca="false">HIST_CON!H31+(HIST_CON!H63-HIST_CON!H93)</f>
        <v>-108531900000</v>
      </c>
      <c r="J14" s="30" t="n">
        <f aca="false">HIST_CON!I31+(HIST_CON!I63-HIST_CON!I93)</f>
        <v>19194500000</v>
      </c>
      <c r="K14" s="30" t="n">
        <f aca="false">HIST_CON!J31+(HIST_CON!J63-HIST_CON!J93)</f>
        <v>16920400000</v>
      </c>
      <c r="L14" s="30" t="n">
        <f aca="false">HIST_CON!K31+(HIST_CON!K63-HIST_CON!K93)</f>
        <v>22198400000</v>
      </c>
      <c r="M14" s="30" t="n">
        <f aca="false">HIST_CON!L31+(HIST_CON!L63-HIST_CON!L93)</f>
        <v>30883500000</v>
      </c>
      <c r="N14" s="30" t="n">
        <f aca="false">HIST_CON!M31+(HIST_CON!M63-HIST_CON!M93)</f>
        <v>41591300000</v>
      </c>
    </row>
    <row r="16" customFormat="false" ht="15" hidden="false" customHeight="false" outlineLevel="0" collapsed="false">
      <c r="B16" s="43" t="s">
        <v>264</v>
      </c>
      <c r="C16" s="43" t="s">
        <v>258</v>
      </c>
      <c r="D16" s="44" t="s">
        <v>265</v>
      </c>
      <c r="E16" s="44" t="s">
        <v>258</v>
      </c>
      <c r="F16" s="45" t="n">
        <f aca="false">HIST_CON!E19*(1-(-HIST_CON!E25/HIST_CON!E22))</f>
        <v>21709541462.719</v>
      </c>
      <c r="G16" s="45" t="n">
        <f aca="false">HIST_CON!F19*(1-(-HIST_CON!F25/HIST_CON!F22))</f>
        <v>7376631304.7039</v>
      </c>
      <c r="H16" s="45" t="n">
        <f aca="false">HIST_CON!G19*(1-(-HIST_CON!G25/HIST_CON!G22))</f>
        <v>-2983312973.51247</v>
      </c>
      <c r="I16" s="45" t="n">
        <f aca="false">HIST_CON!H19*(1-(-HIST_CON!H25/HIST_CON!H22))</f>
        <v>-12542371766.6126</v>
      </c>
      <c r="J16" s="45" t="n">
        <f aca="false">HIST_CON!I19*(1-(-HIST_CON!I25/HIST_CON!I22))</f>
        <v>2827242240.64018</v>
      </c>
      <c r="K16" s="45" t="n">
        <f aca="false">HIST_CON!J19*(1-(-HIST_CON!J25/HIST_CON!J22))</f>
        <v>-2708066050000</v>
      </c>
      <c r="L16" s="45" t="n">
        <f aca="false">HIST_CON!K19*(1-(-HIST_CON!K25/HIST_CON!K22))</f>
        <v>5909653223.52518</v>
      </c>
      <c r="M16" s="45" t="n">
        <f aca="false">HIST_CON!L19*(1-(-HIST_CON!L25/HIST_CON!L22))</f>
        <v>8788445541.25157</v>
      </c>
      <c r="N16" s="45" t="n">
        <f aca="false">HIST_CON!M19*(1-(-HIST_CON!M25/HIST_CON!M22))</f>
        <v>24365134352.9444</v>
      </c>
      <c r="O16" s="13" t="s">
        <v>258</v>
      </c>
      <c r="P16" s="46" t="n">
        <f aca="false">IF(F17=0,"",F16/F17)</f>
        <v>-8.63511453908714</v>
      </c>
      <c r="Q16" s="46" t="n">
        <f aca="false">IF(G17=0,"",G16/G17)</f>
        <v>0.18135853117826</v>
      </c>
      <c r="R16" s="46" t="n">
        <f aca="false">IF(H17=0,"",H16/H17)</f>
        <v>-0.28515159082339</v>
      </c>
      <c r="S16" s="46" t="n">
        <f aca="false">IF(I17=0,"",I16/I17)</f>
        <v>0.871875970012349</v>
      </c>
      <c r="T16" s="46" t="n">
        <f aca="false">IF(J17=0,"",J16/J17)</f>
        <v>0.11133811834776</v>
      </c>
      <c r="U16" s="46" t="n">
        <f aca="false">IF(K17=0,"",K16/K17)</f>
        <v>-116.309873642798</v>
      </c>
      <c r="V16" s="46" t="n">
        <f aca="false">IF(L17=0,"",L16/L17)</f>
        <v>0.224129814182264</v>
      </c>
      <c r="W16" s="46" t="n">
        <f aca="false">IF(M17=0,"",M16/M17)</f>
        <v>0.243891790056435</v>
      </c>
      <c r="X16" s="46" t="n">
        <f aca="false">IF(N17=0,"",N16/N17)</f>
        <v>0.461791478614319</v>
      </c>
    </row>
    <row r="17" customFormat="false" ht="15" hidden="false" customHeight="false" outlineLevel="0" collapsed="false">
      <c r="D17" s="6" t="s">
        <v>266</v>
      </c>
      <c r="F17" s="30" t="n">
        <f aca="false">(HIST_CON!E76+HIST_CON!E85+0+0)+HIST_CON!E72-HIST_CON!E57</f>
        <v>-2514100000</v>
      </c>
      <c r="G17" s="30" t="n">
        <f aca="false">(HIST_CON!F76+HIST_CON!F85+0+0)+HIST_CON!F72-HIST_CON!F57</f>
        <v>40674300000</v>
      </c>
      <c r="H17" s="30" t="n">
        <f aca="false">(HIST_CON!G76+HIST_CON!G85+0+0)+HIST_CON!G72-HIST_CON!G57</f>
        <v>10462200000</v>
      </c>
      <c r="I17" s="30" t="n">
        <f aca="false">(HIST_CON!H76+HIST_CON!H85+0+0)+HIST_CON!H72-HIST_CON!H57</f>
        <v>-14385500000</v>
      </c>
      <c r="J17" s="30" t="n">
        <f aca="false">(HIST_CON!I76+HIST_CON!I85+0+0)+HIST_CON!I72-HIST_CON!I57</f>
        <v>25393300000</v>
      </c>
      <c r="K17" s="30" t="n">
        <f aca="false">(HIST_CON!J76+HIST_CON!J85+0+0)+HIST_CON!J72-HIST_CON!J57</f>
        <v>23283200000</v>
      </c>
      <c r="L17" s="30" t="n">
        <f aca="false">(HIST_CON!K76+HIST_CON!K85+0+0)+HIST_CON!K72-HIST_CON!K57</f>
        <v>26367100000</v>
      </c>
      <c r="M17" s="30" t="n">
        <f aca="false">(HIST_CON!L76+HIST_CON!L85+0+0)+HIST_CON!L72-HIST_CON!L57</f>
        <v>36034200000</v>
      </c>
      <c r="N17" s="30" t="n">
        <f aca="false">(HIST_CON!M76+HIST_CON!M85+0+0)+HIST_CON!M72-HIST_CON!M57</f>
        <v>52762200000</v>
      </c>
    </row>
    <row r="19" customFormat="false" ht="15" hidden="false" customHeight="false" outlineLevel="0" collapsed="false">
      <c r="B19" s="43" t="s">
        <v>267</v>
      </c>
      <c r="C19" s="43" t="s">
        <v>258</v>
      </c>
      <c r="D19" s="44" t="s">
        <v>120</v>
      </c>
      <c r="E19" s="44" t="s">
        <v>258</v>
      </c>
      <c r="F19" s="45" t="n">
        <f aca="false">HIST_CON!E14</f>
        <v>52603000000</v>
      </c>
      <c r="G19" s="45" t="n">
        <f aca="false">HIST_CON!F14</f>
        <v>32973000000</v>
      </c>
      <c r="H19" s="45" t="n">
        <f aca="false">HIST_CON!G14</f>
        <v>20762900000</v>
      </c>
      <c r="I19" s="45" t="n">
        <f aca="false">HIST_CON!H14</f>
        <v>11269100000</v>
      </c>
      <c r="J19" s="45" t="n">
        <f aca="false">HIST_CON!I14</f>
        <v>17883200000</v>
      </c>
      <c r="K19" s="45" t="n">
        <f aca="false">HIST_CON!J14</f>
        <v>22724100000</v>
      </c>
      <c r="L19" s="45" t="n">
        <f aca="false">HIST_CON!K14</f>
        <v>22075000000</v>
      </c>
      <c r="M19" s="45" t="n">
        <f aca="false">HIST_CON!L14</f>
        <v>25853800000</v>
      </c>
      <c r="N19" s="45" t="n">
        <f aca="false">HIST_CON!M14</f>
        <v>41065300000</v>
      </c>
      <c r="O19" s="13" t="s">
        <v>258</v>
      </c>
      <c r="P19" s="46" t="n">
        <f aca="false">IF(F20=0,"",F19/F20)</f>
        <v>0.413728717978162</v>
      </c>
      <c r="Q19" s="46" t="n">
        <f aca="false">IF(G20=0,"",G19/G20)</f>
        <v>0.395651944361783</v>
      </c>
      <c r="R19" s="46" t="n">
        <f aca="false">IF(H20=0,"",H19/H20)</f>
        <v>0.413217531827834</v>
      </c>
      <c r="S19" s="46" t="n">
        <f aca="false">IF(I20=0,"",I19/I20)</f>
        <v>0.3790672250534</v>
      </c>
      <c r="T19" s="46" t="n">
        <f aca="false">IF(J20=0,"",J19/J20)</f>
        <v>0.534509761725428</v>
      </c>
      <c r="U19" s="46" t="n">
        <f aca="false">IF(K20=0,"",K19/K20)</f>
        <v>0.345257665859388</v>
      </c>
      <c r="V19" s="46" t="n">
        <f aca="false">IF(L20=0,"",L19/L20)</f>
        <v>0.369732670298952</v>
      </c>
      <c r="W19" s="46" t="n">
        <f aca="false">IF(M20=0,"",M19/M20)</f>
        <v>0.39597861263974</v>
      </c>
      <c r="X19" s="46" t="n">
        <f aca="false">IF(N20=0,"",N19/N20)</f>
        <v>0.377100830690173</v>
      </c>
    </row>
    <row r="20" customFormat="false" ht="15" hidden="false" customHeight="false" outlineLevel="0" collapsed="false">
      <c r="D20" s="6" t="s">
        <v>268</v>
      </c>
      <c r="F20" s="30" t="n">
        <f aca="false">HIST_CON!E7</f>
        <v>127143700000</v>
      </c>
      <c r="G20" s="30" t="n">
        <f aca="false">HIST_CON!F7</f>
        <v>83338400000</v>
      </c>
      <c r="H20" s="30" t="n">
        <f aca="false">HIST_CON!G7</f>
        <v>50246900000</v>
      </c>
      <c r="I20" s="30" t="n">
        <f aca="false">HIST_CON!H7</f>
        <v>29728500000</v>
      </c>
      <c r="J20" s="30" t="n">
        <f aca="false">HIST_CON!I7</f>
        <v>33457200000</v>
      </c>
      <c r="K20" s="30" t="n">
        <f aca="false">HIST_CON!J7</f>
        <v>65817800000</v>
      </c>
      <c r="L20" s="30" t="n">
        <f aca="false">HIST_CON!K7</f>
        <v>59705300000</v>
      </c>
      <c r="M20" s="30" t="n">
        <f aca="false">HIST_CON!L7</f>
        <v>65290900000</v>
      </c>
      <c r="N20" s="30" t="n">
        <f aca="false">HIST_CON!M7</f>
        <v>108897400000</v>
      </c>
    </row>
    <row r="22" customFormat="false" ht="15" hidden="false" customHeight="false" outlineLevel="0" collapsed="false">
      <c r="B22" s="43" t="s">
        <v>269</v>
      </c>
      <c r="C22" s="43" t="s">
        <v>258</v>
      </c>
      <c r="D22" s="44" t="s">
        <v>121</v>
      </c>
      <c r="E22" s="44" t="s">
        <v>258</v>
      </c>
      <c r="F22" s="45" t="n">
        <f aca="false">-HIST_CON!E15</f>
        <v>10464800000</v>
      </c>
      <c r="G22" s="45" t="n">
        <f aca="false">-HIST_CON!F15</f>
        <v>8046800000</v>
      </c>
      <c r="H22" s="45" t="n">
        <f aca="false">-HIST_CON!G15</f>
        <v>8741600000</v>
      </c>
      <c r="I22" s="45" t="n">
        <f aca="false">-HIST_CON!H15</f>
        <v>7962500000</v>
      </c>
      <c r="J22" s="45" t="n">
        <f aca="false">-HIST_CON!I15</f>
        <v>5532100000</v>
      </c>
      <c r="K22" s="45" t="n">
        <f aca="false">-HIST_CON!J15</f>
        <v>5453600000</v>
      </c>
      <c r="L22" s="45" t="n">
        <f aca="false">-HIST_CON!K15</f>
        <v>6092200000</v>
      </c>
      <c r="M22" s="45" t="n">
        <f aca="false">-HIST_CON!L15</f>
        <v>7029000000</v>
      </c>
      <c r="N22" s="45" t="n">
        <f aca="false">-HIST_CON!M15</f>
        <v>9415300000</v>
      </c>
      <c r="O22" s="13" t="s">
        <v>258</v>
      </c>
      <c r="P22" s="46" t="n">
        <f aca="false">IF(F23=0,"",F22/F23)</f>
        <v>0.0823068701005241</v>
      </c>
      <c r="Q22" s="46" t="n">
        <f aca="false">IF(G23=0,"",G22/G23)</f>
        <v>0.0965557294116518</v>
      </c>
      <c r="R22" s="46" t="n">
        <f aca="false">IF(H23=0,"",H22/H23)</f>
        <v>0.173972921712583</v>
      </c>
      <c r="S22" s="46" t="n">
        <f aca="false">IF(I23=0,"",I22/I23)</f>
        <v>0.267840624316733</v>
      </c>
      <c r="T22" s="46" t="n">
        <f aca="false">IF(J23=0,"",J22/J23)</f>
        <v>0.165348564733451</v>
      </c>
      <c r="U22" s="46" t="n">
        <f aca="false">IF(K23=0,"",K22/K23)</f>
        <v>0.082859044209925</v>
      </c>
      <c r="V22" s="46" t="n">
        <f aca="false">IF(L23=0,"",L22/L23)</f>
        <v>0.102037842536592</v>
      </c>
      <c r="W22" s="46" t="n">
        <f aca="false">IF(M23=0,"",M22/M23)</f>
        <v>0.107656656593798</v>
      </c>
      <c r="X22" s="46" t="n">
        <f aca="false">IF(N23=0,"",N22/N23)</f>
        <v>0.0864602827983037</v>
      </c>
    </row>
    <row r="23" customFormat="false" ht="15" hidden="false" customHeight="false" outlineLevel="0" collapsed="false">
      <c r="D23" s="6" t="s">
        <v>268</v>
      </c>
      <c r="F23" s="48" t="n">
        <f aca="false">+F20</f>
        <v>127143700000</v>
      </c>
      <c r="G23" s="48" t="n">
        <f aca="false">+G20</f>
        <v>83338400000</v>
      </c>
      <c r="H23" s="48" t="n">
        <f aca="false">+H20</f>
        <v>50246900000</v>
      </c>
      <c r="I23" s="48" t="n">
        <f aca="false">+I20</f>
        <v>29728500000</v>
      </c>
      <c r="J23" s="48" t="n">
        <f aca="false">+J20</f>
        <v>33457200000</v>
      </c>
      <c r="K23" s="48" t="n">
        <f aca="false">+K20</f>
        <v>65817800000</v>
      </c>
      <c r="L23" s="48" t="n">
        <f aca="false">+L20</f>
        <v>59705300000</v>
      </c>
      <c r="M23" s="48" t="n">
        <f aca="false">+M20</f>
        <v>65290900000</v>
      </c>
      <c r="N23" s="48" t="n">
        <f aca="false">+N20</f>
        <v>108897400000</v>
      </c>
    </row>
    <row r="25" customFormat="false" ht="15" hidden="false" customHeight="false" outlineLevel="0" collapsed="false">
      <c r="B25" s="43" t="s">
        <v>270</v>
      </c>
      <c r="C25" s="43" t="s">
        <v>258</v>
      </c>
      <c r="D25" s="44" t="s">
        <v>271</v>
      </c>
      <c r="E25" s="44" t="s">
        <v>258</v>
      </c>
      <c r="F25" s="45" t="n">
        <f aca="false">-HIST_CON!E16</f>
        <v>16256100000</v>
      </c>
      <c r="G25" s="45" t="n">
        <f aca="false">-HIST_CON!F16</f>
        <v>14103900000</v>
      </c>
      <c r="H25" s="45" t="n">
        <f aca="false">-HIST_CON!G16</f>
        <v>11609300000</v>
      </c>
      <c r="I25" s="45" t="n">
        <f aca="false">-HIST_CON!H16</f>
        <v>11628200000</v>
      </c>
      <c r="J25" s="45" t="n">
        <f aca="false">-HIST_CON!I16</f>
        <v>6809600000</v>
      </c>
      <c r="K25" s="45" t="n">
        <f aca="false">-HIST_CON!J16</f>
        <v>8154100000</v>
      </c>
      <c r="L25" s="45" t="n">
        <f aca="false">-HIST_CON!K16</f>
        <v>7467300000</v>
      </c>
      <c r="M25" s="45" t="n">
        <f aca="false">-HIST_CON!L16</f>
        <v>8151800000</v>
      </c>
      <c r="N25" s="45" t="n">
        <f aca="false">-HIST_CON!M16</f>
        <v>12043800000</v>
      </c>
      <c r="O25" s="13" t="s">
        <v>258</v>
      </c>
      <c r="P25" s="46" t="n">
        <f aca="false">IF(F26=0,"",F25/F26)</f>
        <v>0.127856118706629</v>
      </c>
      <c r="Q25" s="46" t="n">
        <f aca="false">IF(G26=0,"",G25/G26)</f>
        <v>0.169236510420166</v>
      </c>
      <c r="R25" s="46" t="n">
        <f aca="false">IF(H26=0,"",H25/H26)</f>
        <v>0.231045099299658</v>
      </c>
      <c r="S25" s="46" t="n">
        <f aca="false">IF(I26=0,"",I25/I26)</f>
        <v>0.391146542879728</v>
      </c>
      <c r="T25" s="46" t="n">
        <f aca="false">IF(J26=0,"",J25/J26)</f>
        <v>0.203531676290903</v>
      </c>
      <c r="U25" s="46" t="n">
        <f aca="false">IF(K26=0,"",K25/K26)</f>
        <v>0.123888978361477</v>
      </c>
      <c r="V25" s="46" t="n">
        <f aca="false">IF(L26=0,"",L25/L26)</f>
        <v>0.125069298705475</v>
      </c>
      <c r="W25" s="46" t="n">
        <f aca="false">IF(M26=0,"",M25/M26)</f>
        <v>0.124853540079858</v>
      </c>
      <c r="X25" s="46" t="n">
        <f aca="false">IF(N26=0,"",N25/N26)</f>
        <v>0.110597681854663</v>
      </c>
    </row>
    <row r="26" customFormat="false" ht="15" hidden="false" customHeight="false" outlineLevel="0" collapsed="false">
      <c r="D26" s="6" t="s">
        <v>268</v>
      </c>
      <c r="F26" s="48" t="n">
        <f aca="false">+F20</f>
        <v>127143700000</v>
      </c>
      <c r="G26" s="48" t="n">
        <f aca="false">+G20</f>
        <v>83338400000</v>
      </c>
      <c r="H26" s="48" t="n">
        <f aca="false">+H20</f>
        <v>50246900000</v>
      </c>
      <c r="I26" s="48" t="n">
        <f aca="false">+I20</f>
        <v>29728500000</v>
      </c>
      <c r="J26" s="48" t="n">
        <f aca="false">+J20</f>
        <v>33457200000</v>
      </c>
      <c r="K26" s="48" t="n">
        <f aca="false">+K20</f>
        <v>65817800000</v>
      </c>
      <c r="L26" s="48" t="n">
        <f aca="false">+L20</f>
        <v>59705300000</v>
      </c>
      <c r="M26" s="48" t="n">
        <f aca="false">+M20</f>
        <v>65290900000</v>
      </c>
      <c r="N26" s="48" t="n">
        <f aca="false">+N20</f>
        <v>108897400000</v>
      </c>
    </row>
    <row r="28" customFormat="false" ht="15" hidden="false" customHeight="false" outlineLevel="0" collapsed="false">
      <c r="B28" s="43" t="s">
        <v>272</v>
      </c>
      <c r="C28" s="43" t="s">
        <v>258</v>
      </c>
      <c r="D28" s="44" t="s">
        <v>123</v>
      </c>
      <c r="E28" s="44" t="s">
        <v>258</v>
      </c>
      <c r="F28" s="45" t="n">
        <f aca="false">HIST_CON!E17</f>
        <v>25882100000</v>
      </c>
      <c r="G28" s="45" t="n">
        <f aca="false">HIST_CON!F17</f>
        <v>10822300000</v>
      </c>
      <c r="H28" s="45" t="n">
        <f aca="false">HIST_CON!G17</f>
        <v>412000000</v>
      </c>
      <c r="I28" s="45" t="n">
        <f aca="false">HIST_CON!H17</f>
        <v>-8321600000</v>
      </c>
      <c r="J28" s="45" t="n">
        <f aca="false">HIST_CON!I17</f>
        <v>5541500000</v>
      </c>
      <c r="K28" s="45" t="n">
        <f aca="false">HIST_CON!J17</f>
        <v>9116400000</v>
      </c>
      <c r="L28" s="45" t="n">
        <f aca="false">HIST_CON!K17</f>
        <v>8515500000</v>
      </c>
      <c r="M28" s="45" t="n">
        <f aca="false">HIST_CON!L17</f>
        <v>10673000000</v>
      </c>
      <c r="N28" s="45" t="n">
        <f aca="false">HIST_CON!M17</f>
        <v>19606200000</v>
      </c>
      <c r="O28" s="13" t="s">
        <v>258</v>
      </c>
      <c r="P28" s="46" t="n">
        <f aca="false">IF(F29=0,"",F28/F29)</f>
        <v>0.203565729171009</v>
      </c>
      <c r="Q28" s="46" t="n">
        <f aca="false">IF(G29=0,"",G28/G29)</f>
        <v>0.129859704529965</v>
      </c>
      <c r="R28" s="46" t="n">
        <f aca="false">IF(H29=0,"",H28/H29)</f>
        <v>0.0081995108155926</v>
      </c>
      <c r="S28" s="46" t="n">
        <f aca="false">IF(I29=0,"",I28/I29)</f>
        <v>-0.279919942143061</v>
      </c>
      <c r="T28" s="46" t="n">
        <f aca="false">IF(J29=0,"",J28/J29)</f>
        <v>0.165629520701075</v>
      </c>
      <c r="U28" s="46" t="n">
        <f aca="false">IF(K29=0,"",K28/K29)</f>
        <v>0.138509643287986</v>
      </c>
      <c r="V28" s="46" t="n">
        <f aca="false">IF(L29=0,"",L28/L29)</f>
        <v>0.142625529056884</v>
      </c>
      <c r="W28" s="46" t="n">
        <f aca="false">IF(M29=0,"",M28/M29)</f>
        <v>0.163468415966084</v>
      </c>
      <c r="X28" s="46" t="n">
        <f aca="false">IF(N29=0,"",N28/N29)</f>
        <v>0.180042866037206</v>
      </c>
    </row>
    <row r="29" customFormat="false" ht="15" hidden="false" customHeight="false" outlineLevel="0" collapsed="false">
      <c r="D29" s="6" t="s">
        <v>268</v>
      </c>
      <c r="F29" s="48" t="n">
        <f aca="false">+F20</f>
        <v>127143700000</v>
      </c>
      <c r="G29" s="48" t="n">
        <f aca="false">+G20</f>
        <v>83338400000</v>
      </c>
      <c r="H29" s="48" t="n">
        <f aca="false">+H20</f>
        <v>50246900000</v>
      </c>
      <c r="I29" s="48" t="n">
        <f aca="false">+I20</f>
        <v>29728500000</v>
      </c>
      <c r="J29" s="48" t="n">
        <f aca="false">+J20</f>
        <v>33457200000</v>
      </c>
      <c r="K29" s="48" t="n">
        <f aca="false">+K20</f>
        <v>65817800000</v>
      </c>
      <c r="L29" s="48" t="n">
        <f aca="false">+L20</f>
        <v>59705300000</v>
      </c>
      <c r="M29" s="48" t="n">
        <f aca="false">+M20</f>
        <v>65290900000</v>
      </c>
      <c r="N29" s="48" t="n">
        <f aca="false">+N20</f>
        <v>108897400000</v>
      </c>
    </row>
    <row r="31" customFormat="false" ht="15" hidden="false" customHeight="false" outlineLevel="0" collapsed="false">
      <c r="B31" s="37" t="s">
        <v>273</v>
      </c>
      <c r="P31" s="49" t="str">
        <f aca="false">IF(ABS(P19-P22-P25-P28)&lt;0.0001,"OK","Error")</f>
        <v>OK</v>
      </c>
      <c r="Q31" s="49" t="str">
        <f aca="false">IF(ABS(Q19-Q22-Q25-Q28)&lt;0.0001,"OK","Error")</f>
        <v>OK</v>
      </c>
      <c r="R31" s="49" t="str">
        <f aca="false">IF(ABS(R19-R22-R25-R28)&lt;0.0001,"OK","Error")</f>
        <v>OK</v>
      </c>
      <c r="S31" s="49" t="str">
        <f aca="false">IF(ABS(S19-S22-S25-S28)&lt;0.0001,"OK","Error")</f>
        <v>OK</v>
      </c>
      <c r="T31" s="49" t="str">
        <f aca="false">IF(ABS(T19-T22-T25-T28)&lt;0.0001,"OK","Error")</f>
        <v>OK</v>
      </c>
      <c r="U31" s="49" t="str">
        <f aca="false">IF(ABS(U19-U22-U25-U28)&lt;0.0001,"OK","Error")</f>
        <v>OK</v>
      </c>
      <c r="V31" s="49" t="str">
        <f aca="false">IF(ABS(V19-V22-V25-V28)&lt;0.0001,"OK","Error")</f>
        <v>OK</v>
      </c>
      <c r="W31" s="49" t="str">
        <f aca="false">IF(ABS(W19-W22-W25-W28)&lt;0.0001,"OK","Error")</f>
        <v>OK</v>
      </c>
      <c r="X31" s="49" t="str">
        <f aca="false">IF(ABS(X19-X22-X25-X28)&lt;0.0001,"OK","Error")</f>
        <v>OK</v>
      </c>
    </row>
    <row r="33" customFormat="false" ht="15" hidden="false" customHeight="false" outlineLevel="0" collapsed="false">
      <c r="B33" s="43" t="s">
        <v>274</v>
      </c>
      <c r="C33" s="43" t="s">
        <v>258</v>
      </c>
      <c r="D33" s="44" t="s">
        <v>275</v>
      </c>
      <c r="E33" s="44" t="s">
        <v>258</v>
      </c>
      <c r="F33" s="45" t="n">
        <f aca="false">-HIST_CON!E18</f>
        <v>3890300000</v>
      </c>
      <c r="G33" s="45" t="n">
        <f aca="false">-HIST_CON!F18</f>
        <v>3416100000</v>
      </c>
      <c r="H33" s="45" t="n">
        <f aca="false">-HIST_CON!G18</f>
        <v>3418500000</v>
      </c>
      <c r="I33" s="45" t="n">
        <f aca="false">-HIST_CON!H18</f>
        <v>4186100000</v>
      </c>
      <c r="J33" s="45" t="n">
        <f aca="false">-HIST_CON!I18</f>
        <v>2583800000</v>
      </c>
      <c r="K33" s="45" t="n">
        <f aca="false">-HIST_CON!J18</f>
        <v>2598400000</v>
      </c>
      <c r="L33" s="45" t="n">
        <f aca="false">-HIST_CON!K18</f>
        <v>2596800000</v>
      </c>
      <c r="M33" s="45" t="n">
        <f aca="false">-HIST_CON!L18</f>
        <v>1896000000</v>
      </c>
      <c r="N33" s="45" t="n">
        <f aca="false">-HIST_CON!M18</f>
        <v>2591900000</v>
      </c>
      <c r="O33" s="13" t="s">
        <v>258</v>
      </c>
      <c r="P33" s="46" t="n">
        <f aca="false">IF(F34=0,"",F33/F34)</f>
        <v>0.0305976623301037</v>
      </c>
      <c r="Q33" s="46" t="n">
        <f aca="false">IF(G34=0,"",G33/G34)</f>
        <v>0.0409907077649679</v>
      </c>
      <c r="R33" s="46" t="n">
        <f aca="false">IF(H34=0,"",H33/H34)</f>
        <v>0.06803404787161</v>
      </c>
      <c r="S33" s="46" t="n">
        <f aca="false">IF(I34=0,"",I33/I34)</f>
        <v>0.140811006273441</v>
      </c>
      <c r="T33" s="46" t="n">
        <f aca="false">IF(J34=0,"",J33/J34)</f>
        <v>0.0772270243774135</v>
      </c>
      <c r="U33" s="46" t="n">
        <f aca="false">IF(K34=0,"",K33/K34)</f>
        <v>0.0394786820586528</v>
      </c>
      <c r="V33" s="46" t="n">
        <f aca="false">IF(L34=0,"",L33/L34)</f>
        <v>0.0434936261939895</v>
      </c>
      <c r="W33" s="46" t="n">
        <f aca="false">IF(M34=0,"",M33/M34)</f>
        <v>0.0290392688720787</v>
      </c>
      <c r="X33" s="46" t="n">
        <f aca="false">IF(N34=0,"",N33/N34)</f>
        <v>0.0238013028777547</v>
      </c>
    </row>
    <row r="34" customFormat="false" ht="15" hidden="false" customHeight="false" outlineLevel="0" collapsed="false">
      <c r="D34" s="6" t="s">
        <v>268</v>
      </c>
      <c r="F34" s="48" t="n">
        <f aca="false">+F20</f>
        <v>127143700000</v>
      </c>
      <c r="G34" s="48" t="n">
        <f aca="false">+G20</f>
        <v>83338400000</v>
      </c>
      <c r="H34" s="48" t="n">
        <f aca="false">+H20</f>
        <v>50246900000</v>
      </c>
      <c r="I34" s="48" t="n">
        <f aca="false">+I20</f>
        <v>29728500000</v>
      </c>
      <c r="J34" s="48" t="n">
        <f aca="false">+J20</f>
        <v>33457200000</v>
      </c>
      <c r="K34" s="48" t="n">
        <f aca="false">+K20</f>
        <v>65817800000</v>
      </c>
      <c r="L34" s="48" t="n">
        <f aca="false">+L20</f>
        <v>59705300000</v>
      </c>
      <c r="M34" s="48" t="n">
        <f aca="false">+M20</f>
        <v>65290900000</v>
      </c>
      <c r="N34" s="48" t="n">
        <f aca="false">+N20</f>
        <v>108897400000</v>
      </c>
    </row>
    <row r="36" customFormat="false" ht="15" hidden="false" customHeight="false" outlineLevel="0" collapsed="false">
      <c r="B36" s="43" t="s">
        <v>276</v>
      </c>
      <c r="C36" s="43" t="s">
        <v>258</v>
      </c>
      <c r="D36" s="44" t="s">
        <v>125</v>
      </c>
      <c r="E36" s="44" t="s">
        <v>258</v>
      </c>
      <c r="F36" s="45" t="n">
        <f aca="false">HIST_CON!E19</f>
        <v>21991800000</v>
      </c>
      <c r="G36" s="45" t="n">
        <f aca="false">HIST_CON!F19</f>
        <v>7406200000</v>
      </c>
      <c r="H36" s="45" t="n">
        <f aca="false">HIST_CON!G19</f>
        <v>-3006500000</v>
      </c>
      <c r="I36" s="45" t="n">
        <f aca="false">HIST_CON!H19</f>
        <v>-12507700000</v>
      </c>
      <c r="J36" s="45" t="n">
        <f aca="false">HIST_CON!I19</f>
        <v>2957700000</v>
      </c>
      <c r="K36" s="45" t="n">
        <f aca="false">HIST_CON!J19</f>
        <v>6518000000</v>
      </c>
      <c r="L36" s="45" t="n">
        <f aca="false">HIST_CON!K19</f>
        <v>5918700000</v>
      </c>
      <c r="M36" s="45" t="n">
        <f aca="false">HIST_CON!L19</f>
        <v>8777000000</v>
      </c>
      <c r="N36" s="45" t="n">
        <f aca="false">HIST_CON!M19</f>
        <v>17014300000</v>
      </c>
      <c r="O36" s="13" t="s">
        <v>258</v>
      </c>
      <c r="P36" s="46" t="n">
        <f aca="false">IF(F37=0,"",F36/F37)</f>
        <v>0.172968066840905</v>
      </c>
      <c r="Q36" s="46" t="n">
        <f aca="false">IF(G37=0,"",G36/G37)</f>
        <v>0.0888689967649967</v>
      </c>
      <c r="R36" s="46" t="n">
        <f aca="false">IF(H37=0,"",H36/H37)</f>
        <v>-0.0598345370560174</v>
      </c>
      <c r="S36" s="46" t="n">
        <f aca="false">IF(I37=0,"",I36/I37)</f>
        <v>-0.420730948416503</v>
      </c>
      <c r="T36" s="46" t="n">
        <f aca="false">IF(J37=0,"",J36/J37)</f>
        <v>0.0884024963236613</v>
      </c>
      <c r="U36" s="46" t="n">
        <f aca="false">IF(K37=0,"",K36/K37)</f>
        <v>0.0990309612293331</v>
      </c>
      <c r="V36" s="46" t="n">
        <f aca="false">IF(L37=0,"",L36/L37)</f>
        <v>0.0991319028628949</v>
      </c>
      <c r="W36" s="46" t="n">
        <f aca="false">IF(M37=0,"",M36/M37)</f>
        <v>0.134429147094005</v>
      </c>
      <c r="X36" s="46" t="n">
        <f aca="false">IF(N37=0,"",N36/N37)</f>
        <v>0.156241563159451</v>
      </c>
    </row>
    <row r="37" customFormat="false" ht="15" hidden="false" customHeight="false" outlineLevel="0" collapsed="false">
      <c r="D37" s="6" t="s">
        <v>268</v>
      </c>
      <c r="F37" s="48" t="n">
        <f aca="false">+F20</f>
        <v>127143700000</v>
      </c>
      <c r="G37" s="48" t="n">
        <f aca="false">+G20</f>
        <v>83338400000</v>
      </c>
      <c r="H37" s="48" t="n">
        <f aca="false">+H20</f>
        <v>50246900000</v>
      </c>
      <c r="I37" s="48" t="n">
        <f aca="false">+I20</f>
        <v>29728500000</v>
      </c>
      <c r="J37" s="48" t="n">
        <f aca="false">+J20</f>
        <v>33457200000</v>
      </c>
      <c r="K37" s="48" t="n">
        <f aca="false">+K20</f>
        <v>65817800000</v>
      </c>
      <c r="L37" s="48" t="n">
        <f aca="false">+L20</f>
        <v>59705300000</v>
      </c>
      <c r="M37" s="48" t="n">
        <f aca="false">+M20</f>
        <v>65290900000</v>
      </c>
      <c r="N37" s="48" t="n">
        <f aca="false">+N20</f>
        <v>108897400000</v>
      </c>
    </row>
    <row r="39" customFormat="false" ht="15" hidden="false" customHeight="false" outlineLevel="0" collapsed="false">
      <c r="B39" s="37" t="s">
        <v>273</v>
      </c>
      <c r="P39" s="49" t="str">
        <f aca="false">IF(ABS(P28-P33-P36)&lt;0.0001,"OK","Error")</f>
        <v>OK</v>
      </c>
      <c r="Q39" s="49" t="str">
        <f aca="false">IF(ABS(Q28-Q33-Q36)&lt;0.0001,"OK","Error")</f>
        <v>OK</v>
      </c>
      <c r="R39" s="49" t="str">
        <f aca="false">IF(ABS(R28-R33-R36)&lt;0.0001,"OK","Error")</f>
        <v>OK</v>
      </c>
      <c r="S39" s="49" t="str">
        <f aca="false">IF(ABS(S28-S33-S36)&lt;0.0001,"OK","Error")</f>
        <v>OK</v>
      </c>
      <c r="T39" s="49" t="str">
        <f aca="false">IF(ABS(T28-T33-T36)&lt;0.0001,"OK","Error")</f>
        <v>OK</v>
      </c>
      <c r="U39" s="49" t="str">
        <f aca="false">IF(ABS(U28-U33-U36)&lt;0.0001,"OK","Error")</f>
        <v>OK</v>
      </c>
      <c r="V39" s="49" t="str">
        <f aca="false">IF(ABS(V28-V33-V36)&lt;0.0001,"OK","Error")</f>
        <v>OK</v>
      </c>
      <c r="W39" s="49" t="str">
        <f aca="false">IF(ABS(W28-W33-W36)&lt;0.0001,"OK","Error")</f>
        <v>OK</v>
      </c>
      <c r="X39" s="49" t="str">
        <f aca="false">IF(ABS(X28-X33-X36)&lt;0.0001,"OK","Error")</f>
        <v>OK</v>
      </c>
    </row>
    <row r="41" customFormat="false" ht="15" hidden="false" customHeight="false" outlineLevel="0" collapsed="false">
      <c r="B41" s="43" t="s">
        <v>277</v>
      </c>
      <c r="C41" s="43" t="s">
        <v>258</v>
      </c>
      <c r="D41" s="44" t="s">
        <v>278</v>
      </c>
      <c r="E41" s="44" t="s">
        <v>258</v>
      </c>
      <c r="F41" s="45" t="n">
        <f aca="false">-(HIST_CON!E20+HIST_CON!E21)</f>
        <v>12875900000</v>
      </c>
      <c r="G41" s="45" t="n">
        <f aca="false">-(HIST_CON!F20+HIST_CON!F21)</f>
        <v>11313600000</v>
      </c>
      <c r="H41" s="45" t="n">
        <f aca="false">-(HIST_CON!G20+HIST_CON!G21)</f>
        <v>12423400000</v>
      </c>
      <c r="I41" s="45" t="n">
        <f aca="false">-(HIST_CON!H20+HIST_CON!H21)</f>
        <v>14331800000</v>
      </c>
      <c r="J41" s="45" t="n">
        <f aca="false">-(HIST_CON!I20+HIST_CON!I21)</f>
        <v>1908000000</v>
      </c>
      <c r="K41" s="45" t="n">
        <f aca="false">-(HIST_CON!J20+HIST_CON!J21)</f>
        <v>6514000000</v>
      </c>
      <c r="L41" s="45" t="n">
        <f aca="false">-(HIST_CON!K20+HIST_CON!K21)</f>
        <v>-22998400000</v>
      </c>
      <c r="M41" s="45" t="n">
        <f aca="false">-(HIST_CON!L20+HIST_CON!L21)</f>
        <v>2182100000</v>
      </c>
      <c r="N41" s="45" t="n">
        <f aca="false">-(HIST_CON!M20+HIST_CON!M21)</f>
        <v>2548000000</v>
      </c>
      <c r="O41" s="13" t="s">
        <v>258</v>
      </c>
      <c r="P41" s="46" t="n">
        <f aca="false">IF(F42=0,"",F41/F42)</f>
        <v>0.101270452252058</v>
      </c>
      <c r="Q41" s="46" t="n">
        <f aca="false">IF(G42=0,"",G41/G42)</f>
        <v>0.135754946099277</v>
      </c>
      <c r="R41" s="46" t="n">
        <f aca="false">IF(H42=0,"",H41/H42)</f>
        <v>0.247247093850566</v>
      </c>
      <c r="S41" s="46" t="n">
        <f aca="false">IF(I42=0,"",I41/I42)</f>
        <v>0.482089577341608</v>
      </c>
      <c r="T41" s="46" t="n">
        <f aca="false">IF(J42=0,"",J41/J42)</f>
        <v>0.0570280836411893</v>
      </c>
      <c r="U41" s="46" t="n">
        <f aca="false">IF(K42=0,"",K41/K42)</f>
        <v>0.0989701873961147</v>
      </c>
      <c r="V41" s="46" t="n">
        <f aca="false">IF(L42=0,"",L41/L42)</f>
        <v>-0.385198633957119</v>
      </c>
      <c r="W41" s="46" t="n">
        <f aca="false">IF(M42=0,"",M41/M42)</f>
        <v>0.0334211965220268</v>
      </c>
      <c r="X41" s="46" t="n">
        <f aca="false">IF(N42=0,"",N41/N42)</f>
        <v>0.0233981711225429</v>
      </c>
    </row>
    <row r="42" customFormat="false" ht="15" hidden="false" customHeight="false" outlineLevel="0" collapsed="false">
      <c r="D42" s="6" t="s">
        <v>268</v>
      </c>
      <c r="F42" s="48" t="n">
        <f aca="false">+F20</f>
        <v>127143700000</v>
      </c>
      <c r="G42" s="48" t="n">
        <f aca="false">+G20</f>
        <v>83338400000</v>
      </c>
      <c r="H42" s="48" t="n">
        <f aca="false">+H20</f>
        <v>50246900000</v>
      </c>
      <c r="I42" s="48" t="n">
        <f aca="false">+I20</f>
        <v>29728500000</v>
      </c>
      <c r="J42" s="48" t="n">
        <f aca="false">+J20</f>
        <v>33457200000</v>
      </c>
      <c r="K42" s="48" t="n">
        <f aca="false">+K20</f>
        <v>65817800000</v>
      </c>
      <c r="L42" s="48" t="n">
        <f aca="false">+L20</f>
        <v>59705300000</v>
      </c>
      <c r="M42" s="48" t="n">
        <f aca="false">+M20</f>
        <v>65290900000</v>
      </c>
      <c r="N42" s="48" t="n">
        <f aca="false">+N20</f>
        <v>108897400000</v>
      </c>
    </row>
    <row r="44" customFormat="false" ht="15" hidden="false" customHeight="false" outlineLevel="0" collapsed="false">
      <c r="B44" s="43" t="s">
        <v>279</v>
      </c>
      <c r="C44" s="43" t="s">
        <v>258</v>
      </c>
      <c r="D44" s="44" t="s">
        <v>280</v>
      </c>
      <c r="E44" s="44" t="s">
        <v>258</v>
      </c>
      <c r="F44" s="45" t="n">
        <f aca="false">HIST_CON!E22</f>
        <v>9115900000</v>
      </c>
      <c r="G44" s="45" t="n">
        <f aca="false">HIST_CON!F22</f>
        <v>-3907400000</v>
      </c>
      <c r="H44" s="45" t="n">
        <f aca="false">HIST_CON!G22</f>
        <v>-15429900000</v>
      </c>
      <c r="I44" s="45" t="n">
        <f aca="false">HIST_CON!H22</f>
        <v>-26839500000</v>
      </c>
      <c r="J44" s="45" t="n">
        <f aca="false">HIST_CON!I22</f>
        <v>1049700000</v>
      </c>
      <c r="K44" s="45" t="n">
        <f aca="false">HIST_CON!J22</f>
        <v>4000000</v>
      </c>
      <c r="L44" s="45" t="n">
        <f aca="false">HIST_CON!K22</f>
        <v>28917100000</v>
      </c>
      <c r="M44" s="45" t="n">
        <f aca="false">HIST_CON!L22</f>
        <v>6594900000</v>
      </c>
      <c r="N44" s="45" t="n">
        <f aca="false">HIST_CON!M22</f>
        <v>14466300000</v>
      </c>
      <c r="O44" s="13" t="s">
        <v>258</v>
      </c>
      <c r="P44" s="46" t="n">
        <f aca="false">IF(F45=0,"",F44/F45)</f>
        <v>0.0716976145888471</v>
      </c>
      <c r="Q44" s="46" t="n">
        <f aca="false">IF(G45=0,"",G44/G45)</f>
        <v>-0.0468859493342805</v>
      </c>
      <c r="R44" s="46" t="n">
        <f aca="false">IF(H45=0,"",H44/H45)</f>
        <v>-0.307081630906583</v>
      </c>
      <c r="S44" s="46" t="n">
        <f aca="false">IF(I45=0,"",I44/I45)</f>
        <v>-0.902820525758111</v>
      </c>
      <c r="T44" s="46" t="n">
        <f aca="false">IF(J45=0,"",J44/J45)</f>
        <v>0.0313744126824719</v>
      </c>
      <c r="U44" s="46" t="n">
        <f aca="false">IF(K45=0,"",K44/K45)</f>
        <v>6.07738332183695E-005</v>
      </c>
      <c r="V44" s="46" t="n">
        <f aca="false">IF(L45=0,"",L44/L45)</f>
        <v>0.484330536820014</v>
      </c>
      <c r="W44" s="46" t="n">
        <f aca="false">IF(M45=0,"",M44/M45)</f>
        <v>0.101007950571979</v>
      </c>
      <c r="X44" s="46" t="n">
        <f aca="false">IF(N45=0,"",N44/N45)</f>
        <v>0.132843392036908</v>
      </c>
    </row>
    <row r="45" customFormat="false" ht="15" hidden="false" customHeight="false" outlineLevel="0" collapsed="false">
      <c r="D45" s="6" t="s">
        <v>268</v>
      </c>
      <c r="F45" s="48" t="n">
        <f aca="false">+F20</f>
        <v>127143700000</v>
      </c>
      <c r="G45" s="48" t="n">
        <f aca="false">+G20</f>
        <v>83338400000</v>
      </c>
      <c r="H45" s="48" t="n">
        <f aca="false">+H20</f>
        <v>50246900000</v>
      </c>
      <c r="I45" s="48" t="n">
        <f aca="false">+I20</f>
        <v>29728500000</v>
      </c>
      <c r="J45" s="48" t="n">
        <f aca="false">+J20</f>
        <v>33457200000</v>
      </c>
      <c r="K45" s="48" t="n">
        <f aca="false">+K20</f>
        <v>65817800000</v>
      </c>
      <c r="L45" s="48" t="n">
        <f aca="false">+L20</f>
        <v>59705300000</v>
      </c>
      <c r="M45" s="48" t="n">
        <f aca="false">+M20</f>
        <v>65290900000</v>
      </c>
      <c r="N45" s="48" t="n">
        <f aca="false">+N20</f>
        <v>108897400000</v>
      </c>
    </row>
    <row r="47" customFormat="false" ht="15" hidden="false" customHeight="false" outlineLevel="0" collapsed="false">
      <c r="B47" s="37" t="s">
        <v>273</v>
      </c>
      <c r="P47" s="49" t="str">
        <f aca="false">IF(ABS(P36-P41-P44)&lt;0.0001,"OK","Error")</f>
        <v>OK</v>
      </c>
      <c r="Q47" s="49" t="str">
        <f aca="false">IF(ABS(Q36-Q41-Q44)&lt;0.0001,"OK","Error")</f>
        <v>OK</v>
      </c>
      <c r="R47" s="49" t="str">
        <f aca="false">IF(ABS(R36-R41-R44)&lt;0.0001,"OK","Error")</f>
        <v>OK</v>
      </c>
      <c r="S47" s="49" t="str">
        <f aca="false">IF(ABS(S36-S41-S44)&lt;0.0001,"OK","Error")</f>
        <v>OK</v>
      </c>
      <c r="T47" s="49" t="str">
        <f aca="false">IF(ABS(T36-T41-T44)&lt;0.0001,"OK","Error")</f>
        <v>OK</v>
      </c>
      <c r="U47" s="49" t="str">
        <f aca="false">IF(ABS(U36-U41-U44)&lt;0.0001,"OK","Error")</f>
        <v>OK</v>
      </c>
      <c r="V47" s="49" t="str">
        <f aca="false">IF(ABS(V36-V41-V44)&lt;0.0001,"OK","Error")</f>
        <v>OK</v>
      </c>
      <c r="W47" s="49" t="str">
        <f aca="false">IF(ABS(W36-W41-W44)&lt;0.0001,"OK","Error")</f>
        <v>OK</v>
      </c>
      <c r="X47" s="49" t="str">
        <f aca="false">IF(ABS(X36-X41-X44)&lt;0.0001,"OK","Error")</f>
        <v>OK</v>
      </c>
    </row>
    <row r="49" customFormat="false" ht="15" hidden="false" customHeight="false" outlineLevel="0" collapsed="false">
      <c r="B49" s="43" t="s">
        <v>281</v>
      </c>
      <c r="C49" s="43" t="s">
        <v>258</v>
      </c>
      <c r="D49" s="44" t="s">
        <v>282</v>
      </c>
      <c r="E49" s="44" t="s">
        <v>258</v>
      </c>
      <c r="F49" s="45" t="n">
        <f aca="false">-HIST_CON!E25</f>
        <v>117000000</v>
      </c>
      <c r="G49" s="45" t="n">
        <f aca="false">-HIST_CON!F25</f>
        <v>-15600000</v>
      </c>
      <c r="H49" s="45" t="n">
        <f aca="false">-HIST_CON!G25</f>
        <v>-119000000</v>
      </c>
      <c r="I49" s="45" t="n">
        <f aca="false">-HIST_CON!H25</f>
        <v>74400000</v>
      </c>
      <c r="J49" s="45" t="n">
        <f aca="false">-HIST_CON!I25</f>
        <v>46300000</v>
      </c>
      <c r="K49" s="45" t="n">
        <f aca="false">-HIST_CON!J25</f>
        <v>1665900000</v>
      </c>
      <c r="L49" s="45" t="n">
        <f aca="false">-HIST_CON!K25</f>
        <v>44200000</v>
      </c>
      <c r="M49" s="45" t="n">
        <f aca="false">-HIST_CON!L25</f>
        <v>-8600000</v>
      </c>
      <c r="N49" s="45" t="n">
        <f aca="false">-HIST_CON!M25</f>
        <v>-6250000000</v>
      </c>
      <c r="O49" s="13" t="s">
        <v>258</v>
      </c>
      <c r="P49" s="46" t="n">
        <f aca="false">IF(F50=0,"",F49/F50)</f>
        <v>0.000920218618775449</v>
      </c>
      <c r="Q49" s="46" t="n">
        <f aca="false">IF(G50=0,"",G49/G50)</f>
        <v>-0.000187188618931969</v>
      </c>
      <c r="R49" s="46" t="n">
        <f aca="false">IF(H50=0,"",H49/H50)</f>
        <v>-0.00236830530838718</v>
      </c>
      <c r="S49" s="46" t="n">
        <f aca="false">IF(I50=0,"",I49/I50)</f>
        <v>0.00250264897320753</v>
      </c>
      <c r="T49" s="46" t="n">
        <f aca="false">IF(J50=0,"",J49/J50)</f>
        <v>0.00138385758521335</v>
      </c>
      <c r="U49" s="46" t="n">
        <f aca="false">IF(K50=0,"",K49/K50)</f>
        <v>0.0253107821896204</v>
      </c>
      <c r="V49" s="46" t="n">
        <f aca="false">IF(L50=0,"",L49/L50)</f>
        <v>0.000740302787189747</v>
      </c>
      <c r="W49" s="46" t="n">
        <f aca="false">IF(M50=0,"",M49/M50)</f>
        <v>-0.000131718202689808</v>
      </c>
      <c r="X49" s="46" t="n">
        <f aca="false">IF(N50=0,"",N49/N50)</f>
        <v>-0.057393473122407</v>
      </c>
    </row>
    <row r="50" customFormat="false" ht="15" hidden="false" customHeight="false" outlineLevel="0" collapsed="false">
      <c r="D50" s="6" t="s">
        <v>268</v>
      </c>
      <c r="F50" s="48" t="n">
        <f aca="false">+F20</f>
        <v>127143700000</v>
      </c>
      <c r="G50" s="48" t="n">
        <f aca="false">+G20</f>
        <v>83338400000</v>
      </c>
      <c r="H50" s="48" t="n">
        <f aca="false">+H20</f>
        <v>50246900000</v>
      </c>
      <c r="I50" s="48" t="n">
        <f aca="false">+I20</f>
        <v>29728500000</v>
      </c>
      <c r="J50" s="48" t="n">
        <f aca="false">+J20</f>
        <v>33457200000</v>
      </c>
      <c r="K50" s="48" t="n">
        <f aca="false">+K20</f>
        <v>65817800000</v>
      </c>
      <c r="L50" s="48" t="n">
        <f aca="false">+L20</f>
        <v>59705300000</v>
      </c>
      <c r="M50" s="48" t="n">
        <f aca="false">+M20</f>
        <v>65290900000</v>
      </c>
      <c r="N50" s="48" t="n">
        <f aca="false">+N20</f>
        <v>108897400000</v>
      </c>
    </row>
    <row r="52" customFormat="false" ht="15" hidden="false" customHeight="false" outlineLevel="0" collapsed="false">
      <c r="B52" s="43" t="s">
        <v>283</v>
      </c>
      <c r="C52" s="43" t="s">
        <v>258</v>
      </c>
      <c r="D52" s="44" t="s">
        <v>259</v>
      </c>
      <c r="E52" s="44" t="s">
        <v>258</v>
      </c>
      <c r="F52" s="47" t="n">
        <f aca="false">+F7</f>
        <v>8998900000</v>
      </c>
      <c r="G52" s="47" t="n">
        <f aca="false">+G7</f>
        <v>-3891800000</v>
      </c>
      <c r="H52" s="47" t="n">
        <f aca="false">+H7</f>
        <v>-15310900000</v>
      </c>
      <c r="I52" s="47" t="n">
        <f aca="false">+I7</f>
        <v>-26913900000</v>
      </c>
      <c r="J52" s="47" t="n">
        <f aca="false">+J7</f>
        <v>1003400000</v>
      </c>
      <c r="K52" s="47" t="n">
        <f aca="false">+K7</f>
        <v>-1661900000</v>
      </c>
      <c r="L52" s="47" t="n">
        <f aca="false">+L7</f>
        <v>28872900000</v>
      </c>
      <c r="M52" s="47" t="n">
        <f aca="false">+M7</f>
        <v>6603500000</v>
      </c>
      <c r="N52" s="47" t="n">
        <f aca="false">+N7</f>
        <v>20716300000</v>
      </c>
      <c r="O52" s="13" t="s">
        <v>258</v>
      </c>
      <c r="P52" s="46" t="n">
        <f aca="false">IF(F53=0,"",F52/F53)</f>
        <v>0.0707773959700717</v>
      </c>
      <c r="Q52" s="46" t="n">
        <f aca="false">IF(G53=0,"",G52/G53)</f>
        <v>-0.0466987607153485</v>
      </c>
      <c r="R52" s="46" t="n">
        <f aca="false">IF(H53=0,"",H52/H53)</f>
        <v>-0.304713325598196</v>
      </c>
      <c r="S52" s="46" t="n">
        <f aca="false">IF(I53=0,"",I52/I53)</f>
        <v>-0.905323174731318</v>
      </c>
      <c r="T52" s="46" t="n">
        <f aca="false">IF(J53=0,"",J52/J53)</f>
        <v>0.0299905550972586</v>
      </c>
      <c r="U52" s="46" t="n">
        <f aca="false">IF(K53=0,"",K52/K53)</f>
        <v>-0.0252500083564021</v>
      </c>
      <c r="V52" s="46" t="n">
        <f aca="false">IF(L53=0,"",L52/L53)</f>
        <v>0.483590234032825</v>
      </c>
      <c r="W52" s="46" t="n">
        <f aca="false">IF(M53=0,"",M52/M53)</f>
        <v>0.101139668774668</v>
      </c>
      <c r="X52" s="46" t="n">
        <f aca="false">IF(N53=0,"",N52/N53)</f>
        <v>0.190236865159315</v>
      </c>
    </row>
    <row r="53" customFormat="false" ht="15" hidden="false" customHeight="false" outlineLevel="0" collapsed="false">
      <c r="D53" s="6" t="s">
        <v>268</v>
      </c>
      <c r="F53" s="48" t="n">
        <f aca="false">+F20</f>
        <v>127143700000</v>
      </c>
      <c r="G53" s="48" t="n">
        <f aca="false">+G20</f>
        <v>83338400000</v>
      </c>
      <c r="H53" s="48" t="n">
        <f aca="false">+H20</f>
        <v>50246900000</v>
      </c>
      <c r="I53" s="48" t="n">
        <f aca="false">+I20</f>
        <v>29728500000</v>
      </c>
      <c r="J53" s="48" t="n">
        <f aca="false">+J20</f>
        <v>33457200000</v>
      </c>
      <c r="K53" s="48" t="n">
        <f aca="false">+K20</f>
        <v>65817800000</v>
      </c>
      <c r="L53" s="48" t="n">
        <f aca="false">+L20</f>
        <v>59705300000</v>
      </c>
      <c r="M53" s="48" t="n">
        <f aca="false">+M20</f>
        <v>65290900000</v>
      </c>
      <c r="N53" s="48" t="n">
        <f aca="false">+N20</f>
        <v>108897400000</v>
      </c>
    </row>
    <row r="55" customFormat="false" ht="15" hidden="false" customHeight="false" outlineLevel="0" collapsed="false">
      <c r="B55" s="37" t="s">
        <v>273</v>
      </c>
      <c r="P55" s="49" t="str">
        <f aca="false">IF(ABS(P44-P49-P52)&lt;0.0001,"OK","Error")</f>
        <v>OK</v>
      </c>
      <c r="Q55" s="49" t="str">
        <f aca="false">IF(ABS(Q44-Q49-Q52)&lt;0.0001,"OK","Error")</f>
        <v>OK</v>
      </c>
      <c r="R55" s="49" t="str">
        <f aca="false">IF(ABS(R44-R49-R52)&lt;0.0001,"OK","Error")</f>
        <v>OK</v>
      </c>
      <c r="S55" s="49" t="str">
        <f aca="false">IF(ABS(S44-S49-S52)&lt;0.0001,"OK","Error")</f>
        <v>OK</v>
      </c>
      <c r="T55" s="49" t="str">
        <f aca="false">IF(ABS(T44-T49-T52)&lt;0.0001,"OK","Error")</f>
        <v>OK</v>
      </c>
      <c r="U55" s="49" t="str">
        <f aca="false">IF(ABS(U44-U49-U52)&lt;0.0001,"OK","Error")</f>
        <v>OK</v>
      </c>
      <c r="V55" s="49" t="str">
        <f aca="false">IF(ABS(V44-V49-V52)&lt;0.0001,"OK","Error")</f>
        <v>OK</v>
      </c>
      <c r="W55" s="49" t="str">
        <f aca="false">IF(ABS(W44-W49-W52)&lt;0.0001,"OK","Error")</f>
        <v>OK</v>
      </c>
      <c r="X55" s="49" t="str">
        <f aca="false">IF(ABS(X44-X49-X52)&lt;0.0001,"OK","Error")</f>
        <v>OK</v>
      </c>
    </row>
    <row r="57" customFormat="false" ht="15" hidden="false" customHeight="false" outlineLevel="0" collapsed="false">
      <c r="B57" s="43" t="s">
        <v>284</v>
      </c>
      <c r="C57" s="43" t="s">
        <v>258</v>
      </c>
      <c r="D57" s="44" t="s">
        <v>282</v>
      </c>
      <c r="E57" s="44" t="s">
        <v>258</v>
      </c>
      <c r="F57" s="47" t="n">
        <f aca="false">+F49</f>
        <v>117000000</v>
      </c>
      <c r="G57" s="47" t="n">
        <f aca="false">+G49</f>
        <v>-15600000</v>
      </c>
      <c r="H57" s="47" t="n">
        <f aca="false">+H49</f>
        <v>-119000000</v>
      </c>
      <c r="I57" s="47" t="n">
        <f aca="false">+I49</f>
        <v>74400000</v>
      </c>
      <c r="J57" s="47" t="n">
        <f aca="false">+J49</f>
        <v>46300000</v>
      </c>
      <c r="K57" s="47" t="n">
        <f aca="false">+K49</f>
        <v>1665900000</v>
      </c>
      <c r="L57" s="47" t="n">
        <f aca="false">+L49</f>
        <v>44200000</v>
      </c>
      <c r="M57" s="47" t="n">
        <f aca="false">+M49</f>
        <v>-8600000</v>
      </c>
      <c r="N57" s="47" t="n">
        <f aca="false">+N49</f>
        <v>-6250000000</v>
      </c>
      <c r="O57" s="13" t="s">
        <v>258</v>
      </c>
      <c r="P57" s="46" t="n">
        <f aca="false">IF(F58=0,"",F57/F58)</f>
        <v>0.0128347173619719</v>
      </c>
      <c r="Q57" s="46" t="n">
        <f aca="false">IF(G58=0,"",G57/G58)</f>
        <v>0.00399242463018887</v>
      </c>
      <c r="R57" s="46" t="n">
        <f aca="false">IF(H58=0,"",H57/H58)</f>
        <v>0.00771229884833991</v>
      </c>
      <c r="S57" s="46" t="n">
        <f aca="false">IF(I58=0,"",I57/I58)</f>
        <v>-0.00277203375621752</v>
      </c>
      <c r="T57" s="46" t="n">
        <f aca="false">IF(J58=0,"",J57/J58)</f>
        <v>0.0441078403353339</v>
      </c>
      <c r="U57" s="46" t="n">
        <f aca="false">IF(K58=0,"",K57/K58)</f>
        <v>416.475</v>
      </c>
      <c r="V57" s="46" t="n">
        <f aca="false">IF(L58=0,"",L57/L58)</f>
        <v>0.00152850735378029</v>
      </c>
      <c r="W57" s="46" t="n">
        <f aca="false">IF(M58=0,"",M57/M58)</f>
        <v>-0.00130403796873342</v>
      </c>
      <c r="X57" s="46" t="n">
        <f aca="false">IF(N58=0,"",N57/N58)</f>
        <v>-0.432038600056684</v>
      </c>
    </row>
    <row r="58" customFormat="false" ht="15" hidden="false" customHeight="false" outlineLevel="0" collapsed="false">
      <c r="D58" s="6" t="s">
        <v>280</v>
      </c>
      <c r="F58" s="48" t="n">
        <f aca="false">+F44</f>
        <v>9115900000</v>
      </c>
      <c r="G58" s="48" t="n">
        <f aca="false">+G44</f>
        <v>-3907400000</v>
      </c>
      <c r="H58" s="48" t="n">
        <f aca="false">+H44</f>
        <v>-15429900000</v>
      </c>
      <c r="I58" s="48" t="n">
        <f aca="false">+I44</f>
        <v>-26839500000</v>
      </c>
      <c r="J58" s="48" t="n">
        <f aca="false">+J44</f>
        <v>1049700000</v>
      </c>
      <c r="K58" s="48" t="n">
        <f aca="false">+K44</f>
        <v>4000000</v>
      </c>
      <c r="L58" s="48" t="n">
        <f aca="false">+L44</f>
        <v>28917100000</v>
      </c>
      <c r="M58" s="48" t="n">
        <f aca="false">+M44</f>
        <v>6594900000</v>
      </c>
      <c r="N58" s="48" t="n">
        <f aca="false">+N44</f>
        <v>14466300000</v>
      </c>
    </row>
    <row r="60" customFormat="false" ht="15" hidden="false" customHeight="false" outlineLevel="0" collapsed="false">
      <c r="B60" s="43" t="s">
        <v>285</v>
      </c>
      <c r="C60" s="43" t="s">
        <v>258</v>
      </c>
      <c r="D60" s="44" t="s">
        <v>259</v>
      </c>
      <c r="E60" s="44" t="s">
        <v>258</v>
      </c>
      <c r="F60" s="47" t="n">
        <f aca="false">+F7</f>
        <v>8998900000</v>
      </c>
      <c r="G60" s="47" t="n">
        <f aca="false">+G7</f>
        <v>-3891800000</v>
      </c>
      <c r="H60" s="47" t="n">
        <f aca="false">+H7</f>
        <v>-15310900000</v>
      </c>
      <c r="I60" s="47" t="n">
        <f aca="false">+I7</f>
        <v>-26913900000</v>
      </c>
      <c r="J60" s="47" t="n">
        <f aca="false">+J7</f>
        <v>1003400000</v>
      </c>
      <c r="K60" s="47" t="n">
        <f aca="false">+K7</f>
        <v>-1661900000</v>
      </c>
      <c r="L60" s="47" t="n">
        <f aca="false">+L7</f>
        <v>28872900000</v>
      </c>
      <c r="M60" s="47" t="n">
        <f aca="false">+M7</f>
        <v>6603500000</v>
      </c>
      <c r="N60" s="47" t="n">
        <f aca="false">+N7</f>
        <v>20716300000</v>
      </c>
      <c r="O60" s="13" t="s">
        <v>258</v>
      </c>
      <c r="P60" s="46" t="n">
        <f aca="false">IF(F61=0,"",F60/F61)</f>
        <v>0.987165282638028</v>
      </c>
      <c r="Q60" s="46" t="n">
        <f aca="false">IF(G61=0,"",G60/G61)</f>
        <v>0.996007575369811</v>
      </c>
      <c r="R60" s="46" t="n">
        <f aca="false">IF(H61=0,"",H60/H61)</f>
        <v>0.99228770115166</v>
      </c>
      <c r="S60" s="46" t="n">
        <f aca="false">IF(I61=0,"",I60/I61)</f>
        <v>1.00277203375622</v>
      </c>
      <c r="T60" s="46" t="n">
        <f aca="false">IF(J61=0,"",J60/J61)</f>
        <v>0.955892159664666</v>
      </c>
      <c r="U60" s="46" t="n">
        <f aca="false">IF(K61=0,"",K60/K61)</f>
        <v>-415.475</v>
      </c>
      <c r="V60" s="46" t="n">
        <f aca="false">IF(L61=0,"",L60/L61)</f>
        <v>0.99847149264622</v>
      </c>
      <c r="W60" s="46" t="n">
        <f aca="false">IF(M61=0,"",M60/M61)</f>
        <v>1.00130403796873</v>
      </c>
      <c r="X60" s="46" t="n">
        <f aca="false">IF(N61=0,"",N60/N61)</f>
        <v>1.43203860005668</v>
      </c>
    </row>
    <row r="61" customFormat="false" ht="15" hidden="false" customHeight="false" outlineLevel="0" collapsed="false">
      <c r="D61" s="6" t="s">
        <v>280</v>
      </c>
      <c r="F61" s="48" t="n">
        <f aca="false">+F44</f>
        <v>9115900000</v>
      </c>
      <c r="G61" s="48" t="n">
        <f aca="false">+G44</f>
        <v>-3907400000</v>
      </c>
      <c r="H61" s="48" t="n">
        <f aca="false">+H44</f>
        <v>-15429900000</v>
      </c>
      <c r="I61" s="48" t="n">
        <f aca="false">+I44</f>
        <v>-26839500000</v>
      </c>
      <c r="J61" s="48" t="n">
        <f aca="false">+J44</f>
        <v>1049700000</v>
      </c>
      <c r="K61" s="48" t="n">
        <f aca="false">+K44</f>
        <v>4000000</v>
      </c>
      <c r="L61" s="48" t="n">
        <f aca="false">+L44</f>
        <v>28917100000</v>
      </c>
      <c r="M61" s="48" t="n">
        <f aca="false">+M44</f>
        <v>6594900000</v>
      </c>
      <c r="N61" s="48" t="n">
        <f aca="false">+N44</f>
        <v>14466300000</v>
      </c>
    </row>
    <row r="63" customFormat="false" ht="15" hidden="false" customHeight="false" outlineLevel="0" collapsed="false">
      <c r="B63" s="43" t="s">
        <v>286</v>
      </c>
      <c r="C63" s="43" t="s">
        <v>258</v>
      </c>
      <c r="D63" s="44" t="s">
        <v>287</v>
      </c>
      <c r="E63" s="44" t="s">
        <v>258</v>
      </c>
      <c r="F63" s="45" t="n">
        <f aca="false">ABS(HIST_CON!E20)</f>
        <v>12875900000</v>
      </c>
      <c r="G63" s="45" t="n">
        <f aca="false">ABS(HIST_CON!F20)</f>
        <v>15809800000</v>
      </c>
      <c r="H63" s="45" t="n">
        <f aca="false">ABS(HIST_CON!G20)</f>
        <v>12699100000</v>
      </c>
      <c r="I63" s="45" t="n">
        <f aca="false">ABS(HIST_CON!H20)</f>
        <v>13672900000</v>
      </c>
      <c r="J63" s="45" t="n">
        <f aca="false">ABS(HIST_CON!I20)</f>
        <v>9962600000</v>
      </c>
      <c r="K63" s="45" t="n">
        <f aca="false">ABS(HIST_CON!J20)</f>
        <v>7345200000</v>
      </c>
      <c r="L63" s="45" t="n">
        <f aca="false">ABS(HIST_CON!K20)</f>
        <v>4207600000</v>
      </c>
      <c r="M63" s="45" t="n">
        <f aca="false">ABS(HIST_CON!L20)</f>
        <v>1643200000</v>
      </c>
      <c r="N63" s="45" t="n">
        <f aca="false">ABS(HIST_CON!M20)</f>
        <v>2548000000</v>
      </c>
      <c r="O63" s="13" t="s">
        <v>258</v>
      </c>
      <c r="P63" s="46" t="n">
        <f aca="false">IF(F64=0,"",F63/F64)</f>
        <v>0.18613893161553</v>
      </c>
      <c r="Q63" s="46" t="n">
        <f aca="false">IF(G64=0,"",G63/G64)</f>
        <v>0.136230780101265</v>
      </c>
      <c r="R63" s="46" t="n">
        <f aca="false">IF(H64=0,"",H63/H64)</f>
        <v>0.131953370400658</v>
      </c>
      <c r="S63" s="46" t="n">
        <f aca="false">IF(I64=0,"",I63/I64)</f>
        <v>0.141167008410406</v>
      </c>
      <c r="T63" s="46" t="n">
        <f aca="false">IF(J64=0,"",J63/J64)</f>
        <v>0.160621293857033</v>
      </c>
      <c r="U63" s="46" t="n">
        <f aca="false">IF(K64=0,"",K63/K64)</f>
        <v>0.114938283968854</v>
      </c>
      <c r="V63" s="46" t="n">
        <f aca="false">IF(L64=0,"",L63/L64)</f>
        <v>0.220885305111083</v>
      </c>
      <c r="W63" s="46" t="n">
        <f aca="false">IF(M64=0,"",M63/M64)</f>
        <v>1.49449749886312</v>
      </c>
      <c r="X63" s="46" t="n">
        <f aca="false">IF(N64=0,"",N63/N64)</f>
        <v>0.899304697702326</v>
      </c>
    </row>
    <row r="64" customFormat="false" ht="15" hidden="false" customHeight="false" outlineLevel="0" collapsed="false">
      <c r="D64" s="6" t="s">
        <v>288</v>
      </c>
      <c r="F64" s="30" t="n">
        <f aca="false">(HIST_CON!E76+HIST_CON!E85+0+0)</f>
        <v>69173600000</v>
      </c>
      <c r="G64" s="30" t="n">
        <f aca="false">(HIST_CON!F76+HIST_CON!F85+0+0)</f>
        <v>116051600000</v>
      </c>
      <c r="H64" s="30" t="n">
        <f aca="false">(HIST_CON!G76+HIST_CON!G85+0+0)</f>
        <v>96239300000</v>
      </c>
      <c r="I64" s="30" t="n">
        <f aca="false">(HIST_CON!H76+HIST_CON!H85+0+0)</f>
        <v>96856200000</v>
      </c>
      <c r="J64" s="30" t="n">
        <f aca="false">(HIST_CON!I76+HIST_CON!I85+0+0)</f>
        <v>62025400000</v>
      </c>
      <c r="K64" s="30" t="n">
        <f aca="false">(HIST_CON!J76+HIST_CON!J85+0+0)</f>
        <v>63905600000</v>
      </c>
      <c r="L64" s="30" t="n">
        <f aca="false">(HIST_CON!K76+HIST_CON!K85+0+0)</f>
        <v>19048800000</v>
      </c>
      <c r="M64" s="30" t="n">
        <f aca="false">(HIST_CON!L76+HIST_CON!L85+0+0)</f>
        <v>1099500000</v>
      </c>
      <c r="N64" s="30" t="n">
        <f aca="false">(HIST_CON!M76+HIST_CON!M85+0+0)</f>
        <v>2833300000</v>
      </c>
    </row>
    <row r="66" customFormat="false" ht="15" hidden="false" customHeight="false" outlineLevel="0" collapsed="false">
      <c r="B66" s="43" t="s">
        <v>289</v>
      </c>
      <c r="C66" s="43" t="s">
        <v>258</v>
      </c>
      <c r="D66" s="44" t="s">
        <v>280</v>
      </c>
      <c r="E66" s="44" t="s">
        <v>258</v>
      </c>
      <c r="F66" s="47" t="n">
        <f aca="false">+F44</f>
        <v>9115900000</v>
      </c>
      <c r="G66" s="47" t="n">
        <f aca="false">+G44</f>
        <v>-3907400000</v>
      </c>
      <c r="H66" s="47" t="n">
        <f aca="false">+H44</f>
        <v>-15429900000</v>
      </c>
      <c r="I66" s="47" t="n">
        <f aca="false">+I44</f>
        <v>-26839500000</v>
      </c>
      <c r="J66" s="47" t="n">
        <f aca="false">+J44</f>
        <v>1049700000</v>
      </c>
      <c r="K66" s="47" t="n">
        <f aca="false">+K44</f>
        <v>4000000</v>
      </c>
      <c r="L66" s="47" t="n">
        <f aca="false">+L44</f>
        <v>28917100000</v>
      </c>
      <c r="M66" s="47" t="n">
        <f aca="false">+M44</f>
        <v>6594900000</v>
      </c>
      <c r="N66" s="47" t="n">
        <f aca="false">+N44</f>
        <v>14466300000</v>
      </c>
      <c r="O66" s="13" t="s">
        <v>258</v>
      </c>
      <c r="P66" s="46" t="n">
        <f aca="false">IF(F67=0,"",F66/F67)</f>
        <v>0.414513591429533</v>
      </c>
      <c r="Q66" s="46" t="n">
        <f aca="false">IF(G67=0,"",G66/G67)</f>
        <v>-0.527584996354406</v>
      </c>
      <c r="R66" s="46" t="n">
        <f aca="false">IF(H67=0,"",H66/H67)</f>
        <v>5.13218027606852</v>
      </c>
      <c r="S66" s="46" t="n">
        <f aca="false">IF(I67=0,"",I66/I67)</f>
        <v>2.14583816369117</v>
      </c>
      <c r="T66" s="46" t="n">
        <f aca="false">IF(J67=0,"",J66/J67)</f>
        <v>0.354904148493762</v>
      </c>
      <c r="U66" s="46" t="n">
        <f aca="false">IF(K67=0,"",K66/K67)</f>
        <v>0.000613685179502915</v>
      </c>
      <c r="V66" s="46" t="n">
        <f aca="false">IF(L67=0,"",L66/L67)</f>
        <v>4.88571814756619</v>
      </c>
      <c r="W66" s="46" t="n">
        <f aca="false">IF(M67=0,"",M66/M67)</f>
        <v>0.751384299874673</v>
      </c>
      <c r="X66" s="46" t="n">
        <f aca="false">IF(N67=0,"",N66/N67)</f>
        <v>0.850243618603175</v>
      </c>
    </row>
    <row r="67" customFormat="false" ht="15" hidden="false" customHeight="false" outlineLevel="0" collapsed="false">
      <c r="D67" s="6" t="s">
        <v>125</v>
      </c>
      <c r="F67" s="48" t="n">
        <f aca="false">+F36</f>
        <v>21991800000</v>
      </c>
      <c r="G67" s="48" t="n">
        <f aca="false">+G36</f>
        <v>7406200000</v>
      </c>
      <c r="H67" s="48" t="n">
        <f aca="false">+H36</f>
        <v>-3006500000</v>
      </c>
      <c r="I67" s="48" t="n">
        <f aca="false">+I36</f>
        <v>-12507700000</v>
      </c>
      <c r="J67" s="48" t="n">
        <f aca="false">+J36</f>
        <v>2957700000</v>
      </c>
      <c r="K67" s="48" t="n">
        <f aca="false">+K36</f>
        <v>6518000000</v>
      </c>
      <c r="L67" s="48" t="n">
        <f aca="false">+L36</f>
        <v>5918700000</v>
      </c>
      <c r="M67" s="48" t="n">
        <f aca="false">+M36</f>
        <v>8777000000</v>
      </c>
      <c r="N67" s="48" t="n">
        <f aca="false">+N36</f>
        <v>17014300000</v>
      </c>
    </row>
    <row r="69" customFormat="false" ht="15" hidden="false" customHeight="false" outlineLevel="0" collapsed="false">
      <c r="A69" s="39" t="s">
        <v>26</v>
      </c>
      <c r="B69" s="42" t="s">
        <v>290</v>
      </c>
      <c r="C69" s="39"/>
      <c r="D69" s="39"/>
      <c r="E69" s="39"/>
      <c r="F69" s="39"/>
      <c r="G69" s="39"/>
      <c r="H69" s="39"/>
      <c r="I69" s="39"/>
      <c r="J69" s="39"/>
      <c r="K69" s="39"/>
      <c r="L69" s="39"/>
      <c r="M69" s="39"/>
      <c r="N69" s="39"/>
      <c r="O69" s="39"/>
      <c r="P69" s="39"/>
      <c r="Q69" s="39"/>
      <c r="R69" s="39"/>
      <c r="S69" s="39"/>
      <c r="T69" s="39"/>
      <c r="U69" s="39"/>
      <c r="V69" s="39"/>
      <c r="W69" s="39"/>
      <c r="X69" s="39"/>
    </row>
    <row r="70" customFormat="false" ht="15" hidden="false" customHeight="false" outlineLevel="0" collapsed="false">
      <c r="B70" s="43" t="s">
        <v>291</v>
      </c>
      <c r="C70" s="43" t="s">
        <v>258</v>
      </c>
      <c r="D70" s="44" t="s">
        <v>268</v>
      </c>
      <c r="E70" s="44" t="s">
        <v>258</v>
      </c>
      <c r="F70" s="47" t="n">
        <f aca="false">+F20</f>
        <v>127143700000</v>
      </c>
      <c r="G70" s="47" t="n">
        <f aca="false">+G20</f>
        <v>83338400000</v>
      </c>
      <c r="H70" s="47" t="n">
        <f aca="false">+H20</f>
        <v>50246900000</v>
      </c>
      <c r="I70" s="47" t="n">
        <f aca="false">+I20</f>
        <v>29728500000</v>
      </c>
      <c r="J70" s="47" t="n">
        <f aca="false">+J20</f>
        <v>33457200000</v>
      </c>
      <c r="K70" s="47" t="n">
        <f aca="false">+K20</f>
        <v>65817800000</v>
      </c>
      <c r="L70" s="47" t="n">
        <f aca="false">+L20</f>
        <v>59705300000</v>
      </c>
      <c r="M70" s="47" t="n">
        <f aca="false">+M20</f>
        <v>65290900000</v>
      </c>
      <c r="N70" s="47" t="n">
        <f aca="false">+N20</f>
        <v>108897400000</v>
      </c>
      <c r="O70" s="13" t="s">
        <v>258</v>
      </c>
      <c r="P70" s="50" t="n">
        <f aca="false">IF(F71=0,"",F70/F71)</f>
        <v>1.04558103962961</v>
      </c>
      <c r="Q70" s="50" t="n">
        <f aca="false">IF(G71=0,"",G70/G71)</f>
        <v>0.74940762928519</v>
      </c>
      <c r="R70" s="50" t="n">
        <f aca="false">IF(H71=0,"",H70/H71)</f>
        <v>0.566423286900668</v>
      </c>
      <c r="S70" s="50" t="n">
        <f aca="false">IF(I71=0,"",I70/I71)</f>
        <v>0.455235936818088</v>
      </c>
      <c r="T70" s="50" t="n">
        <f aca="false">IF(J71=0,"",J70/J71)</f>
        <v>0.50684356674428</v>
      </c>
      <c r="U70" s="50" t="n">
        <f aca="false">IF(K71=0,"",K70/K71)</f>
        <v>1.01651309835271</v>
      </c>
      <c r="V70" s="50" t="n">
        <f aca="false">IF(L71=0,"",L70/L71)</f>
        <v>1.08095586398184</v>
      </c>
      <c r="W70" s="50" t="n">
        <f aca="false">IF(M71=0,"",M70/M71)</f>
        <v>0.909468144677129</v>
      </c>
      <c r="X70" s="50" t="n">
        <f aca="false">IF(N71=0,"",N70/N71)</f>
        <v>0.840284299117488</v>
      </c>
    </row>
    <row r="71" customFormat="false" ht="15" hidden="false" customHeight="false" outlineLevel="0" collapsed="false">
      <c r="D71" s="6" t="s">
        <v>167</v>
      </c>
      <c r="F71" s="48" t="n">
        <f aca="false">+F11</f>
        <v>121601000000</v>
      </c>
      <c r="G71" s="48" t="n">
        <f aca="false">+G11</f>
        <v>111205700000</v>
      </c>
      <c r="H71" s="48" t="n">
        <f aca="false">+H11</f>
        <v>88709100000</v>
      </c>
      <c r="I71" s="48" t="n">
        <f aca="false">+I11</f>
        <v>65303500000</v>
      </c>
      <c r="J71" s="48" t="n">
        <f aca="false">+J11</f>
        <v>66010900000</v>
      </c>
      <c r="K71" s="48" t="n">
        <f aca="false">+K11</f>
        <v>64748600000</v>
      </c>
      <c r="L71" s="48" t="n">
        <f aca="false">+L11</f>
        <v>55233800000</v>
      </c>
      <c r="M71" s="48" t="n">
        <f aca="false">+M11</f>
        <v>71790200000</v>
      </c>
      <c r="N71" s="48" t="n">
        <f aca="false">+N11</f>
        <v>129595900000</v>
      </c>
    </row>
    <row r="73" customFormat="false" ht="15" hidden="false" customHeight="false" outlineLevel="0" collapsed="false">
      <c r="B73" s="43" t="s">
        <v>292</v>
      </c>
      <c r="C73" s="43" t="s">
        <v>258</v>
      </c>
      <c r="D73" s="44" t="s">
        <v>268</v>
      </c>
      <c r="E73" s="44" t="s">
        <v>258</v>
      </c>
      <c r="F73" s="47" t="n">
        <f aca="false">+F20</f>
        <v>127143700000</v>
      </c>
      <c r="G73" s="47" t="n">
        <f aca="false">+G20</f>
        <v>83338400000</v>
      </c>
      <c r="H73" s="47" t="n">
        <f aca="false">+H20</f>
        <v>50246900000</v>
      </c>
      <c r="I73" s="47" t="n">
        <f aca="false">+I20</f>
        <v>29728500000</v>
      </c>
      <c r="J73" s="47" t="n">
        <f aca="false">+J20</f>
        <v>33457200000</v>
      </c>
      <c r="K73" s="47" t="n">
        <f aca="false">+K20</f>
        <v>65817800000</v>
      </c>
      <c r="L73" s="47" t="n">
        <f aca="false">+L20</f>
        <v>59705300000</v>
      </c>
      <c r="M73" s="47" t="n">
        <f aca="false">+M20</f>
        <v>65290900000</v>
      </c>
      <c r="N73" s="47" t="n">
        <f aca="false">+N20</f>
        <v>108897400000</v>
      </c>
      <c r="O73" s="13" t="s">
        <v>258</v>
      </c>
      <c r="P73" s="50" t="n">
        <f aca="false">IF(F74=0,"",F73/F74)</f>
        <v>8.9526468475827</v>
      </c>
      <c r="Q73" s="50" t="n">
        <f aca="false">IF(G74=0,"",G73/G74)</f>
        <v>6.57595555976391</v>
      </c>
      <c r="R73" s="50" t="n">
        <f aca="false">IF(H74=0,"",H73/H74)</f>
        <v>4.37950179548862</v>
      </c>
      <c r="S73" s="50" t="n">
        <f aca="false">IF(I74=0,"",I73/I74)</f>
        <v>2.83552550003338</v>
      </c>
      <c r="T73" s="50" t="n">
        <f aca="false">IF(J74=0,"",J73/J74)</f>
        <v>3.57712416204253</v>
      </c>
      <c r="U73" s="50" t="n">
        <f aca="false">IF(K74=0,"",K73/K74)</f>
        <v>7.25400901546295</v>
      </c>
      <c r="V73" s="50" t="n">
        <f aca="false">IF(L74=0,"",L73/L74)</f>
        <v>7.66976684437022</v>
      </c>
      <c r="W73" s="50" t="n">
        <f aca="false">IF(M74=0,"",M73/M74)</f>
        <v>8.06548405825746</v>
      </c>
      <c r="X73" s="50" t="n">
        <f aca="false">IF(N74=0,"",N73/N74)</f>
        <v>13.2468919543586</v>
      </c>
    </row>
    <row r="74" customFormat="false" ht="15" hidden="false" customHeight="false" outlineLevel="0" collapsed="false">
      <c r="D74" s="6" t="s">
        <v>293</v>
      </c>
      <c r="F74" s="30" t="n">
        <f aca="false">HIST_CON!E31</f>
        <v>14201800000</v>
      </c>
      <c r="G74" s="30" t="n">
        <f aca="false">HIST_CON!F31</f>
        <v>12673200000</v>
      </c>
      <c r="H74" s="30" t="n">
        <f aca="false">HIST_CON!G31</f>
        <v>11473200000</v>
      </c>
      <c r="I74" s="30" t="n">
        <f aca="false">HIST_CON!H31</f>
        <v>10484300000</v>
      </c>
      <c r="J74" s="30" t="n">
        <f aca="false">HIST_CON!I31</f>
        <v>9353100000</v>
      </c>
      <c r="K74" s="30" t="n">
        <f aca="false">HIST_CON!J31</f>
        <v>9073300000</v>
      </c>
      <c r="L74" s="30" t="n">
        <f aca="false">HIST_CON!K31</f>
        <v>7784500000</v>
      </c>
      <c r="M74" s="30" t="n">
        <f aca="false">HIST_CON!L31</f>
        <v>8095100000</v>
      </c>
      <c r="N74" s="30" t="n">
        <f aca="false">HIST_CON!M31</f>
        <v>8220600000</v>
      </c>
    </row>
    <row r="76" customFormat="false" ht="15" hidden="false" customHeight="false" outlineLevel="0" collapsed="false">
      <c r="B76" s="43" t="s">
        <v>294</v>
      </c>
      <c r="C76" s="43" t="s">
        <v>258</v>
      </c>
      <c r="D76" s="44" t="s">
        <v>268</v>
      </c>
      <c r="E76" s="44" t="s">
        <v>258</v>
      </c>
      <c r="F76" s="47" t="n">
        <f aca="false">+F20</f>
        <v>127143700000</v>
      </c>
      <c r="G76" s="47" t="n">
        <f aca="false">+G20</f>
        <v>83338400000</v>
      </c>
      <c r="H76" s="47" t="n">
        <f aca="false">+H20</f>
        <v>50246900000</v>
      </c>
      <c r="I76" s="47" t="n">
        <f aca="false">+I20</f>
        <v>29728500000</v>
      </c>
      <c r="J76" s="47" t="n">
        <f aca="false">+J20</f>
        <v>33457200000</v>
      </c>
      <c r="K76" s="47" t="n">
        <f aca="false">+K20</f>
        <v>65817800000</v>
      </c>
      <c r="L76" s="47" t="n">
        <f aca="false">+L20</f>
        <v>59705300000</v>
      </c>
      <c r="M76" s="47" t="n">
        <f aca="false">+M20</f>
        <v>65290900000</v>
      </c>
      <c r="N76" s="47" t="n">
        <f aca="false">+N20</f>
        <v>108897400000</v>
      </c>
      <c r="O76" s="13" t="s">
        <v>258</v>
      </c>
      <c r="P76" s="50" t="n">
        <f aca="false">IF(F77=0,"",F76/F77)</f>
        <v>37.8268773057241</v>
      </c>
      <c r="Q76" s="50" t="n">
        <f aca="false">IF(G77=0,"",G76/G77)</f>
        <v>14.3422307123066</v>
      </c>
      <c r="R76" s="50" t="n">
        <f aca="false">IF(H77=0,"",H76/H77)</f>
        <v>67.3370410077727</v>
      </c>
      <c r="S76" s="50" t="n">
        <f aca="false">IF(I77=0,"",I76/I77)</f>
        <v>36.1089517794243</v>
      </c>
      <c r="T76" s="50" t="n">
        <f aca="false">IF(J77=0,"",J76/J77)</f>
        <v>12.7456</v>
      </c>
      <c r="U76" s="50" t="n">
        <f aca="false">IF(K77=0,"",K76/K77)</f>
        <v>13.1522490658034</v>
      </c>
      <c r="V76" s="50" t="n">
        <f aca="false">IF(L77=0,"",L76/L77)</f>
        <v>16.2547439492527</v>
      </c>
      <c r="W76" s="50" t="n">
        <f aca="false">IF(M77=0,"",M76/M77)</f>
        <v>15.2963405491519</v>
      </c>
      <c r="X76" s="50" t="n">
        <f aca="false">IF(N77=0,"",N76/N77)</f>
        <v>9.78562763405012</v>
      </c>
    </row>
    <row r="77" customFormat="false" ht="15" hidden="false" customHeight="false" outlineLevel="0" collapsed="false">
      <c r="D77" s="6" t="s">
        <v>295</v>
      </c>
      <c r="F77" s="30" t="n">
        <f aca="false">HIST_CON!E57</f>
        <v>3361200000</v>
      </c>
      <c r="G77" s="30" t="n">
        <f aca="false">HIST_CON!F57</f>
        <v>5810700000</v>
      </c>
      <c r="H77" s="30" t="n">
        <f aca="false">HIST_CON!G57</f>
        <v>746200000</v>
      </c>
      <c r="I77" s="30" t="n">
        <f aca="false">HIST_CON!H57</f>
        <v>823300000</v>
      </c>
      <c r="J77" s="30" t="n">
        <f aca="false">HIST_CON!I57</f>
        <v>2625000000</v>
      </c>
      <c r="K77" s="30" t="n">
        <f aca="false">HIST_CON!J57</f>
        <v>5004300000</v>
      </c>
      <c r="L77" s="30" t="n">
        <f aca="false">HIST_CON!K57</f>
        <v>3673100000</v>
      </c>
      <c r="M77" s="30" t="n">
        <f aca="false">HIST_CON!L57</f>
        <v>4268400000</v>
      </c>
      <c r="N77" s="30" t="n">
        <f aca="false">HIST_CON!M57</f>
        <v>11128300000</v>
      </c>
    </row>
    <row r="79" customFormat="false" ht="15" hidden="false" customHeight="false" outlineLevel="0" collapsed="false">
      <c r="B79" s="43" t="s">
        <v>296</v>
      </c>
      <c r="C79" s="43" t="s">
        <v>258</v>
      </c>
      <c r="D79" s="44" t="s">
        <v>297</v>
      </c>
      <c r="E79" s="44" t="s">
        <v>258</v>
      </c>
      <c r="F79" s="51" t="n">
        <v>365</v>
      </c>
      <c r="G79" s="51" t="n">
        <v>365</v>
      </c>
      <c r="H79" s="51" t="n">
        <v>365</v>
      </c>
      <c r="I79" s="51" t="n">
        <v>365</v>
      </c>
      <c r="J79" s="51" t="n">
        <v>365</v>
      </c>
      <c r="K79" s="51" t="n">
        <v>365</v>
      </c>
      <c r="L79" s="51" t="n">
        <v>365</v>
      </c>
      <c r="M79" s="51" t="n">
        <v>365</v>
      </c>
      <c r="N79" s="51" t="n">
        <v>365</v>
      </c>
      <c r="O79" s="13" t="s">
        <v>258</v>
      </c>
      <c r="P79" s="52" t="n">
        <f aca="false">IF(F80=0,"",F79/F80)</f>
        <v>9.64922367368576</v>
      </c>
      <c r="Q79" s="52" t="n">
        <f aca="false">IF(G80=0,"",G79/G80)</f>
        <v>25.4493186814242</v>
      </c>
      <c r="R79" s="52" t="n">
        <f aca="false">IF(H80=0,"",H79/H80)</f>
        <v>5.42049360259041</v>
      </c>
      <c r="S79" s="52" t="n">
        <f aca="false">IF(I80=0,"",I79/I80)</f>
        <v>10.1082967522748</v>
      </c>
      <c r="T79" s="52" t="n">
        <f aca="false">IF(J80=0,"",J79/J80)</f>
        <v>28.6373336680894</v>
      </c>
      <c r="U79" s="52" t="n">
        <f aca="false">IF(K80=0,"",K79/K80)</f>
        <v>27.7519075386901</v>
      </c>
      <c r="V79" s="52" t="n">
        <f aca="false">IF(L80=0,"",L79/L80)</f>
        <v>22.4549830584554</v>
      </c>
      <c r="W79" s="52" t="n">
        <f aca="false">IF(M80=0,"",M79/M80)</f>
        <v>23.8619164385849</v>
      </c>
      <c r="X79" s="52" t="n">
        <f aca="false">IF(N80=0,"",N79/N80)</f>
        <v>37.299600357768</v>
      </c>
    </row>
    <row r="80" customFormat="false" ht="15" hidden="false" customHeight="false" outlineLevel="0" collapsed="false">
      <c r="D80" s="6" t="s">
        <v>298</v>
      </c>
      <c r="F80" s="53" t="n">
        <f aca="false">+P76</f>
        <v>37.8268773057241</v>
      </c>
      <c r="G80" s="53" t="n">
        <f aca="false">+Q76</f>
        <v>14.3422307123066</v>
      </c>
      <c r="H80" s="53" t="n">
        <f aca="false">+R76</f>
        <v>67.3370410077727</v>
      </c>
      <c r="I80" s="53" t="n">
        <f aca="false">+S76</f>
        <v>36.1089517794243</v>
      </c>
      <c r="J80" s="53" t="n">
        <f aca="false">+T76</f>
        <v>12.7456</v>
      </c>
      <c r="K80" s="53" t="n">
        <f aca="false">+U76</f>
        <v>13.1522490658034</v>
      </c>
      <c r="L80" s="53" t="n">
        <f aca="false">+V76</f>
        <v>16.2547439492527</v>
      </c>
      <c r="M80" s="53" t="n">
        <f aca="false">+W76</f>
        <v>15.2963405491519</v>
      </c>
      <c r="N80" s="53" t="n">
        <f aca="false">+X76</f>
        <v>9.78562763405012</v>
      </c>
    </row>
    <row r="82" customFormat="false" ht="15" hidden="false" customHeight="false" outlineLevel="0" collapsed="false">
      <c r="B82" s="43" t="s">
        <v>299</v>
      </c>
      <c r="C82" s="43" t="s">
        <v>258</v>
      </c>
      <c r="D82" s="44" t="s">
        <v>268</v>
      </c>
      <c r="E82" s="44" t="s">
        <v>258</v>
      </c>
      <c r="F82" s="47" t="n">
        <f aca="false">+F20</f>
        <v>127143700000</v>
      </c>
      <c r="G82" s="47" t="n">
        <f aca="false">+G20</f>
        <v>83338400000</v>
      </c>
      <c r="H82" s="47" t="n">
        <f aca="false">+H20</f>
        <v>50246900000</v>
      </c>
      <c r="I82" s="47" t="n">
        <f aca="false">+I20</f>
        <v>29728500000</v>
      </c>
      <c r="J82" s="47" t="n">
        <f aca="false">+J20</f>
        <v>33457200000</v>
      </c>
      <c r="K82" s="47" t="n">
        <f aca="false">+K20</f>
        <v>65817800000</v>
      </c>
      <c r="L82" s="47" t="n">
        <f aca="false">+L20</f>
        <v>59705300000</v>
      </c>
      <c r="M82" s="47" t="n">
        <f aca="false">+M20</f>
        <v>65290900000</v>
      </c>
      <c r="N82" s="47" t="n">
        <f aca="false">+N20</f>
        <v>108897400000</v>
      </c>
      <c r="O82" s="13" t="s">
        <v>258</v>
      </c>
      <c r="P82" s="50" t="n">
        <f aca="false">IF(F83=0,"",F82/F83)</f>
        <v>3.50496618911491</v>
      </c>
      <c r="Q82" s="50" t="n">
        <f aca="false">IF(G83=0,"",G82/G83)</f>
        <v>2.79176590791083</v>
      </c>
      <c r="R82" s="50" t="n">
        <f aca="false">IF(H83=0,"",H82/H83)</f>
        <v>2.6718689347492</v>
      </c>
      <c r="S82" s="50" t="n">
        <f aca="false">IF(I83=0,"",I82/I83)</f>
        <v>2.17864628372932</v>
      </c>
      <c r="T82" s="50" t="n">
        <f aca="false">IF(J83=0,"",J82/J83)</f>
        <v>2.81219110378913</v>
      </c>
      <c r="U82" s="50" t="n">
        <f aca="false">IF(K83=0,"",K82/K83)</f>
        <v>4.7799702240459</v>
      </c>
      <c r="V82" s="50" t="n">
        <f aca="false">IF(L83=0,"",L82/L83)</f>
        <v>5.10109873210075</v>
      </c>
      <c r="W82" s="50" t="n">
        <f aca="false">IF(M83=0,"",M82/M83)</f>
        <v>3.56862777249423</v>
      </c>
      <c r="X82" s="50" t="n">
        <f aca="false">IF(N83=0,"",N82/N83)</f>
        <v>2.81654273410322</v>
      </c>
    </row>
    <row r="83" customFormat="false" ht="15" hidden="false" customHeight="false" outlineLevel="0" collapsed="false">
      <c r="D83" s="6" t="s">
        <v>300</v>
      </c>
      <c r="F83" s="30" t="n">
        <f aca="false">HIST_CON!E52</f>
        <v>36275300000</v>
      </c>
      <c r="G83" s="30" t="n">
        <f aca="false">HIST_CON!F52</f>
        <v>29851500000</v>
      </c>
      <c r="H83" s="30" t="n">
        <f aca="false">HIST_CON!G52</f>
        <v>18805900000</v>
      </c>
      <c r="I83" s="30" t="n">
        <f aca="false">HIST_CON!H52</f>
        <v>13645400000</v>
      </c>
      <c r="J83" s="30" t="n">
        <f aca="false">HIST_CON!I52</f>
        <v>11897200000</v>
      </c>
      <c r="K83" s="30" t="n">
        <f aca="false">HIST_CON!J52</f>
        <v>13769500000</v>
      </c>
      <c r="L83" s="30" t="n">
        <f aca="false">HIST_CON!K52</f>
        <v>11704400000</v>
      </c>
      <c r="M83" s="30" t="n">
        <f aca="false">HIST_CON!L52</f>
        <v>18295800000</v>
      </c>
      <c r="N83" s="30" t="n">
        <f aca="false">HIST_CON!M52</f>
        <v>38663500000</v>
      </c>
    </row>
    <row r="85" customFormat="false" ht="15" hidden="false" customHeight="false" outlineLevel="0" collapsed="false">
      <c r="B85" s="43" t="s">
        <v>301</v>
      </c>
      <c r="C85" s="43" t="s">
        <v>258</v>
      </c>
      <c r="D85" s="44" t="s">
        <v>297</v>
      </c>
      <c r="E85" s="44" t="s">
        <v>258</v>
      </c>
      <c r="F85" s="51" t="n">
        <v>365</v>
      </c>
      <c r="G85" s="51" t="n">
        <v>365</v>
      </c>
      <c r="H85" s="51" t="n">
        <v>365</v>
      </c>
      <c r="I85" s="51" t="n">
        <v>365</v>
      </c>
      <c r="J85" s="51" t="n">
        <v>365</v>
      </c>
      <c r="K85" s="51" t="n">
        <v>365</v>
      </c>
      <c r="L85" s="51" t="n">
        <v>365</v>
      </c>
      <c r="M85" s="51" t="n">
        <v>365</v>
      </c>
      <c r="N85" s="51" t="n">
        <v>365</v>
      </c>
      <c r="O85" s="13" t="s">
        <v>258</v>
      </c>
      <c r="P85" s="52" t="n">
        <f aca="false">IF(F86=0,"",F85/F86)</f>
        <v>104.137951782117</v>
      </c>
      <c r="Q85" s="52" t="n">
        <f aca="false">IF(G86=0,"",G85/G86)</f>
        <v>130.741620909449</v>
      </c>
      <c r="R85" s="52" t="n">
        <f aca="false">IF(H86=0,"",H85/H86)</f>
        <v>136.608497240626</v>
      </c>
      <c r="S85" s="52" t="n">
        <f aca="false">IF(I86=0,"",I85/I86)</f>
        <v>167.535227138941</v>
      </c>
      <c r="T85" s="52" t="n">
        <f aca="false">IF(J86=0,"",J85/J86)</f>
        <v>129.792032806093</v>
      </c>
      <c r="U85" s="52" t="n">
        <f aca="false">IF(K86=0,"",K85/K86)</f>
        <v>76.3603083056559</v>
      </c>
      <c r="V85" s="52" t="n">
        <f aca="false">IF(L86=0,"",L85/L86)</f>
        <v>71.5532121938923</v>
      </c>
      <c r="W85" s="52" t="n">
        <f aca="false">IF(M86=0,"",M85/M86)</f>
        <v>102.280210565331</v>
      </c>
      <c r="X85" s="52" t="n">
        <f aca="false">IF(N86=0,"",N85/N86)</f>
        <v>129.591500807182</v>
      </c>
    </row>
    <row r="86" customFormat="false" ht="15" hidden="false" customHeight="false" outlineLevel="0" collapsed="false">
      <c r="D86" s="6" t="s">
        <v>298</v>
      </c>
      <c r="F86" s="53" t="n">
        <f aca="false">+P82</f>
        <v>3.50496618911491</v>
      </c>
      <c r="G86" s="53" t="n">
        <f aca="false">+Q82</f>
        <v>2.79176590791083</v>
      </c>
      <c r="H86" s="53" t="n">
        <f aca="false">+R82</f>
        <v>2.6718689347492</v>
      </c>
      <c r="I86" s="53" t="n">
        <f aca="false">+S82</f>
        <v>2.17864628372932</v>
      </c>
      <c r="J86" s="53" t="n">
        <f aca="false">+T82</f>
        <v>2.81219110378913</v>
      </c>
      <c r="K86" s="53" t="n">
        <f aca="false">+U82</f>
        <v>4.7799702240459</v>
      </c>
      <c r="L86" s="53" t="n">
        <f aca="false">+V82</f>
        <v>5.10109873210075</v>
      </c>
      <c r="M86" s="53" t="n">
        <f aca="false">+W82</f>
        <v>3.56862777249423</v>
      </c>
      <c r="N86" s="53" t="n">
        <f aca="false">+X82</f>
        <v>2.81654273410322</v>
      </c>
    </row>
    <row r="88" customFormat="false" ht="15" hidden="false" customHeight="false" outlineLevel="0" collapsed="false">
      <c r="B88" s="43" t="s">
        <v>302</v>
      </c>
      <c r="C88" s="43" t="s">
        <v>258</v>
      </c>
      <c r="D88" s="44" t="s">
        <v>303</v>
      </c>
      <c r="E88" s="44" t="s">
        <v>258</v>
      </c>
      <c r="F88" s="45" t="n">
        <f aca="false">HIST_CON!E7-HIST_CON!E14</f>
        <v>74540700000</v>
      </c>
      <c r="G88" s="45" t="n">
        <f aca="false">HIST_CON!F7-HIST_CON!F14</f>
        <v>50365400000</v>
      </c>
      <c r="H88" s="45" t="n">
        <f aca="false">HIST_CON!G7-HIST_CON!G14</f>
        <v>29484000000</v>
      </c>
      <c r="I88" s="45" t="n">
        <f aca="false">HIST_CON!H7-HIST_CON!H14</f>
        <v>18459400000</v>
      </c>
      <c r="J88" s="45" t="n">
        <f aca="false">HIST_CON!I7-HIST_CON!I14</f>
        <v>15574000000</v>
      </c>
      <c r="K88" s="45" t="n">
        <f aca="false">HIST_CON!J7-HIST_CON!J14</f>
        <v>43093700000</v>
      </c>
      <c r="L88" s="45" t="n">
        <f aca="false">HIST_CON!K7-HIST_CON!K14</f>
        <v>37630300000</v>
      </c>
      <c r="M88" s="45" t="n">
        <f aca="false">HIST_CON!L7-HIST_CON!L14</f>
        <v>39437100000</v>
      </c>
      <c r="N88" s="45" t="n">
        <f aca="false">HIST_CON!M7-HIST_CON!M14</f>
        <v>67832100000</v>
      </c>
      <c r="O88" s="13" t="s">
        <v>258</v>
      </c>
      <c r="P88" s="50" t="n">
        <f aca="false">IF(F89=0,"",F88/F89)</f>
        <v>2.14886532673747</v>
      </c>
      <c r="Q88" s="50" t="n">
        <f aca="false">IF(G89=0,"",G88/G89)</f>
        <v>1.66421818878723</v>
      </c>
      <c r="R88" s="50" t="n">
        <f aca="false">IF(H89=0,"",H88/H89)</f>
        <v>1.01182938505729</v>
      </c>
      <c r="S88" s="50" t="n">
        <f aca="false">IF(I89=0,"",I88/I89)</f>
        <v>0.898009817132794</v>
      </c>
      <c r="T88" s="50" t="n">
        <f aca="false">IF(J89=0,"",J88/J89)</f>
        <v>0.716784182330308</v>
      </c>
      <c r="U88" s="50" t="n">
        <f aca="false">IF(K89=0,"",K88/K89)</f>
        <v>1.95179582408624</v>
      </c>
      <c r="V88" s="50" t="n">
        <f aca="false">IF(L89=0,"",L88/L89)</f>
        <v>2.05953052054315</v>
      </c>
      <c r="W88" s="50" t="n">
        <f aca="false">IF(M89=0,"",M88/M89)</f>
        <v>1.72042368112237</v>
      </c>
      <c r="X88" s="50" t="n">
        <f aca="false">IF(N89=0,"",N88/N89)</f>
        <v>2.09775942849191</v>
      </c>
    </row>
    <row r="89" customFormat="false" ht="15" hidden="false" customHeight="false" outlineLevel="0" collapsed="false">
      <c r="D89" s="6" t="s">
        <v>304</v>
      </c>
      <c r="F89" s="30" t="n">
        <f aca="false">HIST_CON!E51</f>
        <v>34688400000</v>
      </c>
      <c r="G89" s="30" t="n">
        <f aca="false">HIST_CON!F51</f>
        <v>30263700000</v>
      </c>
      <c r="H89" s="30" t="n">
        <f aca="false">HIST_CON!G51</f>
        <v>29139300000</v>
      </c>
      <c r="I89" s="30" t="n">
        <f aca="false">HIST_CON!H51</f>
        <v>20555900000</v>
      </c>
      <c r="J89" s="30" t="n">
        <f aca="false">HIST_CON!I51</f>
        <v>21727600000</v>
      </c>
      <c r="K89" s="30" t="n">
        <f aca="false">HIST_CON!J51</f>
        <v>22079000000</v>
      </c>
      <c r="L89" s="30" t="n">
        <f aca="false">HIST_CON!K51</f>
        <v>18271300000</v>
      </c>
      <c r="M89" s="30" t="n">
        <f aca="false">HIST_CON!L51</f>
        <v>22922900000</v>
      </c>
      <c r="N89" s="30" t="n">
        <f aca="false">HIST_CON!M51</f>
        <v>32335500000</v>
      </c>
    </row>
    <row r="91" customFormat="false" ht="15" hidden="false" customHeight="false" outlineLevel="0" collapsed="false">
      <c r="B91" s="43" t="s">
        <v>305</v>
      </c>
      <c r="C91" s="43" t="s">
        <v>258</v>
      </c>
      <c r="D91" s="44" t="s">
        <v>297</v>
      </c>
      <c r="E91" s="44" t="s">
        <v>258</v>
      </c>
      <c r="F91" s="51" t="n">
        <v>365</v>
      </c>
      <c r="G91" s="51" t="n">
        <v>365</v>
      </c>
      <c r="H91" s="51" t="n">
        <v>365</v>
      </c>
      <c r="I91" s="51" t="n">
        <v>365</v>
      </c>
      <c r="J91" s="51" t="n">
        <v>365</v>
      </c>
      <c r="K91" s="51" t="n">
        <v>365</v>
      </c>
      <c r="L91" s="51" t="n">
        <v>365</v>
      </c>
      <c r="M91" s="51" t="n">
        <v>365</v>
      </c>
      <c r="N91" s="51" t="n">
        <v>365</v>
      </c>
      <c r="O91" s="13" t="s">
        <v>258</v>
      </c>
      <c r="P91" s="52" t="n">
        <f aca="false">IF(F92=0,"",F91/F92)</f>
        <v>169.857084787237</v>
      </c>
      <c r="Q91" s="52" t="n">
        <f aca="false">IF(G92=0,"",G91/G92)</f>
        <v>219.322203338006</v>
      </c>
      <c r="R91" s="52" t="n">
        <f aca="false">IF(H92=0,"",H91/H92)</f>
        <v>360.732753357753</v>
      </c>
      <c r="S91" s="52" t="n">
        <f aca="false">IF(I92=0,"",I91/I92)</f>
        <v>406.454353879324</v>
      </c>
      <c r="T91" s="52" t="n">
        <f aca="false">IF(J92=0,"",J91/J92)</f>
        <v>509.218826248876</v>
      </c>
      <c r="U91" s="52" t="n">
        <f aca="false">IF(K92=0,"",K91/K92)</f>
        <v>187.00726556318</v>
      </c>
      <c r="V91" s="52" t="n">
        <f aca="false">IF(L92=0,"",L91/L92)</f>
        <v>177.224856033569</v>
      </c>
      <c r="W91" s="52" t="n">
        <f aca="false">IF(M92=0,"",M91/M92)</f>
        <v>212.157042480304</v>
      </c>
      <c r="X91" s="52" t="n">
        <f aca="false">IF(N92=0,"",N91/N92)</f>
        <v>173.995166005475</v>
      </c>
    </row>
    <row r="92" customFormat="false" ht="15" hidden="false" customHeight="false" outlineLevel="0" collapsed="false">
      <c r="D92" s="6" t="s">
        <v>298</v>
      </c>
      <c r="F92" s="53" t="n">
        <f aca="false">+P88</f>
        <v>2.14886532673747</v>
      </c>
      <c r="G92" s="53" t="n">
        <f aca="false">+Q88</f>
        <v>1.66421818878723</v>
      </c>
      <c r="H92" s="53" t="n">
        <f aca="false">+R88</f>
        <v>1.01182938505729</v>
      </c>
      <c r="I92" s="53" t="n">
        <f aca="false">+S88</f>
        <v>0.898009817132794</v>
      </c>
      <c r="J92" s="53" t="n">
        <f aca="false">+T88</f>
        <v>0.716784182330308</v>
      </c>
      <c r="K92" s="53" t="n">
        <f aca="false">+U88</f>
        <v>1.95179582408624</v>
      </c>
      <c r="L92" s="53" t="n">
        <f aca="false">+V88</f>
        <v>2.05953052054315</v>
      </c>
      <c r="M92" s="53" t="n">
        <f aca="false">+W88</f>
        <v>1.72042368112237</v>
      </c>
      <c r="N92" s="53" t="n">
        <f aca="false">+X88</f>
        <v>2.09775942849191</v>
      </c>
    </row>
    <row r="94" customFormat="false" ht="15" hidden="false" customHeight="false" outlineLevel="0" collapsed="false">
      <c r="B94" s="43" t="s">
        <v>306</v>
      </c>
      <c r="C94" s="43" t="s">
        <v>258</v>
      </c>
      <c r="D94" s="44" t="s">
        <v>303</v>
      </c>
      <c r="E94" s="44" t="s">
        <v>258</v>
      </c>
      <c r="F94" s="47" t="n">
        <f aca="false">+F88</f>
        <v>74540700000</v>
      </c>
      <c r="G94" s="47" t="n">
        <f aca="false">+G88</f>
        <v>50365400000</v>
      </c>
      <c r="H94" s="47" t="n">
        <f aca="false">+H88</f>
        <v>29484000000</v>
      </c>
      <c r="I94" s="47" t="n">
        <f aca="false">+I88</f>
        <v>18459400000</v>
      </c>
      <c r="J94" s="47" t="n">
        <f aca="false">+J88</f>
        <v>15574000000</v>
      </c>
      <c r="K94" s="47" t="n">
        <f aca="false">+K88</f>
        <v>43093700000</v>
      </c>
      <c r="L94" s="47" t="n">
        <f aca="false">+L88</f>
        <v>37630300000</v>
      </c>
      <c r="M94" s="47" t="n">
        <f aca="false">+M88</f>
        <v>39437100000</v>
      </c>
      <c r="N94" s="47" t="n">
        <f aca="false">+N88</f>
        <v>67832100000</v>
      </c>
      <c r="O94" s="13" t="s">
        <v>258</v>
      </c>
      <c r="P94" s="50" t="n">
        <f aca="false">IF(F95=0,"",F94/F95)</f>
        <v>1.54897812873396</v>
      </c>
      <c r="Q94" s="50" t="n">
        <f aca="false">IF(G95=0,"",G94/G95)</f>
        <v>1.99340615847384</v>
      </c>
      <c r="R94" s="50" t="n">
        <f aca="false">IF(H95=0,"",H94/H95)</f>
        <v>1.35546779821533</v>
      </c>
      <c r="S94" s="50" t="n">
        <f aca="false">IF(I95=0,"",I94/I95)</f>
        <v>1.42194456854982</v>
      </c>
      <c r="T94" s="50" t="n">
        <f aca="false">IF(J95=0,"",J94/J95)</f>
        <v>0.984456286070076</v>
      </c>
      <c r="U94" s="50" t="n">
        <f aca="false">IF(K95=0,"",K94/K95)</f>
        <v>2.34142538128433</v>
      </c>
      <c r="V94" s="50" t="n">
        <f aca="false">IF(L95=0,"",L94/L95)</f>
        <v>4.20619467048198</v>
      </c>
      <c r="W94" s="50" t="n">
        <f aca="false">IF(M95=0,"",M94/M95)</f>
        <v>2.19609863123545</v>
      </c>
      <c r="X94" s="50" t="n">
        <f aca="false">IF(N95=0,"",N94/N95)</f>
        <v>2.31103456734602</v>
      </c>
    </row>
    <row r="95" customFormat="false" ht="15" hidden="false" customHeight="false" outlineLevel="0" collapsed="false">
      <c r="D95" s="6" t="s">
        <v>307</v>
      </c>
      <c r="F95" s="30" t="n">
        <f aca="false">HIST_CON!E87</f>
        <v>48122500000</v>
      </c>
      <c r="G95" s="30" t="n">
        <f aca="false">HIST_CON!F87</f>
        <v>25266000000</v>
      </c>
      <c r="H95" s="30" t="n">
        <f aca="false">HIST_CON!G87</f>
        <v>21751900000</v>
      </c>
      <c r="I95" s="30" t="n">
        <f aca="false">HIST_CON!H87</f>
        <v>12981800000</v>
      </c>
      <c r="J95" s="30" t="n">
        <f aca="false">HIST_CON!I87</f>
        <v>15819900000</v>
      </c>
      <c r="K95" s="30" t="n">
        <f aca="false">HIST_CON!J87</f>
        <v>18404900000</v>
      </c>
      <c r="L95" s="30" t="n">
        <f aca="false">HIST_CON!K87</f>
        <v>8946400000</v>
      </c>
      <c r="M95" s="30" t="n">
        <f aca="false">HIST_CON!L87</f>
        <v>17957800000</v>
      </c>
      <c r="N95" s="30" t="n">
        <f aca="false">HIST_CON!M87</f>
        <v>29351400000</v>
      </c>
    </row>
    <row r="97" customFormat="false" ht="15" hidden="false" customHeight="false" outlineLevel="0" collapsed="false">
      <c r="B97" s="43" t="s">
        <v>308</v>
      </c>
      <c r="C97" s="43" t="s">
        <v>258</v>
      </c>
      <c r="D97" s="44" t="s">
        <v>297</v>
      </c>
      <c r="E97" s="44" t="s">
        <v>258</v>
      </c>
      <c r="F97" s="51" t="n">
        <v>365</v>
      </c>
      <c r="G97" s="51" t="n">
        <v>365</v>
      </c>
      <c r="H97" s="51" t="n">
        <v>365</v>
      </c>
      <c r="I97" s="51" t="n">
        <v>365</v>
      </c>
      <c r="J97" s="51" t="n">
        <v>365</v>
      </c>
      <c r="K97" s="51" t="n">
        <v>365</v>
      </c>
      <c r="L97" s="51" t="n">
        <v>365</v>
      </c>
      <c r="M97" s="51" t="n">
        <v>365</v>
      </c>
      <c r="N97" s="51" t="n">
        <v>365</v>
      </c>
      <c r="O97" s="13" t="s">
        <v>258</v>
      </c>
      <c r="P97" s="52" t="n">
        <f aca="false">IF(F98=0,"",F97/F98)</f>
        <v>235.639221257649</v>
      </c>
      <c r="Q97" s="52" t="n">
        <f aca="false">IF(G98=0,"",G97/G98)</f>
        <v>183.103678318846</v>
      </c>
      <c r="R97" s="52" t="n">
        <f aca="false">IF(H98=0,"",H97/H98)</f>
        <v>269.279727988061</v>
      </c>
      <c r="S97" s="52" t="n">
        <f aca="false">IF(I98=0,"",I97/I98)</f>
        <v>256.690737510428</v>
      </c>
      <c r="T97" s="52" t="n">
        <f aca="false">IF(J98=0,"",J97/J98)</f>
        <v>370.763034544754</v>
      </c>
      <c r="U97" s="52" t="n">
        <f aca="false">IF(K98=0,"",K97/K98)</f>
        <v>155.887948818505</v>
      </c>
      <c r="V97" s="52" t="n">
        <f aca="false">IF(L98=0,"",L97/L98)</f>
        <v>86.7767729728437</v>
      </c>
      <c r="W97" s="52" t="n">
        <f aca="false">IF(M98=0,"",M97/M98)</f>
        <v>166.203828374804</v>
      </c>
      <c r="X97" s="52" t="n">
        <f aca="false">IF(N98=0,"",N97/N98)</f>
        <v>157.937923195655</v>
      </c>
    </row>
    <row r="98" customFormat="false" ht="15" hidden="false" customHeight="false" outlineLevel="0" collapsed="false">
      <c r="D98" s="6" t="s">
        <v>298</v>
      </c>
      <c r="F98" s="53" t="n">
        <f aca="false">+P94</f>
        <v>1.54897812873396</v>
      </c>
      <c r="G98" s="53" t="n">
        <f aca="false">+Q94</f>
        <v>1.99340615847384</v>
      </c>
      <c r="H98" s="53" t="n">
        <f aca="false">+R94</f>
        <v>1.35546779821533</v>
      </c>
      <c r="I98" s="53" t="n">
        <f aca="false">+S94</f>
        <v>1.42194456854982</v>
      </c>
      <c r="J98" s="53" t="n">
        <f aca="false">+T94</f>
        <v>0.984456286070076</v>
      </c>
      <c r="K98" s="53" t="n">
        <f aca="false">+U94</f>
        <v>2.34142538128433</v>
      </c>
      <c r="L98" s="53" t="n">
        <f aca="false">+V94</f>
        <v>4.20619467048198</v>
      </c>
      <c r="M98" s="53" t="n">
        <f aca="false">+W94</f>
        <v>2.19609863123545</v>
      </c>
      <c r="N98" s="53" t="n">
        <f aca="false">+X94</f>
        <v>2.31103456734602</v>
      </c>
    </row>
    <row r="100" customFormat="false" ht="15" hidden="false" customHeight="false" outlineLevel="0" collapsed="false">
      <c r="B100" s="13" t="s">
        <v>309</v>
      </c>
      <c r="D100" s="54" t="s">
        <v>310</v>
      </c>
      <c r="O100" s="13" t="s">
        <v>258</v>
      </c>
      <c r="P100" s="52" t="n">
        <f aca="false">P85+P91-P97</f>
        <v>38.3558153117059</v>
      </c>
      <c r="Q100" s="52" t="n">
        <f aca="false">Q85+Q91-Q97</f>
        <v>166.960145928609</v>
      </c>
      <c r="R100" s="52" t="n">
        <f aca="false">R85+R91-R97</f>
        <v>228.061522610318</v>
      </c>
      <c r="S100" s="52" t="n">
        <f aca="false">S85+S91-S97</f>
        <v>317.298843507837</v>
      </c>
      <c r="T100" s="52" t="n">
        <f aca="false">T85+T91-T97</f>
        <v>268.247824510215</v>
      </c>
      <c r="U100" s="52" t="n">
        <f aca="false">U85+U91-U97</f>
        <v>107.479625050331</v>
      </c>
      <c r="V100" s="52" t="n">
        <f aca="false">V85+V91-V97</f>
        <v>162.001295254617</v>
      </c>
      <c r="W100" s="52" t="n">
        <f aca="false">W85+W91-W97</f>
        <v>148.233424670831</v>
      </c>
      <c r="X100" s="52" t="n">
        <f aca="false">X85+X91-X97</f>
        <v>145.648743617002</v>
      </c>
    </row>
    <row r="102" customFormat="false" ht="15" hidden="false" customHeight="false" outlineLevel="0" collapsed="false">
      <c r="A102" s="39" t="s">
        <v>26</v>
      </c>
      <c r="B102" s="42" t="s">
        <v>311</v>
      </c>
      <c r="C102" s="39"/>
      <c r="D102" s="39"/>
      <c r="E102" s="39"/>
      <c r="F102" s="39"/>
      <c r="G102" s="39"/>
      <c r="H102" s="39"/>
      <c r="I102" s="39"/>
      <c r="J102" s="39"/>
      <c r="K102" s="39"/>
      <c r="L102" s="39"/>
      <c r="M102" s="39"/>
      <c r="N102" s="39"/>
      <c r="O102" s="39"/>
      <c r="P102" s="39"/>
      <c r="Q102" s="39"/>
      <c r="R102" s="39"/>
      <c r="S102" s="39"/>
      <c r="T102" s="39"/>
      <c r="U102" s="39"/>
      <c r="V102" s="39"/>
      <c r="W102" s="39"/>
      <c r="X102" s="39"/>
    </row>
    <row r="103" customFormat="false" ht="15" hidden="false" customHeight="false" outlineLevel="0" collapsed="false">
      <c r="B103" s="43" t="s">
        <v>312</v>
      </c>
      <c r="C103" s="43" t="s">
        <v>258</v>
      </c>
      <c r="D103" s="44" t="s">
        <v>167</v>
      </c>
      <c r="E103" s="44" t="s">
        <v>258</v>
      </c>
      <c r="F103" s="47" t="n">
        <f aca="false">+F11</f>
        <v>121601000000</v>
      </c>
      <c r="G103" s="47" t="n">
        <f aca="false">+G11</f>
        <v>111205700000</v>
      </c>
      <c r="H103" s="47" t="n">
        <f aca="false">+H11</f>
        <v>88709100000</v>
      </c>
      <c r="I103" s="47" t="n">
        <f aca="false">+I11</f>
        <v>65303500000</v>
      </c>
      <c r="J103" s="47" t="n">
        <f aca="false">+J11</f>
        <v>66010900000</v>
      </c>
      <c r="K103" s="47" t="n">
        <f aca="false">+K11</f>
        <v>64748600000</v>
      </c>
      <c r="L103" s="47" t="n">
        <f aca="false">+L11</f>
        <v>55233800000</v>
      </c>
      <c r="M103" s="47" t="n">
        <f aca="false">+M11</f>
        <v>71790200000</v>
      </c>
      <c r="N103" s="47" t="n">
        <f aca="false">+N11</f>
        <v>129595900000</v>
      </c>
      <c r="O103" s="13" t="s">
        <v>258</v>
      </c>
      <c r="P103" s="50" t="n">
        <f aca="false">IF(F104=0,"",F103/F104)</f>
        <v>-1.77970479974827</v>
      </c>
      <c r="Q103" s="50" t="n">
        <f aca="false">IF(G104=0,"",G103/G104)</f>
        <v>-1.59855016631544</v>
      </c>
      <c r="R103" s="50" t="n">
        <f aca="false">IF(H104=0,"",H103/H104)</f>
        <v>-1.04325721590622</v>
      </c>
      <c r="S103" s="50" t="n">
        <f aca="false">IF(I104=0,"",I103/I104)</f>
        <v>-0.591418640371532</v>
      </c>
      <c r="T103" s="50" t="n">
        <f aca="false">IF(J104=0,"",J103/J104)</f>
        <v>-1.94109171320107</v>
      </c>
      <c r="U103" s="50" t="n">
        <f aca="false">IF(K104=0,"",K103/K104)</f>
        <v>-1.81785665153391</v>
      </c>
      <c r="V103" s="50" t="n">
        <f aca="false">IF(L104=0,"",L103/L104)</f>
        <v>5.02518332514511</v>
      </c>
      <c r="W103" s="50" t="n">
        <f aca="false">IF(M104=0,"",M103/M104)</f>
        <v>1.83123783578339</v>
      </c>
      <c r="X103" s="50" t="n">
        <f aca="false">IF(N104=0,"",N103/N104)</f>
        <v>2.12253264152303</v>
      </c>
    </row>
    <row r="104" customFormat="false" ht="15" hidden="false" customHeight="false" outlineLevel="0" collapsed="false">
      <c r="D104" s="6" t="s">
        <v>260</v>
      </c>
      <c r="F104" s="48" t="n">
        <f aca="false">+F8</f>
        <v>-68326500000</v>
      </c>
      <c r="G104" s="48" t="n">
        <f aca="false">+G8</f>
        <v>-69566600000</v>
      </c>
      <c r="H104" s="48" t="n">
        <f aca="false">+H8</f>
        <v>-85030900000</v>
      </c>
      <c r="I104" s="48" t="n">
        <f aca="false">+I8</f>
        <v>-110418400000</v>
      </c>
      <c r="J104" s="48" t="n">
        <f aca="false">+J8</f>
        <v>-34007100000</v>
      </c>
      <c r="K104" s="48" t="n">
        <f aca="false">+K8</f>
        <v>-35618100000</v>
      </c>
      <c r="L104" s="48" t="n">
        <f aca="false">+L8</f>
        <v>10991400000</v>
      </c>
      <c r="M104" s="48" t="n">
        <f aca="false">+M8</f>
        <v>39203100000</v>
      </c>
      <c r="N104" s="48" t="n">
        <f aca="false">+N8</f>
        <v>61057200000</v>
      </c>
    </row>
    <row r="106" customFormat="false" ht="15" hidden="false" customHeight="false" outlineLevel="0" collapsed="false">
      <c r="B106" s="43" t="s">
        <v>313</v>
      </c>
      <c r="C106" s="43" t="s">
        <v>258</v>
      </c>
      <c r="D106" s="44" t="s">
        <v>314</v>
      </c>
      <c r="E106" s="44" t="s">
        <v>258</v>
      </c>
      <c r="F106" s="45" t="n">
        <f aca="false">HIST_CON!E65-HIST_CON!E72</f>
        <v>189927500000</v>
      </c>
      <c r="G106" s="45" t="n">
        <f aca="false">HIST_CON!F65-HIST_CON!F72</f>
        <v>180772300000</v>
      </c>
      <c r="H106" s="45" t="n">
        <f aca="false">HIST_CON!G65-HIST_CON!G72</f>
        <v>173740000000</v>
      </c>
      <c r="I106" s="45" t="n">
        <f aca="false">HIST_CON!H65-HIST_CON!H72</f>
        <v>175721900000</v>
      </c>
      <c r="J106" s="45" t="n">
        <f aca="false">HIST_CON!I65-HIST_CON!I72</f>
        <v>100018000000</v>
      </c>
      <c r="K106" s="45" t="n">
        <f aca="false">HIST_CON!J65-HIST_CON!J72</f>
        <v>100366700000</v>
      </c>
      <c r="L106" s="45" t="n">
        <f aca="false">HIST_CON!K65-HIST_CON!K72</f>
        <v>44242400000</v>
      </c>
      <c r="M106" s="45" t="n">
        <f aca="false">HIST_CON!L65-HIST_CON!L72</f>
        <v>32587100000</v>
      </c>
      <c r="N106" s="45" t="n">
        <f aca="false">HIST_CON!M65-HIST_CON!M72</f>
        <v>68538700000</v>
      </c>
      <c r="O106" s="13" t="s">
        <v>258</v>
      </c>
      <c r="P106" s="50" t="n">
        <f aca="false">IF(F107=0,"",F106/F107)</f>
        <v>-2.77970479974827</v>
      </c>
      <c r="Q106" s="50" t="n">
        <f aca="false">IF(G107=0,"",G106/G107)</f>
        <v>-2.59855016631544</v>
      </c>
      <c r="R106" s="50" t="n">
        <f aca="false">IF(H107=0,"",H106/H107)</f>
        <v>-2.04325721590622</v>
      </c>
      <c r="S106" s="50" t="n">
        <f aca="false">IF(I107=0,"",I106/I107)</f>
        <v>-1.59141864037153</v>
      </c>
      <c r="T106" s="50" t="n">
        <f aca="false">IF(J107=0,"",J106/J107)</f>
        <v>-2.94109171320107</v>
      </c>
      <c r="U106" s="50" t="n">
        <f aca="false">IF(K107=0,"",K106/K107)</f>
        <v>-2.81785665153391</v>
      </c>
      <c r="V106" s="50" t="n">
        <f aca="false">IF(L107=0,"",L106/L107)</f>
        <v>4.02518332514511</v>
      </c>
      <c r="W106" s="50" t="n">
        <f aca="false">IF(M107=0,"",M106/M107)</f>
        <v>0.831237835783395</v>
      </c>
      <c r="X106" s="50" t="n">
        <f aca="false">IF(N107=0,"",N106/N107)</f>
        <v>1.12253264152303</v>
      </c>
    </row>
    <row r="107" customFormat="false" ht="15" hidden="false" customHeight="false" outlineLevel="0" collapsed="false">
      <c r="D107" s="6" t="s">
        <v>260</v>
      </c>
      <c r="F107" s="48" t="n">
        <f aca="false">+F8</f>
        <v>-68326500000</v>
      </c>
      <c r="G107" s="48" t="n">
        <f aca="false">+G8</f>
        <v>-69566600000</v>
      </c>
      <c r="H107" s="48" t="n">
        <f aca="false">+H8</f>
        <v>-85030900000</v>
      </c>
      <c r="I107" s="48" t="n">
        <f aca="false">+I8</f>
        <v>-110418400000</v>
      </c>
      <c r="J107" s="48" t="n">
        <f aca="false">+J8</f>
        <v>-34007100000</v>
      </c>
      <c r="K107" s="48" t="n">
        <f aca="false">+K8</f>
        <v>-35618100000</v>
      </c>
      <c r="L107" s="48" t="n">
        <f aca="false">+L8</f>
        <v>10991400000</v>
      </c>
      <c r="M107" s="48" t="n">
        <f aca="false">+M8</f>
        <v>39203100000</v>
      </c>
      <c r="N107" s="48" t="n">
        <f aca="false">+N8</f>
        <v>61057200000</v>
      </c>
    </row>
    <row r="109" customFormat="false" ht="15" hidden="false" customHeight="false" outlineLevel="0" collapsed="false">
      <c r="B109" s="43" t="s">
        <v>315</v>
      </c>
      <c r="C109" s="43" t="s">
        <v>258</v>
      </c>
      <c r="D109" s="44" t="s">
        <v>288</v>
      </c>
      <c r="E109" s="44" t="s">
        <v>258</v>
      </c>
      <c r="F109" s="47" t="n">
        <f aca="false">+F64</f>
        <v>69173600000</v>
      </c>
      <c r="G109" s="47" t="n">
        <f aca="false">+G64</f>
        <v>116051600000</v>
      </c>
      <c r="H109" s="47" t="n">
        <f aca="false">+H64</f>
        <v>96239300000</v>
      </c>
      <c r="I109" s="47" t="n">
        <f aca="false">+I64</f>
        <v>96856200000</v>
      </c>
      <c r="J109" s="47" t="n">
        <f aca="false">+J64</f>
        <v>62025400000</v>
      </c>
      <c r="K109" s="47" t="n">
        <f aca="false">+K64</f>
        <v>63905600000</v>
      </c>
      <c r="L109" s="47" t="n">
        <f aca="false">+L64</f>
        <v>19048800000</v>
      </c>
      <c r="M109" s="47" t="n">
        <f aca="false">+M64</f>
        <v>1099500000</v>
      </c>
      <c r="N109" s="47" t="n">
        <f aca="false">+N64</f>
        <v>2833300000</v>
      </c>
      <c r="O109" s="13" t="s">
        <v>258</v>
      </c>
      <c r="P109" s="50" t="n">
        <f aca="false">IF(F110=0,"",F109/F110)</f>
        <v>-1.01239782514837</v>
      </c>
      <c r="Q109" s="50" t="n">
        <f aca="false">IF(G110=0,"",G109/G110)</f>
        <v>-1.66820859435419</v>
      </c>
      <c r="R109" s="50" t="n">
        <f aca="false">IF(H110=0,"",H109/H110)</f>
        <v>-1.1318156105604</v>
      </c>
      <c r="S109" s="50" t="n">
        <f aca="false">IF(I110=0,"",I109/I110)</f>
        <v>-0.877174456431175</v>
      </c>
      <c r="T109" s="50" t="n">
        <f aca="false">IF(J110=0,"",J109/J110)</f>
        <v>-1.82389559827213</v>
      </c>
      <c r="U109" s="50" t="n">
        <f aca="false">IF(K110=0,"",K109/K110)</f>
        <v>-1.79418890957126</v>
      </c>
      <c r="V109" s="50" t="n">
        <f aca="false">IF(L110=0,"",L109/L110)</f>
        <v>1.73306403187947</v>
      </c>
      <c r="W109" s="50" t="n">
        <f aca="false">IF(M110=0,"",M109/M110)</f>
        <v>0.0280462514444011</v>
      </c>
      <c r="X109" s="50" t="n">
        <f aca="false">IF(N110=0,"",N109/N110)</f>
        <v>0.046404027698617</v>
      </c>
    </row>
    <row r="110" customFormat="false" ht="15" hidden="false" customHeight="false" outlineLevel="0" collapsed="false">
      <c r="D110" s="6" t="s">
        <v>260</v>
      </c>
      <c r="F110" s="48" t="n">
        <f aca="false">+F8</f>
        <v>-68326500000</v>
      </c>
      <c r="G110" s="48" t="n">
        <f aca="false">+G8</f>
        <v>-69566600000</v>
      </c>
      <c r="H110" s="48" t="n">
        <f aca="false">+H8</f>
        <v>-85030900000</v>
      </c>
      <c r="I110" s="48" t="n">
        <f aca="false">+I8</f>
        <v>-110418400000</v>
      </c>
      <c r="J110" s="48" t="n">
        <f aca="false">+J8</f>
        <v>-34007100000</v>
      </c>
      <c r="K110" s="48" t="n">
        <f aca="false">+K8</f>
        <v>-35618100000</v>
      </c>
      <c r="L110" s="48" t="n">
        <f aca="false">+L8</f>
        <v>10991400000</v>
      </c>
      <c r="M110" s="48" t="n">
        <f aca="false">+M8</f>
        <v>39203100000</v>
      </c>
      <c r="N110" s="48" t="n">
        <f aca="false">+N8</f>
        <v>61057200000</v>
      </c>
    </row>
    <row r="112" customFormat="false" ht="15" hidden="false" customHeight="false" outlineLevel="0" collapsed="false">
      <c r="B112" s="43" t="s">
        <v>316</v>
      </c>
      <c r="C112" s="43" t="s">
        <v>258</v>
      </c>
      <c r="D112" s="44" t="s">
        <v>288</v>
      </c>
      <c r="E112" s="44" t="s">
        <v>258</v>
      </c>
      <c r="F112" s="47" t="n">
        <f aca="false">+F64</f>
        <v>69173600000</v>
      </c>
      <c r="G112" s="47" t="n">
        <f aca="false">+G64</f>
        <v>116051600000</v>
      </c>
      <c r="H112" s="47" t="n">
        <f aca="false">+H64</f>
        <v>96239300000</v>
      </c>
      <c r="I112" s="47" t="n">
        <f aca="false">+I64</f>
        <v>96856200000</v>
      </c>
      <c r="J112" s="47" t="n">
        <f aca="false">+J64</f>
        <v>62025400000</v>
      </c>
      <c r="K112" s="47" t="n">
        <f aca="false">+K64</f>
        <v>63905600000</v>
      </c>
      <c r="L112" s="47" t="n">
        <f aca="false">+L64</f>
        <v>19048800000</v>
      </c>
      <c r="M112" s="47" t="n">
        <f aca="false">+M64</f>
        <v>1099500000</v>
      </c>
      <c r="N112" s="47" t="n">
        <f aca="false">+N64</f>
        <v>2833300000</v>
      </c>
      <c r="O112" s="13" t="s">
        <v>258</v>
      </c>
      <c r="P112" s="50" t="n">
        <f aca="false">IF(F113=0,"",F112/F113)</f>
        <v>2.67264248264244</v>
      </c>
      <c r="Q112" s="50" t="n">
        <f aca="false">IF(G113=0,"",G112/G113)</f>
        <v>10.7233767313787</v>
      </c>
      <c r="R112" s="50" t="n">
        <f aca="false">IF(H113=0,"",H112/H113)</f>
        <v>233.590533980583</v>
      </c>
      <c r="S112" s="50" t="n">
        <f aca="false">IF(I113=0,"",I112/I113)</f>
        <v>-11.639131897712</v>
      </c>
      <c r="T112" s="50" t="n">
        <f aca="false">IF(J113=0,"",J112/J113)</f>
        <v>11.1928900117297</v>
      </c>
      <c r="U112" s="50" t="n">
        <f aca="false">IF(K113=0,"",K112/K113)</f>
        <v>7.00996007195823</v>
      </c>
      <c r="V112" s="50" t="n">
        <f aca="false">IF(L113=0,"",L112/L113)</f>
        <v>2.23695613880571</v>
      </c>
      <c r="W112" s="50" t="n">
        <f aca="false">IF(M113=0,"",M112/M113)</f>
        <v>0.103016958680783</v>
      </c>
      <c r="X112" s="50" t="n">
        <f aca="false">IF(N113=0,"",N112/N113)</f>
        <v>0.144510409972356</v>
      </c>
    </row>
    <row r="113" customFormat="false" ht="15" hidden="false" customHeight="false" outlineLevel="0" collapsed="false">
      <c r="D113" s="6" t="s">
        <v>123</v>
      </c>
      <c r="F113" s="48" t="n">
        <f aca="false">+F28</f>
        <v>25882100000</v>
      </c>
      <c r="G113" s="48" t="n">
        <f aca="false">+G28</f>
        <v>10822300000</v>
      </c>
      <c r="H113" s="48" t="n">
        <f aca="false">+H28</f>
        <v>412000000</v>
      </c>
      <c r="I113" s="48" t="n">
        <f aca="false">+I28</f>
        <v>-8321600000</v>
      </c>
      <c r="J113" s="48" t="n">
        <f aca="false">+J28</f>
        <v>5541500000</v>
      </c>
      <c r="K113" s="48" t="n">
        <f aca="false">+K28</f>
        <v>9116400000</v>
      </c>
      <c r="L113" s="48" t="n">
        <f aca="false">+L28</f>
        <v>8515500000</v>
      </c>
      <c r="M113" s="48" t="n">
        <f aca="false">+M28</f>
        <v>10673000000</v>
      </c>
      <c r="N113" s="48" t="n">
        <f aca="false">+N28</f>
        <v>19606200000</v>
      </c>
    </row>
    <row r="115" customFormat="false" ht="15" hidden="false" customHeight="false" outlineLevel="0" collapsed="false">
      <c r="B115" s="43" t="s">
        <v>317</v>
      </c>
      <c r="C115" s="43" t="s">
        <v>258</v>
      </c>
      <c r="D115" s="44" t="s">
        <v>318</v>
      </c>
      <c r="E115" s="44" t="s">
        <v>258</v>
      </c>
      <c r="F115" s="45" t="n">
        <f aca="false">(HIST_CON!E76+HIST_CON!E85+0+0)-HIST_CON!E57</f>
        <v>65812400000</v>
      </c>
      <c r="G115" s="45" t="n">
        <f aca="false">(HIST_CON!F76+HIST_CON!F85+0+0)-HIST_CON!F57</f>
        <v>110240900000</v>
      </c>
      <c r="H115" s="45" t="n">
        <f aca="false">(HIST_CON!G76+HIST_CON!G85+0+0)-HIST_CON!G57</f>
        <v>95493100000</v>
      </c>
      <c r="I115" s="45" t="n">
        <f aca="false">(HIST_CON!H76+HIST_CON!H85+0+0)-HIST_CON!H57</f>
        <v>96032900000</v>
      </c>
      <c r="J115" s="45" t="n">
        <f aca="false">(HIST_CON!I76+HIST_CON!I85+0+0)-HIST_CON!I57</f>
        <v>59400400000</v>
      </c>
      <c r="K115" s="45" t="n">
        <f aca="false">(HIST_CON!J76+HIST_CON!J85+0+0)-HIST_CON!J57</f>
        <v>58901300000</v>
      </c>
      <c r="L115" s="45" t="n">
        <f aca="false">(HIST_CON!K76+HIST_CON!K85+0+0)-HIST_CON!K57</f>
        <v>15375700000</v>
      </c>
      <c r="M115" s="45" t="n">
        <f aca="false">(HIST_CON!L76+HIST_CON!L85+0+0)-HIST_CON!L57</f>
        <v>-3168900000</v>
      </c>
      <c r="N115" s="45" t="n">
        <f aca="false">(HIST_CON!M76+HIST_CON!M85+0+0)-HIST_CON!M57</f>
        <v>-8295000000</v>
      </c>
      <c r="O115" s="13" t="s">
        <v>258</v>
      </c>
      <c r="P115" s="50" t="n">
        <f aca="false">IF(F116=0,"",F115/F116)</f>
        <v>2.54277666804471</v>
      </c>
      <c r="Q115" s="50" t="n">
        <f aca="false">IF(G116=0,"",G115/G116)</f>
        <v>10.1864575921939</v>
      </c>
      <c r="R115" s="50" t="n">
        <f aca="false">IF(H116=0,"",H115/H116)</f>
        <v>231.779368932039</v>
      </c>
      <c r="S115" s="50" t="n">
        <f aca="false">IF(I116=0,"",I115/I116)</f>
        <v>-11.5401965968083</v>
      </c>
      <c r="T115" s="50" t="n">
        <f aca="false">IF(J116=0,"",J115/J116)</f>
        <v>10.7191915546332</v>
      </c>
      <c r="U115" s="50" t="n">
        <f aca="false">IF(K116=0,"",K115/K116)</f>
        <v>6.46102628230442</v>
      </c>
      <c r="V115" s="50" t="n">
        <f aca="false">IF(L116=0,"",L115/L116)</f>
        <v>1.80561329340614</v>
      </c>
      <c r="W115" s="50" t="n">
        <f aca="false">IF(M116=0,"",M115/M116)</f>
        <v>-0.296908085824042</v>
      </c>
      <c r="X115" s="50" t="n">
        <f aca="false">IF(N116=0,"",N115/N116)</f>
        <v>-0.423080454142057</v>
      </c>
    </row>
    <row r="116" customFormat="false" ht="15" hidden="false" customHeight="false" outlineLevel="0" collapsed="false">
      <c r="D116" s="6" t="s">
        <v>123</v>
      </c>
      <c r="F116" s="48" t="n">
        <f aca="false">+F28</f>
        <v>25882100000</v>
      </c>
      <c r="G116" s="48" t="n">
        <f aca="false">+G28</f>
        <v>10822300000</v>
      </c>
      <c r="H116" s="48" t="n">
        <f aca="false">+H28</f>
        <v>412000000</v>
      </c>
      <c r="I116" s="48" t="n">
        <f aca="false">+I28</f>
        <v>-8321600000</v>
      </c>
      <c r="J116" s="48" t="n">
        <f aca="false">+J28</f>
        <v>5541500000</v>
      </c>
      <c r="K116" s="48" t="n">
        <f aca="false">+K28</f>
        <v>9116400000</v>
      </c>
      <c r="L116" s="48" t="n">
        <f aca="false">+L28</f>
        <v>8515500000</v>
      </c>
      <c r="M116" s="48" t="n">
        <f aca="false">+M28</f>
        <v>10673000000</v>
      </c>
      <c r="N116" s="48" t="n">
        <f aca="false">+N28</f>
        <v>19606200000</v>
      </c>
    </row>
    <row r="118" customFormat="false" ht="15" hidden="false" customHeight="false" outlineLevel="0" collapsed="false">
      <c r="A118" s="39" t="s">
        <v>26</v>
      </c>
      <c r="B118" s="42" t="s">
        <v>319</v>
      </c>
      <c r="C118" s="39"/>
      <c r="D118" s="39"/>
      <c r="E118" s="39"/>
      <c r="F118" s="39"/>
      <c r="G118" s="39"/>
      <c r="H118" s="39"/>
      <c r="I118" s="39"/>
      <c r="J118" s="39"/>
      <c r="K118" s="39"/>
      <c r="L118" s="39"/>
      <c r="M118" s="39"/>
      <c r="N118" s="39"/>
      <c r="O118" s="39"/>
      <c r="P118" s="39"/>
      <c r="Q118" s="39"/>
      <c r="R118" s="39"/>
      <c r="S118" s="39"/>
      <c r="T118" s="39"/>
      <c r="U118" s="39"/>
      <c r="V118" s="39"/>
      <c r="W118" s="39"/>
      <c r="X118" s="39"/>
    </row>
    <row r="119" customFormat="false" ht="15" hidden="false" customHeight="false" outlineLevel="0" collapsed="false">
      <c r="B119" s="43" t="s">
        <v>320</v>
      </c>
      <c r="C119" s="43" t="s">
        <v>258</v>
      </c>
      <c r="D119" s="44" t="s">
        <v>165</v>
      </c>
      <c r="E119" s="44" t="s">
        <v>258</v>
      </c>
      <c r="F119" s="45" t="n">
        <f aca="false">HIST_CON!E63</f>
        <v>91705400000</v>
      </c>
      <c r="G119" s="45" t="n">
        <f aca="false">HIST_CON!F63</f>
        <v>78488200000</v>
      </c>
      <c r="H119" s="45" t="n">
        <f aca="false">HIST_CON!G63</f>
        <v>64249800000</v>
      </c>
      <c r="I119" s="45" t="n">
        <f aca="false">HIST_CON!H63</f>
        <v>46435500000</v>
      </c>
      <c r="J119" s="45" t="n">
        <f aca="false">HIST_CON!I63</f>
        <v>47979200000</v>
      </c>
      <c r="K119" s="45" t="n">
        <f aca="false">HIST_CON!J63</f>
        <v>50191100000</v>
      </c>
      <c r="L119" s="45" t="n">
        <f aca="false">HIST_CON!K63</f>
        <v>41421800000</v>
      </c>
      <c r="M119" s="45" t="n">
        <f aca="false">HIST_CON!L63</f>
        <v>52876900000</v>
      </c>
      <c r="N119" s="45" t="n">
        <f aca="false">HIST_CON!M63</f>
        <v>92517100000</v>
      </c>
      <c r="O119" s="13" t="s">
        <v>258</v>
      </c>
      <c r="P119" s="50" t="n">
        <f aca="false">IF(F120=0,"",F119/F120)</f>
        <v>0.666507741427667</v>
      </c>
      <c r="Q119" s="50" t="n">
        <f aca="false">IF(G120=0,"",G119/G120)</f>
        <v>0.795305270880155</v>
      </c>
      <c r="R119" s="50" t="n">
        <f aca="false">IF(H120=0,"",H119/H120)</f>
        <v>0.586798499617781</v>
      </c>
      <c r="S119" s="50" t="n">
        <f aca="false">IF(I120=0,"",I119/I120)</f>
        <v>0.280658947596187</v>
      </c>
      <c r="T119" s="50" t="n">
        <f aca="false">IF(J120=0,"",J119/J120)</f>
        <v>1.25804844537441</v>
      </c>
      <c r="U119" s="50" t="n">
        <f aca="false">IF(K120=0,"",K119/K120)</f>
        <v>1.18531787266201</v>
      </c>
      <c r="V119" s="50" t="n">
        <f aca="false">IF(L120=0,"",L119/L120)</f>
        <v>1.53369199382403</v>
      </c>
      <c r="W119" s="50" t="n">
        <f aca="false">IF(M120=0,"",M119/M120)</f>
        <v>1.75737906509131</v>
      </c>
      <c r="X119" s="50" t="n">
        <f aca="false">IF(N120=0,"",N119/N120)</f>
        <v>1.56420509109599</v>
      </c>
    </row>
    <row r="120" customFormat="false" ht="15" hidden="false" customHeight="false" outlineLevel="0" collapsed="false">
      <c r="D120" s="6" t="s">
        <v>321</v>
      </c>
      <c r="F120" s="30" t="n">
        <f aca="false">HIST_CON!E93</f>
        <v>137590900000</v>
      </c>
      <c r="G120" s="30" t="n">
        <f aca="false">HIST_CON!F93</f>
        <v>98689400000</v>
      </c>
      <c r="H120" s="30" t="n">
        <f aca="false">HIST_CON!G93</f>
        <v>109492100000</v>
      </c>
      <c r="I120" s="30" t="n">
        <f aca="false">HIST_CON!H93</f>
        <v>165451700000</v>
      </c>
      <c r="J120" s="30" t="n">
        <f aca="false">HIST_CON!I93</f>
        <v>38137800000</v>
      </c>
      <c r="K120" s="30" t="n">
        <f aca="false">HIST_CON!J93</f>
        <v>42344000000</v>
      </c>
      <c r="L120" s="30" t="n">
        <f aca="false">HIST_CON!K93</f>
        <v>27007900000</v>
      </c>
      <c r="M120" s="30" t="n">
        <f aca="false">HIST_CON!L93</f>
        <v>30088500000</v>
      </c>
      <c r="N120" s="30" t="n">
        <f aca="false">HIST_CON!M93</f>
        <v>59146400000</v>
      </c>
    </row>
    <row r="122" customFormat="false" ht="15" hidden="false" customHeight="false" outlineLevel="0" collapsed="false">
      <c r="B122" s="43" t="s">
        <v>322</v>
      </c>
      <c r="C122" s="43" t="s">
        <v>258</v>
      </c>
      <c r="D122" s="44" t="s">
        <v>323</v>
      </c>
      <c r="E122" s="44" t="s">
        <v>258</v>
      </c>
      <c r="F122" s="45" t="n">
        <f aca="false">HIST_CON!E63-HIST_CON!E51</f>
        <v>57017000000</v>
      </c>
      <c r="G122" s="45" t="n">
        <f aca="false">HIST_CON!F63-HIST_CON!F51</f>
        <v>48224500000</v>
      </c>
      <c r="H122" s="45" t="n">
        <f aca="false">HIST_CON!G63-HIST_CON!G51</f>
        <v>35110500000</v>
      </c>
      <c r="I122" s="45" t="n">
        <f aca="false">HIST_CON!H63-HIST_CON!H51</f>
        <v>25879600000</v>
      </c>
      <c r="J122" s="45" t="n">
        <f aca="false">HIST_CON!I63-HIST_CON!I51</f>
        <v>26251600000</v>
      </c>
      <c r="K122" s="45" t="n">
        <f aca="false">HIST_CON!J63-HIST_CON!J51</f>
        <v>28112100000</v>
      </c>
      <c r="L122" s="45" t="n">
        <f aca="false">HIST_CON!K63-HIST_CON!K51</f>
        <v>23150500000</v>
      </c>
      <c r="M122" s="45" t="n">
        <f aca="false">HIST_CON!L63-HIST_CON!L51</f>
        <v>29954000000</v>
      </c>
      <c r="N122" s="45" t="n">
        <f aca="false">HIST_CON!M63-HIST_CON!M51</f>
        <v>60181600000</v>
      </c>
      <c r="O122" s="13" t="s">
        <v>258</v>
      </c>
      <c r="P122" s="50" t="n">
        <f aca="false">IF(F123=0,"",F122/F123)</f>
        <v>0.414395138050554</v>
      </c>
      <c r="Q122" s="50" t="n">
        <f aca="false">IF(G123=0,"",G122/G123)</f>
        <v>0.488649236898796</v>
      </c>
      <c r="R122" s="50" t="n">
        <f aca="false">IF(H123=0,"",H122/H123)</f>
        <v>0.320666970493762</v>
      </c>
      <c r="S122" s="50" t="n">
        <f aca="false">IF(I123=0,"",I122/I123)</f>
        <v>0.156417854878493</v>
      </c>
      <c r="T122" s="50" t="n">
        <f aca="false">IF(J123=0,"",J122/J123)</f>
        <v>0.688335457210432</v>
      </c>
      <c r="U122" s="50" t="n">
        <f aca="false">IF(K123=0,"",K122/K123)</f>
        <v>0.663898072926507</v>
      </c>
      <c r="V122" s="50" t="n">
        <f aca="false">IF(L123=0,"",L122/L123)</f>
        <v>0.85717512283443</v>
      </c>
      <c r="W122" s="50" t="n">
        <f aca="false">IF(M123=0,"",M122/M123)</f>
        <v>0.995529853598551</v>
      </c>
      <c r="X122" s="50" t="n">
        <f aca="false">IF(N123=0,"",N122/N123)</f>
        <v>1.01750233319357</v>
      </c>
    </row>
    <row r="123" customFormat="false" ht="15" hidden="false" customHeight="false" outlineLevel="0" collapsed="false">
      <c r="D123" s="6" t="s">
        <v>321</v>
      </c>
      <c r="F123" s="48" t="n">
        <f aca="false">+F120</f>
        <v>137590900000</v>
      </c>
      <c r="G123" s="48" t="n">
        <f aca="false">+G120</f>
        <v>98689400000</v>
      </c>
      <c r="H123" s="48" t="n">
        <f aca="false">+H120</f>
        <v>109492100000</v>
      </c>
      <c r="I123" s="48" t="n">
        <f aca="false">+I120</f>
        <v>165451700000</v>
      </c>
      <c r="J123" s="48" t="n">
        <f aca="false">+J120</f>
        <v>38137800000</v>
      </c>
      <c r="K123" s="48" t="n">
        <f aca="false">+K120</f>
        <v>42344000000</v>
      </c>
      <c r="L123" s="48" t="n">
        <f aca="false">+L120</f>
        <v>27007900000</v>
      </c>
      <c r="M123" s="48" t="n">
        <f aca="false">+M120</f>
        <v>30088500000</v>
      </c>
      <c r="N123" s="48" t="n">
        <f aca="false">+N120</f>
        <v>59146400000</v>
      </c>
    </row>
    <row r="125" customFormat="false" ht="15" hidden="false" customHeight="false" outlineLevel="0" collapsed="false">
      <c r="B125" s="43" t="s">
        <v>324</v>
      </c>
      <c r="C125" s="43" t="s">
        <v>258</v>
      </c>
      <c r="D125" s="44" t="s">
        <v>123</v>
      </c>
      <c r="E125" s="44" t="s">
        <v>258</v>
      </c>
      <c r="F125" s="47" t="n">
        <f aca="false">+F28</f>
        <v>25882100000</v>
      </c>
      <c r="G125" s="47" t="n">
        <f aca="false">+G28</f>
        <v>10822300000</v>
      </c>
      <c r="H125" s="47" t="n">
        <f aca="false">+H28</f>
        <v>412000000</v>
      </c>
      <c r="I125" s="47" t="n">
        <f aca="false">+I28</f>
        <v>-8321600000</v>
      </c>
      <c r="J125" s="47" t="n">
        <f aca="false">+J28</f>
        <v>5541500000</v>
      </c>
      <c r="K125" s="47" t="n">
        <f aca="false">+K28</f>
        <v>9116400000</v>
      </c>
      <c r="L125" s="47" t="n">
        <f aca="false">+L28</f>
        <v>8515500000</v>
      </c>
      <c r="M125" s="47" t="n">
        <f aca="false">+M28</f>
        <v>10673000000</v>
      </c>
      <c r="N125" s="47" t="n">
        <f aca="false">+N28</f>
        <v>19606200000</v>
      </c>
      <c r="O125" s="13" t="s">
        <v>258</v>
      </c>
      <c r="P125" s="50" t="n">
        <f aca="false">IF(F126=0,"",F125/F126)</f>
        <v>2.01011968095434</v>
      </c>
      <c r="Q125" s="50" t="n">
        <f aca="false">IF(G126=0,"",G125/G126)</f>
        <v>0.684531113613075</v>
      </c>
      <c r="R125" s="50" t="n">
        <f aca="false">IF(H126=0,"",H125/H126)</f>
        <v>0.032443244009418</v>
      </c>
      <c r="S125" s="50" t="n">
        <f aca="false">IF(I126=0,"",I125/I126)</f>
        <v>-0.608619970891325</v>
      </c>
      <c r="T125" s="50" t="n">
        <f aca="false">IF(J126=0,"",J125/J126)</f>
        <v>0.556230301326963</v>
      </c>
      <c r="U125" s="50" t="n">
        <f aca="false">IF(K126=0,"",K125/K126)</f>
        <v>1.24113706910636</v>
      </c>
      <c r="V125" s="50" t="n">
        <f aca="false">IF(L126=0,"",L125/L126)</f>
        <v>2.02383781728301</v>
      </c>
      <c r="W125" s="50" t="n">
        <f aca="false">IF(M126=0,"",M125/M126)</f>
        <v>6.49525316455696</v>
      </c>
      <c r="X125" s="50" t="n">
        <f aca="false">IF(N126=0,"",N125/N126)</f>
        <v>7.6947409733124</v>
      </c>
    </row>
    <row r="126" customFormat="false" ht="15" hidden="false" customHeight="false" outlineLevel="0" collapsed="false">
      <c r="D126" s="6" t="s">
        <v>287</v>
      </c>
      <c r="F126" s="48" t="n">
        <f aca="false">+F63</f>
        <v>12875900000</v>
      </c>
      <c r="G126" s="48" t="n">
        <f aca="false">+G63</f>
        <v>15809800000</v>
      </c>
      <c r="H126" s="48" t="n">
        <f aca="false">+H63</f>
        <v>12699100000</v>
      </c>
      <c r="I126" s="48" t="n">
        <f aca="false">+I63</f>
        <v>13672900000</v>
      </c>
      <c r="J126" s="48" t="n">
        <f aca="false">+J63</f>
        <v>9962600000</v>
      </c>
      <c r="K126" s="48" t="n">
        <f aca="false">+K63</f>
        <v>7345200000</v>
      </c>
      <c r="L126" s="48" t="n">
        <f aca="false">+L63</f>
        <v>4207600000</v>
      </c>
      <c r="M126" s="48" t="n">
        <f aca="false">+M63</f>
        <v>1643200000</v>
      </c>
      <c r="N126" s="48" t="n">
        <f aca="false">+N63</f>
        <v>2548000000</v>
      </c>
    </row>
    <row r="128" customFormat="false" ht="15" hidden="false" customHeight="false" outlineLevel="0" collapsed="false">
      <c r="A128" s="39" t="s">
        <v>26</v>
      </c>
      <c r="B128" s="42" t="s">
        <v>325</v>
      </c>
      <c r="C128" s="39"/>
      <c r="D128" s="39"/>
      <c r="E128" s="39"/>
      <c r="F128" s="39"/>
      <c r="G128" s="39"/>
      <c r="H128" s="39"/>
      <c r="I128" s="39"/>
      <c r="J128" s="39"/>
      <c r="K128" s="39"/>
      <c r="L128" s="39"/>
      <c r="M128" s="39"/>
      <c r="N128" s="39"/>
      <c r="O128" s="39"/>
      <c r="P128" s="39"/>
      <c r="Q128" s="39"/>
      <c r="R128" s="39"/>
      <c r="S128" s="39"/>
      <c r="T128" s="39"/>
      <c r="U128" s="39"/>
      <c r="V128" s="39"/>
      <c r="W128" s="39"/>
      <c r="X128" s="39"/>
    </row>
    <row r="129" customFormat="false" ht="15" hidden="false" customHeight="false" outlineLevel="0" collapsed="false">
      <c r="B129" s="13" t="s">
        <v>326</v>
      </c>
      <c r="O129" s="13" t="s">
        <v>258</v>
      </c>
      <c r="P129" s="55" t="s">
        <v>327</v>
      </c>
      <c r="Q129" s="46" t="n">
        <f aca="false">IF(F20=0,"",(G20-F20)/F20)</f>
        <v>-0.344533783427728</v>
      </c>
      <c r="R129" s="46" t="n">
        <f aca="false">IF(G20=0,"",(H20-G20)/G20)</f>
        <v>-0.397073857909439</v>
      </c>
      <c r="S129" s="46" t="n">
        <f aca="false">IF(H20=0,"",(I20-H20)/H20)</f>
        <v>-0.408351559996736</v>
      </c>
      <c r="T129" s="46" t="n">
        <f aca="false">IF(I20=0,"",(J20-I20)/I20)</f>
        <v>0.125425097129018</v>
      </c>
      <c r="U129" s="46" t="n">
        <f aca="false">IF(J20=0,"",(K20-J20)/J20)</f>
        <v>0.967223796372679</v>
      </c>
      <c r="V129" s="46" t="n">
        <f aca="false">IF(K20=0,"",(L20-K20)/K20)</f>
        <v>-0.0928700138868209</v>
      </c>
      <c r="W129" s="46" t="n">
        <f aca="false">IF(L20=0,"",(M20-L20)/L20)</f>
        <v>0.0935528336680328</v>
      </c>
      <c r="X129" s="46" t="n">
        <f aca="false">IF(M20=0,"",(N20-M20)/M20)</f>
        <v>0.667880209952689</v>
      </c>
    </row>
    <row r="131" customFormat="false" ht="15" hidden="false" customHeight="false" outlineLevel="0" collapsed="false">
      <c r="B131" s="13" t="s">
        <v>328</v>
      </c>
      <c r="O131" s="13" t="s">
        <v>258</v>
      </c>
      <c r="P131" s="55" t="s">
        <v>327</v>
      </c>
      <c r="Q131" s="46" t="n">
        <f aca="false">IF(F28=0,"",(G28-F28)/F28)</f>
        <v>-0.581861595465592</v>
      </c>
      <c r="R131" s="46" t="n">
        <f aca="false">IF(G28=0,"",(H28-G28)/G28)</f>
        <v>-0.96193045840533</v>
      </c>
      <c r="S131" s="46" t="n">
        <f aca="false">IF(H28=0,"",(I28-H28)/H28)</f>
        <v>-21.1980582524272</v>
      </c>
      <c r="T131" s="46" t="n">
        <f aca="false">IF(I28=0,"",(J28-I28)/I28)</f>
        <v>-1.66591761199769</v>
      </c>
      <c r="U131" s="46" t="n">
        <f aca="false">IF(J28=0,"",(K28-J28)/J28)</f>
        <v>0.645114138771091</v>
      </c>
      <c r="V131" s="46" t="n">
        <f aca="false">IF(K28=0,"",(L28-K28)/K28)</f>
        <v>-0.0659141766486771</v>
      </c>
      <c r="W131" s="46" t="n">
        <f aca="false">IF(L28=0,"",(M28-L28)/L28)</f>
        <v>0.253361517233281</v>
      </c>
      <c r="X131" s="46" t="n">
        <f aca="false">IF(M28=0,"",(N28-M28)/M28)</f>
        <v>0.836990536868734</v>
      </c>
    </row>
    <row r="133" customFormat="false" ht="15" hidden="false" customHeight="false" outlineLevel="0" collapsed="false">
      <c r="B133" s="13" t="s">
        <v>329</v>
      </c>
      <c r="O133" s="13" t="s">
        <v>258</v>
      </c>
      <c r="P133" s="55" t="s">
        <v>327</v>
      </c>
      <c r="Q133" s="46" t="n">
        <f aca="false">IF(F36=0,"",(G36-F36)/F36)</f>
        <v>-0.66322902172628</v>
      </c>
      <c r="R133" s="46" t="n">
        <f aca="false">IF(G36=0,"",(H36-G36)/G36)</f>
        <v>-1.40594366881802</v>
      </c>
      <c r="S133" s="46" t="n">
        <f aca="false">IF(H36=0,"",(I36-H36)/H36)</f>
        <v>3.16021952436388</v>
      </c>
      <c r="T133" s="46" t="n">
        <f aca="false">IF(I36=0,"",(J36-I36)/I36)</f>
        <v>-1.23647033427409</v>
      </c>
      <c r="U133" s="46" t="n">
        <f aca="false">IF(J36=0,"",(K36-J36)/J36)</f>
        <v>1.20373939209521</v>
      </c>
      <c r="V133" s="46" t="n">
        <f aca="false">IF(K36=0,"",(L36-K36)/K36)</f>
        <v>-0.0919453820190243</v>
      </c>
      <c r="W133" s="46" t="n">
        <f aca="false">IF(L36=0,"",(M36-L36)/L36)</f>
        <v>0.482926994103435</v>
      </c>
      <c r="X133" s="46" t="n">
        <f aca="false">IF(M36=0,"",(N36-M36)/M36)</f>
        <v>0.938509741369488</v>
      </c>
    </row>
    <row r="135" customFormat="false" ht="15" hidden="false" customHeight="false" outlineLevel="0" collapsed="false">
      <c r="B135" s="13" t="s">
        <v>330</v>
      </c>
      <c r="O135" s="13" t="s">
        <v>258</v>
      </c>
      <c r="P135" s="55" t="s">
        <v>327</v>
      </c>
      <c r="Q135" s="46" t="n">
        <f aca="false">IF(F7=0,"",(G7-F7)/F7)</f>
        <v>-1.43247508028759</v>
      </c>
      <c r="R135" s="46" t="n">
        <f aca="false">IF(G7=0,"",(H7-G7)/G7)</f>
        <v>2.93414358394573</v>
      </c>
      <c r="S135" s="46" t="n">
        <f aca="false">IF(H7=0,"",(I7-H7)/H7)</f>
        <v>0.757826123872535</v>
      </c>
      <c r="T135" s="46" t="n">
        <f aca="false">IF(I7=0,"",(J7-I7)/I7)</f>
        <v>-1.03728185064223</v>
      </c>
      <c r="U135" s="46" t="n">
        <f aca="false">IF(J7=0,"",(K7-J7)/J7)</f>
        <v>-2.65626868646602</v>
      </c>
      <c r="V135" s="46" t="n">
        <f aca="false">IF(K7=0,"",(L7-K7)/K7)</f>
        <v>-18.3734280040917</v>
      </c>
      <c r="W135" s="46" t="n">
        <f aca="false">IF(L7=0,"",(M7-L7)/L7)</f>
        <v>-0.771290725905607</v>
      </c>
      <c r="X135" s="46" t="n">
        <f aca="false">IF(M7=0,"",(N7-M7)/M7)</f>
        <v>2.137169682744</v>
      </c>
    </row>
    <row r="137" customFormat="false" ht="15" hidden="false" customHeight="false" outlineLevel="0" collapsed="false">
      <c r="B137" s="13" t="s">
        <v>331</v>
      </c>
      <c r="O137" s="13" t="s">
        <v>258</v>
      </c>
      <c r="P137" s="55" t="s">
        <v>327</v>
      </c>
      <c r="Q137" s="46" t="n">
        <f aca="false">IF(F11=0,"",(G11-F11)/F11)</f>
        <v>-0.0854869614559091</v>
      </c>
      <c r="R137" s="46" t="n">
        <f aca="false">IF(G11=0,"",(H11-G11)/G11)</f>
        <v>-0.202297184406914</v>
      </c>
      <c r="S137" s="46" t="n">
        <f aca="false">IF(H11=0,"",(I11-H11)/H11)</f>
        <v>-0.26384666285646</v>
      </c>
      <c r="T137" s="46" t="n">
        <f aca="false">IF(I11=0,"",(J11-I11)/I11)</f>
        <v>0.0108324974924774</v>
      </c>
      <c r="U137" s="46" t="n">
        <f aca="false">IF(J11=0,"",(K11-J11)/J11)</f>
        <v>-0.0191225994494849</v>
      </c>
      <c r="V137" s="46" t="n">
        <f aca="false">IF(K11=0,"",(L11-K11)/K11)</f>
        <v>-0.146949895441755</v>
      </c>
      <c r="W137" s="46" t="n">
        <f aca="false">IF(L11=0,"",(M11-L11)/L11)</f>
        <v>0.299751239277399</v>
      </c>
      <c r="X137" s="46" t="n">
        <f aca="false">IF(M11=0,"",(N11-M11)/M11)</f>
        <v>0.805203217152202</v>
      </c>
    </row>
    <row r="139" customFormat="false" ht="15" hidden="false" customHeight="false" outlineLevel="0" collapsed="false">
      <c r="B139" s="13" t="s">
        <v>332</v>
      </c>
      <c r="O139" s="13" t="s">
        <v>258</v>
      </c>
      <c r="P139" s="50" t="str">
        <f aca="false">IF(OR(NOT(ISNUMBER(P129)),NOT(ISNUMBER(P133)),P129=0),"",P133/P129)</f>
        <v/>
      </c>
      <c r="Q139" s="50" t="n">
        <f aca="false">IF(OR(NOT(ISNUMBER(Q129)),NOT(ISNUMBER(Q133)),Q129=0),"",Q133/Q129)</f>
        <v>1.92500432070228</v>
      </c>
      <c r="R139" s="50" t="n">
        <f aca="false">IF(OR(NOT(ISNUMBER(R129)),NOT(ISNUMBER(R133)),R129=0),"",R133/R129)</f>
        <v>3.5407610972432</v>
      </c>
      <c r="S139" s="50" t="n">
        <f aca="false">IF(OR(NOT(ISNUMBER(S129)),NOT(ISNUMBER(S133)),S129=0),"",S133/S129)</f>
        <v>-7.73896767870591</v>
      </c>
      <c r="T139" s="50" t="n">
        <f aca="false">IF(OR(NOT(ISNUMBER(T129)),NOT(ISNUMBER(T133)),T129=0),"",T133/T129)</f>
        <v>-9.85823700819782</v>
      </c>
      <c r="U139" s="50" t="n">
        <f aca="false">IF(OR(NOT(ISNUMBER(U129)),NOT(ISNUMBER(U133)),U129=0),"",U133/U129)</f>
        <v>1.24453037302176</v>
      </c>
      <c r="V139" s="50" t="n">
        <f aca="false">IF(OR(NOT(ISNUMBER(V129)),NOT(ISNUMBER(V133)),V129=0),"",V133/V129)</f>
        <v>0.990043806077993</v>
      </c>
      <c r="W139" s="50" t="n">
        <f aca="false">IF(OR(NOT(ISNUMBER(W129)),NOT(ISNUMBER(W133)),W129=0),"",W133/W129)</f>
        <v>5.16207767492191</v>
      </c>
      <c r="X139" s="50" t="n">
        <f aca="false">IF(OR(NOT(ISNUMBER(X129)),NOT(ISNUMBER(X133)),X129=0),"",X133/X129)</f>
        <v>1.40520669333198</v>
      </c>
    </row>
    <row r="141" customFormat="false" ht="15" hidden="false" customHeight="false" outlineLevel="0" collapsed="false">
      <c r="B141" s="13" t="s">
        <v>333</v>
      </c>
      <c r="O141" s="13" t="s">
        <v>258</v>
      </c>
      <c r="P141" s="50" t="str">
        <f aca="false">IF(OR(NOT(ISNUMBER(P133)),NOT(ISNUMBER(P135)),P133=0),"",P135/P133)</f>
        <v/>
      </c>
      <c r="Q141" s="50" t="n">
        <f aca="false">IF(OR(NOT(ISNUMBER(Q133)),NOT(ISNUMBER(Q135)),Q133=0),"",Q135/Q133)</f>
        <v>2.15984981561736</v>
      </c>
      <c r="R141" s="50" t="n">
        <f aca="false">IF(OR(NOT(ISNUMBER(R133)),NOT(ISNUMBER(R135)),R133=0),"",R135/R133)</f>
        <v>-2.0869567174142</v>
      </c>
      <c r="S141" s="50" t="n">
        <f aca="false">IF(OR(NOT(ISNUMBER(S133)),NOT(ISNUMBER(S135)),S133=0),"",S135/S133)</f>
        <v>0.239801734667492</v>
      </c>
      <c r="T141" s="50" t="n">
        <f aca="false">IF(OR(NOT(ISNUMBER(T133)),NOT(ISNUMBER(T135)),T133=0),"",T135/T133)</f>
        <v>0.838905570064651</v>
      </c>
      <c r="U141" s="50" t="n">
        <f aca="false">IF(OR(NOT(ISNUMBER(U133)),NOT(ISNUMBER(U135)),U133=0),"",U135/U133)</f>
        <v>-2.20668086789331</v>
      </c>
      <c r="V141" s="50" t="n">
        <f aca="false">IF(OR(NOT(ISNUMBER(V133)),NOT(ISNUMBER(V135)),V133=0),"",V135/V133)</f>
        <v>199.829807660053</v>
      </c>
      <c r="W141" s="50" t="n">
        <f aca="false">IF(OR(NOT(ISNUMBER(W133)),NOT(ISNUMBER(W135)),W133=0),"",W135/W133)</f>
        <v>-1.59711661456723</v>
      </c>
      <c r="X141" s="50" t="n">
        <f aca="false">IF(OR(NOT(ISNUMBER(X133)),NOT(ISNUMBER(X135)),X133=0),"",X135/X133)</f>
        <v>2.27719499173808</v>
      </c>
    </row>
    <row r="143" customFormat="false" ht="15" hidden="false" customHeight="false" outlineLevel="0" collapsed="false">
      <c r="B143" s="13" t="s">
        <v>334</v>
      </c>
      <c r="O143" s="13" t="s">
        <v>258</v>
      </c>
      <c r="P143" s="50" t="str">
        <f aca="false">IF(OR(NOT(ISNUMBER(P129)),NOT(ISNUMBER(P135)),P129=0),"",P135/P129)</f>
        <v/>
      </c>
      <c r="Q143" s="50" t="n">
        <f aca="false">IF(OR(NOT(ISNUMBER(Q129)),NOT(ISNUMBER(Q135)),Q129=0),"",Q135/Q129)</f>
        <v>4.15772022713145</v>
      </c>
      <c r="R143" s="50" t="n">
        <f aca="false">IF(OR(NOT(ISNUMBER(R129)),NOT(ISNUMBER(R135)),R129=0),"",R135/R129)</f>
        <v>-7.38941515665059</v>
      </c>
      <c r="S143" s="50" t="n">
        <f aca="false">IF(OR(NOT(ISNUMBER(S129)),NOT(ISNUMBER(S135)),S129=0),"",S135/S129)</f>
        <v>-1.85581787388933</v>
      </c>
      <c r="T143" s="50" t="n">
        <f aca="false">IF(OR(NOT(ISNUMBER(T129)),NOT(ISNUMBER(T135)),T129=0),"",T135/T129)</f>
        <v>-8.27012993719463</v>
      </c>
      <c r="U143" s="50" t="n">
        <f aca="false">IF(OR(NOT(ISNUMBER(U129)),NOT(ISNUMBER(U135)),U129=0),"",U135/U129)</f>
        <v>-2.74628136365923</v>
      </c>
      <c r="V143" s="50" t="n">
        <f aca="false">IF(OR(NOT(ISNUMBER(V129)),NOT(ISNUMBER(V135)),V129=0),"",V135/V129)</f>
        <v>197.840263343592</v>
      </c>
      <c r="W143" s="50" t="n">
        <f aca="false">IF(OR(NOT(ISNUMBER(W129)),NOT(ISNUMBER(W135)),W129=0),"",W135/W129)</f>
        <v>-8.24444002030436</v>
      </c>
      <c r="X143" s="50" t="n">
        <f aca="false">IF(OR(NOT(ISNUMBER(X129)),NOT(ISNUMBER(X135)),X129=0),"",X135/X129)</f>
        <v>3.19992964441242</v>
      </c>
    </row>
  </sheetData>
  <mergeCells count="2">
    <mergeCell ref="A1:X1"/>
    <mergeCell ref="A2:X2"/>
  </mergeCells>
  <conditionalFormatting sqref="P31:X31">
    <cfRule type="cellIs" priority="2" operator="equal" aboveAverage="0" equalAverage="0" bottom="0" percent="0" rank="0" text="" dxfId="0">
      <formula>"Error"</formula>
    </cfRule>
    <cfRule type="cellIs" priority="3" operator="equal" aboveAverage="0" equalAverage="0" bottom="0" percent="0" rank="0" text="" dxfId="1">
      <formula>"OK"</formula>
    </cfRule>
  </conditionalFormatting>
  <conditionalFormatting sqref="P39:X39">
    <cfRule type="cellIs" priority="4" operator="equal" aboveAverage="0" equalAverage="0" bottom="0" percent="0" rank="0" text="" dxfId="0">
      <formula>"Error"</formula>
    </cfRule>
    <cfRule type="cellIs" priority="5" operator="equal" aboveAverage="0" equalAverage="0" bottom="0" percent="0" rank="0" text="" dxfId="1">
      <formula>"OK"</formula>
    </cfRule>
  </conditionalFormatting>
  <conditionalFormatting sqref="P47:X47">
    <cfRule type="cellIs" priority="6" operator="equal" aboveAverage="0" equalAverage="0" bottom="0" percent="0" rank="0" text="" dxfId="0">
      <formula>"Error"</formula>
    </cfRule>
    <cfRule type="cellIs" priority="7" operator="equal" aboveAverage="0" equalAverage="0" bottom="0" percent="0" rank="0" text="" dxfId="1">
      <formula>"OK"</formula>
    </cfRule>
  </conditionalFormatting>
  <conditionalFormatting sqref="P55:X55">
    <cfRule type="cellIs" priority="8" operator="equal" aboveAverage="0" equalAverage="0" bottom="0" percent="0" rank="0" text="" dxfId="0">
      <formula>"Error"</formula>
    </cfRule>
    <cfRule type="cellIs" priority="9" operator="equal" aboveAverage="0" equalAverage="0" bottom="0" percent="0" rank="0" text="" dxfId="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59" min="3" style="0" width="13"/>
  </cols>
  <sheetData>
    <row r="1" customFormat="false" ht="24" hidden="false" customHeight="true" outlineLevel="0" collapsed="false">
      <c r="A1" s="25" t="s">
        <v>335</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row>
    <row r="2" customFormat="false" ht="15" hidden="false" customHeight="false" outlineLevel="0" collapsed="false">
      <c r="A2" s="26" t="s">
        <v>336</v>
      </c>
      <c r="B2" s="26"/>
      <c r="C2" s="26"/>
      <c r="D2" s="26"/>
      <c r="E2" s="26"/>
      <c r="F2" s="26"/>
      <c r="G2" s="26"/>
      <c r="H2" s="26"/>
      <c r="I2" s="26"/>
      <c r="J2" s="26"/>
      <c r="K2" s="26"/>
      <c r="L2" s="26"/>
      <c r="M2" s="26"/>
      <c r="N2" s="26"/>
      <c r="O2" s="26"/>
      <c r="P2" s="26"/>
      <c r="Q2" s="26"/>
      <c r="R2" s="26"/>
      <c r="S2" s="26"/>
      <c r="T2" s="26"/>
      <c r="U2" s="26"/>
      <c r="V2" s="26"/>
      <c r="W2" s="26"/>
      <c r="X2" s="26"/>
      <c r="Y2" s="26"/>
      <c r="Z2" s="26"/>
      <c r="AA2" s="26"/>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6"/>
      <c r="BB2" s="26"/>
      <c r="BC2" s="26"/>
      <c r="BD2" s="26"/>
      <c r="BE2" s="26"/>
      <c r="BF2" s="26"/>
      <c r="BG2" s="26"/>
    </row>
    <row r="5" customFormat="false" ht="15" hidden="false" customHeight="false" outlineLevel="0" collapsed="false">
      <c r="A5" s="28" t="s">
        <v>26</v>
      </c>
      <c r="B5" s="29" t="s">
        <v>337</v>
      </c>
      <c r="C5" s="12" t="s">
        <v>30</v>
      </c>
      <c r="D5" s="12" t="s">
        <v>31</v>
      </c>
      <c r="E5" s="12" t="s">
        <v>32</v>
      </c>
      <c r="F5" s="12" t="s">
        <v>33</v>
      </c>
      <c r="G5" s="12" t="s">
        <v>34</v>
      </c>
      <c r="H5" s="12" t="s">
        <v>35</v>
      </c>
      <c r="I5" s="12" t="s">
        <v>36</v>
      </c>
      <c r="J5" s="12" t="s">
        <v>37</v>
      </c>
    </row>
    <row r="6" customFormat="false" ht="15" hidden="false" customHeight="false" outlineLevel="0" collapsed="false">
      <c r="B6" s="56" t="s">
        <v>268</v>
      </c>
      <c r="C6" s="30" t="n">
        <f aca="false">HIST_CON!F7</f>
        <v>83338400000</v>
      </c>
      <c r="D6" s="30" t="n">
        <f aca="false">HIST_CON!G7</f>
        <v>50246900000</v>
      </c>
      <c r="E6" s="30" t="n">
        <f aca="false">HIST_CON!H7</f>
        <v>29728500000</v>
      </c>
      <c r="F6" s="30" t="n">
        <f aca="false">HIST_CON!I7</f>
        <v>33457200000</v>
      </c>
      <c r="G6" s="30" t="n">
        <f aca="false">HIST_CON!J7</f>
        <v>65817800000</v>
      </c>
      <c r="H6" s="30" t="n">
        <f aca="false">HIST_CON!K7</f>
        <v>59705300000</v>
      </c>
      <c r="I6" s="30" t="n">
        <f aca="false">HIST_CON!L7</f>
        <v>65290900000</v>
      </c>
      <c r="J6" s="30" t="n">
        <f aca="false">HIST_CON!M7</f>
        <v>108897400000</v>
      </c>
    </row>
    <row r="7" customFormat="false" ht="15" hidden="false" customHeight="false" outlineLevel="0" collapsed="false">
      <c r="B7" s="56" t="s">
        <v>259</v>
      </c>
      <c r="C7" s="30" t="n">
        <f aca="false">HIST_CON!F26</f>
        <v>-3891800000</v>
      </c>
      <c r="D7" s="30" t="n">
        <f aca="false">HIST_CON!G26</f>
        <v>-15310900000</v>
      </c>
      <c r="E7" s="30" t="n">
        <f aca="false">HIST_CON!H26</f>
        <v>-26913900000</v>
      </c>
      <c r="F7" s="30" t="n">
        <f aca="false">HIST_CON!I26</f>
        <v>1003400000</v>
      </c>
      <c r="G7" s="30" t="n">
        <f aca="false">HIST_CON!J26</f>
        <v>-1661900000</v>
      </c>
      <c r="H7" s="30" t="n">
        <f aca="false">HIST_CON!K26</f>
        <v>28872900000</v>
      </c>
      <c r="I7" s="30" t="n">
        <f aca="false">HIST_CON!L26</f>
        <v>6603500000</v>
      </c>
      <c r="J7" s="30" t="n">
        <f aca="false">HIST_CON!M26</f>
        <v>20716300000</v>
      </c>
    </row>
    <row r="8" customFormat="false" ht="15" hidden="false" customHeight="false" outlineLevel="0" collapsed="false">
      <c r="B8" s="56" t="s">
        <v>280</v>
      </c>
      <c r="C8" s="30" t="n">
        <f aca="false">HIST_CON!F22</f>
        <v>-3907400000</v>
      </c>
      <c r="D8" s="30" t="n">
        <f aca="false">HIST_CON!G22</f>
        <v>-15429900000</v>
      </c>
      <c r="E8" s="30" t="n">
        <f aca="false">HIST_CON!H22</f>
        <v>-26839500000</v>
      </c>
      <c r="F8" s="30" t="n">
        <f aca="false">HIST_CON!I22</f>
        <v>1049700000</v>
      </c>
      <c r="G8" s="30" t="n">
        <f aca="false">HIST_CON!J22</f>
        <v>4000000</v>
      </c>
      <c r="H8" s="30" t="n">
        <f aca="false">HIST_CON!K22</f>
        <v>28917100000</v>
      </c>
      <c r="I8" s="30" t="n">
        <f aca="false">HIST_CON!L22</f>
        <v>6594900000</v>
      </c>
      <c r="J8" s="30" t="n">
        <f aca="false">HIST_CON!M22</f>
        <v>14466300000</v>
      </c>
    </row>
    <row r="9" customFormat="false" ht="15" hidden="false" customHeight="false" outlineLevel="0" collapsed="false">
      <c r="B9" s="56" t="s">
        <v>125</v>
      </c>
      <c r="C9" s="30" t="n">
        <f aca="false">HIST_CON!F19</f>
        <v>7406200000</v>
      </c>
      <c r="D9" s="30" t="n">
        <f aca="false">HIST_CON!G19</f>
        <v>-3006500000</v>
      </c>
      <c r="E9" s="30" t="n">
        <f aca="false">HIST_CON!H19</f>
        <v>-12507700000</v>
      </c>
      <c r="F9" s="30" t="n">
        <f aca="false">HIST_CON!I19</f>
        <v>2957700000</v>
      </c>
      <c r="G9" s="30" t="n">
        <f aca="false">HIST_CON!J19</f>
        <v>6518000000</v>
      </c>
      <c r="H9" s="30" t="n">
        <f aca="false">HIST_CON!K19</f>
        <v>5918700000</v>
      </c>
      <c r="I9" s="30" t="n">
        <f aca="false">HIST_CON!L19</f>
        <v>8777000000</v>
      </c>
      <c r="J9" s="30" t="n">
        <f aca="false">HIST_CON!M19</f>
        <v>17014300000</v>
      </c>
    </row>
    <row r="10" customFormat="false" ht="15" hidden="false" customHeight="false" outlineLevel="0" collapsed="false">
      <c r="B10" s="56" t="s">
        <v>167</v>
      </c>
      <c r="C10" s="30" t="n">
        <f aca="false">HIST_CON!F65</f>
        <v>111205700000</v>
      </c>
      <c r="D10" s="30" t="n">
        <f aca="false">HIST_CON!G65</f>
        <v>88709100000</v>
      </c>
      <c r="E10" s="30" t="n">
        <f aca="false">HIST_CON!H65</f>
        <v>65303500000</v>
      </c>
      <c r="F10" s="30" t="n">
        <f aca="false">HIST_CON!I65</f>
        <v>66010900000</v>
      </c>
      <c r="G10" s="30" t="n">
        <f aca="false">HIST_CON!J65</f>
        <v>64748600000</v>
      </c>
      <c r="H10" s="30" t="n">
        <f aca="false">HIST_CON!K65</f>
        <v>55233800000</v>
      </c>
      <c r="I10" s="30" t="n">
        <f aca="false">HIST_CON!L65</f>
        <v>71790200000</v>
      </c>
      <c r="J10" s="30" t="n">
        <f aca="false">HIST_CON!M65</f>
        <v>129595900000</v>
      </c>
    </row>
    <row r="11" customFormat="false" ht="15" hidden="false" customHeight="false" outlineLevel="0" collapsed="false">
      <c r="B11" s="56" t="s">
        <v>338</v>
      </c>
      <c r="C11" s="30" t="n">
        <f aca="false">HIST_CON!F72</f>
        <v>-69566600000</v>
      </c>
      <c r="D11" s="30" t="n">
        <f aca="false">HIST_CON!G72</f>
        <v>-85030900000</v>
      </c>
      <c r="E11" s="30" t="n">
        <f aca="false">HIST_CON!H72</f>
        <v>-110418400000</v>
      </c>
      <c r="F11" s="30" t="n">
        <f aca="false">HIST_CON!I72</f>
        <v>-34007100000</v>
      </c>
      <c r="G11" s="30" t="n">
        <f aca="false">HIST_CON!J72</f>
        <v>-35618100000</v>
      </c>
      <c r="H11" s="30" t="n">
        <f aca="false">HIST_CON!K72</f>
        <v>10991400000</v>
      </c>
      <c r="I11" s="30" t="n">
        <f aca="false">HIST_CON!L72</f>
        <v>39203100000</v>
      </c>
      <c r="J11" s="30" t="n">
        <f aca="false">HIST_CON!M72</f>
        <v>61057200000</v>
      </c>
    </row>
    <row r="13" customFormat="false" ht="15" hidden="false" customHeight="false" outlineLevel="0" collapsed="false">
      <c r="A13" s="28" t="s">
        <v>26</v>
      </c>
      <c r="B13" s="29" t="s">
        <v>339</v>
      </c>
      <c r="C13" s="28"/>
      <c r="D13" s="28"/>
      <c r="E13" s="28"/>
      <c r="F13" s="28"/>
      <c r="G13" s="28"/>
      <c r="H13" s="28"/>
      <c r="I13" s="28"/>
      <c r="J13" s="28"/>
    </row>
    <row r="14" customFormat="false" ht="25" hidden="false" customHeight="false" outlineLevel="0" collapsed="false">
      <c r="B14" s="57" t="s">
        <v>340</v>
      </c>
      <c r="C14" s="46" t="n">
        <f aca="false">IFERROR(C7/C6,0)</f>
        <v>-0.0466987607153485</v>
      </c>
      <c r="D14" s="46" t="n">
        <f aca="false">IFERROR(D7/D6,0)</f>
        <v>-0.304713325598196</v>
      </c>
      <c r="E14" s="46" t="n">
        <f aca="false">IFERROR(E7/E6,0)</f>
        <v>-0.905323174731318</v>
      </c>
      <c r="F14" s="46" t="n">
        <f aca="false">IFERROR(F7/F6,0)</f>
        <v>0.0299905550972586</v>
      </c>
      <c r="G14" s="46" t="n">
        <f aca="false">IFERROR(G7/G6,0)</f>
        <v>-0.0252500083564021</v>
      </c>
      <c r="H14" s="46" t="n">
        <f aca="false">IFERROR(H7/H6,0)</f>
        <v>0.483590234032825</v>
      </c>
      <c r="I14" s="46" t="n">
        <f aca="false">IFERROR(I7/I6,0)</f>
        <v>0.101139668774668</v>
      </c>
      <c r="J14" s="46" t="n">
        <f aca="false">IFERROR(J7/J6,0)</f>
        <v>0.190236865159315</v>
      </c>
    </row>
    <row r="15" customFormat="false" ht="25" hidden="false" customHeight="false" outlineLevel="0" collapsed="false">
      <c r="B15" s="57" t="s">
        <v>341</v>
      </c>
      <c r="C15" s="50" t="n">
        <f aca="false">IFERROR(C6/C10,0)</f>
        <v>0.74940762928519</v>
      </c>
      <c r="D15" s="50" t="n">
        <f aca="false">IFERROR(D6/D10,0)</f>
        <v>0.566423286900668</v>
      </c>
      <c r="E15" s="50" t="n">
        <f aca="false">IFERROR(E6/E10,0)</f>
        <v>0.455235936818088</v>
      </c>
      <c r="F15" s="50" t="n">
        <f aca="false">IFERROR(F6/F10,0)</f>
        <v>0.50684356674428</v>
      </c>
      <c r="G15" s="50" t="n">
        <f aca="false">IFERROR(G6/G10,0)</f>
        <v>1.01651309835271</v>
      </c>
      <c r="H15" s="50" t="n">
        <f aca="false">IFERROR(H6/H10,0)</f>
        <v>1.08095586398184</v>
      </c>
      <c r="I15" s="50" t="n">
        <f aca="false">IFERROR(I6/I10,0)</f>
        <v>0.909468144677129</v>
      </c>
      <c r="J15" s="50" t="n">
        <f aca="false">IFERROR(J6/J10,0)</f>
        <v>0.840284299117488</v>
      </c>
    </row>
    <row r="16" customFormat="false" ht="25" hidden="false" customHeight="false" outlineLevel="0" collapsed="false">
      <c r="B16" s="57" t="s">
        <v>342</v>
      </c>
      <c r="C16" s="50" t="n">
        <f aca="false">IFERROR(C10/C11,0)</f>
        <v>-1.59855016631544</v>
      </c>
      <c r="D16" s="50" t="n">
        <f aca="false">IFERROR(D10/D11,0)</f>
        <v>-1.04325721590622</v>
      </c>
      <c r="E16" s="50" t="n">
        <f aca="false">IFERROR(E10/E11,0)</f>
        <v>-0.591418640371532</v>
      </c>
      <c r="F16" s="50" t="n">
        <f aca="false">IFERROR(F10/F11,0)</f>
        <v>-1.94109171320107</v>
      </c>
      <c r="G16" s="50" t="n">
        <f aca="false">IFERROR(G10/G11,0)</f>
        <v>-1.81785665153391</v>
      </c>
      <c r="H16" s="50" t="n">
        <f aca="false">IFERROR(H10/H11,0)</f>
        <v>5.02518332514511</v>
      </c>
      <c r="I16" s="50" t="n">
        <f aca="false">IFERROR(I10/I11,0)</f>
        <v>1.83123783578339</v>
      </c>
      <c r="J16" s="50" t="n">
        <f aca="false">IFERROR(J10/J11,0)</f>
        <v>2.12253264152303</v>
      </c>
    </row>
    <row r="17" customFormat="false" ht="15" hidden="false" customHeight="false" outlineLevel="0" collapsed="false">
      <c r="A17" s="31"/>
      <c r="B17" s="58" t="s">
        <v>343</v>
      </c>
      <c r="C17" s="59" t="n">
        <f aca="false">IFERROR(C14*C15*C16,0)</f>
        <v>0.0559435131226767</v>
      </c>
      <c r="D17" s="59" t="n">
        <f aca="false">IFERROR(D14*D15*D16,0)</f>
        <v>0.180062777178649</v>
      </c>
      <c r="E17" s="59" t="n">
        <f aca="false">IFERROR(E14*E15*E16,0)</f>
        <v>0.243744701969962</v>
      </c>
      <c r="F17" s="59" t="n">
        <f aca="false">IFERROR(F14*F15*F16,0)</f>
        <v>-0.029505603241676</v>
      </c>
      <c r="G17" s="59" t="n">
        <f aca="false">IFERROR(G14*G15*G16,0)</f>
        <v>0.0466588616461855</v>
      </c>
      <c r="H17" s="59" t="n">
        <f aca="false">IFERROR(H14*H15*H16,0)</f>
        <v>2.62686282002293</v>
      </c>
      <c r="I17" s="59" t="n">
        <f aca="false">IFERROR(I14*I15*I16,0)</f>
        <v>0.168443311880948</v>
      </c>
      <c r="J17" s="59" t="n">
        <f aca="false">IFERROR(J14*J15*J16,0)</f>
        <v>0.33929331839652</v>
      </c>
    </row>
    <row r="19" customFormat="false" ht="15" hidden="false" customHeight="false" outlineLevel="0" collapsed="false">
      <c r="A19" s="28" t="s">
        <v>26</v>
      </c>
      <c r="B19" s="29" t="s">
        <v>344</v>
      </c>
      <c r="C19" s="28"/>
      <c r="D19" s="28"/>
      <c r="E19" s="28"/>
      <c r="F19" s="28"/>
      <c r="G19" s="28"/>
      <c r="H19" s="28"/>
      <c r="I19" s="28"/>
      <c r="J19" s="28"/>
    </row>
    <row r="20" customFormat="false" ht="15" hidden="false" customHeight="false" outlineLevel="0" collapsed="false">
      <c r="B20" s="57" t="s">
        <v>345</v>
      </c>
      <c r="C20" s="46" t="n">
        <f aca="false">IFERROR(C7/C8,0)</f>
        <v>0.996007575369811</v>
      </c>
      <c r="D20" s="46" t="n">
        <f aca="false">IFERROR(D7/D8,0)</f>
        <v>0.99228770115166</v>
      </c>
      <c r="E20" s="46" t="n">
        <f aca="false">IFERROR(E7/E8,0)</f>
        <v>1.00277203375622</v>
      </c>
      <c r="F20" s="46" t="n">
        <f aca="false">IFERROR(F7/F8,0)</f>
        <v>0.955892159664666</v>
      </c>
      <c r="G20" s="46" t="n">
        <f aca="false">IFERROR(G7/G8,0)</f>
        <v>-415.475</v>
      </c>
      <c r="H20" s="46" t="n">
        <f aca="false">IFERROR(H7/H8,0)</f>
        <v>0.99847149264622</v>
      </c>
      <c r="I20" s="46" t="n">
        <f aca="false">IFERROR(I7/I8,0)</f>
        <v>1.00130403796873</v>
      </c>
      <c r="J20" s="46" t="n">
        <f aca="false">IFERROR(J7/J8,0)</f>
        <v>1.43203860005668</v>
      </c>
    </row>
    <row r="21" customFormat="false" ht="15" hidden="false" customHeight="false" outlineLevel="0" collapsed="false">
      <c r="B21" s="57" t="s">
        <v>346</v>
      </c>
      <c r="C21" s="46" t="n">
        <f aca="false">IFERROR(C8/C9,0)</f>
        <v>-0.527584996354406</v>
      </c>
      <c r="D21" s="46" t="n">
        <f aca="false">IFERROR(D8/D9,0)</f>
        <v>5.13218027606852</v>
      </c>
      <c r="E21" s="46" t="n">
        <f aca="false">IFERROR(E8/E9,0)</f>
        <v>2.14583816369117</v>
      </c>
      <c r="F21" s="46" t="n">
        <f aca="false">IFERROR(F8/F9,0)</f>
        <v>0.354904148493762</v>
      </c>
      <c r="G21" s="46" t="n">
        <f aca="false">IFERROR(G8/G9,0)</f>
        <v>0.000613685179502915</v>
      </c>
      <c r="H21" s="46" t="n">
        <f aca="false">IFERROR(H8/H9,0)</f>
        <v>4.88571814756619</v>
      </c>
      <c r="I21" s="46" t="n">
        <f aca="false">IFERROR(I8/I9,0)</f>
        <v>0.751384299874673</v>
      </c>
      <c r="J21" s="46" t="n">
        <f aca="false">IFERROR(J8/J9,0)</f>
        <v>0.850243618603175</v>
      </c>
    </row>
    <row r="22" customFormat="false" ht="25" hidden="false" customHeight="false" outlineLevel="0" collapsed="false">
      <c r="B22" s="57" t="s">
        <v>347</v>
      </c>
      <c r="C22" s="46" t="n">
        <f aca="false">IFERROR(C9/C6,0)</f>
        <v>0.0888689967649967</v>
      </c>
      <c r="D22" s="46" t="n">
        <f aca="false">IFERROR(D9/D6,0)</f>
        <v>-0.0598345370560174</v>
      </c>
      <c r="E22" s="46" t="n">
        <f aca="false">IFERROR(E9/E6,0)</f>
        <v>-0.420730948416503</v>
      </c>
      <c r="F22" s="46" t="n">
        <f aca="false">IFERROR(F9/F6,0)</f>
        <v>0.0884024963236613</v>
      </c>
      <c r="G22" s="46" t="n">
        <f aca="false">IFERROR(G9/G6,0)</f>
        <v>0.0990309612293331</v>
      </c>
      <c r="H22" s="46" t="n">
        <f aca="false">IFERROR(H9/H6,0)</f>
        <v>0.0991319028628949</v>
      </c>
      <c r="I22" s="46" t="n">
        <f aca="false">IFERROR(I9/I6,0)</f>
        <v>0.134429147094005</v>
      </c>
      <c r="J22" s="46" t="n">
        <f aca="false">IFERROR(J9/J6,0)</f>
        <v>0.156241563159451</v>
      </c>
    </row>
    <row r="23" customFormat="false" ht="25" hidden="false" customHeight="false" outlineLevel="0" collapsed="false">
      <c r="B23" s="57" t="s">
        <v>341</v>
      </c>
      <c r="C23" s="50" t="n">
        <f aca="false">IFERROR(C6/C10,0)</f>
        <v>0.74940762928519</v>
      </c>
      <c r="D23" s="50" t="n">
        <f aca="false">IFERROR(D6/D10,0)</f>
        <v>0.566423286900668</v>
      </c>
      <c r="E23" s="50" t="n">
        <f aca="false">IFERROR(E6/E10,0)</f>
        <v>0.455235936818088</v>
      </c>
      <c r="F23" s="50" t="n">
        <f aca="false">IFERROR(F6/F10,0)</f>
        <v>0.50684356674428</v>
      </c>
      <c r="G23" s="50" t="n">
        <f aca="false">IFERROR(G6/G10,0)</f>
        <v>1.01651309835271</v>
      </c>
      <c r="H23" s="50" t="n">
        <f aca="false">IFERROR(H6/H10,0)</f>
        <v>1.08095586398184</v>
      </c>
      <c r="I23" s="50" t="n">
        <f aca="false">IFERROR(I6/I10,0)</f>
        <v>0.909468144677129</v>
      </c>
      <c r="J23" s="50" t="n">
        <f aca="false">IFERROR(J6/J10,0)</f>
        <v>0.840284299117488</v>
      </c>
    </row>
    <row r="24" customFormat="false" ht="25" hidden="false" customHeight="false" outlineLevel="0" collapsed="false">
      <c r="B24" s="57" t="s">
        <v>342</v>
      </c>
      <c r="C24" s="50" t="n">
        <f aca="false">IFERROR(C10/C11,0)</f>
        <v>-1.59855016631544</v>
      </c>
      <c r="D24" s="50" t="n">
        <f aca="false">IFERROR(D10/D11,0)</f>
        <v>-1.04325721590622</v>
      </c>
      <c r="E24" s="50" t="n">
        <f aca="false">IFERROR(E10/E11,0)</f>
        <v>-0.591418640371532</v>
      </c>
      <c r="F24" s="50" t="n">
        <f aca="false">IFERROR(F10/F11,0)</f>
        <v>-1.94109171320107</v>
      </c>
      <c r="G24" s="50" t="n">
        <f aca="false">IFERROR(G10/G11,0)</f>
        <v>-1.81785665153391</v>
      </c>
      <c r="H24" s="50" t="n">
        <f aca="false">IFERROR(H10/H11,0)</f>
        <v>5.02518332514511</v>
      </c>
      <c r="I24" s="50" t="n">
        <f aca="false">IFERROR(I10/I11,0)</f>
        <v>1.83123783578339</v>
      </c>
      <c r="J24" s="50" t="n">
        <f aca="false">IFERROR(J10/J11,0)</f>
        <v>2.12253264152303</v>
      </c>
    </row>
    <row r="25" customFormat="false" ht="15" hidden="false" customHeight="false" outlineLevel="0" collapsed="false">
      <c r="A25" s="31"/>
      <c r="B25" s="58" t="s">
        <v>348</v>
      </c>
      <c r="C25" s="59" t="n">
        <f aca="false">IFERROR(C20*C21*C22*C23*C24,0)</f>
        <v>0.0559435131226767</v>
      </c>
      <c r="D25" s="59" t="n">
        <f aca="false">IFERROR(D20*D21*D22*D23*D24,0)</f>
        <v>0.180062777178649</v>
      </c>
      <c r="E25" s="59" t="n">
        <f aca="false">IFERROR(E20*E21*E22*E23*E24,0)</f>
        <v>0.243744701969962</v>
      </c>
      <c r="F25" s="59" t="n">
        <f aca="false">IFERROR(F20*F21*F22*F23*F24,0)</f>
        <v>-0.029505603241676</v>
      </c>
      <c r="G25" s="59" t="n">
        <f aca="false">IFERROR(G20*G21*G22*G23*G24,0)</f>
        <v>0.0466588616461855</v>
      </c>
      <c r="H25" s="59" t="n">
        <f aca="false">IFERROR(H20*H21*H22*H23*H24,0)</f>
        <v>2.62686282002293</v>
      </c>
      <c r="I25" s="59" t="n">
        <f aca="false">IFERROR(I20*I21*I22*I23*I24,0)</f>
        <v>0.168443311880948</v>
      </c>
      <c r="J25" s="59" t="n">
        <f aca="false">IFERROR(J20*J21*J22*J23*J24,0)</f>
        <v>0.33929331839652</v>
      </c>
    </row>
    <row r="27" customFormat="false" ht="15" hidden="false" customHeight="false" outlineLevel="0" collapsed="false">
      <c r="A27" s="28" t="s">
        <v>26</v>
      </c>
      <c r="B27" s="29" t="s">
        <v>349</v>
      </c>
      <c r="C27" s="28"/>
      <c r="D27" s="28"/>
      <c r="E27" s="28"/>
      <c r="F27" s="28"/>
      <c r="G27" s="28"/>
      <c r="H27" s="28"/>
      <c r="I27" s="28"/>
      <c r="J27" s="28"/>
    </row>
    <row r="28" customFormat="false" ht="25" hidden="false" customHeight="false" outlineLevel="0" collapsed="false">
      <c r="B28" s="57" t="s">
        <v>350</v>
      </c>
      <c r="C28" s="46" t="n">
        <f aca="false">IFERROR(C7/C11,0)</f>
        <v>0.0559435131226767</v>
      </c>
      <c r="D28" s="46" t="n">
        <f aca="false">IFERROR(D7/D11,0)</f>
        <v>0.180062777178649</v>
      </c>
      <c r="E28" s="46" t="n">
        <f aca="false">IFERROR(E7/E11,0)</f>
        <v>0.243744701969962</v>
      </c>
      <c r="F28" s="46" t="n">
        <f aca="false">IFERROR(F7/F11,0)</f>
        <v>-0.029505603241676</v>
      </c>
      <c r="G28" s="46" t="n">
        <f aca="false">IFERROR(G7/G11,0)</f>
        <v>0.0466588616461855</v>
      </c>
      <c r="H28" s="46" t="n">
        <f aca="false">IFERROR(H7/H11,0)</f>
        <v>2.62686282002293</v>
      </c>
      <c r="I28" s="46" t="n">
        <f aca="false">IFERROR(I7/I11,0)</f>
        <v>0.168443311880948</v>
      </c>
      <c r="J28" s="46" t="n">
        <f aca="false">IFERROR(J7/J11,0)</f>
        <v>0.33929331839652</v>
      </c>
    </row>
    <row r="29" customFormat="false" ht="15" hidden="false" customHeight="false" outlineLevel="0" collapsed="false">
      <c r="B29" s="37" t="s">
        <v>351</v>
      </c>
      <c r="C29" s="60" t="n">
        <f aca="false">ROUND(C28-C17,6)+ROUND(C28-C25,6)</f>
        <v>0</v>
      </c>
      <c r="D29" s="60" t="n">
        <f aca="false">ROUND(D28-D17,6)+ROUND(D28-D25,6)</f>
        <v>0</v>
      </c>
      <c r="E29" s="60" t="n">
        <f aca="false">ROUND(E28-E17,6)+ROUND(E28-E25,6)</f>
        <v>0</v>
      </c>
      <c r="F29" s="60" t="n">
        <f aca="false">ROUND(F28-F17,6)+ROUND(F28-F25,6)</f>
        <v>0</v>
      </c>
      <c r="G29" s="60" t="n">
        <f aca="false">ROUND(G28-G17,6)+ROUND(G28-G25,6)</f>
        <v>0</v>
      </c>
      <c r="H29" s="60" t="n">
        <f aca="false">ROUND(H28-H17,6)+ROUND(H28-H25,6)</f>
        <v>0</v>
      </c>
      <c r="I29" s="60" t="n">
        <f aca="false">ROUND(I28-I17,6)+ROUND(I28-I25,6)</f>
        <v>0</v>
      </c>
      <c r="J29" s="60" t="n">
        <f aca="false">ROUND(J28-J17,6)+ROUND(J28-J25,6)</f>
        <v>0</v>
      </c>
    </row>
    <row r="31" customFormat="false" ht="16.15" hidden="false" customHeight="false" outlineLevel="0" collapsed="false">
      <c r="A31" s="39"/>
      <c r="B31" s="61" t="s">
        <v>352</v>
      </c>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row>
    <row r="33" customFormat="false" ht="15" hidden="false" customHeight="true" outlineLevel="0" collapsed="false">
      <c r="Q33" s="62" t="s">
        <v>257</v>
      </c>
      <c r="R33" s="62"/>
      <c r="S33" s="62"/>
      <c r="T33" s="62"/>
      <c r="U33" s="62"/>
      <c r="V33" s="62"/>
      <c r="W33" s="62"/>
      <c r="X33" s="62"/>
      <c r="AP33" s="63" t="s">
        <v>353</v>
      </c>
    </row>
    <row r="34" customFormat="false" ht="15" hidden="false" customHeight="false" outlineLevel="0" collapsed="false">
      <c r="Q34" s="64" t="s">
        <v>30</v>
      </c>
      <c r="R34" s="65" t="s">
        <v>31</v>
      </c>
      <c r="S34" s="65" t="s">
        <v>32</v>
      </c>
      <c r="T34" s="65" t="s">
        <v>33</v>
      </c>
      <c r="U34" s="65" t="s">
        <v>34</v>
      </c>
      <c r="V34" s="65" t="s">
        <v>35</v>
      </c>
      <c r="W34" s="65" t="s">
        <v>36</v>
      </c>
      <c r="X34" s="66" t="s">
        <v>37</v>
      </c>
    </row>
    <row r="35" customFormat="false" ht="15" hidden="false" customHeight="true" outlineLevel="0" collapsed="false">
      <c r="Q35" s="67" t="n">
        <f aca="false">RATIO_ANALYSIS!Q7</f>
        <v>0.0559435131226767</v>
      </c>
      <c r="R35" s="68" t="n">
        <f aca="false">RATIO_ANALYSIS!R7</f>
        <v>0.180062777178649</v>
      </c>
      <c r="S35" s="68" t="n">
        <f aca="false">RATIO_ANALYSIS!S7</f>
        <v>0.243744701969962</v>
      </c>
      <c r="T35" s="68" t="n">
        <f aca="false">RATIO_ANALYSIS!T7</f>
        <v>-0.029505603241676</v>
      </c>
      <c r="U35" s="68" t="n">
        <f aca="false">RATIO_ANALYSIS!U7</f>
        <v>0.0466588616461855</v>
      </c>
      <c r="V35" s="68" t="n">
        <f aca="false">RATIO_ANALYSIS!V7</f>
        <v>2.62686282002293</v>
      </c>
      <c r="W35" s="68" t="n">
        <f aca="false">RATIO_ANALYSIS!W7</f>
        <v>0.168443311880948</v>
      </c>
      <c r="X35" s="69" t="n">
        <f aca="false">RATIO_ANALYSIS!X7</f>
        <v>0.33929331839652</v>
      </c>
      <c r="AP35" s="62" t="s">
        <v>296</v>
      </c>
      <c r="AQ35" s="62"/>
      <c r="AR35" s="62"/>
      <c r="AS35" s="62"/>
      <c r="AT35" s="62"/>
      <c r="AU35" s="62"/>
      <c r="AV35" s="62"/>
      <c r="AW35" s="62"/>
    </row>
    <row r="36" customFormat="false" ht="15" hidden="false" customHeight="false" outlineLevel="0" collapsed="false">
      <c r="U36" s="70"/>
      <c r="AP36" s="64" t="s">
        <v>30</v>
      </c>
      <c r="AQ36" s="65" t="s">
        <v>31</v>
      </c>
      <c r="AR36" s="65" t="s">
        <v>32</v>
      </c>
      <c r="AS36" s="65" t="s">
        <v>33</v>
      </c>
      <c r="AT36" s="65" t="s">
        <v>34</v>
      </c>
      <c r="AU36" s="65" t="s">
        <v>35</v>
      </c>
      <c r="AV36" s="65" t="s">
        <v>36</v>
      </c>
      <c r="AW36" s="66" t="s">
        <v>37</v>
      </c>
    </row>
    <row r="37" customFormat="false" ht="15" hidden="false" customHeight="false" outlineLevel="0" collapsed="false">
      <c r="F37" s="71"/>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1"/>
      <c r="AP37" s="73" t="n">
        <f aca="false">RATIO_ANALYSIS!Q79</f>
        <v>25.4493186814242</v>
      </c>
      <c r="AQ37" s="74" t="n">
        <f aca="false">RATIO_ANALYSIS!R79</f>
        <v>5.42049360259041</v>
      </c>
      <c r="AR37" s="74" t="n">
        <f aca="false">RATIO_ANALYSIS!S79</f>
        <v>10.1082967522748</v>
      </c>
      <c r="AS37" s="74" t="n">
        <f aca="false">RATIO_ANALYSIS!T79</f>
        <v>28.6373336680894</v>
      </c>
      <c r="AT37" s="74" t="n">
        <f aca="false">RATIO_ANALYSIS!U79</f>
        <v>27.7519075386901</v>
      </c>
      <c r="AU37" s="74" t="n">
        <f aca="false">RATIO_ANALYSIS!V79</f>
        <v>22.4549830584554</v>
      </c>
      <c r="AV37" s="74" t="n">
        <f aca="false">RATIO_ANALYSIS!W79</f>
        <v>23.8619164385849</v>
      </c>
      <c r="AW37" s="75" t="n">
        <f aca="false">RATIO_ANALYSIS!X79</f>
        <v>37.299600357768</v>
      </c>
    </row>
    <row r="38" customFormat="false" ht="15" hidden="false" customHeight="true" outlineLevel="0" collapsed="false">
      <c r="B38" s="62" t="s">
        <v>283</v>
      </c>
      <c r="C38" s="62"/>
      <c r="D38" s="62"/>
      <c r="E38" s="62"/>
      <c r="F38" s="62"/>
      <c r="G38" s="62"/>
      <c r="H38" s="62"/>
      <c r="I38" s="62"/>
      <c r="L38" s="62" t="s">
        <v>281</v>
      </c>
      <c r="M38" s="62"/>
      <c r="N38" s="62"/>
      <c r="O38" s="62"/>
      <c r="P38" s="62"/>
      <c r="Q38" s="62"/>
      <c r="R38" s="62"/>
      <c r="S38" s="62"/>
      <c r="V38" s="62" t="s">
        <v>312</v>
      </c>
      <c r="W38" s="62"/>
      <c r="X38" s="62"/>
      <c r="Y38" s="62"/>
      <c r="Z38" s="62"/>
      <c r="AA38" s="62"/>
      <c r="AB38" s="62"/>
      <c r="AC38" s="62"/>
      <c r="AF38" s="62" t="s">
        <v>291</v>
      </c>
      <c r="AG38" s="62"/>
      <c r="AH38" s="62"/>
      <c r="AI38" s="62"/>
      <c r="AJ38" s="62"/>
      <c r="AK38" s="62"/>
      <c r="AL38" s="62"/>
      <c r="AM38" s="62"/>
    </row>
    <row r="39" customFormat="false" ht="15" hidden="false" customHeight="true" outlineLevel="0" collapsed="false">
      <c r="B39" s="64" t="s">
        <v>30</v>
      </c>
      <c r="C39" s="65" t="s">
        <v>31</v>
      </c>
      <c r="D39" s="65" t="s">
        <v>32</v>
      </c>
      <c r="E39" s="65" t="s">
        <v>33</v>
      </c>
      <c r="F39" s="65" t="s">
        <v>34</v>
      </c>
      <c r="G39" s="65" t="s">
        <v>35</v>
      </c>
      <c r="H39" s="65" t="s">
        <v>36</v>
      </c>
      <c r="I39" s="66" t="s">
        <v>37</v>
      </c>
      <c r="J39" s="76"/>
      <c r="K39" s="76"/>
      <c r="L39" s="64" t="s">
        <v>30</v>
      </c>
      <c r="M39" s="65" t="s">
        <v>31</v>
      </c>
      <c r="N39" s="65" t="s">
        <v>32</v>
      </c>
      <c r="O39" s="65" t="s">
        <v>33</v>
      </c>
      <c r="P39" s="65" t="s">
        <v>34</v>
      </c>
      <c r="Q39" s="65" t="s">
        <v>35</v>
      </c>
      <c r="R39" s="65" t="s">
        <v>36</v>
      </c>
      <c r="S39" s="66" t="s">
        <v>37</v>
      </c>
      <c r="V39" s="64" t="s">
        <v>30</v>
      </c>
      <c r="W39" s="65" t="s">
        <v>31</v>
      </c>
      <c r="X39" s="65" t="s">
        <v>32</v>
      </c>
      <c r="Y39" s="65" t="s">
        <v>33</v>
      </c>
      <c r="Z39" s="65" t="s">
        <v>34</v>
      </c>
      <c r="AA39" s="65" t="s">
        <v>35</v>
      </c>
      <c r="AB39" s="65" t="s">
        <v>36</v>
      </c>
      <c r="AC39" s="66" t="s">
        <v>37</v>
      </c>
      <c r="AF39" s="64" t="s">
        <v>30</v>
      </c>
      <c r="AG39" s="65" t="s">
        <v>31</v>
      </c>
      <c r="AH39" s="65" t="s">
        <v>32</v>
      </c>
      <c r="AI39" s="65" t="s">
        <v>33</v>
      </c>
      <c r="AJ39" s="65" t="s">
        <v>34</v>
      </c>
      <c r="AK39" s="65" t="s">
        <v>35</v>
      </c>
      <c r="AL39" s="65" t="s">
        <v>36</v>
      </c>
      <c r="AM39" s="66" t="s">
        <v>37</v>
      </c>
      <c r="AP39" s="62" t="s">
        <v>301</v>
      </c>
      <c r="AQ39" s="62"/>
      <c r="AR39" s="62"/>
      <c r="AS39" s="62"/>
      <c r="AT39" s="62"/>
      <c r="AU39" s="62"/>
      <c r="AV39" s="62"/>
      <c r="AW39" s="62"/>
    </row>
    <row r="40" customFormat="false" ht="15" hidden="false" customHeight="false" outlineLevel="0" collapsed="false">
      <c r="B40" s="67" t="n">
        <f aca="false">RATIO_ANALYSIS!Q52</f>
        <v>-0.0466987607153485</v>
      </c>
      <c r="C40" s="68" t="n">
        <f aca="false">RATIO_ANALYSIS!R52</f>
        <v>-0.304713325598196</v>
      </c>
      <c r="D40" s="68" t="n">
        <f aca="false">RATIO_ANALYSIS!S52</f>
        <v>-0.905323174731318</v>
      </c>
      <c r="E40" s="68" t="n">
        <f aca="false">RATIO_ANALYSIS!T52</f>
        <v>0.0299905550972586</v>
      </c>
      <c r="F40" s="68" t="n">
        <f aca="false">RATIO_ANALYSIS!U52</f>
        <v>-0.0252500083564021</v>
      </c>
      <c r="G40" s="68" t="n">
        <f aca="false">RATIO_ANALYSIS!V52</f>
        <v>0.483590234032825</v>
      </c>
      <c r="H40" s="68" t="n">
        <f aca="false">RATIO_ANALYSIS!W52</f>
        <v>0.101139668774668</v>
      </c>
      <c r="I40" s="69" t="n">
        <f aca="false">RATIO_ANALYSIS!X52</f>
        <v>0.190236865159315</v>
      </c>
      <c r="L40" s="67" t="n">
        <f aca="false">RATIO_ANALYSIS!Q49</f>
        <v>-0.000187188618931969</v>
      </c>
      <c r="M40" s="68" t="n">
        <f aca="false">RATIO_ANALYSIS!R49</f>
        <v>-0.00236830530838718</v>
      </c>
      <c r="N40" s="68" t="n">
        <f aca="false">RATIO_ANALYSIS!S49</f>
        <v>0.00250264897320753</v>
      </c>
      <c r="O40" s="68" t="n">
        <f aca="false">RATIO_ANALYSIS!T49</f>
        <v>0.00138385758521335</v>
      </c>
      <c r="P40" s="68" t="n">
        <f aca="false">RATIO_ANALYSIS!U49</f>
        <v>0.0253107821896204</v>
      </c>
      <c r="Q40" s="68" t="n">
        <f aca="false">RATIO_ANALYSIS!V49</f>
        <v>0.000740302787189747</v>
      </c>
      <c r="R40" s="68" t="n">
        <f aca="false">RATIO_ANALYSIS!W49</f>
        <v>-0.000131718202689808</v>
      </c>
      <c r="S40" s="69" t="n">
        <f aca="false">RATIO_ANALYSIS!X49</f>
        <v>-0.057393473122407</v>
      </c>
      <c r="V40" s="77" t="n">
        <f aca="false">RATIO_ANALYSIS!Q103</f>
        <v>-1.59855016631544</v>
      </c>
      <c r="W40" s="78" t="n">
        <f aca="false">RATIO_ANALYSIS!R103</f>
        <v>-1.04325721590622</v>
      </c>
      <c r="X40" s="78" t="n">
        <f aca="false">RATIO_ANALYSIS!S103</f>
        <v>-0.591418640371532</v>
      </c>
      <c r="Y40" s="78" t="n">
        <f aca="false">RATIO_ANALYSIS!T103</f>
        <v>-1.94109171320107</v>
      </c>
      <c r="Z40" s="78" t="n">
        <f aca="false">RATIO_ANALYSIS!U103</f>
        <v>-1.81785665153391</v>
      </c>
      <c r="AA40" s="78" t="n">
        <f aca="false">RATIO_ANALYSIS!V103</f>
        <v>5.02518332514511</v>
      </c>
      <c r="AB40" s="78" t="n">
        <f aca="false">RATIO_ANALYSIS!W103</f>
        <v>1.83123783578339</v>
      </c>
      <c r="AC40" s="79" t="n">
        <f aca="false">RATIO_ANALYSIS!X103</f>
        <v>2.12253264152303</v>
      </c>
      <c r="AF40" s="77" t="n">
        <f aca="false">RATIO_ANALYSIS!Q70</f>
        <v>0.74940762928519</v>
      </c>
      <c r="AG40" s="78" t="n">
        <f aca="false">RATIO_ANALYSIS!R70</f>
        <v>0.566423286900668</v>
      </c>
      <c r="AH40" s="78" t="n">
        <f aca="false">RATIO_ANALYSIS!S70</f>
        <v>0.455235936818088</v>
      </c>
      <c r="AI40" s="78" t="n">
        <f aca="false">RATIO_ANALYSIS!T70</f>
        <v>0.50684356674428</v>
      </c>
      <c r="AJ40" s="78" t="n">
        <f aca="false">RATIO_ANALYSIS!U70</f>
        <v>1.01651309835271</v>
      </c>
      <c r="AK40" s="78" t="n">
        <f aca="false">RATIO_ANALYSIS!V70</f>
        <v>1.08095586398184</v>
      </c>
      <c r="AL40" s="78" t="n">
        <f aca="false">RATIO_ANALYSIS!W70</f>
        <v>0.909468144677129</v>
      </c>
      <c r="AM40" s="79" t="n">
        <f aca="false">RATIO_ANALYSIS!X70</f>
        <v>0.840284299117488</v>
      </c>
      <c r="AP40" s="64" t="s">
        <v>30</v>
      </c>
      <c r="AQ40" s="65" t="s">
        <v>31</v>
      </c>
      <c r="AR40" s="65" t="s">
        <v>32</v>
      </c>
      <c r="AS40" s="65" t="s">
        <v>33</v>
      </c>
      <c r="AT40" s="65" t="s">
        <v>34</v>
      </c>
      <c r="AU40" s="65" t="s">
        <v>35</v>
      </c>
      <c r="AV40" s="65" t="s">
        <v>36</v>
      </c>
      <c r="AW40" s="66" t="s">
        <v>37</v>
      </c>
    </row>
    <row r="41" customFormat="false" ht="15" hidden="false" customHeight="false" outlineLevel="0" collapsed="false">
      <c r="F41" s="80"/>
      <c r="AP41" s="73" t="n">
        <f aca="false">RATIO_ANALYSIS!Q85</f>
        <v>130.741620909449</v>
      </c>
      <c r="AQ41" s="74" t="n">
        <f aca="false">RATIO_ANALYSIS!R85</f>
        <v>136.608497240626</v>
      </c>
      <c r="AR41" s="74" t="n">
        <f aca="false">RATIO_ANALYSIS!S85</f>
        <v>167.535227138941</v>
      </c>
      <c r="AS41" s="74" t="n">
        <f aca="false">RATIO_ANALYSIS!T85</f>
        <v>129.792032806093</v>
      </c>
      <c r="AT41" s="74" t="n">
        <f aca="false">RATIO_ANALYSIS!U85</f>
        <v>76.3603083056559</v>
      </c>
      <c r="AU41" s="74" t="n">
        <f aca="false">RATIO_ANALYSIS!V85</f>
        <v>71.5532121938923</v>
      </c>
      <c r="AV41" s="74" t="n">
        <f aca="false">RATIO_ANALYSIS!W85</f>
        <v>102.280210565331</v>
      </c>
      <c r="AW41" s="75" t="n">
        <f aca="false">RATIO_ANALYSIS!X85</f>
        <v>129.591500807182</v>
      </c>
    </row>
    <row r="42" customFormat="false" ht="15" hidden="false" customHeight="true" outlineLevel="0" collapsed="false">
      <c r="B42" s="62" t="s">
        <v>279</v>
      </c>
      <c r="C42" s="62"/>
      <c r="D42" s="62"/>
      <c r="E42" s="62"/>
      <c r="F42" s="62"/>
      <c r="G42" s="62"/>
      <c r="H42" s="62"/>
      <c r="I42" s="62"/>
      <c r="L42" s="62" t="s">
        <v>354</v>
      </c>
      <c r="M42" s="62"/>
      <c r="N42" s="62"/>
      <c r="O42" s="62"/>
      <c r="P42" s="62"/>
      <c r="Q42" s="62"/>
      <c r="R42" s="62"/>
      <c r="S42" s="62"/>
      <c r="AF42" s="62" t="s">
        <v>292</v>
      </c>
      <c r="AG42" s="62"/>
      <c r="AH42" s="62"/>
      <c r="AI42" s="62"/>
      <c r="AJ42" s="62"/>
      <c r="AK42" s="62"/>
      <c r="AL42" s="62"/>
      <c r="AM42" s="62"/>
    </row>
    <row r="43" customFormat="false" ht="15" hidden="false" customHeight="true" outlineLevel="0" collapsed="false">
      <c r="B43" s="64" t="s">
        <v>30</v>
      </c>
      <c r="C43" s="65" t="s">
        <v>31</v>
      </c>
      <c r="D43" s="65" t="s">
        <v>32</v>
      </c>
      <c r="E43" s="65" t="s">
        <v>33</v>
      </c>
      <c r="F43" s="65" t="s">
        <v>34</v>
      </c>
      <c r="G43" s="65" t="s">
        <v>35</v>
      </c>
      <c r="H43" s="65" t="s">
        <v>36</v>
      </c>
      <c r="I43" s="66" t="s">
        <v>37</v>
      </c>
      <c r="J43" s="76"/>
      <c r="K43" s="76"/>
      <c r="L43" s="64" t="s">
        <v>30</v>
      </c>
      <c r="M43" s="65" t="s">
        <v>31</v>
      </c>
      <c r="N43" s="65" t="s">
        <v>32</v>
      </c>
      <c r="O43" s="65" t="s">
        <v>33</v>
      </c>
      <c r="P43" s="65" t="s">
        <v>34</v>
      </c>
      <c r="Q43" s="65" t="s">
        <v>35</v>
      </c>
      <c r="R43" s="65" t="s">
        <v>36</v>
      </c>
      <c r="S43" s="66" t="s">
        <v>37</v>
      </c>
      <c r="AF43" s="64" t="s">
        <v>30</v>
      </c>
      <c r="AG43" s="65" t="s">
        <v>31</v>
      </c>
      <c r="AH43" s="65" t="s">
        <v>32</v>
      </c>
      <c r="AI43" s="65" t="s">
        <v>33</v>
      </c>
      <c r="AJ43" s="65" t="s">
        <v>34</v>
      </c>
      <c r="AK43" s="65" t="s">
        <v>35</v>
      </c>
      <c r="AL43" s="65" t="s">
        <v>36</v>
      </c>
      <c r="AM43" s="66" t="s">
        <v>37</v>
      </c>
      <c r="AP43" s="62" t="s">
        <v>305</v>
      </c>
      <c r="AQ43" s="62"/>
      <c r="AR43" s="62"/>
      <c r="AS43" s="62"/>
      <c r="AT43" s="62"/>
      <c r="AU43" s="62"/>
      <c r="AV43" s="62"/>
      <c r="AW43" s="62"/>
    </row>
    <row r="44" customFormat="false" ht="15" hidden="false" customHeight="false" outlineLevel="0" collapsed="false">
      <c r="B44" s="67" t="n">
        <f aca="false">RATIO_ANALYSIS!Q44</f>
        <v>-0.0468859493342805</v>
      </c>
      <c r="C44" s="68" t="n">
        <f aca="false">RATIO_ANALYSIS!R44</f>
        <v>-0.307081630906583</v>
      </c>
      <c r="D44" s="68" t="n">
        <f aca="false">RATIO_ANALYSIS!S44</f>
        <v>-0.902820525758111</v>
      </c>
      <c r="E44" s="68" t="n">
        <f aca="false">RATIO_ANALYSIS!T44</f>
        <v>0.0313744126824719</v>
      </c>
      <c r="F44" s="68" t="n">
        <f aca="false">RATIO_ANALYSIS!U44</f>
        <v>6.07738332183695E-005</v>
      </c>
      <c r="G44" s="68" t="n">
        <f aca="false">RATIO_ANALYSIS!V44</f>
        <v>0.484330536820014</v>
      </c>
      <c r="H44" s="68" t="n">
        <f aca="false">RATIO_ANALYSIS!W44</f>
        <v>0.101007950571979</v>
      </c>
      <c r="I44" s="69" t="n">
        <f aca="false">RATIO_ANALYSIS!X44</f>
        <v>0.132843392036908</v>
      </c>
      <c r="L44" s="67" t="n">
        <f aca="false">RATIO_ANALYSIS!Q41</f>
        <v>0.135754946099277</v>
      </c>
      <c r="M44" s="68" t="n">
        <f aca="false">RATIO_ANALYSIS!R41</f>
        <v>0.247247093850566</v>
      </c>
      <c r="N44" s="68" t="n">
        <f aca="false">RATIO_ANALYSIS!S41</f>
        <v>0.482089577341608</v>
      </c>
      <c r="O44" s="68" t="n">
        <f aca="false">RATIO_ANALYSIS!T41</f>
        <v>0.0570280836411893</v>
      </c>
      <c r="P44" s="68" t="n">
        <f aca="false">RATIO_ANALYSIS!U41</f>
        <v>0.0989701873961147</v>
      </c>
      <c r="Q44" s="68" t="n">
        <f aca="false">RATIO_ANALYSIS!V41</f>
        <v>-0.385198633957119</v>
      </c>
      <c r="R44" s="68" t="n">
        <f aca="false">RATIO_ANALYSIS!W41</f>
        <v>0.0334211965220268</v>
      </c>
      <c r="S44" s="69" t="n">
        <f aca="false">RATIO_ANALYSIS!X41</f>
        <v>0.0233981711225429</v>
      </c>
      <c r="AF44" s="77" t="n">
        <f aca="false">RATIO_ANALYSIS!Q73</f>
        <v>6.57595555976391</v>
      </c>
      <c r="AG44" s="78" t="n">
        <f aca="false">RATIO_ANALYSIS!R73</f>
        <v>4.37950179548862</v>
      </c>
      <c r="AH44" s="78" t="n">
        <f aca="false">RATIO_ANALYSIS!S73</f>
        <v>2.83552550003338</v>
      </c>
      <c r="AI44" s="78" t="n">
        <f aca="false">RATIO_ANALYSIS!T73</f>
        <v>3.57712416204253</v>
      </c>
      <c r="AJ44" s="78" t="n">
        <f aca="false">RATIO_ANALYSIS!U73</f>
        <v>7.25400901546295</v>
      </c>
      <c r="AK44" s="78" t="n">
        <f aca="false">RATIO_ANALYSIS!V73</f>
        <v>7.66976684437022</v>
      </c>
      <c r="AL44" s="78" t="n">
        <f aca="false">RATIO_ANALYSIS!W73</f>
        <v>8.06548405825746</v>
      </c>
      <c r="AM44" s="79" t="n">
        <f aca="false">RATIO_ANALYSIS!X73</f>
        <v>13.2468919543586</v>
      </c>
      <c r="AP44" s="64" t="s">
        <v>30</v>
      </c>
      <c r="AQ44" s="65" t="s">
        <v>31</v>
      </c>
      <c r="AR44" s="65" t="s">
        <v>32</v>
      </c>
      <c r="AS44" s="65" t="s">
        <v>33</v>
      </c>
      <c r="AT44" s="65" t="s">
        <v>34</v>
      </c>
      <c r="AU44" s="65" t="s">
        <v>35</v>
      </c>
      <c r="AV44" s="65" t="s">
        <v>36</v>
      </c>
      <c r="AW44" s="66" t="s">
        <v>37</v>
      </c>
    </row>
    <row r="45" customFormat="false" ht="15" hidden="false" customHeight="false" outlineLevel="0" collapsed="false">
      <c r="F45" s="80"/>
      <c r="AP45" s="73" t="n">
        <f aca="false">RATIO_ANALYSIS!Q91</f>
        <v>219.322203338006</v>
      </c>
      <c r="AQ45" s="74" t="n">
        <f aca="false">RATIO_ANALYSIS!R91</f>
        <v>360.732753357753</v>
      </c>
      <c r="AR45" s="74" t="n">
        <f aca="false">RATIO_ANALYSIS!S91</f>
        <v>406.454353879324</v>
      </c>
      <c r="AS45" s="74" t="n">
        <f aca="false">RATIO_ANALYSIS!T91</f>
        <v>509.218826248876</v>
      </c>
      <c r="AT45" s="74" t="n">
        <f aca="false">RATIO_ANALYSIS!U91</f>
        <v>187.00726556318</v>
      </c>
      <c r="AU45" s="74" t="n">
        <f aca="false">RATIO_ANALYSIS!V91</f>
        <v>177.224856033569</v>
      </c>
      <c r="AV45" s="74" t="n">
        <f aca="false">RATIO_ANALYSIS!W91</f>
        <v>212.157042480304</v>
      </c>
      <c r="AW45" s="75" t="n">
        <f aca="false">RATIO_ANALYSIS!X91</f>
        <v>173.995166005475</v>
      </c>
    </row>
    <row r="46" customFormat="false" ht="15" hidden="false" customHeight="true" outlineLevel="0" collapsed="false">
      <c r="B46" s="62" t="s">
        <v>276</v>
      </c>
      <c r="C46" s="62"/>
      <c r="D46" s="62"/>
      <c r="E46" s="62"/>
      <c r="F46" s="62"/>
      <c r="G46" s="62"/>
      <c r="H46" s="62"/>
      <c r="I46" s="62"/>
      <c r="L46" s="62" t="s">
        <v>274</v>
      </c>
      <c r="M46" s="62"/>
      <c r="N46" s="62"/>
      <c r="O46" s="62"/>
      <c r="P46" s="62"/>
      <c r="Q46" s="62"/>
      <c r="R46" s="62"/>
      <c r="S46" s="62"/>
      <c r="AF46" s="62" t="s">
        <v>294</v>
      </c>
      <c r="AG46" s="62"/>
      <c r="AH46" s="62"/>
      <c r="AI46" s="62"/>
      <c r="AJ46" s="62"/>
      <c r="AK46" s="62"/>
      <c r="AL46" s="62"/>
      <c r="AM46" s="62"/>
    </row>
    <row r="47" customFormat="false" ht="15" hidden="false" customHeight="true" outlineLevel="0" collapsed="false">
      <c r="B47" s="64" t="s">
        <v>30</v>
      </c>
      <c r="C47" s="65" t="s">
        <v>31</v>
      </c>
      <c r="D47" s="65" t="s">
        <v>32</v>
      </c>
      <c r="E47" s="65" t="s">
        <v>33</v>
      </c>
      <c r="F47" s="65" t="s">
        <v>34</v>
      </c>
      <c r="G47" s="65" t="s">
        <v>35</v>
      </c>
      <c r="H47" s="65" t="s">
        <v>36</v>
      </c>
      <c r="I47" s="66" t="s">
        <v>37</v>
      </c>
      <c r="J47" s="76"/>
      <c r="K47" s="76"/>
      <c r="L47" s="64" t="s">
        <v>30</v>
      </c>
      <c r="M47" s="65" t="s">
        <v>31</v>
      </c>
      <c r="N47" s="65" t="s">
        <v>32</v>
      </c>
      <c r="O47" s="65" t="s">
        <v>33</v>
      </c>
      <c r="P47" s="65" t="s">
        <v>34</v>
      </c>
      <c r="Q47" s="65" t="s">
        <v>35</v>
      </c>
      <c r="R47" s="65" t="s">
        <v>36</v>
      </c>
      <c r="S47" s="66" t="s">
        <v>37</v>
      </c>
      <c r="AF47" s="64" t="s">
        <v>30</v>
      </c>
      <c r="AG47" s="65" t="s">
        <v>31</v>
      </c>
      <c r="AH47" s="65" t="s">
        <v>32</v>
      </c>
      <c r="AI47" s="65" t="s">
        <v>33</v>
      </c>
      <c r="AJ47" s="65" t="s">
        <v>34</v>
      </c>
      <c r="AK47" s="65" t="s">
        <v>35</v>
      </c>
      <c r="AL47" s="65" t="s">
        <v>36</v>
      </c>
      <c r="AM47" s="66" t="s">
        <v>37</v>
      </c>
      <c r="AP47" s="62" t="s">
        <v>308</v>
      </c>
      <c r="AQ47" s="62"/>
      <c r="AR47" s="62"/>
      <c r="AS47" s="62"/>
      <c r="AT47" s="62"/>
      <c r="AU47" s="62"/>
      <c r="AV47" s="62"/>
      <c r="AW47" s="62"/>
    </row>
    <row r="48" customFormat="false" ht="15" hidden="false" customHeight="false" outlineLevel="0" collapsed="false">
      <c r="B48" s="67" t="n">
        <f aca="false">RATIO_ANALYSIS!Q36</f>
        <v>0.0888689967649967</v>
      </c>
      <c r="C48" s="68" t="n">
        <f aca="false">RATIO_ANALYSIS!R36</f>
        <v>-0.0598345370560174</v>
      </c>
      <c r="D48" s="68" t="n">
        <f aca="false">RATIO_ANALYSIS!S36</f>
        <v>-0.420730948416503</v>
      </c>
      <c r="E48" s="68" t="n">
        <f aca="false">RATIO_ANALYSIS!T36</f>
        <v>0.0884024963236613</v>
      </c>
      <c r="F48" s="68" t="n">
        <f aca="false">RATIO_ANALYSIS!U36</f>
        <v>0.0990309612293331</v>
      </c>
      <c r="G48" s="68" t="n">
        <f aca="false">RATIO_ANALYSIS!V36</f>
        <v>0.0991319028628949</v>
      </c>
      <c r="H48" s="68" t="n">
        <f aca="false">RATIO_ANALYSIS!W36</f>
        <v>0.134429147094005</v>
      </c>
      <c r="I48" s="69" t="n">
        <f aca="false">RATIO_ANALYSIS!X36</f>
        <v>0.156241563159451</v>
      </c>
      <c r="L48" s="67" t="n">
        <f aca="false">RATIO_ANALYSIS!Q33</f>
        <v>0.0409907077649679</v>
      </c>
      <c r="M48" s="68" t="n">
        <f aca="false">RATIO_ANALYSIS!R33</f>
        <v>0.06803404787161</v>
      </c>
      <c r="N48" s="68" t="n">
        <f aca="false">RATIO_ANALYSIS!S33</f>
        <v>0.140811006273441</v>
      </c>
      <c r="O48" s="68" t="n">
        <f aca="false">RATIO_ANALYSIS!T33</f>
        <v>0.0772270243774135</v>
      </c>
      <c r="P48" s="68" t="n">
        <f aca="false">RATIO_ANALYSIS!U33</f>
        <v>0.0394786820586528</v>
      </c>
      <c r="Q48" s="68" t="n">
        <f aca="false">RATIO_ANALYSIS!V33</f>
        <v>0.0434936261939895</v>
      </c>
      <c r="R48" s="68" t="n">
        <f aca="false">RATIO_ANALYSIS!W33</f>
        <v>0.0290392688720787</v>
      </c>
      <c r="S48" s="69" t="n">
        <f aca="false">RATIO_ANALYSIS!X33</f>
        <v>0.0238013028777547</v>
      </c>
      <c r="AF48" s="77" t="n">
        <f aca="false">RATIO_ANALYSIS!Q76</f>
        <v>14.3422307123066</v>
      </c>
      <c r="AG48" s="78" t="n">
        <f aca="false">RATIO_ANALYSIS!R76</f>
        <v>67.3370410077727</v>
      </c>
      <c r="AH48" s="78" t="n">
        <f aca="false">RATIO_ANALYSIS!S76</f>
        <v>36.1089517794243</v>
      </c>
      <c r="AI48" s="78" t="n">
        <f aca="false">RATIO_ANALYSIS!T76</f>
        <v>12.7456</v>
      </c>
      <c r="AJ48" s="78" t="n">
        <f aca="false">RATIO_ANALYSIS!U76</f>
        <v>13.1522490658034</v>
      </c>
      <c r="AK48" s="78" t="n">
        <f aca="false">RATIO_ANALYSIS!V76</f>
        <v>16.2547439492527</v>
      </c>
      <c r="AL48" s="78" t="n">
        <f aca="false">RATIO_ANALYSIS!W76</f>
        <v>15.2963405491519</v>
      </c>
      <c r="AM48" s="79" t="n">
        <f aca="false">RATIO_ANALYSIS!X76</f>
        <v>9.78562763405012</v>
      </c>
      <c r="AP48" s="64" t="s">
        <v>30</v>
      </c>
      <c r="AQ48" s="65" t="s">
        <v>31</v>
      </c>
      <c r="AR48" s="65" t="s">
        <v>32</v>
      </c>
      <c r="AS48" s="65" t="s">
        <v>33</v>
      </c>
      <c r="AT48" s="65" t="s">
        <v>34</v>
      </c>
      <c r="AU48" s="65" t="s">
        <v>35</v>
      </c>
      <c r="AV48" s="65" t="s">
        <v>36</v>
      </c>
      <c r="AW48" s="66" t="s">
        <v>37</v>
      </c>
    </row>
    <row r="49" customFormat="false" ht="15" hidden="false" customHeight="false" outlineLevel="0" collapsed="false">
      <c r="F49" s="80"/>
      <c r="AP49" s="73" t="n">
        <f aca="false">RATIO_ANALYSIS!Q97</f>
        <v>183.103678318846</v>
      </c>
      <c r="AQ49" s="74" t="n">
        <f aca="false">RATIO_ANALYSIS!R97</f>
        <v>269.279727988061</v>
      </c>
      <c r="AR49" s="74" t="n">
        <f aca="false">RATIO_ANALYSIS!S97</f>
        <v>256.690737510428</v>
      </c>
      <c r="AS49" s="74" t="n">
        <f aca="false">RATIO_ANALYSIS!T97</f>
        <v>370.763034544754</v>
      </c>
      <c r="AT49" s="74" t="n">
        <f aca="false">RATIO_ANALYSIS!U97</f>
        <v>155.887948818505</v>
      </c>
      <c r="AU49" s="74" t="n">
        <f aca="false">RATIO_ANALYSIS!V97</f>
        <v>86.7767729728437</v>
      </c>
      <c r="AV49" s="74" t="n">
        <f aca="false">RATIO_ANALYSIS!W97</f>
        <v>166.203828374804</v>
      </c>
      <c r="AW49" s="75" t="n">
        <f aca="false">RATIO_ANALYSIS!X97</f>
        <v>157.937923195655</v>
      </c>
    </row>
    <row r="50" customFormat="false" ht="15" hidden="false" customHeight="true" outlineLevel="0" collapsed="false">
      <c r="B50" s="62" t="s">
        <v>272</v>
      </c>
      <c r="C50" s="62"/>
      <c r="D50" s="62"/>
      <c r="E50" s="62"/>
      <c r="F50" s="62"/>
      <c r="G50" s="62"/>
      <c r="H50" s="62"/>
      <c r="I50" s="62"/>
      <c r="L50" s="62" t="s">
        <v>269</v>
      </c>
      <c r="M50" s="62"/>
      <c r="N50" s="62"/>
      <c r="O50" s="62"/>
      <c r="P50" s="62"/>
      <c r="Q50" s="62"/>
      <c r="R50" s="62"/>
      <c r="S50" s="62"/>
      <c r="AF50" s="62" t="s">
        <v>299</v>
      </c>
      <c r="AG50" s="62"/>
      <c r="AH50" s="62"/>
      <c r="AI50" s="62"/>
      <c r="AJ50" s="62"/>
      <c r="AK50" s="62"/>
      <c r="AL50" s="62"/>
      <c r="AM50" s="62"/>
    </row>
    <row r="51" customFormat="false" ht="15" hidden="false" customHeight="true" outlineLevel="0" collapsed="false">
      <c r="B51" s="64" t="s">
        <v>30</v>
      </c>
      <c r="C51" s="65" t="s">
        <v>31</v>
      </c>
      <c r="D51" s="65" t="s">
        <v>32</v>
      </c>
      <c r="E51" s="65" t="s">
        <v>33</v>
      </c>
      <c r="F51" s="65" t="s">
        <v>34</v>
      </c>
      <c r="G51" s="65" t="s">
        <v>35</v>
      </c>
      <c r="H51" s="65" t="s">
        <v>36</v>
      </c>
      <c r="I51" s="66" t="s">
        <v>37</v>
      </c>
      <c r="J51" s="76"/>
      <c r="K51" s="76"/>
      <c r="L51" s="64" t="s">
        <v>30</v>
      </c>
      <c r="M51" s="65" t="s">
        <v>31</v>
      </c>
      <c r="N51" s="65" t="s">
        <v>32</v>
      </c>
      <c r="O51" s="65" t="s">
        <v>33</v>
      </c>
      <c r="P51" s="65" t="s">
        <v>34</v>
      </c>
      <c r="Q51" s="65" t="s">
        <v>35</v>
      </c>
      <c r="R51" s="65" t="s">
        <v>36</v>
      </c>
      <c r="S51" s="66" t="s">
        <v>37</v>
      </c>
      <c r="AF51" s="64" t="s">
        <v>30</v>
      </c>
      <c r="AG51" s="65" t="s">
        <v>31</v>
      </c>
      <c r="AH51" s="65" t="s">
        <v>32</v>
      </c>
      <c r="AI51" s="65" t="s">
        <v>33</v>
      </c>
      <c r="AJ51" s="65" t="s">
        <v>34</v>
      </c>
      <c r="AK51" s="65" t="s">
        <v>35</v>
      </c>
      <c r="AL51" s="65" t="s">
        <v>36</v>
      </c>
      <c r="AM51" s="66" t="s">
        <v>37</v>
      </c>
      <c r="AP51" s="62" t="s">
        <v>355</v>
      </c>
      <c r="AQ51" s="62"/>
      <c r="AR51" s="62"/>
      <c r="AS51" s="62"/>
      <c r="AT51" s="62"/>
      <c r="AU51" s="62"/>
      <c r="AV51" s="62"/>
      <c r="AW51" s="62"/>
    </row>
    <row r="52" customFormat="false" ht="15" hidden="false" customHeight="false" outlineLevel="0" collapsed="false">
      <c r="B52" s="67" t="n">
        <f aca="false">RATIO_ANALYSIS!Q28</f>
        <v>0.129859704529965</v>
      </c>
      <c r="C52" s="68" t="n">
        <f aca="false">RATIO_ANALYSIS!R28</f>
        <v>0.0081995108155926</v>
      </c>
      <c r="D52" s="68" t="n">
        <f aca="false">RATIO_ANALYSIS!S28</f>
        <v>-0.279919942143061</v>
      </c>
      <c r="E52" s="68" t="n">
        <f aca="false">RATIO_ANALYSIS!T28</f>
        <v>0.165629520701075</v>
      </c>
      <c r="F52" s="68" t="n">
        <f aca="false">RATIO_ANALYSIS!U28</f>
        <v>0.138509643287986</v>
      </c>
      <c r="G52" s="68" t="n">
        <f aca="false">RATIO_ANALYSIS!V28</f>
        <v>0.142625529056884</v>
      </c>
      <c r="H52" s="68" t="n">
        <f aca="false">RATIO_ANALYSIS!W28</f>
        <v>0.163468415966084</v>
      </c>
      <c r="I52" s="69" t="n">
        <f aca="false">RATIO_ANALYSIS!X28</f>
        <v>0.180042866037206</v>
      </c>
      <c r="L52" s="67" t="n">
        <f aca="false">RATIO_ANALYSIS!Q22</f>
        <v>0.0965557294116518</v>
      </c>
      <c r="M52" s="68" t="n">
        <f aca="false">RATIO_ANALYSIS!R22</f>
        <v>0.173972921712583</v>
      </c>
      <c r="N52" s="68" t="n">
        <f aca="false">RATIO_ANALYSIS!S22</f>
        <v>0.267840624316733</v>
      </c>
      <c r="O52" s="68" t="n">
        <f aca="false">RATIO_ANALYSIS!T22</f>
        <v>0.165348564733451</v>
      </c>
      <c r="P52" s="68" t="n">
        <f aca="false">RATIO_ANALYSIS!U22</f>
        <v>0.082859044209925</v>
      </c>
      <c r="Q52" s="68" t="n">
        <f aca="false">RATIO_ANALYSIS!V22</f>
        <v>0.102037842536592</v>
      </c>
      <c r="R52" s="68" t="n">
        <f aca="false">RATIO_ANALYSIS!W22</f>
        <v>0.107656656593798</v>
      </c>
      <c r="S52" s="69" t="n">
        <f aca="false">RATIO_ANALYSIS!X22</f>
        <v>0.0864602827983037</v>
      </c>
      <c r="AF52" s="77" t="n">
        <f aca="false">RATIO_ANALYSIS!Q82</f>
        <v>2.79176590791083</v>
      </c>
      <c r="AG52" s="78" t="n">
        <f aca="false">RATIO_ANALYSIS!R82</f>
        <v>2.6718689347492</v>
      </c>
      <c r="AH52" s="78" t="n">
        <f aca="false">RATIO_ANALYSIS!S82</f>
        <v>2.17864628372932</v>
      </c>
      <c r="AI52" s="78" t="n">
        <f aca="false">RATIO_ANALYSIS!T82</f>
        <v>2.81219110378913</v>
      </c>
      <c r="AJ52" s="78" t="n">
        <f aca="false">RATIO_ANALYSIS!U82</f>
        <v>4.7799702240459</v>
      </c>
      <c r="AK52" s="78" t="n">
        <f aca="false">RATIO_ANALYSIS!V82</f>
        <v>5.10109873210075</v>
      </c>
      <c r="AL52" s="78" t="n">
        <f aca="false">RATIO_ANALYSIS!W82</f>
        <v>3.56862777249423</v>
      </c>
      <c r="AM52" s="79" t="n">
        <f aca="false">RATIO_ANALYSIS!X82</f>
        <v>2.81654273410322</v>
      </c>
      <c r="AP52" s="64" t="s">
        <v>30</v>
      </c>
      <c r="AQ52" s="65" t="s">
        <v>31</v>
      </c>
      <c r="AR52" s="65" t="s">
        <v>32</v>
      </c>
      <c r="AS52" s="65" t="s">
        <v>33</v>
      </c>
      <c r="AT52" s="65" t="s">
        <v>34</v>
      </c>
      <c r="AU52" s="65" t="s">
        <v>35</v>
      </c>
      <c r="AV52" s="65" t="s">
        <v>36</v>
      </c>
      <c r="AW52" s="66" t="s">
        <v>37</v>
      </c>
    </row>
    <row r="53" customFormat="false" ht="15" hidden="false" customHeight="false" outlineLevel="0" collapsed="false">
      <c r="F53" s="80"/>
      <c r="AP53" s="73" t="n">
        <f aca="false">RATIO_ANALYSIS!Q100</f>
        <v>166.960145928609</v>
      </c>
      <c r="AQ53" s="74" t="n">
        <f aca="false">RATIO_ANALYSIS!R100</f>
        <v>228.061522610318</v>
      </c>
      <c r="AR53" s="74" t="n">
        <f aca="false">RATIO_ANALYSIS!S100</f>
        <v>317.298843507837</v>
      </c>
      <c r="AS53" s="74" t="n">
        <f aca="false">RATIO_ANALYSIS!T100</f>
        <v>268.247824510215</v>
      </c>
      <c r="AT53" s="74" t="n">
        <f aca="false">RATIO_ANALYSIS!U100</f>
        <v>107.479625050331</v>
      </c>
      <c r="AU53" s="74" t="n">
        <f aca="false">RATIO_ANALYSIS!V100</f>
        <v>162.001295254617</v>
      </c>
      <c r="AV53" s="74" t="n">
        <f aca="false">RATIO_ANALYSIS!W100</f>
        <v>148.233424670831</v>
      </c>
      <c r="AW53" s="75" t="n">
        <f aca="false">RATIO_ANALYSIS!X100</f>
        <v>145.648743617002</v>
      </c>
    </row>
    <row r="54" customFormat="false" ht="15" hidden="false" customHeight="true" outlineLevel="0" collapsed="false">
      <c r="B54" s="62" t="s">
        <v>267</v>
      </c>
      <c r="C54" s="62"/>
      <c r="D54" s="62"/>
      <c r="E54" s="62"/>
      <c r="F54" s="62"/>
      <c r="G54" s="62"/>
      <c r="H54" s="62"/>
      <c r="I54" s="62"/>
      <c r="L54" s="62" t="s">
        <v>356</v>
      </c>
      <c r="M54" s="62"/>
      <c r="N54" s="62"/>
      <c r="O54" s="62"/>
      <c r="P54" s="62"/>
      <c r="Q54" s="62"/>
      <c r="R54" s="62"/>
      <c r="S54" s="62"/>
      <c r="AF54" s="62" t="s">
        <v>302</v>
      </c>
      <c r="AG54" s="62"/>
      <c r="AH54" s="62"/>
      <c r="AI54" s="62"/>
      <c r="AJ54" s="62"/>
      <c r="AK54" s="62"/>
      <c r="AL54" s="62"/>
      <c r="AM54" s="62"/>
    </row>
    <row r="55" customFormat="false" ht="15" hidden="false" customHeight="false" outlineLevel="0" collapsed="false">
      <c r="B55" s="64" t="s">
        <v>30</v>
      </c>
      <c r="C55" s="65" t="s">
        <v>31</v>
      </c>
      <c r="D55" s="65" t="s">
        <v>32</v>
      </c>
      <c r="E55" s="65" t="s">
        <v>33</v>
      </c>
      <c r="F55" s="65" t="s">
        <v>34</v>
      </c>
      <c r="G55" s="65" t="s">
        <v>35</v>
      </c>
      <c r="H55" s="65" t="s">
        <v>36</v>
      </c>
      <c r="I55" s="66" t="s">
        <v>37</v>
      </c>
      <c r="L55" s="64" t="s">
        <v>30</v>
      </c>
      <c r="M55" s="65" t="s">
        <v>31</v>
      </c>
      <c r="N55" s="65" t="s">
        <v>32</v>
      </c>
      <c r="O55" s="65" t="s">
        <v>33</v>
      </c>
      <c r="P55" s="65" t="s">
        <v>34</v>
      </c>
      <c r="Q55" s="65" t="s">
        <v>35</v>
      </c>
      <c r="R55" s="65" t="s">
        <v>36</v>
      </c>
      <c r="S55" s="66" t="s">
        <v>37</v>
      </c>
      <c r="AF55" s="64" t="s">
        <v>30</v>
      </c>
      <c r="AG55" s="65" t="s">
        <v>31</v>
      </c>
      <c r="AH55" s="65" t="s">
        <v>32</v>
      </c>
      <c r="AI55" s="65" t="s">
        <v>33</v>
      </c>
      <c r="AJ55" s="65" t="s">
        <v>34</v>
      </c>
      <c r="AK55" s="65" t="s">
        <v>35</v>
      </c>
      <c r="AL55" s="65" t="s">
        <v>36</v>
      </c>
      <c r="AM55" s="66" t="s">
        <v>37</v>
      </c>
    </row>
    <row r="56" customFormat="false" ht="15" hidden="false" customHeight="false" outlineLevel="0" collapsed="false">
      <c r="B56" s="67" t="n">
        <f aca="false">RATIO_ANALYSIS!Q19</f>
        <v>0.395651944361783</v>
      </c>
      <c r="C56" s="68" t="n">
        <f aca="false">RATIO_ANALYSIS!R19</f>
        <v>0.413217531827834</v>
      </c>
      <c r="D56" s="68" t="n">
        <f aca="false">RATIO_ANALYSIS!S19</f>
        <v>0.3790672250534</v>
      </c>
      <c r="E56" s="68" t="n">
        <f aca="false">RATIO_ANALYSIS!T19</f>
        <v>0.534509761725428</v>
      </c>
      <c r="F56" s="68" t="n">
        <f aca="false">RATIO_ANALYSIS!U19</f>
        <v>0.345257665859388</v>
      </c>
      <c r="G56" s="68" t="n">
        <f aca="false">RATIO_ANALYSIS!V19</f>
        <v>0.369732670298952</v>
      </c>
      <c r="H56" s="68" t="n">
        <f aca="false">RATIO_ANALYSIS!W19</f>
        <v>0.39597861263974</v>
      </c>
      <c r="I56" s="69" t="n">
        <f aca="false">RATIO_ANALYSIS!X19</f>
        <v>0.377100830690173</v>
      </c>
      <c r="L56" s="67" t="n">
        <f aca="false">RATIO_ANALYSIS!Q25</f>
        <v>0.169236510420166</v>
      </c>
      <c r="M56" s="68" t="n">
        <f aca="false">RATIO_ANALYSIS!R25</f>
        <v>0.231045099299658</v>
      </c>
      <c r="N56" s="68" t="n">
        <f aca="false">RATIO_ANALYSIS!S25</f>
        <v>0.391146542879728</v>
      </c>
      <c r="O56" s="68" t="n">
        <f aca="false">RATIO_ANALYSIS!T25</f>
        <v>0.203531676290903</v>
      </c>
      <c r="P56" s="68" t="n">
        <f aca="false">RATIO_ANALYSIS!U25</f>
        <v>0.123888978361477</v>
      </c>
      <c r="Q56" s="68" t="n">
        <f aca="false">RATIO_ANALYSIS!V25</f>
        <v>0.125069298705475</v>
      </c>
      <c r="R56" s="68" t="n">
        <f aca="false">RATIO_ANALYSIS!W25</f>
        <v>0.124853540079858</v>
      </c>
      <c r="S56" s="69" t="n">
        <f aca="false">RATIO_ANALYSIS!X25</f>
        <v>0.110597681854663</v>
      </c>
      <c r="AF56" s="77" t="n">
        <f aca="false">RATIO_ANALYSIS!Q88</f>
        <v>1.66421818878723</v>
      </c>
      <c r="AG56" s="78" t="n">
        <f aca="false">RATIO_ANALYSIS!R88</f>
        <v>1.01182938505729</v>
      </c>
      <c r="AH56" s="78" t="n">
        <f aca="false">RATIO_ANALYSIS!S88</f>
        <v>0.898009817132794</v>
      </c>
      <c r="AI56" s="78" t="n">
        <f aca="false">RATIO_ANALYSIS!T88</f>
        <v>0.716784182330308</v>
      </c>
      <c r="AJ56" s="78" t="n">
        <f aca="false">RATIO_ANALYSIS!U88</f>
        <v>1.95179582408624</v>
      </c>
      <c r="AK56" s="78" t="n">
        <f aca="false">RATIO_ANALYSIS!V88</f>
        <v>2.05953052054315</v>
      </c>
      <c r="AL56" s="78" t="n">
        <f aca="false">RATIO_ANALYSIS!W88</f>
        <v>1.72042368112237</v>
      </c>
      <c r="AM56" s="79" t="n">
        <f aca="false">RATIO_ANALYSIS!X88</f>
        <v>2.09775942849191</v>
      </c>
    </row>
    <row r="60" customFormat="false" ht="15" hidden="false" customHeight="false" outlineLevel="0" collapsed="false">
      <c r="B60" s="63" t="s">
        <v>357</v>
      </c>
      <c r="L60" s="63" t="s">
        <v>358</v>
      </c>
    </row>
    <row r="62" customFormat="false" ht="15" hidden="false" customHeight="true" outlineLevel="0" collapsed="false">
      <c r="B62" s="62" t="s">
        <v>359</v>
      </c>
      <c r="C62" s="62"/>
      <c r="D62" s="62"/>
      <c r="E62" s="62"/>
      <c r="F62" s="62"/>
      <c r="G62" s="62"/>
      <c r="H62" s="62"/>
      <c r="I62" s="62"/>
      <c r="L62" s="62" t="s">
        <v>315</v>
      </c>
      <c r="M62" s="62"/>
      <c r="N62" s="62"/>
      <c r="O62" s="62"/>
      <c r="P62" s="62"/>
      <c r="Q62" s="62"/>
      <c r="R62" s="62"/>
      <c r="S62" s="62"/>
    </row>
    <row r="63" customFormat="false" ht="15" hidden="false" customHeight="false" outlineLevel="0" collapsed="false">
      <c r="B63" s="64" t="s">
        <v>30</v>
      </c>
      <c r="C63" s="65" t="s">
        <v>31</v>
      </c>
      <c r="D63" s="65" t="s">
        <v>32</v>
      </c>
      <c r="E63" s="65" t="s">
        <v>33</v>
      </c>
      <c r="F63" s="65" t="s">
        <v>34</v>
      </c>
      <c r="G63" s="65" t="s">
        <v>35</v>
      </c>
      <c r="H63" s="65" t="s">
        <v>36</v>
      </c>
      <c r="I63" s="66" t="s">
        <v>37</v>
      </c>
      <c r="L63" s="64" t="s">
        <v>30</v>
      </c>
      <c r="M63" s="65" t="s">
        <v>31</v>
      </c>
      <c r="N63" s="65" t="s">
        <v>32</v>
      </c>
      <c r="O63" s="65" t="s">
        <v>33</v>
      </c>
      <c r="P63" s="65" t="s">
        <v>34</v>
      </c>
      <c r="Q63" s="65" t="s">
        <v>35</v>
      </c>
      <c r="R63" s="65" t="s">
        <v>36</v>
      </c>
      <c r="S63" s="66" t="s">
        <v>37</v>
      </c>
    </row>
    <row r="64" customFormat="false" ht="15" hidden="false" customHeight="false" outlineLevel="0" collapsed="false">
      <c r="B64" s="67" t="n">
        <f aca="false">RATIO_ANALYSIS!Q129</f>
        <v>-0.344533783427728</v>
      </c>
      <c r="C64" s="68" t="n">
        <f aca="false">RATIO_ANALYSIS!R129</f>
        <v>-0.397073857909439</v>
      </c>
      <c r="D64" s="68" t="n">
        <f aca="false">RATIO_ANALYSIS!S129</f>
        <v>-0.408351559996736</v>
      </c>
      <c r="E64" s="68" t="n">
        <f aca="false">RATIO_ANALYSIS!T129</f>
        <v>0.125425097129018</v>
      </c>
      <c r="F64" s="68" t="n">
        <f aca="false">RATIO_ANALYSIS!U129</f>
        <v>0.967223796372679</v>
      </c>
      <c r="G64" s="68" t="n">
        <f aca="false">RATIO_ANALYSIS!V129</f>
        <v>-0.0928700138868209</v>
      </c>
      <c r="H64" s="68" t="n">
        <f aca="false">RATIO_ANALYSIS!W129</f>
        <v>0.0935528336680328</v>
      </c>
      <c r="I64" s="69" t="n">
        <f aca="false">RATIO_ANALYSIS!X129</f>
        <v>0.667880209952689</v>
      </c>
      <c r="L64" s="77" t="n">
        <f aca="false">RATIO_ANALYSIS!Q109</f>
        <v>-1.66820859435419</v>
      </c>
      <c r="M64" s="78" t="n">
        <f aca="false">RATIO_ANALYSIS!R109</f>
        <v>-1.1318156105604</v>
      </c>
      <c r="N64" s="78" t="n">
        <f aca="false">RATIO_ANALYSIS!S109</f>
        <v>-0.877174456431175</v>
      </c>
      <c r="O64" s="78" t="n">
        <f aca="false">RATIO_ANALYSIS!T109</f>
        <v>-1.82389559827213</v>
      </c>
      <c r="P64" s="78" t="n">
        <f aca="false">RATIO_ANALYSIS!U109</f>
        <v>-1.79418890957126</v>
      </c>
      <c r="Q64" s="78" t="n">
        <f aca="false">RATIO_ANALYSIS!V109</f>
        <v>1.73306403187947</v>
      </c>
      <c r="R64" s="78" t="n">
        <f aca="false">RATIO_ANALYSIS!W109</f>
        <v>0.0280462514444011</v>
      </c>
      <c r="S64" s="79" t="n">
        <f aca="false">RATIO_ANALYSIS!X109</f>
        <v>0.046404027698617</v>
      </c>
    </row>
    <row r="66" customFormat="false" ht="15" hidden="false" customHeight="true" outlineLevel="0" collapsed="false">
      <c r="B66" s="62" t="s">
        <v>360</v>
      </c>
      <c r="C66" s="62"/>
      <c r="D66" s="62"/>
      <c r="E66" s="62"/>
      <c r="F66" s="62"/>
      <c r="G66" s="62"/>
      <c r="H66" s="62"/>
      <c r="I66" s="62"/>
      <c r="L66" s="62" t="s">
        <v>316</v>
      </c>
      <c r="M66" s="62"/>
      <c r="N66" s="62"/>
      <c r="O66" s="62"/>
      <c r="P66" s="62"/>
      <c r="Q66" s="62"/>
      <c r="R66" s="62"/>
      <c r="S66" s="62"/>
    </row>
    <row r="67" customFormat="false" ht="15" hidden="false" customHeight="false" outlineLevel="0" collapsed="false">
      <c r="B67" s="64" t="s">
        <v>30</v>
      </c>
      <c r="C67" s="65" t="s">
        <v>31</v>
      </c>
      <c r="D67" s="65" t="s">
        <v>32</v>
      </c>
      <c r="E67" s="65" t="s">
        <v>33</v>
      </c>
      <c r="F67" s="65" t="s">
        <v>34</v>
      </c>
      <c r="G67" s="65" t="s">
        <v>35</v>
      </c>
      <c r="H67" s="65" t="s">
        <v>36</v>
      </c>
      <c r="I67" s="66" t="s">
        <v>37</v>
      </c>
      <c r="L67" s="64" t="s">
        <v>30</v>
      </c>
      <c r="M67" s="65" t="s">
        <v>31</v>
      </c>
      <c r="N67" s="65" t="s">
        <v>32</v>
      </c>
      <c r="O67" s="65" t="s">
        <v>33</v>
      </c>
      <c r="P67" s="65" t="s">
        <v>34</v>
      </c>
      <c r="Q67" s="65" t="s">
        <v>35</v>
      </c>
      <c r="R67" s="65" t="s">
        <v>36</v>
      </c>
      <c r="S67" s="66" t="s">
        <v>37</v>
      </c>
    </row>
    <row r="68" customFormat="false" ht="15" hidden="false" customHeight="false" outlineLevel="0" collapsed="false">
      <c r="B68" s="67" t="n">
        <f aca="false">RATIO_ANALYSIS!Q131</f>
        <v>-0.581861595465592</v>
      </c>
      <c r="C68" s="68" t="n">
        <f aca="false">RATIO_ANALYSIS!R131</f>
        <v>-0.96193045840533</v>
      </c>
      <c r="D68" s="68" t="n">
        <f aca="false">RATIO_ANALYSIS!S131</f>
        <v>-21.1980582524272</v>
      </c>
      <c r="E68" s="68" t="n">
        <f aca="false">RATIO_ANALYSIS!T131</f>
        <v>-1.66591761199769</v>
      </c>
      <c r="F68" s="68" t="n">
        <f aca="false">RATIO_ANALYSIS!U131</f>
        <v>0.645114138771091</v>
      </c>
      <c r="G68" s="68" t="n">
        <f aca="false">RATIO_ANALYSIS!V131</f>
        <v>-0.0659141766486771</v>
      </c>
      <c r="H68" s="68" t="n">
        <f aca="false">RATIO_ANALYSIS!W131</f>
        <v>0.253361517233281</v>
      </c>
      <c r="I68" s="69" t="n">
        <f aca="false">RATIO_ANALYSIS!X131</f>
        <v>0.836990536868734</v>
      </c>
      <c r="L68" s="77" t="n">
        <f aca="false">RATIO_ANALYSIS!Q112</f>
        <v>10.7233767313787</v>
      </c>
      <c r="M68" s="78" t="n">
        <f aca="false">RATIO_ANALYSIS!R112</f>
        <v>233.590533980583</v>
      </c>
      <c r="N68" s="78" t="n">
        <f aca="false">RATIO_ANALYSIS!S112</f>
        <v>-11.639131897712</v>
      </c>
      <c r="O68" s="78" t="n">
        <f aca="false">RATIO_ANALYSIS!T112</f>
        <v>11.1928900117297</v>
      </c>
      <c r="P68" s="78" t="n">
        <f aca="false">RATIO_ANALYSIS!U112</f>
        <v>7.00996007195823</v>
      </c>
      <c r="Q68" s="78" t="n">
        <f aca="false">RATIO_ANALYSIS!V112</f>
        <v>2.23695613880571</v>
      </c>
      <c r="R68" s="78" t="n">
        <f aca="false">RATIO_ANALYSIS!W112</f>
        <v>0.103016958680783</v>
      </c>
      <c r="S68" s="79" t="n">
        <f aca="false">RATIO_ANALYSIS!X112</f>
        <v>0.144510409972356</v>
      </c>
    </row>
    <row r="70" customFormat="false" ht="15" hidden="false" customHeight="true" outlineLevel="0" collapsed="false">
      <c r="B70" s="62" t="s">
        <v>361</v>
      </c>
      <c r="C70" s="62"/>
      <c r="D70" s="62"/>
      <c r="E70" s="62"/>
      <c r="F70" s="62"/>
      <c r="G70" s="62"/>
      <c r="H70" s="62"/>
      <c r="I70" s="62"/>
      <c r="L70" s="62" t="s">
        <v>320</v>
      </c>
      <c r="M70" s="62"/>
      <c r="N70" s="62"/>
      <c r="O70" s="62"/>
      <c r="P70" s="62"/>
      <c r="Q70" s="62"/>
      <c r="R70" s="62"/>
      <c r="S70" s="62"/>
    </row>
    <row r="71" customFormat="false" ht="15" hidden="false" customHeight="false" outlineLevel="0" collapsed="false">
      <c r="B71" s="64" t="s">
        <v>30</v>
      </c>
      <c r="C71" s="65" t="s">
        <v>31</v>
      </c>
      <c r="D71" s="65" t="s">
        <v>32</v>
      </c>
      <c r="E71" s="65" t="s">
        <v>33</v>
      </c>
      <c r="F71" s="65" t="s">
        <v>34</v>
      </c>
      <c r="G71" s="65" t="s">
        <v>35</v>
      </c>
      <c r="H71" s="65" t="s">
        <v>36</v>
      </c>
      <c r="I71" s="66" t="s">
        <v>37</v>
      </c>
      <c r="L71" s="64" t="s">
        <v>30</v>
      </c>
      <c r="M71" s="65" t="s">
        <v>31</v>
      </c>
      <c r="N71" s="65" t="s">
        <v>32</v>
      </c>
      <c r="O71" s="65" t="s">
        <v>33</v>
      </c>
      <c r="P71" s="65" t="s">
        <v>34</v>
      </c>
      <c r="Q71" s="65" t="s">
        <v>35</v>
      </c>
      <c r="R71" s="65" t="s">
        <v>36</v>
      </c>
      <c r="S71" s="66" t="s">
        <v>37</v>
      </c>
    </row>
    <row r="72" customFormat="false" ht="15" hidden="false" customHeight="false" outlineLevel="0" collapsed="false">
      <c r="B72" s="67" t="n">
        <f aca="false">RATIO_ANALYSIS!Q135</f>
        <v>-1.43247508028759</v>
      </c>
      <c r="C72" s="68" t="n">
        <f aca="false">RATIO_ANALYSIS!R135</f>
        <v>2.93414358394573</v>
      </c>
      <c r="D72" s="68" t="n">
        <f aca="false">RATIO_ANALYSIS!S135</f>
        <v>0.757826123872535</v>
      </c>
      <c r="E72" s="68" t="n">
        <f aca="false">RATIO_ANALYSIS!T135</f>
        <v>-1.03728185064223</v>
      </c>
      <c r="F72" s="68" t="n">
        <f aca="false">RATIO_ANALYSIS!U135</f>
        <v>-2.65626868646602</v>
      </c>
      <c r="G72" s="68" t="n">
        <f aca="false">RATIO_ANALYSIS!V135</f>
        <v>-18.3734280040917</v>
      </c>
      <c r="H72" s="68" t="n">
        <f aca="false">RATIO_ANALYSIS!W135</f>
        <v>-0.771290725905607</v>
      </c>
      <c r="I72" s="69" t="n">
        <f aca="false">RATIO_ANALYSIS!X135</f>
        <v>2.137169682744</v>
      </c>
      <c r="L72" s="77" t="n">
        <f aca="false">RATIO_ANALYSIS!Q119</f>
        <v>0.795305270880155</v>
      </c>
      <c r="M72" s="78" t="n">
        <f aca="false">RATIO_ANALYSIS!R119</f>
        <v>0.586798499617781</v>
      </c>
      <c r="N72" s="78" t="n">
        <f aca="false">RATIO_ANALYSIS!S119</f>
        <v>0.280658947596187</v>
      </c>
      <c r="O72" s="78" t="n">
        <f aca="false">RATIO_ANALYSIS!T119</f>
        <v>1.25804844537441</v>
      </c>
      <c r="P72" s="78" t="n">
        <f aca="false">RATIO_ANALYSIS!U119</f>
        <v>1.18531787266201</v>
      </c>
      <c r="Q72" s="78" t="n">
        <f aca="false">RATIO_ANALYSIS!V119</f>
        <v>1.53369199382403</v>
      </c>
      <c r="R72" s="78" t="n">
        <f aca="false">RATIO_ANALYSIS!W119</f>
        <v>1.75737906509131</v>
      </c>
      <c r="S72" s="79" t="n">
        <f aca="false">RATIO_ANALYSIS!X119</f>
        <v>1.56420509109599</v>
      </c>
    </row>
    <row r="74" customFormat="false" ht="15" hidden="false" customHeight="true" outlineLevel="0" collapsed="false">
      <c r="B74" s="62" t="s">
        <v>362</v>
      </c>
      <c r="C74" s="62"/>
      <c r="D74" s="62"/>
      <c r="E74" s="62"/>
      <c r="F74" s="62"/>
      <c r="G74" s="62"/>
      <c r="H74" s="62"/>
      <c r="I74" s="62"/>
      <c r="L74" s="62" t="s">
        <v>322</v>
      </c>
      <c r="M74" s="62"/>
      <c r="N74" s="62"/>
      <c r="O74" s="62"/>
      <c r="P74" s="62"/>
      <c r="Q74" s="62"/>
      <c r="R74" s="62"/>
      <c r="S74" s="62"/>
    </row>
    <row r="75" customFormat="false" ht="15" hidden="false" customHeight="false" outlineLevel="0" collapsed="false">
      <c r="B75" s="64" t="s">
        <v>30</v>
      </c>
      <c r="C75" s="65" t="s">
        <v>31</v>
      </c>
      <c r="D75" s="65" t="s">
        <v>32</v>
      </c>
      <c r="E75" s="65" t="s">
        <v>33</v>
      </c>
      <c r="F75" s="65" t="s">
        <v>34</v>
      </c>
      <c r="G75" s="65" t="s">
        <v>35</v>
      </c>
      <c r="H75" s="65" t="s">
        <v>36</v>
      </c>
      <c r="I75" s="66" t="s">
        <v>37</v>
      </c>
      <c r="L75" s="64" t="s">
        <v>30</v>
      </c>
      <c r="M75" s="65" t="s">
        <v>31</v>
      </c>
      <c r="N75" s="65" t="s">
        <v>32</v>
      </c>
      <c r="O75" s="65" t="s">
        <v>33</v>
      </c>
      <c r="P75" s="65" t="s">
        <v>34</v>
      </c>
      <c r="Q75" s="65" t="s">
        <v>35</v>
      </c>
      <c r="R75" s="65" t="s">
        <v>36</v>
      </c>
      <c r="S75" s="66" t="s">
        <v>37</v>
      </c>
    </row>
    <row r="76" customFormat="false" ht="15" hidden="false" customHeight="false" outlineLevel="0" collapsed="false">
      <c r="B76" s="67" t="n">
        <f aca="false">RATIO_ANALYSIS!Q137</f>
        <v>-0.0854869614559091</v>
      </c>
      <c r="C76" s="68" t="n">
        <f aca="false">RATIO_ANALYSIS!R137</f>
        <v>-0.202297184406914</v>
      </c>
      <c r="D76" s="68" t="n">
        <f aca="false">RATIO_ANALYSIS!S137</f>
        <v>-0.26384666285646</v>
      </c>
      <c r="E76" s="68" t="n">
        <f aca="false">RATIO_ANALYSIS!T137</f>
        <v>0.0108324974924774</v>
      </c>
      <c r="F76" s="68" t="n">
        <f aca="false">RATIO_ANALYSIS!U137</f>
        <v>-0.0191225994494849</v>
      </c>
      <c r="G76" s="68" t="n">
        <f aca="false">RATIO_ANALYSIS!V137</f>
        <v>-0.146949895441755</v>
      </c>
      <c r="H76" s="68" t="n">
        <f aca="false">RATIO_ANALYSIS!W137</f>
        <v>0.299751239277399</v>
      </c>
      <c r="I76" s="69" t="n">
        <f aca="false">RATIO_ANALYSIS!X137</f>
        <v>0.805203217152202</v>
      </c>
      <c r="L76" s="77" t="n">
        <f aca="false">RATIO_ANALYSIS!Q122</f>
        <v>0.488649236898796</v>
      </c>
      <c r="M76" s="78" t="n">
        <f aca="false">RATIO_ANALYSIS!R122</f>
        <v>0.320666970493762</v>
      </c>
      <c r="N76" s="78" t="n">
        <f aca="false">RATIO_ANALYSIS!S122</f>
        <v>0.156417854878493</v>
      </c>
      <c r="O76" s="78" t="n">
        <f aca="false">RATIO_ANALYSIS!T122</f>
        <v>0.688335457210432</v>
      </c>
      <c r="P76" s="78" t="n">
        <f aca="false">RATIO_ANALYSIS!U122</f>
        <v>0.663898072926507</v>
      </c>
      <c r="Q76" s="78" t="n">
        <f aca="false">RATIO_ANALYSIS!V122</f>
        <v>0.85717512283443</v>
      </c>
      <c r="R76" s="78" t="n">
        <f aca="false">RATIO_ANALYSIS!W122</f>
        <v>0.995529853598551</v>
      </c>
      <c r="S76" s="79" t="n">
        <f aca="false">RATIO_ANALYSIS!X122</f>
        <v>1.01750233319357</v>
      </c>
    </row>
    <row r="78" customFormat="false" ht="15" hidden="false" customHeight="true" outlineLevel="0" collapsed="false">
      <c r="B78" s="62" t="s">
        <v>334</v>
      </c>
      <c r="C78" s="62"/>
      <c r="D78" s="62"/>
      <c r="E78" s="62"/>
      <c r="F78" s="62"/>
      <c r="G78" s="62"/>
      <c r="H78" s="62"/>
      <c r="I78" s="62"/>
      <c r="L78" s="62" t="s">
        <v>324</v>
      </c>
      <c r="M78" s="62"/>
      <c r="N78" s="62"/>
      <c r="O78" s="62"/>
      <c r="P78" s="62"/>
      <c r="Q78" s="62"/>
      <c r="R78" s="62"/>
      <c r="S78" s="62"/>
    </row>
    <row r="79" customFormat="false" ht="15" hidden="false" customHeight="false" outlineLevel="0" collapsed="false">
      <c r="B79" s="64" t="s">
        <v>30</v>
      </c>
      <c r="C79" s="65" t="s">
        <v>31</v>
      </c>
      <c r="D79" s="65" t="s">
        <v>32</v>
      </c>
      <c r="E79" s="65" t="s">
        <v>33</v>
      </c>
      <c r="F79" s="65" t="s">
        <v>34</v>
      </c>
      <c r="G79" s="65" t="s">
        <v>35</v>
      </c>
      <c r="H79" s="65" t="s">
        <v>36</v>
      </c>
      <c r="I79" s="66" t="s">
        <v>37</v>
      </c>
      <c r="L79" s="64" t="s">
        <v>30</v>
      </c>
      <c r="M79" s="65" t="s">
        <v>31</v>
      </c>
      <c r="N79" s="65" t="s">
        <v>32</v>
      </c>
      <c r="O79" s="65" t="s">
        <v>33</v>
      </c>
      <c r="P79" s="65" t="s">
        <v>34</v>
      </c>
      <c r="Q79" s="65" t="s">
        <v>35</v>
      </c>
      <c r="R79" s="65" t="s">
        <v>36</v>
      </c>
      <c r="S79" s="66" t="s">
        <v>37</v>
      </c>
    </row>
    <row r="80" customFormat="false" ht="15" hidden="false" customHeight="false" outlineLevel="0" collapsed="false">
      <c r="B80" s="77" t="n">
        <f aca="false">RATIO_ANALYSIS!Q143</f>
        <v>4.15772022713145</v>
      </c>
      <c r="C80" s="78" t="n">
        <f aca="false">RATIO_ANALYSIS!R143</f>
        <v>-7.38941515665059</v>
      </c>
      <c r="D80" s="78" t="n">
        <f aca="false">RATIO_ANALYSIS!S143</f>
        <v>-1.85581787388933</v>
      </c>
      <c r="E80" s="78" t="n">
        <f aca="false">RATIO_ANALYSIS!T143</f>
        <v>-8.27012993719463</v>
      </c>
      <c r="F80" s="78" t="n">
        <f aca="false">RATIO_ANALYSIS!U143</f>
        <v>-2.74628136365923</v>
      </c>
      <c r="G80" s="78" t="n">
        <f aca="false">RATIO_ANALYSIS!V143</f>
        <v>197.840263343592</v>
      </c>
      <c r="H80" s="78" t="n">
        <f aca="false">RATIO_ANALYSIS!W143</f>
        <v>-8.24444002030436</v>
      </c>
      <c r="I80" s="79" t="n">
        <f aca="false">RATIO_ANALYSIS!X143</f>
        <v>3.19992964441242</v>
      </c>
      <c r="L80" s="77" t="n">
        <f aca="false">RATIO_ANALYSIS!Q125</f>
        <v>0.684531113613075</v>
      </c>
      <c r="M80" s="78" t="n">
        <f aca="false">RATIO_ANALYSIS!R125</f>
        <v>0.032443244009418</v>
      </c>
      <c r="N80" s="78" t="n">
        <f aca="false">RATIO_ANALYSIS!S125</f>
        <v>-0.608619970891325</v>
      </c>
      <c r="O80" s="78" t="n">
        <f aca="false">RATIO_ANALYSIS!T125</f>
        <v>0.556230301326963</v>
      </c>
      <c r="P80" s="78" t="n">
        <f aca="false">RATIO_ANALYSIS!U125</f>
        <v>1.24113706910636</v>
      </c>
      <c r="Q80" s="78" t="n">
        <f aca="false">RATIO_ANALYSIS!V125</f>
        <v>2.02383781728301</v>
      </c>
      <c r="R80" s="78" t="n">
        <f aca="false">RATIO_ANALYSIS!W125</f>
        <v>6.49525316455696</v>
      </c>
      <c r="S80" s="79" t="n">
        <f aca="false">RATIO_ANALYSIS!X125</f>
        <v>7.6947409733124</v>
      </c>
    </row>
    <row r="83" customFormat="false" ht="16.15" hidden="false" customHeight="false" outlineLevel="0" collapsed="false">
      <c r="A83" s="39"/>
      <c r="B83" s="61" t="s">
        <v>363</v>
      </c>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c r="AS83" s="39"/>
      <c r="AT83" s="39"/>
      <c r="AU83" s="39"/>
      <c r="AV83" s="39"/>
      <c r="AW83" s="39"/>
      <c r="AX83" s="39"/>
      <c r="AY83" s="39"/>
      <c r="AZ83" s="39"/>
      <c r="BA83" s="39"/>
      <c r="BB83" s="39"/>
      <c r="BC83" s="39"/>
      <c r="BD83" s="39"/>
      <c r="BE83" s="39"/>
      <c r="BF83" s="39"/>
      <c r="BG83" s="39"/>
    </row>
    <row r="85" customFormat="false" ht="15" hidden="false" customHeight="true" outlineLevel="0" collapsed="false">
      <c r="AA85" s="62" t="s">
        <v>257</v>
      </c>
      <c r="AB85" s="62"/>
      <c r="AC85" s="62"/>
      <c r="AD85" s="62"/>
      <c r="AE85" s="62"/>
      <c r="AF85" s="62"/>
      <c r="AG85" s="62"/>
      <c r="AH85" s="62"/>
    </row>
    <row r="86" customFormat="false" ht="15" hidden="false" customHeight="false" outlineLevel="0" collapsed="false">
      <c r="AA86" s="64" t="s">
        <v>30</v>
      </c>
      <c r="AB86" s="65" t="s">
        <v>31</v>
      </c>
      <c r="AC86" s="65" t="s">
        <v>32</v>
      </c>
      <c r="AD86" s="65" t="s">
        <v>33</v>
      </c>
      <c r="AE86" s="65" t="s">
        <v>34</v>
      </c>
      <c r="AF86" s="65" t="s">
        <v>35</v>
      </c>
      <c r="AG86" s="65" t="s">
        <v>36</v>
      </c>
      <c r="AH86" s="66" t="s">
        <v>37</v>
      </c>
    </row>
    <row r="87" customFormat="false" ht="15" hidden="false" customHeight="false" outlineLevel="0" collapsed="false">
      <c r="AA87" s="67" t="n">
        <f aca="false">RATIO_ANALYSIS!Q7</f>
        <v>0.0559435131226767</v>
      </c>
      <c r="AB87" s="68" t="n">
        <f aca="false">RATIO_ANALYSIS!R7</f>
        <v>0.180062777178649</v>
      </c>
      <c r="AC87" s="68" t="n">
        <f aca="false">RATIO_ANALYSIS!S7</f>
        <v>0.243744701969962</v>
      </c>
      <c r="AD87" s="68" t="n">
        <f aca="false">RATIO_ANALYSIS!T7</f>
        <v>-0.029505603241676</v>
      </c>
      <c r="AE87" s="68" t="n">
        <f aca="false">RATIO_ANALYSIS!U7</f>
        <v>0.0466588616461855</v>
      </c>
      <c r="AF87" s="68" t="n">
        <f aca="false">RATIO_ANALYSIS!V7</f>
        <v>2.62686282002293</v>
      </c>
      <c r="AG87" s="68" t="n">
        <f aca="false">RATIO_ANALYSIS!W7</f>
        <v>0.168443311880948</v>
      </c>
      <c r="AH87" s="69" t="n">
        <f aca="false">RATIO_ANALYSIS!X7</f>
        <v>0.33929331839652</v>
      </c>
    </row>
    <row r="88" customFormat="false" ht="15" hidden="false" customHeight="false" outlineLevel="0" collapsed="false">
      <c r="AE88" s="70"/>
    </row>
    <row r="89" customFormat="false" ht="15" hidden="false" customHeight="false" outlineLevel="0" collapsed="false">
      <c r="F89" s="71"/>
      <c r="G89" s="72"/>
      <c r="H89" s="72"/>
      <c r="I89" s="72"/>
      <c r="J89" s="72"/>
      <c r="K89" s="72"/>
      <c r="L89" s="72"/>
      <c r="M89" s="72"/>
      <c r="N89" s="72"/>
      <c r="O89" s="72"/>
      <c r="P89" s="71"/>
      <c r="Q89" s="72"/>
      <c r="R89" s="72"/>
      <c r="S89" s="72"/>
      <c r="T89" s="72"/>
      <c r="U89" s="72"/>
      <c r="V89" s="72"/>
      <c r="W89" s="72"/>
      <c r="X89" s="72"/>
      <c r="Y89" s="72"/>
      <c r="Z89" s="71"/>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1"/>
    </row>
    <row r="90" customFormat="false" ht="15" hidden="false" customHeight="true" outlineLevel="0" collapsed="false">
      <c r="B90" s="62" t="s">
        <v>285</v>
      </c>
      <c r="C90" s="62"/>
      <c r="D90" s="62"/>
      <c r="E90" s="62"/>
      <c r="F90" s="62"/>
      <c r="G90" s="62"/>
      <c r="H90" s="62"/>
      <c r="I90" s="62"/>
      <c r="L90" s="62" t="s">
        <v>289</v>
      </c>
      <c r="M90" s="62"/>
      <c r="N90" s="62"/>
      <c r="O90" s="62"/>
      <c r="P90" s="62"/>
      <c r="Q90" s="62"/>
      <c r="R90" s="62"/>
      <c r="S90" s="62"/>
      <c r="V90" s="62" t="s">
        <v>276</v>
      </c>
      <c r="W90" s="62"/>
      <c r="X90" s="62"/>
      <c r="Y90" s="62"/>
      <c r="Z90" s="62"/>
      <c r="AA90" s="62"/>
      <c r="AB90" s="62"/>
      <c r="AC90" s="62"/>
      <c r="AF90" s="62" t="s">
        <v>274</v>
      </c>
      <c r="AG90" s="62"/>
      <c r="AH90" s="62"/>
      <c r="AI90" s="62"/>
      <c r="AJ90" s="62"/>
      <c r="AK90" s="62"/>
      <c r="AL90" s="62"/>
      <c r="AM90" s="62"/>
      <c r="AP90" s="62" t="s">
        <v>312</v>
      </c>
      <c r="AQ90" s="62"/>
      <c r="AR90" s="62"/>
      <c r="AS90" s="62"/>
      <c r="AT90" s="62"/>
      <c r="AU90" s="62"/>
      <c r="AV90" s="62"/>
      <c r="AW90" s="62"/>
      <c r="AZ90" s="62" t="s">
        <v>291</v>
      </c>
      <c r="BA90" s="62"/>
      <c r="BB90" s="62"/>
      <c r="BC90" s="62"/>
      <c r="BD90" s="62"/>
      <c r="BE90" s="62"/>
      <c r="BF90" s="62"/>
      <c r="BG90" s="62"/>
    </row>
    <row r="91" customFormat="false" ht="15" hidden="false" customHeight="false" outlineLevel="0" collapsed="false">
      <c r="B91" s="64" t="s">
        <v>30</v>
      </c>
      <c r="C91" s="65" t="s">
        <v>31</v>
      </c>
      <c r="D91" s="65" t="s">
        <v>32</v>
      </c>
      <c r="E91" s="65" t="s">
        <v>33</v>
      </c>
      <c r="F91" s="65" t="s">
        <v>34</v>
      </c>
      <c r="G91" s="65" t="s">
        <v>35</v>
      </c>
      <c r="H91" s="65" t="s">
        <v>36</v>
      </c>
      <c r="I91" s="66" t="s">
        <v>37</v>
      </c>
      <c r="L91" s="64" t="s">
        <v>30</v>
      </c>
      <c r="M91" s="65" t="s">
        <v>31</v>
      </c>
      <c r="N91" s="65" t="s">
        <v>32</v>
      </c>
      <c r="O91" s="65" t="s">
        <v>33</v>
      </c>
      <c r="P91" s="65" t="s">
        <v>34</v>
      </c>
      <c r="Q91" s="65" t="s">
        <v>35</v>
      </c>
      <c r="R91" s="65" t="s">
        <v>36</v>
      </c>
      <c r="S91" s="66" t="s">
        <v>37</v>
      </c>
      <c r="V91" s="64" t="s">
        <v>30</v>
      </c>
      <c r="W91" s="65" t="s">
        <v>31</v>
      </c>
      <c r="X91" s="65" t="s">
        <v>32</v>
      </c>
      <c r="Y91" s="65" t="s">
        <v>33</v>
      </c>
      <c r="Z91" s="65" t="s">
        <v>34</v>
      </c>
      <c r="AA91" s="65" t="s">
        <v>35</v>
      </c>
      <c r="AB91" s="65" t="s">
        <v>36</v>
      </c>
      <c r="AC91" s="66" t="s">
        <v>37</v>
      </c>
      <c r="AD91" s="76"/>
      <c r="AE91" s="76"/>
      <c r="AF91" s="64" t="s">
        <v>30</v>
      </c>
      <c r="AG91" s="65" t="s">
        <v>31</v>
      </c>
      <c r="AH91" s="65" t="s">
        <v>32</v>
      </c>
      <c r="AI91" s="65" t="s">
        <v>33</v>
      </c>
      <c r="AJ91" s="65" t="s">
        <v>34</v>
      </c>
      <c r="AK91" s="65" t="s">
        <v>35</v>
      </c>
      <c r="AL91" s="65" t="s">
        <v>36</v>
      </c>
      <c r="AM91" s="66" t="s">
        <v>37</v>
      </c>
      <c r="AP91" s="64" t="s">
        <v>30</v>
      </c>
      <c r="AQ91" s="65" t="s">
        <v>31</v>
      </c>
      <c r="AR91" s="65" t="s">
        <v>32</v>
      </c>
      <c r="AS91" s="65" t="s">
        <v>33</v>
      </c>
      <c r="AT91" s="65" t="s">
        <v>34</v>
      </c>
      <c r="AU91" s="65" t="s">
        <v>35</v>
      </c>
      <c r="AV91" s="65" t="s">
        <v>36</v>
      </c>
      <c r="AW91" s="66" t="s">
        <v>37</v>
      </c>
      <c r="AZ91" s="64" t="s">
        <v>30</v>
      </c>
      <c r="BA91" s="65" t="s">
        <v>31</v>
      </c>
      <c r="BB91" s="65" t="s">
        <v>32</v>
      </c>
      <c r="BC91" s="65" t="s">
        <v>33</v>
      </c>
      <c r="BD91" s="65" t="s">
        <v>34</v>
      </c>
      <c r="BE91" s="65" t="s">
        <v>35</v>
      </c>
      <c r="BF91" s="65" t="s">
        <v>36</v>
      </c>
      <c r="BG91" s="66" t="s">
        <v>37</v>
      </c>
    </row>
    <row r="92" customFormat="false" ht="15" hidden="false" customHeight="false" outlineLevel="0" collapsed="false">
      <c r="B92" s="67" t="n">
        <f aca="false">RATIO_ANALYSIS!Q60</f>
        <v>0.996007575369811</v>
      </c>
      <c r="C92" s="68" t="n">
        <f aca="false">RATIO_ANALYSIS!R60</f>
        <v>0.99228770115166</v>
      </c>
      <c r="D92" s="68" t="n">
        <f aca="false">RATIO_ANALYSIS!S60</f>
        <v>1.00277203375622</v>
      </c>
      <c r="E92" s="68" t="n">
        <f aca="false">RATIO_ANALYSIS!T60</f>
        <v>0.955892159664666</v>
      </c>
      <c r="F92" s="68" t="n">
        <f aca="false">RATIO_ANALYSIS!U60</f>
        <v>-415.475</v>
      </c>
      <c r="G92" s="68" t="n">
        <f aca="false">RATIO_ANALYSIS!V60</f>
        <v>0.99847149264622</v>
      </c>
      <c r="H92" s="68" t="n">
        <f aca="false">RATIO_ANALYSIS!W60</f>
        <v>1.00130403796873</v>
      </c>
      <c r="I92" s="69" t="n">
        <f aca="false">RATIO_ANALYSIS!X60</f>
        <v>1.43203860005668</v>
      </c>
      <c r="L92" s="67" t="n">
        <f aca="false">RATIO_ANALYSIS!Q66</f>
        <v>-0.527584996354406</v>
      </c>
      <c r="M92" s="68" t="n">
        <f aca="false">RATIO_ANALYSIS!R66</f>
        <v>5.13218027606852</v>
      </c>
      <c r="N92" s="68" t="n">
        <f aca="false">RATIO_ANALYSIS!S66</f>
        <v>2.14583816369117</v>
      </c>
      <c r="O92" s="68" t="n">
        <f aca="false">RATIO_ANALYSIS!T66</f>
        <v>0.354904148493762</v>
      </c>
      <c r="P92" s="68" t="n">
        <f aca="false">RATIO_ANALYSIS!U66</f>
        <v>0.000613685179502915</v>
      </c>
      <c r="Q92" s="68" t="n">
        <f aca="false">RATIO_ANALYSIS!V66</f>
        <v>4.88571814756619</v>
      </c>
      <c r="R92" s="68" t="n">
        <f aca="false">RATIO_ANALYSIS!W66</f>
        <v>0.751384299874673</v>
      </c>
      <c r="S92" s="69" t="n">
        <f aca="false">RATIO_ANALYSIS!X66</f>
        <v>0.850243618603175</v>
      </c>
      <c r="V92" s="67" t="n">
        <f aca="false">RATIO_ANALYSIS!Q36</f>
        <v>0.0888689967649967</v>
      </c>
      <c r="W92" s="68" t="n">
        <f aca="false">RATIO_ANALYSIS!R36</f>
        <v>-0.0598345370560174</v>
      </c>
      <c r="X92" s="68" t="n">
        <f aca="false">RATIO_ANALYSIS!S36</f>
        <v>-0.420730948416503</v>
      </c>
      <c r="Y92" s="68" t="n">
        <f aca="false">RATIO_ANALYSIS!T36</f>
        <v>0.0884024963236613</v>
      </c>
      <c r="Z92" s="68" t="n">
        <f aca="false">RATIO_ANALYSIS!U36</f>
        <v>0.0990309612293331</v>
      </c>
      <c r="AA92" s="68" t="n">
        <f aca="false">RATIO_ANALYSIS!V36</f>
        <v>0.0991319028628949</v>
      </c>
      <c r="AB92" s="68" t="n">
        <f aca="false">RATIO_ANALYSIS!W36</f>
        <v>0.134429147094005</v>
      </c>
      <c r="AC92" s="69" t="n">
        <f aca="false">RATIO_ANALYSIS!X36</f>
        <v>0.156241563159451</v>
      </c>
      <c r="AF92" s="67" t="n">
        <f aca="false">RATIO_ANALYSIS!Q33</f>
        <v>0.0409907077649679</v>
      </c>
      <c r="AG92" s="68" t="n">
        <f aca="false">RATIO_ANALYSIS!R33</f>
        <v>0.06803404787161</v>
      </c>
      <c r="AH92" s="68" t="n">
        <f aca="false">RATIO_ANALYSIS!S33</f>
        <v>0.140811006273441</v>
      </c>
      <c r="AI92" s="68" t="n">
        <f aca="false">RATIO_ANALYSIS!T33</f>
        <v>0.0772270243774135</v>
      </c>
      <c r="AJ92" s="68" t="n">
        <f aca="false">RATIO_ANALYSIS!U33</f>
        <v>0.0394786820586528</v>
      </c>
      <c r="AK92" s="68" t="n">
        <f aca="false">RATIO_ANALYSIS!V33</f>
        <v>0.0434936261939895</v>
      </c>
      <c r="AL92" s="68" t="n">
        <f aca="false">RATIO_ANALYSIS!W33</f>
        <v>0.0290392688720787</v>
      </c>
      <c r="AM92" s="69" t="n">
        <f aca="false">RATIO_ANALYSIS!X33</f>
        <v>0.0238013028777547</v>
      </c>
      <c r="AP92" s="77" t="n">
        <f aca="false">RATIO_ANALYSIS!Q103</f>
        <v>-1.59855016631544</v>
      </c>
      <c r="AQ92" s="78" t="n">
        <f aca="false">RATIO_ANALYSIS!R103</f>
        <v>-1.04325721590622</v>
      </c>
      <c r="AR92" s="78" t="n">
        <f aca="false">RATIO_ANALYSIS!S103</f>
        <v>-0.591418640371532</v>
      </c>
      <c r="AS92" s="78" t="n">
        <f aca="false">RATIO_ANALYSIS!T103</f>
        <v>-1.94109171320107</v>
      </c>
      <c r="AT92" s="78" t="n">
        <f aca="false">RATIO_ANALYSIS!U103</f>
        <v>-1.81785665153391</v>
      </c>
      <c r="AU92" s="78" t="n">
        <f aca="false">RATIO_ANALYSIS!V103</f>
        <v>5.02518332514511</v>
      </c>
      <c r="AV92" s="78" t="n">
        <f aca="false">RATIO_ANALYSIS!W103</f>
        <v>1.83123783578339</v>
      </c>
      <c r="AW92" s="79" t="n">
        <f aca="false">RATIO_ANALYSIS!X103</f>
        <v>2.12253264152303</v>
      </c>
      <c r="AZ92" s="77" t="n">
        <f aca="false">RATIO_ANALYSIS!Q70</f>
        <v>0.74940762928519</v>
      </c>
      <c r="BA92" s="78" t="n">
        <f aca="false">RATIO_ANALYSIS!R70</f>
        <v>0.566423286900668</v>
      </c>
      <c r="BB92" s="78" t="n">
        <f aca="false">RATIO_ANALYSIS!S70</f>
        <v>0.455235936818088</v>
      </c>
      <c r="BC92" s="78" t="n">
        <f aca="false">RATIO_ANALYSIS!T70</f>
        <v>0.50684356674428</v>
      </c>
      <c r="BD92" s="78" t="n">
        <f aca="false">RATIO_ANALYSIS!U70</f>
        <v>1.01651309835271</v>
      </c>
      <c r="BE92" s="78" t="n">
        <f aca="false">RATIO_ANALYSIS!V70</f>
        <v>1.08095586398184</v>
      </c>
      <c r="BF92" s="78" t="n">
        <f aca="false">RATIO_ANALYSIS!W70</f>
        <v>0.909468144677129</v>
      </c>
      <c r="BG92" s="79" t="n">
        <f aca="false">RATIO_ANALYSIS!X70</f>
        <v>0.840284299117488</v>
      </c>
    </row>
    <row r="93" customFormat="false" ht="15" hidden="false" customHeight="false" outlineLevel="0" collapsed="false">
      <c r="Z93" s="80"/>
    </row>
    <row r="94" customFormat="false" ht="15" hidden="false" customHeight="true" outlineLevel="0" collapsed="false">
      <c r="V94" s="62" t="s">
        <v>272</v>
      </c>
      <c r="W94" s="62"/>
      <c r="X94" s="62"/>
      <c r="Y94" s="62"/>
      <c r="Z94" s="62"/>
      <c r="AA94" s="62"/>
      <c r="AB94" s="62"/>
      <c r="AC94" s="62"/>
      <c r="AF94" s="62" t="s">
        <v>269</v>
      </c>
      <c r="AG94" s="62"/>
      <c r="AH94" s="62"/>
      <c r="AI94" s="62"/>
      <c r="AJ94" s="62"/>
      <c r="AK94" s="62"/>
      <c r="AL94" s="62"/>
      <c r="AM94" s="62"/>
      <c r="AZ94" s="62" t="s">
        <v>292</v>
      </c>
      <c r="BA94" s="62"/>
      <c r="BB94" s="62"/>
      <c r="BC94" s="62"/>
      <c r="BD94" s="62"/>
      <c r="BE94" s="62"/>
      <c r="BF94" s="62"/>
      <c r="BG94" s="62"/>
    </row>
    <row r="95" customFormat="false" ht="15" hidden="false" customHeight="false" outlineLevel="0" collapsed="false">
      <c r="V95" s="64" t="s">
        <v>30</v>
      </c>
      <c r="W95" s="65" t="s">
        <v>31</v>
      </c>
      <c r="X95" s="65" t="s">
        <v>32</v>
      </c>
      <c r="Y95" s="65" t="s">
        <v>33</v>
      </c>
      <c r="Z95" s="65" t="s">
        <v>34</v>
      </c>
      <c r="AA95" s="65" t="s">
        <v>35</v>
      </c>
      <c r="AB95" s="65" t="s">
        <v>36</v>
      </c>
      <c r="AC95" s="66" t="s">
        <v>37</v>
      </c>
      <c r="AD95" s="76"/>
      <c r="AE95" s="76"/>
      <c r="AF95" s="64" t="s">
        <v>30</v>
      </c>
      <c r="AG95" s="65" t="s">
        <v>31</v>
      </c>
      <c r="AH95" s="65" t="s">
        <v>32</v>
      </c>
      <c r="AI95" s="65" t="s">
        <v>33</v>
      </c>
      <c r="AJ95" s="65" t="s">
        <v>34</v>
      </c>
      <c r="AK95" s="65" t="s">
        <v>35</v>
      </c>
      <c r="AL95" s="65" t="s">
        <v>36</v>
      </c>
      <c r="AM95" s="66" t="s">
        <v>37</v>
      </c>
      <c r="AZ95" s="64" t="s">
        <v>30</v>
      </c>
      <c r="BA95" s="65" t="s">
        <v>31</v>
      </c>
      <c r="BB95" s="65" t="s">
        <v>32</v>
      </c>
      <c r="BC95" s="65" t="s">
        <v>33</v>
      </c>
      <c r="BD95" s="65" t="s">
        <v>34</v>
      </c>
      <c r="BE95" s="65" t="s">
        <v>35</v>
      </c>
      <c r="BF95" s="65" t="s">
        <v>36</v>
      </c>
      <c r="BG95" s="66" t="s">
        <v>37</v>
      </c>
    </row>
    <row r="96" customFormat="false" ht="15" hidden="false" customHeight="false" outlineLevel="0" collapsed="false">
      <c r="V96" s="67" t="n">
        <f aca="false">RATIO_ANALYSIS!Q28</f>
        <v>0.129859704529965</v>
      </c>
      <c r="W96" s="68" t="n">
        <f aca="false">RATIO_ANALYSIS!R28</f>
        <v>0.0081995108155926</v>
      </c>
      <c r="X96" s="68" t="n">
        <f aca="false">RATIO_ANALYSIS!S28</f>
        <v>-0.279919942143061</v>
      </c>
      <c r="Y96" s="68" t="n">
        <f aca="false">RATIO_ANALYSIS!T28</f>
        <v>0.165629520701075</v>
      </c>
      <c r="Z96" s="68" t="n">
        <f aca="false">RATIO_ANALYSIS!U28</f>
        <v>0.138509643287986</v>
      </c>
      <c r="AA96" s="68" t="n">
        <f aca="false">RATIO_ANALYSIS!V28</f>
        <v>0.142625529056884</v>
      </c>
      <c r="AB96" s="68" t="n">
        <f aca="false">RATIO_ANALYSIS!W28</f>
        <v>0.163468415966084</v>
      </c>
      <c r="AC96" s="69" t="n">
        <f aca="false">RATIO_ANALYSIS!X28</f>
        <v>0.180042866037206</v>
      </c>
      <c r="AF96" s="67" t="n">
        <f aca="false">RATIO_ANALYSIS!Q22</f>
        <v>0.0965557294116518</v>
      </c>
      <c r="AG96" s="68" t="n">
        <f aca="false">RATIO_ANALYSIS!R22</f>
        <v>0.173972921712583</v>
      </c>
      <c r="AH96" s="68" t="n">
        <f aca="false">RATIO_ANALYSIS!S22</f>
        <v>0.267840624316733</v>
      </c>
      <c r="AI96" s="68" t="n">
        <f aca="false">RATIO_ANALYSIS!T22</f>
        <v>0.165348564733451</v>
      </c>
      <c r="AJ96" s="68" t="n">
        <f aca="false">RATIO_ANALYSIS!U22</f>
        <v>0.082859044209925</v>
      </c>
      <c r="AK96" s="68" t="n">
        <f aca="false">RATIO_ANALYSIS!V22</f>
        <v>0.102037842536592</v>
      </c>
      <c r="AL96" s="68" t="n">
        <f aca="false">RATIO_ANALYSIS!W22</f>
        <v>0.107656656593798</v>
      </c>
      <c r="AM96" s="69" t="n">
        <f aca="false">RATIO_ANALYSIS!X22</f>
        <v>0.0864602827983037</v>
      </c>
      <c r="AZ96" s="77" t="n">
        <f aca="false">RATIO_ANALYSIS!Q73</f>
        <v>6.57595555976391</v>
      </c>
      <c r="BA96" s="78" t="n">
        <f aca="false">RATIO_ANALYSIS!R73</f>
        <v>4.37950179548862</v>
      </c>
      <c r="BB96" s="78" t="n">
        <f aca="false">RATIO_ANALYSIS!S73</f>
        <v>2.83552550003338</v>
      </c>
      <c r="BC96" s="78" t="n">
        <f aca="false">RATIO_ANALYSIS!T73</f>
        <v>3.57712416204253</v>
      </c>
      <c r="BD96" s="78" t="n">
        <f aca="false">RATIO_ANALYSIS!U73</f>
        <v>7.25400901546295</v>
      </c>
      <c r="BE96" s="78" t="n">
        <f aca="false">RATIO_ANALYSIS!V73</f>
        <v>7.66976684437022</v>
      </c>
      <c r="BF96" s="78" t="n">
        <f aca="false">RATIO_ANALYSIS!W73</f>
        <v>8.06548405825746</v>
      </c>
      <c r="BG96" s="79" t="n">
        <f aca="false">RATIO_ANALYSIS!X73</f>
        <v>13.2468919543586</v>
      </c>
    </row>
    <row r="97" customFormat="false" ht="15" hidden="false" customHeight="false" outlineLevel="0" collapsed="false">
      <c r="Z97" s="80"/>
    </row>
    <row r="98" customFormat="false" ht="15" hidden="false" customHeight="true" outlineLevel="0" collapsed="false">
      <c r="V98" s="62" t="s">
        <v>267</v>
      </c>
      <c r="W98" s="62"/>
      <c r="X98" s="62"/>
      <c r="Y98" s="62"/>
      <c r="Z98" s="62"/>
      <c r="AA98" s="62"/>
      <c r="AB98" s="62"/>
      <c r="AC98" s="62"/>
      <c r="AF98" s="62" t="s">
        <v>356</v>
      </c>
      <c r="AG98" s="62"/>
      <c r="AH98" s="62"/>
      <c r="AI98" s="62"/>
      <c r="AJ98" s="62"/>
      <c r="AK98" s="62"/>
      <c r="AL98" s="62"/>
      <c r="AM98" s="62"/>
      <c r="AZ98" s="62" t="s">
        <v>294</v>
      </c>
      <c r="BA98" s="62"/>
      <c r="BB98" s="62"/>
      <c r="BC98" s="62"/>
      <c r="BD98" s="62"/>
      <c r="BE98" s="62"/>
      <c r="BF98" s="62"/>
      <c r="BG98" s="62"/>
    </row>
    <row r="99" customFormat="false" ht="15" hidden="false" customHeight="false" outlineLevel="0" collapsed="false">
      <c r="V99" s="64" t="s">
        <v>30</v>
      </c>
      <c r="W99" s="65" t="s">
        <v>31</v>
      </c>
      <c r="X99" s="65" t="s">
        <v>32</v>
      </c>
      <c r="Y99" s="65" t="s">
        <v>33</v>
      </c>
      <c r="Z99" s="65" t="s">
        <v>34</v>
      </c>
      <c r="AA99" s="65" t="s">
        <v>35</v>
      </c>
      <c r="AB99" s="65" t="s">
        <v>36</v>
      </c>
      <c r="AC99" s="66" t="s">
        <v>37</v>
      </c>
      <c r="AF99" s="64" t="s">
        <v>30</v>
      </c>
      <c r="AG99" s="65" t="s">
        <v>31</v>
      </c>
      <c r="AH99" s="65" t="s">
        <v>32</v>
      </c>
      <c r="AI99" s="65" t="s">
        <v>33</v>
      </c>
      <c r="AJ99" s="65" t="s">
        <v>34</v>
      </c>
      <c r="AK99" s="65" t="s">
        <v>35</v>
      </c>
      <c r="AL99" s="65" t="s">
        <v>36</v>
      </c>
      <c r="AM99" s="66" t="s">
        <v>37</v>
      </c>
      <c r="AZ99" s="64" t="s">
        <v>30</v>
      </c>
      <c r="BA99" s="65" t="s">
        <v>31</v>
      </c>
      <c r="BB99" s="65" t="s">
        <v>32</v>
      </c>
      <c r="BC99" s="65" t="s">
        <v>33</v>
      </c>
      <c r="BD99" s="65" t="s">
        <v>34</v>
      </c>
      <c r="BE99" s="65" t="s">
        <v>35</v>
      </c>
      <c r="BF99" s="65" t="s">
        <v>36</v>
      </c>
      <c r="BG99" s="66" t="s">
        <v>37</v>
      </c>
    </row>
    <row r="100" customFormat="false" ht="15" hidden="false" customHeight="false" outlineLevel="0" collapsed="false">
      <c r="V100" s="67" t="n">
        <f aca="false">RATIO_ANALYSIS!Q19</f>
        <v>0.395651944361783</v>
      </c>
      <c r="W100" s="68" t="n">
        <f aca="false">RATIO_ANALYSIS!R19</f>
        <v>0.413217531827834</v>
      </c>
      <c r="X100" s="68" t="n">
        <f aca="false">RATIO_ANALYSIS!S19</f>
        <v>0.3790672250534</v>
      </c>
      <c r="Y100" s="68" t="n">
        <f aca="false">RATIO_ANALYSIS!T19</f>
        <v>0.534509761725428</v>
      </c>
      <c r="Z100" s="68" t="n">
        <f aca="false">RATIO_ANALYSIS!U19</f>
        <v>0.345257665859388</v>
      </c>
      <c r="AA100" s="68" t="n">
        <f aca="false">RATIO_ANALYSIS!V19</f>
        <v>0.369732670298952</v>
      </c>
      <c r="AB100" s="68" t="n">
        <f aca="false">RATIO_ANALYSIS!W19</f>
        <v>0.39597861263974</v>
      </c>
      <c r="AC100" s="69" t="n">
        <f aca="false">RATIO_ANALYSIS!X19</f>
        <v>0.377100830690173</v>
      </c>
      <c r="AF100" s="67" t="n">
        <f aca="false">RATIO_ANALYSIS!Q25</f>
        <v>0.169236510420166</v>
      </c>
      <c r="AG100" s="68" t="n">
        <f aca="false">RATIO_ANALYSIS!R25</f>
        <v>0.231045099299658</v>
      </c>
      <c r="AH100" s="68" t="n">
        <f aca="false">RATIO_ANALYSIS!S25</f>
        <v>0.391146542879728</v>
      </c>
      <c r="AI100" s="68" t="n">
        <f aca="false">RATIO_ANALYSIS!T25</f>
        <v>0.203531676290903</v>
      </c>
      <c r="AJ100" s="68" t="n">
        <f aca="false">RATIO_ANALYSIS!U25</f>
        <v>0.123888978361477</v>
      </c>
      <c r="AK100" s="68" t="n">
        <f aca="false">RATIO_ANALYSIS!V25</f>
        <v>0.125069298705475</v>
      </c>
      <c r="AL100" s="68" t="n">
        <f aca="false">RATIO_ANALYSIS!W25</f>
        <v>0.124853540079858</v>
      </c>
      <c r="AM100" s="69" t="n">
        <f aca="false">RATIO_ANALYSIS!X25</f>
        <v>0.110597681854663</v>
      </c>
      <c r="AZ100" s="77" t="n">
        <f aca="false">RATIO_ANALYSIS!Q76</f>
        <v>14.3422307123066</v>
      </c>
      <c r="BA100" s="78" t="n">
        <f aca="false">RATIO_ANALYSIS!R76</f>
        <v>67.3370410077727</v>
      </c>
      <c r="BB100" s="78" t="n">
        <f aca="false">RATIO_ANALYSIS!S76</f>
        <v>36.1089517794243</v>
      </c>
      <c r="BC100" s="78" t="n">
        <f aca="false">RATIO_ANALYSIS!T76</f>
        <v>12.7456</v>
      </c>
      <c r="BD100" s="78" t="n">
        <f aca="false">RATIO_ANALYSIS!U76</f>
        <v>13.1522490658034</v>
      </c>
      <c r="BE100" s="78" t="n">
        <f aca="false">RATIO_ANALYSIS!V76</f>
        <v>16.2547439492527</v>
      </c>
      <c r="BF100" s="78" t="n">
        <f aca="false">RATIO_ANALYSIS!W76</f>
        <v>15.2963405491519</v>
      </c>
      <c r="BG100" s="79" t="n">
        <f aca="false">RATIO_ANALYSIS!X76</f>
        <v>9.78562763405012</v>
      </c>
    </row>
    <row r="102" customFormat="false" ht="15" hidden="false" customHeight="true" outlineLevel="0" collapsed="false">
      <c r="AZ102" s="62" t="s">
        <v>299</v>
      </c>
      <c r="BA102" s="62"/>
      <c r="BB102" s="62"/>
      <c r="BC102" s="62"/>
      <c r="BD102" s="62"/>
      <c r="BE102" s="62"/>
      <c r="BF102" s="62"/>
      <c r="BG102" s="62"/>
    </row>
    <row r="103" customFormat="false" ht="15" hidden="false" customHeight="false" outlineLevel="0" collapsed="false">
      <c r="AZ103" s="64" t="s">
        <v>30</v>
      </c>
      <c r="BA103" s="65" t="s">
        <v>31</v>
      </c>
      <c r="BB103" s="65" t="s">
        <v>32</v>
      </c>
      <c r="BC103" s="65" t="s">
        <v>33</v>
      </c>
      <c r="BD103" s="65" t="s">
        <v>34</v>
      </c>
      <c r="BE103" s="65" t="s">
        <v>35</v>
      </c>
      <c r="BF103" s="65" t="s">
        <v>36</v>
      </c>
      <c r="BG103" s="66" t="s">
        <v>37</v>
      </c>
    </row>
    <row r="104" customFormat="false" ht="15" hidden="false" customHeight="false" outlineLevel="0" collapsed="false">
      <c r="AZ104" s="77" t="n">
        <f aca="false">RATIO_ANALYSIS!Q82</f>
        <v>2.79176590791083</v>
      </c>
      <c r="BA104" s="78" t="n">
        <f aca="false">RATIO_ANALYSIS!R82</f>
        <v>2.6718689347492</v>
      </c>
      <c r="BB104" s="78" t="n">
        <f aca="false">RATIO_ANALYSIS!S82</f>
        <v>2.17864628372932</v>
      </c>
      <c r="BC104" s="78" t="n">
        <f aca="false">RATIO_ANALYSIS!T82</f>
        <v>2.81219110378913</v>
      </c>
      <c r="BD104" s="78" t="n">
        <f aca="false">RATIO_ANALYSIS!U82</f>
        <v>4.7799702240459</v>
      </c>
      <c r="BE104" s="78" t="n">
        <f aca="false">RATIO_ANALYSIS!V82</f>
        <v>5.10109873210075</v>
      </c>
      <c r="BF104" s="78" t="n">
        <f aca="false">RATIO_ANALYSIS!W82</f>
        <v>3.56862777249423</v>
      </c>
      <c r="BG104" s="79" t="n">
        <f aca="false">RATIO_ANALYSIS!X82</f>
        <v>2.81654273410322</v>
      </c>
    </row>
    <row r="106" customFormat="false" ht="15" hidden="false" customHeight="true" outlineLevel="0" collapsed="false">
      <c r="AZ106" s="62" t="s">
        <v>302</v>
      </c>
      <c r="BA106" s="62"/>
      <c r="BB106" s="62"/>
      <c r="BC106" s="62"/>
      <c r="BD106" s="62"/>
      <c r="BE106" s="62"/>
      <c r="BF106" s="62"/>
      <c r="BG106" s="62"/>
    </row>
    <row r="107" customFormat="false" ht="15" hidden="false" customHeight="false" outlineLevel="0" collapsed="false">
      <c r="AZ107" s="64" t="s">
        <v>30</v>
      </c>
      <c r="BA107" s="65" t="s">
        <v>31</v>
      </c>
      <c r="BB107" s="65" t="s">
        <v>32</v>
      </c>
      <c r="BC107" s="65" t="s">
        <v>33</v>
      </c>
      <c r="BD107" s="65" t="s">
        <v>34</v>
      </c>
      <c r="BE107" s="65" t="s">
        <v>35</v>
      </c>
      <c r="BF107" s="65" t="s">
        <v>36</v>
      </c>
      <c r="BG107" s="66" t="s">
        <v>37</v>
      </c>
    </row>
    <row r="108" customFormat="false" ht="15" hidden="false" customHeight="false" outlineLevel="0" collapsed="false">
      <c r="AZ108" s="77" t="n">
        <f aca="false">RATIO_ANALYSIS!Q88</f>
        <v>1.66421818878723</v>
      </c>
      <c r="BA108" s="78" t="n">
        <f aca="false">RATIO_ANALYSIS!R88</f>
        <v>1.01182938505729</v>
      </c>
      <c r="BB108" s="78" t="n">
        <f aca="false">RATIO_ANALYSIS!S88</f>
        <v>0.898009817132794</v>
      </c>
      <c r="BC108" s="78" t="n">
        <f aca="false">RATIO_ANALYSIS!T88</f>
        <v>0.716784182330308</v>
      </c>
      <c r="BD108" s="78" t="n">
        <f aca="false">RATIO_ANALYSIS!U88</f>
        <v>1.95179582408624</v>
      </c>
      <c r="BE108" s="78" t="n">
        <f aca="false">RATIO_ANALYSIS!V88</f>
        <v>2.05953052054315</v>
      </c>
      <c r="BF108" s="78" t="n">
        <f aca="false">RATIO_ANALYSIS!W88</f>
        <v>1.72042368112237</v>
      </c>
      <c r="BG108" s="79" t="n">
        <f aca="false">RATIO_ANALYSIS!X88</f>
        <v>2.09775942849191</v>
      </c>
    </row>
  </sheetData>
  <mergeCells count="49">
    <mergeCell ref="A1:BG1"/>
    <mergeCell ref="A2:BG2"/>
    <mergeCell ref="Q33:X33"/>
    <mergeCell ref="AP35:AW35"/>
    <mergeCell ref="B38:I38"/>
    <mergeCell ref="L38:S38"/>
    <mergeCell ref="V38:AC38"/>
    <mergeCell ref="AF38:AM38"/>
    <mergeCell ref="AP39:AW39"/>
    <mergeCell ref="B42:I42"/>
    <mergeCell ref="L42:S42"/>
    <mergeCell ref="AF42:AM42"/>
    <mergeCell ref="AP43:AW43"/>
    <mergeCell ref="B46:I46"/>
    <mergeCell ref="L46:S46"/>
    <mergeCell ref="AF46:AM46"/>
    <mergeCell ref="AP47:AW47"/>
    <mergeCell ref="B50:I50"/>
    <mergeCell ref="L50:S50"/>
    <mergeCell ref="AF50:AM50"/>
    <mergeCell ref="AP51:AW51"/>
    <mergeCell ref="B54:I54"/>
    <mergeCell ref="L54:S54"/>
    <mergeCell ref="AF54:AM54"/>
    <mergeCell ref="B62:I62"/>
    <mergeCell ref="L62:S62"/>
    <mergeCell ref="B66:I66"/>
    <mergeCell ref="L66:S66"/>
    <mergeCell ref="B70:I70"/>
    <mergeCell ref="L70:S70"/>
    <mergeCell ref="B74:I74"/>
    <mergeCell ref="L74:S74"/>
    <mergeCell ref="B78:I78"/>
    <mergeCell ref="L78:S78"/>
    <mergeCell ref="AA85:AH85"/>
    <mergeCell ref="B90:I90"/>
    <mergeCell ref="L90:S90"/>
    <mergeCell ref="V90:AC90"/>
    <mergeCell ref="AF90:AM90"/>
    <mergeCell ref="AP90:AW90"/>
    <mergeCell ref="AZ90:BG90"/>
    <mergeCell ref="V94:AC94"/>
    <mergeCell ref="AF94:AM94"/>
    <mergeCell ref="AZ94:BG94"/>
    <mergeCell ref="V98:AC98"/>
    <mergeCell ref="AF98:AM98"/>
    <mergeCell ref="AZ98:BG98"/>
    <mergeCell ref="AZ102:BG102"/>
    <mergeCell ref="AZ106:BG106"/>
  </mergeCells>
  <conditionalFormatting sqref="C29:J29">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conditionalFormatting sqref="B40:I40">
    <cfRule type="colorScale" priority="4">
      <colorScale>
        <cfvo type="min" val="0"/>
        <cfvo type="max" val="0"/>
        <color rgb="FFFFFFFF"/>
        <color rgb="FF8EA9DB"/>
      </colorScale>
    </cfRule>
  </conditionalFormatting>
  <conditionalFormatting sqref="L40:S40">
    <cfRule type="colorScale" priority="5">
      <colorScale>
        <cfvo type="min" val="0"/>
        <cfvo type="max" val="0"/>
        <color rgb="FFFFFFFF"/>
        <color rgb="FF8EA9DB"/>
      </colorScale>
    </cfRule>
  </conditionalFormatting>
  <conditionalFormatting sqref="B44:I44">
    <cfRule type="colorScale" priority="6">
      <colorScale>
        <cfvo type="min" val="0"/>
        <cfvo type="max" val="0"/>
        <color rgb="FFFFFFFF"/>
        <color rgb="FF8EA9DB"/>
      </colorScale>
    </cfRule>
  </conditionalFormatting>
  <conditionalFormatting sqref="L44:S44">
    <cfRule type="colorScale" priority="7">
      <colorScale>
        <cfvo type="min" val="0"/>
        <cfvo type="max" val="0"/>
        <color rgb="FFFFFFFF"/>
        <color rgb="FF8EA9DB"/>
      </colorScale>
    </cfRule>
  </conditionalFormatting>
  <conditionalFormatting sqref="B48:I48">
    <cfRule type="colorScale" priority="8">
      <colorScale>
        <cfvo type="min" val="0"/>
        <cfvo type="max" val="0"/>
        <color rgb="FFFFFFFF"/>
        <color rgb="FF8EA9DB"/>
      </colorScale>
    </cfRule>
  </conditionalFormatting>
  <conditionalFormatting sqref="L48:S48">
    <cfRule type="colorScale" priority="9">
      <colorScale>
        <cfvo type="min" val="0"/>
        <cfvo type="max" val="0"/>
        <color rgb="FFFFFFFF"/>
        <color rgb="FF8EA9DB"/>
      </colorScale>
    </cfRule>
  </conditionalFormatting>
  <conditionalFormatting sqref="B52:I52">
    <cfRule type="colorScale" priority="10">
      <colorScale>
        <cfvo type="min" val="0"/>
        <cfvo type="max" val="0"/>
        <color rgb="FFFFFFFF"/>
        <color rgb="FF8EA9DB"/>
      </colorScale>
    </cfRule>
  </conditionalFormatting>
  <conditionalFormatting sqref="L52:S52">
    <cfRule type="colorScale" priority="11">
      <colorScale>
        <cfvo type="min" val="0"/>
        <cfvo type="max" val="0"/>
        <color rgb="FFFFFFFF"/>
        <color rgb="FF8EA9DB"/>
      </colorScale>
    </cfRule>
  </conditionalFormatting>
  <conditionalFormatting sqref="L56:S56">
    <cfRule type="colorScale" priority="12">
      <colorScale>
        <cfvo type="min" val="0"/>
        <cfvo type="max" val="0"/>
        <color rgb="FFFFFFFF"/>
        <color rgb="FF8EA9DB"/>
      </colorScale>
    </cfRule>
  </conditionalFormatting>
  <conditionalFormatting sqref="B56:I56">
    <cfRule type="colorScale" priority="13">
      <colorScale>
        <cfvo type="min" val="0"/>
        <cfvo type="max" val="0"/>
        <color rgb="FFFFFFFF"/>
        <color rgb="FF8EA9DB"/>
      </colorScale>
    </cfRule>
  </conditionalFormatting>
  <conditionalFormatting sqref="V40:AC40">
    <cfRule type="colorScale" priority="14">
      <colorScale>
        <cfvo type="min" val="0"/>
        <cfvo type="max" val="0"/>
        <color rgb="FFFFFFFF"/>
        <color rgb="FF8EA9DB"/>
      </colorScale>
    </cfRule>
  </conditionalFormatting>
  <conditionalFormatting sqref="AF40:AM40">
    <cfRule type="colorScale" priority="15">
      <colorScale>
        <cfvo type="min" val="0"/>
        <cfvo type="max" val="0"/>
        <color rgb="FFFFFFFF"/>
        <color rgb="FF8EA9DB"/>
      </colorScale>
    </cfRule>
  </conditionalFormatting>
  <conditionalFormatting sqref="AF44:AM44">
    <cfRule type="colorScale" priority="16">
      <colorScale>
        <cfvo type="min" val="0"/>
        <cfvo type="max" val="0"/>
        <color rgb="FFFFFFFF"/>
        <color rgb="FF8EA9DB"/>
      </colorScale>
    </cfRule>
  </conditionalFormatting>
  <conditionalFormatting sqref="AF48:AM48">
    <cfRule type="colorScale" priority="17">
      <colorScale>
        <cfvo type="min" val="0"/>
        <cfvo type="max" val="0"/>
        <color rgb="FFFFFFFF"/>
        <color rgb="FF8EA9DB"/>
      </colorScale>
    </cfRule>
  </conditionalFormatting>
  <conditionalFormatting sqref="AF52:AM52">
    <cfRule type="colorScale" priority="18">
      <colorScale>
        <cfvo type="min" val="0"/>
        <cfvo type="max" val="0"/>
        <color rgb="FFFFFFFF"/>
        <color rgb="FF8EA9DB"/>
      </colorScale>
    </cfRule>
  </conditionalFormatting>
  <conditionalFormatting sqref="AF56:AM56">
    <cfRule type="colorScale" priority="19">
      <colorScale>
        <cfvo type="min" val="0"/>
        <cfvo type="max" val="0"/>
        <color rgb="FFFFFFFF"/>
        <color rgb="FF8EA9DB"/>
      </colorScale>
    </cfRule>
  </conditionalFormatting>
  <conditionalFormatting sqref="Q35:X35">
    <cfRule type="colorScale" priority="20">
      <colorScale>
        <cfvo type="min" val="0"/>
        <cfvo type="max" val="0"/>
        <color rgb="FFFFFFFF"/>
        <color rgb="FF8EA9DB"/>
      </colorScale>
    </cfRule>
  </conditionalFormatting>
  <conditionalFormatting sqref="AP37:AW37">
    <cfRule type="colorScale" priority="21">
      <colorScale>
        <cfvo type="min" val="0"/>
        <cfvo type="max" val="0"/>
        <color rgb="FFFFFFFF"/>
        <color rgb="FF8EA9DB"/>
      </colorScale>
    </cfRule>
  </conditionalFormatting>
  <conditionalFormatting sqref="AP41:AW41">
    <cfRule type="colorScale" priority="22">
      <colorScale>
        <cfvo type="min" val="0"/>
        <cfvo type="max" val="0"/>
        <color rgb="FFFFFFFF"/>
        <color rgb="FF8EA9DB"/>
      </colorScale>
    </cfRule>
  </conditionalFormatting>
  <conditionalFormatting sqref="AP45:AW45">
    <cfRule type="colorScale" priority="23">
      <colorScale>
        <cfvo type="min" val="0"/>
        <cfvo type="max" val="0"/>
        <color rgb="FFFFFFFF"/>
        <color rgb="FF8EA9DB"/>
      </colorScale>
    </cfRule>
  </conditionalFormatting>
  <conditionalFormatting sqref="AP49:AW49">
    <cfRule type="colorScale" priority="24">
      <colorScale>
        <cfvo type="min" val="0"/>
        <cfvo type="max" val="0"/>
        <color rgb="FFFFFFFF"/>
        <color rgb="FF8EA9DB"/>
      </colorScale>
    </cfRule>
  </conditionalFormatting>
  <conditionalFormatting sqref="AP53:AW53">
    <cfRule type="colorScale" priority="25">
      <colorScale>
        <cfvo type="min" val="0"/>
        <cfvo type="max" val="0"/>
        <color rgb="FFFFFFFF"/>
        <color rgb="FF8EA9DB"/>
      </colorScale>
    </cfRule>
  </conditionalFormatting>
  <conditionalFormatting sqref="B64:I64">
    <cfRule type="colorScale" priority="26">
      <colorScale>
        <cfvo type="min" val="0"/>
        <cfvo type="max" val="0"/>
        <color rgb="FFFFFFFF"/>
        <color rgb="FF8EA9DB"/>
      </colorScale>
    </cfRule>
  </conditionalFormatting>
  <conditionalFormatting sqref="B68:I68">
    <cfRule type="colorScale" priority="27">
      <colorScale>
        <cfvo type="min" val="0"/>
        <cfvo type="max" val="0"/>
        <color rgb="FFFFFFFF"/>
        <color rgb="FF8EA9DB"/>
      </colorScale>
    </cfRule>
  </conditionalFormatting>
  <conditionalFormatting sqref="B72:I72">
    <cfRule type="colorScale" priority="28">
      <colorScale>
        <cfvo type="min" val="0"/>
        <cfvo type="max" val="0"/>
        <color rgb="FFFFFFFF"/>
        <color rgb="FF8EA9DB"/>
      </colorScale>
    </cfRule>
  </conditionalFormatting>
  <conditionalFormatting sqref="B76:I76">
    <cfRule type="colorScale" priority="29">
      <colorScale>
        <cfvo type="min" val="0"/>
        <cfvo type="max" val="0"/>
        <color rgb="FFFFFFFF"/>
        <color rgb="FF8EA9DB"/>
      </colorScale>
    </cfRule>
  </conditionalFormatting>
  <conditionalFormatting sqref="B80:I80">
    <cfRule type="colorScale" priority="30">
      <colorScale>
        <cfvo type="min" val="0"/>
        <cfvo type="max" val="0"/>
        <color rgb="FFFFFFFF"/>
        <color rgb="FF8EA9DB"/>
      </colorScale>
    </cfRule>
  </conditionalFormatting>
  <conditionalFormatting sqref="L64:S64">
    <cfRule type="colorScale" priority="31">
      <colorScale>
        <cfvo type="min" val="0"/>
        <cfvo type="max" val="0"/>
        <color rgb="FFFFFFFF"/>
        <color rgb="FF8EA9DB"/>
      </colorScale>
    </cfRule>
  </conditionalFormatting>
  <conditionalFormatting sqref="L68:S68">
    <cfRule type="colorScale" priority="32">
      <colorScale>
        <cfvo type="min" val="0"/>
        <cfvo type="max" val="0"/>
        <color rgb="FFFFFFFF"/>
        <color rgb="FF8EA9DB"/>
      </colorScale>
    </cfRule>
  </conditionalFormatting>
  <conditionalFormatting sqref="L72:S72">
    <cfRule type="colorScale" priority="33">
      <colorScale>
        <cfvo type="min" val="0"/>
        <cfvo type="max" val="0"/>
        <color rgb="FFFFFFFF"/>
        <color rgb="FF8EA9DB"/>
      </colorScale>
    </cfRule>
  </conditionalFormatting>
  <conditionalFormatting sqref="L76:S76">
    <cfRule type="colorScale" priority="34">
      <colorScale>
        <cfvo type="min" val="0"/>
        <cfvo type="max" val="0"/>
        <color rgb="FFFFFFFF"/>
        <color rgb="FF8EA9DB"/>
      </colorScale>
    </cfRule>
  </conditionalFormatting>
  <conditionalFormatting sqref="L80:S80">
    <cfRule type="colorScale" priority="35">
      <colorScale>
        <cfvo type="min" val="0"/>
        <cfvo type="max" val="0"/>
        <color rgb="FFFFFFFF"/>
        <color rgb="FF8EA9DB"/>
      </colorScale>
    </cfRule>
  </conditionalFormatting>
  <conditionalFormatting sqref="B92:I92">
    <cfRule type="colorScale" priority="36">
      <colorScale>
        <cfvo type="min" val="0"/>
        <cfvo type="max" val="0"/>
        <color rgb="FFFFFFFF"/>
        <color rgb="FF8EA9DB"/>
      </colorScale>
    </cfRule>
  </conditionalFormatting>
  <conditionalFormatting sqref="L92:S92">
    <cfRule type="colorScale" priority="37">
      <colorScale>
        <cfvo type="min" val="0"/>
        <cfvo type="max" val="0"/>
        <color rgb="FFFFFFFF"/>
        <color rgb="FF8EA9DB"/>
      </colorScale>
    </cfRule>
  </conditionalFormatting>
  <conditionalFormatting sqref="V92:AC92">
    <cfRule type="colorScale" priority="38">
      <colorScale>
        <cfvo type="min" val="0"/>
        <cfvo type="max" val="0"/>
        <color rgb="FFFFFFFF"/>
        <color rgb="FF8EA9DB"/>
      </colorScale>
    </cfRule>
  </conditionalFormatting>
  <conditionalFormatting sqref="AF92:AM92">
    <cfRule type="colorScale" priority="39">
      <colorScale>
        <cfvo type="min" val="0"/>
        <cfvo type="max" val="0"/>
        <color rgb="FFFFFFFF"/>
        <color rgb="FF8EA9DB"/>
      </colorScale>
    </cfRule>
  </conditionalFormatting>
  <conditionalFormatting sqref="V96:AC96">
    <cfRule type="colorScale" priority="40">
      <colorScale>
        <cfvo type="min" val="0"/>
        <cfvo type="max" val="0"/>
        <color rgb="FFFFFFFF"/>
        <color rgb="FF8EA9DB"/>
      </colorScale>
    </cfRule>
  </conditionalFormatting>
  <conditionalFormatting sqref="AF96:AM96">
    <cfRule type="colorScale" priority="41">
      <colorScale>
        <cfvo type="min" val="0"/>
        <cfvo type="max" val="0"/>
        <color rgb="FFFFFFFF"/>
        <color rgb="FF8EA9DB"/>
      </colorScale>
    </cfRule>
  </conditionalFormatting>
  <conditionalFormatting sqref="AF100:AM100">
    <cfRule type="colorScale" priority="42">
      <colorScale>
        <cfvo type="min" val="0"/>
        <cfvo type="max" val="0"/>
        <color rgb="FFFFFFFF"/>
        <color rgb="FF8EA9DB"/>
      </colorScale>
    </cfRule>
  </conditionalFormatting>
  <conditionalFormatting sqref="V100:AC100">
    <cfRule type="colorScale" priority="43">
      <colorScale>
        <cfvo type="min" val="0"/>
        <cfvo type="max" val="0"/>
        <color rgb="FFFFFFFF"/>
        <color rgb="FF8EA9DB"/>
      </colorScale>
    </cfRule>
  </conditionalFormatting>
  <conditionalFormatting sqref="AP92:AW92">
    <cfRule type="colorScale" priority="44">
      <colorScale>
        <cfvo type="min" val="0"/>
        <cfvo type="max" val="0"/>
        <color rgb="FFFFFFFF"/>
        <color rgb="FF8EA9DB"/>
      </colorScale>
    </cfRule>
  </conditionalFormatting>
  <conditionalFormatting sqref="AZ92:BG92">
    <cfRule type="colorScale" priority="45">
      <colorScale>
        <cfvo type="min" val="0"/>
        <cfvo type="max" val="0"/>
        <color rgb="FFFFFFFF"/>
        <color rgb="FF8EA9DB"/>
      </colorScale>
    </cfRule>
  </conditionalFormatting>
  <conditionalFormatting sqref="AZ96:BG96">
    <cfRule type="colorScale" priority="46">
      <colorScale>
        <cfvo type="min" val="0"/>
        <cfvo type="max" val="0"/>
        <color rgb="FFFFFFFF"/>
        <color rgb="FF8EA9DB"/>
      </colorScale>
    </cfRule>
  </conditionalFormatting>
  <conditionalFormatting sqref="AZ100:BG100">
    <cfRule type="colorScale" priority="47">
      <colorScale>
        <cfvo type="min" val="0"/>
        <cfvo type="max" val="0"/>
        <color rgb="FFFFFFFF"/>
        <color rgb="FF8EA9DB"/>
      </colorScale>
    </cfRule>
  </conditionalFormatting>
  <conditionalFormatting sqref="AZ104:BG104">
    <cfRule type="colorScale" priority="48">
      <colorScale>
        <cfvo type="min" val="0"/>
        <cfvo type="max" val="0"/>
        <color rgb="FFFFFFFF"/>
        <color rgb="FF8EA9DB"/>
      </colorScale>
    </cfRule>
  </conditionalFormatting>
  <conditionalFormatting sqref="AZ108:BG108">
    <cfRule type="colorScale" priority="49">
      <colorScale>
        <cfvo type="min" val="0"/>
        <cfvo type="max" val="0"/>
        <color rgb="FFFFFFFF"/>
        <color rgb="FF8EA9DB"/>
      </colorScale>
    </cfRule>
  </conditionalFormatting>
  <conditionalFormatting sqref="AA87:AH87">
    <cfRule type="colorScale" priority="50">
      <colorScale>
        <cfvo type="min" val="0"/>
        <cfvo type="max" val="0"/>
        <color rgb="FFFFFFFF"/>
        <color rgb="FF8EA9D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5" hidden="false" customHeight="false" outlineLevel="0" collapsed="false">
      <c r="B1" s="12" t="s">
        <v>364</v>
      </c>
      <c r="C1" s="12" t="s">
        <v>29</v>
      </c>
      <c r="D1" s="12" t="s">
        <v>30</v>
      </c>
      <c r="E1" s="12" t="s">
        <v>31</v>
      </c>
      <c r="F1" s="12" t="s">
        <v>32</v>
      </c>
      <c r="G1" s="12" t="s">
        <v>33</v>
      </c>
      <c r="H1" s="12" t="s">
        <v>34</v>
      </c>
      <c r="I1" s="12" t="s">
        <v>35</v>
      </c>
      <c r="J1" s="12" t="s">
        <v>36</v>
      </c>
      <c r="K1" s="12" t="s">
        <v>37</v>
      </c>
      <c r="L1" s="12" t="s">
        <v>38</v>
      </c>
      <c r="M1" s="12" t="s">
        <v>39</v>
      </c>
      <c r="N1" s="12" t="s">
        <v>40</v>
      </c>
      <c r="O1" s="12" t="s">
        <v>41</v>
      </c>
      <c r="P1" s="12" t="s">
        <v>42</v>
      </c>
      <c r="Q1" s="12" t="s">
        <v>43</v>
      </c>
      <c r="R1" s="12" t="s">
        <v>44</v>
      </c>
      <c r="S1" s="12" t="s">
        <v>45</v>
      </c>
      <c r="T1" s="12" t="s">
        <v>46</v>
      </c>
      <c r="U1" s="12" t="s">
        <v>47</v>
      </c>
    </row>
    <row r="2" customFormat="false" ht="17.35" hidden="false" customHeight="false" outlineLevel="0" collapsed="false">
      <c r="A2" s="0" t="s">
        <v>26</v>
      </c>
      <c r="B2" s="81" t="s">
        <v>365</v>
      </c>
    </row>
    <row r="5" customFormat="false" ht="15" hidden="false" customHeight="false" outlineLevel="0" collapsed="false">
      <c r="B5" s="82" t="s">
        <v>366</v>
      </c>
      <c r="C5" s="83" t="n">
        <f aca="false">IFERROR(INDEX(HS_CONSOLIDATED!D:D,MATCH("RevenueFromSaleOfProducts",HS_CONSOLIDATED!$C:$C,0)),0)</f>
        <v>111422000000</v>
      </c>
      <c r="D5" s="83" t="n">
        <f aca="false">IFERROR(INDEX(HS_CONSOLIDATED!E:E,MATCH("RevenueFromSaleOfProducts",HS_CONSOLIDATED!$C:$C,0)),0)</f>
        <v>66371900000</v>
      </c>
      <c r="E5" s="83" t="n">
        <f aca="false">IFERROR(INDEX(HS_CONSOLIDATED!F:F,MATCH("RevenueFromSaleOfProducts",HS_CONSOLIDATED!$C:$C,0)),0)</f>
        <v>49784600000</v>
      </c>
      <c r="F5" s="83" t="n">
        <f aca="false">IFERROR(INDEX(HS_CONSOLIDATED!G:G,MATCH("RevenueFromSaleOfProducts",HS_CONSOLIDATED!$C:$C,0)),0)</f>
        <v>10153800000</v>
      </c>
      <c r="G5" s="83" t="n">
        <f aca="false">IFERROR(INDEX(HS_CONSOLIDATED!H:H,MATCH("RevenueFromSaleOfProducts",HS_CONSOLIDATED!$C:$C,0)),0)</f>
        <v>14746800000</v>
      </c>
      <c r="H5" s="83" t="n">
        <f aca="false">IFERROR(INDEX(HS_CONSOLIDATED!I:I,MATCH("RevenueFromSaleOfProducts",HS_CONSOLIDATED!$C:$C,0)),0)</f>
        <v>42100500000</v>
      </c>
      <c r="I5" s="83" t="n">
        <f aca="false">IFERROR(INDEX(HS_CONSOLIDATED!J:J,MATCH("RevenueFromSaleOfProducts",HS_CONSOLIDATED!$C:$C,0)),0)</f>
        <v>41240400000</v>
      </c>
      <c r="J5" s="83" t="n">
        <f aca="false">IFERROR(INDEX(HS_CONSOLIDATED!K:K,MATCH("RevenueFromSaleOfProducts",HS_CONSOLIDATED!$C:$C,0)),0)</f>
        <v>60041100000</v>
      </c>
      <c r="K5" s="83" t="n">
        <f aca="false">IFERROR(INDEX(HS_CONSOLIDATED!L:L,MATCH("RevenueFromSaleOfProducts",HS_CONSOLIDATED!$C:$C,0)),0)</f>
        <v>103573800000</v>
      </c>
      <c r="L5" s="84" t="n">
        <f aca="false">K5*(1+'Inputs &amp; Assumptions'!C18)</f>
        <v>136434619695.877</v>
      </c>
      <c r="M5" s="84" t="n">
        <f aca="false">L5*(1+'Inputs &amp; Assumptions'!D18)</f>
        <v>175742819505.189</v>
      </c>
      <c r="N5" s="84" t="n">
        <f aca="false">M5*(1+'Inputs &amp; Assumptions'!E18)</f>
        <v>221810642305.537</v>
      </c>
      <c r="O5" s="84" t="n">
        <f aca="false">N5*(1+'Inputs &amp; Assumptions'!F18)</f>
        <v>274820759020.531</v>
      </c>
      <c r="P5" s="84" t="n">
        <f aca="false">O5*(1+'Inputs &amp; Assumptions'!G18)</f>
        <v>334833177784.775</v>
      </c>
      <c r="Q5" s="84" t="n">
        <f aca="false">P5*(1+'Inputs &amp; Assumptions'!H18)</f>
        <v>401799813341.73</v>
      </c>
      <c r="R5" s="84" t="n">
        <f aca="false">Q5*(1+'Inputs &amp; Assumptions'!I18)</f>
        <v>475584244807.093</v>
      </c>
      <c r="S5" s="84" t="n">
        <f aca="false">R5*(1+'Inputs &amp; Assumptions'!J18)</f>
        <v>555984176835.419</v>
      </c>
      <c r="T5" s="84" t="n">
        <f aca="false">S5*(1+'Inputs &amp; Assumptions'!K18)</f>
        <v>642754412928.102</v>
      </c>
      <c r="U5" s="84" t="n">
        <f aca="false">T5*(1+'Inputs &amp; Assumptions'!L18)</f>
        <v>735628619681.577</v>
      </c>
    </row>
    <row r="6" customFormat="false" ht="15" hidden="false" customHeight="false" outlineLevel="0" collapsed="false">
      <c r="B6" s="82" t="s">
        <v>367</v>
      </c>
      <c r="C6" s="83" t="n">
        <f aca="false">IFERROR(INDEX(HS_CONSOLIDATED!D:D,MATCH("RevenueFromSaleOfServices",HS_CONSOLIDATED!$C:$C,0)),0)</f>
        <v>15503300000</v>
      </c>
      <c r="D6" s="83" t="n">
        <f aca="false">IFERROR(INDEX(HS_CONSOLIDATED!E:E,MATCH("RevenueFromSaleOfServices",HS_CONSOLIDATED!$C:$C,0)),0)</f>
        <v>16550600000</v>
      </c>
      <c r="E6" s="83" t="n">
        <f aca="false">IFERROR(INDEX(HS_CONSOLIDATED!F:F,MATCH("RevenueFromSaleOfServices",HS_CONSOLIDATED!$C:$C,0)),0)</f>
        <v>0</v>
      </c>
      <c r="F6" s="83" t="n">
        <f aca="false">IFERROR(INDEX(HS_CONSOLIDATED!G:G,MATCH("RevenueFromSaleOfServices",HS_CONSOLIDATED!$C:$C,0)),0)</f>
        <v>19178200000</v>
      </c>
      <c r="G6" s="83" t="n">
        <f aca="false">IFERROR(INDEX(HS_CONSOLIDATED!H:H,MATCH("RevenueFromSaleOfServices",HS_CONSOLIDATED!$C:$C,0)),0)</f>
        <v>18199700000</v>
      </c>
      <c r="H6" s="83" t="n">
        <f aca="false">IFERROR(INDEX(HS_CONSOLIDATED!I:I,MATCH("RevenueFromSaleOfServices",HS_CONSOLIDATED!$C:$C,0)),0)</f>
        <v>23099000000</v>
      </c>
      <c r="I6" s="83" t="n">
        <f aca="false">IFERROR(INDEX(HS_CONSOLIDATED!J:J,MATCH("RevenueFromSaleOfServices",HS_CONSOLIDATED!$C:$C,0)),0)</f>
        <v>18228000000</v>
      </c>
      <c r="J6" s="83" t="n">
        <f aca="false">IFERROR(INDEX(HS_CONSOLIDATED!K:K,MATCH("RevenueFromSaleOfServices",HS_CONSOLIDATED!$C:$C,0)),0)</f>
        <v>4927300000</v>
      </c>
      <c r="K6" s="83" t="n">
        <f aca="false">IFERROR(INDEX(HS_CONSOLIDATED!L:L,MATCH("RevenueFromSaleOfServices",HS_CONSOLIDATED!$C:$C,0)),0)</f>
        <v>4939400000</v>
      </c>
      <c r="L6" s="84" t="n">
        <f aca="false">K6*(1+'Inputs &amp; Assumptions'!C26)</f>
        <v>6506521538.51472</v>
      </c>
      <c r="M6" s="84" t="n">
        <f aca="false">L6*(1+'Inputs &amp; Assumptions'!D26)</f>
        <v>8381116485.67425</v>
      </c>
      <c r="N6" s="84" t="n">
        <f aca="false">M6*(1+'Inputs &amp; Assumptions'!E26)</f>
        <v>10578075600.2384</v>
      </c>
      <c r="O6" s="84" t="n">
        <f aca="false">N6*(1+'Inputs &amp; Assumptions'!F26)</f>
        <v>13106110397.6682</v>
      </c>
      <c r="P6" s="84" t="n">
        <f aca="false">O6*(1+'Inputs &amp; Assumptions'!G26)</f>
        <v>15968082645.9019</v>
      </c>
      <c r="Q6" s="84" t="n">
        <f aca="false">P6*(1+'Inputs &amp; Assumptions'!H26)</f>
        <v>19161699175.0823</v>
      </c>
      <c r="R6" s="84" t="n">
        <f aca="false">Q6*(1+'Inputs &amp; Assumptions'!I26)</f>
        <v>22680454118.7072</v>
      </c>
      <c r="S6" s="84" t="n">
        <f aca="false">R6*(1+'Inputs &amp; Assumptions'!J26)</f>
        <v>26514700079.179</v>
      </c>
      <c r="T6" s="84" t="n">
        <f aca="false">S6*(1+'Inputs &amp; Assumptions'!K26)</f>
        <v>30652743717.2052</v>
      </c>
      <c r="U6" s="84" t="n">
        <f aca="false">T6*(1+'Inputs &amp; Assumptions'!L26)</f>
        <v>35081883681.5409</v>
      </c>
    </row>
    <row r="7" customFormat="false" ht="15" hidden="false" customHeight="false" outlineLevel="0" collapsed="false">
      <c r="B7" s="82" t="s">
        <v>368</v>
      </c>
      <c r="C7" s="83" t="n">
        <f aca="false">IFERROR(INDEX(HS_CONSOLIDATED!D:D,MATCH("OtherOperatingRevenues",HS_CONSOLIDATED!$C:$C,0)),0)</f>
        <v>218400000</v>
      </c>
      <c r="D7" s="83" t="n">
        <f aca="false">IFERROR(INDEX(HS_CONSOLIDATED!E:E,MATCH("OtherOperatingRevenues",HS_CONSOLIDATED!$C:$C,0)),0)</f>
        <v>415900000</v>
      </c>
      <c r="E7" s="83" t="n">
        <f aca="false">IFERROR(INDEX(HS_CONSOLIDATED!F:F,MATCH("OtherOperatingRevenues",HS_CONSOLIDATED!$C:$C,0)),0)</f>
        <v>462300000</v>
      </c>
      <c r="F7" s="83" t="n">
        <f aca="false">IFERROR(INDEX(HS_CONSOLIDATED!G:G,MATCH("OtherOperatingRevenues",HS_CONSOLIDATED!$C:$C,0)),0)</f>
        <v>396500000</v>
      </c>
      <c r="G7" s="83" t="n">
        <f aca="false">IFERROR(INDEX(HS_CONSOLIDATED!H:H,MATCH("OtherOperatingRevenues",HS_CONSOLIDATED!$C:$C,0)),0)</f>
        <v>510700000</v>
      </c>
      <c r="H7" s="83" t="n">
        <f aca="false">IFERROR(INDEX(HS_CONSOLIDATED!I:I,MATCH("OtherOperatingRevenues",HS_CONSOLIDATED!$C:$C,0)),0)</f>
        <v>618300000</v>
      </c>
      <c r="I7" s="83" t="n">
        <f aca="false">IFERROR(INDEX(HS_CONSOLIDATED!J:J,MATCH("OtherOperatingRevenues",HS_CONSOLIDATED!$C:$C,0)),0)</f>
        <v>236900000</v>
      </c>
      <c r="J7" s="83" t="n">
        <f aca="false">IFERROR(INDEX(HS_CONSOLIDATED!K:K,MATCH("OtherOperatingRevenues",HS_CONSOLIDATED!$C:$C,0)),0)</f>
        <v>322500000</v>
      </c>
      <c r="K7" s="83" t="n">
        <f aca="false">IFERROR(INDEX(HS_CONSOLIDATED!L:L,MATCH("OtherOperatingRevenues",HS_CONSOLIDATED!$C:$C,0)),0)</f>
        <v>384200000</v>
      </c>
      <c r="L7" s="84" t="n">
        <f aca="false">(L5+L6)*IF('Inputs &amp; Assumptions'!C24="",'Inputs &amp; Assumptions'!C23,'Inputs &amp; Assumptions'!C24)</f>
        <v>592507522.622534</v>
      </c>
      <c r="M7" s="84" t="n">
        <f aca="false">(M5+M6)*IF('Inputs &amp; Assumptions'!D24="",'Inputs &amp; Assumptions'!D23,'Inputs &amp; Assumptions'!D24)</f>
        <v>763214958.460173</v>
      </c>
      <c r="N7" s="84" t="n">
        <f aca="false">(N5+N6)*IF('Inputs &amp; Assumptions'!E24="",'Inputs &amp; Assumptions'!E23,'Inputs &amp; Assumptions'!E24)</f>
        <v>963278048.17224</v>
      </c>
      <c r="O7" s="84" t="n">
        <f aca="false">(O5+O6)*IF('Inputs &amp; Assumptions'!F24="",'Inputs &amp; Assumptions'!F23,'Inputs &amp; Assumptions'!F24)</f>
        <v>1193490094.04993</v>
      </c>
      <c r="P7" s="84" t="n">
        <f aca="false">(P5+P6)*IF('Inputs &amp; Assumptions'!G24="",'Inputs &amp; Assumptions'!G23,'Inputs &amp; Assumptions'!G24)</f>
        <v>1454111699.09306</v>
      </c>
      <c r="Q7" s="84" t="n">
        <f aca="false">(Q5+Q6)*IF('Inputs &amp; Assumptions'!H24="",'Inputs &amp; Assumptions'!H23,'Inputs &amp; Assumptions'!H24)</f>
        <v>1744934038.91167</v>
      </c>
      <c r="R7" s="84" t="n">
        <f aca="false">(R5+R6)*IF('Inputs &amp; Assumptions'!I24="",'Inputs &amp; Assumptions'!I23,'Inputs &amp; Assumptions'!I24)</f>
        <v>2065364665.63314</v>
      </c>
      <c r="S7" s="84" t="n">
        <f aca="false">(S5+S6)*IF('Inputs &amp; Assumptions'!J24="",'Inputs &amp; Assumptions'!J23,'Inputs &amp; Assumptions'!J24)</f>
        <v>2414525052.13409</v>
      </c>
      <c r="T7" s="84" t="n">
        <f aca="false">(T5+T6)*IF('Inputs &amp; Assumptions'!K24="",'Inputs &amp; Assumptions'!K23,'Inputs &amp; Assumptions'!K24)</f>
        <v>2791350360.39712</v>
      </c>
      <c r="U7" s="84" t="n">
        <f aca="false">(U5+U6)*IF('Inputs &amp; Assumptions'!L24="",'Inputs &amp; Assumptions'!L23,'Inputs &amp; Assumptions'!L24)</f>
        <v>3194683959.16917</v>
      </c>
    </row>
    <row r="8" customFormat="false" ht="15" hidden="false" customHeight="false" outlineLevel="0" collapsed="false">
      <c r="B8" s="85" t="s">
        <v>369</v>
      </c>
      <c r="C8" s="86" t="n">
        <f aca="false">C5+C6+C7</f>
        <v>127143700000</v>
      </c>
      <c r="D8" s="86" t="n">
        <f aca="false">D5+D6+D7</f>
        <v>83338400000</v>
      </c>
      <c r="E8" s="86" t="n">
        <f aca="false">E5+E6+E7</f>
        <v>50246900000</v>
      </c>
      <c r="F8" s="86" t="n">
        <f aca="false">F5+F6+F7</f>
        <v>29728500000</v>
      </c>
      <c r="G8" s="86" t="n">
        <f aca="false">G5+G6+G7</f>
        <v>33457200000</v>
      </c>
      <c r="H8" s="86" t="n">
        <f aca="false">H5+H6+H7</f>
        <v>65817800000</v>
      </c>
      <c r="I8" s="86" t="n">
        <f aca="false">I5+I6+I7</f>
        <v>59705300000</v>
      </c>
      <c r="J8" s="86" t="n">
        <f aca="false">J5+J6+J7</f>
        <v>65290900000</v>
      </c>
      <c r="K8" s="86" t="n">
        <f aca="false">K5+K6+K7</f>
        <v>108897400000</v>
      </c>
      <c r="L8" s="86" t="n">
        <f aca="false">L5+L6+L7</f>
        <v>143533648757.014</v>
      </c>
      <c r="M8" s="86" t="n">
        <f aca="false">M5+M6+M7</f>
        <v>184887150949.323</v>
      </c>
      <c r="N8" s="86" t="n">
        <f aca="false">N5+N6+N7</f>
        <v>233351995953.947</v>
      </c>
      <c r="O8" s="86" t="n">
        <f aca="false">O5+O6+O7</f>
        <v>289120359512.249</v>
      </c>
      <c r="P8" s="86" t="n">
        <f aca="false">P5+P6+P7</f>
        <v>352255372129.77</v>
      </c>
      <c r="Q8" s="86" t="n">
        <f aca="false">Q5+Q6+Q7</f>
        <v>422706446555.725</v>
      </c>
      <c r="R8" s="86" t="n">
        <f aca="false">R5+R6+R7</f>
        <v>500330063591.434</v>
      </c>
      <c r="S8" s="86" t="n">
        <f aca="false">S5+S6+S7</f>
        <v>584913401966.732</v>
      </c>
      <c r="T8" s="86" t="n">
        <f aca="false">T5+T6+T7</f>
        <v>676198507005.704</v>
      </c>
      <c r="U8" s="86" t="n">
        <f aca="false">U5+U6+U7</f>
        <v>773905187322.287</v>
      </c>
    </row>
    <row r="9" customFormat="false" ht="15" hidden="false" customHeight="false" outlineLevel="0" collapsed="false">
      <c r="B9" s="87" t="s">
        <v>370</v>
      </c>
      <c r="C9" s="88" t="n">
        <f aca="false">C8-IFERROR(INDEX(HS_CONSOLIDATED!D:D,MATCH("RevenueFromOperations",HS_CONSOLIDATED!$C:$C,0)),0)</f>
        <v>0</v>
      </c>
      <c r="D9" s="88" t="n">
        <f aca="false">D8-IFERROR(INDEX(HS_CONSOLIDATED!E:E,MATCH("RevenueFromOperations",HS_CONSOLIDATED!$C:$C,0)),0)</f>
        <v>0</v>
      </c>
      <c r="E9" s="88" t="n">
        <f aca="false">E8-IFERROR(INDEX(HS_CONSOLIDATED!F:F,MATCH("RevenueFromOperations",HS_CONSOLIDATED!$C:$C,0)),0)</f>
        <v>0</v>
      </c>
      <c r="F9" s="88" t="n">
        <f aca="false">F8-IFERROR(INDEX(HS_CONSOLIDATED!G:G,MATCH("RevenueFromOperations",HS_CONSOLIDATED!$C:$C,0)),0)</f>
        <v>0</v>
      </c>
      <c r="G9" s="88" t="n">
        <f aca="false">G8-IFERROR(INDEX(HS_CONSOLIDATED!H:H,MATCH("RevenueFromOperations",HS_CONSOLIDATED!$C:$C,0)),0)</f>
        <v>0</v>
      </c>
      <c r="H9" s="88" t="n">
        <f aca="false">H8-IFERROR(INDEX(HS_CONSOLIDATED!I:I,MATCH("RevenueFromOperations",HS_CONSOLIDATED!$C:$C,0)),0)</f>
        <v>0</v>
      </c>
      <c r="I9" s="88" t="n">
        <f aca="false">I8-IFERROR(INDEX(HS_CONSOLIDATED!J:J,MATCH("RevenueFromOperations",HS_CONSOLIDATED!$C:$C,0)),0)</f>
        <v>0</v>
      </c>
      <c r="J9" s="88" t="n">
        <f aca="false">J8-IFERROR(INDEX(HS_CONSOLIDATED!K:K,MATCH("RevenueFromOperations",HS_CONSOLIDATED!$C:$C,0)),0)</f>
        <v>0</v>
      </c>
      <c r="K9" s="88" t="n">
        <f aca="false">K8-IFERROR(INDEX(HS_CONSOLIDATED!L:L,MATCH("RevenueFromOperations",HS_CONSOLIDATED!$C:$C,0)),0)</f>
        <v>0</v>
      </c>
    </row>
    <row r="12" customFormat="false" ht="15" hidden="false" customHeight="false" outlineLevel="0" collapsed="false">
      <c r="B12" s="54" t="s">
        <v>371</v>
      </c>
      <c r="C12" s="89" t="n">
        <v>1</v>
      </c>
      <c r="D12" s="89" t="n">
        <v>2</v>
      </c>
      <c r="E12" s="89" t="n">
        <v>3</v>
      </c>
      <c r="F12" s="89" t="n">
        <v>4</v>
      </c>
      <c r="G12" s="89" t="n">
        <v>5</v>
      </c>
      <c r="H12" s="89" t="n">
        <v>6</v>
      </c>
      <c r="I12" s="89" t="n">
        <v>7</v>
      </c>
      <c r="J12" s="89" t="n">
        <v>8</v>
      </c>
      <c r="K12" s="89" t="n">
        <v>9</v>
      </c>
    </row>
    <row r="13" customFormat="false" ht="15" hidden="false" customHeight="false" outlineLevel="0" collapsed="false">
      <c r="B13" s="54" t="s">
        <v>372</v>
      </c>
      <c r="C13" s="89" t="n">
        <f aca="false">IFERROR(LN(C5),"")</f>
        <v>25.4365906314767</v>
      </c>
      <c r="D13" s="89" t="n">
        <f aca="false">IFERROR(LN(D5),"")</f>
        <v>24.9185396110864</v>
      </c>
      <c r="E13" s="89" t="n">
        <f aca="false">IFERROR(LN(E5),"")</f>
        <v>24.6309715362056</v>
      </c>
      <c r="F13" s="89" t="n">
        <f aca="false">IFERROR(LN(F5),"")</f>
        <v>23.0411138566064</v>
      </c>
      <c r="G13" s="89" t="n">
        <f aca="false">IFERROR(LN(G5),"")</f>
        <v>23.4142919470428</v>
      </c>
      <c r="H13" s="89" t="n">
        <f aca="false">IFERROR(LN(H5),"")</f>
        <v>24.4633254540488</v>
      </c>
      <c r="I13" s="89" t="n">
        <f aca="false">IFERROR(LN(I5),"")</f>
        <v>24.4426841953692</v>
      </c>
      <c r="J13" s="89" t="n">
        <f aca="false">IFERROR(LN(J5),"")</f>
        <v>24.8182951646631</v>
      </c>
      <c r="K13" s="89" t="n">
        <f aca="false">IFERROR(LN(K5),"")</f>
        <v>25.3635502390354</v>
      </c>
    </row>
    <row r="14" customFormat="false" ht="15" hidden="false" customHeight="false" outlineLevel="0" collapsed="false">
      <c r="B14" s="54" t="s">
        <v>373</v>
      </c>
      <c r="C14" s="89" t="n">
        <f aca="false">IFERROR(LN(C8),"")</f>
        <v>25.5685837798088</v>
      </c>
      <c r="D14" s="89" t="n">
        <f aca="false">IFERROR(LN(D8),"")</f>
        <v>25.1461752642923</v>
      </c>
      <c r="E14" s="89" t="n">
        <f aca="false">IFERROR(LN(E8),"")</f>
        <v>24.6402146904403</v>
      </c>
      <c r="F14" s="89" t="n">
        <f aca="false">IFERROR(LN(F8),"")</f>
        <v>24.1153720185968</v>
      </c>
      <c r="G14" s="89" t="n">
        <f aca="false">IFERROR(LN(G8),"")</f>
        <v>24.2335328469952</v>
      </c>
      <c r="H14" s="89" t="n">
        <f aca="false">IFERROR(LN(H8),"")</f>
        <v>24.910156155412</v>
      </c>
      <c r="I14" s="89" t="n">
        <f aca="false">IFERROR(LN(I8),"")</f>
        <v>24.8126866306239</v>
      </c>
      <c r="J14" s="89" t="n">
        <f aca="false">IFERROR(LN(J8),"")</f>
        <v>24.902118506703</v>
      </c>
      <c r="K14" s="89" t="n">
        <f aca="false">IFERROR(LN(K8),"")</f>
        <v>25.4136719914855</v>
      </c>
    </row>
    <row r="15" customFormat="false" ht="15" hidden="false" customHeight="false" outlineLevel="0" collapsed="false">
      <c r="B15" s="54" t="s">
        <v>374</v>
      </c>
      <c r="D15" s="16" t="n">
        <f aca="false">IFERROR(D8/C8-1,"")</f>
        <v>-0.344533783427728</v>
      </c>
      <c r="E15" s="16" t="n">
        <f aca="false">IFERROR(E8/D8-1,"")</f>
        <v>-0.397073857909439</v>
      </c>
      <c r="F15" s="16" t="n">
        <f aca="false">IFERROR(F8/E8-1,"")</f>
        <v>-0.408351559996736</v>
      </c>
      <c r="G15" s="16" t="n">
        <f aca="false">IFERROR(G8/F8-1,"")</f>
        <v>0.125425097129018</v>
      </c>
      <c r="H15" s="16" t="n">
        <f aca="false">IFERROR(H8/G8-1,"")</f>
        <v>0.967223796372679</v>
      </c>
      <c r="I15" s="16" t="n">
        <f aca="false">IFERROR(I8/H8-1,"")</f>
        <v>-0.0928700138868209</v>
      </c>
      <c r="J15" s="16" t="n">
        <f aca="false">IFERROR(J8/I8-1,"")</f>
        <v>0.0935528336680329</v>
      </c>
      <c r="K15" s="16" t="n">
        <f aca="false">IFERROR(K8/J8-1,"")</f>
        <v>0.667880209952689</v>
      </c>
    </row>
    <row r="16" customFormat="false" ht="15" hidden="false" customHeight="false" outlineLevel="0" collapsed="false">
      <c r="B16" s="54" t="s">
        <v>375</v>
      </c>
      <c r="C16" s="16" t="n">
        <f aca="false">QUARTILE(Schedules!D15:K15,1)</f>
        <v>-0.357668802048156</v>
      </c>
      <c r="D16" s="16" t="n">
        <f aca="false">QUARTILE(Schedules!D15:K15,3)</f>
        <v>0.261038875334935</v>
      </c>
      <c r="E16" s="16" t="n">
        <f aca="false">D16-C16</f>
        <v>0.618707677383091</v>
      </c>
      <c r="F16" s="16" t="n">
        <f aca="false">C16-1.5*E16</f>
        <v>-1.28573031812279</v>
      </c>
      <c r="G16" s="16" t="n">
        <f aca="false">D16+1.5*E16</f>
        <v>1.18910039140957</v>
      </c>
    </row>
    <row r="17" customFormat="false" ht="15" hidden="false" customHeight="false" outlineLevel="0" collapsed="false">
      <c r="B17" s="54" t="s">
        <v>376</v>
      </c>
      <c r="C17" s="89" t="n">
        <v>1</v>
      </c>
      <c r="D17" s="89" t="n">
        <f aca="false">IF(IF('Inputs &amp; Assumptions'!$C$8="",'Inputs &amp; Assumptions'!$C$7,'Inputs &amp; Assumptions'!$C$8)=0,1,IF(AND(D15&lt;&gt;"",D15&gt;=$F$16,D15&lt;=$G$16),1,0))</f>
        <v>1</v>
      </c>
      <c r="E17" s="89" t="n">
        <f aca="false">IF(IF('Inputs &amp; Assumptions'!$C$8="",'Inputs &amp; Assumptions'!$C$7,'Inputs &amp; Assumptions'!$C$8)=0,1,IF(AND(E15&lt;&gt;"",E15&gt;=$F$16,E15&lt;=$G$16),1,0))</f>
        <v>1</v>
      </c>
      <c r="F17" s="89" t="n">
        <f aca="false">IF(IF('Inputs &amp; Assumptions'!$C$8="",'Inputs &amp; Assumptions'!$C$7,'Inputs &amp; Assumptions'!$C$8)=0,1,IF(AND(F15&lt;&gt;"",F15&gt;=$F$16,F15&lt;=$G$16),1,0))</f>
        <v>1</v>
      </c>
      <c r="G17" s="89" t="n">
        <f aca="false">IF(IF('Inputs &amp; Assumptions'!$C$8="",'Inputs &amp; Assumptions'!$C$7,'Inputs &amp; Assumptions'!$C$8)=0,1,IF(AND(G15&lt;&gt;"",G15&gt;=$F$16,G15&lt;=$G$16),1,0))</f>
        <v>1</v>
      </c>
      <c r="H17" s="89" t="n">
        <f aca="false">IF(IF('Inputs &amp; Assumptions'!$C$8="",'Inputs &amp; Assumptions'!$C$7,'Inputs &amp; Assumptions'!$C$8)=0,1,IF(AND(H15&lt;&gt;"",H15&gt;=$F$16,H15&lt;=$G$16),1,0))</f>
        <v>1</v>
      </c>
      <c r="I17" s="89" t="n">
        <f aca="false">IF(IF('Inputs &amp; Assumptions'!$C$8="",'Inputs &amp; Assumptions'!$C$7,'Inputs &amp; Assumptions'!$C$8)=0,1,IF(AND(I15&lt;&gt;"",I15&gt;=$F$16,I15&lt;=$G$16),1,0))</f>
        <v>1</v>
      </c>
      <c r="J17" s="89" t="n">
        <f aca="false">IF(IF('Inputs &amp; Assumptions'!$C$8="",'Inputs &amp; Assumptions'!$C$7,'Inputs &amp; Assumptions'!$C$8)=0,1,IF(AND(J15&lt;&gt;"",J15&gt;=$F$16,J15&lt;=$G$16),1,0))</f>
        <v>1</v>
      </c>
      <c r="K17" s="89" t="n">
        <f aca="false">IF(IF('Inputs &amp; Assumptions'!$C$8="",'Inputs &amp; Assumptions'!$C$7,'Inputs &amp; Assumptions'!$C$8)=0,1,IF(AND(K15&lt;&gt;"",K15&gt;=$F$16,K15&lt;=$G$16),1,0))</f>
        <v>1</v>
      </c>
    </row>
    <row r="18" customFormat="false" ht="15" hidden="false" customHeight="false" outlineLevel="0" collapsed="false">
      <c r="B18" s="54" t="s">
        <v>377</v>
      </c>
      <c r="C18" s="89" t="n">
        <f aca="false">IF(C17=1,IFERROR(LN(C8),""),"")</f>
        <v>25.5685837798088</v>
      </c>
      <c r="D18" s="89" t="n">
        <f aca="false">IF(D17=1,IFERROR(LN(D8),""),"")</f>
        <v>25.1461752642923</v>
      </c>
      <c r="E18" s="89" t="n">
        <f aca="false">IF(E17=1,IFERROR(LN(E8),""),"")</f>
        <v>24.6402146904403</v>
      </c>
      <c r="F18" s="89" t="n">
        <f aca="false">IF(F17=1,IFERROR(LN(F8),""),"")</f>
        <v>24.1153720185968</v>
      </c>
      <c r="G18" s="89" t="n">
        <f aca="false">IF(G17=1,IFERROR(LN(G8),""),"")</f>
        <v>24.2335328469952</v>
      </c>
      <c r="H18" s="89" t="n">
        <f aca="false">IF(H17=1,IFERROR(LN(H8),""),"")</f>
        <v>24.910156155412</v>
      </c>
      <c r="I18" s="89" t="n">
        <f aca="false">IF(I17=1,IFERROR(LN(I8),""),"")</f>
        <v>24.8126866306239</v>
      </c>
      <c r="J18" s="89" t="n">
        <f aca="false">IF(J17=1,IFERROR(LN(J8),""),"")</f>
        <v>24.902118506703</v>
      </c>
      <c r="K18" s="89" t="n">
        <f aca="false">IF(K17=1,IFERROR(LN(K8),""),"")</f>
        <v>25.4136719914855</v>
      </c>
    </row>
    <row r="20" customFormat="false" ht="30" hidden="false" customHeight="true" outlineLevel="0" collapsed="false">
      <c r="B20" s="90" t="str">
        <f aca="false">IF(IF('Inputs &amp; Assumptions'!$C$8="",'Inputs &amp; Assumptions'!$C$7,'Inputs &amp; Assumptions'!$C$8)=0,"",IF(_xlfn.TEXTJOIN(", ",TRUE(),IF(C17=0,"FY2017",""),IF(D17=0,"FY2018",""),IF(E17=0,"FY2019",""),IF(F17=0,"FY2020",""),IF(G17=0,"FY2021",""),IF(H17=0,"FY2022",""),IF(I17=0,"FY2023",""),IF(J17=0,"FY2024",""),IF(K17=0,"FY2025",""))="","","⚠ Years excluded from the Terminal Growth Rate / PP&amp;E Additions Growth trend as statistical anomalies (outside the IQR fence on YoY growth): "&amp;_xlfn.TEXTJOIN(", ",TRUE(),IF(C17=0,"FY2017",""),IF(D17=0,"FY2018",""),IF(E17=0,"FY2019",""),IF(F17=0,"FY2020",""),IF(G17=0,"FY2021",""),IF(H17=0,"FY2022",""),IF(I17=0,"FY2023",""),IF(J17=0,"FY2024",""),IF(K17=0,"FY2025",""))))</f>
        <v/>
      </c>
    </row>
    <row r="22" customFormat="false" ht="30" hidden="false" customHeight="true" outlineLevel="0" collapsed="false">
      <c r="B22" s="90" t="str">
        <f aca="false">IF('Inputs &amp; Assumptions'!$C$12&lt;0,"⚠ Terminal Growth Rate is negative even after outlier-filtering ("&amp;TEXT('Inputs &amp; Assumptions'!$C$12,"0.00%")&amp;"). This can be a legitimate result for a company in genuine structural decline (a negative stable growth rate is not automatically an error) -- confirm this is a considered call, not a leftover artifact, before relying on the DCF.","")</f>
        <v>⚠ Terminal Growth Rate is negative even after outlier-filtering (-0.35%). This can be a legitimate result for a company in genuine structural decline (a negative stable growth rate is not automatically an error) -- confirm this is a considered call, not a leftover artifact, before relying on the DCF.</v>
      </c>
    </row>
    <row r="24" customFormat="false" ht="15" hidden="false" customHeight="false" outlineLevel="0" collapsed="false">
      <c r="B24" s="54" t="s">
        <v>378</v>
      </c>
      <c r="C24" s="91" t="n">
        <f aca="false">IFERROR(C7/C8,0)</f>
        <v>0.00171774142171417</v>
      </c>
      <c r="D24" s="91" t="n">
        <f aca="false">IFERROR(D7/D8,0)</f>
        <v>0.00499049657780807</v>
      </c>
      <c r="E24" s="91" t="n">
        <f aca="false">IFERROR(E7/E8,0)</f>
        <v>0.009200567597205</v>
      </c>
      <c r="F24" s="91" t="n">
        <f aca="false">IFERROR(F7/F8,0)</f>
        <v>0.0133373698639353</v>
      </c>
      <c r="G24" s="91" t="n">
        <f aca="false">IFERROR(G7/G8,0)</f>
        <v>0.0152642779431632</v>
      </c>
      <c r="H24" s="91" t="n">
        <f aca="false">IFERROR(H7/H8,0)</f>
        <v>0.00939411526972947</v>
      </c>
      <c r="I24" s="91" t="n">
        <f aca="false">IFERROR(I7/I8,0)</f>
        <v>0.003967821952155</v>
      </c>
      <c r="J24" s="91" t="n">
        <f aca="false">IFERROR(J7/J8,0)</f>
        <v>0.00493943260086781</v>
      </c>
      <c r="K24" s="91" t="n">
        <f aca="false">IFERROR(K7/K8,0)</f>
        <v>0.0035280915797806</v>
      </c>
    </row>
    <row r="25" customFormat="false" ht="15" hidden="false" customHeight="false" outlineLevel="0" collapsed="false">
      <c r="B25" s="54" t="s">
        <v>379</v>
      </c>
      <c r="C25" s="89" t="n">
        <f aca="false">IFERROR(LN(C6),"")</f>
        <v>23.4643187414367</v>
      </c>
      <c r="D25" s="89" t="n">
        <f aca="false">IFERROR(LN(D6),"")</f>
        <v>23.5296881918888</v>
      </c>
      <c r="E25" s="89" t="str">
        <f aca="false">IFERROR(LN(E6),"")</f>
        <v/>
      </c>
      <c r="F25" s="89" t="n">
        <f aca="false">IFERROR(LN(F6),"")</f>
        <v>23.6770400542396</v>
      </c>
      <c r="G25" s="89" t="n">
        <f aca="false">IFERROR(LN(G6),"")</f>
        <v>23.6246709473768</v>
      </c>
      <c r="H25" s="89" t="n">
        <f aca="false">IFERROR(LN(H6),"")</f>
        <v>23.8630551634938</v>
      </c>
      <c r="I25" s="89" t="n">
        <f aca="false">IFERROR(LN(I6),"")</f>
        <v>23.626224710348</v>
      </c>
      <c r="J25" s="89" t="n">
        <f aca="false">IFERROR(LN(J6),"")</f>
        <v>22.3180570076337</v>
      </c>
      <c r="K25" s="89" t="n">
        <f aca="false">IFERROR(LN(K6),"")</f>
        <v>22.3205097032798</v>
      </c>
    </row>
    <row r="28" customFormat="false" ht="17.35" hidden="false" customHeight="false" outlineLevel="0" collapsed="false">
      <c r="A28" s="0" t="s">
        <v>26</v>
      </c>
      <c r="B28" s="81" t="s">
        <v>380</v>
      </c>
    </row>
    <row r="31" customFormat="false" ht="15" hidden="false" customHeight="false" outlineLevel="0" collapsed="false">
      <c r="B31" s="82" t="s">
        <v>381</v>
      </c>
      <c r="C31" s="83" t="n">
        <f aca="false">C8</f>
        <v>127143700000</v>
      </c>
      <c r="D31" s="83" t="n">
        <f aca="false">D8</f>
        <v>83338400000</v>
      </c>
      <c r="E31" s="83" t="n">
        <f aca="false">E8</f>
        <v>50246900000</v>
      </c>
      <c r="F31" s="83" t="n">
        <f aca="false">F8</f>
        <v>29728500000</v>
      </c>
      <c r="G31" s="83" t="n">
        <f aca="false">G8</f>
        <v>33457200000</v>
      </c>
      <c r="H31" s="83" t="n">
        <f aca="false">H8</f>
        <v>65817800000</v>
      </c>
      <c r="I31" s="83" t="n">
        <f aca="false">I8</f>
        <v>59705300000</v>
      </c>
      <c r="J31" s="83" t="n">
        <f aca="false">J8</f>
        <v>65290900000</v>
      </c>
      <c r="K31" s="83" t="n">
        <f aca="false">K8</f>
        <v>108897400000</v>
      </c>
      <c r="L31" s="84" t="n">
        <f aca="false">L8</f>
        <v>143533648757.014</v>
      </c>
      <c r="M31" s="84" t="n">
        <f aca="false">M8</f>
        <v>184887150949.323</v>
      </c>
      <c r="N31" s="84" t="n">
        <f aca="false">N8</f>
        <v>233351995953.947</v>
      </c>
      <c r="O31" s="84" t="n">
        <f aca="false">O8</f>
        <v>289120359512.249</v>
      </c>
      <c r="P31" s="84" t="n">
        <f aca="false">P8</f>
        <v>352255372129.77</v>
      </c>
      <c r="Q31" s="84" t="n">
        <f aca="false">Q8</f>
        <v>422706446555.725</v>
      </c>
      <c r="R31" s="84" t="n">
        <f aca="false">R8</f>
        <v>500330063591.434</v>
      </c>
      <c r="S31" s="84" t="n">
        <f aca="false">S8</f>
        <v>584913401966.732</v>
      </c>
      <c r="T31" s="84" t="n">
        <f aca="false">T8</f>
        <v>676198507005.704</v>
      </c>
      <c r="U31" s="84" t="n">
        <f aca="false">U8</f>
        <v>773905187322.287</v>
      </c>
    </row>
    <row r="32" customFormat="false" ht="15" hidden="false" customHeight="false" outlineLevel="0" collapsed="false">
      <c r="B32" s="82" t="s">
        <v>382</v>
      </c>
      <c r="C32" s="83" t="n">
        <f aca="false">-((IFERROR(INDEX(HS_CONSOLIDATED!D:D,MATCH("CostOfMaterialsConsumed",HS_CONSOLIDATED!$C:$C,0)),0))+(IFERROR(INDEX(HS_CONSOLIDATED!D:D,MATCH("PurchasesOfStockInTrade",HS_CONSOLIDATED!$C:$C,0)),0))+(IFERROR(INDEX(HS_CONSOLIDATED!D:D,MATCH("ChangesInInventoriesOfFinishedGoodsWorkInProgressAndStockInTrade",HS_CONSOLIDATED!$C:$C,0)),0)))</f>
        <v>-75428900000</v>
      </c>
      <c r="D32" s="83" t="n">
        <f aca="false">-((IFERROR(INDEX(HS_CONSOLIDATED!E:E,MATCH("CostOfMaterialsConsumed",HS_CONSOLIDATED!$C:$C,0)),0))+(IFERROR(INDEX(HS_CONSOLIDATED!E:E,MATCH("PurchasesOfStockInTrade",HS_CONSOLIDATED!$C:$C,0)),0))+(IFERROR(INDEX(HS_CONSOLIDATED!E:E,MATCH("ChangesInInventoriesOfFinishedGoodsWorkInProgressAndStockInTrade",HS_CONSOLIDATED!$C:$C,0)),0)))</f>
        <v>-51157100000</v>
      </c>
      <c r="E32" s="83" t="n">
        <f aca="false">-((IFERROR(INDEX(HS_CONSOLIDATED!F:F,MATCH("CostOfMaterialsConsumed",HS_CONSOLIDATED!$C:$C,0)),0))+(IFERROR(INDEX(HS_CONSOLIDATED!F:F,MATCH("PurchasesOfStockInTrade",HS_CONSOLIDATED!$C:$C,0)),0))+(IFERROR(INDEX(HS_CONSOLIDATED!F:F,MATCH("ChangesInInventoriesOfFinishedGoodsWorkInProgressAndStockInTrade",HS_CONSOLIDATED!$C:$C,0)),0)))</f>
        <v>-29983500000</v>
      </c>
      <c r="F32" s="83" t="n">
        <f aca="false">-((IFERROR(INDEX(HS_CONSOLIDATED!G:G,MATCH("CostOfMaterialsConsumed",HS_CONSOLIDATED!$C:$C,0)),0))+(IFERROR(INDEX(HS_CONSOLIDATED!G:G,MATCH("PurchasesOfStockInTrade",HS_CONSOLIDATED!$C:$C,0)),0))+(IFERROR(INDEX(HS_CONSOLIDATED!G:G,MATCH("ChangesInInventoriesOfFinishedGoodsWorkInProgressAndStockInTrade",HS_CONSOLIDATED!$C:$C,0)),0)))</f>
        <v>-18735100000</v>
      </c>
      <c r="G32" s="83" t="n">
        <f aca="false">-((IFERROR(INDEX(HS_CONSOLIDATED!H:H,MATCH("CostOfMaterialsConsumed",HS_CONSOLIDATED!$C:$C,0)),0))+(IFERROR(INDEX(HS_CONSOLIDATED!H:H,MATCH("PurchasesOfStockInTrade",HS_CONSOLIDATED!$C:$C,0)),0))+(IFERROR(INDEX(HS_CONSOLIDATED!H:H,MATCH("ChangesInInventoriesOfFinishedGoodsWorkInProgressAndStockInTrade",HS_CONSOLIDATED!$C:$C,0)),0)))</f>
        <v>-15772700000</v>
      </c>
      <c r="H32" s="83" t="n">
        <f aca="false">-((IFERROR(INDEX(HS_CONSOLIDATED!I:I,MATCH("CostOfMaterialsConsumed",HS_CONSOLIDATED!$C:$C,0)),0))+(IFERROR(INDEX(HS_CONSOLIDATED!I:I,MATCH("PurchasesOfStockInTrade",HS_CONSOLIDATED!$C:$C,0)),0))+(IFERROR(INDEX(HS_CONSOLIDATED!I:I,MATCH("ChangesInInventoriesOfFinishedGoodsWorkInProgressAndStockInTrade",HS_CONSOLIDATED!$C:$C,0)),0)))</f>
        <v>-43315600000</v>
      </c>
      <c r="I32" s="83" t="n">
        <f aca="false">-((IFERROR(INDEX(HS_CONSOLIDATED!J:J,MATCH("CostOfMaterialsConsumed",HS_CONSOLIDATED!$C:$C,0)),0))+(IFERROR(INDEX(HS_CONSOLIDATED!J:J,MATCH("PurchasesOfStockInTrade",HS_CONSOLIDATED!$C:$C,0)),0))+(IFERROR(INDEX(HS_CONSOLIDATED!J:J,MATCH("ChangesInInventoriesOfFinishedGoodsWorkInProgressAndStockInTrade",HS_CONSOLIDATED!$C:$C,0)),0)))</f>
        <v>-37826600000</v>
      </c>
      <c r="J32" s="83" t="n">
        <f aca="false">-((IFERROR(INDEX(HS_CONSOLIDATED!K:K,MATCH("CostOfMaterialsConsumed",HS_CONSOLIDATED!$C:$C,0)),0))+(IFERROR(INDEX(HS_CONSOLIDATED!K:K,MATCH("PurchasesOfStockInTrade",HS_CONSOLIDATED!$C:$C,0)),0))+(IFERROR(INDEX(HS_CONSOLIDATED!K:K,MATCH("ChangesInInventoriesOfFinishedGoodsWorkInProgressAndStockInTrade",HS_CONSOLIDATED!$C:$C,0)),0)))</f>
        <v>-39821300000</v>
      </c>
      <c r="K32" s="83" t="n">
        <f aca="false">-((IFERROR(INDEX(HS_CONSOLIDATED!L:L,MATCH("CostOfMaterialsConsumed",HS_CONSOLIDATED!$C:$C,0)),0))+(IFERROR(INDEX(HS_CONSOLIDATED!L:L,MATCH("PurchasesOfStockInTrade",HS_CONSOLIDATED!$C:$C,0)),0))+(IFERROR(INDEX(HS_CONSOLIDATED!L:L,MATCH("ChangesInInventoriesOfFinishedGoodsWorkInProgressAndStockInTrade",HS_CONSOLIDATED!$C:$C,0)),0)))</f>
        <v>-68866000000</v>
      </c>
      <c r="L32" s="84" t="n">
        <f aca="false">L31*IF('Inputs &amp; Assumptions'!C32="",'Inputs &amp; Assumptions'!C31,'Inputs &amp; Assumptions'!C32)</f>
        <v>-89749408555.5172</v>
      </c>
      <c r="M32" s="84" t="n">
        <f aca="false">M31*IF('Inputs &amp; Assumptions'!D32="",'Inputs &amp; Assumptions'!D31,'Inputs &amp; Assumptions'!D32)</f>
        <v>-115607124816.476</v>
      </c>
      <c r="N32" s="84" t="n">
        <f aca="false">N31*IF('Inputs &amp; Assumptions'!E32="",'Inputs &amp; Assumptions'!E31,'Inputs &amp; Assumptions'!E32)</f>
        <v>-145911455630.663</v>
      </c>
      <c r="O32" s="84" t="n">
        <f aca="false">O31*IF('Inputs &amp; Assumptions'!F32="",'Inputs &amp; Assumptions'!F31,'Inputs &amp; Assumptions'!F32)</f>
        <v>-180782565567.677</v>
      </c>
      <c r="P32" s="84" t="n">
        <f aca="false">P31*IF('Inputs &amp; Assumptions'!G32="",'Inputs &amp; Assumptions'!G31,'Inputs &amp; Assumptions'!G32)</f>
        <v>-220259929172.918</v>
      </c>
      <c r="Q32" s="84" t="n">
        <f aca="false">Q31*IF('Inputs &amp; Assumptions'!H32="",'Inputs &amp; Assumptions'!H31,'Inputs &amp; Assumptions'!H32)</f>
        <v>-264311915007.502</v>
      </c>
      <c r="R32" s="84" t="n">
        <f aca="false">R31*IF('Inputs &amp; Assumptions'!I32="",'Inputs &amp; Assumptions'!I31,'Inputs &amp; Assumptions'!I32)</f>
        <v>-312848782698.287</v>
      </c>
      <c r="S32" s="84" t="n">
        <f aca="false">S31*IF('Inputs &amp; Assumptions'!J32="",'Inputs &amp; Assumptions'!J31,'Inputs &amp; Assumptions'!J32)</f>
        <v>-365737458340.369</v>
      </c>
      <c r="T32" s="84" t="n">
        <f aca="false">T31*IF('Inputs &amp; Assumptions'!K32="",'Inputs &amp; Assumptions'!K31,'Inputs &amp; Assumptions'!K32)</f>
        <v>-422816646796.348</v>
      </c>
      <c r="U32" s="84" t="n">
        <f aca="false">U31*IF('Inputs &amp; Assumptions'!L32="",'Inputs &amp; Assumptions'!L31,'Inputs &amp; Assumptions'!L32)</f>
        <v>-483911148652.017</v>
      </c>
    </row>
    <row r="33" customFormat="false" ht="15" hidden="false" customHeight="false" outlineLevel="0" collapsed="false">
      <c r="B33" s="54" t="s">
        <v>383</v>
      </c>
      <c r="C33" s="89" t="n">
        <f aca="false">IFERROR(C32/C31,"n/m")</f>
        <v>-0.593257078408132</v>
      </c>
      <c r="D33" s="89" t="n">
        <f aca="false">IFERROR(D32/D31,"n/m")</f>
        <v>-0.613847878049015</v>
      </c>
      <c r="E33" s="89" t="n">
        <f aca="false">IFERROR(E32/E31,"n/m")</f>
        <v>-0.596723379949808</v>
      </c>
      <c r="F33" s="89" t="n">
        <f aca="false">IFERROR(F32/F31,"n/m")</f>
        <v>-0.630206704004575</v>
      </c>
      <c r="G33" s="89" t="n">
        <f aca="false">IFERROR(G32/G31,"n/m")</f>
        <v>-0.471429169207226</v>
      </c>
      <c r="H33" s="89" t="n">
        <f aca="false">IFERROR(H32/H31,"n/m")</f>
        <v>-0.658113762538402</v>
      </c>
      <c r="I33" s="89" t="n">
        <f aca="false">IFERROR(I32/I31,"n/m")</f>
        <v>-0.633555145020626</v>
      </c>
      <c r="J33" s="89" t="n">
        <f aca="false">IFERROR(J32/J31,"n/m")</f>
        <v>-0.609905821485077</v>
      </c>
      <c r="K33" s="89" t="n">
        <f aca="false">IFERROR(K32/K31,"n/m")</f>
        <v>-0.632393427207629</v>
      </c>
    </row>
    <row r="35" customFormat="false" ht="15" hidden="false" customHeight="false" outlineLevel="0" collapsed="false">
      <c r="B35" s="82" t="s">
        <v>384</v>
      </c>
      <c r="C35" s="83" t="n">
        <f aca="false">IFERROR(INDEX(HS_CONSOLIDATED!D:D,MATCH("TradeReceivablesCurrent",HS_CONSOLIDATED!$C:$C,0)),0)</f>
        <v>36275300000</v>
      </c>
      <c r="D35" s="83" t="n">
        <f aca="false">IFERROR(INDEX(HS_CONSOLIDATED!E:E,MATCH("TradeReceivablesCurrent",HS_CONSOLIDATED!$C:$C,0)),0)</f>
        <v>29851500000</v>
      </c>
      <c r="E35" s="83" t="n">
        <f aca="false">IFERROR(INDEX(HS_CONSOLIDATED!F:F,MATCH("TradeReceivablesCurrent",HS_CONSOLIDATED!$C:$C,0)),0)</f>
        <v>18805900000</v>
      </c>
      <c r="F35" s="83" t="n">
        <f aca="false">IFERROR(INDEX(HS_CONSOLIDATED!G:G,MATCH("TradeReceivablesCurrent",HS_CONSOLIDATED!$C:$C,0)),0)</f>
        <v>13645400000</v>
      </c>
      <c r="G35" s="83" t="n">
        <f aca="false">IFERROR(INDEX(HS_CONSOLIDATED!H:H,MATCH("TradeReceivablesCurrent",HS_CONSOLIDATED!$C:$C,0)),0)</f>
        <v>11897200000</v>
      </c>
      <c r="H35" s="83" t="n">
        <f aca="false">IFERROR(INDEX(HS_CONSOLIDATED!I:I,MATCH("TradeReceivablesCurrent",HS_CONSOLIDATED!$C:$C,0)),0)</f>
        <v>13769500000</v>
      </c>
      <c r="I35" s="83" t="n">
        <f aca="false">IFERROR(INDEX(HS_CONSOLIDATED!J:J,MATCH("TradeReceivablesCurrent",HS_CONSOLIDATED!$C:$C,0)),0)</f>
        <v>11704400000</v>
      </c>
      <c r="J35" s="83" t="n">
        <f aca="false">IFERROR(INDEX(HS_CONSOLIDATED!K:K,MATCH("TradeReceivablesCurrent",HS_CONSOLIDATED!$C:$C,0)),0)</f>
        <v>18295800000</v>
      </c>
      <c r="K35" s="83" t="n">
        <f aca="false">IFERROR(INDEX(HS_CONSOLIDATED!L:L,MATCH("TradeReceivablesCurrent",HS_CONSOLIDATED!$C:$C,0)),0)</f>
        <v>38663500000</v>
      </c>
      <c r="L35" s="84" t="n">
        <f aca="false">L31/365*IF('Inputs &amp; Assumptions'!C35="",'Inputs &amp; Assumptions'!C34,'Inputs &amp; Assumptions'!C35)</f>
        <v>39773229592.0588</v>
      </c>
      <c r="M35" s="84" t="n">
        <f aca="false">M31/365*IF('Inputs &amp; Assumptions'!D35="",'Inputs &amp; Assumptions'!D34,'Inputs &amp; Assumptions'!D35)</f>
        <v>51232301045.8528</v>
      </c>
      <c r="N35" s="84" t="n">
        <f aca="false">N31/365*IF('Inputs &amp; Assumptions'!E35="",'Inputs &amp; Assumptions'!E34,'Inputs &amp; Assumptions'!E35)</f>
        <v>64661928343.7394</v>
      </c>
      <c r="O35" s="84" t="n">
        <f aca="false">O31/365*IF('Inputs &amp; Assumptions'!F35="",'Inputs &amp; Assumptions'!F34,'Inputs &amp; Assumptions'!F35)</f>
        <v>80115363457.987</v>
      </c>
      <c r="P35" s="84" t="n">
        <f aca="false">P31/365*IF('Inputs &amp; Assumptions'!G35="",'Inputs &amp; Assumptions'!G34,'Inputs &amp; Assumptions'!G35)</f>
        <v>97610099876.1017</v>
      </c>
      <c r="Q35" s="84" t="n">
        <f aca="false">Q31/365*IF('Inputs &amp; Assumptions'!H35="",'Inputs &amp; Assumptions'!H34,'Inputs &amp; Assumptions'!H35)</f>
        <v>117132119851.322</v>
      </c>
      <c r="R35" s="84" t="n">
        <f aca="false">R31/365*IF('Inputs &amp; Assumptions'!I35="",'Inputs &amp; Assumptions'!I34,'Inputs &amp; Assumptions'!I35)</f>
        <v>138641654158.179</v>
      </c>
      <c r="S35" s="84" t="n">
        <f aca="false">S31/365*IF('Inputs &amp; Assumptions'!J35="",'Inputs &amp; Assumptions'!J34,'Inputs &amp; Assumptions'!J35)</f>
        <v>162079729940.385</v>
      </c>
      <c r="T35" s="84" t="n">
        <f aca="false">T31/365*IF('Inputs &amp; Assumptions'!K35="",'Inputs &amp; Assumptions'!K34,'Inputs &amp; Assumptions'!K35)</f>
        <v>187374867857.464</v>
      </c>
      <c r="U35" s="84" t="n">
        <f aca="false">U31/365*IF('Inputs &amp; Assumptions'!L35="",'Inputs &amp; Assumptions'!L34,'Inputs &amp; Assumptions'!L35)</f>
        <v>214449426767.954</v>
      </c>
    </row>
    <row r="36" customFormat="false" ht="15" hidden="false" customHeight="false" outlineLevel="0" collapsed="false">
      <c r="B36" s="82" t="s">
        <v>385</v>
      </c>
      <c r="C36" s="83" t="n">
        <f aca="false">IFERROR(INDEX(HS_CONSOLIDATED!D:D,MATCH("Inventories",HS_CONSOLIDATED!$C:$C,0)),0)</f>
        <v>34688400000</v>
      </c>
      <c r="D36" s="83" t="n">
        <f aca="false">IFERROR(INDEX(HS_CONSOLIDATED!E:E,MATCH("Inventories",HS_CONSOLIDATED!$C:$C,0)),0)</f>
        <v>30263700000</v>
      </c>
      <c r="E36" s="83" t="n">
        <f aca="false">IFERROR(INDEX(HS_CONSOLIDATED!F:F,MATCH("Inventories",HS_CONSOLIDATED!$C:$C,0)),0)</f>
        <v>29139300000</v>
      </c>
      <c r="F36" s="83" t="n">
        <f aca="false">IFERROR(INDEX(HS_CONSOLIDATED!G:G,MATCH("Inventories",HS_CONSOLIDATED!$C:$C,0)),0)</f>
        <v>20555900000</v>
      </c>
      <c r="G36" s="83" t="n">
        <f aca="false">IFERROR(INDEX(HS_CONSOLIDATED!H:H,MATCH("Inventories",HS_CONSOLIDATED!$C:$C,0)),0)</f>
        <v>21727600000</v>
      </c>
      <c r="H36" s="83" t="n">
        <f aca="false">IFERROR(INDEX(HS_CONSOLIDATED!I:I,MATCH("Inventories",HS_CONSOLIDATED!$C:$C,0)),0)</f>
        <v>22079000000</v>
      </c>
      <c r="I36" s="83" t="n">
        <f aca="false">IFERROR(INDEX(HS_CONSOLIDATED!J:J,MATCH("Inventories",HS_CONSOLIDATED!$C:$C,0)),0)</f>
        <v>18271300000</v>
      </c>
      <c r="J36" s="83" t="n">
        <f aca="false">IFERROR(INDEX(HS_CONSOLIDATED!K:K,MATCH("Inventories",HS_CONSOLIDATED!$C:$C,0)),0)</f>
        <v>22922900000</v>
      </c>
      <c r="K36" s="83" t="n">
        <f aca="false">IFERROR(INDEX(HS_CONSOLIDATED!L:L,MATCH("Inventories",HS_CONSOLIDATED!$C:$C,0)),0)</f>
        <v>32335500000</v>
      </c>
      <c r="L36" s="84" t="n">
        <f aca="false">ABS(L32)/365*IF('Inputs &amp; Assumptions'!C38="",'Inputs &amp; Assumptions'!C37,'Inputs &amp; Assumptions'!C38)</f>
        <v>45718776714.0611</v>
      </c>
      <c r="M36" s="84" t="n">
        <f aca="false">ABS(M32)/365*IF('Inputs &amp; Assumptions'!D38="",'Inputs &amp; Assumptions'!D37,'Inputs &amp; Assumptions'!D38)</f>
        <v>58890820687.3541</v>
      </c>
      <c r="N36" s="84" t="n">
        <f aca="false">ABS(N32)/365*IF('Inputs &amp; Assumptions'!E38="",'Inputs &amp; Assumptions'!E37,'Inputs &amp; Assumptions'!E38)</f>
        <v>74327991319.0225</v>
      </c>
      <c r="O36" s="84" t="n">
        <f aca="false">ABS(O32)/365*IF('Inputs &amp; Assumptions'!F38="",'Inputs &amp; Assumptions'!F37,'Inputs &amp; Assumptions'!F38)</f>
        <v>92091501013.8596</v>
      </c>
      <c r="P36" s="84" t="n">
        <f aca="false">ABS(P32)/365*IF('Inputs &amp; Assumptions'!G38="",'Inputs &amp; Assumptions'!G37,'Inputs &amp; Assumptions'!G38)</f>
        <v>112201458293.538</v>
      </c>
      <c r="Q36" s="84" t="n">
        <f aca="false">ABS(Q32)/365*IF('Inputs &amp; Assumptions'!H38="",'Inputs &amp; Assumptions'!H37,'Inputs &amp; Assumptions'!H38)</f>
        <v>134641749952.245</v>
      </c>
      <c r="R36" s="84" t="n">
        <f aca="false">ABS(R32)/365*IF('Inputs &amp; Assumptions'!I38="",'Inputs &amp; Assumptions'!I37,'Inputs &amp; Assumptions'!I38)</f>
        <v>159366661815.952</v>
      </c>
      <c r="S36" s="84" t="n">
        <f aca="false">ABS(S32)/365*IF('Inputs &amp; Assumptions'!J38="",'Inputs &amp; Assumptions'!J37,'Inputs &amp; Assumptions'!J38)</f>
        <v>186308405402.897</v>
      </c>
      <c r="T36" s="84" t="n">
        <f aca="false">ABS(T32)/365*IF('Inputs &amp; Assumptions'!K38="",'Inputs &amp; Assumptions'!K37,'Inputs &amp; Assumptions'!K38)</f>
        <v>215384816200.908</v>
      </c>
      <c r="U36" s="84" t="n">
        <f aca="false">ABS(U32)/365*IF('Inputs &amp; Assumptions'!L38="",'Inputs &amp; Assumptions'!L37,'Inputs &amp; Assumptions'!L38)</f>
        <v>246506646792.898</v>
      </c>
    </row>
    <row r="37" customFormat="false" ht="15" hidden="false" customHeight="false" outlineLevel="0" collapsed="false">
      <c r="B37" s="82" t="s">
        <v>386</v>
      </c>
      <c r="C37" s="92" t="n">
        <f aca="false">-C32</f>
        <v>75428900000</v>
      </c>
      <c r="D37" s="92" t="n">
        <f aca="false">-D32</f>
        <v>51157100000</v>
      </c>
      <c r="E37" s="92" t="n">
        <f aca="false">-E32</f>
        <v>29983500000</v>
      </c>
      <c r="F37" s="92" t="n">
        <f aca="false">-F32</f>
        <v>18735100000</v>
      </c>
      <c r="G37" s="92" t="n">
        <f aca="false">-G32</f>
        <v>15772700000</v>
      </c>
      <c r="H37" s="92" t="n">
        <f aca="false">-H32</f>
        <v>43315600000</v>
      </c>
      <c r="I37" s="92" t="n">
        <f aca="false">-I32</f>
        <v>37826600000</v>
      </c>
      <c r="J37" s="92" t="n">
        <f aca="false">-J32</f>
        <v>39821300000</v>
      </c>
      <c r="K37" s="92" t="n">
        <f aca="false">-K32</f>
        <v>68866000000</v>
      </c>
      <c r="L37" s="84" t="n">
        <f aca="false">-L32</f>
        <v>89749408555.5172</v>
      </c>
      <c r="M37" s="84" t="n">
        <f aca="false">-M32</f>
        <v>115607124816.476</v>
      </c>
      <c r="N37" s="84" t="n">
        <f aca="false">-N32</f>
        <v>145911455630.663</v>
      </c>
      <c r="O37" s="84" t="n">
        <f aca="false">-O32</f>
        <v>180782565567.677</v>
      </c>
      <c r="P37" s="84" t="n">
        <f aca="false">-P32</f>
        <v>220259929172.918</v>
      </c>
      <c r="Q37" s="84" t="n">
        <f aca="false">-Q32</f>
        <v>264311915007.502</v>
      </c>
      <c r="R37" s="84" t="n">
        <f aca="false">-R32</f>
        <v>312848782698.287</v>
      </c>
      <c r="S37" s="84" t="n">
        <f aca="false">-S32</f>
        <v>365737458340.369</v>
      </c>
      <c r="T37" s="84" t="n">
        <f aca="false">-T32</f>
        <v>422816646796.348</v>
      </c>
      <c r="U37" s="84" t="n">
        <f aca="false">-U32</f>
        <v>483911148652.017</v>
      </c>
    </row>
    <row r="38" customFormat="false" ht="15" hidden="false" customHeight="false" outlineLevel="0" collapsed="false">
      <c r="B38" s="82" t="s">
        <v>387</v>
      </c>
      <c r="C38" s="83" t="n">
        <f aca="false">IFERROR(INDEX(HS_CONSOLIDATED!D:D,MATCH("TradePayablesCurrent",HS_CONSOLIDATED!$C:$C,0)),0)</f>
        <v>48122500000</v>
      </c>
      <c r="D38" s="83" t="n">
        <f aca="false">IFERROR(INDEX(HS_CONSOLIDATED!E:E,MATCH("TradePayablesCurrent",HS_CONSOLIDATED!$C:$C,0)),0)</f>
        <v>25266000000</v>
      </c>
      <c r="E38" s="83" t="n">
        <f aca="false">IFERROR(INDEX(HS_CONSOLIDATED!F:F,MATCH("TradePayablesCurrent",HS_CONSOLIDATED!$C:$C,0)),0)</f>
        <v>21751900000</v>
      </c>
      <c r="F38" s="83" t="n">
        <f aca="false">IFERROR(INDEX(HS_CONSOLIDATED!G:G,MATCH("TradePayablesCurrent",HS_CONSOLIDATED!$C:$C,0)),0)</f>
        <v>12981800000</v>
      </c>
      <c r="G38" s="83" t="n">
        <f aca="false">IFERROR(INDEX(HS_CONSOLIDATED!H:H,MATCH("TradePayablesCurrent",HS_CONSOLIDATED!$C:$C,0)),0)</f>
        <v>15819900000</v>
      </c>
      <c r="H38" s="83" t="n">
        <f aca="false">IFERROR(INDEX(HS_CONSOLIDATED!I:I,MATCH("TradePayablesCurrent",HS_CONSOLIDATED!$C:$C,0)),0)</f>
        <v>18404900000</v>
      </c>
      <c r="I38" s="83" t="n">
        <f aca="false">IFERROR(INDEX(HS_CONSOLIDATED!J:J,MATCH("TradePayablesCurrent",HS_CONSOLIDATED!$C:$C,0)),0)</f>
        <v>8946400000</v>
      </c>
      <c r="J38" s="83" t="n">
        <f aca="false">IFERROR(INDEX(HS_CONSOLIDATED!K:K,MATCH("TradePayablesCurrent",HS_CONSOLIDATED!$C:$C,0)),0)</f>
        <v>17957800000</v>
      </c>
      <c r="K38" s="83" t="n">
        <f aca="false">IFERROR(INDEX(HS_CONSOLIDATED!L:L,MATCH("TradePayablesCurrent",HS_CONSOLIDATED!$C:$C,0)),0)</f>
        <v>29351400000</v>
      </c>
      <c r="L38" s="84" t="n">
        <f aca="false">L37/365*IF('Inputs &amp; Assumptions'!C41="",'Inputs &amp; Assumptions'!C40,'Inputs &amp; Assumptions'!C41)</f>
        <v>33317397674.4109</v>
      </c>
      <c r="M38" s="84" t="n">
        <f aca="false">M37/365*IF('Inputs &amp; Assumptions'!D41="",'Inputs &amp; Assumptions'!D40,'Inputs &amp; Assumptions'!D41)</f>
        <v>42916478375.7119</v>
      </c>
      <c r="N38" s="84" t="n">
        <f aca="false">N37/365*IF('Inputs &amp; Assumptions'!E41="",'Inputs &amp; Assumptions'!E40,'Inputs &amp; Assumptions'!E41)</f>
        <v>54166262159.731</v>
      </c>
      <c r="O38" s="84" t="n">
        <f aca="false">O37/365*IF('Inputs &amp; Assumptions'!F41="",'Inputs &amp; Assumptions'!F40,'Inputs &amp; Assumptions'!F41)</f>
        <v>67111357351.0929</v>
      </c>
      <c r="P38" s="84" t="n">
        <f aca="false">P37/365*IF('Inputs &amp; Assumptions'!G41="",'Inputs &amp; Assumptions'!G40,'Inputs &amp; Assumptions'!G41)</f>
        <v>81766417964.217</v>
      </c>
      <c r="Q38" s="84" t="n">
        <f aca="false">Q37/365*IF('Inputs &amp; Assumptions'!H41="",'Inputs &amp; Assumptions'!H40,'Inputs &amp; Assumptions'!H41)</f>
        <v>98119701557.0604</v>
      </c>
      <c r="R38" s="84" t="n">
        <f aca="false">R37/365*IF('Inputs &amp; Assumptions'!I41="",'Inputs &amp; Assumptions'!I40,'Inputs &amp; Assumptions'!I41)</f>
        <v>116137894086.138</v>
      </c>
      <c r="S38" s="84" t="n">
        <f aca="false">S37/365*IF('Inputs &amp; Assumptions'!J41="",'Inputs &amp; Assumptions'!J40,'Inputs &amp; Assumptions'!J41)</f>
        <v>135771594933.873</v>
      </c>
      <c r="T38" s="84" t="n">
        <f aca="false">T37/365*IF('Inputs &amp; Assumptions'!K41="",'Inputs &amp; Assumptions'!K40,'Inputs &amp; Assumptions'!K41)</f>
        <v>156960927001.105</v>
      </c>
      <c r="U38" s="84" t="n">
        <f aca="false">U37/365*IF('Inputs &amp; Assumptions'!L41="",'Inputs &amp; Assumptions'!L40,'Inputs &amp; Assumptions'!L41)</f>
        <v>179640851546.638</v>
      </c>
    </row>
    <row r="40" customFormat="false" ht="15" hidden="false" customHeight="false" outlineLevel="0" collapsed="false">
      <c r="B40" s="54" t="s">
        <v>388</v>
      </c>
      <c r="C40" s="89" t="n">
        <f aca="false">IFERROR(C35/C31*365,0)</f>
        <v>104.137951782117</v>
      </c>
      <c r="D40" s="89" t="n">
        <f aca="false">IFERROR(D35/D31*365,0)</f>
        <v>130.741620909449</v>
      </c>
      <c r="E40" s="89" t="n">
        <f aca="false">IFERROR(E35/E31*365,0)</f>
        <v>136.608497240626</v>
      </c>
      <c r="F40" s="89" t="n">
        <f aca="false">IFERROR(F35/F31*365,0)</f>
        <v>167.535227138941</v>
      </c>
      <c r="G40" s="89" t="n">
        <f aca="false">IFERROR(G35/G31*365,0)</f>
        <v>129.792032806093</v>
      </c>
      <c r="H40" s="89" t="n">
        <f aca="false">IFERROR(H35/H31*365,0)</f>
        <v>76.3603083056559</v>
      </c>
      <c r="I40" s="89" t="n">
        <f aca="false">IFERROR(I35/I31*365,0)</f>
        <v>71.5532121938923</v>
      </c>
      <c r="J40" s="89" t="n">
        <f aca="false">IFERROR(J35/J31*365,0)</f>
        <v>102.280210565331</v>
      </c>
      <c r="K40" s="89" t="n">
        <f aca="false">IFERROR(K35/K31*365,0)</f>
        <v>129.591500807182</v>
      </c>
    </row>
    <row r="41" customFormat="false" ht="15" hidden="false" customHeight="false" outlineLevel="0" collapsed="false">
      <c r="B41" s="54" t="s">
        <v>389</v>
      </c>
      <c r="C41" s="89" t="n">
        <f aca="false">IFERROR(C36/ABS(C32)*365,0)</f>
        <v>167.856961986719</v>
      </c>
      <c r="D41" s="89" t="n">
        <f aca="false">IFERROR(D36/ABS(D32)*365,0)</f>
        <v>215.928004128459</v>
      </c>
      <c r="E41" s="89" t="n">
        <f aca="false">IFERROR(E36/ABS(E32)*365,0)</f>
        <v>354.723247786282</v>
      </c>
      <c r="F41" s="89" t="n">
        <f aca="false">IFERROR(F36/ABS(F32)*365,0)</f>
        <v>400.473095953584</v>
      </c>
      <c r="G41" s="89" t="n">
        <f aca="false">IFERROR(G36/ABS(G32)*365,0)</f>
        <v>502.803831937462</v>
      </c>
      <c r="H41" s="89" t="n">
        <f aca="false">IFERROR(H36/ABS(H32)*365,0)</f>
        <v>186.049252463316</v>
      </c>
      <c r="I41" s="89" t="n">
        <f aca="false">IFERROR(I36/ABS(I32)*365,0)</f>
        <v>176.30515298758</v>
      </c>
      <c r="J41" s="89" t="n">
        <f aca="false">IFERROR(J36/ABS(J32)*365,0)</f>
        <v>210.110129503557</v>
      </c>
      <c r="K41" s="89" t="n">
        <f aca="false">IFERROR(K36/ABS(K32)*365,0)</f>
        <v>171.382939331455</v>
      </c>
    </row>
    <row r="42" customFormat="false" ht="15" hidden="false" customHeight="false" outlineLevel="0" collapsed="false">
      <c r="B42" s="54" t="s">
        <v>390</v>
      </c>
      <c r="C42" s="89" t="n">
        <f aca="false">IFERROR(C38/C37*365,0)</f>
        <v>232.864492256947</v>
      </c>
      <c r="D42" s="89" t="n">
        <f aca="false">IFERROR(D38/D37*365,0)</f>
        <v>180.269991848639</v>
      </c>
      <c r="E42" s="89" t="n">
        <f aca="false">IFERROR(E38/E37*365,0)</f>
        <v>264.793753230944</v>
      </c>
      <c r="F42" s="89" t="n">
        <f aca="false">IFERROR(F38/F37*365,0)</f>
        <v>252.913355146223</v>
      </c>
      <c r="G42" s="89" t="n">
        <f aca="false">IFERROR(G38/G37*365,0)</f>
        <v>366.092267018329</v>
      </c>
      <c r="H42" s="89" t="n">
        <f aca="false">IFERROR(H38/H37*365,0)</f>
        <v>155.089355797911</v>
      </c>
      <c r="I42" s="89" t="n">
        <f aca="false">IFERROR(I38/I37*365,0)</f>
        <v>86.3264475263439</v>
      </c>
      <c r="J42" s="89" t="n">
        <f aca="false">IFERROR(J38/J37*365,0)</f>
        <v>164.60027673632</v>
      </c>
      <c r="K42" s="89" t="n">
        <f aca="false">IFERROR(K38/K37*365,0)</f>
        <v>155.566767345279</v>
      </c>
    </row>
    <row r="44" customFormat="false" ht="15" hidden="false" customHeight="false" outlineLevel="0" collapsed="false">
      <c r="B44" s="85" t="s">
        <v>391</v>
      </c>
      <c r="C44" s="86" t="n">
        <f aca="false">C35+C36-C38</f>
        <v>22841200000</v>
      </c>
      <c r="D44" s="86" t="n">
        <f aca="false">D35+D36-D38</f>
        <v>34849200000</v>
      </c>
      <c r="E44" s="86" t="n">
        <f aca="false">E35+E36-E38</f>
        <v>26193300000</v>
      </c>
      <c r="F44" s="86" t="n">
        <f aca="false">F35+F36-F38</f>
        <v>21219500000</v>
      </c>
      <c r="G44" s="86" t="n">
        <f aca="false">G35+G36-G38</f>
        <v>17804900000</v>
      </c>
      <c r="H44" s="86" t="n">
        <f aca="false">H35+H36-H38</f>
        <v>17443600000</v>
      </c>
      <c r="I44" s="86" t="n">
        <f aca="false">I35+I36-I38</f>
        <v>21029300000</v>
      </c>
      <c r="J44" s="86" t="n">
        <f aca="false">J35+J36-J38</f>
        <v>23260900000</v>
      </c>
      <c r="K44" s="86" t="n">
        <f aca="false">K35+K36-K38</f>
        <v>41647600000</v>
      </c>
      <c r="L44" s="86" t="n">
        <f aca="false">L35+L36-L38</f>
        <v>52174608631.709</v>
      </c>
      <c r="M44" s="86" t="n">
        <f aca="false">M35+M36-M38</f>
        <v>67206643357.495</v>
      </c>
      <c r="N44" s="86" t="n">
        <f aca="false">N35+N36-N38</f>
        <v>84823657503.0309</v>
      </c>
      <c r="O44" s="86" t="n">
        <f aca="false">O35+O36-O38</f>
        <v>105095507120.754</v>
      </c>
      <c r="P44" s="86" t="n">
        <f aca="false">P35+P36-P38</f>
        <v>128045140205.423</v>
      </c>
      <c r="Q44" s="86" t="n">
        <f aca="false">Q35+Q36-Q38</f>
        <v>153654168246.507</v>
      </c>
      <c r="R44" s="86" t="n">
        <f aca="false">R35+R36-R38</f>
        <v>181870421887.992</v>
      </c>
      <c r="S44" s="86" t="n">
        <f aca="false">S35+S36-S38</f>
        <v>212616540409.409</v>
      </c>
      <c r="T44" s="86" t="n">
        <f aca="false">T35+T36-T38</f>
        <v>245798757057.267</v>
      </c>
      <c r="U44" s="86" t="n">
        <f aca="false">U35+U36-U38</f>
        <v>281315222014.214</v>
      </c>
    </row>
    <row r="45" customFormat="false" ht="15" hidden="false" customHeight="false" outlineLevel="0" collapsed="false">
      <c r="B45" s="82" t="s">
        <v>392</v>
      </c>
      <c r="D45" s="92" t="n">
        <f aca="false">C44-D44</f>
        <v>-12008000000</v>
      </c>
      <c r="E45" s="92" t="n">
        <f aca="false">D44-E44</f>
        <v>8655900000</v>
      </c>
      <c r="F45" s="92" t="n">
        <f aca="false">E44-F44</f>
        <v>4973800000</v>
      </c>
      <c r="G45" s="92" t="n">
        <f aca="false">F44-G44</f>
        <v>3414600000</v>
      </c>
      <c r="H45" s="92" t="n">
        <f aca="false">G44-H44</f>
        <v>361300000</v>
      </c>
      <c r="I45" s="92" t="n">
        <f aca="false">H44-I44</f>
        <v>-3585700000</v>
      </c>
      <c r="J45" s="92" t="n">
        <f aca="false">I44-J44</f>
        <v>-2231600000</v>
      </c>
      <c r="K45" s="92" t="n">
        <f aca="false">J44-K44</f>
        <v>-18386700000</v>
      </c>
      <c r="L45" s="92" t="n">
        <f aca="false">K44-L44</f>
        <v>-10527008631.709</v>
      </c>
      <c r="M45" s="92" t="n">
        <f aca="false">L44-M44</f>
        <v>-15032034725.786</v>
      </c>
      <c r="N45" s="92" t="n">
        <f aca="false">M44-N44</f>
        <v>-17617014145.5359</v>
      </c>
      <c r="O45" s="92" t="n">
        <f aca="false">N44-O44</f>
        <v>-20271849617.7228</v>
      </c>
      <c r="P45" s="92" t="n">
        <f aca="false">O44-P44</f>
        <v>-22949633084.6687</v>
      </c>
      <c r="Q45" s="92" t="n">
        <f aca="false">P44-Q44</f>
        <v>-25609028041.0845</v>
      </c>
      <c r="R45" s="92" t="n">
        <f aca="false">Q44-R44</f>
        <v>-28216253641.4854</v>
      </c>
      <c r="S45" s="92" t="n">
        <f aca="false">R44-S44</f>
        <v>-30746118521.417</v>
      </c>
      <c r="T45" s="92" t="n">
        <f aca="false">S44-T44</f>
        <v>-33182216647.858</v>
      </c>
      <c r="U45" s="92" t="n">
        <f aca="false">T44-U44</f>
        <v>-35516464956.9469</v>
      </c>
    </row>
    <row r="46" customFormat="false" ht="15" hidden="false" customHeight="false" outlineLevel="0" collapsed="false">
      <c r="B46" s="87" t="s">
        <v>393</v>
      </c>
      <c r="C46" s="88" t="n">
        <v>0</v>
      </c>
      <c r="D46" s="88" t="n">
        <v>0</v>
      </c>
      <c r="E46" s="88" t="n">
        <v>0</v>
      </c>
      <c r="F46" s="88" t="n">
        <v>0</v>
      </c>
      <c r="G46" s="88" t="n">
        <v>0</v>
      </c>
      <c r="H46" s="88" t="n">
        <v>0</v>
      </c>
      <c r="I46" s="88" t="n">
        <v>0</v>
      </c>
      <c r="J46" s="88" t="n">
        <v>0</v>
      </c>
      <c r="K46" s="88" t="n">
        <v>0</v>
      </c>
    </row>
    <row r="49" customFormat="false" ht="17.35" hidden="false" customHeight="false" outlineLevel="0" collapsed="false">
      <c r="A49" s="0" t="s">
        <v>26</v>
      </c>
      <c r="B49" s="81" t="s">
        <v>394</v>
      </c>
    </row>
    <row r="52" customFormat="false" ht="15" hidden="false" customHeight="false" outlineLevel="0" collapsed="false">
      <c r="B52" s="82" t="s">
        <v>395</v>
      </c>
      <c r="C52" s="54" t="s">
        <v>327</v>
      </c>
      <c r="D52" s="92" t="n">
        <f aca="false">C64</f>
        <v>14201800000</v>
      </c>
      <c r="E52" s="92" t="n">
        <f aca="false">D64</f>
        <v>12673200000</v>
      </c>
      <c r="F52" s="92" t="n">
        <f aca="false">E64</f>
        <v>11473200000</v>
      </c>
      <c r="G52" s="92" t="n">
        <f aca="false">F64</f>
        <v>10484300000</v>
      </c>
      <c r="H52" s="92" t="n">
        <f aca="false">G64</f>
        <v>9353100000</v>
      </c>
      <c r="I52" s="92" t="n">
        <f aca="false">H64</f>
        <v>9073300000</v>
      </c>
      <c r="J52" s="92" t="n">
        <f aca="false">I64</f>
        <v>7784500000</v>
      </c>
      <c r="K52" s="92" t="n">
        <f aca="false">J64</f>
        <v>8095100000</v>
      </c>
      <c r="L52" s="84" t="n">
        <f aca="false">K64</f>
        <v>8220600000</v>
      </c>
      <c r="M52" s="84" t="n">
        <f aca="false">L64</f>
        <v>9188423834.83417</v>
      </c>
      <c r="N52" s="84" t="n">
        <f aca="false">M64</f>
        <v>10107470532.4406</v>
      </c>
      <c r="O52" s="84" t="n">
        <f aca="false">N64</f>
        <v>10975928991.3659</v>
      </c>
      <c r="P52" s="84" t="n">
        <f aca="false">O64</f>
        <v>11791854886.0168</v>
      </c>
      <c r="Q52" s="84" t="n">
        <f aca="false">P64</f>
        <v>12553167122.3161</v>
      </c>
      <c r="R52" s="84" t="n">
        <f aca="false">Q64</f>
        <v>13257643853.2211</v>
      </c>
      <c r="S52" s="84" t="n">
        <f aca="false">R64</f>
        <v>13902918059.7022</v>
      </c>
      <c r="T52" s="84" t="n">
        <f aca="false">S64</f>
        <v>15582552699.4118</v>
      </c>
      <c r="U52" s="84" t="n">
        <f aca="false">T64</f>
        <v>17197795422.3144</v>
      </c>
    </row>
    <row r="53" customFormat="false" ht="15" hidden="false" customHeight="false" outlineLevel="0" collapsed="false">
      <c r="B53" s="82" t="s">
        <v>396</v>
      </c>
      <c r="C53" s="83" t="n">
        <f aca="false">IFERROR(INDEX(HS_CONSOLIDATED!D:D,MATCH("AdditionsOtherThanThroughBusinessCombinationsPropertyPlantAndEquipment",HS_CONSOLIDATED!$C:$C,0)),0)</f>
        <v>4467700000</v>
      </c>
      <c r="D53" s="83" t="n">
        <f aca="false">IFERROR(INDEX(HS_CONSOLIDATED!E:E,MATCH("AdditionsOtherThanThroughBusinessCombinationsPropertyPlantAndEquipment",HS_CONSOLIDATED!$C:$C,0)),0)</f>
        <v>5109400000</v>
      </c>
      <c r="E53" s="83" t="n">
        <f aca="false">IFERROR(INDEX(HS_CONSOLIDATED!F:F,MATCH("AdditionsOtherThanThroughBusinessCombinationsPropertyPlantAndEquipment",HS_CONSOLIDATED!$C:$C,0)),0)</f>
        <v>1373800000</v>
      </c>
      <c r="F53" s="83" t="n">
        <f aca="false">IFERROR(INDEX(HS_CONSOLIDATED!G:G,MATCH("AdditionsOtherThanThroughBusinessCombinationsPropertyPlantAndEquipment",HS_CONSOLIDATED!$C:$C,0)),0)</f>
        <v>402100000</v>
      </c>
      <c r="G53" s="83" t="n">
        <f aca="false">IFERROR(INDEX(HS_CONSOLIDATED!H:H,MATCH("AdditionsOtherThanThroughBusinessCombinationsPropertyPlantAndEquipment",HS_CONSOLIDATED!$C:$C,0)),0)</f>
        <v>231300000</v>
      </c>
      <c r="H53" s="83" t="n">
        <f aca="false">IFERROR(INDEX(HS_CONSOLIDATED!I:I,MATCH("AdditionsOtherThanThroughBusinessCombinationsPropertyPlantAndEquipment",HS_CONSOLIDATED!$C:$C,0)),0)</f>
        <v>1288300000</v>
      </c>
      <c r="I53" s="83" t="n">
        <f aca="false">IFERROR(INDEX(HS_CONSOLIDATED!J:J,MATCH("AdditionsOtherThanThroughBusinessCombinationsPropertyPlantAndEquipment",HS_CONSOLIDATED!$C:$C,0)),0)</f>
        <v>907300000</v>
      </c>
      <c r="J53" s="83" t="n">
        <f aca="false">IFERROR(INDEX(HS_CONSOLIDATED!K:K,MATCH("AdditionsOtherThanThroughBusinessCombinationsPropertyPlantAndEquipment",HS_CONSOLIDATED!$C:$C,0)),0)</f>
        <v>1831600000</v>
      </c>
      <c r="K53" s="83" t="n">
        <f aca="false">IFERROR(INDEX(HS_CONSOLIDATED!L:L,MATCH("AdditionsOtherThanThroughBusinessCombinationsPropertyPlantAndEquipment",HS_CONSOLIDATED!$C:$C,0)),0)</f>
        <v>2111000000</v>
      </c>
      <c r="L53" s="84" t="n">
        <f aca="false">K53*(1+'Inputs &amp; Assumptions'!C45)</f>
        <v>2211325537.32233</v>
      </c>
      <c r="M53" s="84" t="n">
        <f aca="false">L53*(1+'Inputs &amp; Assumptions'!D45)</f>
        <v>2317016142.9585</v>
      </c>
      <c r="N53" s="84" t="n">
        <f aca="false">M53*(1+'Inputs &amp; Assumptions'!E45)</f>
        <v>2428315611.72575</v>
      </c>
      <c r="O53" s="84" t="n">
        <f aca="false">N53*(1+'Inputs &amp; Assumptions'!F45)</f>
        <v>2545481836.55502</v>
      </c>
      <c r="P53" s="84" t="n">
        <f aca="false">O53*(1+'Inputs &amp; Assumptions'!G45)</f>
        <v>2668787333.78931</v>
      </c>
      <c r="Q53" s="84" t="n">
        <f aca="false">P53*(1+'Inputs &amp; Assumptions'!H45)</f>
        <v>2798519816.13763</v>
      </c>
      <c r="R53" s="84" t="n">
        <f aca="false">Q53*(1+'Inputs &amp; Assumptions'!I45)</f>
        <v>2934982812.55035</v>
      </c>
      <c r="S53" s="84" t="n">
        <f aca="false">R53*(1+'Inputs &amp; Assumptions'!J45)</f>
        <v>3078496334.76303</v>
      </c>
      <c r="T53" s="84" t="n">
        <f aca="false">S53*(1+'Inputs &amp; Assumptions'!K45)</f>
        <v>3229397590.66718</v>
      </c>
      <c r="U53" s="84" t="n">
        <f aca="false">T53*(1+'Inputs &amp; Assumptions'!L45)</f>
        <v>3388041745.02362</v>
      </c>
    </row>
    <row r="54" customFormat="false" ht="15" hidden="false" customHeight="false" outlineLevel="0" collapsed="false">
      <c r="B54" s="82" t="s">
        <v>397</v>
      </c>
      <c r="C54" s="89" t="n">
        <v>0</v>
      </c>
      <c r="D54" s="89" t="n">
        <v>0</v>
      </c>
      <c r="E54" s="89" t="n">
        <v>0</v>
      </c>
      <c r="F54" s="89" t="n">
        <v>0</v>
      </c>
      <c r="G54" s="89" t="n">
        <v>0</v>
      </c>
      <c r="H54" s="89" t="n">
        <v>0</v>
      </c>
      <c r="I54" s="89" t="n">
        <v>0</v>
      </c>
      <c r="J54" s="89" t="n">
        <v>0</v>
      </c>
      <c r="K54" s="89" t="n">
        <v>0</v>
      </c>
      <c r="L54" s="84" t="n">
        <v>0</v>
      </c>
      <c r="M54" s="84" t="n">
        <v>0</v>
      </c>
      <c r="N54" s="84" t="n">
        <v>0</v>
      </c>
      <c r="O54" s="84" t="n">
        <v>0</v>
      </c>
      <c r="P54" s="84" t="n">
        <v>0</v>
      </c>
      <c r="Q54" s="84" t="n">
        <v>0</v>
      </c>
      <c r="R54" s="84" t="n">
        <v>0</v>
      </c>
      <c r="S54" s="84" t="n">
        <v>0</v>
      </c>
      <c r="T54" s="84" t="n">
        <v>0</v>
      </c>
      <c r="U54" s="84" t="n">
        <v>0</v>
      </c>
    </row>
    <row r="55" customFormat="false" ht="15" hidden="false" customHeight="false" outlineLevel="0" collapsed="false">
      <c r="B55" s="82" t="s">
        <v>398</v>
      </c>
      <c r="C55" s="89" t="n">
        <v>0</v>
      </c>
      <c r="D55" s="89" t="n">
        <v>0</v>
      </c>
      <c r="E55" s="89" t="n">
        <v>0</v>
      </c>
      <c r="F55" s="89" t="n">
        <v>0</v>
      </c>
      <c r="G55" s="89" t="n">
        <v>0</v>
      </c>
      <c r="H55" s="89" t="n">
        <v>0</v>
      </c>
      <c r="I55" s="89" t="n">
        <v>0</v>
      </c>
      <c r="J55" s="89" t="n">
        <v>0</v>
      </c>
      <c r="K55" s="89" t="n">
        <v>0</v>
      </c>
      <c r="L55" s="84" t="n">
        <v>0</v>
      </c>
      <c r="M55" s="84" t="n">
        <v>0</v>
      </c>
      <c r="N55" s="84" t="n">
        <v>0</v>
      </c>
      <c r="O55" s="84" t="n">
        <v>0</v>
      </c>
      <c r="P55" s="84" t="n">
        <v>0</v>
      </c>
      <c r="Q55" s="84" t="n">
        <v>0</v>
      </c>
      <c r="R55" s="84" t="n">
        <v>0</v>
      </c>
      <c r="S55" s="84" t="n">
        <v>0</v>
      </c>
      <c r="T55" s="84" t="n">
        <v>0</v>
      </c>
      <c r="U55" s="84" t="n">
        <v>0</v>
      </c>
    </row>
    <row r="56" customFormat="false" ht="15" hidden="false" customHeight="false" outlineLevel="0" collapsed="false">
      <c r="B56" s="82" t="s">
        <v>399</v>
      </c>
      <c r="C56" s="83" t="n">
        <f aca="false">-IFERROR(INDEX(HS_CONSOLIDATED!D:D,MATCH("DepreciationPropertyPlantAndEquipment",HS_CONSOLIDATED!$C:$C,0)),0)</f>
        <v>2316400000</v>
      </c>
      <c r="D56" s="83" t="n">
        <f aca="false">-IFERROR(INDEX(HS_CONSOLIDATED!E:E,MATCH("DepreciationPropertyPlantAndEquipment",HS_CONSOLIDATED!$C:$C,0)),0)</f>
        <v>2321800000</v>
      </c>
      <c r="E56" s="83" t="n">
        <f aca="false">-IFERROR(INDEX(HS_CONSOLIDATED!F:F,MATCH("DepreciationPropertyPlantAndEquipment",HS_CONSOLIDATED!$C:$C,0)),0)</f>
        <v>2420400000</v>
      </c>
      <c r="F56" s="83" t="n">
        <f aca="false">-IFERROR(INDEX(HS_CONSOLIDATED!G:G,MATCH("DepreciationPropertyPlantAndEquipment",HS_CONSOLIDATED!$C:$C,0)),0)</f>
        <v>1141300000</v>
      </c>
      <c r="G56" s="83" t="n">
        <f aca="false">-IFERROR(INDEX(HS_CONSOLIDATED!H:H,MATCH("DepreciationPropertyPlantAndEquipment",HS_CONSOLIDATED!$C:$C,0)),0)</f>
        <v>1163600000</v>
      </c>
      <c r="H56" s="83" t="n">
        <f aca="false">-IFERROR(INDEX(HS_CONSOLIDATED!I:I,MATCH("DepreciationPropertyPlantAndEquipment",HS_CONSOLIDATED!$C:$C,0)),0)</f>
        <v>1205800000</v>
      </c>
      <c r="I56" s="83" t="n">
        <f aca="false">-IFERROR(INDEX(HS_CONSOLIDATED!J:J,MATCH("DepreciationPropertyPlantAndEquipment",HS_CONSOLIDATED!$C:$C,0)),0)</f>
        <v>1401700000</v>
      </c>
      <c r="J56" s="83" t="n">
        <f aca="false">-IFERROR(INDEX(HS_CONSOLIDATED!K:K,MATCH("DepreciationPropertyPlantAndEquipment",HS_CONSOLIDATED!$C:$C,0)),0)</f>
        <v>1393900000</v>
      </c>
      <c r="K56" s="83" t="n">
        <f aca="false">-IFERROR(INDEX(HS_CONSOLIDATED!L:L,MATCH("DepreciationPropertyPlantAndEquipment",HS_CONSOLIDATED!$C:$C,0)),0)</f>
        <v>1903700000</v>
      </c>
      <c r="L56" s="84" t="n">
        <f aca="false">-(L82+L83)</f>
        <v>-1243501702.48816</v>
      </c>
      <c r="M56" s="84" t="n">
        <f aca="false">-(M82+M83)</f>
        <v>-1397969445.35205</v>
      </c>
      <c r="N56" s="84" t="n">
        <f aca="false">-(N82+N83)</f>
        <v>-1559857152.80044</v>
      </c>
      <c r="O56" s="84" t="n">
        <f aca="false">-(O82+O83)</f>
        <v>-1729555941.90411</v>
      </c>
      <c r="P56" s="84" t="n">
        <f aca="false">-(P82+P83)</f>
        <v>-1907475097.49006</v>
      </c>
      <c r="Q56" s="84" t="n">
        <f aca="false">-(Q82+Q83)</f>
        <v>-2094043085.23257</v>
      </c>
      <c r="R56" s="84" t="n">
        <f aca="false">-(R82+R83)</f>
        <v>-2289708606.06926</v>
      </c>
      <c r="S56" s="84" t="n">
        <f aca="false">-(S82+S83)</f>
        <v>-1398861695.05346</v>
      </c>
      <c r="T56" s="84" t="n">
        <f aca="false">-(T82+T83)</f>
        <v>-1614154867.76461</v>
      </c>
      <c r="U56" s="84" t="n">
        <f aca="false">-(U82+U83)</f>
        <v>-1840024317.43285</v>
      </c>
    </row>
    <row r="57" customFormat="false" ht="15" hidden="false" customHeight="false" outlineLevel="0" collapsed="false">
      <c r="B57" s="82" t="s">
        <v>400</v>
      </c>
      <c r="C57" s="89" t="n">
        <v>0</v>
      </c>
      <c r="D57" s="89" t="n">
        <v>0</v>
      </c>
      <c r="E57" s="89" t="n">
        <v>0</v>
      </c>
      <c r="F57" s="89" t="n">
        <v>0</v>
      </c>
      <c r="G57" s="89" t="n">
        <v>0</v>
      </c>
      <c r="H57" s="89" t="n">
        <v>0</v>
      </c>
      <c r="I57" s="89" t="n">
        <v>0</v>
      </c>
      <c r="J57" s="89" t="n">
        <v>0</v>
      </c>
      <c r="K57" s="89" t="n">
        <v>0</v>
      </c>
      <c r="L57" s="84" t="n">
        <f aca="false">L52*(-IF('Inputs &amp; Assumptions'!C52="",'Inputs &amp; Assumptions'!C51,'Inputs &amp; Assumptions'!C52))</f>
        <v>-0</v>
      </c>
      <c r="M57" s="84" t="n">
        <f aca="false">M52*(-IF('Inputs &amp; Assumptions'!D52="",'Inputs &amp; Assumptions'!D51,'Inputs &amp; Assumptions'!D52))</f>
        <v>-0</v>
      </c>
      <c r="N57" s="84" t="n">
        <f aca="false">N52*(-IF('Inputs &amp; Assumptions'!E52="",'Inputs &amp; Assumptions'!E51,'Inputs &amp; Assumptions'!E52))</f>
        <v>-0</v>
      </c>
      <c r="O57" s="84" t="n">
        <f aca="false">O52*(-IF('Inputs &amp; Assumptions'!F52="",'Inputs &amp; Assumptions'!F51,'Inputs &amp; Assumptions'!F52))</f>
        <v>-0</v>
      </c>
      <c r="P57" s="84" t="n">
        <f aca="false">P52*(-IF('Inputs &amp; Assumptions'!G52="",'Inputs &amp; Assumptions'!G51,'Inputs &amp; Assumptions'!G52))</f>
        <v>-0</v>
      </c>
      <c r="Q57" s="84" t="n">
        <f aca="false">Q52*(-IF('Inputs &amp; Assumptions'!H52="",'Inputs &amp; Assumptions'!H51,'Inputs &amp; Assumptions'!H52))</f>
        <v>-0</v>
      </c>
      <c r="R57" s="84" t="n">
        <f aca="false">R52*(-IF('Inputs &amp; Assumptions'!I52="",'Inputs &amp; Assumptions'!I51,'Inputs &amp; Assumptions'!I52))</f>
        <v>-0</v>
      </c>
      <c r="S57" s="84" t="n">
        <f aca="false">S52*(-IF('Inputs &amp; Assumptions'!J52="",'Inputs &amp; Assumptions'!J51,'Inputs &amp; Assumptions'!J52))</f>
        <v>-0</v>
      </c>
      <c r="T57" s="84" t="n">
        <f aca="false">T52*(-IF('Inputs &amp; Assumptions'!K52="",'Inputs &amp; Assumptions'!K51,'Inputs &amp; Assumptions'!K52))</f>
        <v>-0</v>
      </c>
      <c r="U57" s="84" t="n">
        <f aca="false">U52*(-IF('Inputs &amp; Assumptions'!L52="",'Inputs &amp; Assumptions'!L51,'Inputs &amp; Assumptions'!L52))</f>
        <v>-0</v>
      </c>
    </row>
    <row r="58" customFormat="false" ht="15" hidden="false" customHeight="false" outlineLevel="0" collapsed="false">
      <c r="B58" s="82" t="s">
        <v>401</v>
      </c>
      <c r="C58" s="89" t="n">
        <v>0</v>
      </c>
      <c r="D58" s="89" t="n">
        <v>0</v>
      </c>
      <c r="E58" s="89" t="n">
        <v>0</v>
      </c>
      <c r="F58" s="89" t="n">
        <v>0</v>
      </c>
      <c r="G58" s="89" t="n">
        <v>0</v>
      </c>
      <c r="H58" s="89" t="n">
        <v>0</v>
      </c>
      <c r="I58" s="89" t="n">
        <v>0</v>
      </c>
      <c r="J58" s="89" t="n">
        <v>0</v>
      </c>
      <c r="K58" s="89" t="n">
        <v>0</v>
      </c>
      <c r="L58" s="84" t="n">
        <v>0</v>
      </c>
      <c r="M58" s="84" t="n">
        <v>0</v>
      </c>
      <c r="N58" s="84" t="n">
        <v>0</v>
      </c>
      <c r="O58" s="84" t="n">
        <v>0</v>
      </c>
      <c r="P58" s="84" t="n">
        <v>0</v>
      </c>
      <c r="Q58" s="84" t="n">
        <v>0</v>
      </c>
      <c r="R58" s="84" t="n">
        <v>0</v>
      </c>
      <c r="S58" s="84" t="n">
        <v>0</v>
      </c>
      <c r="T58" s="84" t="n">
        <v>0</v>
      </c>
      <c r="U58" s="84" t="n">
        <v>0</v>
      </c>
    </row>
    <row r="59" customFormat="false" ht="15" hidden="false" customHeight="false" outlineLevel="0" collapsed="false">
      <c r="B59" s="82" t="s">
        <v>402</v>
      </c>
      <c r="C59" s="89" t="n">
        <v>0</v>
      </c>
      <c r="D59" s="89" t="n">
        <v>0</v>
      </c>
      <c r="E59" s="89" t="n">
        <v>0</v>
      </c>
      <c r="F59" s="89" t="n">
        <v>0</v>
      </c>
      <c r="G59" s="89" t="n">
        <v>0</v>
      </c>
      <c r="H59" s="89" t="n">
        <v>0</v>
      </c>
      <c r="I59" s="89" t="n">
        <v>0</v>
      </c>
      <c r="J59" s="89" t="n">
        <v>0</v>
      </c>
      <c r="K59" s="89" t="n">
        <v>0</v>
      </c>
      <c r="L59" s="84" t="n">
        <v>0</v>
      </c>
      <c r="M59" s="84" t="n">
        <v>0</v>
      </c>
      <c r="N59" s="84" t="n">
        <v>0</v>
      </c>
      <c r="O59" s="84" t="n">
        <v>0</v>
      </c>
      <c r="P59" s="84" t="n">
        <v>0</v>
      </c>
      <c r="Q59" s="84" t="n">
        <v>0</v>
      </c>
      <c r="R59" s="84" t="n">
        <v>0</v>
      </c>
      <c r="S59" s="84" t="n">
        <v>0</v>
      </c>
      <c r="T59" s="84" t="n">
        <v>0</v>
      </c>
      <c r="U59" s="84" t="n">
        <v>0</v>
      </c>
    </row>
    <row r="60" customFormat="false" ht="15" hidden="false" customHeight="false" outlineLevel="0" collapsed="false">
      <c r="B60" s="82" t="s">
        <v>403</v>
      </c>
      <c r="C60" s="89" t="n">
        <v>0</v>
      </c>
      <c r="D60" s="89" t="n">
        <v>0</v>
      </c>
      <c r="E60" s="89" t="n">
        <v>0</v>
      </c>
      <c r="F60" s="89" t="n">
        <v>0</v>
      </c>
      <c r="G60" s="89" t="n">
        <v>0</v>
      </c>
      <c r="H60" s="89" t="n">
        <v>0</v>
      </c>
      <c r="I60" s="89" t="n">
        <v>0</v>
      </c>
      <c r="J60" s="89" t="n">
        <v>0</v>
      </c>
      <c r="K60" s="89" t="n">
        <v>0</v>
      </c>
      <c r="L60" s="84" t="n">
        <f aca="false">L52*IF('Inputs &amp; Assumptions'!C55="",'Inputs &amp; Assumptions'!C54,'Inputs &amp; Assumptions'!C55)</f>
        <v>0</v>
      </c>
      <c r="M60" s="84" t="n">
        <f aca="false">M52*IF('Inputs &amp; Assumptions'!D55="",'Inputs &amp; Assumptions'!D54,'Inputs &amp; Assumptions'!D55)</f>
        <v>0</v>
      </c>
      <c r="N60" s="84" t="n">
        <f aca="false">N52*IF('Inputs &amp; Assumptions'!E55="",'Inputs &amp; Assumptions'!E54,'Inputs &amp; Assumptions'!E55)</f>
        <v>0</v>
      </c>
      <c r="O60" s="84" t="n">
        <f aca="false">O52*IF('Inputs &amp; Assumptions'!F55="",'Inputs &amp; Assumptions'!F54,'Inputs &amp; Assumptions'!F55)</f>
        <v>0</v>
      </c>
      <c r="P60" s="84" t="n">
        <f aca="false">P52*IF('Inputs &amp; Assumptions'!G55="",'Inputs &amp; Assumptions'!G54,'Inputs &amp; Assumptions'!G55)</f>
        <v>0</v>
      </c>
      <c r="Q60" s="84" t="n">
        <f aca="false">Q52*IF('Inputs &amp; Assumptions'!H55="",'Inputs &amp; Assumptions'!H54,'Inputs &amp; Assumptions'!H55)</f>
        <v>0</v>
      </c>
      <c r="R60" s="84" t="n">
        <f aca="false">R52*IF('Inputs &amp; Assumptions'!I55="",'Inputs &amp; Assumptions'!I54,'Inputs &amp; Assumptions'!I55)</f>
        <v>0</v>
      </c>
      <c r="S60" s="84" t="n">
        <f aca="false">S52*IF('Inputs &amp; Assumptions'!J55="",'Inputs &amp; Assumptions'!J54,'Inputs &amp; Assumptions'!J55)</f>
        <v>0</v>
      </c>
      <c r="T60" s="84" t="n">
        <f aca="false">T52*IF('Inputs &amp; Assumptions'!K55="",'Inputs &amp; Assumptions'!K54,'Inputs &amp; Assumptions'!K55)</f>
        <v>0</v>
      </c>
      <c r="U60" s="84" t="n">
        <f aca="false">U52*IF('Inputs &amp; Assumptions'!L55="",'Inputs &amp; Assumptions'!L54,'Inputs &amp; Assumptions'!L55)</f>
        <v>0</v>
      </c>
    </row>
    <row r="61" customFormat="false" ht="15" hidden="false" customHeight="false" outlineLevel="0" collapsed="false">
      <c r="B61" s="82" t="s">
        <v>404</v>
      </c>
      <c r="C61" s="89" t="n">
        <v>0</v>
      </c>
      <c r="D61" s="89" t="n">
        <v>0</v>
      </c>
      <c r="E61" s="89" t="n">
        <v>0</v>
      </c>
      <c r="F61" s="89" t="n">
        <v>0</v>
      </c>
      <c r="G61" s="89" t="n">
        <v>0</v>
      </c>
      <c r="H61" s="89" t="n">
        <v>0</v>
      </c>
      <c r="I61" s="89" t="n">
        <v>0</v>
      </c>
      <c r="J61" s="89" t="n">
        <v>0</v>
      </c>
      <c r="K61" s="89" t="n">
        <v>0</v>
      </c>
      <c r="L61" s="84" t="n">
        <f aca="false">L52*(-IF('Inputs &amp; Assumptions'!C58="",'Inputs &amp; Assumptions'!C57,'Inputs &amp; Assumptions'!C58))</f>
        <v>-0</v>
      </c>
      <c r="M61" s="84" t="n">
        <f aca="false">M52*(-IF('Inputs &amp; Assumptions'!D58="",'Inputs &amp; Assumptions'!D57,'Inputs &amp; Assumptions'!D58))</f>
        <v>-0</v>
      </c>
      <c r="N61" s="84" t="n">
        <f aca="false">N52*(-IF('Inputs &amp; Assumptions'!E58="",'Inputs &amp; Assumptions'!E57,'Inputs &amp; Assumptions'!E58))</f>
        <v>-0</v>
      </c>
      <c r="O61" s="84" t="n">
        <f aca="false">O52*(-IF('Inputs &amp; Assumptions'!F58="",'Inputs &amp; Assumptions'!F57,'Inputs &amp; Assumptions'!F58))</f>
        <v>-0</v>
      </c>
      <c r="P61" s="84" t="n">
        <f aca="false">P52*(-IF('Inputs &amp; Assumptions'!G58="",'Inputs &amp; Assumptions'!G57,'Inputs &amp; Assumptions'!G58))</f>
        <v>-0</v>
      </c>
      <c r="Q61" s="84" t="n">
        <f aca="false">Q52*(-IF('Inputs &amp; Assumptions'!H58="",'Inputs &amp; Assumptions'!H57,'Inputs &amp; Assumptions'!H58))</f>
        <v>-0</v>
      </c>
      <c r="R61" s="84" t="n">
        <f aca="false">R52*(-IF('Inputs &amp; Assumptions'!I58="",'Inputs &amp; Assumptions'!I57,'Inputs &amp; Assumptions'!I58))</f>
        <v>-0</v>
      </c>
      <c r="S61" s="84" t="n">
        <f aca="false">S52*(-IF('Inputs &amp; Assumptions'!J58="",'Inputs &amp; Assumptions'!J57,'Inputs &amp; Assumptions'!J58))</f>
        <v>-0</v>
      </c>
      <c r="T61" s="84" t="n">
        <f aca="false">T52*(-IF('Inputs &amp; Assumptions'!K58="",'Inputs &amp; Assumptions'!K57,'Inputs &amp; Assumptions'!K58))</f>
        <v>-0</v>
      </c>
      <c r="U61" s="84" t="n">
        <f aca="false">U52*(-IF('Inputs &amp; Assumptions'!L58="",'Inputs &amp; Assumptions'!L57,'Inputs &amp; Assumptions'!L58))</f>
        <v>-0</v>
      </c>
    </row>
    <row r="62" customFormat="false" ht="15" hidden="false" customHeight="false" outlineLevel="0" collapsed="false">
      <c r="B62" s="82" t="s">
        <v>405</v>
      </c>
      <c r="C62" s="89" t="n">
        <v>0</v>
      </c>
      <c r="D62" s="89" t="n">
        <v>0</v>
      </c>
      <c r="E62" s="89" t="n">
        <v>0</v>
      </c>
      <c r="F62" s="89" t="n">
        <v>0</v>
      </c>
      <c r="G62" s="89" t="n">
        <v>0</v>
      </c>
      <c r="H62" s="89" t="n">
        <v>0</v>
      </c>
      <c r="I62" s="89" t="n">
        <v>0</v>
      </c>
      <c r="J62" s="89" t="n">
        <v>0</v>
      </c>
      <c r="K62" s="89" t="n">
        <v>0</v>
      </c>
      <c r="L62" s="84" t="n">
        <v>0</v>
      </c>
      <c r="M62" s="84" t="n">
        <v>0</v>
      </c>
      <c r="N62" s="84" t="n">
        <v>0</v>
      </c>
      <c r="O62" s="84" t="n">
        <v>0</v>
      </c>
      <c r="P62" s="84" t="n">
        <v>0</v>
      </c>
      <c r="Q62" s="84" t="n">
        <v>0</v>
      </c>
      <c r="R62" s="84" t="n">
        <v>0</v>
      </c>
      <c r="S62" s="84" t="n">
        <v>0</v>
      </c>
      <c r="T62" s="84" t="n">
        <v>0</v>
      </c>
      <c r="U62" s="84" t="n">
        <v>0</v>
      </c>
    </row>
    <row r="63" customFormat="false" ht="15" hidden="false" customHeight="false" outlineLevel="0" collapsed="false">
      <c r="B63" s="82" t="s">
        <v>406</v>
      </c>
      <c r="C63" s="89" t="n">
        <v>0</v>
      </c>
      <c r="D63" s="89" t="n">
        <v>0</v>
      </c>
      <c r="E63" s="89" t="n">
        <v>0</v>
      </c>
      <c r="F63" s="89" t="n">
        <v>0</v>
      </c>
      <c r="G63" s="89" t="n">
        <v>0</v>
      </c>
      <c r="H63" s="89" t="n">
        <v>0</v>
      </c>
      <c r="I63" s="89" t="n">
        <v>0</v>
      </c>
      <c r="J63" s="89" t="n">
        <v>0</v>
      </c>
      <c r="K63" s="89" t="n">
        <v>0</v>
      </c>
      <c r="L63" s="84" t="n">
        <v>0</v>
      </c>
      <c r="M63" s="84" t="n">
        <v>0</v>
      </c>
      <c r="N63" s="84" t="n">
        <v>0</v>
      </c>
      <c r="O63" s="84" t="n">
        <v>0</v>
      </c>
      <c r="P63" s="84" t="n">
        <v>0</v>
      </c>
      <c r="Q63" s="84" t="n">
        <v>0</v>
      </c>
      <c r="R63" s="84" t="n">
        <v>0</v>
      </c>
      <c r="S63" s="84" t="n">
        <v>0</v>
      </c>
      <c r="T63" s="84" t="n">
        <v>0</v>
      </c>
      <c r="U63" s="84" t="n">
        <v>0</v>
      </c>
    </row>
    <row r="64" customFormat="false" ht="15" hidden="false" customHeight="false" outlineLevel="0" collapsed="false">
      <c r="B64" s="85" t="s">
        <v>407</v>
      </c>
      <c r="C64" s="86" t="n">
        <f aca="false">IFERROR(INDEX(HS_CONSOLIDATED!D:D,MATCH("PropertyPlantAndEquipment",HS_CONSOLIDATED!$C:$C,0)),0)</f>
        <v>14201800000</v>
      </c>
      <c r="D64" s="86" t="n">
        <f aca="false">IFERROR(INDEX(HS_CONSOLIDATED!E:E,MATCH("PropertyPlantAndEquipment",HS_CONSOLIDATED!$C:$C,0)),0)</f>
        <v>12673200000</v>
      </c>
      <c r="E64" s="86" t="n">
        <f aca="false">IFERROR(INDEX(HS_CONSOLIDATED!F:F,MATCH("PropertyPlantAndEquipment",HS_CONSOLIDATED!$C:$C,0)),0)</f>
        <v>11473200000</v>
      </c>
      <c r="F64" s="86" t="n">
        <f aca="false">IFERROR(INDEX(HS_CONSOLIDATED!G:G,MATCH("PropertyPlantAndEquipment",HS_CONSOLIDATED!$C:$C,0)),0)</f>
        <v>10484300000</v>
      </c>
      <c r="G64" s="86" t="n">
        <f aca="false">IFERROR(INDEX(HS_CONSOLIDATED!H:H,MATCH("PropertyPlantAndEquipment",HS_CONSOLIDATED!$C:$C,0)),0)</f>
        <v>9353100000</v>
      </c>
      <c r="H64" s="86" t="n">
        <f aca="false">IFERROR(INDEX(HS_CONSOLIDATED!I:I,MATCH("PropertyPlantAndEquipment",HS_CONSOLIDATED!$C:$C,0)),0)</f>
        <v>9073300000</v>
      </c>
      <c r="I64" s="86" t="n">
        <f aca="false">IFERROR(INDEX(HS_CONSOLIDATED!J:J,MATCH("PropertyPlantAndEquipment",HS_CONSOLIDATED!$C:$C,0)),0)</f>
        <v>7784500000</v>
      </c>
      <c r="J64" s="86" t="n">
        <f aca="false">IFERROR(INDEX(HS_CONSOLIDATED!K:K,MATCH("PropertyPlantAndEquipment",HS_CONSOLIDATED!$C:$C,0)),0)</f>
        <v>8095100000</v>
      </c>
      <c r="K64" s="86" t="n">
        <f aca="false">IFERROR(INDEX(HS_CONSOLIDATED!L:L,MATCH("PropertyPlantAndEquipment",HS_CONSOLIDATED!$C:$C,0)),0)</f>
        <v>8220600000</v>
      </c>
      <c r="L64" s="86" t="n">
        <f aca="false">L52+L53+L54+L55+L56+L57+L58+L59+L60+L61+L62+L63</f>
        <v>9188423834.83417</v>
      </c>
      <c r="M64" s="86" t="n">
        <f aca="false">M52+M53+M54+M55+M56+M57+M58+M59+M60+M61+M62+M63</f>
        <v>10107470532.4406</v>
      </c>
      <c r="N64" s="86" t="n">
        <f aca="false">N52+N53+N54+N55+N56+N57+N58+N59+N60+N61+N62+N63</f>
        <v>10975928991.3659</v>
      </c>
      <c r="O64" s="86" t="n">
        <f aca="false">O52+O53+O54+O55+O56+O57+O58+O59+O60+O61+O62+O63</f>
        <v>11791854886.0168</v>
      </c>
      <c r="P64" s="86" t="n">
        <f aca="false">P52+P53+P54+P55+P56+P57+P58+P59+P60+P61+P62+P63</f>
        <v>12553167122.3161</v>
      </c>
      <c r="Q64" s="86" t="n">
        <f aca="false">Q52+Q53+Q54+Q55+Q56+Q57+Q58+Q59+Q60+Q61+Q62+Q63</f>
        <v>13257643853.2211</v>
      </c>
      <c r="R64" s="86" t="n">
        <f aca="false">R52+R53+R54+R55+R56+R57+R58+R59+R60+R61+R62+R63</f>
        <v>13902918059.7022</v>
      </c>
      <c r="S64" s="86" t="n">
        <f aca="false">S52+S53+S54+S55+S56+S57+S58+S59+S60+S61+S62+S63</f>
        <v>15582552699.4118</v>
      </c>
      <c r="T64" s="86" t="n">
        <f aca="false">T52+T53+T54+T55+T56+T57+T58+T59+T60+T61+T62+T63</f>
        <v>17197795422.3144</v>
      </c>
      <c r="U64" s="86" t="n">
        <f aca="false">U52+U53+U54+U55+U56+U57+U58+U59+U60+U61+U62+U63</f>
        <v>18745812849.9052</v>
      </c>
    </row>
    <row r="65" customFormat="false" ht="15" hidden="false" customHeight="false" outlineLevel="0" collapsed="false">
      <c r="B65" s="87" t="s">
        <v>408</v>
      </c>
      <c r="C65" s="88" t="n">
        <v>0</v>
      </c>
      <c r="D65" s="88" t="n">
        <v>0</v>
      </c>
      <c r="E65" s="88" t="n">
        <v>0</v>
      </c>
      <c r="F65" s="88" t="n">
        <v>0</v>
      </c>
      <c r="G65" s="88" t="n">
        <v>0</v>
      </c>
      <c r="H65" s="88" t="n">
        <v>0</v>
      </c>
      <c r="I65" s="88" t="n">
        <v>0</v>
      </c>
      <c r="J65" s="88" t="n">
        <v>0</v>
      </c>
      <c r="K65" s="88" t="n">
        <v>0</v>
      </c>
    </row>
    <row r="68" customFormat="false" ht="15" hidden="false" customHeight="false" outlineLevel="0" collapsed="false">
      <c r="B68" s="54" t="s">
        <v>409</v>
      </c>
      <c r="C68" s="89" t="n">
        <f aca="false">LN(C53)</f>
        <v>22.220139571763</v>
      </c>
      <c r="D68" s="89" t="n">
        <f aca="false">LN(D53)</f>
        <v>22.3543478174384</v>
      </c>
      <c r="E68" s="89" t="n">
        <f aca="false">LN(E53)</f>
        <v>21.0408464597441</v>
      </c>
      <c r="F68" s="89" t="n">
        <f aca="false">LN(F53)</f>
        <v>19.8122113718675</v>
      </c>
      <c r="G68" s="89" t="n">
        <f aca="false">LN(G53)</f>
        <v>19.2592261272017</v>
      </c>
      <c r="H68" s="89" t="n">
        <f aca="false">LN(H53)</f>
        <v>20.9765893567618</v>
      </c>
      <c r="I68" s="89" t="n">
        <f aca="false">LN(I53)</f>
        <v>20.6259837141399</v>
      </c>
      <c r="J68" s="89" t="n">
        <f aca="false">LN(J53)</f>
        <v>21.3284557387472</v>
      </c>
      <c r="K68" s="89" t="n">
        <f aca="false">LN(K53)</f>
        <v>21.4704276058126</v>
      </c>
    </row>
    <row r="69" customFormat="false" ht="15" hidden="false" customHeight="false" outlineLevel="0" collapsed="false">
      <c r="B69" s="54" t="s">
        <v>410</v>
      </c>
      <c r="C69" s="89" t="n">
        <f aca="false">LN(ABS(C56))</f>
        <v>21.5632800933159</v>
      </c>
      <c r="D69" s="89" t="n">
        <f aca="false">LN(ABS(D56))</f>
        <v>21.5656085838682</v>
      </c>
      <c r="E69" s="89" t="n">
        <f aca="false">LN(ABS(E56))</f>
        <v>21.6071986527124</v>
      </c>
      <c r="F69" s="89" t="n">
        <f aca="false">LN(ABS(F56))</f>
        <v>20.8554338005238</v>
      </c>
      <c r="G69" s="89" t="n">
        <f aca="false">LN(ABS(G56))</f>
        <v>20.8747844845853</v>
      </c>
      <c r="H69" s="89" t="n">
        <f aca="false">LN(ABS(H56))</f>
        <v>20.9104090840196</v>
      </c>
      <c r="I69" s="89" t="n">
        <f aca="false">LN(ABS(I56))</f>
        <v>21.0609516226333</v>
      </c>
      <c r="J69" s="89" t="n">
        <f aca="false">LN(ABS(J56))</f>
        <v>21.0553714107001</v>
      </c>
      <c r="K69" s="89" t="n">
        <f aca="false">LN(ABS(K56))</f>
        <v>21.367065197876</v>
      </c>
    </row>
    <row r="70" customFormat="false" ht="15" hidden="false" customHeight="false" outlineLevel="0" collapsed="false">
      <c r="B70" s="54" t="s">
        <v>371</v>
      </c>
      <c r="C70" s="89" t="n">
        <v>1</v>
      </c>
      <c r="D70" s="89" t="n">
        <v>2</v>
      </c>
      <c r="E70" s="89" t="n">
        <v>3</v>
      </c>
      <c r="F70" s="89" t="n">
        <v>4</v>
      </c>
      <c r="G70" s="89" t="n">
        <v>5</v>
      </c>
      <c r="H70" s="89" t="n">
        <v>6</v>
      </c>
      <c r="I70" s="89" t="n">
        <v>7</v>
      </c>
      <c r="J70" s="89" t="n">
        <v>8</v>
      </c>
      <c r="K70" s="89" t="n">
        <v>9</v>
      </c>
    </row>
    <row r="71" customFormat="false" ht="15" hidden="false" customHeight="false" outlineLevel="0" collapsed="false">
      <c r="B71" s="54" t="s">
        <v>411</v>
      </c>
      <c r="D71" s="16" t="n">
        <f aca="false">IFERROR(D53/C53-1,"")</f>
        <v>0.143630951048638</v>
      </c>
      <c r="E71" s="16" t="n">
        <f aca="false">IFERROR(E53/D53-1,"")</f>
        <v>-0.731123028144205</v>
      </c>
      <c r="F71" s="16" t="n">
        <f aca="false">IFERROR(F53/E53-1,"")</f>
        <v>-0.707308196243995</v>
      </c>
      <c r="G71" s="16" t="n">
        <f aca="false">IFERROR(G53/F53-1,"")</f>
        <v>-0.42476995772196</v>
      </c>
      <c r="H71" s="16" t="n">
        <f aca="false">IFERROR(H53/G53-1,"")</f>
        <v>4.56982274102897</v>
      </c>
      <c r="I71" s="16" t="n">
        <f aca="false">IFERROR(I53/H53-1,"")</f>
        <v>-0.295738570208802</v>
      </c>
      <c r="J71" s="16" t="n">
        <f aca="false">IFERROR(J53/I53-1,"")</f>
        <v>1.01873691171608</v>
      </c>
      <c r="K71" s="16" t="n">
        <f aca="false">IFERROR(K53/J53-1,"")</f>
        <v>0.152544223629614</v>
      </c>
    </row>
    <row r="72" customFormat="false" ht="15" hidden="false" customHeight="false" outlineLevel="0" collapsed="false">
      <c r="B72" s="54" t="s">
        <v>412</v>
      </c>
      <c r="C72" s="16" t="n">
        <f aca="false">QUARTILE(Schedules!D71:K71,1)</f>
        <v>-0.495404517352469</v>
      </c>
      <c r="D72" s="16" t="n">
        <f aca="false">QUARTILE(Schedules!D71:K71,3)</f>
        <v>0.36909239565123</v>
      </c>
      <c r="E72" s="16" t="n">
        <f aca="false">D72-C72</f>
        <v>0.864496913003699</v>
      </c>
      <c r="F72" s="16" t="n">
        <f aca="false">C72-1.5*E72</f>
        <v>-1.79214988685802</v>
      </c>
      <c r="G72" s="16" t="n">
        <f aca="false">D72+1.5*E72</f>
        <v>1.66583776515678</v>
      </c>
    </row>
    <row r="73" customFormat="false" ht="15" hidden="false" customHeight="false" outlineLevel="0" collapsed="false">
      <c r="B73" s="54" t="s">
        <v>376</v>
      </c>
      <c r="C73" s="89" t="n">
        <v>1</v>
      </c>
      <c r="D73" s="89" t="n">
        <f aca="false">IF(IF('Inputs &amp; Assumptions'!$C$8="",'Inputs &amp; Assumptions'!$C$7,'Inputs &amp; Assumptions'!$C$8)=0,1,IF(AND(D71&lt;&gt;"",D71&gt;=$F$72,D71&lt;=$G$72),1,0))</f>
        <v>1</v>
      </c>
      <c r="E73" s="89" t="n">
        <f aca="false">IF(IF('Inputs &amp; Assumptions'!$C$8="",'Inputs &amp; Assumptions'!$C$7,'Inputs &amp; Assumptions'!$C$8)=0,1,IF(AND(E71&lt;&gt;"",E71&gt;=$F$72,E71&lt;=$G$72),1,0))</f>
        <v>1</v>
      </c>
      <c r="F73" s="89" t="n">
        <f aca="false">IF(IF('Inputs &amp; Assumptions'!$C$8="",'Inputs &amp; Assumptions'!$C$7,'Inputs &amp; Assumptions'!$C$8)=0,1,IF(AND(F71&lt;&gt;"",F71&gt;=$F$72,F71&lt;=$G$72),1,0))</f>
        <v>1</v>
      </c>
      <c r="G73" s="89" t="n">
        <f aca="false">IF(IF('Inputs &amp; Assumptions'!$C$8="",'Inputs &amp; Assumptions'!$C$7,'Inputs &amp; Assumptions'!$C$8)=0,1,IF(AND(G71&lt;&gt;"",G71&gt;=$F$72,G71&lt;=$G$72),1,0))</f>
        <v>1</v>
      </c>
      <c r="H73" s="89" t="n">
        <f aca="false">IF(IF('Inputs &amp; Assumptions'!$C$8="",'Inputs &amp; Assumptions'!$C$7,'Inputs &amp; Assumptions'!$C$8)=0,1,IF(AND(H71&lt;&gt;"",H71&gt;=$F$72,H71&lt;=$G$72),1,0))</f>
        <v>0</v>
      </c>
      <c r="I73" s="89" t="n">
        <f aca="false">IF(IF('Inputs &amp; Assumptions'!$C$8="",'Inputs &amp; Assumptions'!$C$7,'Inputs &amp; Assumptions'!$C$8)=0,1,IF(AND(I71&lt;&gt;"",I71&gt;=$F$72,I71&lt;=$G$72),1,0))</f>
        <v>1</v>
      </c>
      <c r="J73" s="89" t="n">
        <f aca="false">IF(IF('Inputs &amp; Assumptions'!$C$8="",'Inputs &amp; Assumptions'!$C$7,'Inputs &amp; Assumptions'!$C$8)=0,1,IF(AND(J71&lt;&gt;"",J71&gt;=$F$72,J71&lt;=$G$72),1,0))</f>
        <v>1</v>
      </c>
      <c r="K73" s="89" t="n">
        <f aca="false">IF(IF('Inputs &amp; Assumptions'!$C$8="",'Inputs &amp; Assumptions'!$C$7,'Inputs &amp; Assumptions'!$C$8)=0,1,IF(AND(K71&lt;&gt;"",K71&gt;=$F$72,K71&lt;=$G$72),1,0))</f>
        <v>1</v>
      </c>
    </row>
    <row r="74" customFormat="false" ht="15" hidden="false" customHeight="false" outlineLevel="0" collapsed="false">
      <c r="B74" s="54" t="s">
        <v>413</v>
      </c>
      <c r="C74" s="89" t="n">
        <f aca="false">IF(C73=1,IFERROR(LN(C53),""),"")</f>
        <v>22.220139571763</v>
      </c>
      <c r="D74" s="89" t="n">
        <f aca="false">IF(D73=1,IFERROR(LN(D53),""),"")</f>
        <v>22.3543478174384</v>
      </c>
      <c r="E74" s="89" t="n">
        <f aca="false">IF(E73=1,IFERROR(LN(E53),""),"")</f>
        <v>21.0408464597441</v>
      </c>
      <c r="F74" s="89" t="n">
        <f aca="false">IF(F73=1,IFERROR(LN(F53),""),"")</f>
        <v>19.8122113718675</v>
      </c>
      <c r="G74" s="89" t="n">
        <f aca="false">IF(G73=1,IFERROR(LN(G53),""),"")</f>
        <v>19.2592261272017</v>
      </c>
      <c r="H74" s="89" t="str">
        <f aca="false">IF(H73=1,IFERROR(LN(H53),""),"")</f>
        <v/>
      </c>
      <c r="I74" s="89" t="n">
        <f aca="false">IF(I73=1,IFERROR(LN(I53),""),"")</f>
        <v>20.6259837141399</v>
      </c>
      <c r="J74" s="89" t="n">
        <f aca="false">IF(J73=1,IFERROR(LN(J53),""),"")</f>
        <v>21.3284557387472</v>
      </c>
      <c r="K74" s="89" t="n">
        <f aca="false">IF(K73=1,IFERROR(LN(K53),""),"")</f>
        <v>21.4704276058126</v>
      </c>
    </row>
    <row r="76" customFormat="false" ht="30" hidden="false" customHeight="true" outlineLevel="0" collapsed="false">
      <c r="B76" s="90" t="str">
        <f aca="false">IF(IF('Inputs &amp; Assumptions'!$C$8="",'Inputs &amp; Assumptions'!$C$7,'Inputs &amp; Assumptions'!$C$8)=0,"",IF(_xlfn.TEXTJOIN(", ",TRUE(),IF(C73=0,"FY2017",""),IF(D73=0,"FY2018",""),IF(E73=0,"FY2019",""),IF(F73=0,"FY2020",""),IF(G73=0,"FY2021",""),IF(H73=0,"FY2022",""),IF(I73=0,"FY2023",""),IF(J73=0,"FY2024",""),IF(K73=0,"FY2025",""))="","","⚠ Years excluded from PP&amp;E Additions Growth trend as statistical anomalies (outside the IQR fence on YoY growth): "&amp;_xlfn.TEXTJOIN(", ",TRUE(),IF(C73=0,"FY2017",""),IF(D73=0,"FY2018",""),IF(E73=0,"FY2019",""),IF(F73=0,"FY2020",""),IF(G73=0,"FY2021",""),IF(H73=0,"FY2022",""),IF(I73=0,"FY2023",""),IF(J73=0,"FY2024",""),IF(K73=0,"FY2025",""))))</f>
        <v>⚠ Years excluded from PP&amp;E Additions Growth trend as statistical anomalies (outside the IQR fence on YoY growth): FY2022</v>
      </c>
    </row>
    <row r="77" customFormat="false" ht="15" hidden="false" customHeight="false" outlineLevel="0" collapsed="false">
      <c r="B77" s="54" t="s">
        <v>414</v>
      </c>
      <c r="D77" s="91" t="n">
        <f aca="false">IFERROR(D57/C64,0)</f>
        <v>0</v>
      </c>
      <c r="E77" s="91" t="n">
        <f aca="false">IFERROR(E57/D64,0)</f>
        <v>0</v>
      </c>
      <c r="F77" s="91" t="n">
        <f aca="false">IFERROR(F57/E64,0)</f>
        <v>0</v>
      </c>
      <c r="G77" s="91" t="n">
        <f aca="false">IFERROR(G57/F64,0)</f>
        <v>0</v>
      </c>
      <c r="H77" s="91" t="n">
        <f aca="false">IFERROR(H57/G64,0)</f>
        <v>0</v>
      </c>
      <c r="I77" s="91" t="n">
        <f aca="false">IFERROR(I57/H64,0)</f>
        <v>0</v>
      </c>
      <c r="J77" s="91" t="n">
        <f aca="false">IFERROR(J57/I64,0)</f>
        <v>0</v>
      </c>
      <c r="K77" s="91" t="n">
        <f aca="false">IFERROR(K57/J64,0)</f>
        <v>0</v>
      </c>
    </row>
    <row r="78" customFormat="false" ht="15" hidden="false" customHeight="false" outlineLevel="0" collapsed="false">
      <c r="B78" s="54" t="s">
        <v>415</v>
      </c>
      <c r="D78" s="91" t="n">
        <f aca="false">IFERROR(D60/C64,0)</f>
        <v>0</v>
      </c>
      <c r="E78" s="91" t="n">
        <f aca="false">IFERROR(E60/D64,0)</f>
        <v>0</v>
      </c>
      <c r="F78" s="91" t="n">
        <f aca="false">IFERROR(F60/E64,0)</f>
        <v>0</v>
      </c>
      <c r="G78" s="91" t="n">
        <f aca="false">IFERROR(G60/F64,0)</f>
        <v>0</v>
      </c>
      <c r="H78" s="91" t="n">
        <f aca="false">IFERROR(H60/G64,0)</f>
        <v>0</v>
      </c>
      <c r="I78" s="91" t="n">
        <f aca="false">IFERROR(I60/H64,0)</f>
        <v>0</v>
      </c>
      <c r="J78" s="91" t="n">
        <f aca="false">IFERROR(J60/I64,0)</f>
        <v>0</v>
      </c>
      <c r="K78" s="91" t="n">
        <f aca="false">IFERROR(K60/J64,0)</f>
        <v>0</v>
      </c>
    </row>
    <row r="79" customFormat="false" ht="15" hidden="false" customHeight="false" outlineLevel="0" collapsed="false">
      <c r="B79" s="54" t="s">
        <v>416</v>
      </c>
      <c r="D79" s="91" t="n">
        <f aca="false">IFERROR(D61/C64,0)</f>
        <v>0</v>
      </c>
      <c r="E79" s="91" t="n">
        <f aca="false">IFERROR(E61/D64,0)</f>
        <v>0</v>
      </c>
      <c r="F79" s="91" t="n">
        <f aca="false">IFERROR(F61/E64,0)</f>
        <v>0</v>
      </c>
      <c r="G79" s="91" t="n">
        <f aca="false">IFERROR(G61/F64,0)</f>
        <v>0</v>
      </c>
      <c r="H79" s="91" t="n">
        <f aca="false">IFERROR(H61/G64,0)</f>
        <v>0</v>
      </c>
      <c r="I79" s="91" t="n">
        <f aca="false">IFERROR(I61/H64,0)</f>
        <v>0</v>
      </c>
      <c r="J79" s="91" t="n">
        <f aca="false">IFERROR(J61/I64,0)</f>
        <v>0</v>
      </c>
      <c r="K79" s="91" t="n">
        <f aca="false">IFERROR(K61/J64,0)</f>
        <v>0</v>
      </c>
    </row>
    <row r="81" customFormat="false" ht="15" hidden="false" customHeight="false" outlineLevel="0" collapsed="false">
      <c r="B81" s="54" t="s">
        <v>417</v>
      </c>
      <c r="C81" s="89" t="n">
        <f aca="false">IF('Inputs &amp; Assumptions'!$C$49="",'Inputs &amp; Assumptions'!$C$48,'Inputs &amp; Assumptions'!$C$49)/2</f>
        <v>7.5</v>
      </c>
    </row>
    <row r="82" customFormat="false" ht="15" hidden="false" customHeight="false" outlineLevel="0" collapsed="false">
      <c r="B82" s="82" t="s">
        <v>418</v>
      </c>
      <c r="L82" s="84" t="n">
        <f aca="false">IF(1&lt;=$C$81,K64/$C$81,0)</f>
        <v>1096080000</v>
      </c>
      <c r="M82" s="84" t="n">
        <f aca="false">IF(2&lt;=$C$81,K64/$C$81,0)</f>
        <v>1096080000</v>
      </c>
      <c r="N82" s="84" t="n">
        <f aca="false">IF(3&lt;=$C$81,K64/$C$81,0)</f>
        <v>1096080000</v>
      </c>
      <c r="O82" s="84" t="n">
        <f aca="false">IF(4&lt;=$C$81,K64/$C$81,0)</f>
        <v>1096080000</v>
      </c>
      <c r="P82" s="84" t="n">
        <f aca="false">IF(5&lt;=$C$81,K64/$C$81,0)</f>
        <v>1096080000</v>
      </c>
      <c r="Q82" s="84" t="n">
        <f aca="false">IF(6&lt;=$C$81,K64/$C$81,0)</f>
        <v>1096080000</v>
      </c>
      <c r="R82" s="84" t="n">
        <f aca="false">IF(7&lt;=$C$81,K64/$C$81,0)</f>
        <v>1096080000</v>
      </c>
      <c r="S82" s="84" t="n">
        <f aca="false">IF(8&lt;=$C$81,K64/$C$81,0)</f>
        <v>0</v>
      </c>
      <c r="T82" s="84" t="n">
        <f aca="false">IF(9&lt;=$C$81,K64/$C$81,0)</f>
        <v>0</v>
      </c>
      <c r="U82" s="84" t="n">
        <f aca="false">IF(10&lt;=$C$81,K64/$C$81,0)</f>
        <v>0</v>
      </c>
    </row>
    <row r="83" customFormat="false" ht="15" hidden="false" customHeight="false" outlineLevel="0" collapsed="false">
      <c r="B83" s="82" t="s">
        <v>419</v>
      </c>
      <c r="L83" s="84" t="n">
        <f aca="false">SUM($L53:L53)/(IF('Inputs &amp; Assumptions'!$C$49="",'Inputs &amp; Assumptions'!$C$48,'Inputs &amp; Assumptions'!$C$49))</f>
        <v>147421702.488155</v>
      </c>
      <c r="M83" s="84" t="n">
        <f aca="false">SUM($L53:M53)/(IF('Inputs &amp; Assumptions'!$C$49="",'Inputs &amp; Assumptions'!$C$48,'Inputs &amp; Assumptions'!$C$49))</f>
        <v>301889445.352055</v>
      </c>
      <c r="N83" s="84" t="n">
        <f aca="false">SUM($L53:N53)/(IF('Inputs &amp; Assumptions'!$C$49="",'Inputs &amp; Assumptions'!$C$48,'Inputs &amp; Assumptions'!$C$49))</f>
        <v>463777152.800438</v>
      </c>
      <c r="O83" s="84" t="n">
        <f aca="false">SUM($L53:O53)/(IF('Inputs &amp; Assumptions'!$C$49="",'Inputs &amp; Assumptions'!$C$48,'Inputs &amp; Assumptions'!$C$49))</f>
        <v>633475941.904106</v>
      </c>
      <c r="P83" s="84" t="n">
        <f aca="false">SUM($L53:P53)/(IF('Inputs &amp; Assumptions'!$C$49="",'Inputs &amp; Assumptions'!$C$48,'Inputs &amp; Assumptions'!$C$49))</f>
        <v>811395097.49006</v>
      </c>
      <c r="Q83" s="84" t="n">
        <f aca="false">SUM($L53:Q53)/(IF('Inputs &amp; Assumptions'!$C$49="",'Inputs &amp; Assumptions'!$C$48,'Inputs &amp; Assumptions'!$C$49))</f>
        <v>997963085.232569</v>
      </c>
      <c r="R83" s="84" t="n">
        <f aca="false">SUM($L53:R53)/(IF('Inputs &amp; Assumptions'!$C$49="",'Inputs &amp; Assumptions'!$C$48,'Inputs &amp; Assumptions'!$C$49))</f>
        <v>1193628606.06926</v>
      </c>
      <c r="S83" s="84" t="n">
        <f aca="false">SUM($L53:S53)/(IF('Inputs &amp; Assumptions'!$C$49="",'Inputs &amp; Assumptions'!$C$48,'Inputs &amp; Assumptions'!$C$49))</f>
        <v>1398861695.05346</v>
      </c>
      <c r="T83" s="84" t="n">
        <f aca="false">SUM($L53:T53)/(IF('Inputs &amp; Assumptions'!$C$49="",'Inputs &amp; Assumptions'!$C$48,'Inputs &amp; Assumptions'!$C$49))</f>
        <v>1614154867.76461</v>
      </c>
      <c r="U83" s="84" t="n">
        <f aca="false">SUM($L53:U53)/(IF('Inputs &amp; Assumptions'!$C$49="",'Inputs &amp; Assumptions'!$C$48,'Inputs &amp; Assumptions'!$C$49))</f>
        <v>1840024317.43285</v>
      </c>
    </row>
    <row r="86" customFormat="false" ht="17.35" hidden="false" customHeight="false" outlineLevel="0" collapsed="false">
      <c r="A86" s="0" t="s">
        <v>26</v>
      </c>
      <c r="B86" s="81" t="s">
        <v>420</v>
      </c>
    </row>
    <row r="89" customFormat="false" ht="15" hidden="false" customHeight="false" outlineLevel="0" collapsed="false">
      <c r="B89" s="82" t="s">
        <v>421</v>
      </c>
      <c r="C89" s="54" t="s">
        <v>327</v>
      </c>
      <c r="D89" s="92" t="n">
        <f aca="false">C93</f>
        <v>69173600000</v>
      </c>
      <c r="E89" s="92" t="n">
        <f aca="false">D93</f>
        <v>116051600000</v>
      </c>
      <c r="F89" s="92" t="n">
        <f aca="false">E93</f>
        <v>96239300000</v>
      </c>
      <c r="G89" s="92" t="n">
        <f aca="false">F93</f>
        <v>96856200000</v>
      </c>
      <c r="H89" s="92" t="n">
        <f aca="false">G93</f>
        <v>62025400000</v>
      </c>
      <c r="I89" s="92" t="n">
        <f aca="false">H93</f>
        <v>63905600000</v>
      </c>
      <c r="J89" s="92" t="n">
        <f aca="false">I93</f>
        <v>19048800000</v>
      </c>
      <c r="K89" s="92" t="n">
        <f aca="false">J93</f>
        <v>1099500000</v>
      </c>
      <c r="L89" s="92" t="n">
        <f aca="false">K93</f>
        <v>2833300000</v>
      </c>
      <c r="M89" s="92" t="n">
        <f aca="false">L93</f>
        <v>2833300000</v>
      </c>
      <c r="N89" s="92" t="n">
        <f aca="false">M93</f>
        <v>3576001875.29281</v>
      </c>
      <c r="O89" s="92" t="n">
        <f aca="false">N93</f>
        <v>4553220841.91227</v>
      </c>
      <c r="P89" s="92" t="n">
        <f aca="false">O93</f>
        <v>5797301522.29458</v>
      </c>
      <c r="Q89" s="92" t="n">
        <f aca="false">P93</f>
        <v>7348548984.88864</v>
      </c>
      <c r="R89" s="92" t="n">
        <f aca="false">Q93</f>
        <v>9247376214.81575</v>
      </c>
      <c r="S89" s="92" t="n">
        <f aca="false">R93</f>
        <v>11533617422.6056</v>
      </c>
      <c r="T89" s="92" t="n">
        <f aca="false">S93</f>
        <v>14245989623.6881</v>
      </c>
      <c r="U89" s="92" t="n">
        <f aca="false">T93</f>
        <v>17479728778.0114</v>
      </c>
    </row>
    <row r="90" customFormat="false" ht="15" hidden="false" customHeight="false" outlineLevel="0" collapsed="false">
      <c r="B90" s="82" t="s">
        <v>422</v>
      </c>
      <c r="C90" s="83" t="n">
        <f aca="false">(IFERROR(INDEX(HS_CONSOLIDATED!D:D,MATCH("ProceedsFromBorrowingsClassifiedAsFinancingActivities",HS_CONSOLIDATED!$C:$C,0)),0))+(IFERROR(INDEX(HS_CONSOLIDATED!D:D,MATCH("ProceedsFromIssuingDebenturesNotesBondsEtc",HS_CONSOLIDATED!$C:$C,0)),0))</f>
        <v>4760100000</v>
      </c>
      <c r="D90" s="83" t="n">
        <f aca="false">(IFERROR(INDEX(HS_CONSOLIDATED!E:E,MATCH("ProceedsFromBorrowingsClassifiedAsFinancingActivities",HS_CONSOLIDATED!$C:$C,0)),0))+(IFERROR(INDEX(HS_CONSOLIDATED!E:E,MATCH("ProceedsFromIssuingDebenturesNotesBondsEtc",HS_CONSOLIDATED!$C:$C,0)),0))</f>
        <v>20617300000</v>
      </c>
      <c r="E90" s="83" t="n">
        <f aca="false">(IFERROR(INDEX(HS_CONSOLIDATED!F:F,MATCH("ProceedsFromBorrowingsClassifiedAsFinancingActivities",HS_CONSOLIDATED!$C:$C,0)),0))+(IFERROR(INDEX(HS_CONSOLIDATED!F:F,MATCH("ProceedsFromIssuingDebenturesNotesBondsEtc",HS_CONSOLIDATED!$C:$C,0)),0))</f>
        <v>-4922000000</v>
      </c>
      <c r="F90" s="83" t="n">
        <f aca="false">(IFERROR(INDEX(HS_CONSOLIDATED!G:G,MATCH("ProceedsFromBorrowingsClassifiedAsFinancingActivities",HS_CONSOLIDATED!$C:$C,0)),0))+(IFERROR(INDEX(HS_CONSOLIDATED!G:G,MATCH("ProceedsFromIssuingDebenturesNotesBondsEtc",HS_CONSOLIDATED!$C:$C,0)),0))</f>
        <v>55872200000</v>
      </c>
      <c r="G90" s="83" t="n">
        <f aca="false">(IFERROR(INDEX(HS_CONSOLIDATED!H:H,MATCH("ProceedsFromBorrowingsClassifiedAsFinancingActivities",HS_CONSOLIDATED!$C:$C,0)),0))+(IFERROR(INDEX(HS_CONSOLIDATED!H:H,MATCH("ProceedsFromIssuingDebenturesNotesBondsEtc",HS_CONSOLIDATED!$C:$C,0)),0))</f>
        <v>-685000000</v>
      </c>
      <c r="H90" s="83" t="n">
        <f aca="false">(IFERROR(INDEX(HS_CONSOLIDATED!I:I,MATCH("ProceedsFromBorrowingsClassifiedAsFinancingActivities",HS_CONSOLIDATED!$C:$C,0)),0))+(IFERROR(INDEX(HS_CONSOLIDATED!I:I,MATCH("ProceedsFromIssuingDebenturesNotesBondsEtc",HS_CONSOLIDATED!$C:$C,0)),0))</f>
        <v>-1485500000</v>
      </c>
      <c r="I90" s="83" t="n">
        <f aca="false">(IFERROR(INDEX(HS_CONSOLIDATED!J:J,MATCH("ProceedsFromBorrowingsClassifiedAsFinancingActivities",HS_CONSOLIDATED!$C:$C,0)),0))+(IFERROR(INDEX(HS_CONSOLIDATED!J:J,MATCH("ProceedsFromIssuingDebenturesNotesBondsEtc",HS_CONSOLIDATED!$C:$C,0)),0))</f>
        <v>30447000000</v>
      </c>
      <c r="J90" s="83" t="n">
        <f aca="false">(IFERROR(INDEX(HS_CONSOLIDATED!K:K,MATCH("ProceedsFromBorrowingsClassifiedAsFinancingActivities",HS_CONSOLIDATED!$C:$C,0)),0))+(IFERROR(INDEX(HS_CONSOLIDATED!K:K,MATCH("ProceedsFromIssuingDebenturesNotesBondsEtc",HS_CONSOLIDATED!$C:$C,0)),0))</f>
        <v>0</v>
      </c>
      <c r="K90" s="83" t="n">
        <f aca="false">(IFERROR(INDEX(HS_CONSOLIDATED!L:L,MATCH("ProceedsFromBorrowingsClassifiedAsFinancingActivities",HS_CONSOLIDATED!$C:$C,0)),0))+(IFERROR(INDEX(HS_CONSOLIDATED!L:L,MATCH("ProceedsFromIssuingDebenturesNotesBondsEtc",HS_CONSOLIDATED!$C:$C,0)),0))</f>
        <v>0</v>
      </c>
      <c r="L90" s="92" t="n">
        <f aca="false">MAX((L93-L89),0)</f>
        <v>0</v>
      </c>
      <c r="M90" s="92" t="n">
        <f aca="false">MAX((M93-M89),0)</f>
        <v>742701875.292808</v>
      </c>
      <c r="N90" s="92" t="n">
        <f aca="false">MAX((N93-N89),0)</f>
        <v>977218966.619458</v>
      </c>
      <c r="O90" s="92" t="n">
        <f aca="false">MAX((O93-O89),0)</f>
        <v>1244080680.38232</v>
      </c>
      <c r="P90" s="92" t="n">
        <f aca="false">MAX((P93-P89),0)</f>
        <v>1551247462.59406</v>
      </c>
      <c r="Q90" s="92" t="n">
        <f aca="false">MAX((Q93-Q89),0)</f>
        <v>1898827229.92711</v>
      </c>
      <c r="R90" s="92" t="n">
        <f aca="false">MAX((R93-R89),0)</f>
        <v>2286241207.78987</v>
      </c>
      <c r="S90" s="92" t="n">
        <f aca="false">MAX((S93-S89),0)</f>
        <v>2712372201.08251</v>
      </c>
      <c r="T90" s="92" t="n">
        <f aca="false">MAX((T93-T89),0)</f>
        <v>3233739154.32325</v>
      </c>
      <c r="U90" s="92" t="n">
        <f aca="false">MAX((U93-U89),0)</f>
        <v>3732316941.09725</v>
      </c>
    </row>
    <row r="91" customFormat="false" ht="15" hidden="false" customHeight="false" outlineLevel="0" collapsed="false">
      <c r="B91" s="82" t="s">
        <v>423</v>
      </c>
      <c r="C91" s="83" t="n">
        <f aca="false">-((IFERROR(INDEX(HS_CONSOLIDATED!D:D,MATCH("RepaymentsOfBorrowingsClassifiedAsFinancingActivities",HS_CONSOLIDATED!$C:$C,0)),0))+IF(IF('Inputs &amp; Assumptions'!$C$63="",'Inputs &amp; Assumptions'!$C$62,'Inputs &amp; Assumptions'!$C$63)=1,IFERROR(INDEX(HS_CONSOLIDATED!D:D,MATCH("PaymentsOfLeaseLiabilitiesClassifiedAsFinancingActivities",HS_CONSOLIDATED!$C:$C,0)),0),0))</f>
        <v>-6970000000</v>
      </c>
      <c r="D91" s="83" t="n">
        <f aca="false">-((IFERROR(INDEX(HS_CONSOLIDATED!E:E,MATCH("RepaymentsOfBorrowingsClassifiedAsFinancingActivities",HS_CONSOLIDATED!$C:$C,0)),0))+IF(IF('Inputs &amp; Assumptions'!$C$63="",'Inputs &amp; Assumptions'!$C$62,'Inputs &amp; Assumptions'!$C$63)=1,IFERROR(INDEX(HS_CONSOLIDATED!E:E,MATCH("PaymentsOfLeaseLiabilitiesClassifiedAsFinancingActivities",HS_CONSOLIDATED!$C:$C,0)),0),0))</f>
        <v>-5216100000</v>
      </c>
      <c r="E91" s="83" t="n">
        <f aca="false">-((IFERROR(INDEX(HS_CONSOLIDATED!F:F,MATCH("RepaymentsOfBorrowingsClassifiedAsFinancingActivities",HS_CONSOLIDATED!$C:$C,0)),0))+IF(IF('Inputs &amp; Assumptions'!$C$63="",'Inputs &amp; Assumptions'!$C$62,'Inputs &amp; Assumptions'!$C$63)=1,IFERROR(INDEX(HS_CONSOLIDATED!F:F,MATCH("PaymentsOfLeaseLiabilitiesClassifiedAsFinancingActivities",HS_CONSOLIDATED!$C:$C,0)),0),0))</f>
        <v>-3035700000</v>
      </c>
      <c r="F91" s="83" t="n">
        <f aca="false">-((IFERROR(INDEX(HS_CONSOLIDATED!G:G,MATCH("RepaymentsOfBorrowingsClassifiedAsFinancingActivities",HS_CONSOLIDATED!$C:$C,0)),0))+IF(IF('Inputs &amp; Assumptions'!$C$63="",'Inputs &amp; Assumptions'!$C$62,'Inputs &amp; Assumptions'!$C$63)=1,IFERROR(INDEX(HS_CONSOLIDATED!G:G,MATCH("PaymentsOfLeaseLiabilitiesClassifiedAsFinancingActivities",HS_CONSOLIDATED!$C:$C,0)),0),0))</f>
        <v>-41745300000</v>
      </c>
      <c r="G91" s="83" t="n">
        <f aca="false">-((IFERROR(INDEX(HS_CONSOLIDATED!H:H,MATCH("RepaymentsOfBorrowingsClassifiedAsFinancingActivities",HS_CONSOLIDATED!$C:$C,0)),0))+IF(IF('Inputs &amp; Assumptions'!$C$63="",'Inputs &amp; Assumptions'!$C$62,'Inputs &amp; Assumptions'!$C$63)=1,IFERROR(INDEX(HS_CONSOLIDATED!H:H,MATCH("PaymentsOfLeaseLiabilitiesClassifiedAsFinancingActivities",HS_CONSOLIDATED!$C:$C,0)),0),0))</f>
        <v>-1914200000</v>
      </c>
      <c r="H91" s="83" t="n">
        <f aca="false">-((IFERROR(INDEX(HS_CONSOLIDATED!I:I,MATCH("RepaymentsOfBorrowingsClassifiedAsFinancingActivities",HS_CONSOLIDATED!$C:$C,0)),0))+IF(IF('Inputs &amp; Assumptions'!$C$63="",'Inputs &amp; Assumptions'!$C$62,'Inputs &amp; Assumptions'!$C$63)=1,IFERROR(INDEX(HS_CONSOLIDATED!I:I,MATCH("PaymentsOfLeaseLiabilitiesClassifiedAsFinancingActivities",HS_CONSOLIDATED!$C:$C,0)),0),0))</f>
        <v>-5748100000</v>
      </c>
      <c r="I91" s="83" t="n">
        <f aca="false">-((IFERROR(INDEX(HS_CONSOLIDATED!J:J,MATCH("RepaymentsOfBorrowingsClassifiedAsFinancingActivities",HS_CONSOLIDATED!$C:$C,0)),0))+IF(IF('Inputs &amp; Assumptions'!$C$63="",'Inputs &amp; Assumptions'!$C$62,'Inputs &amp; Assumptions'!$C$63)=1,IFERROR(INDEX(HS_CONSOLIDATED!J:J,MATCH("PaymentsOfLeaseLiabilitiesClassifiedAsFinancingActivities",HS_CONSOLIDATED!$C:$C,0)),0),0))</f>
        <v>-43835300000</v>
      </c>
      <c r="J91" s="83" t="n">
        <f aca="false">-((IFERROR(INDEX(HS_CONSOLIDATED!K:K,MATCH("RepaymentsOfBorrowingsClassifiedAsFinancingActivities",HS_CONSOLIDATED!$C:$C,0)),0))+IF(IF('Inputs &amp; Assumptions'!$C$63="",'Inputs &amp; Assumptions'!$C$62,'Inputs &amp; Assumptions'!$C$63)=1,IFERROR(INDEX(HS_CONSOLIDATED!K:K,MATCH("PaymentsOfLeaseLiabilitiesClassifiedAsFinancingActivities",HS_CONSOLIDATED!$C:$C,0)),0),0))</f>
        <v>-18033600000</v>
      </c>
      <c r="K91" s="83" t="n">
        <f aca="false">-((IFERROR(INDEX(HS_CONSOLIDATED!L:L,MATCH("RepaymentsOfBorrowingsClassifiedAsFinancingActivities",HS_CONSOLIDATED!$C:$C,0)),0))+IF(IF('Inputs &amp; Assumptions'!$C$63="",'Inputs &amp; Assumptions'!$C$62,'Inputs &amp; Assumptions'!$C$63)=1,IFERROR(INDEX(HS_CONSOLIDATED!L:L,MATCH("PaymentsOfLeaseLiabilitiesClassifiedAsFinancingActivities",HS_CONSOLIDATED!$C:$C,0)),0),0))</f>
        <v>4194600000</v>
      </c>
      <c r="L91" s="92" t="n">
        <f aca="false">MIN((L93-L89),0)</f>
        <v>0</v>
      </c>
      <c r="M91" s="92" t="n">
        <f aca="false">MIN((M93-M89),0)</f>
        <v>0</v>
      </c>
      <c r="N91" s="92" t="n">
        <f aca="false">MIN((N93-N89),0)</f>
        <v>0</v>
      </c>
      <c r="O91" s="92" t="n">
        <f aca="false">MIN((O93-O89),0)</f>
        <v>0</v>
      </c>
      <c r="P91" s="92" t="n">
        <f aca="false">MIN((P93-P89),0)</f>
        <v>0</v>
      </c>
      <c r="Q91" s="92" t="n">
        <f aca="false">MIN((Q93-Q89),0)</f>
        <v>0</v>
      </c>
      <c r="R91" s="92" t="n">
        <f aca="false">MIN((R93-R89),0)</f>
        <v>0</v>
      </c>
      <c r="S91" s="92" t="n">
        <f aca="false">MIN((S93-S89),0)</f>
        <v>0</v>
      </c>
      <c r="T91" s="92" t="n">
        <f aca="false">MIN((T93-T89),0)</f>
        <v>0</v>
      </c>
      <c r="U91" s="92" t="n">
        <f aca="false">MIN((U93-U89),0)</f>
        <v>0</v>
      </c>
    </row>
    <row r="92" customFormat="false" ht="15" hidden="false" customHeight="false" outlineLevel="0" collapsed="false">
      <c r="B92" s="82" t="s">
        <v>424</v>
      </c>
      <c r="C92" s="54" t="s">
        <v>327</v>
      </c>
      <c r="D92" s="92" t="n">
        <f aca="false">((IFERROR(INDEX(HS_CONSOLIDATED!E:E,MATCH("BorrowingsNoncurrent",HS_CONSOLIDATED!$C:$C,0)),0)+IFERROR(INDEX(HS_CONSOLIDATED!E:E,MATCH("BorrowingsCurrent",HS_CONSOLIDATED!$C:$C,0)),0))+IF(IF('Inputs &amp; Assumptions'!$C$63="",'Inputs &amp; Assumptions'!$C$62,'Inputs &amp; Assumptions'!$C$63)=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D89-D90-D91</f>
        <v>31476800000</v>
      </c>
      <c r="E92" s="92" t="n">
        <f aca="false">((IFERROR(INDEX(HS_CONSOLIDATED!F:F,MATCH("BorrowingsNoncurrent",HS_CONSOLIDATED!$C:$C,0)),0)+IFERROR(INDEX(HS_CONSOLIDATED!F:F,MATCH("BorrowingsCurrent",HS_CONSOLIDATED!$C:$C,0)),0))+IF(IF('Inputs &amp; Assumptions'!$C$63="",'Inputs &amp; Assumptions'!$C$62,'Inputs &amp; Assumptions'!$C$63)=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E89-E90-E91</f>
        <v>-11854600000</v>
      </c>
      <c r="F92" s="92" t="n">
        <f aca="false">((IFERROR(INDEX(HS_CONSOLIDATED!G:G,MATCH("BorrowingsNoncurrent",HS_CONSOLIDATED!$C:$C,0)),0)+IFERROR(INDEX(HS_CONSOLIDATED!G:G,MATCH("BorrowingsCurrent",HS_CONSOLIDATED!$C:$C,0)),0))+IF(IF('Inputs &amp; Assumptions'!$C$63="",'Inputs &amp; Assumptions'!$C$62,'Inputs &amp; Assumptions'!$C$63)=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89-F90-F91</f>
        <v>-13510000000</v>
      </c>
      <c r="G92" s="92" t="n">
        <f aca="false">((IFERROR(INDEX(HS_CONSOLIDATED!H:H,MATCH("BorrowingsNoncurrent",HS_CONSOLIDATED!$C:$C,0)),0)+IFERROR(INDEX(HS_CONSOLIDATED!H:H,MATCH("BorrowingsCurrent",HS_CONSOLIDATED!$C:$C,0)),0))+IF(IF('Inputs &amp; Assumptions'!$C$63="",'Inputs &amp; Assumptions'!$C$62,'Inputs &amp; Assumptions'!$C$63)=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G89-G90-G91</f>
        <v>-32231600000</v>
      </c>
      <c r="H92" s="92" t="n">
        <f aca="false">((IFERROR(INDEX(HS_CONSOLIDATED!I:I,MATCH("BorrowingsNoncurrent",HS_CONSOLIDATED!$C:$C,0)),0)+IFERROR(INDEX(HS_CONSOLIDATED!I:I,MATCH("BorrowingsCurrent",HS_CONSOLIDATED!$C:$C,0)),0))+IF(IF('Inputs &amp; Assumptions'!$C$63="",'Inputs &amp; Assumptions'!$C$62,'Inputs &amp; Assumptions'!$C$63)=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H89-H90-H91</f>
        <v>9113800000</v>
      </c>
      <c r="I92" s="92" t="n">
        <f aca="false">((IFERROR(INDEX(HS_CONSOLIDATED!J:J,MATCH("BorrowingsNoncurrent",HS_CONSOLIDATED!$C:$C,0)),0)+IFERROR(INDEX(HS_CONSOLIDATED!J:J,MATCH("BorrowingsCurrent",HS_CONSOLIDATED!$C:$C,0)),0))+IF(IF('Inputs &amp; Assumptions'!$C$63="",'Inputs &amp; Assumptions'!$C$62,'Inputs &amp; Assumptions'!$C$63)=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I89-I90-I91</f>
        <v>-31468500000</v>
      </c>
      <c r="J92" s="92" t="n">
        <f aca="false">((IFERROR(INDEX(HS_CONSOLIDATED!K:K,MATCH("BorrowingsNoncurrent",HS_CONSOLIDATED!$C:$C,0)),0)+IFERROR(INDEX(HS_CONSOLIDATED!K:K,MATCH("BorrowingsCurrent",HS_CONSOLIDATED!$C:$C,0)),0))+IF(IF('Inputs &amp; Assumptions'!$C$63="",'Inputs &amp; Assumptions'!$C$62,'Inputs &amp; Assumptions'!$C$63)=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J89-J90-J91</f>
        <v>84300000</v>
      </c>
      <c r="K92" s="92" t="n">
        <f aca="false">((IFERROR(INDEX(HS_CONSOLIDATED!L:L,MATCH("BorrowingsNoncurrent",HS_CONSOLIDATED!$C:$C,0)),0)+IFERROR(INDEX(HS_CONSOLIDATED!L:L,MATCH("BorrowingsCurrent",HS_CONSOLIDATED!$C:$C,0)),0))+IF(IF('Inputs &amp; Assumptions'!$C$63="",'Inputs &amp; Assumptions'!$C$62,'Inputs &amp; Assumptions'!$C$63)=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K89-K90-K91</f>
        <v>-2460800000</v>
      </c>
      <c r="L92" s="92" t="n">
        <v>0</v>
      </c>
      <c r="M92" s="92" t="n">
        <v>0</v>
      </c>
      <c r="N92" s="92" t="n">
        <v>0</v>
      </c>
      <c r="O92" s="92" t="n">
        <v>0</v>
      </c>
      <c r="P92" s="92" t="n">
        <v>0</v>
      </c>
      <c r="Q92" s="92" t="n">
        <v>0</v>
      </c>
      <c r="R92" s="92" t="n">
        <v>0</v>
      </c>
      <c r="S92" s="92" t="n">
        <v>0</v>
      </c>
      <c r="T92" s="92" t="n">
        <v>0</v>
      </c>
      <c r="U92" s="92" t="n">
        <v>0</v>
      </c>
    </row>
    <row r="93" customFormat="false" ht="15" hidden="false" customHeight="false" outlineLevel="0" collapsed="false">
      <c r="B93" s="85" t="s">
        <v>425</v>
      </c>
      <c r="C93" s="86" t="n">
        <f aca="false">((IFERROR(INDEX(HS_CONSOLIDATED!D:D,MATCH("BorrowingsNoncurrent",HS_CONSOLIDATED!$C:$C,0)),0)+IFERROR(INDEX(HS_CONSOLIDATED!D:D,MATCH("BorrowingsCurrent",HS_CONSOLIDATED!$C:$C,0)),0))+IF(IF('Inputs &amp; Assumptions'!$C$63="",'Inputs &amp; Assumptions'!$C$62,'Inputs &amp; Assumptions'!$C$63)=1,((IFERROR(INDEX(HS_CONSOLIDATED!D:D,MATCH("NoncurrentLeaseLiabilities",HS_CONSOLIDATED!$C:$C,0)),0)+IFERROR(INDEX(HS_CONSOLIDATED!D:D,MATCH("LeaseLiabilitiesNonCurrent",HS_CONSOLIDATED!$C:$C,0)),0))+(IFERROR(INDEX(HS_CONSOLIDATED!D:D,MATCH("CurrentLeaseLiabilities",HS_CONSOLIDATED!$C:$C,0)),0)+IFERROR(INDEX(HS_CONSOLIDATED!D:D,MATCH("LeaseLiabilitiesCurrent",HS_CONSOLIDATED!$C:$C,0)),0))),0))</f>
        <v>69173600000</v>
      </c>
      <c r="D93" s="86" t="n">
        <f aca="false">((IFERROR(INDEX(HS_CONSOLIDATED!E:E,MATCH("BorrowingsNoncurrent",HS_CONSOLIDATED!$C:$C,0)),0)+IFERROR(INDEX(HS_CONSOLIDATED!E:E,MATCH("BorrowingsCurrent",HS_CONSOLIDATED!$C:$C,0)),0))+IF(IF('Inputs &amp; Assumptions'!$C$63="",'Inputs &amp; Assumptions'!$C$62,'Inputs &amp; Assumptions'!$C$63)=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f>
        <v>116051600000</v>
      </c>
      <c r="E93" s="86" t="n">
        <f aca="false">((IFERROR(INDEX(HS_CONSOLIDATED!F:F,MATCH("BorrowingsNoncurrent",HS_CONSOLIDATED!$C:$C,0)),0)+IFERROR(INDEX(HS_CONSOLIDATED!F:F,MATCH("BorrowingsCurrent",HS_CONSOLIDATED!$C:$C,0)),0))+IF(IF('Inputs &amp; Assumptions'!$C$63="",'Inputs &amp; Assumptions'!$C$62,'Inputs &amp; Assumptions'!$C$63)=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f>
        <v>96239300000</v>
      </c>
      <c r="F93" s="86" t="n">
        <f aca="false">((IFERROR(INDEX(HS_CONSOLIDATED!G:G,MATCH("BorrowingsNoncurrent",HS_CONSOLIDATED!$C:$C,0)),0)+IFERROR(INDEX(HS_CONSOLIDATED!G:G,MATCH("BorrowingsCurrent",HS_CONSOLIDATED!$C:$C,0)),0))+IF(IF('Inputs &amp; Assumptions'!$C$63="",'Inputs &amp; Assumptions'!$C$62,'Inputs &amp; Assumptions'!$C$63)=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
        <v>96856200000</v>
      </c>
      <c r="G93" s="86" t="n">
        <f aca="false">((IFERROR(INDEX(HS_CONSOLIDATED!H:H,MATCH("BorrowingsNoncurrent",HS_CONSOLIDATED!$C:$C,0)),0)+IFERROR(INDEX(HS_CONSOLIDATED!H:H,MATCH("BorrowingsCurrent",HS_CONSOLIDATED!$C:$C,0)),0))+IF(IF('Inputs &amp; Assumptions'!$C$63="",'Inputs &amp; Assumptions'!$C$62,'Inputs &amp; Assumptions'!$C$63)=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f>
        <v>62025400000</v>
      </c>
      <c r="H93" s="86" t="n">
        <f aca="false">((IFERROR(INDEX(HS_CONSOLIDATED!I:I,MATCH("BorrowingsNoncurrent",HS_CONSOLIDATED!$C:$C,0)),0)+IFERROR(INDEX(HS_CONSOLIDATED!I:I,MATCH("BorrowingsCurrent",HS_CONSOLIDATED!$C:$C,0)),0))+IF(IF('Inputs &amp; Assumptions'!$C$63="",'Inputs &amp; Assumptions'!$C$62,'Inputs &amp; Assumptions'!$C$63)=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f>
        <v>63905600000</v>
      </c>
      <c r="I93" s="86" t="n">
        <f aca="false">((IFERROR(INDEX(HS_CONSOLIDATED!J:J,MATCH("BorrowingsNoncurrent",HS_CONSOLIDATED!$C:$C,0)),0)+IFERROR(INDEX(HS_CONSOLIDATED!J:J,MATCH("BorrowingsCurrent",HS_CONSOLIDATED!$C:$C,0)),0))+IF(IF('Inputs &amp; Assumptions'!$C$63="",'Inputs &amp; Assumptions'!$C$62,'Inputs &amp; Assumptions'!$C$63)=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f>
        <v>19048800000</v>
      </c>
      <c r="J93" s="86" t="n">
        <f aca="false">((IFERROR(INDEX(HS_CONSOLIDATED!K:K,MATCH("BorrowingsNoncurrent",HS_CONSOLIDATED!$C:$C,0)),0)+IFERROR(INDEX(HS_CONSOLIDATED!K:K,MATCH("BorrowingsCurrent",HS_CONSOLIDATED!$C:$C,0)),0))+IF(IF('Inputs &amp; Assumptions'!$C$63="",'Inputs &amp; Assumptions'!$C$62,'Inputs &amp; Assumptions'!$C$63)=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f>
        <v>1099500000</v>
      </c>
      <c r="K93" s="86" t="n">
        <f aca="false">((IFERROR(INDEX(HS_CONSOLIDATED!L:L,MATCH("BorrowingsNoncurrent",HS_CONSOLIDATED!$C:$C,0)),0)+IFERROR(INDEX(HS_CONSOLIDATED!L:L,MATCH("BorrowingsCurrent",HS_CONSOLIDATED!$C:$C,0)),0))+IF(IF('Inputs &amp; Assumptions'!$C$63="",'Inputs &amp; Assumptions'!$C$62,'Inputs &amp; Assumptions'!$C$63)=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f>
        <v>2833300000</v>
      </c>
      <c r="L93" s="86" t="n">
        <f aca="false">(IF('Inputs &amp; Assumptions'!C69="",'Inputs &amp; Assumptions'!C68,'Inputs &amp; Assumptions'!C69))*(K132+K140)/(1-(IF('Inputs &amp; Assumptions'!C69="",'Inputs &amp; Assumptions'!C68,'Inputs &amp; Assumptions'!C69)))</f>
        <v>2833300000</v>
      </c>
      <c r="M93" s="86" t="n">
        <f aca="false">(IF('Inputs &amp; Assumptions'!D69="",'Inputs &amp; Assumptions'!D68,'Inputs &amp; Assumptions'!D69))*(L132+L140)/(1-(IF('Inputs &amp; Assumptions'!D69="",'Inputs &amp; Assumptions'!D68,'Inputs &amp; Assumptions'!D69)))</f>
        <v>3576001875.29281</v>
      </c>
      <c r="N93" s="86" t="n">
        <f aca="false">(IF('Inputs &amp; Assumptions'!E69="",'Inputs &amp; Assumptions'!E68,'Inputs &amp; Assumptions'!E69))*(M132+M140)/(1-(IF('Inputs &amp; Assumptions'!E69="",'Inputs &amp; Assumptions'!E68,'Inputs &amp; Assumptions'!E69)))</f>
        <v>4553220841.91227</v>
      </c>
      <c r="O93" s="86" t="n">
        <f aca="false">(IF('Inputs &amp; Assumptions'!F69="",'Inputs &amp; Assumptions'!F68,'Inputs &amp; Assumptions'!F69))*(N132+N140)/(1-(IF('Inputs &amp; Assumptions'!F69="",'Inputs &amp; Assumptions'!F68,'Inputs &amp; Assumptions'!F69)))</f>
        <v>5797301522.29458</v>
      </c>
      <c r="P93" s="86" t="n">
        <f aca="false">(IF('Inputs &amp; Assumptions'!G69="",'Inputs &amp; Assumptions'!G68,'Inputs &amp; Assumptions'!G69))*(O132+O140)/(1-(IF('Inputs &amp; Assumptions'!G69="",'Inputs &amp; Assumptions'!G68,'Inputs &amp; Assumptions'!G69)))</f>
        <v>7348548984.88864</v>
      </c>
      <c r="Q93" s="86" t="n">
        <f aca="false">(IF('Inputs &amp; Assumptions'!H69="",'Inputs &amp; Assumptions'!H68,'Inputs &amp; Assumptions'!H69))*(P132+P140)/(1-(IF('Inputs &amp; Assumptions'!H69="",'Inputs &amp; Assumptions'!H68,'Inputs &amp; Assumptions'!H69)))</f>
        <v>9247376214.81575</v>
      </c>
      <c r="R93" s="86" t="n">
        <f aca="false">(IF('Inputs &amp; Assumptions'!I69="",'Inputs &amp; Assumptions'!I68,'Inputs &amp; Assumptions'!I69))*(Q132+Q140)/(1-(IF('Inputs &amp; Assumptions'!I69="",'Inputs &amp; Assumptions'!I68,'Inputs &amp; Assumptions'!I69)))</f>
        <v>11533617422.6056</v>
      </c>
      <c r="S93" s="86" t="n">
        <f aca="false">(IF('Inputs &amp; Assumptions'!J69="",'Inputs &amp; Assumptions'!J68,'Inputs &amp; Assumptions'!J69))*(R132+R140)/(1-(IF('Inputs &amp; Assumptions'!J69="",'Inputs &amp; Assumptions'!J68,'Inputs &amp; Assumptions'!J69)))</f>
        <v>14245989623.6881</v>
      </c>
      <c r="T93" s="86" t="n">
        <f aca="false">(IF('Inputs &amp; Assumptions'!K69="",'Inputs &amp; Assumptions'!K68,'Inputs &amp; Assumptions'!K69))*(S132+S140)/(1-(IF('Inputs &amp; Assumptions'!K69="",'Inputs &amp; Assumptions'!K68,'Inputs &amp; Assumptions'!K69)))</f>
        <v>17479728778.0114</v>
      </c>
      <c r="U93" s="86" t="n">
        <f aca="false">(IF('Inputs &amp; Assumptions'!L69="",'Inputs &amp; Assumptions'!L68,'Inputs &amp; Assumptions'!L69))*(T132+T140)/(1-(IF('Inputs &amp; Assumptions'!L69="",'Inputs &amp; Assumptions'!L68,'Inputs &amp; Assumptions'!L69)))</f>
        <v>21212045719.1086</v>
      </c>
    </row>
    <row r="94" customFormat="false" ht="15" hidden="false" customHeight="false" outlineLevel="0" collapsed="false">
      <c r="B94" s="87" t="s">
        <v>408</v>
      </c>
      <c r="C94" s="54" t="s">
        <v>327</v>
      </c>
      <c r="D94" s="88" t="n">
        <f aca="false">D93-((IFERROR(INDEX(HS_CONSOLIDATED!E:E,MATCH("BorrowingsNoncurrent",HS_CONSOLIDATED!$C:$C,0)),0)+IFERROR(INDEX(HS_CONSOLIDATED!E:E,MATCH("BorrowingsCurrent",HS_CONSOLIDATED!$C:$C,0)),0))+IF(IF('Inputs &amp; Assumptions'!$C$63="",'Inputs &amp; Assumptions'!$C$62,'Inputs &amp; Assumptions'!$C$63)=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0))</f>
        <v>0</v>
      </c>
      <c r="E94" s="88" t="n">
        <f aca="false">E93-((IFERROR(INDEX(HS_CONSOLIDATED!F:F,MATCH("BorrowingsNoncurrent",HS_CONSOLIDATED!$C:$C,0)),0)+IFERROR(INDEX(HS_CONSOLIDATED!F:F,MATCH("BorrowingsCurrent",HS_CONSOLIDATED!$C:$C,0)),0))+IF(IF('Inputs &amp; Assumptions'!$C$63="",'Inputs &amp; Assumptions'!$C$62,'Inputs &amp; Assumptions'!$C$63)=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0))</f>
        <v>0</v>
      </c>
      <c r="F94" s="88" t="n">
        <f aca="false">F93-((IFERROR(INDEX(HS_CONSOLIDATED!G:G,MATCH("BorrowingsNoncurrent",HS_CONSOLIDATED!$C:$C,0)),0)+IFERROR(INDEX(HS_CONSOLIDATED!G:G,MATCH("BorrowingsCurrent",HS_CONSOLIDATED!$C:$C,0)),0))+IF(IF('Inputs &amp; Assumptions'!$C$63="",'Inputs &amp; Assumptions'!$C$62,'Inputs &amp; Assumptions'!$C$63)=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0))</f>
        <v>0</v>
      </c>
      <c r="G94" s="88" t="n">
        <f aca="false">G93-((IFERROR(INDEX(HS_CONSOLIDATED!H:H,MATCH("BorrowingsNoncurrent",HS_CONSOLIDATED!$C:$C,0)),0)+IFERROR(INDEX(HS_CONSOLIDATED!H:H,MATCH("BorrowingsCurrent",HS_CONSOLIDATED!$C:$C,0)),0))+IF(IF('Inputs &amp; Assumptions'!$C$63="",'Inputs &amp; Assumptions'!$C$62,'Inputs &amp; Assumptions'!$C$63)=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0))</f>
        <v>0</v>
      </c>
      <c r="H94" s="88" t="n">
        <f aca="false">H93-((IFERROR(INDEX(HS_CONSOLIDATED!I:I,MATCH("BorrowingsNoncurrent",HS_CONSOLIDATED!$C:$C,0)),0)+IFERROR(INDEX(HS_CONSOLIDATED!I:I,MATCH("BorrowingsCurrent",HS_CONSOLIDATED!$C:$C,0)),0))+IF(IF('Inputs &amp; Assumptions'!$C$63="",'Inputs &amp; Assumptions'!$C$62,'Inputs &amp; Assumptions'!$C$63)=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0))</f>
        <v>0</v>
      </c>
      <c r="I94" s="88" t="n">
        <f aca="false">I93-((IFERROR(INDEX(HS_CONSOLIDATED!J:J,MATCH("BorrowingsNoncurrent",HS_CONSOLIDATED!$C:$C,0)),0)+IFERROR(INDEX(HS_CONSOLIDATED!J:J,MATCH("BorrowingsCurrent",HS_CONSOLIDATED!$C:$C,0)),0))+IF(IF('Inputs &amp; Assumptions'!$C$63="",'Inputs &amp; Assumptions'!$C$62,'Inputs &amp; Assumptions'!$C$63)=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0))</f>
        <v>0</v>
      </c>
      <c r="J94" s="88" t="n">
        <f aca="false">J93-((IFERROR(INDEX(HS_CONSOLIDATED!K:K,MATCH("BorrowingsNoncurrent",HS_CONSOLIDATED!$C:$C,0)),0)+IFERROR(INDEX(HS_CONSOLIDATED!K:K,MATCH("BorrowingsCurrent",HS_CONSOLIDATED!$C:$C,0)),0))+IF(IF('Inputs &amp; Assumptions'!$C$63="",'Inputs &amp; Assumptions'!$C$62,'Inputs &amp; Assumptions'!$C$63)=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0))</f>
        <v>0</v>
      </c>
      <c r="K94" s="88" t="n">
        <f aca="false">K93-((IFERROR(INDEX(HS_CONSOLIDATED!L:L,MATCH("BorrowingsNoncurrent",HS_CONSOLIDATED!$C:$C,0)),0)+IFERROR(INDEX(HS_CONSOLIDATED!L:L,MATCH("BorrowingsCurrent",HS_CONSOLIDATED!$C:$C,0)),0))+IF(IF('Inputs &amp; Assumptions'!$C$63="",'Inputs &amp; Assumptions'!$C$62,'Inputs &amp; Assumptions'!$C$63)=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0))</f>
        <v>0</v>
      </c>
    </row>
    <row r="96" customFormat="false" ht="15" hidden="false" customHeight="false" outlineLevel="0" collapsed="false">
      <c r="B96" s="54" t="s">
        <v>426</v>
      </c>
      <c r="C96" s="89" t="n">
        <f aca="false">AVERAGE(C93,C93)</f>
        <v>69173600000</v>
      </c>
      <c r="D96" s="89" t="n">
        <f aca="false">AVERAGE(D89,D93)</f>
        <v>92612600000</v>
      </c>
      <c r="E96" s="89" t="n">
        <f aca="false">AVERAGE(E89,E93)</f>
        <v>106145450000</v>
      </c>
      <c r="F96" s="89" t="n">
        <f aca="false">AVERAGE(F89,F93)</f>
        <v>96547750000</v>
      </c>
      <c r="G96" s="89" t="n">
        <f aca="false">AVERAGE(G89,G93)</f>
        <v>79440800000</v>
      </c>
      <c r="H96" s="89" t="n">
        <f aca="false">AVERAGE(H89,H93)</f>
        <v>62965500000</v>
      </c>
      <c r="I96" s="89" t="n">
        <f aca="false">AVERAGE(I89,I93)</f>
        <v>41477200000</v>
      </c>
      <c r="J96" s="89" t="n">
        <f aca="false">AVERAGE(J89,J93)</f>
        <v>10074150000</v>
      </c>
      <c r="K96" s="89" t="n">
        <f aca="false">AVERAGE(K89,K93)</f>
        <v>1966400000</v>
      </c>
      <c r="L96" s="89" t="n">
        <f aca="false">AVERAGE(L89,L93)</f>
        <v>2833300000</v>
      </c>
      <c r="M96" s="89" t="n">
        <f aca="false">AVERAGE(M89,M93)</f>
        <v>3204650937.6464</v>
      </c>
      <c r="N96" s="89" t="n">
        <f aca="false">AVERAGE(N89,N93)</f>
        <v>4064611358.60254</v>
      </c>
      <c r="O96" s="89" t="n">
        <f aca="false">AVERAGE(O89,O93)</f>
        <v>5175261182.10342</v>
      </c>
      <c r="P96" s="89" t="n">
        <f aca="false">AVERAGE(P89,P93)</f>
        <v>6572925253.59161</v>
      </c>
      <c r="Q96" s="89" t="n">
        <f aca="false">AVERAGE(Q89,Q93)</f>
        <v>8297962599.85219</v>
      </c>
      <c r="R96" s="89" t="n">
        <f aca="false">AVERAGE(R89,R93)</f>
        <v>10390496818.7107</v>
      </c>
      <c r="S96" s="89" t="n">
        <f aca="false">AVERAGE(S89,S93)</f>
        <v>12889803523.1469</v>
      </c>
      <c r="T96" s="89" t="n">
        <f aca="false">AVERAGE(T89,T93)</f>
        <v>15862859200.8498</v>
      </c>
      <c r="U96" s="89" t="n">
        <f aca="false">AVERAGE(U89,U93)</f>
        <v>19345887248.56</v>
      </c>
    </row>
    <row r="97" customFormat="false" ht="15" hidden="false" customHeight="false" outlineLevel="0" collapsed="false">
      <c r="B97" s="54" t="s">
        <v>427</v>
      </c>
      <c r="C97" s="91" t="n">
        <f aca="false">IFERROR((IF(AND(IF('Inputs &amp; Assumptions'!$C$63="",'Inputs &amp; Assumptions'!$C$62,'Inputs &amp; Assumptions'!$C$63)=1,((IFERROR(INDEX(HS_CONSOLIDATED!D:D,MATCH("NoncurrentLeaseLiabilities",HS_CONSOLIDATED!$C:$C,0)),0)+IFERROR(INDEX(HS_CONSOLIDATED!D:D,MATCH("LeaseLiabilitiesNonCurrent",HS_CONSOLIDATED!$C:$C,0)),0))+(IFERROR(INDEX(HS_CONSOLIDATED!D:D,MATCH("CurrentLeaseLiabilities",HS_CONSOLIDATED!$C:$C,0)),0)+IFERROR(INDEX(HS_CONSOLIDATED!D:D,MATCH("LeaseLiabilitiesCurrent",HS_CONSOLIDATED!$C:$C,0)),0)))&gt;0),IFERROR(INDEX(HS_CONSOLIDATED!D:D,MATCH("InterestExpense",HS_CONSOLIDATED!$C:$C,0)),0),(IFERROR(INDEX(HS_CONSOLIDATED!D:D,MATCH("InterestExpense",HS_CONSOLIDATED!$C:$C,0)),0))-(IFERROR(INDEX(HS_CONSOLIDATED!D:D,MATCH("InterestExpenseOnLeaseLiabilities",HS_CONSOLIDATED!$C:$C,0)),0))))/C96,0)</f>
        <v>0.159961314721223</v>
      </c>
      <c r="D97" s="91" t="n">
        <f aca="false">IFERROR((IF(AND(IF('Inputs &amp; Assumptions'!$C$63="",'Inputs &amp; Assumptions'!$C$62,'Inputs &amp; Assumptions'!$C$63)=1,((IFERROR(INDEX(HS_CONSOLIDATED!E:E,MATCH("NoncurrentLeaseLiabilities",HS_CONSOLIDATED!$C:$C,0)),0)+IFERROR(INDEX(HS_CONSOLIDATED!E:E,MATCH("LeaseLiabilitiesNonCurrent",HS_CONSOLIDATED!$C:$C,0)),0))+(IFERROR(INDEX(HS_CONSOLIDATED!E:E,MATCH("CurrentLeaseLiabilities",HS_CONSOLIDATED!$C:$C,0)),0)+IFERROR(INDEX(HS_CONSOLIDATED!E:E,MATCH("LeaseLiabilitiesCurrent",HS_CONSOLIDATED!$C:$C,0)),0)))&gt;0),IFERROR(INDEX(HS_CONSOLIDATED!E:E,MATCH("InterestExpense",HS_CONSOLIDATED!$C:$C,0)),0),(IFERROR(INDEX(HS_CONSOLIDATED!E:E,MATCH("InterestExpense",HS_CONSOLIDATED!$C:$C,0)),0))-(IFERROR(INDEX(HS_CONSOLIDATED!E:E,MATCH("InterestExpenseOnLeaseLiabilities",HS_CONSOLIDATED!$C:$C,0)),0))))/D96,0)</f>
        <v>0.119377924818005</v>
      </c>
      <c r="E97" s="91" t="n">
        <f aca="false">IFERROR((IF(AND(IF('Inputs &amp; Assumptions'!$C$63="",'Inputs &amp; Assumptions'!$C$62,'Inputs &amp; Assumptions'!$C$63)=1,((IFERROR(INDEX(HS_CONSOLIDATED!F:F,MATCH("NoncurrentLeaseLiabilities",HS_CONSOLIDATED!$C:$C,0)),0)+IFERROR(INDEX(HS_CONSOLIDATED!F:F,MATCH("LeaseLiabilitiesNonCurrent",HS_CONSOLIDATED!$C:$C,0)),0))+(IFERROR(INDEX(HS_CONSOLIDATED!F:F,MATCH("CurrentLeaseLiabilities",HS_CONSOLIDATED!$C:$C,0)),0)+IFERROR(INDEX(HS_CONSOLIDATED!F:F,MATCH("LeaseLiabilitiesCurrent",HS_CONSOLIDATED!$C:$C,0)),0)))&gt;0),IFERROR(INDEX(HS_CONSOLIDATED!F:F,MATCH("InterestExpense",HS_CONSOLIDATED!$C:$C,0)),0),(IFERROR(INDEX(HS_CONSOLIDATED!F:F,MATCH("InterestExpense",HS_CONSOLIDATED!$C:$C,0)),0))-(IFERROR(INDEX(HS_CONSOLIDATED!F:F,MATCH("InterestExpenseOnLeaseLiabilities",HS_CONSOLIDATED!$C:$C,0)),0))))/E96,0)</f>
        <v>0.11107211849401</v>
      </c>
      <c r="F97" s="91" t="n">
        <f aca="false">IFERROR((IF(AND(IF('Inputs &amp; Assumptions'!$C$63="",'Inputs &amp; Assumptions'!$C$62,'Inputs &amp; Assumptions'!$C$63)=1,((IFERROR(INDEX(HS_CONSOLIDATED!G:G,MATCH("NoncurrentLeaseLiabilities",HS_CONSOLIDATED!$C:$C,0)),0)+IFERROR(INDEX(HS_CONSOLIDATED!G:G,MATCH("LeaseLiabilitiesNonCurrent",HS_CONSOLIDATED!$C:$C,0)),0))+(IFERROR(INDEX(HS_CONSOLIDATED!G:G,MATCH("CurrentLeaseLiabilities",HS_CONSOLIDATED!$C:$C,0)),0)+IFERROR(INDEX(HS_CONSOLIDATED!G:G,MATCH("LeaseLiabilitiesCurrent",HS_CONSOLIDATED!$C:$C,0)),0)))&gt;0),IFERROR(INDEX(HS_CONSOLIDATED!G:G,MATCH("InterestExpense",HS_CONSOLIDATED!$C:$C,0)),0),(IFERROR(INDEX(HS_CONSOLIDATED!G:G,MATCH("InterestExpense",HS_CONSOLIDATED!$C:$C,0)),0))-(IFERROR(INDEX(HS_CONSOLIDATED!G:G,MATCH("InterestExpenseOnLeaseLiabilities",HS_CONSOLIDATED!$C:$C,0)),0))))/F96,0)</f>
        <v>0.13362610728888</v>
      </c>
      <c r="G97" s="91" t="n">
        <f aca="false">IFERROR((IF(AND(IF('Inputs &amp; Assumptions'!$C$63="",'Inputs &amp; Assumptions'!$C$62,'Inputs &amp; Assumptions'!$C$63)=1,((IFERROR(INDEX(HS_CONSOLIDATED!H:H,MATCH("NoncurrentLeaseLiabilities",HS_CONSOLIDATED!$C:$C,0)),0)+IFERROR(INDEX(HS_CONSOLIDATED!H:H,MATCH("LeaseLiabilitiesNonCurrent",HS_CONSOLIDATED!$C:$C,0)),0))+(IFERROR(INDEX(HS_CONSOLIDATED!H:H,MATCH("CurrentLeaseLiabilities",HS_CONSOLIDATED!$C:$C,0)),0)+IFERROR(INDEX(HS_CONSOLIDATED!H:H,MATCH("LeaseLiabilitiesCurrent",HS_CONSOLIDATED!$C:$C,0)),0)))&gt;0),IFERROR(INDEX(HS_CONSOLIDATED!H:H,MATCH("InterestExpense",HS_CONSOLIDATED!$C:$C,0)),0),(IFERROR(INDEX(HS_CONSOLIDATED!H:H,MATCH("InterestExpense",HS_CONSOLIDATED!$C:$C,0)),0))-(IFERROR(INDEX(HS_CONSOLIDATED!H:H,MATCH("InterestExpenseOnLeaseLiabilities",HS_CONSOLIDATED!$C:$C,0)),0))))/G96,0)</f>
        <v>0.120513640346019</v>
      </c>
      <c r="H97" s="91" t="n">
        <f aca="false">IFERROR((IF(AND(IF('Inputs &amp; Assumptions'!$C$63="",'Inputs &amp; Assumptions'!$C$62,'Inputs &amp; Assumptions'!$C$63)=1,((IFERROR(INDEX(HS_CONSOLIDATED!I:I,MATCH("NoncurrentLeaseLiabilities",HS_CONSOLIDATED!$C:$C,0)),0)+IFERROR(INDEX(HS_CONSOLIDATED!I:I,MATCH("LeaseLiabilitiesNonCurrent",HS_CONSOLIDATED!$C:$C,0)),0))+(IFERROR(INDEX(HS_CONSOLIDATED!I:I,MATCH("CurrentLeaseLiabilities",HS_CONSOLIDATED!$C:$C,0)),0)+IFERROR(INDEX(HS_CONSOLIDATED!I:I,MATCH("LeaseLiabilitiesCurrent",HS_CONSOLIDATED!$C:$C,0)),0)))&gt;0),IFERROR(INDEX(HS_CONSOLIDATED!I:I,MATCH("InterestExpense",HS_CONSOLIDATED!$C:$C,0)),0),(IFERROR(INDEX(HS_CONSOLIDATED!I:I,MATCH("InterestExpense",HS_CONSOLIDATED!$C:$C,0)),0))-(IFERROR(INDEX(HS_CONSOLIDATED!I:I,MATCH("InterestExpenseOnLeaseLiabilities",HS_CONSOLIDATED!$C:$C,0)),0))))/H96,0)</f>
        <v>0.111580151035091</v>
      </c>
      <c r="I97" s="91" t="n">
        <f aca="false">IFERROR((IF(AND(IF('Inputs &amp; Assumptions'!$C$63="",'Inputs &amp; Assumptions'!$C$62,'Inputs &amp; Assumptions'!$C$63)=1,((IFERROR(INDEX(HS_CONSOLIDATED!J:J,MATCH("NoncurrentLeaseLiabilities",HS_CONSOLIDATED!$C:$C,0)),0)+IFERROR(INDEX(HS_CONSOLIDATED!J:J,MATCH("LeaseLiabilitiesNonCurrent",HS_CONSOLIDATED!$C:$C,0)),0))+(IFERROR(INDEX(HS_CONSOLIDATED!J:J,MATCH("CurrentLeaseLiabilities",HS_CONSOLIDATED!$C:$C,0)),0)+IFERROR(INDEX(HS_CONSOLIDATED!J:J,MATCH("LeaseLiabilitiesCurrent",HS_CONSOLIDATED!$C:$C,0)),0)))&gt;0),IFERROR(INDEX(HS_CONSOLIDATED!J:J,MATCH("InterestExpense",HS_CONSOLIDATED!$C:$C,0)),0),(IFERROR(INDEX(HS_CONSOLIDATED!J:J,MATCH("InterestExpense",HS_CONSOLIDATED!$C:$C,0)),0))-(IFERROR(INDEX(HS_CONSOLIDATED!J:J,MATCH("InterestExpenseOnLeaseLiabilities",HS_CONSOLIDATED!$C:$C,0)),0))))/I96,0)</f>
        <v>0.092332655049039</v>
      </c>
      <c r="J97" s="91" t="n">
        <f aca="false">IFERROR((IF(AND(IF('Inputs &amp; Assumptions'!$C$63="",'Inputs &amp; Assumptions'!$C$62,'Inputs &amp; Assumptions'!$C$63)=1,((IFERROR(INDEX(HS_CONSOLIDATED!K:K,MATCH("NoncurrentLeaseLiabilities",HS_CONSOLIDATED!$C:$C,0)),0)+IFERROR(INDEX(HS_CONSOLIDATED!K:K,MATCH("LeaseLiabilitiesNonCurrent",HS_CONSOLIDATED!$C:$C,0)),0))+(IFERROR(INDEX(HS_CONSOLIDATED!K:K,MATCH("CurrentLeaseLiabilities",HS_CONSOLIDATED!$C:$C,0)),0)+IFERROR(INDEX(HS_CONSOLIDATED!K:K,MATCH("LeaseLiabilitiesCurrent",HS_CONSOLIDATED!$C:$C,0)),0)))&gt;0),IFERROR(INDEX(HS_CONSOLIDATED!K:K,MATCH("InterestExpense",HS_CONSOLIDATED!$C:$C,0)),0),(IFERROR(INDEX(HS_CONSOLIDATED!K:K,MATCH("InterestExpense",HS_CONSOLIDATED!$C:$C,0)),0))-(IFERROR(INDEX(HS_CONSOLIDATED!K:K,MATCH("InterestExpenseOnLeaseLiabilities",HS_CONSOLIDATED!$C:$C,0)),0))))/J96,0)</f>
        <v>0.104872371366319</v>
      </c>
      <c r="K97" s="91" t="n">
        <f aca="false">IFERROR((IF(AND(IF('Inputs &amp; Assumptions'!$C$63="",'Inputs &amp; Assumptions'!$C$62,'Inputs &amp; Assumptions'!$C$63)=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gt;0),IFERROR(INDEX(HS_CONSOLIDATED!L:L,MATCH("InterestExpense",HS_CONSOLIDATED!$C:$C,0)),0),(IFERROR(INDEX(HS_CONSOLIDATED!L:L,MATCH("InterestExpense",HS_CONSOLIDATED!$C:$C,0)),0))-(IFERROR(INDEX(HS_CONSOLIDATED!L:L,MATCH("InterestExpenseOnLeaseLiabilities",HS_CONSOLIDATED!$C:$C,0)),0))))/K96,0)</f>
        <v>0.537428803905614</v>
      </c>
    </row>
    <row r="98" customFormat="false" ht="15" hidden="false" customHeight="false" outlineLevel="0" collapsed="false">
      <c r="B98" s="85" t="s">
        <v>428</v>
      </c>
      <c r="C98" s="92" t="n">
        <f aca="false">C96*C97</f>
        <v>11065100000</v>
      </c>
      <c r="D98" s="92" t="n">
        <f aca="false">D96*D97</f>
        <v>11055900000</v>
      </c>
      <c r="E98" s="92" t="n">
        <f aca="false">E96*E97</f>
        <v>11789800000</v>
      </c>
      <c r="F98" s="92" t="n">
        <f aca="false">F96*F97</f>
        <v>12901300000</v>
      </c>
      <c r="G98" s="92" t="n">
        <f aca="false">G96*G97</f>
        <v>9573700000</v>
      </c>
      <c r="H98" s="92" t="n">
        <f aca="false">H96*H97</f>
        <v>7025700000</v>
      </c>
      <c r="I98" s="92" t="n">
        <f aca="false">I96*I97</f>
        <v>3829700000</v>
      </c>
      <c r="J98" s="92" t="n">
        <f aca="false">J96*J97</f>
        <v>1056500000</v>
      </c>
      <c r="K98" s="92" t="n">
        <f aca="false">K96*K97</f>
        <v>1056800000</v>
      </c>
      <c r="L98" s="92" t="n">
        <f aca="false">L96*(IF('Inputs &amp; Assumptions'!C66="",'Inputs &amp; Assumptions'!C65,'Inputs &amp; Assumptions'!C66))</f>
        <v>314630228.288745</v>
      </c>
      <c r="M98" s="92" t="n">
        <f aca="false">M96*(IF('Inputs &amp; Assumptions'!D66="",'Inputs &amp; Assumptions'!D65,'Inputs &amp; Assumptions'!D66))</f>
        <v>355867735.890103</v>
      </c>
      <c r="N98" s="92" t="n">
        <f aca="false">N96*(IF('Inputs &amp; Assumptions'!E66="",'Inputs &amp; Assumptions'!E65,'Inputs &amp; Assumptions'!E66))</f>
        <v>451363992.398314</v>
      </c>
      <c r="O98" s="92" t="n">
        <f aca="false">O96*(IF('Inputs &amp; Assumptions'!F66="",'Inputs &amp; Assumptions'!F65,'Inputs &amp; Assumptions'!F66))</f>
        <v>574698622.517588</v>
      </c>
      <c r="P98" s="92" t="n">
        <f aca="false">P96*(IF('Inputs &amp; Assumptions'!G66="",'Inputs &amp; Assumptions'!G65,'Inputs &amp; Assumptions'!G66))</f>
        <v>729905401.144386</v>
      </c>
      <c r="Q98" s="92" t="n">
        <f aca="false">Q96*(IF('Inputs &amp; Assumptions'!H66="",'Inputs &amp; Assumptions'!H65,'Inputs &amp; Assumptions'!H66))</f>
        <v>921466087.997376</v>
      </c>
      <c r="R98" s="92" t="n">
        <f aca="false">R96*(IF('Inputs &amp; Assumptions'!I66="",'Inputs &amp; Assumptions'!I65,'Inputs &amp; Assumptions'!I66))</f>
        <v>1153836299.05214</v>
      </c>
      <c r="S98" s="92" t="n">
        <f aca="false">S96*(IF('Inputs &amp; Assumptions'!J66="",'Inputs &amp; Assumptions'!J65,'Inputs &amp; Assumptions'!J66))</f>
        <v>1431377483.88267</v>
      </c>
      <c r="T98" s="92" t="n">
        <f aca="false">T96*(IF('Inputs &amp; Assumptions'!K66="",'Inputs &amp; Assumptions'!K65,'Inputs &amp; Assumptions'!K66))</f>
        <v>1761527198.55842</v>
      </c>
      <c r="U98" s="92" t="n">
        <f aca="false">U96*(IF('Inputs &amp; Assumptions'!L66="",'Inputs &amp; Assumptions'!L65,'Inputs &amp; Assumptions'!L66))</f>
        <v>2148307952.37453</v>
      </c>
    </row>
    <row r="100" customFormat="false" ht="39.75" hidden="false" customHeight="true" outlineLevel="0" collapsed="false">
      <c r="B100" s="90" t="str">
        <f aca="false">IF(AND(IF('Inputs &amp; Assumptions'!$C$63="",'Inputs &amp; Assumptions'!$C$62,'Inputs &amp; Assumptions'!$C$63)=1,((IFERROR(INDEX(HS_CONSOLIDATED!L:L,MATCH("NoncurrentLeaseLiabilities",HS_CONSOLIDATED!$C:$C,0)),0)+IFERROR(INDEX(HS_CONSOLIDATED!L:L,MATCH("LeaseLiabilitiesNonCurrent",HS_CONSOLIDATED!$C:$C,0)),0)+IFERROR(INDEX(HS_CONSOLIDATED!L:L,MATCH("CurrentLeaseLiabilities",HS_CONSOLIDATED!$C:$C,0)),0)+IFERROR(INDEX(HS_CONSOLIDATED!L:L,MATCH("LeaseLiabilitiesCurrent",HS_CONSOLIDATED!$C:$C,0)),0)))&lt;=0),"⚠ Include Lease Liabilities as Quasi-Debt is ON, but this company's filing does not separately tag a lease liability balance (only lease interest/payments) -- Total Debt still excludes leases, and the interest treatment has fallen back to excluding lease interest too, to avoid mismatching a bigger interest numerator against an unchanged debt base.","")</f>
        <v/>
      </c>
    </row>
    <row r="103" customFormat="false" ht="17.35" hidden="false" customHeight="false" outlineLevel="0" collapsed="false">
      <c r="A103" s="0" t="s">
        <v>26</v>
      </c>
      <c r="B103" s="81" t="s">
        <v>429</v>
      </c>
    </row>
    <row r="106" customFormat="false" ht="15" hidden="false" customHeight="false" outlineLevel="0" collapsed="false">
      <c r="B106" s="82" t="s">
        <v>430</v>
      </c>
      <c r="C106" s="83" t="n">
        <f aca="false">IFERROR(INDEX(HS_CONSOLIDATED!D:D,MATCH("ProfitBeforeTax",HS_CONSOLIDATED!$C:$C,0)),0)</f>
        <v>9115900000</v>
      </c>
      <c r="D106" s="83" t="n">
        <f aca="false">IFERROR(INDEX(HS_CONSOLIDATED!E:E,MATCH("ProfitBeforeTax",HS_CONSOLIDATED!$C:$C,0)),0)</f>
        <v>-3907400000</v>
      </c>
      <c r="E106" s="83" t="n">
        <f aca="false">IFERROR(INDEX(HS_CONSOLIDATED!F:F,MATCH("ProfitBeforeTax",HS_CONSOLIDATED!$C:$C,0)),0)</f>
        <v>-15429900000</v>
      </c>
      <c r="F106" s="83" t="n">
        <f aca="false">IFERROR(INDEX(HS_CONSOLIDATED!G:G,MATCH("ProfitBeforeTax",HS_CONSOLIDATED!$C:$C,0)),0)</f>
        <v>-26839500000</v>
      </c>
      <c r="G106" s="83" t="n">
        <f aca="false">IFERROR(INDEX(HS_CONSOLIDATED!H:H,MATCH("ProfitBeforeTax",HS_CONSOLIDATED!$C:$C,0)),0)</f>
        <v>1049700000</v>
      </c>
      <c r="H106" s="83" t="n">
        <f aca="false">IFERROR(INDEX(HS_CONSOLIDATED!I:I,MATCH("ProfitBeforeTax",HS_CONSOLIDATED!$C:$C,0)),0)</f>
        <v>4000000</v>
      </c>
      <c r="I106" s="83" t="n">
        <f aca="false">IFERROR(INDEX(HS_CONSOLIDATED!J:J,MATCH("ProfitBeforeTax",HS_CONSOLIDATED!$C:$C,0)),0)</f>
        <v>28917100000</v>
      </c>
      <c r="J106" s="83" t="n">
        <f aca="false">IFERROR(INDEX(HS_CONSOLIDATED!K:K,MATCH("ProfitBeforeTax",HS_CONSOLIDATED!$C:$C,0)),0)</f>
        <v>6594900000</v>
      </c>
      <c r="K106" s="83" t="n">
        <f aca="false">IFERROR(INDEX(HS_CONSOLIDATED!L:L,MATCH("ProfitBeforeTax",HS_CONSOLIDATED!$C:$C,0)),0)</f>
        <v>14466300000</v>
      </c>
      <c r="L106" s="84" t="n">
        <f aca="false">'P&amp;L Schedule'!L19</f>
        <v>21541782222.0995</v>
      </c>
      <c r="M106" s="84" t="n">
        <f aca="false">'P&amp;L Schedule'!M19</f>
        <v>28142356802.2564</v>
      </c>
      <c r="N106" s="84" t="n">
        <f aca="false">'P&amp;L Schedule'!N19</f>
        <v>35827551034.1655</v>
      </c>
      <c r="O106" s="84" t="n">
        <f aca="false">'P&amp;L Schedule'!O19</f>
        <v>44673467331.4185</v>
      </c>
      <c r="P106" s="84" t="n">
        <f aca="false">'P&amp;L Schedule'!P19</f>
        <v>54683213523.0735</v>
      </c>
      <c r="Q106" s="84" t="n">
        <f aca="false">'P&amp;L Schedule'!Q19</f>
        <v>65840121818.5721</v>
      </c>
      <c r="R106" s="84" t="n">
        <f aca="false">'P&amp;L Schedule'!R19</f>
        <v>78112018770.4159</v>
      </c>
      <c r="S106" s="84" t="n">
        <f aca="false">'P&amp;L Schedule'!S19</f>
        <v>93126560366.7213</v>
      </c>
      <c r="T106" s="84" t="n">
        <f aca="false">'P&amp;L Schedule'!T19</f>
        <v>107484810102.307</v>
      </c>
      <c r="U106" s="84" t="n">
        <f aca="false">'P&amp;L Schedule'!U19</f>
        <v>122803675527.411</v>
      </c>
    </row>
    <row r="107" customFormat="false" ht="15" hidden="false" customHeight="false" outlineLevel="0" collapsed="false">
      <c r="B107" s="85" t="s">
        <v>431</v>
      </c>
      <c r="C107" s="93" t="n">
        <f aca="false">IFERROR(INDEX(HS_CONSOLIDATED!D:D,MATCH("IncomeTaxExpenseContinuingOperations",HS_CONSOLIDATED!$C:$C,0)),0)</f>
        <v>117000000</v>
      </c>
      <c r="D107" s="93" t="n">
        <f aca="false">IFERROR(INDEX(HS_CONSOLIDATED!E:E,MATCH("IncomeTaxExpenseContinuingOperations",HS_CONSOLIDATED!$C:$C,0)),0)</f>
        <v>-15600000</v>
      </c>
      <c r="E107" s="93" t="n">
        <f aca="false">IFERROR(INDEX(HS_CONSOLIDATED!F:F,MATCH("IncomeTaxExpenseContinuingOperations",HS_CONSOLIDATED!$C:$C,0)),0)</f>
        <v>-119000000</v>
      </c>
      <c r="F107" s="93" t="n">
        <f aca="false">IFERROR(INDEX(HS_CONSOLIDATED!G:G,MATCH("IncomeTaxExpenseContinuingOperations",HS_CONSOLIDATED!$C:$C,0)),0)</f>
        <v>74400000</v>
      </c>
      <c r="G107" s="93" t="n">
        <f aca="false">IFERROR(INDEX(HS_CONSOLIDATED!H:H,MATCH("IncomeTaxExpenseContinuingOperations",HS_CONSOLIDATED!$C:$C,0)),0)</f>
        <v>46300000</v>
      </c>
      <c r="H107" s="93" t="n">
        <f aca="false">IFERROR(INDEX(HS_CONSOLIDATED!I:I,MATCH("IncomeTaxExpenseContinuingOperations",HS_CONSOLIDATED!$C:$C,0)),0)</f>
        <v>1665900000</v>
      </c>
      <c r="I107" s="93" t="n">
        <f aca="false">IFERROR(INDEX(HS_CONSOLIDATED!J:J,MATCH("IncomeTaxExpenseContinuingOperations",HS_CONSOLIDATED!$C:$C,0)),0)</f>
        <v>44200000</v>
      </c>
      <c r="J107" s="93" t="n">
        <f aca="false">IFERROR(INDEX(HS_CONSOLIDATED!K:K,MATCH("IncomeTaxExpenseContinuingOperations",HS_CONSOLIDATED!$C:$C,0)),0)</f>
        <v>-8600000</v>
      </c>
      <c r="K107" s="93" t="n">
        <f aca="false">IFERROR(INDEX(HS_CONSOLIDATED!L:L,MATCH("IncomeTaxExpenseContinuingOperations",HS_CONSOLIDATED!$C:$C,0)),0)</f>
        <v>-6250000000</v>
      </c>
      <c r="L107" s="86" t="n">
        <f aca="false">L109+L110</f>
        <v>5536665594.79985</v>
      </c>
      <c r="M107" s="86" t="n">
        <f aca="false">M109+M110</f>
        <v>7083431207.12795</v>
      </c>
      <c r="N107" s="86" t="n">
        <f aca="false">N109+N110</f>
        <v>9017794595.29945</v>
      </c>
      <c r="O107" s="86" t="n">
        <f aca="false">O109+O110</f>
        <v>11244311727.318</v>
      </c>
      <c r="P107" s="86" t="n">
        <f aca="false">P109+P110</f>
        <v>13763764843.7576</v>
      </c>
      <c r="Q107" s="86" t="n">
        <f aca="false">Q109+Q110</f>
        <v>16571958661.7346</v>
      </c>
      <c r="R107" s="86" t="n">
        <f aca="false">R109+R110</f>
        <v>19660795124.5137</v>
      </c>
      <c r="S107" s="86" t="n">
        <f aca="false">S109+S110</f>
        <v>23439955244.3038</v>
      </c>
      <c r="T107" s="86" t="n">
        <f aca="false">T109+T110</f>
        <v>27053926702.7507</v>
      </c>
      <c r="U107" s="86" t="n">
        <f aca="false">U109+U110</f>
        <v>30909685130.2494</v>
      </c>
    </row>
    <row r="109" customFormat="false" ht="15" hidden="false" customHeight="false" outlineLevel="0" collapsed="false">
      <c r="B109" s="82" t="s">
        <v>432</v>
      </c>
      <c r="C109" s="83" t="n">
        <f aca="false">IFERROR(INDEX(HS_CONSOLIDATED!D:D,MATCH("CurrentTaxExpenseIncomeAndAdjustmentsForCurrentTaxOfPriorPeriods",HS_CONSOLIDATED!$C:$C,0)),0)</f>
        <v>117000000</v>
      </c>
      <c r="D109" s="83" t="n">
        <f aca="false">IFERROR(INDEX(HS_CONSOLIDATED!E:E,MATCH("CurrentTaxExpenseIncomeAndAdjustmentsForCurrentTaxOfPriorPeriods",HS_CONSOLIDATED!$C:$C,0)),0)</f>
        <v>-15600000</v>
      </c>
      <c r="E109" s="83" t="n">
        <f aca="false">IFERROR(INDEX(HS_CONSOLIDATED!F:F,MATCH("CurrentTaxExpenseIncomeAndAdjustmentsForCurrentTaxOfPriorPeriods",HS_CONSOLIDATED!$C:$C,0)),0)</f>
        <v>30900000</v>
      </c>
      <c r="F109" s="83" t="n">
        <f aca="false">IFERROR(INDEX(HS_CONSOLIDATED!G:G,MATCH("CurrentTaxExpenseIncomeAndAdjustmentsForCurrentTaxOfPriorPeriods",HS_CONSOLIDATED!$C:$C,0)),0)</f>
        <v>74400000</v>
      </c>
      <c r="G109" s="83" t="n">
        <f aca="false">IFERROR(INDEX(HS_CONSOLIDATED!H:H,MATCH("CurrentTaxExpenseIncomeAndAdjustmentsForCurrentTaxOfPriorPeriods",HS_CONSOLIDATED!$C:$C,0)),0)</f>
        <v>46300000</v>
      </c>
      <c r="H109" s="83" t="n">
        <f aca="false">IFERROR(INDEX(HS_CONSOLIDATED!I:I,MATCH("CurrentTaxExpenseIncomeAndAdjustmentsForCurrentTaxOfPriorPeriods",HS_CONSOLIDATED!$C:$C,0)),0)</f>
        <v>1840700000</v>
      </c>
      <c r="I109" s="83" t="n">
        <f aca="false">IFERROR(INDEX(HS_CONSOLIDATED!J:J,MATCH("CurrentTaxExpenseIncomeAndAdjustmentsForCurrentTaxOfPriorPeriods",HS_CONSOLIDATED!$C:$C,0)),0)</f>
        <v>46100000</v>
      </c>
      <c r="J109" s="83" t="n">
        <f aca="false">IFERROR(INDEX(HS_CONSOLIDATED!K:K,MATCH("CurrentTaxExpenseIncomeAndAdjustmentsForCurrentTaxOfPriorPeriods",HS_CONSOLIDATED!$C:$C,0)),0)</f>
        <v>29000000</v>
      </c>
      <c r="K109" s="83" t="n">
        <f aca="false">IFERROR(INDEX(HS_CONSOLIDATED!L:L,MATCH("CurrentTaxExpenseIncomeAndAdjustmentsForCurrentTaxOfPriorPeriods",HS_CONSOLIDATED!$C:$C,0)),0)</f>
        <v>144200000</v>
      </c>
      <c r="L109" s="92" t="n">
        <f aca="false">MAX(L126*(IF('Inputs &amp; Assumptions'!$C$74="",'Inputs &amp; Assumptions'!$C$73,'Inputs &amp; Assumptions'!$C$74)),MAX(L106,0)*(IF('Inputs &amp; Assumptions'!C77="",'Inputs &amp; Assumptions'!C76,'Inputs &amp; Assumptions'!C77)))</f>
        <v>114599009.497415</v>
      </c>
      <c r="M109" s="92" t="n">
        <f aca="false">MAX(M126*(IF('Inputs &amp; Assumptions'!$C$74="",'Inputs &amp; Assumptions'!$C$73,'Inputs &amp; Assumptions'!$C$74)),MAX(M106,0)*(IF('Inputs &amp; Assumptions'!D77="",'Inputs &amp; Assumptions'!D76,'Inputs &amp; Assumptions'!D77)))</f>
        <v>6111297792.43038</v>
      </c>
      <c r="N109" s="92" t="n">
        <f aca="false">MAX(N126*(IF('Inputs &amp; Assumptions'!$C$74="",'Inputs &amp; Assumptions'!$C$73,'Inputs &amp; Assumptions'!$C$74)),MAX(N106,0)*(IF('Inputs &amp; Assumptions'!E77="",'Inputs &amp; Assumptions'!E76,'Inputs &amp; Assumptions'!E77)))</f>
        <v>9017794595.29945</v>
      </c>
      <c r="O109" s="92" t="n">
        <f aca="false">MAX(O126*(IF('Inputs &amp; Assumptions'!$C$74="",'Inputs &amp; Assumptions'!$C$73,'Inputs &amp; Assumptions'!$C$74)),MAX(O106,0)*(IF('Inputs &amp; Assumptions'!F77="",'Inputs &amp; Assumptions'!F76,'Inputs &amp; Assumptions'!F77)))</f>
        <v>11244311727.318</v>
      </c>
      <c r="P109" s="92" t="n">
        <f aca="false">MAX(P126*(IF('Inputs &amp; Assumptions'!$C$74="",'Inputs &amp; Assumptions'!$C$73,'Inputs &amp; Assumptions'!$C$74)),MAX(P106,0)*(IF('Inputs &amp; Assumptions'!G77="",'Inputs &amp; Assumptions'!G76,'Inputs &amp; Assumptions'!G77)))</f>
        <v>13763764843.7576</v>
      </c>
      <c r="Q109" s="92" t="n">
        <f aca="false">MAX(Q126*(IF('Inputs &amp; Assumptions'!$C$74="",'Inputs &amp; Assumptions'!$C$73,'Inputs &amp; Assumptions'!$C$74)),MAX(Q106,0)*(IF('Inputs &amp; Assumptions'!H77="",'Inputs &amp; Assumptions'!H76,'Inputs &amp; Assumptions'!H77)))</f>
        <v>16571958661.7346</v>
      </c>
      <c r="R109" s="92" t="n">
        <f aca="false">MAX(R126*(IF('Inputs &amp; Assumptions'!$C$74="",'Inputs &amp; Assumptions'!$C$73,'Inputs &amp; Assumptions'!$C$74)),MAX(R106,0)*(IF('Inputs &amp; Assumptions'!I77="",'Inputs &amp; Assumptions'!I76,'Inputs &amp; Assumptions'!I77)))</f>
        <v>19660795124.5137</v>
      </c>
      <c r="S109" s="92" t="n">
        <f aca="false">MAX(S126*(IF('Inputs &amp; Assumptions'!$C$74="",'Inputs &amp; Assumptions'!$C$73,'Inputs &amp; Assumptions'!$C$74)),MAX(S106,0)*(IF('Inputs &amp; Assumptions'!J77="",'Inputs &amp; Assumptions'!J76,'Inputs &amp; Assumptions'!J77)))</f>
        <v>23439955244.3038</v>
      </c>
      <c r="T109" s="92" t="n">
        <f aca="false">MAX(T126*(IF('Inputs &amp; Assumptions'!$C$74="",'Inputs &amp; Assumptions'!$C$73,'Inputs &amp; Assumptions'!$C$74)),MAX(T106,0)*(IF('Inputs &amp; Assumptions'!K77="",'Inputs &amp; Assumptions'!K76,'Inputs &amp; Assumptions'!K77)))</f>
        <v>27053926702.7507</v>
      </c>
      <c r="U109" s="92" t="n">
        <f aca="false">MAX(U126*(IF('Inputs &amp; Assumptions'!$C$74="",'Inputs &amp; Assumptions'!$C$73,'Inputs &amp; Assumptions'!$C$74)),MAX(U106,0)*(IF('Inputs &amp; Assumptions'!L77="",'Inputs &amp; Assumptions'!L76,'Inputs &amp; Assumptions'!L77)))</f>
        <v>30909685130.2494</v>
      </c>
    </row>
    <row r="110" customFormat="false" ht="15" hidden="false" customHeight="false" outlineLevel="0" collapsed="false">
      <c r="B110" s="82" t="s">
        <v>433</v>
      </c>
      <c r="C110" s="83" t="n">
        <f aca="false">C107-C109</f>
        <v>0</v>
      </c>
      <c r="D110" s="83" t="n">
        <f aca="false">D107-D109</f>
        <v>0</v>
      </c>
      <c r="E110" s="83" t="n">
        <f aca="false">E107-E109</f>
        <v>-149900000</v>
      </c>
      <c r="F110" s="83" t="n">
        <f aca="false">F107-F109</f>
        <v>0</v>
      </c>
      <c r="G110" s="83" t="n">
        <f aca="false">G107-G109</f>
        <v>0</v>
      </c>
      <c r="H110" s="83" t="n">
        <f aca="false">H107-H109</f>
        <v>-174800000</v>
      </c>
      <c r="I110" s="83" t="n">
        <f aca="false">I107-I109</f>
        <v>-1900000</v>
      </c>
      <c r="J110" s="83" t="n">
        <f aca="false">J107-J109</f>
        <v>-37600000</v>
      </c>
      <c r="K110" s="83" t="n">
        <f aca="false">K107-K109</f>
        <v>-6394200000</v>
      </c>
      <c r="L110" s="92" t="n">
        <f aca="false">L114</f>
        <v>5422066585.30244</v>
      </c>
      <c r="M110" s="92" t="n">
        <f aca="false">M114</f>
        <v>972133414.697563</v>
      </c>
      <c r="N110" s="92" t="n">
        <f aca="false">N114</f>
        <v>0</v>
      </c>
      <c r="O110" s="92" t="n">
        <f aca="false">O114</f>
        <v>0</v>
      </c>
      <c r="P110" s="92" t="n">
        <f aca="false">P114</f>
        <v>0</v>
      </c>
      <c r="Q110" s="92" t="n">
        <f aca="false">Q114</f>
        <v>0</v>
      </c>
      <c r="R110" s="92" t="n">
        <f aca="false">R114</f>
        <v>0</v>
      </c>
      <c r="S110" s="92" t="n">
        <f aca="false">S114</f>
        <v>0</v>
      </c>
      <c r="T110" s="92" t="n">
        <f aca="false">T114</f>
        <v>0</v>
      </c>
      <c r="U110" s="92" t="n">
        <f aca="false">U114</f>
        <v>0</v>
      </c>
    </row>
    <row r="111" customFormat="false" ht="15" hidden="false" customHeight="false" outlineLevel="0" collapsed="false">
      <c r="B111" s="87" t="s">
        <v>408</v>
      </c>
      <c r="C111" s="88" t="n">
        <v>0</v>
      </c>
      <c r="D111" s="88" t="n">
        <v>0</v>
      </c>
      <c r="E111" s="88" t="n">
        <v>0</v>
      </c>
      <c r="F111" s="88" t="n">
        <v>0</v>
      </c>
      <c r="G111" s="88" t="n">
        <v>0</v>
      </c>
      <c r="H111" s="88" t="n">
        <v>0</v>
      </c>
      <c r="I111" s="88" t="n">
        <v>0</v>
      </c>
      <c r="J111" s="88" t="n">
        <v>0</v>
      </c>
      <c r="K111" s="88" t="n">
        <v>0</v>
      </c>
    </row>
    <row r="113" customFormat="false" ht="15" hidden="false" customHeight="false" outlineLevel="0" collapsed="false">
      <c r="B113" s="82" t="s">
        <v>434</v>
      </c>
      <c r="C113" s="54" t="s">
        <v>327</v>
      </c>
      <c r="D113" s="92" t="n">
        <f aca="false">C116</f>
        <v>0</v>
      </c>
      <c r="E113" s="92" t="n">
        <f aca="false">D116</f>
        <v>0</v>
      </c>
      <c r="F113" s="92" t="n">
        <f aca="false">E116</f>
        <v>0</v>
      </c>
      <c r="G113" s="92" t="n">
        <f aca="false">F116</f>
        <v>0</v>
      </c>
      <c r="H113" s="92" t="n">
        <f aca="false">G116</f>
        <v>0</v>
      </c>
      <c r="I113" s="92" t="n">
        <f aca="false">H116</f>
        <v>-174800000</v>
      </c>
      <c r="J113" s="92" t="n">
        <f aca="false">I116</f>
        <v>-1900000</v>
      </c>
      <c r="K113" s="92" t="n">
        <f aca="false">J116</f>
        <v>-37600000</v>
      </c>
      <c r="L113" s="92" t="n">
        <f aca="false">-L122*(IF('Inputs &amp; Assumptions'!$C$74="",'Inputs &amp; Assumptions'!$C$73,'Inputs &amp; Assumptions'!$C$74))</f>
        <v>-6394200000</v>
      </c>
      <c r="M113" s="92" t="n">
        <f aca="false">-M122*(IF('Inputs &amp; Assumptions'!$C$74="",'Inputs &amp; Assumptions'!$C$73,'Inputs &amp; Assumptions'!$C$74))</f>
        <v>-972133414.697563</v>
      </c>
      <c r="N113" s="92" t="n">
        <f aca="false">-N122*(IF('Inputs &amp; Assumptions'!$C$74="",'Inputs &amp; Assumptions'!$C$73,'Inputs &amp; Assumptions'!$C$74))</f>
        <v>-0</v>
      </c>
      <c r="O113" s="92" t="n">
        <f aca="false">-O122*(IF('Inputs &amp; Assumptions'!$C$74="",'Inputs &amp; Assumptions'!$C$73,'Inputs &amp; Assumptions'!$C$74))</f>
        <v>-0</v>
      </c>
      <c r="P113" s="92" t="n">
        <f aca="false">-P122*(IF('Inputs &amp; Assumptions'!$C$74="",'Inputs &amp; Assumptions'!$C$73,'Inputs &amp; Assumptions'!$C$74))</f>
        <v>-0</v>
      </c>
      <c r="Q113" s="92" t="n">
        <f aca="false">-Q122*(IF('Inputs &amp; Assumptions'!$C$74="",'Inputs &amp; Assumptions'!$C$73,'Inputs &amp; Assumptions'!$C$74))</f>
        <v>-0</v>
      </c>
      <c r="R113" s="92" t="n">
        <f aca="false">-R122*(IF('Inputs &amp; Assumptions'!$C$74="",'Inputs &amp; Assumptions'!$C$73,'Inputs &amp; Assumptions'!$C$74))</f>
        <v>-0</v>
      </c>
      <c r="S113" s="92" t="n">
        <f aca="false">-S122*(IF('Inputs &amp; Assumptions'!$C$74="",'Inputs &amp; Assumptions'!$C$73,'Inputs &amp; Assumptions'!$C$74))</f>
        <v>-0</v>
      </c>
      <c r="T113" s="92" t="n">
        <f aca="false">-T122*(IF('Inputs &amp; Assumptions'!$C$74="",'Inputs &amp; Assumptions'!$C$73,'Inputs &amp; Assumptions'!$C$74))</f>
        <v>-0</v>
      </c>
      <c r="U113" s="92" t="n">
        <f aca="false">-U122*(IF('Inputs &amp; Assumptions'!$C$74="",'Inputs &amp; Assumptions'!$C$73,'Inputs &amp; Assumptions'!$C$74))</f>
        <v>-0</v>
      </c>
    </row>
    <row r="114" customFormat="false" ht="15" hidden="false" customHeight="false" outlineLevel="0" collapsed="false">
      <c r="B114" s="82" t="s">
        <v>435</v>
      </c>
      <c r="C114" s="83" t="n">
        <f aca="false">IFERROR(INDEX(HS_CONSOLIDATED!D:D,MATCH("DeferredTaxExpenseIncomeRecognisedInProfitOrLoss",HS_CONSOLIDATED!$C:$C,0)),0)</f>
        <v>0</v>
      </c>
      <c r="D114" s="83" t="n">
        <f aca="false">IFERROR(INDEX(HS_CONSOLIDATED!E:E,MATCH("DeferredTaxExpenseIncomeRecognisedInProfitOrLoss",HS_CONSOLIDATED!$C:$C,0)),0)</f>
        <v>0</v>
      </c>
      <c r="E114" s="83" t="n">
        <f aca="false">IFERROR(INDEX(HS_CONSOLIDATED!F:F,MATCH("DeferredTaxExpenseIncomeRecognisedInProfitOrLoss",HS_CONSOLIDATED!$C:$C,0)),0)</f>
        <v>0</v>
      </c>
      <c r="F114" s="83" t="n">
        <f aca="false">IFERROR(INDEX(HS_CONSOLIDATED!G:G,MATCH("DeferredTaxExpenseIncomeRecognisedInProfitOrLoss",HS_CONSOLIDATED!$C:$C,0)),0)</f>
        <v>0</v>
      </c>
      <c r="G114" s="83" t="n">
        <f aca="false">IFERROR(INDEX(HS_CONSOLIDATED!H:H,MATCH("DeferredTaxExpenseIncomeRecognisedInProfitOrLoss",HS_CONSOLIDATED!$C:$C,0)),0)</f>
        <v>0</v>
      </c>
      <c r="H114" s="83" t="n">
        <f aca="false">IFERROR(INDEX(HS_CONSOLIDATED!I:I,MATCH("DeferredTaxExpenseIncomeRecognisedInProfitOrLoss",HS_CONSOLIDATED!$C:$C,0)),0)</f>
        <v>-174800000</v>
      </c>
      <c r="I114" s="83" t="n">
        <f aca="false">IFERROR(INDEX(HS_CONSOLIDATED!J:J,MATCH("DeferredTaxExpenseIncomeRecognisedInProfitOrLoss",HS_CONSOLIDATED!$C:$C,0)),0)</f>
        <v>172900000</v>
      </c>
      <c r="J114" s="83" t="n">
        <f aca="false">IFERROR(INDEX(HS_CONSOLIDATED!K:K,MATCH("DeferredTaxExpenseIncomeRecognisedInProfitOrLoss",HS_CONSOLIDATED!$C:$C,0)),0)</f>
        <v>-35700000</v>
      </c>
      <c r="K114" s="83" t="n">
        <f aca="false">IFERROR(INDEX(HS_CONSOLIDATED!L:L,MATCH("DeferredTaxExpenseIncomeRecognisedInProfitOrLoss",HS_CONSOLIDATED!$C:$C,0)),0)</f>
        <v>0</v>
      </c>
      <c r="L114" s="92" t="n">
        <f aca="false">L116-L113-L115</f>
        <v>5422066585.30244</v>
      </c>
      <c r="M114" s="92" t="n">
        <f aca="false">M116-M113-M115</f>
        <v>972133414.697563</v>
      </c>
      <c r="N114" s="92" t="n">
        <f aca="false">N116-N113-N115</f>
        <v>0</v>
      </c>
      <c r="O114" s="92" t="n">
        <f aca="false">O116-O113-O115</f>
        <v>0</v>
      </c>
      <c r="P114" s="92" t="n">
        <f aca="false">P116-P113-P115</f>
        <v>0</v>
      </c>
      <c r="Q114" s="92" t="n">
        <f aca="false">Q116-Q113-Q115</f>
        <v>0</v>
      </c>
      <c r="R114" s="92" t="n">
        <f aca="false">R116-R113-R115</f>
        <v>0</v>
      </c>
      <c r="S114" s="92" t="n">
        <f aca="false">S116-S113-S115</f>
        <v>0</v>
      </c>
      <c r="T114" s="92" t="n">
        <f aca="false">T116-T113-T115</f>
        <v>0</v>
      </c>
      <c r="U114" s="92" t="n">
        <f aca="false">U116-U113-U115</f>
        <v>0</v>
      </c>
    </row>
    <row r="115" customFormat="false" ht="15" hidden="false" customHeight="false" outlineLevel="0" collapsed="false">
      <c r="B115" s="82" t="s">
        <v>436</v>
      </c>
      <c r="C115" s="83" t="n">
        <f aca="false">IFERROR(INDEX(HS_CONSOLIDATED!D:D,MATCH("IncreaseDecreaseThroughBusinessCombinationsDeferredTaxLiabilityAssets",HS_CONSOLIDATED!$C:$C,0)),0)</f>
        <v>0</v>
      </c>
      <c r="D115" s="83" t="n">
        <f aca="false">IFERROR(INDEX(HS_CONSOLIDATED!E:E,MATCH("IncreaseDecreaseThroughBusinessCombinationsDeferredTaxLiabilityAssets",HS_CONSOLIDATED!$C:$C,0)),0)</f>
        <v>0</v>
      </c>
      <c r="E115" s="83" t="n">
        <f aca="false">IFERROR(INDEX(HS_CONSOLIDATED!F:F,MATCH("IncreaseDecreaseThroughBusinessCombinationsDeferredTaxLiabilityAssets",HS_CONSOLIDATED!$C:$C,0)),0)</f>
        <v>0</v>
      </c>
      <c r="F115" s="83" t="n">
        <f aca="false">IFERROR(INDEX(HS_CONSOLIDATED!G:G,MATCH("IncreaseDecreaseThroughBusinessCombinationsDeferredTaxLiabilityAssets",HS_CONSOLIDATED!$C:$C,0)),0)</f>
        <v>0</v>
      </c>
      <c r="G115" s="83" t="n">
        <f aca="false">IFERROR(INDEX(HS_CONSOLIDATED!H:H,MATCH("IncreaseDecreaseThroughBusinessCombinationsDeferredTaxLiabilityAssets",HS_CONSOLIDATED!$C:$C,0)),0)</f>
        <v>0</v>
      </c>
      <c r="H115" s="83" t="n">
        <f aca="false">IFERROR(INDEX(HS_CONSOLIDATED!I:I,MATCH("IncreaseDecreaseThroughBusinessCombinationsDeferredTaxLiabilityAssets",HS_CONSOLIDATED!$C:$C,0)),0)</f>
        <v>0</v>
      </c>
      <c r="I115" s="83" t="n">
        <f aca="false">IFERROR(INDEX(HS_CONSOLIDATED!J:J,MATCH("IncreaseDecreaseThroughBusinessCombinationsDeferredTaxLiabilityAssets",HS_CONSOLIDATED!$C:$C,0)),0)</f>
        <v>0</v>
      </c>
      <c r="J115" s="83" t="n">
        <f aca="false">IFERROR(INDEX(HS_CONSOLIDATED!K:K,MATCH("IncreaseDecreaseThroughBusinessCombinationsDeferredTaxLiabilityAssets",HS_CONSOLIDATED!$C:$C,0)),0)</f>
        <v>0</v>
      </c>
      <c r="K115" s="83" t="n">
        <f aca="false">IFERROR(INDEX(HS_CONSOLIDATED!L:L,MATCH("IncreaseDecreaseThroughBusinessCombinationsDeferredTaxLiabilityAssets",HS_CONSOLIDATED!$C:$C,0)),0)</f>
        <v>-6356600000</v>
      </c>
      <c r="L115" s="92" t="n">
        <v>0</v>
      </c>
      <c r="M115" s="92" t="n">
        <v>0</v>
      </c>
      <c r="N115" s="92" t="n">
        <v>0</v>
      </c>
      <c r="O115" s="92" t="n">
        <v>0</v>
      </c>
      <c r="P115" s="92" t="n">
        <v>0</v>
      </c>
      <c r="Q115" s="92" t="n">
        <v>0</v>
      </c>
      <c r="R115" s="92" t="n">
        <v>0</v>
      </c>
      <c r="S115" s="92" t="n">
        <v>0</v>
      </c>
      <c r="T115" s="92" t="n">
        <v>0</v>
      </c>
      <c r="U115" s="92" t="n">
        <v>0</v>
      </c>
    </row>
    <row r="116" customFormat="false" ht="15" hidden="false" customHeight="false" outlineLevel="0" collapsed="false">
      <c r="B116" s="85" t="s">
        <v>437</v>
      </c>
      <c r="C116" s="86" t="n">
        <f aca="false">IFERROR(INDEX(HS_CONSOLIDATED!D:D,MATCH("DeferredTaxLiabilityAssets",HS_CONSOLIDATED!$C:$C,0)),0)</f>
        <v>0</v>
      </c>
      <c r="D116" s="86" t="n">
        <f aca="false">IFERROR(INDEX(HS_CONSOLIDATED!E:E,MATCH("DeferredTaxLiabilityAssets",HS_CONSOLIDATED!$C:$C,0)),0)</f>
        <v>0</v>
      </c>
      <c r="E116" s="86" t="n">
        <f aca="false">IFERROR(INDEX(HS_CONSOLIDATED!F:F,MATCH("DeferredTaxLiabilityAssets",HS_CONSOLIDATED!$C:$C,0)),0)</f>
        <v>0</v>
      </c>
      <c r="F116" s="86" t="n">
        <f aca="false">IFERROR(INDEX(HS_CONSOLIDATED!G:G,MATCH("DeferredTaxLiabilityAssets",HS_CONSOLIDATED!$C:$C,0)),0)</f>
        <v>0</v>
      </c>
      <c r="G116" s="86" t="n">
        <f aca="false">IFERROR(INDEX(HS_CONSOLIDATED!H:H,MATCH("DeferredTaxLiabilityAssets",HS_CONSOLIDATED!$C:$C,0)),0)</f>
        <v>0</v>
      </c>
      <c r="H116" s="86" t="n">
        <f aca="false">IFERROR(INDEX(HS_CONSOLIDATED!I:I,MATCH("DeferredTaxLiabilityAssets",HS_CONSOLIDATED!$C:$C,0)),0)</f>
        <v>-174800000</v>
      </c>
      <c r="I116" s="86" t="n">
        <f aca="false">IFERROR(INDEX(HS_CONSOLIDATED!J:J,MATCH("DeferredTaxLiabilityAssets",HS_CONSOLIDATED!$C:$C,0)),0)</f>
        <v>-1900000</v>
      </c>
      <c r="J116" s="86" t="n">
        <f aca="false">IFERROR(INDEX(HS_CONSOLIDATED!K:K,MATCH("DeferredTaxLiabilityAssets",HS_CONSOLIDATED!$C:$C,0)),0)</f>
        <v>-37600000</v>
      </c>
      <c r="K116" s="86" t="n">
        <f aca="false">IFERROR(INDEX(HS_CONSOLIDATED!L:L,MATCH("DeferredTaxLiabilityAssets",HS_CONSOLIDATED!$C:$C,0)),0)</f>
        <v>-6394200000</v>
      </c>
      <c r="L116" s="86" t="n">
        <f aca="false">-L125*(IF('Inputs &amp; Assumptions'!$C$74="",'Inputs &amp; Assumptions'!$C$73,'Inputs &amp; Assumptions'!$C$74))</f>
        <v>-972133414.697563</v>
      </c>
      <c r="M116" s="86" t="n">
        <f aca="false">-M125*(IF('Inputs &amp; Assumptions'!$C$74="",'Inputs &amp; Assumptions'!$C$73,'Inputs &amp; Assumptions'!$C$74))</f>
        <v>-0</v>
      </c>
      <c r="N116" s="86" t="n">
        <f aca="false">-N125*(IF('Inputs &amp; Assumptions'!$C$74="",'Inputs &amp; Assumptions'!$C$73,'Inputs &amp; Assumptions'!$C$74))</f>
        <v>-0</v>
      </c>
      <c r="O116" s="86" t="n">
        <f aca="false">-O125*(IF('Inputs &amp; Assumptions'!$C$74="",'Inputs &amp; Assumptions'!$C$73,'Inputs &amp; Assumptions'!$C$74))</f>
        <v>-0</v>
      </c>
      <c r="P116" s="86" t="n">
        <f aca="false">-P125*(IF('Inputs &amp; Assumptions'!$C$74="",'Inputs &amp; Assumptions'!$C$73,'Inputs &amp; Assumptions'!$C$74))</f>
        <v>-0</v>
      </c>
      <c r="Q116" s="86" t="n">
        <f aca="false">-Q125*(IF('Inputs &amp; Assumptions'!$C$74="",'Inputs &amp; Assumptions'!$C$73,'Inputs &amp; Assumptions'!$C$74))</f>
        <v>-0</v>
      </c>
      <c r="R116" s="86" t="n">
        <f aca="false">-R125*(IF('Inputs &amp; Assumptions'!$C$74="",'Inputs &amp; Assumptions'!$C$73,'Inputs &amp; Assumptions'!$C$74))</f>
        <v>-0</v>
      </c>
      <c r="S116" s="86" t="n">
        <f aca="false">-S125*(IF('Inputs &amp; Assumptions'!$C$74="",'Inputs &amp; Assumptions'!$C$73,'Inputs &amp; Assumptions'!$C$74))</f>
        <v>-0</v>
      </c>
      <c r="T116" s="86" t="n">
        <f aca="false">-T125*(IF('Inputs &amp; Assumptions'!$C$74="",'Inputs &amp; Assumptions'!$C$73,'Inputs &amp; Assumptions'!$C$74))</f>
        <v>-0</v>
      </c>
      <c r="U116" s="86" t="n">
        <f aca="false">-U125*(IF('Inputs &amp; Assumptions'!$C$74="",'Inputs &amp; Assumptions'!$C$73,'Inputs &amp; Assumptions'!$C$74))</f>
        <v>-0</v>
      </c>
    </row>
    <row r="117" customFormat="false" ht="15" hidden="false" customHeight="false" outlineLevel="0" collapsed="false">
      <c r="B117" s="87" t="s">
        <v>408</v>
      </c>
      <c r="C117" s="54" t="s">
        <v>327</v>
      </c>
      <c r="D117" s="88" t="n">
        <f aca="false">D116-IFERROR(INDEX(HS_CONSOLIDATED!E:E,MATCH("DeferredTaxLiabilityAssets",HS_CONSOLIDATED!$C:$C,0)),0)</f>
        <v>0</v>
      </c>
      <c r="E117" s="88" t="n">
        <f aca="false">E116-IFERROR(INDEX(HS_CONSOLIDATED!F:F,MATCH("DeferredTaxLiabilityAssets",HS_CONSOLIDATED!$C:$C,0)),0)</f>
        <v>0</v>
      </c>
      <c r="F117" s="88" t="n">
        <f aca="false">F116-IFERROR(INDEX(HS_CONSOLIDATED!G:G,MATCH("DeferredTaxLiabilityAssets",HS_CONSOLIDATED!$C:$C,0)),0)</f>
        <v>0</v>
      </c>
      <c r="G117" s="88" t="n">
        <f aca="false">G116-IFERROR(INDEX(HS_CONSOLIDATED!H:H,MATCH("DeferredTaxLiabilityAssets",HS_CONSOLIDATED!$C:$C,0)),0)</f>
        <v>0</v>
      </c>
      <c r="H117" s="88" t="n">
        <f aca="false">H116-IFERROR(INDEX(HS_CONSOLIDATED!I:I,MATCH("DeferredTaxLiabilityAssets",HS_CONSOLIDATED!$C:$C,0)),0)</f>
        <v>0</v>
      </c>
      <c r="I117" s="88" t="n">
        <f aca="false">I116-IFERROR(INDEX(HS_CONSOLIDATED!J:J,MATCH("DeferredTaxLiabilityAssets",HS_CONSOLIDATED!$C:$C,0)),0)</f>
        <v>0</v>
      </c>
      <c r="J117" s="88" t="n">
        <f aca="false">J116-IFERROR(INDEX(HS_CONSOLIDATED!K:K,MATCH("DeferredTaxLiabilityAssets",HS_CONSOLIDATED!$C:$C,0)),0)</f>
        <v>0</v>
      </c>
      <c r="K117" s="88" t="n">
        <f aca="false">K116-IFERROR(INDEX(HS_CONSOLIDATED!L:L,MATCH("DeferredTaxLiabilityAssets",HS_CONSOLIDATED!$C:$C,0)),0)</f>
        <v>0</v>
      </c>
    </row>
    <row r="119" customFormat="false" ht="15" hidden="false" customHeight="false" outlineLevel="0" collapsed="false">
      <c r="B119" s="54" t="s">
        <v>438</v>
      </c>
      <c r="C119" s="89" t="n">
        <f aca="false">IF(AND(ABS(C106)&gt;0,C120&gt;=0,C120&lt;=0.5),1,0)</f>
        <v>1</v>
      </c>
      <c r="D119" s="89" t="n">
        <f aca="false">IF(AND(ABS(D106)&gt;0,D120&gt;=0,D120&lt;=0.5),1,0)</f>
        <v>1</v>
      </c>
      <c r="E119" s="89" t="n">
        <f aca="false">IF(AND(ABS(E106)&gt;0,E120&gt;=0,E120&lt;=0.5),1,0)</f>
        <v>0</v>
      </c>
      <c r="F119" s="89" t="n">
        <f aca="false">IF(AND(ABS(F106)&gt;0,F120&gt;=0,F120&lt;=0.5),1,0)</f>
        <v>0</v>
      </c>
      <c r="G119" s="89" t="n">
        <f aca="false">IF(AND(ABS(G106)&gt;0,G120&gt;=0,G120&lt;=0.5),1,0)</f>
        <v>1</v>
      </c>
      <c r="H119" s="89" t="n">
        <f aca="false">IF(AND(ABS(H106)&gt;0,H120&gt;=0,H120&lt;=0.5),1,0)</f>
        <v>0</v>
      </c>
      <c r="I119" s="89" t="n">
        <f aca="false">IF(AND(ABS(I106)&gt;0,I120&gt;=0,I120&lt;=0.5),1,0)</f>
        <v>1</v>
      </c>
      <c r="J119" s="89" t="n">
        <f aca="false">IF(AND(ABS(J106)&gt;0,J120&gt;=0,J120&lt;=0.5),1,0)</f>
        <v>1</v>
      </c>
      <c r="K119" s="89" t="n">
        <f aca="false">IF(AND(ABS(K106)&gt;0,K120&gt;=0,K120&lt;=0.5),1,0)</f>
        <v>1</v>
      </c>
    </row>
    <row r="120" customFormat="false" ht="15" hidden="false" customHeight="false" outlineLevel="0" collapsed="false">
      <c r="B120" s="54" t="s">
        <v>439</v>
      </c>
      <c r="C120" s="91" t="n">
        <f aca="false">IFERROR(C109/C106,0)</f>
        <v>0.0128347173619719</v>
      </c>
      <c r="D120" s="91" t="n">
        <f aca="false">IFERROR(D109/D106,0)</f>
        <v>0.00399242463018887</v>
      </c>
      <c r="E120" s="91" t="n">
        <f aca="false">IFERROR(E109/E106,0)</f>
        <v>-0.00200260533120759</v>
      </c>
      <c r="F120" s="91" t="n">
        <f aca="false">IFERROR(F109/F106,0)</f>
        <v>-0.00277203375621752</v>
      </c>
      <c r="G120" s="91" t="n">
        <f aca="false">IFERROR(G109/G106,0)</f>
        <v>0.0441078403353339</v>
      </c>
      <c r="H120" s="91" t="n">
        <f aca="false">IFERROR(H109/H106,0)</f>
        <v>460.175</v>
      </c>
      <c r="I120" s="91" t="n">
        <f aca="false">IFERROR(I109/I106,0)</f>
        <v>0.00159421242102424</v>
      </c>
      <c r="J120" s="91" t="n">
        <f aca="false">IFERROR(J109/J106,0)</f>
        <v>0.00439733733642663</v>
      </c>
      <c r="K120" s="91" t="n">
        <f aca="false">IFERROR(K109/K106,0)</f>
        <v>0.0099679945805078</v>
      </c>
    </row>
    <row r="122" customFormat="false" ht="15" hidden="false" customHeight="false" outlineLevel="0" collapsed="false">
      <c r="B122" s="82" t="s">
        <v>440</v>
      </c>
      <c r="L122" s="92" t="n">
        <f aca="false">ABS(K116)/(IF('Inputs &amp; Assumptions'!$C$74="",'Inputs &amp; Assumptions'!$C$73,'Inputs &amp; Assumptions'!$C$74))</f>
        <v>25404052443.385</v>
      </c>
      <c r="M122" s="92" t="n">
        <f aca="false">L125</f>
        <v>3862270221.28551</v>
      </c>
      <c r="N122" s="92" t="n">
        <f aca="false">M125</f>
        <v>0</v>
      </c>
      <c r="O122" s="92" t="n">
        <f aca="false">N125</f>
        <v>0</v>
      </c>
      <c r="P122" s="92" t="n">
        <f aca="false">O125</f>
        <v>0</v>
      </c>
      <c r="Q122" s="92" t="n">
        <f aca="false">P125</f>
        <v>0</v>
      </c>
      <c r="R122" s="92" t="n">
        <f aca="false">Q125</f>
        <v>0</v>
      </c>
      <c r="S122" s="92" t="n">
        <f aca="false">R125</f>
        <v>0</v>
      </c>
      <c r="T122" s="92" t="n">
        <f aca="false">S125</f>
        <v>0</v>
      </c>
      <c r="U122" s="92" t="n">
        <f aca="false">T125</f>
        <v>0</v>
      </c>
    </row>
    <row r="123" customFormat="false" ht="15" hidden="false" customHeight="false" outlineLevel="0" collapsed="false">
      <c r="B123" s="82" t="s">
        <v>441</v>
      </c>
      <c r="L123" s="92" t="n">
        <f aca="false">-MIN(L122,MAX(L106,0))</f>
        <v>-21541782222.0995</v>
      </c>
      <c r="M123" s="92" t="n">
        <f aca="false">-MIN(M122,MAX(M106,0))</f>
        <v>-3862270221.28551</v>
      </c>
      <c r="N123" s="92" t="n">
        <f aca="false">-MIN(N122,MAX(N106,0))</f>
        <v>-0</v>
      </c>
      <c r="O123" s="92" t="n">
        <f aca="false">-MIN(O122,MAX(O106,0))</f>
        <v>-0</v>
      </c>
      <c r="P123" s="92" t="n">
        <f aca="false">-MIN(P122,MAX(P106,0))</f>
        <v>-0</v>
      </c>
      <c r="Q123" s="92" t="n">
        <f aca="false">-MIN(Q122,MAX(Q106,0))</f>
        <v>-0</v>
      </c>
      <c r="R123" s="92" t="n">
        <f aca="false">-MIN(R122,MAX(R106,0))</f>
        <v>-0</v>
      </c>
      <c r="S123" s="92" t="n">
        <f aca="false">-MIN(S122,MAX(S106,0))</f>
        <v>-0</v>
      </c>
      <c r="T123" s="92" t="n">
        <f aca="false">-MIN(T122,MAX(T106,0))</f>
        <v>-0</v>
      </c>
      <c r="U123" s="92" t="n">
        <f aca="false">-MIN(U122,MAX(U106,0))</f>
        <v>-0</v>
      </c>
    </row>
    <row r="124" customFormat="false" ht="15" hidden="false" customHeight="false" outlineLevel="0" collapsed="false">
      <c r="B124" s="82" t="s">
        <v>442</v>
      </c>
      <c r="L124" s="92" t="n">
        <f aca="false">MAX(-L106,0)</f>
        <v>0</v>
      </c>
      <c r="M124" s="92" t="n">
        <f aca="false">MAX(-M106,0)</f>
        <v>0</v>
      </c>
      <c r="N124" s="92" t="n">
        <f aca="false">MAX(-N106,0)</f>
        <v>0</v>
      </c>
      <c r="O124" s="92" t="n">
        <f aca="false">MAX(-O106,0)</f>
        <v>0</v>
      </c>
      <c r="P124" s="92" t="n">
        <f aca="false">MAX(-P106,0)</f>
        <v>0</v>
      </c>
      <c r="Q124" s="92" t="n">
        <f aca="false">MAX(-Q106,0)</f>
        <v>0</v>
      </c>
      <c r="R124" s="92" t="n">
        <f aca="false">MAX(-R106,0)</f>
        <v>0</v>
      </c>
      <c r="S124" s="92" t="n">
        <f aca="false">MAX(-S106,0)</f>
        <v>0</v>
      </c>
      <c r="T124" s="92" t="n">
        <f aca="false">MAX(-T106,0)</f>
        <v>0</v>
      </c>
      <c r="U124" s="92" t="n">
        <f aca="false">MAX(-U106,0)</f>
        <v>0</v>
      </c>
    </row>
    <row r="125" customFormat="false" ht="15" hidden="false" customHeight="false" outlineLevel="0" collapsed="false">
      <c r="B125" s="85" t="s">
        <v>443</v>
      </c>
      <c r="L125" s="86" t="n">
        <f aca="false">L122+L123+L124</f>
        <v>3862270221.28551</v>
      </c>
      <c r="M125" s="86" t="n">
        <f aca="false">M122+M123+M124</f>
        <v>0</v>
      </c>
      <c r="N125" s="86" t="n">
        <f aca="false">N122+N123+N124</f>
        <v>0</v>
      </c>
      <c r="O125" s="86" t="n">
        <f aca="false">O122+O123+O124</f>
        <v>0</v>
      </c>
      <c r="P125" s="86" t="n">
        <f aca="false">P122+P123+P124</f>
        <v>0</v>
      </c>
      <c r="Q125" s="86" t="n">
        <f aca="false">Q122+Q123+Q124</f>
        <v>0</v>
      </c>
      <c r="R125" s="86" t="n">
        <f aca="false">R122+R123+R124</f>
        <v>0</v>
      </c>
      <c r="S125" s="86" t="n">
        <f aca="false">S122+S123+S124</f>
        <v>0</v>
      </c>
      <c r="T125" s="86" t="n">
        <f aca="false">T122+T123+T124</f>
        <v>0</v>
      </c>
      <c r="U125" s="86" t="n">
        <f aca="false">U122+U123+U124</f>
        <v>0</v>
      </c>
    </row>
    <row r="126" customFormat="false" ht="15" hidden="false" customHeight="false" outlineLevel="0" collapsed="false">
      <c r="B126" s="82" t="s">
        <v>444</v>
      </c>
      <c r="L126" s="92" t="n">
        <f aca="false">MAX(L106-L122,0)</f>
        <v>0</v>
      </c>
      <c r="M126" s="92" t="n">
        <f aca="false">MAX(M106-M122,0)</f>
        <v>24280086580.9709</v>
      </c>
      <c r="N126" s="92" t="n">
        <f aca="false">MAX(N106-N122,0)</f>
        <v>35827551034.1655</v>
      </c>
      <c r="O126" s="92" t="n">
        <f aca="false">MAX(O106-O122,0)</f>
        <v>44673467331.4185</v>
      </c>
      <c r="P126" s="92" t="n">
        <f aca="false">MAX(P106-P122,0)</f>
        <v>54683213523.0735</v>
      </c>
      <c r="Q126" s="92" t="n">
        <f aca="false">MAX(Q106-Q122,0)</f>
        <v>65840121818.5721</v>
      </c>
      <c r="R126" s="92" t="n">
        <f aca="false">MAX(R106-R122,0)</f>
        <v>78112018770.4159</v>
      </c>
      <c r="S126" s="92" t="n">
        <f aca="false">MAX(S106-S122,0)</f>
        <v>93126560366.7213</v>
      </c>
      <c r="T126" s="92" t="n">
        <f aca="false">MAX(T106-T122,0)</f>
        <v>107484810102.307</v>
      </c>
      <c r="U126" s="92" t="n">
        <f aca="false">MAX(U106-U122,0)</f>
        <v>122803675527.411</v>
      </c>
    </row>
    <row r="129" customFormat="false" ht="17.35" hidden="false" customHeight="false" outlineLevel="0" collapsed="false">
      <c r="A129" s="0" t="s">
        <v>26</v>
      </c>
      <c r="B129" s="81" t="s">
        <v>445</v>
      </c>
    </row>
    <row r="132" customFormat="false" ht="15" hidden="false" customHeight="false" outlineLevel="0" collapsed="false">
      <c r="B132" s="82" t="s">
        <v>446</v>
      </c>
      <c r="C132" s="83" t="n">
        <f aca="false">IFERROR(INDEX(HS_CONSOLIDATED!D:D,MATCH("EquityShareCapital",HS_CONSOLIDATED!$C:$C,0)),0)</f>
        <v>10048800000</v>
      </c>
      <c r="D132" s="83" t="n">
        <f aca="false">IFERROR(INDEX(HS_CONSOLIDATED!E:E,MATCH("EquityShareCapital",HS_CONSOLIDATED!$C:$C,0)),0)</f>
        <v>10639500000</v>
      </c>
      <c r="E132" s="83" t="n">
        <f aca="false">IFERROR(INDEX(HS_CONSOLIDATED!F:F,MATCH("EquityShareCapital",HS_CONSOLIDATED!$C:$C,0)),0)</f>
        <v>10639500000</v>
      </c>
      <c r="F132" s="83" t="n">
        <f aca="false">IFERROR(INDEX(HS_CONSOLIDATED!G:G,MATCH("EquityShareCapital",HS_CONSOLIDATED!$C:$C,0)),0)</f>
        <v>10639500000</v>
      </c>
      <c r="G132" s="83" t="n">
        <f aca="false">IFERROR(INDEX(HS_CONSOLIDATED!H:H,MATCH("EquityShareCapital",HS_CONSOLIDATED!$C:$C,0)),0)</f>
        <v>17016000000</v>
      </c>
      <c r="H132" s="83" t="n">
        <f aca="false">IFERROR(INDEX(HS_CONSOLIDATED!I:I,MATCH("EquityShareCapital",HS_CONSOLIDATED!$C:$C,0)),0)</f>
        <v>18434900000</v>
      </c>
      <c r="I132" s="83" t="n">
        <f aca="false">IFERROR(INDEX(HS_CONSOLIDATED!J:J,MATCH("EquityShareCapital",HS_CONSOLIDATED!$C:$C,0)),0)</f>
        <v>24544000000</v>
      </c>
      <c r="J132" s="83" t="n">
        <f aca="false">IFERROR(INDEX(HS_CONSOLIDATED!K:K,MATCH("EquityShareCapital",HS_CONSOLIDATED!$C:$C,0)),0)</f>
        <v>27217200000</v>
      </c>
      <c r="K132" s="83" t="n">
        <f aca="false">IFERROR(INDEX(HS_CONSOLIDATED!L:L,MATCH("EquityShareCapital",HS_CONSOLIDATED!$C:$C,0)),0)</f>
        <v>27317900000</v>
      </c>
      <c r="L132" s="92" t="n">
        <f aca="false">K132</f>
        <v>27317900000</v>
      </c>
      <c r="M132" s="92" t="n">
        <f aca="false">K132</f>
        <v>27317900000</v>
      </c>
      <c r="N132" s="92" t="n">
        <f aca="false">K132</f>
        <v>27317900000</v>
      </c>
      <c r="O132" s="92" t="n">
        <f aca="false">K132</f>
        <v>27317900000</v>
      </c>
      <c r="P132" s="92" t="n">
        <f aca="false">K132</f>
        <v>27317900000</v>
      </c>
      <c r="Q132" s="92" t="n">
        <f aca="false">K132</f>
        <v>27317900000</v>
      </c>
      <c r="R132" s="92" t="n">
        <f aca="false">K132</f>
        <v>27317900000</v>
      </c>
      <c r="S132" s="92" t="n">
        <f aca="false">K132</f>
        <v>27317900000</v>
      </c>
      <c r="T132" s="92" t="n">
        <f aca="false">K132</f>
        <v>27317900000</v>
      </c>
      <c r="U132" s="92" t="n">
        <f aca="false">K132</f>
        <v>27317900000</v>
      </c>
    </row>
    <row r="133" customFormat="false" ht="15" hidden="false" customHeight="false" outlineLevel="0" collapsed="false">
      <c r="B133" s="87" t="s">
        <v>408</v>
      </c>
      <c r="C133" s="88" t="n">
        <f aca="false">C132-IFERROR(INDEX(HS_CONSOLIDATED!D:D,MATCH("EquityShareCapital",HS_CONSOLIDATED!$C:$C,0)),0)</f>
        <v>0</v>
      </c>
      <c r="D133" s="88" t="n">
        <f aca="false">D132-IFERROR(INDEX(HS_CONSOLIDATED!E:E,MATCH("EquityShareCapital",HS_CONSOLIDATED!$C:$C,0)),0)</f>
        <v>0</v>
      </c>
      <c r="E133" s="88" t="n">
        <f aca="false">E132-IFERROR(INDEX(HS_CONSOLIDATED!F:F,MATCH("EquityShareCapital",HS_CONSOLIDATED!$C:$C,0)),0)</f>
        <v>0</v>
      </c>
      <c r="F133" s="88" t="n">
        <f aca="false">F132-IFERROR(INDEX(HS_CONSOLIDATED!G:G,MATCH("EquityShareCapital",HS_CONSOLIDATED!$C:$C,0)),0)</f>
        <v>0</v>
      </c>
      <c r="G133" s="88" t="n">
        <f aca="false">G132-IFERROR(INDEX(HS_CONSOLIDATED!H:H,MATCH("EquityShareCapital",HS_CONSOLIDATED!$C:$C,0)),0)</f>
        <v>0</v>
      </c>
      <c r="H133" s="88" t="n">
        <f aca="false">H132-IFERROR(INDEX(HS_CONSOLIDATED!I:I,MATCH("EquityShareCapital",HS_CONSOLIDATED!$C:$C,0)),0)</f>
        <v>0</v>
      </c>
      <c r="I133" s="88" t="n">
        <f aca="false">I132-IFERROR(INDEX(HS_CONSOLIDATED!J:J,MATCH("EquityShareCapital",HS_CONSOLIDATED!$C:$C,0)),0)</f>
        <v>0</v>
      </c>
      <c r="J133" s="88" t="n">
        <f aca="false">J132-IFERROR(INDEX(HS_CONSOLIDATED!K:K,MATCH("EquityShareCapital",HS_CONSOLIDATED!$C:$C,0)),0)</f>
        <v>0</v>
      </c>
      <c r="K133" s="88" t="n">
        <f aca="false">K132-IFERROR(INDEX(HS_CONSOLIDATED!L:L,MATCH("EquityShareCapital",HS_CONSOLIDATED!$C:$C,0)),0)</f>
        <v>0</v>
      </c>
    </row>
    <row r="135" customFormat="false" ht="15" hidden="false" customHeight="false" outlineLevel="0" collapsed="false">
      <c r="B135" s="82" t="s">
        <v>447</v>
      </c>
      <c r="C135" s="54" t="s">
        <v>327</v>
      </c>
      <c r="D135" s="92" t="n">
        <f aca="false">C140</f>
        <v>-78462100000</v>
      </c>
      <c r="E135" s="92" t="n">
        <f aca="false">D140</f>
        <v>-80308000000</v>
      </c>
      <c r="F135" s="92" t="n">
        <f aca="false">E140</f>
        <v>-95615600000</v>
      </c>
      <c r="G135" s="92" t="n">
        <f aca="false">F140</f>
        <v>-120468900000</v>
      </c>
      <c r="H135" s="92" t="n">
        <f aca="false">G140</f>
        <v>-50446300000</v>
      </c>
      <c r="I135" s="92" t="n">
        <f aca="false">H140</f>
        <v>-53692200000</v>
      </c>
      <c r="J135" s="92" t="n">
        <f aca="false">I140</f>
        <v>-13552600000</v>
      </c>
      <c r="K135" s="92" t="n">
        <f aca="false">J140</f>
        <v>11985900000</v>
      </c>
      <c r="L135" s="92" t="n">
        <f aca="false">K140</f>
        <v>33739300000</v>
      </c>
      <c r="M135" s="92" t="n">
        <f aca="false">L140</f>
        <v>49744416627.2996</v>
      </c>
      <c r="N135" s="92" t="n">
        <f aca="false">M140</f>
        <v>70803342222.4281</v>
      </c>
      <c r="O135" s="92" t="n">
        <f aca="false">N140</f>
        <v>97613098661.2941</v>
      </c>
      <c r="P135" s="92" t="n">
        <f aca="false">O140</f>
        <v>131042254265.395</v>
      </c>
      <c r="Q135" s="92" t="n">
        <f aca="false">P140</f>
        <v>171961702944.71</v>
      </c>
      <c r="R135" s="92" t="n">
        <f aca="false">Q140</f>
        <v>221229866101.548</v>
      </c>
      <c r="S135" s="92" t="n">
        <f aca="false">R140</f>
        <v>279681089747.45</v>
      </c>
      <c r="T135" s="92" t="n">
        <f aca="false">S140</f>
        <v>349367694869.868</v>
      </c>
      <c r="U135" s="92" t="n">
        <f aca="false">T140</f>
        <v>429798578269.424</v>
      </c>
    </row>
    <row r="136" customFormat="false" ht="15" hidden="false" customHeight="false" outlineLevel="0" collapsed="false">
      <c r="B136" s="82" t="s">
        <v>448</v>
      </c>
      <c r="C136" s="84" t="n">
        <f aca="false">'P&amp;L Schedule'!C22</f>
        <v>8998900000</v>
      </c>
      <c r="D136" s="84" t="n">
        <f aca="false">'P&amp;L Schedule'!D22</f>
        <v>-3891800000</v>
      </c>
      <c r="E136" s="84" t="n">
        <f aca="false">'P&amp;L Schedule'!E22</f>
        <v>-15310900000</v>
      </c>
      <c r="F136" s="84" t="n">
        <f aca="false">'P&amp;L Schedule'!F22</f>
        <v>-26913900000</v>
      </c>
      <c r="G136" s="84" t="n">
        <f aca="false">'P&amp;L Schedule'!G22</f>
        <v>1003400000</v>
      </c>
      <c r="H136" s="84" t="n">
        <f aca="false">'P&amp;L Schedule'!H22</f>
        <v>-1661900000</v>
      </c>
      <c r="I136" s="84" t="n">
        <f aca="false">'P&amp;L Schedule'!I22</f>
        <v>28872900000</v>
      </c>
      <c r="J136" s="84" t="n">
        <f aca="false">'P&amp;L Schedule'!J22</f>
        <v>6603500000</v>
      </c>
      <c r="K136" s="84" t="n">
        <f aca="false">'P&amp;L Schedule'!K22</f>
        <v>20716300000</v>
      </c>
      <c r="L136" s="92" t="n">
        <f aca="false">'P&amp;L Schedule'!L22</f>
        <v>16005116627.2996</v>
      </c>
      <c r="M136" s="92" t="n">
        <f aca="false">'P&amp;L Schedule'!M22</f>
        <v>21058925595.1285</v>
      </c>
      <c r="N136" s="92" t="n">
        <f aca="false">'P&amp;L Schedule'!N22</f>
        <v>26809756438.866</v>
      </c>
      <c r="O136" s="92" t="n">
        <f aca="false">'P&amp;L Schedule'!O22</f>
        <v>33429155604.1004</v>
      </c>
      <c r="P136" s="92" t="n">
        <f aca="false">'P&amp;L Schedule'!P22</f>
        <v>40919448679.3159</v>
      </c>
      <c r="Q136" s="92" t="n">
        <f aca="false">'P&amp;L Schedule'!Q22</f>
        <v>49268163156.8375</v>
      </c>
      <c r="R136" s="92" t="n">
        <f aca="false">'P&amp;L Schedule'!R22</f>
        <v>58451223645.9022</v>
      </c>
      <c r="S136" s="92" t="n">
        <f aca="false">'P&amp;L Schedule'!S22</f>
        <v>69686605122.4175</v>
      </c>
      <c r="T136" s="92" t="n">
        <f aca="false">'P&amp;L Schedule'!T22</f>
        <v>80430883399.5564</v>
      </c>
      <c r="U136" s="92" t="n">
        <f aca="false">'P&amp;L Schedule'!U22</f>
        <v>91893990397.1618</v>
      </c>
    </row>
    <row r="137" customFormat="false" ht="15" hidden="false" customHeight="false" outlineLevel="0" collapsed="false">
      <c r="B137" s="82" t="s">
        <v>449</v>
      </c>
      <c r="C137" s="83" t="n">
        <f aca="false">(IFERROR(INDEX(HS_CONSOLIDATED!D:D,MATCH("OtherComprehensiveIncomeThatWillNotBeReclassifiedToProfitOrLossNetOfTax",HS_CONSOLIDATED!$C:$C,0)),0))+(IFERROR(INDEX(HS_CONSOLIDATED!D:D,MATCH("OtherComprehensiveIncomeThatWillBeReclassifiedToProfitOrLossNetOfTax",HS_CONSOLIDATED!$C:$C,0)),0))</f>
        <v>-2396800000</v>
      </c>
      <c r="D137" s="83" t="n">
        <f aca="false">(IFERROR(INDEX(HS_CONSOLIDATED!E:E,MATCH("OtherComprehensiveIncomeThatWillNotBeReclassifiedToProfitOrLossNetOfTax",HS_CONSOLIDATED!$C:$C,0)),0))+(IFERROR(INDEX(HS_CONSOLIDATED!E:E,MATCH("OtherComprehensiveIncomeThatWillBeReclassifiedToProfitOrLossNetOfTax",HS_CONSOLIDATED!$C:$C,0)),0))</f>
        <v>-1892700000</v>
      </c>
      <c r="E137" s="83" t="n">
        <f aca="false">(IFERROR(INDEX(HS_CONSOLIDATED!F:F,MATCH("OtherComprehensiveIncomeThatWillNotBeReclassifiedToProfitOrLossNetOfTax",HS_CONSOLIDATED!$C:$C,0)),0))+(IFERROR(INDEX(HS_CONSOLIDATED!F:F,MATCH("OtherComprehensiveIncomeThatWillBeReclassifiedToProfitOrLossNetOfTax",HS_CONSOLIDATED!$C:$C,0)),0))</f>
        <v>-397800000</v>
      </c>
      <c r="F137" s="83" t="n">
        <f aca="false">(IFERROR(INDEX(HS_CONSOLIDATED!G:G,MATCH("OtherComprehensiveIncomeThatWillNotBeReclassifiedToProfitOrLossNetOfTax",HS_CONSOLIDATED!$C:$C,0)),0))+(IFERROR(INDEX(HS_CONSOLIDATED!G:G,MATCH("OtherComprehensiveIncomeThatWillBeReclassifiedToProfitOrLossNetOfTax",HS_CONSOLIDATED!$C:$C,0)),0))</f>
        <v>1406900000</v>
      </c>
      <c r="G137" s="83" t="n">
        <f aca="false">(IFERROR(INDEX(HS_CONSOLIDATED!H:H,MATCH("OtherComprehensiveIncomeThatWillNotBeReclassifiedToProfitOrLossNetOfTax",HS_CONSOLIDATED!$C:$C,0)),0))+(IFERROR(INDEX(HS_CONSOLIDATED!H:H,MATCH("OtherComprehensiveIncomeThatWillBeReclassifiedToProfitOrLossNetOfTax",HS_CONSOLIDATED!$C:$C,0)),0))</f>
        <v>312400000</v>
      </c>
      <c r="H137" s="83" t="n">
        <f aca="false">(IFERROR(INDEX(HS_CONSOLIDATED!I:I,MATCH("OtherComprehensiveIncomeThatWillNotBeReclassifiedToProfitOrLossNetOfTax",HS_CONSOLIDATED!$C:$C,0)),0))+(IFERROR(INDEX(HS_CONSOLIDATED!I:I,MATCH("OtherComprehensiveIncomeThatWillBeReclassifiedToProfitOrLossNetOfTax",HS_CONSOLIDATED!$C:$C,0)),0))</f>
        <v>-818300000</v>
      </c>
      <c r="I137" s="83" t="n">
        <f aca="false">(IFERROR(INDEX(HS_CONSOLIDATED!J:J,MATCH("OtherComprehensiveIncomeThatWillNotBeReclassifiedToProfitOrLossNetOfTax",HS_CONSOLIDATED!$C:$C,0)),0))+(IFERROR(INDEX(HS_CONSOLIDATED!J:J,MATCH("OtherComprehensiveIncomeThatWillBeReclassifiedToProfitOrLossNetOfTax",HS_CONSOLIDATED!$C:$C,0)),0))</f>
        <v>-348800000</v>
      </c>
      <c r="J137" s="83" t="n">
        <f aca="false">(IFERROR(INDEX(HS_CONSOLIDATED!K:K,MATCH("OtherComprehensiveIncomeThatWillNotBeReclassifiedToProfitOrLossNetOfTax",HS_CONSOLIDATED!$C:$C,0)),0))+(IFERROR(INDEX(HS_CONSOLIDATED!K:K,MATCH("OtherComprehensiveIncomeThatWillBeReclassifiedToProfitOrLossNetOfTax",HS_CONSOLIDATED!$C:$C,0)),0))</f>
        <v>664700000</v>
      </c>
      <c r="K137" s="83" t="n">
        <f aca="false">(IFERROR(INDEX(HS_CONSOLIDATED!L:L,MATCH("OtherComprehensiveIncomeThatWillNotBeReclassifiedToProfitOrLossNetOfTax",HS_CONSOLIDATED!$C:$C,0)),0))+(IFERROR(INDEX(HS_CONSOLIDATED!L:L,MATCH("OtherComprehensiveIncomeThatWillBeReclassifiedToProfitOrLossNetOfTax",HS_CONSOLIDATED!$C:$C,0)),0))</f>
        <v>-233300000</v>
      </c>
      <c r="L137" s="92" t="n">
        <v>0</v>
      </c>
      <c r="M137" s="92" t="n">
        <v>0</v>
      </c>
      <c r="N137" s="92" t="n">
        <v>0</v>
      </c>
      <c r="O137" s="92" t="n">
        <v>0</v>
      </c>
      <c r="P137" s="92" t="n">
        <v>0</v>
      </c>
      <c r="Q137" s="92" t="n">
        <v>0</v>
      </c>
      <c r="R137" s="92" t="n">
        <v>0</v>
      </c>
      <c r="S137" s="92" t="n">
        <v>0</v>
      </c>
      <c r="T137" s="92" t="n">
        <v>0</v>
      </c>
      <c r="U137" s="92" t="n">
        <v>0</v>
      </c>
    </row>
    <row r="138" customFormat="false" ht="15" hidden="false" customHeight="false" outlineLevel="0" collapsed="false">
      <c r="B138" s="82" t="s">
        <v>450</v>
      </c>
      <c r="C138" s="83" t="n">
        <f aca="false">-IFERROR(INDEX(HS_CONSOLIDATED!D:D,MATCH("DividendsPaidClassifiedAsFinancingActivities",HS_CONSOLIDATED!$C:$C,0)),0)</f>
        <v>-0</v>
      </c>
      <c r="D138" s="83" t="n">
        <f aca="false">-IFERROR(INDEX(HS_CONSOLIDATED!E:E,MATCH("DividendsPaidClassifiedAsFinancingActivities",HS_CONSOLIDATED!$C:$C,0)),0)</f>
        <v>-0</v>
      </c>
      <c r="E138" s="83" t="n">
        <f aca="false">-IFERROR(INDEX(HS_CONSOLIDATED!F:F,MATCH("DividendsPaidClassifiedAsFinancingActivities",HS_CONSOLIDATED!$C:$C,0)),0)</f>
        <v>-0</v>
      </c>
      <c r="F138" s="83" t="n">
        <f aca="false">-IFERROR(INDEX(HS_CONSOLIDATED!G:G,MATCH("DividendsPaidClassifiedAsFinancingActivities",HS_CONSOLIDATED!$C:$C,0)),0)</f>
        <v>-0</v>
      </c>
      <c r="G138" s="83" t="n">
        <f aca="false">-IFERROR(INDEX(HS_CONSOLIDATED!H:H,MATCH("DividendsPaidClassifiedAsFinancingActivities",HS_CONSOLIDATED!$C:$C,0)),0)</f>
        <v>-0</v>
      </c>
      <c r="H138" s="83" t="n">
        <f aca="false">-IFERROR(INDEX(HS_CONSOLIDATED!I:I,MATCH("DividendsPaidClassifiedAsFinancingActivities",HS_CONSOLIDATED!$C:$C,0)),0)</f>
        <v>-0</v>
      </c>
      <c r="I138" s="83" t="n">
        <f aca="false">-IFERROR(INDEX(HS_CONSOLIDATED!J:J,MATCH("DividendsPaidClassifiedAsFinancingActivities",HS_CONSOLIDATED!$C:$C,0)),0)</f>
        <v>-0</v>
      </c>
      <c r="J138" s="83" t="n">
        <f aca="false">-IFERROR(INDEX(HS_CONSOLIDATED!K:K,MATCH("DividendsPaidClassifiedAsFinancingActivities",HS_CONSOLIDATED!$C:$C,0)),0)</f>
        <v>-0</v>
      </c>
      <c r="K138" s="83" t="n">
        <f aca="false">-IFERROR(INDEX(HS_CONSOLIDATED!L:L,MATCH("DividendsPaidClassifiedAsFinancingActivities",HS_CONSOLIDATED!$C:$C,0)),0)</f>
        <v>-0</v>
      </c>
      <c r="L138" s="92" t="n">
        <f aca="false">-L136*(IF('Inputs &amp; Assumptions'!C82="",'Inputs &amp; Assumptions'!C81,'Inputs &amp; Assumptions'!C82))</f>
        <v>-0</v>
      </c>
      <c r="M138" s="92" t="n">
        <f aca="false">-M136*(IF('Inputs &amp; Assumptions'!D82="",'Inputs &amp; Assumptions'!D81,'Inputs &amp; Assumptions'!D82))</f>
        <v>-0</v>
      </c>
      <c r="N138" s="92" t="n">
        <f aca="false">-N136*(IF('Inputs &amp; Assumptions'!E82="",'Inputs &amp; Assumptions'!E81,'Inputs &amp; Assumptions'!E82))</f>
        <v>-0</v>
      </c>
      <c r="O138" s="92" t="n">
        <f aca="false">-O136*(IF('Inputs &amp; Assumptions'!F82="",'Inputs &amp; Assumptions'!F81,'Inputs &amp; Assumptions'!F82))</f>
        <v>-0</v>
      </c>
      <c r="P138" s="92" t="n">
        <f aca="false">-P136*(IF('Inputs &amp; Assumptions'!G82="",'Inputs &amp; Assumptions'!G81,'Inputs &amp; Assumptions'!G82))</f>
        <v>-0</v>
      </c>
      <c r="Q138" s="92" t="n">
        <f aca="false">-Q136*(IF('Inputs &amp; Assumptions'!H82="",'Inputs &amp; Assumptions'!H81,'Inputs &amp; Assumptions'!H82))</f>
        <v>-0</v>
      </c>
      <c r="R138" s="92" t="n">
        <f aca="false">-R136*(IF('Inputs &amp; Assumptions'!I82="",'Inputs &amp; Assumptions'!I81,'Inputs &amp; Assumptions'!I82))</f>
        <v>-0</v>
      </c>
      <c r="S138" s="92" t="n">
        <f aca="false">-S136*(IF('Inputs &amp; Assumptions'!J82="",'Inputs &amp; Assumptions'!J81,'Inputs &amp; Assumptions'!J82))</f>
        <v>-0</v>
      </c>
      <c r="T138" s="92" t="n">
        <f aca="false">-T136*(IF('Inputs &amp; Assumptions'!K82="",'Inputs &amp; Assumptions'!K81,'Inputs &amp; Assumptions'!K82))</f>
        <v>-0</v>
      </c>
      <c r="U138" s="92" t="n">
        <f aca="false">-U136*(IF('Inputs &amp; Assumptions'!L82="",'Inputs &amp; Assumptions'!L81,'Inputs &amp; Assumptions'!L82))</f>
        <v>-0</v>
      </c>
    </row>
    <row r="139" customFormat="false" ht="15" hidden="false" customHeight="false" outlineLevel="0" collapsed="false">
      <c r="B139" s="82" t="s">
        <v>451</v>
      </c>
      <c r="C139" s="54" t="s">
        <v>327</v>
      </c>
      <c r="D139" s="92" t="n">
        <f aca="false">IFERROR(INDEX(HS_CONSOLIDATED!E:E,MATCH("OtherEquity",HS_CONSOLIDATED!$C:$C,0)),0)-D135-D136-D137-D138</f>
        <v>3938600000</v>
      </c>
      <c r="E139" s="92" t="n">
        <f aca="false">IFERROR(INDEX(HS_CONSOLIDATED!F:F,MATCH("OtherEquity",HS_CONSOLIDATED!$C:$C,0)),0)-E135-E136-E137-E138</f>
        <v>401100000</v>
      </c>
      <c r="F139" s="92" t="n">
        <f aca="false">IFERROR(INDEX(HS_CONSOLIDATED!G:G,MATCH("OtherEquity",HS_CONSOLIDATED!$C:$C,0)),0)-F135-F136-F137-F138</f>
        <v>653700000</v>
      </c>
      <c r="G139" s="92" t="n">
        <f aca="false">IFERROR(INDEX(HS_CONSOLIDATED!H:H,MATCH("OtherEquity",HS_CONSOLIDATED!$C:$C,0)),0)-G135-G136-G137-G138</f>
        <v>68706800000</v>
      </c>
      <c r="H139" s="92" t="n">
        <f aca="false">IFERROR(INDEX(HS_CONSOLIDATED!I:I,MATCH("OtherEquity",HS_CONSOLIDATED!$C:$C,0)),0)-H135-H136-H137-H138</f>
        <v>-765700000</v>
      </c>
      <c r="I139" s="92" t="n">
        <f aca="false">IFERROR(INDEX(HS_CONSOLIDATED!J:J,MATCH("OtherEquity",HS_CONSOLIDATED!$C:$C,0)),0)-I135-I136-I137-I138</f>
        <v>11615500000</v>
      </c>
      <c r="J139" s="92" t="n">
        <f aca="false">IFERROR(INDEX(HS_CONSOLIDATED!K:K,MATCH("OtherEquity",HS_CONSOLIDATED!$C:$C,0)),0)-J135-J136-J137-J138</f>
        <v>18270300000</v>
      </c>
      <c r="K139" s="92" t="n">
        <f aca="false">IFERROR(INDEX(HS_CONSOLIDATED!L:L,MATCH("OtherEquity",HS_CONSOLIDATED!$C:$C,0)),0)-K135-K136-K137-K138</f>
        <v>1270400000</v>
      </c>
      <c r="L139" s="92" t="n">
        <v>0</v>
      </c>
      <c r="M139" s="92" t="n">
        <v>0</v>
      </c>
      <c r="N139" s="92" t="n">
        <v>0</v>
      </c>
      <c r="O139" s="92" t="n">
        <v>0</v>
      </c>
      <c r="P139" s="92" t="n">
        <v>0</v>
      </c>
      <c r="Q139" s="92" t="n">
        <v>0</v>
      </c>
      <c r="R139" s="92" t="n">
        <v>0</v>
      </c>
      <c r="S139" s="92" t="n">
        <v>0</v>
      </c>
      <c r="T139" s="92" t="n">
        <v>0</v>
      </c>
      <c r="U139" s="92" t="n">
        <v>0</v>
      </c>
    </row>
    <row r="140" customFormat="false" ht="15" hidden="false" customHeight="false" outlineLevel="0" collapsed="false">
      <c r="B140" s="85" t="s">
        <v>452</v>
      </c>
      <c r="C140" s="86" t="n">
        <f aca="false">IFERROR(INDEX(HS_CONSOLIDATED!D:D,MATCH("OtherEquity",HS_CONSOLIDATED!$C:$C,0)),0)</f>
        <v>-78462100000</v>
      </c>
      <c r="D140" s="86" t="n">
        <f aca="false">IFERROR(INDEX(HS_CONSOLIDATED!E:E,MATCH("OtherEquity",HS_CONSOLIDATED!$C:$C,0)),0)</f>
        <v>-80308000000</v>
      </c>
      <c r="E140" s="86" t="n">
        <f aca="false">IFERROR(INDEX(HS_CONSOLIDATED!F:F,MATCH("OtherEquity",HS_CONSOLIDATED!$C:$C,0)),0)</f>
        <v>-95615600000</v>
      </c>
      <c r="F140" s="86" t="n">
        <f aca="false">IFERROR(INDEX(HS_CONSOLIDATED!G:G,MATCH("OtherEquity",HS_CONSOLIDATED!$C:$C,0)),0)</f>
        <v>-120468900000</v>
      </c>
      <c r="G140" s="86" t="n">
        <f aca="false">IFERROR(INDEX(HS_CONSOLIDATED!H:H,MATCH("OtherEquity",HS_CONSOLIDATED!$C:$C,0)),0)</f>
        <v>-50446300000</v>
      </c>
      <c r="H140" s="86" t="n">
        <f aca="false">IFERROR(INDEX(HS_CONSOLIDATED!I:I,MATCH("OtherEquity",HS_CONSOLIDATED!$C:$C,0)),0)</f>
        <v>-53692200000</v>
      </c>
      <c r="I140" s="86" t="n">
        <f aca="false">IFERROR(INDEX(HS_CONSOLIDATED!J:J,MATCH("OtherEquity",HS_CONSOLIDATED!$C:$C,0)),0)</f>
        <v>-13552600000</v>
      </c>
      <c r="J140" s="86" t="n">
        <f aca="false">IFERROR(INDEX(HS_CONSOLIDATED!K:K,MATCH("OtherEquity",HS_CONSOLIDATED!$C:$C,0)),0)</f>
        <v>11985900000</v>
      </c>
      <c r="K140" s="86" t="n">
        <f aca="false">IFERROR(INDEX(HS_CONSOLIDATED!L:L,MATCH("OtherEquity",HS_CONSOLIDATED!$C:$C,0)),0)</f>
        <v>33739300000</v>
      </c>
      <c r="L140" s="86" t="n">
        <f aca="false">L135+L136+L137+L138+L139</f>
        <v>49744416627.2996</v>
      </c>
      <c r="M140" s="86" t="n">
        <f aca="false">M135+M136+M137+M138+M139</f>
        <v>70803342222.4281</v>
      </c>
      <c r="N140" s="86" t="n">
        <f aca="false">N135+N136+N137+N138+N139</f>
        <v>97613098661.2941</v>
      </c>
      <c r="O140" s="86" t="n">
        <f aca="false">O135+O136+O137+O138+O139</f>
        <v>131042254265.395</v>
      </c>
      <c r="P140" s="86" t="n">
        <f aca="false">P135+P136+P137+P138+P139</f>
        <v>171961702944.71</v>
      </c>
      <c r="Q140" s="86" t="n">
        <f aca="false">Q135+Q136+Q137+Q138+Q139</f>
        <v>221229866101.548</v>
      </c>
      <c r="R140" s="86" t="n">
        <f aca="false">R135+R136+R137+R138+R139</f>
        <v>279681089747.45</v>
      </c>
      <c r="S140" s="86" t="n">
        <f aca="false">S135+S136+S137+S138+S139</f>
        <v>349367694869.868</v>
      </c>
      <c r="T140" s="86" t="n">
        <f aca="false">T135+T136+T137+T138+T139</f>
        <v>429798578269.424</v>
      </c>
      <c r="U140" s="86" t="n">
        <f aca="false">U135+U136+U137+U138+U139</f>
        <v>521692568666.586</v>
      </c>
    </row>
    <row r="141" customFormat="false" ht="15" hidden="false" customHeight="false" outlineLevel="0" collapsed="false">
      <c r="B141" s="87" t="s">
        <v>408</v>
      </c>
      <c r="C141" s="54" t="s">
        <v>327</v>
      </c>
      <c r="D141" s="88" t="n">
        <f aca="false">D140-IFERROR(INDEX(HS_CONSOLIDATED!E:E,MATCH("OtherEquity",HS_CONSOLIDATED!$C:$C,0)),0)</f>
        <v>0</v>
      </c>
      <c r="E141" s="88" t="n">
        <f aca="false">E140-IFERROR(INDEX(HS_CONSOLIDATED!F:F,MATCH("OtherEquity",HS_CONSOLIDATED!$C:$C,0)),0)</f>
        <v>0</v>
      </c>
      <c r="F141" s="88" t="n">
        <f aca="false">F140-IFERROR(INDEX(HS_CONSOLIDATED!G:G,MATCH("OtherEquity",HS_CONSOLIDATED!$C:$C,0)),0)</f>
        <v>0</v>
      </c>
      <c r="G141" s="88" t="n">
        <f aca="false">G140-IFERROR(INDEX(HS_CONSOLIDATED!H:H,MATCH("OtherEquity",HS_CONSOLIDATED!$C:$C,0)),0)</f>
        <v>0</v>
      </c>
      <c r="H141" s="88" t="n">
        <f aca="false">H140-IFERROR(INDEX(HS_CONSOLIDATED!I:I,MATCH("OtherEquity",HS_CONSOLIDATED!$C:$C,0)),0)</f>
        <v>0</v>
      </c>
      <c r="I141" s="88" t="n">
        <f aca="false">I140-IFERROR(INDEX(HS_CONSOLIDATED!J:J,MATCH("OtherEquity",HS_CONSOLIDATED!$C:$C,0)),0)</f>
        <v>0</v>
      </c>
      <c r="J141" s="88" t="n">
        <f aca="false">J140-IFERROR(INDEX(HS_CONSOLIDATED!K:K,MATCH("OtherEquity",HS_CONSOLIDATED!$C:$C,0)),0)</f>
        <v>0</v>
      </c>
      <c r="K141" s="88" t="n">
        <f aca="false">K140-IFERROR(INDEX(HS_CONSOLIDATED!L:L,MATCH("OtherEquity",HS_CONSOLIDATED!$C:$C,0)),0)</f>
        <v>0</v>
      </c>
    </row>
    <row r="142" customFormat="false" ht="15" hidden="false" customHeight="false" outlineLevel="0" collapsed="false">
      <c r="B142" s="54" t="s">
        <v>453</v>
      </c>
      <c r="C142" s="16" t="n">
        <f aca="false">IFERROR(-C138/C136,0)</f>
        <v>0</v>
      </c>
      <c r="D142" s="16" t="n">
        <f aca="false">IFERROR(-D138/D136,0)</f>
        <v>-0</v>
      </c>
      <c r="E142" s="16" t="n">
        <f aca="false">IFERROR(-E138/E136,0)</f>
        <v>-0</v>
      </c>
      <c r="F142" s="16" t="n">
        <f aca="false">IFERROR(-F138/F136,0)</f>
        <v>-0</v>
      </c>
      <c r="G142" s="16" t="n">
        <f aca="false">IFERROR(-G138/G136,0)</f>
        <v>0</v>
      </c>
      <c r="H142" s="16" t="n">
        <f aca="false">IFERROR(-H138/H136,0)</f>
        <v>-0</v>
      </c>
      <c r="I142" s="16" t="n">
        <f aca="false">IFERROR(-I138/I136,0)</f>
        <v>0</v>
      </c>
      <c r="J142" s="16" t="n">
        <f aca="false">IFERROR(-J138/J136,0)</f>
        <v>0</v>
      </c>
      <c r="K142" s="16" t="n">
        <f aca="false">IFERROR(-K138/K136,0)</f>
        <v>0</v>
      </c>
    </row>
    <row r="144" customFormat="false" ht="45" hidden="false" customHeight="true" outlineLevel="0" collapsed="false">
      <c r="B144" s="90" t="str">
        <f aca="false">IF(OR((Schedules!K93/(Schedules!K93+(Schedules!K132+Schedules!K140)))&lt;0,(Schedules!K93/(Schedules!K93+(Schedules!K132+Schedules!K140)))&gt;0.95),"⚠ Raw Target Debt/Capitalization Ratio ("&amp;TEXT((Schedules!K93/(Schedules!K93+(Schedules!K132+Schedules!K140))),"0.0%")&amp;") is outside a sane [0%,95%] range, driven by negative or near-zero Equity in the last actual year -- clamped to "&amp;TEXT('Inputs &amp; Assumptions'!$C$68,"0.0%")&amp;" for the forecast. A distressed snapshot is not a sustainable target capital structure; if you have a better-informed view of this company's intended target leverage, override it directly in the INPUT cell below.","")</f>
        <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9.7" hidden="false" customHeight="false" outlineLevel="0" collapsed="false">
      <c r="A1" s="0" t="s">
        <v>26</v>
      </c>
      <c r="B1" s="94" t="s">
        <v>454</v>
      </c>
    </row>
    <row r="5" customFormat="false" ht="15" hidden="false" customHeight="false" outlineLevel="0" collapsed="false">
      <c r="B5" s="12" t="s">
        <v>455</v>
      </c>
      <c r="C5" s="12" t="s">
        <v>29</v>
      </c>
      <c r="D5" s="12" t="s">
        <v>30</v>
      </c>
      <c r="E5" s="12" t="s">
        <v>31</v>
      </c>
      <c r="F5" s="12" t="s">
        <v>32</v>
      </c>
      <c r="G5" s="12" t="s">
        <v>33</v>
      </c>
      <c r="H5" s="12" t="s">
        <v>34</v>
      </c>
      <c r="I5" s="12" t="s">
        <v>35</v>
      </c>
      <c r="J5" s="12" t="s">
        <v>36</v>
      </c>
      <c r="K5" s="12" t="s">
        <v>37</v>
      </c>
      <c r="L5" s="12" t="s">
        <v>38</v>
      </c>
      <c r="M5" s="12" t="s">
        <v>39</v>
      </c>
      <c r="N5" s="12" t="s">
        <v>40</v>
      </c>
      <c r="O5" s="12" t="s">
        <v>41</v>
      </c>
      <c r="P5" s="12" t="s">
        <v>42</v>
      </c>
      <c r="Q5" s="12" t="s">
        <v>43</v>
      </c>
      <c r="R5" s="12" t="s">
        <v>44</v>
      </c>
      <c r="S5" s="12" t="s">
        <v>45</v>
      </c>
      <c r="T5" s="12" t="s">
        <v>46</v>
      </c>
      <c r="U5" s="12" t="s">
        <v>47</v>
      </c>
    </row>
    <row r="7" customFormat="false" ht="15" hidden="false" customHeight="false" outlineLevel="0" collapsed="false">
      <c r="B7" s="82" t="s">
        <v>268</v>
      </c>
      <c r="C7" s="83" t="n">
        <f aca="false">Schedules!C8</f>
        <v>127143700000</v>
      </c>
      <c r="D7" s="83" t="n">
        <f aca="false">Schedules!D8</f>
        <v>83338400000</v>
      </c>
      <c r="E7" s="83" t="n">
        <f aca="false">Schedules!E8</f>
        <v>50246900000</v>
      </c>
      <c r="F7" s="83" t="n">
        <f aca="false">Schedules!F8</f>
        <v>29728500000</v>
      </c>
      <c r="G7" s="83" t="n">
        <f aca="false">Schedules!G8</f>
        <v>33457200000</v>
      </c>
      <c r="H7" s="83" t="n">
        <f aca="false">Schedules!H8</f>
        <v>65817800000</v>
      </c>
      <c r="I7" s="83" t="n">
        <f aca="false">Schedules!I8</f>
        <v>59705300000</v>
      </c>
      <c r="J7" s="83" t="n">
        <f aca="false">Schedules!J8</f>
        <v>65290900000</v>
      </c>
      <c r="K7" s="83" t="n">
        <f aca="false">Schedules!K8</f>
        <v>108897400000</v>
      </c>
      <c r="L7" s="92" t="n">
        <f aca="false">Schedules!L8</f>
        <v>143533648757.014</v>
      </c>
      <c r="M7" s="92" t="n">
        <f aca="false">Schedules!M8</f>
        <v>184887150949.323</v>
      </c>
      <c r="N7" s="92" t="n">
        <f aca="false">Schedules!N8</f>
        <v>233351995953.947</v>
      </c>
      <c r="O7" s="92" t="n">
        <f aca="false">Schedules!O8</f>
        <v>289120359512.249</v>
      </c>
      <c r="P7" s="92" t="n">
        <f aca="false">Schedules!P8</f>
        <v>352255372129.77</v>
      </c>
      <c r="Q7" s="92" t="n">
        <f aca="false">Schedules!Q8</f>
        <v>422706446555.725</v>
      </c>
      <c r="R7" s="92" t="n">
        <f aca="false">Schedules!R8</f>
        <v>500330063591.434</v>
      </c>
      <c r="S7" s="92" t="n">
        <f aca="false">Schedules!S8</f>
        <v>584913401966.732</v>
      </c>
      <c r="T7" s="92" t="n">
        <f aca="false">Schedules!T8</f>
        <v>676198507005.704</v>
      </c>
      <c r="U7" s="92" t="n">
        <f aca="false">Schedules!U8</f>
        <v>773905187322.287</v>
      </c>
    </row>
    <row r="8" customFormat="false" ht="15" hidden="false" customHeight="false" outlineLevel="0" collapsed="false">
      <c r="B8" s="82" t="s">
        <v>456</v>
      </c>
      <c r="C8" s="83" t="n">
        <f aca="false">Schedules!C32</f>
        <v>-75428900000</v>
      </c>
      <c r="D8" s="83" t="n">
        <f aca="false">Schedules!D32</f>
        <v>-51157100000</v>
      </c>
      <c r="E8" s="83" t="n">
        <f aca="false">Schedules!E32</f>
        <v>-29983500000</v>
      </c>
      <c r="F8" s="83" t="n">
        <f aca="false">Schedules!F32</f>
        <v>-18735100000</v>
      </c>
      <c r="G8" s="83" t="n">
        <f aca="false">Schedules!G32</f>
        <v>-15772700000</v>
      </c>
      <c r="H8" s="83" t="n">
        <f aca="false">Schedules!H32</f>
        <v>-43315600000</v>
      </c>
      <c r="I8" s="83" t="n">
        <f aca="false">Schedules!I32</f>
        <v>-37826600000</v>
      </c>
      <c r="J8" s="83" t="n">
        <f aca="false">Schedules!J32</f>
        <v>-39821300000</v>
      </c>
      <c r="K8" s="83" t="n">
        <f aca="false">Schedules!K32</f>
        <v>-68866000000</v>
      </c>
      <c r="L8" s="92" t="n">
        <f aca="false">Schedules!L32</f>
        <v>-89749408555.5172</v>
      </c>
      <c r="M8" s="92" t="n">
        <f aca="false">Schedules!M32</f>
        <v>-115607124816.476</v>
      </c>
      <c r="N8" s="92" t="n">
        <f aca="false">Schedules!N32</f>
        <v>-145911455630.663</v>
      </c>
      <c r="O8" s="92" t="n">
        <f aca="false">Schedules!O32</f>
        <v>-180782565567.677</v>
      </c>
      <c r="P8" s="92" t="n">
        <f aca="false">Schedules!P32</f>
        <v>-220259929172.918</v>
      </c>
      <c r="Q8" s="92" t="n">
        <f aca="false">Schedules!Q32</f>
        <v>-264311915007.502</v>
      </c>
      <c r="R8" s="92" t="n">
        <f aca="false">Schedules!R32</f>
        <v>-312848782698.287</v>
      </c>
      <c r="S8" s="92" t="n">
        <f aca="false">Schedules!S32</f>
        <v>-365737458340.369</v>
      </c>
      <c r="T8" s="92" t="n">
        <f aca="false">Schedules!T32</f>
        <v>-422816646796.348</v>
      </c>
      <c r="U8" s="92" t="n">
        <f aca="false">Schedules!U32</f>
        <v>-483911148652.017</v>
      </c>
    </row>
    <row r="9" customFormat="false" ht="15" hidden="false" customHeight="false" outlineLevel="0" collapsed="false">
      <c r="B9" s="82" t="s">
        <v>457</v>
      </c>
      <c r="C9" s="83" t="n">
        <f aca="false">-IFERROR(INDEX(HS_CONSOLIDATED!D:D,MATCH("EmployeeBenefitExpense",HS_CONSOLIDATED!$C:$C,0)),0)</f>
        <v>-10464800000</v>
      </c>
      <c r="D9" s="83" t="n">
        <f aca="false">-IFERROR(INDEX(HS_CONSOLIDATED!E:E,MATCH("EmployeeBenefitExpense",HS_CONSOLIDATED!$C:$C,0)),0)</f>
        <v>-8046800000</v>
      </c>
      <c r="E9" s="83" t="n">
        <f aca="false">-IFERROR(INDEX(HS_CONSOLIDATED!F:F,MATCH("EmployeeBenefitExpense",HS_CONSOLIDATED!$C:$C,0)),0)</f>
        <v>-8741600000</v>
      </c>
      <c r="F9" s="83" t="n">
        <f aca="false">-IFERROR(INDEX(HS_CONSOLIDATED!G:G,MATCH("EmployeeBenefitExpense",HS_CONSOLIDATED!$C:$C,0)),0)</f>
        <v>-7962500000</v>
      </c>
      <c r="G9" s="83" t="n">
        <f aca="false">-IFERROR(INDEX(HS_CONSOLIDATED!H:H,MATCH("EmployeeBenefitExpense",HS_CONSOLIDATED!$C:$C,0)),0)</f>
        <v>-5532100000</v>
      </c>
      <c r="H9" s="83" t="n">
        <f aca="false">-IFERROR(INDEX(HS_CONSOLIDATED!I:I,MATCH("EmployeeBenefitExpense",HS_CONSOLIDATED!$C:$C,0)),0)</f>
        <v>-5453600000</v>
      </c>
      <c r="I9" s="83" t="n">
        <f aca="false">-IFERROR(INDEX(HS_CONSOLIDATED!J:J,MATCH("EmployeeBenefitExpense",HS_CONSOLIDATED!$C:$C,0)),0)</f>
        <v>-6092200000</v>
      </c>
      <c r="J9" s="83" t="n">
        <f aca="false">-IFERROR(INDEX(HS_CONSOLIDATED!K:K,MATCH("EmployeeBenefitExpense",HS_CONSOLIDATED!$C:$C,0)),0)</f>
        <v>-7029000000</v>
      </c>
      <c r="K9" s="83" t="n">
        <f aca="false">-IFERROR(INDEX(HS_CONSOLIDATED!L:L,MATCH("EmployeeBenefitExpense",HS_CONSOLIDATED!$C:$C,0)),0)</f>
        <v>-9415300000</v>
      </c>
      <c r="L9" s="92" t="n">
        <f aca="false">-L7*IF('Inputs &amp; Assumptions'!C87="",'Inputs &amp; Assumptions'!C86,'Inputs &amp; Assumptions'!C87)</f>
        <v>-13829989684.2515</v>
      </c>
      <c r="M9" s="92" t="n">
        <f aca="false">-M7*IF('Inputs &amp; Assumptions'!D87="",'Inputs &amp; Assumptions'!D86,'Inputs &amp; Assumptions'!D87)</f>
        <v>-17814550194.4876</v>
      </c>
      <c r="N9" s="92" t="n">
        <f aca="false">-N7*IF('Inputs &amp; Assumptions'!E87="",'Inputs &amp; Assumptions'!E86,'Inputs &amp; Assumptions'!E87)</f>
        <v>-22484314478.1051</v>
      </c>
      <c r="O9" s="92" t="n">
        <f aca="false">-O7*IF('Inputs &amp; Assumptions'!F87="",'Inputs &amp; Assumptions'!F86,'Inputs &amp; Assumptions'!F87)</f>
        <v>-27857799367.5235</v>
      </c>
      <c r="P9" s="92" t="n">
        <f aca="false">-P7*IF('Inputs &amp; Assumptions'!G87="",'Inputs &amp; Assumptions'!G86,'Inputs &amp; Assumptions'!G87)</f>
        <v>-33941087716.819</v>
      </c>
      <c r="Q9" s="92" t="n">
        <f aca="false">-Q7*IF('Inputs &amp; Assumptions'!H87="",'Inputs &amp; Assumptions'!H86,'Inputs &amp; Assumptions'!H87)</f>
        <v>-40729305260.1828</v>
      </c>
      <c r="R9" s="92" t="n">
        <f aca="false">-R7*IF('Inputs &amp; Assumptions'!I87="",'Inputs &amp; Assumptions'!I86,'Inputs &amp; Assumptions'!I87)</f>
        <v>-48208623400.2484</v>
      </c>
      <c r="S9" s="92" t="n">
        <f aca="false">-S7*IF('Inputs &amp; Assumptions'!J87="",'Inputs &amp; Assumptions'!J86,'Inputs &amp; Assumptions'!J87)</f>
        <v>-56358536032.7228</v>
      </c>
      <c r="T9" s="92" t="n">
        <f aca="false">-T7*IF('Inputs &amp; Assumptions'!K87="",'Inputs &amp; Assumptions'!K86,'Inputs &amp; Assumptions'!K87)</f>
        <v>-65154188285.3317</v>
      </c>
      <c r="U9" s="92" t="n">
        <f aca="false">-U7*IF('Inputs &amp; Assumptions'!L87="",'Inputs &amp; Assumptions'!L86,'Inputs &amp; Assumptions'!L87)</f>
        <v>-74568582697.811</v>
      </c>
    </row>
    <row r="10" customFormat="false" ht="15" hidden="false" customHeight="false" outlineLevel="0" collapsed="false">
      <c r="B10" s="82" t="s">
        <v>458</v>
      </c>
      <c r="C10" s="83" t="n">
        <f aca="false">-IFERROR(INDEX(HS_CONSOLIDATED!D:D,MATCH("OtherExpenses",HS_CONSOLIDATED!$C:$C,0)),0)</f>
        <v>-16256100000</v>
      </c>
      <c r="D10" s="83" t="n">
        <f aca="false">-IFERROR(INDEX(HS_CONSOLIDATED!E:E,MATCH("OtherExpenses",HS_CONSOLIDATED!$C:$C,0)),0)</f>
        <v>-14103900000</v>
      </c>
      <c r="E10" s="83" t="n">
        <f aca="false">-IFERROR(INDEX(HS_CONSOLIDATED!F:F,MATCH("OtherExpenses",HS_CONSOLIDATED!$C:$C,0)),0)</f>
        <v>-11609300000</v>
      </c>
      <c r="F10" s="83" t="n">
        <f aca="false">-IFERROR(INDEX(HS_CONSOLIDATED!G:G,MATCH("OtherExpenses",HS_CONSOLIDATED!$C:$C,0)),0)</f>
        <v>-11628200000</v>
      </c>
      <c r="G10" s="83" t="n">
        <f aca="false">-IFERROR(INDEX(HS_CONSOLIDATED!H:H,MATCH("OtherExpenses",HS_CONSOLIDATED!$C:$C,0)),0)</f>
        <v>-6809600000</v>
      </c>
      <c r="H10" s="83" t="n">
        <f aca="false">-IFERROR(INDEX(HS_CONSOLIDATED!I:I,MATCH("OtherExpenses",HS_CONSOLIDATED!$C:$C,0)),0)</f>
        <v>-8154100000</v>
      </c>
      <c r="I10" s="83" t="n">
        <f aca="false">-IFERROR(INDEX(HS_CONSOLIDATED!J:J,MATCH("OtherExpenses",HS_CONSOLIDATED!$C:$C,0)),0)</f>
        <v>-7467300000</v>
      </c>
      <c r="J10" s="83" t="n">
        <f aca="false">-IFERROR(INDEX(HS_CONSOLIDATED!K:K,MATCH("OtherExpenses",HS_CONSOLIDATED!$C:$C,0)),0)</f>
        <v>-8151800000</v>
      </c>
      <c r="K10" s="83" t="n">
        <f aca="false">-IFERROR(INDEX(HS_CONSOLIDATED!L:L,MATCH("OtherExpenses",HS_CONSOLIDATED!$C:$C,0)),0)</f>
        <v>-12043800000</v>
      </c>
      <c r="L10" s="92" t="n">
        <f aca="false">-L7*IF('Inputs &amp; Assumptions'!C90="",'Inputs &amp; Assumptions'!C89,'Inputs &amp; Assumptions'!C90)</f>
        <v>-16975911150.2</v>
      </c>
      <c r="M10" s="92" t="n">
        <f aca="false">-M7*IF('Inputs &amp; Assumptions'!D90="",'Inputs &amp; Assumptions'!D89,'Inputs &amp; Assumptions'!D90)</f>
        <v>-21866843590.4019</v>
      </c>
      <c r="N10" s="92" t="n">
        <f aca="false">-N7*IF('Inputs &amp; Assumptions'!E90="",'Inputs &amp; Assumptions'!E89,'Inputs &amp; Assumptions'!E90)</f>
        <v>-27598843785.6976</v>
      </c>
      <c r="O10" s="92" t="n">
        <f aca="false">-O7*IF('Inputs &amp; Assumptions'!F90="",'Inputs &amp; Assumptions'!F89,'Inputs &amp; Assumptions'!F90)</f>
        <v>-34194640610.7366</v>
      </c>
      <c r="P10" s="92" t="n">
        <f aca="false">-P7*IF('Inputs &amp; Assumptions'!G90="",'Inputs &amp; Assumptions'!G89,'Inputs &amp; Assumptions'!G90)</f>
        <v>-41661700592.443</v>
      </c>
      <c r="Q10" s="92" t="n">
        <f aca="false">-Q7*IF('Inputs &amp; Assumptions'!H90="",'Inputs &amp; Assumptions'!H89,'Inputs &amp; Assumptions'!H90)</f>
        <v>-49994040710.9316</v>
      </c>
      <c r="R10" s="92" t="n">
        <f aca="false">-R7*IF('Inputs &amp; Assumptions'!I90="",'Inputs &amp; Assumptions'!I89,'Inputs &amp; Assumptions'!I90)</f>
        <v>-59174686764.0819</v>
      </c>
      <c r="S10" s="92" t="n">
        <f aca="false">-S7*IF('Inputs &amp; Assumptions'!J90="",'Inputs &amp; Assumptions'!J89,'Inputs &amp; Assumptions'!J90)</f>
        <v>-69178468103.7254</v>
      </c>
      <c r="T10" s="92" t="n">
        <f aca="false">-T7*IF('Inputs &amp; Assumptions'!K90="",'Inputs &amp; Assumptions'!K89,'Inputs &amp; Assumptions'!K90)</f>
        <v>-79974876095.1479</v>
      </c>
      <c r="U10" s="92" t="n">
        <f aca="false">-U7*IF('Inputs &amp; Assumptions'!L90="",'Inputs &amp; Assumptions'!L89,'Inputs &amp; Assumptions'!L90)</f>
        <v>-91530772139.0312</v>
      </c>
    </row>
    <row r="11" customFormat="false" ht="15" hidden="false" customHeight="false" outlineLevel="0" collapsed="false">
      <c r="B11" s="49" t="s">
        <v>123</v>
      </c>
      <c r="C11" s="86" t="n">
        <f aca="false">C7+C8+C9+C10</f>
        <v>24993900000</v>
      </c>
      <c r="D11" s="86" t="n">
        <f aca="false">D7+D8+D9+D10</f>
        <v>10030600000</v>
      </c>
      <c r="E11" s="86" t="n">
        <f aca="false">E7+E8+E9+E10</f>
        <v>-87500000</v>
      </c>
      <c r="F11" s="86" t="n">
        <f aca="false">F7+F8+F9+F10</f>
        <v>-8597300000</v>
      </c>
      <c r="G11" s="86" t="n">
        <f aca="false">G7+G8+G9+G10</f>
        <v>5342800000</v>
      </c>
      <c r="H11" s="86" t="n">
        <f aca="false">H7+H8+H9+H10</f>
        <v>8894500000</v>
      </c>
      <c r="I11" s="86" t="n">
        <f aca="false">I7+I8+I9+I10</f>
        <v>8319200000</v>
      </c>
      <c r="J11" s="86" t="n">
        <f aca="false">J7+J8+J9+J10</f>
        <v>10288800000</v>
      </c>
      <c r="K11" s="86" t="n">
        <f aca="false">K7+K8+K9+K10</f>
        <v>18572300000</v>
      </c>
      <c r="L11" s="86" t="n">
        <f aca="false">L7+L8+L9+L10</f>
        <v>22978339367.0457</v>
      </c>
      <c r="M11" s="86" t="n">
        <f aca="false">M7+M8+M9+M10</f>
        <v>29598632347.9576</v>
      </c>
      <c r="N11" s="86" t="n">
        <f aca="false">N7+N8+N9+N10</f>
        <v>37357382059.4819</v>
      </c>
      <c r="O11" s="86" t="n">
        <f aca="false">O7+O8+O9+O10</f>
        <v>46285353966.312</v>
      </c>
      <c r="P11" s="86" t="n">
        <f aca="false">P7+P8+P9+P10</f>
        <v>56392654647.5903</v>
      </c>
      <c r="Q11" s="86" t="n">
        <f aca="false">Q7+Q8+Q9+Q10</f>
        <v>67671185577.1083</v>
      </c>
      <c r="R11" s="86" t="n">
        <f aca="false">R7+R8+R9+R10</f>
        <v>80097970728.8162</v>
      </c>
      <c r="S11" s="86" t="n">
        <f aca="false">S7+S8+S9+S10</f>
        <v>93638939489.915</v>
      </c>
      <c r="T11" s="86" t="n">
        <f aca="false">T7+T8+T9+T10</f>
        <v>108252795828.876</v>
      </c>
      <c r="U11" s="86" t="n">
        <f aca="false">U7+U8+U9+U10</f>
        <v>123894683833.428</v>
      </c>
    </row>
    <row r="13" customFormat="false" ht="15" hidden="false" customHeight="false" outlineLevel="0" collapsed="false">
      <c r="B13" s="82" t="s">
        <v>459</v>
      </c>
      <c r="C13" s="83" t="n">
        <f aca="false">-IFERROR(INDEX(HS_CONSOLIDATED!D:D,MATCH("DepreciationDepletionAndAmortisationExpense",HS_CONSOLIDATED!$C:$C,0)),0)</f>
        <v>-3890300000</v>
      </c>
      <c r="D13" s="83" t="n">
        <f aca="false">-IFERROR(INDEX(HS_CONSOLIDATED!E:E,MATCH("DepreciationDepletionAndAmortisationExpense",HS_CONSOLIDATED!$C:$C,0)),0)</f>
        <v>-3416100000</v>
      </c>
      <c r="E13" s="83" t="n">
        <f aca="false">-IFERROR(INDEX(HS_CONSOLIDATED!F:F,MATCH("DepreciationDepletionAndAmortisationExpense",HS_CONSOLIDATED!$C:$C,0)),0)</f>
        <v>-3418500000</v>
      </c>
      <c r="F13" s="83" t="n">
        <f aca="false">-IFERROR(INDEX(HS_CONSOLIDATED!G:G,MATCH("DepreciationDepletionAndAmortisationExpense",HS_CONSOLIDATED!$C:$C,0)),0)</f>
        <v>-4186100000</v>
      </c>
      <c r="G13" s="83" t="n">
        <f aca="false">-IFERROR(INDEX(HS_CONSOLIDATED!H:H,MATCH("DepreciationDepletionAndAmortisationExpense",HS_CONSOLIDATED!$C:$C,0)),0)</f>
        <v>-2583800000</v>
      </c>
      <c r="H13" s="83" t="n">
        <f aca="false">-IFERROR(INDEX(HS_CONSOLIDATED!I:I,MATCH("DepreciationDepletionAndAmortisationExpense",HS_CONSOLIDATED!$C:$C,0)),0)</f>
        <v>-2598400000</v>
      </c>
      <c r="I13" s="83" t="n">
        <f aca="false">-IFERROR(INDEX(HS_CONSOLIDATED!J:J,MATCH("DepreciationDepletionAndAmortisationExpense",HS_CONSOLIDATED!$C:$C,0)),0)</f>
        <v>-2596800000</v>
      </c>
      <c r="J13" s="83" t="n">
        <f aca="false">-IFERROR(INDEX(HS_CONSOLIDATED!K:K,MATCH("DepreciationDepletionAndAmortisationExpense",HS_CONSOLIDATED!$C:$C,0)),0)</f>
        <v>-1896000000</v>
      </c>
      <c r="K13" s="83" t="n">
        <f aca="false">-IFERROR(INDEX(HS_CONSOLIDATED!L:L,MATCH("DepreciationDepletionAndAmortisationExpense",HS_CONSOLIDATED!$C:$C,0)),0)</f>
        <v>-2591900000</v>
      </c>
      <c r="L13" s="92" t="n">
        <f aca="false">Schedules!L56*IF('Inputs &amp; Assumptions'!C96="",'Inputs &amp; Assumptions'!C95,'Inputs &amp; Assumptions'!C96)</f>
        <v>-1896060905.99719</v>
      </c>
      <c r="M13" s="92" t="n">
        <f aca="false">Schedules!M56*IF('Inputs &amp; Assumptions'!D96="",'Inputs &amp; Assumptions'!D95,'Inputs &amp; Assumptions'!D96)</f>
        <v>-2131589532.85459</v>
      </c>
      <c r="N13" s="92" t="n">
        <f aca="false">Schedules!N56*IF('Inputs &amp; Assumptions'!E96="",'Inputs &amp; Assumptions'!E95,'Inputs &amp; Assumptions'!E96)</f>
        <v>-2378431939.77708</v>
      </c>
      <c r="O13" s="92" t="n">
        <f aca="false">Schedules!O56*IF('Inputs &amp; Assumptions'!F96="",'Inputs &amp; Assumptions'!F95,'Inputs &amp; Assumptions'!F96)</f>
        <v>-2637184492.48425</v>
      </c>
      <c r="P13" s="92" t="n">
        <f aca="false">Schedules!P56*IF('Inputs &amp; Assumptions'!G96="",'Inputs &amp; Assumptions'!G95,'Inputs &amp; Assumptions'!G96)</f>
        <v>-2908471258.44489</v>
      </c>
      <c r="Q13" s="92" t="n">
        <f aca="false">Schedules!Q56*IF('Inputs &amp; Assumptions'!H96="",'Inputs &amp; Assumptions'!H95,'Inputs &amp; Assumptions'!H96)</f>
        <v>-3192945551.61338</v>
      </c>
      <c r="R13" s="92" t="n">
        <f aca="false">Schedules!R56*IF('Inputs &amp; Assumptions'!I96="",'Inputs &amp; Assumptions'!I95,'Inputs &amp; Assumptions'!I96)</f>
        <v>-3491291540.17753</v>
      </c>
      <c r="S13" s="92" t="n">
        <f aca="false">Schedules!S56*IF('Inputs &amp; Assumptions'!J96="",'Inputs &amp; Assumptions'!J95,'Inputs &amp; Assumptions'!J96)</f>
        <v>-2132950013.32183</v>
      </c>
      <c r="T13" s="92" t="n">
        <f aca="false">Schedules!T56*IF('Inputs &amp; Assumptions'!K96="",'Inputs &amp; Assumptions'!K95,'Inputs &amp; Assumptions'!K96)</f>
        <v>-2461223764.20525</v>
      </c>
      <c r="U13" s="92" t="n">
        <f aca="false">Schedules!U56*IF('Inputs &amp; Assumptions'!L96="",'Inputs &amp; Assumptions'!L95,'Inputs &amp; Assumptions'!L96)</f>
        <v>-2805623962.86854</v>
      </c>
    </row>
    <row r="14" customFormat="false" ht="15" hidden="false" customHeight="false" outlineLevel="0" collapsed="false">
      <c r="B14" s="49" t="s">
        <v>125</v>
      </c>
      <c r="C14" s="86" t="n">
        <f aca="false">C11+C13</f>
        <v>21103600000</v>
      </c>
      <c r="D14" s="86" t="n">
        <f aca="false">D11+D13</f>
        <v>6614500000</v>
      </c>
      <c r="E14" s="86" t="n">
        <f aca="false">E11+E13</f>
        <v>-3506000000</v>
      </c>
      <c r="F14" s="86" t="n">
        <f aca="false">F11+F13</f>
        <v>-12783400000</v>
      </c>
      <c r="G14" s="86" t="n">
        <f aca="false">G11+G13</f>
        <v>2759000000</v>
      </c>
      <c r="H14" s="86" t="n">
        <f aca="false">H11+H13</f>
        <v>6296100000</v>
      </c>
      <c r="I14" s="86" t="n">
        <f aca="false">I11+I13</f>
        <v>5722400000</v>
      </c>
      <c r="J14" s="86" t="n">
        <f aca="false">J11+J13</f>
        <v>8392800000</v>
      </c>
      <c r="K14" s="86" t="n">
        <f aca="false">K11+K13</f>
        <v>15980400000</v>
      </c>
      <c r="L14" s="86" t="n">
        <f aca="false">L11+L13</f>
        <v>21082278461.0485</v>
      </c>
      <c r="M14" s="86" t="n">
        <f aca="false">M11+M13</f>
        <v>27467042815.103</v>
      </c>
      <c r="N14" s="86" t="n">
        <f aca="false">N11+N13</f>
        <v>34978950119.7049</v>
      </c>
      <c r="O14" s="86" t="n">
        <f aca="false">O11+O13</f>
        <v>43648169473.8278</v>
      </c>
      <c r="P14" s="86" t="n">
        <f aca="false">P11+P13</f>
        <v>53484183389.1454</v>
      </c>
      <c r="Q14" s="86" t="n">
        <f aca="false">Q11+Q13</f>
        <v>64478240025.4949</v>
      </c>
      <c r="R14" s="86" t="n">
        <f aca="false">R11+R13</f>
        <v>76606679188.6386</v>
      </c>
      <c r="S14" s="86" t="n">
        <f aca="false">S11+S13</f>
        <v>91505989476.5932</v>
      </c>
      <c r="T14" s="86" t="n">
        <f aca="false">T11+T13</f>
        <v>105791572064.671</v>
      </c>
      <c r="U14" s="86" t="n">
        <f aca="false">U11+U13</f>
        <v>121089059870.559</v>
      </c>
    </row>
    <row r="16" customFormat="false" ht="15" hidden="false" customHeight="false" outlineLevel="0" collapsed="false">
      <c r="B16" s="82" t="s">
        <v>460</v>
      </c>
      <c r="C16" s="83" t="n">
        <f aca="false">IFERROR(INDEX(HS_CONSOLIDATED!D:D,MATCH("OtherIncome",HS_CONSOLIDATED!$C:$C,0)),0)</f>
        <v>888200000</v>
      </c>
      <c r="D16" s="83" t="n">
        <f aca="false">IFERROR(INDEX(HS_CONSOLIDATED!E:E,MATCH("OtherIncome",HS_CONSOLIDATED!$C:$C,0)),0)</f>
        <v>791700000</v>
      </c>
      <c r="E16" s="83" t="n">
        <f aca="false">IFERROR(INDEX(HS_CONSOLIDATED!F:F,MATCH("OtherIncome",HS_CONSOLIDATED!$C:$C,0)),0)</f>
        <v>499500000</v>
      </c>
      <c r="F16" s="83" t="n">
        <f aca="false">IFERROR(INDEX(HS_CONSOLIDATED!G:G,MATCH("OtherIncome",HS_CONSOLIDATED!$C:$C,0)),0)</f>
        <v>275700000</v>
      </c>
      <c r="G16" s="83" t="n">
        <f aca="false">IFERROR(INDEX(HS_CONSOLIDATED!H:H,MATCH("OtherIncome",HS_CONSOLIDATED!$C:$C,0)),0)</f>
        <v>198700000</v>
      </c>
      <c r="H16" s="83" t="n">
        <f aca="false">IFERROR(INDEX(HS_CONSOLIDATED!I:I,MATCH("OtherIncome",HS_CONSOLIDATED!$C:$C,0)),0)</f>
        <v>221900000</v>
      </c>
      <c r="I16" s="83" t="n">
        <f aca="false">IFERROR(INDEX(HS_CONSOLIDATED!J:J,MATCH("OtherIncome",HS_CONSOLIDATED!$C:$C,0)),0)</f>
        <v>196300000</v>
      </c>
      <c r="J16" s="83" t="n">
        <f aca="false">IFERROR(INDEX(HS_CONSOLIDATED!K:K,MATCH("OtherIncome",HS_CONSOLIDATED!$C:$C,0)),0)</f>
        <v>384200000</v>
      </c>
      <c r="K16" s="83" t="n">
        <f aca="false">IFERROR(INDEX(HS_CONSOLIDATED!L:L,MATCH("OtherIncome",HS_CONSOLIDATED!$C:$C,0)),0)</f>
        <v>1033900000</v>
      </c>
      <c r="L16" s="92" t="n">
        <f aca="false">L7*IF('Inputs &amp; Assumptions'!C93="",'Inputs &amp; Assumptions'!C92,'Inputs &amp; Assumptions'!C93)</f>
        <v>990709974.763414</v>
      </c>
      <c r="M16" s="92" t="n">
        <f aca="false">M7*IF('Inputs &amp; Assumptions'!D93="",'Inputs &amp; Assumptions'!D92,'Inputs &amp; Assumptions'!D93)</f>
        <v>1276143581.92181</v>
      </c>
      <c r="N16" s="92" t="n">
        <f aca="false">N7*IF('Inputs &amp; Assumptions'!E93="",'Inputs &amp; Assumptions'!E92,'Inputs &amp; Assumptions'!E93)</f>
        <v>1610661695.18128</v>
      </c>
      <c r="O16" s="92" t="n">
        <f aca="false">O7*IF('Inputs &amp; Assumptions'!F93="",'Inputs &amp; Assumptions'!F92,'Inputs &amp; Assumptions'!F93)</f>
        <v>1995590766.04308</v>
      </c>
      <c r="P16" s="92" t="n">
        <f aca="false">P7*IF('Inputs &amp; Assumptions'!G93="",'Inputs &amp; Assumptions'!G92,'Inputs &amp; Assumptions'!G93)</f>
        <v>2431366539.17124</v>
      </c>
      <c r="Q16" s="92" t="n">
        <f aca="false">Q7*IF('Inputs &amp; Assumptions'!H93="",'Inputs &amp; Assumptions'!H92,'Inputs &amp; Assumptions'!H93)</f>
        <v>2917639847.00548</v>
      </c>
      <c r="R16" s="92" t="n">
        <f aca="false">R7*IF('Inputs &amp; Assumptions'!I93="",'Inputs &amp; Assumptions'!I92,'Inputs &amp; Assumptions'!I93)</f>
        <v>3453420079.30961</v>
      </c>
      <c r="S16" s="92" t="n">
        <f aca="false">S7*IF('Inputs &amp; Assumptions'!J93="",'Inputs &amp; Assumptions'!J92,'Inputs &amp; Assumptions'!J93)</f>
        <v>4037238283.28391</v>
      </c>
      <c r="T16" s="92" t="n">
        <f aca="false">T7*IF('Inputs &amp; Assumptions'!K93="",'Inputs &amp; Assumptions'!K92,'Inputs &amp; Assumptions'!K93)</f>
        <v>4667313982.5545</v>
      </c>
      <c r="U16" s="92" t="n">
        <f aca="false">U7*IF('Inputs &amp; Assumptions'!L93="",'Inputs &amp; Assumptions'!L92,'Inputs &amp; Assumptions'!L93)</f>
        <v>5341713216.66391</v>
      </c>
    </row>
    <row r="17" customFormat="false" ht="15" hidden="false" customHeight="false" outlineLevel="0" collapsed="false">
      <c r="B17" s="82" t="s">
        <v>461</v>
      </c>
      <c r="C17" s="83" t="n">
        <f aca="false">-IFERROR(INDEX(HS_CONSOLIDATED!D:D,MATCH("FinanceCosts",HS_CONSOLIDATED!$C:$C,0)),0)</f>
        <v>-12875900000</v>
      </c>
      <c r="D17" s="83" t="n">
        <f aca="false">-IFERROR(INDEX(HS_CONSOLIDATED!E:E,MATCH("FinanceCosts",HS_CONSOLIDATED!$C:$C,0)),0)</f>
        <v>-15809800000</v>
      </c>
      <c r="E17" s="83" t="n">
        <f aca="false">-IFERROR(INDEX(HS_CONSOLIDATED!F:F,MATCH("FinanceCosts",HS_CONSOLIDATED!$C:$C,0)),0)</f>
        <v>-12699100000</v>
      </c>
      <c r="F17" s="83" t="n">
        <f aca="false">-IFERROR(INDEX(HS_CONSOLIDATED!G:G,MATCH("FinanceCosts",HS_CONSOLIDATED!$C:$C,0)),0)</f>
        <v>-13672900000</v>
      </c>
      <c r="G17" s="83" t="n">
        <f aca="false">-IFERROR(INDEX(HS_CONSOLIDATED!H:H,MATCH("FinanceCosts",HS_CONSOLIDATED!$C:$C,0)),0)</f>
        <v>-9962600000</v>
      </c>
      <c r="H17" s="83" t="n">
        <f aca="false">-IFERROR(INDEX(HS_CONSOLIDATED!I:I,MATCH("FinanceCosts",HS_CONSOLIDATED!$C:$C,0)),0)</f>
        <v>-7345200000</v>
      </c>
      <c r="I17" s="83" t="n">
        <f aca="false">-IFERROR(INDEX(HS_CONSOLIDATED!J:J,MATCH("FinanceCosts",HS_CONSOLIDATED!$C:$C,0)),0)</f>
        <v>-4207600000</v>
      </c>
      <c r="J17" s="83" t="n">
        <f aca="false">-IFERROR(INDEX(HS_CONSOLIDATED!K:K,MATCH("FinanceCosts",HS_CONSOLIDATED!$C:$C,0)),0)</f>
        <v>-1643200000</v>
      </c>
      <c r="K17" s="83" t="n">
        <f aca="false">-IFERROR(INDEX(HS_CONSOLIDATED!L:L,MATCH("FinanceCosts",HS_CONSOLIDATED!$C:$C,0)),0)</f>
        <v>-2548000000</v>
      </c>
      <c r="L17" s="92" t="n">
        <f aca="false">-Schedules!L98*IF('Inputs &amp; Assumptions'!C99="",'Inputs &amp; Assumptions'!C98,'Inputs &amp; Assumptions'!C99)</f>
        <v>-531206213.712448</v>
      </c>
      <c r="M17" s="92" t="n">
        <f aca="false">-Schedules!M98*IF('Inputs &amp; Assumptions'!D99="",'Inputs &amp; Assumptions'!D98,'Inputs &amp; Assumptions'!D99)</f>
        <v>-600829594.76836</v>
      </c>
      <c r="N17" s="92" t="n">
        <f aca="false">-Schedules!N98*IF('Inputs &amp; Assumptions'!E99="",'Inputs &amp; Assumptions'!E98,'Inputs &amp; Assumptions'!E99)</f>
        <v>-762060780.720666</v>
      </c>
      <c r="O17" s="92" t="n">
        <f aca="false">-Schedules!O98*IF('Inputs &amp; Assumptions'!F99="",'Inputs &amp; Assumptions'!F98,'Inputs &amp; Assumptions'!F99)</f>
        <v>-970292908.452394</v>
      </c>
      <c r="P17" s="92" t="n">
        <f aca="false">-Schedules!P98*IF('Inputs &amp; Assumptions'!G99="",'Inputs &amp; Assumptions'!G98,'Inputs &amp; Assumptions'!G99)</f>
        <v>-1232336405.24312</v>
      </c>
      <c r="Q17" s="92" t="n">
        <f aca="false">-Schedules!Q98*IF('Inputs &amp; Assumptions'!H99="",'Inputs &amp; Assumptions'!H98,'Inputs &amp; Assumptions'!H99)</f>
        <v>-1555758053.92828</v>
      </c>
      <c r="R17" s="92" t="n">
        <f aca="false">-Schedules!R98*IF('Inputs &amp; Assumptions'!I99="",'Inputs &amp; Assumptions'!I98,'Inputs &amp; Assumptions'!I99)</f>
        <v>-1948080497.5324</v>
      </c>
      <c r="S17" s="92" t="n">
        <f aca="false">-Schedules!S98*IF('Inputs &amp; Assumptions'!J99="",'Inputs &amp; Assumptions'!J98,'Inputs &amp; Assumptions'!J99)</f>
        <v>-2416667393.15576</v>
      </c>
      <c r="T17" s="92" t="n">
        <f aca="false">-Schedules!T98*IF('Inputs &amp; Assumptions'!K99="",'Inputs &amp; Assumptions'!K98,'Inputs &amp; Assumptions'!K99)</f>
        <v>-2974075944.91832</v>
      </c>
      <c r="U17" s="92" t="n">
        <f aca="false">-Schedules!U98*IF('Inputs &amp; Assumptions'!L99="",'Inputs &amp; Assumptions'!L98,'Inputs &amp; Assumptions'!L99)</f>
        <v>-3627097559.81205</v>
      </c>
    </row>
    <row r="18" customFormat="false" ht="15" hidden="false" customHeight="false" outlineLevel="0" collapsed="false">
      <c r="B18" s="82" t="s">
        <v>462</v>
      </c>
      <c r="C18" s="83" t="n">
        <f aca="false">IFERROR(INDEX(HS_CONSOLIDATED!D:D,MATCH("ExceptionalItemsBeforeTax",HS_CONSOLIDATED!$C:$C,0)),0)</f>
        <v>0</v>
      </c>
      <c r="D18" s="83" t="n">
        <f aca="false">IFERROR(INDEX(HS_CONSOLIDATED!E:E,MATCH("ExceptionalItemsBeforeTax",HS_CONSOLIDATED!$C:$C,0)),0)</f>
        <v>4496200000</v>
      </c>
      <c r="E18" s="83" t="n">
        <f aca="false">IFERROR(INDEX(HS_CONSOLIDATED!F:F,MATCH("ExceptionalItemsBeforeTax",HS_CONSOLIDATED!$C:$C,0)),0)</f>
        <v>275700000</v>
      </c>
      <c r="F18" s="83" t="n">
        <f aca="false">IFERROR(INDEX(HS_CONSOLIDATED!G:G,MATCH("ExceptionalItemsBeforeTax",HS_CONSOLIDATED!$C:$C,0)),0)</f>
        <v>-658900000</v>
      </c>
      <c r="G18" s="83" t="n">
        <f aca="false">IFERROR(INDEX(HS_CONSOLIDATED!H:H,MATCH("ExceptionalItemsBeforeTax",HS_CONSOLIDATED!$C:$C,0)),0)</f>
        <v>8054600000</v>
      </c>
      <c r="H18" s="83" t="n">
        <f aca="false">IFERROR(INDEX(HS_CONSOLIDATED!I:I,MATCH("ExceptionalItemsBeforeTax",HS_CONSOLIDATED!$C:$C,0)),0)</f>
        <v>831200000</v>
      </c>
      <c r="I18" s="83" t="n">
        <f aca="false">IFERROR(INDEX(HS_CONSOLIDATED!J:J,MATCH("ExceptionalItemsBeforeTax",HS_CONSOLIDATED!$C:$C,0)),0)</f>
        <v>27206000000</v>
      </c>
      <c r="J18" s="83" t="n">
        <f aca="false">IFERROR(INDEX(HS_CONSOLIDATED!K:K,MATCH("ExceptionalItemsBeforeTax",HS_CONSOLIDATED!$C:$C,0)),0)</f>
        <v>-538900000</v>
      </c>
      <c r="K18" s="83" t="n">
        <f aca="false">IFERROR(INDEX(HS_CONSOLIDATED!L:L,MATCH("ExceptionalItemsBeforeTax",HS_CONSOLIDATED!$C:$C,0)),0)</f>
        <v>0</v>
      </c>
      <c r="L18" s="92" t="n">
        <v>0</v>
      </c>
      <c r="M18" s="92" t="n">
        <v>0</v>
      </c>
      <c r="N18" s="92" t="n">
        <v>0</v>
      </c>
      <c r="O18" s="92" t="n">
        <v>0</v>
      </c>
      <c r="P18" s="92" t="n">
        <v>0</v>
      </c>
      <c r="Q18" s="92" t="n">
        <v>0</v>
      </c>
      <c r="R18" s="92" t="n">
        <v>0</v>
      </c>
      <c r="S18" s="92" t="n">
        <v>0</v>
      </c>
      <c r="T18" s="92" t="n">
        <v>0</v>
      </c>
      <c r="U18" s="92" t="n">
        <v>0</v>
      </c>
    </row>
    <row r="19" customFormat="false" ht="15" hidden="false" customHeight="false" outlineLevel="0" collapsed="false">
      <c r="B19" s="49" t="s">
        <v>463</v>
      </c>
      <c r="C19" s="86" t="n">
        <f aca="false">C14+C16+C17+C18</f>
        <v>9115900000</v>
      </c>
      <c r="D19" s="86" t="n">
        <f aca="false">D14+D16+D17+D18</f>
        <v>-3907400000</v>
      </c>
      <c r="E19" s="86" t="n">
        <f aca="false">E14+E16+E17+E18</f>
        <v>-15429900000</v>
      </c>
      <c r="F19" s="86" t="n">
        <f aca="false">F14+F16+F17+F18</f>
        <v>-26839500000</v>
      </c>
      <c r="G19" s="86" t="n">
        <f aca="false">G14+G16+G17+G18</f>
        <v>1049700000</v>
      </c>
      <c r="H19" s="86" t="n">
        <f aca="false">H14+H16+H17+H18</f>
        <v>4000000</v>
      </c>
      <c r="I19" s="86" t="n">
        <f aca="false">I14+I16+I17+I18</f>
        <v>28917100000</v>
      </c>
      <c r="J19" s="86" t="n">
        <f aca="false">J14+J16+J17+J18</f>
        <v>6594900000</v>
      </c>
      <c r="K19" s="86" t="n">
        <f aca="false">K14+K16+K17+K18</f>
        <v>14466300000</v>
      </c>
      <c r="L19" s="86" t="n">
        <f aca="false">L14+L16+L17+L18</f>
        <v>21541782222.0995</v>
      </c>
      <c r="M19" s="86" t="n">
        <f aca="false">M14+M16+M17+M18</f>
        <v>28142356802.2564</v>
      </c>
      <c r="N19" s="86" t="n">
        <f aca="false">N14+N16+N17+N18</f>
        <v>35827551034.1655</v>
      </c>
      <c r="O19" s="86" t="n">
        <f aca="false">O14+O16+O17+O18</f>
        <v>44673467331.4185</v>
      </c>
      <c r="P19" s="86" t="n">
        <f aca="false">P14+P16+P17+P18</f>
        <v>54683213523.0735</v>
      </c>
      <c r="Q19" s="86" t="n">
        <f aca="false">Q14+Q16+Q17+Q18</f>
        <v>65840121818.5721</v>
      </c>
      <c r="R19" s="86" t="n">
        <f aca="false">R14+R16+R17+R18</f>
        <v>78112018770.4159</v>
      </c>
      <c r="S19" s="86" t="n">
        <f aca="false">S14+S16+S17+S18</f>
        <v>93126560366.7213</v>
      </c>
      <c r="T19" s="86" t="n">
        <f aca="false">T14+T16+T17+T18</f>
        <v>107484810102.307</v>
      </c>
      <c r="U19" s="86" t="n">
        <f aca="false">U14+U16+U17+U18</f>
        <v>122803675527.411</v>
      </c>
    </row>
    <row r="21" customFormat="false" ht="15" hidden="false" customHeight="false" outlineLevel="0" collapsed="false">
      <c r="B21" s="82" t="s">
        <v>464</v>
      </c>
      <c r="C21" s="83" t="n">
        <f aca="false">-Schedules!C107</f>
        <v>-117000000</v>
      </c>
      <c r="D21" s="83" t="n">
        <f aca="false">-Schedules!D107</f>
        <v>15600000</v>
      </c>
      <c r="E21" s="83" t="n">
        <f aca="false">-Schedules!E107</f>
        <v>119000000</v>
      </c>
      <c r="F21" s="83" t="n">
        <f aca="false">-Schedules!F107</f>
        <v>-74400000</v>
      </c>
      <c r="G21" s="83" t="n">
        <f aca="false">-Schedules!G107</f>
        <v>-46300000</v>
      </c>
      <c r="H21" s="83" t="n">
        <f aca="false">-Schedules!H107</f>
        <v>-1665900000</v>
      </c>
      <c r="I21" s="83" t="n">
        <f aca="false">-Schedules!I107</f>
        <v>-44200000</v>
      </c>
      <c r="J21" s="83" t="n">
        <f aca="false">-Schedules!J107</f>
        <v>8600000</v>
      </c>
      <c r="K21" s="83" t="n">
        <f aca="false">-Schedules!K107</f>
        <v>6250000000</v>
      </c>
      <c r="L21" s="92" t="n">
        <f aca="false">-Schedules!L107</f>
        <v>-5536665594.79985</v>
      </c>
      <c r="M21" s="92" t="n">
        <f aca="false">-Schedules!M107</f>
        <v>-7083431207.12795</v>
      </c>
      <c r="N21" s="92" t="n">
        <f aca="false">-Schedules!N107</f>
        <v>-9017794595.29945</v>
      </c>
      <c r="O21" s="92" t="n">
        <f aca="false">-Schedules!O107</f>
        <v>-11244311727.318</v>
      </c>
      <c r="P21" s="92" t="n">
        <f aca="false">-Schedules!P107</f>
        <v>-13763764843.7576</v>
      </c>
      <c r="Q21" s="92" t="n">
        <f aca="false">-Schedules!Q107</f>
        <v>-16571958661.7346</v>
      </c>
      <c r="R21" s="92" t="n">
        <f aca="false">-Schedules!R107</f>
        <v>-19660795124.5137</v>
      </c>
      <c r="S21" s="92" t="n">
        <f aca="false">-Schedules!S107</f>
        <v>-23439955244.3038</v>
      </c>
      <c r="T21" s="92" t="n">
        <f aca="false">-Schedules!T107</f>
        <v>-27053926702.7507</v>
      </c>
      <c r="U21" s="92" t="n">
        <f aca="false">-Schedules!U107</f>
        <v>-30909685130.2494</v>
      </c>
    </row>
    <row r="22" customFormat="false" ht="15" hidden="false" customHeight="false" outlineLevel="0" collapsed="false">
      <c r="B22" s="9" t="s">
        <v>259</v>
      </c>
      <c r="C22" s="95" t="n">
        <f aca="false">C19+C21</f>
        <v>8998900000</v>
      </c>
      <c r="D22" s="95" t="n">
        <f aca="false">D19+D21</f>
        <v>-3891800000</v>
      </c>
      <c r="E22" s="95" t="n">
        <f aca="false">E19+E21</f>
        <v>-15310900000</v>
      </c>
      <c r="F22" s="95" t="n">
        <f aca="false">F19+F21</f>
        <v>-26913900000</v>
      </c>
      <c r="G22" s="95" t="n">
        <f aca="false">G19+G21</f>
        <v>1003400000</v>
      </c>
      <c r="H22" s="95" t="n">
        <f aca="false">H19+H21</f>
        <v>-1661900000</v>
      </c>
      <c r="I22" s="95" t="n">
        <f aca="false">I19+I21</f>
        <v>28872900000</v>
      </c>
      <c r="J22" s="95" t="n">
        <f aca="false">J19+J21</f>
        <v>6603500000</v>
      </c>
      <c r="K22" s="95" t="n">
        <f aca="false">K19+K21</f>
        <v>20716300000</v>
      </c>
      <c r="L22" s="95" t="n">
        <f aca="false">L19+L21</f>
        <v>16005116627.2996</v>
      </c>
      <c r="M22" s="95" t="n">
        <f aca="false">M19+M21</f>
        <v>21058925595.1285</v>
      </c>
      <c r="N22" s="95" t="n">
        <f aca="false">N19+N21</f>
        <v>26809756438.866</v>
      </c>
      <c r="O22" s="95" t="n">
        <f aca="false">O19+O21</f>
        <v>33429155604.1004</v>
      </c>
      <c r="P22" s="95" t="n">
        <f aca="false">P19+P21</f>
        <v>40919448679.3159</v>
      </c>
      <c r="Q22" s="95" t="n">
        <f aca="false">Q19+Q21</f>
        <v>49268163156.8375</v>
      </c>
      <c r="R22" s="95" t="n">
        <f aca="false">R19+R21</f>
        <v>58451223645.9022</v>
      </c>
      <c r="S22" s="95" t="n">
        <f aca="false">S19+S21</f>
        <v>69686605122.4175</v>
      </c>
      <c r="T22" s="95" t="n">
        <f aca="false">T19+T21</f>
        <v>80430883399.5564</v>
      </c>
      <c r="U22" s="95" t="n">
        <f aca="false">U19+U21</f>
        <v>91893990397.1618</v>
      </c>
    </row>
    <row r="23" customFormat="false" ht="15" hidden="false" customHeight="false" outlineLevel="0" collapsed="false">
      <c r="B23" s="87" t="s">
        <v>408</v>
      </c>
      <c r="C23" s="88" t="n">
        <f aca="false">C19-IFERROR(INDEX(HS_CONSOLIDATED!D:D,MATCH("ProfitBeforeTax",HS_CONSOLIDATED!$C:$C,0)),0)</f>
        <v>0</v>
      </c>
      <c r="D23" s="88" t="n">
        <f aca="false">D19-IFERROR(INDEX(HS_CONSOLIDATED!E:E,MATCH("ProfitBeforeTax",HS_CONSOLIDATED!$C:$C,0)),0)</f>
        <v>0</v>
      </c>
      <c r="E23" s="88" t="n">
        <f aca="false">E19-IFERROR(INDEX(HS_CONSOLIDATED!F:F,MATCH("ProfitBeforeTax",HS_CONSOLIDATED!$C:$C,0)),0)</f>
        <v>0</v>
      </c>
      <c r="F23" s="88" t="n">
        <f aca="false">F19-IFERROR(INDEX(HS_CONSOLIDATED!G:G,MATCH("ProfitBeforeTax",HS_CONSOLIDATED!$C:$C,0)),0)</f>
        <v>0</v>
      </c>
      <c r="G23" s="88" t="n">
        <f aca="false">G19-IFERROR(INDEX(HS_CONSOLIDATED!H:H,MATCH("ProfitBeforeTax",HS_CONSOLIDATED!$C:$C,0)),0)</f>
        <v>0</v>
      </c>
      <c r="H23" s="88" t="n">
        <f aca="false">H19-IFERROR(INDEX(HS_CONSOLIDATED!I:I,MATCH("ProfitBeforeTax",HS_CONSOLIDATED!$C:$C,0)),0)</f>
        <v>0</v>
      </c>
      <c r="I23" s="88" t="n">
        <f aca="false">I19-IFERROR(INDEX(HS_CONSOLIDATED!J:J,MATCH("ProfitBeforeTax",HS_CONSOLIDATED!$C:$C,0)),0)</f>
        <v>0</v>
      </c>
      <c r="J23" s="88" t="n">
        <f aca="false">J19-IFERROR(INDEX(HS_CONSOLIDATED!K:K,MATCH("ProfitBeforeTax",HS_CONSOLIDATED!$C:$C,0)),0)</f>
        <v>0</v>
      </c>
      <c r="K23" s="88" t="n">
        <f aca="false">K19-IFERROR(INDEX(HS_CONSOLIDATED!L:L,MATCH("ProfitBeforeTax",HS_CONSOLIDATED!$C:$C,0)),0)</f>
        <v>0</v>
      </c>
    </row>
    <row r="29" customFormat="false" ht="15" hidden="false" customHeight="false" outlineLevel="0" collapsed="false">
      <c r="B29" s="54" t="s">
        <v>465</v>
      </c>
      <c r="C29" s="89" t="n">
        <f aca="false">IFERROR(ABS(C13)/ABS(Schedules!C56),1)</f>
        <v>1.6794595061302</v>
      </c>
      <c r="D29" s="89" t="n">
        <f aca="false">IFERROR(ABS(D13)/ABS(Schedules!D56),1)</f>
        <v>1.47131535877337</v>
      </c>
      <c r="E29" s="89" t="n">
        <f aca="false">IFERROR(ABS(E13)/ABS(Schedules!E56),1)</f>
        <v>1.41236985622211</v>
      </c>
      <c r="F29" s="89" t="n">
        <f aca="false">IFERROR(ABS(F13)/ABS(Schedules!F56),1)</f>
        <v>3.66783492508543</v>
      </c>
      <c r="G29" s="89" t="n">
        <f aca="false">IFERROR(ABS(G13)/ABS(Schedules!G56),1)</f>
        <v>2.22052251632864</v>
      </c>
      <c r="H29" s="89" t="n">
        <f aca="false">IFERROR(ABS(H13)/ABS(Schedules!H56),1)</f>
        <v>2.15491789683198</v>
      </c>
      <c r="I29" s="89" t="n">
        <f aca="false">IFERROR(ABS(I13)/ABS(Schedules!I56),1)</f>
        <v>1.85260754797746</v>
      </c>
      <c r="J29" s="89" t="n">
        <f aca="false">IFERROR(ABS(J13)/ABS(Schedules!J56),1)</f>
        <v>1.36021235382739</v>
      </c>
      <c r="K29" s="89" t="n">
        <f aca="false">IFERROR(ABS(K13)/ABS(Schedules!K56),1)</f>
        <v>1.36150653989599</v>
      </c>
    </row>
    <row r="31" customFormat="false" ht="15" hidden="false" customHeight="false" outlineLevel="0" collapsed="false">
      <c r="B31" s="54" t="s">
        <v>466</v>
      </c>
      <c r="C31" s="89" t="n">
        <f aca="false">IFERROR(ABS(C17)/ABS(Schedules!C98),1)</f>
        <v>1.16364967329712</v>
      </c>
      <c r="D31" s="89" t="n">
        <f aca="false">IFERROR(ABS(D17)/ABS(Schedules!D98),1)</f>
        <v>1.42998760842627</v>
      </c>
      <c r="E31" s="89" t="n">
        <f aca="false">IFERROR(ABS(E17)/ABS(Schedules!E98),1)</f>
        <v>1.07712599026277</v>
      </c>
      <c r="F31" s="89" t="n">
        <f aca="false">IFERROR(ABS(F17)/ABS(Schedules!F98),1)</f>
        <v>1.05980792633301</v>
      </c>
      <c r="G31" s="89" t="n">
        <f aca="false">IFERROR(ABS(G17)/ABS(Schedules!G98),1)</f>
        <v>1.04062170320775</v>
      </c>
      <c r="H31" s="89" t="n">
        <f aca="false">IFERROR(ABS(H17)/ABS(Schedules!H98),1)</f>
        <v>1.04547589564029</v>
      </c>
      <c r="I31" s="89" t="n">
        <f aca="false">IFERROR(ABS(I17)/ABS(Schedules!I98),1)</f>
        <v>1.098676136512</v>
      </c>
      <c r="J31" s="89" t="n">
        <f aca="false">IFERROR(ABS(J17)/ABS(Schedules!J98),1)</f>
        <v>1.55532418362518</v>
      </c>
      <c r="K31" s="89" t="n">
        <f aca="false">IFERROR(ABS(K17)/ABS(Schedules!K98),1)</f>
        <v>2.4110522331567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9.7" hidden="false" customHeight="false" outlineLevel="0" collapsed="false">
      <c r="A1" s="0" t="s">
        <v>26</v>
      </c>
      <c r="B1" s="94" t="s">
        <v>17</v>
      </c>
    </row>
    <row r="4" customFormat="false" ht="15" hidden="false" customHeight="false" outlineLevel="0" collapsed="false">
      <c r="B4" s="96" t="s">
        <v>467</v>
      </c>
      <c r="C4" s="15" t="s">
        <v>468</v>
      </c>
    </row>
    <row r="6" customFormat="false" ht="15" hidden="false" customHeight="false" outlineLevel="0" collapsed="false">
      <c r="B6" s="0" t="s">
        <v>469</v>
      </c>
      <c r="C6" s="97" t="n">
        <v>56.04</v>
      </c>
    </row>
    <row r="7" customFormat="false" ht="15" hidden="false" customHeight="false" outlineLevel="0" collapsed="false">
      <c r="B7" s="0" t="s">
        <v>470</v>
      </c>
      <c r="C7" s="97" t="n">
        <v>13658950000</v>
      </c>
    </row>
    <row r="8" customFormat="false" ht="15" hidden="false" customHeight="false" outlineLevel="0" collapsed="false">
      <c r="B8" s="13" t="s">
        <v>471</v>
      </c>
      <c r="C8" s="98" t="n">
        <f aca="false">IF(OR(C6="",C7="",C6&lt;=0,C7&lt;=0),NA(),C6*C7)</f>
        <v>765447558000</v>
      </c>
    </row>
    <row r="11" customFormat="false" ht="15" hidden="false" customHeight="false" outlineLevel="0" collapsed="false">
      <c r="B11" s="96" t="s">
        <v>472</v>
      </c>
      <c r="C11" s="15" t="s">
        <v>473</v>
      </c>
    </row>
    <row r="12" customFormat="false" ht="15" hidden="false" customHeight="false" outlineLevel="0" collapsed="false">
      <c r="B12" s="96" t="s">
        <v>474</v>
      </c>
      <c r="C12" s="15" t="s">
        <v>475</v>
      </c>
    </row>
    <row r="13" customFormat="false" ht="15" hidden="false" customHeight="false" outlineLevel="0" collapsed="false">
      <c r="B13" s="0" t="s">
        <v>476</v>
      </c>
      <c r="C13" s="99" t="n">
        <f aca="false">IF($C$12="Global",INDEX('Damodaran Data'!$F$194:$F$289,MATCH($C$11,'Damodaran Data'!$A$194:$A$289,0)),IF($C$12="India",INDEX('Damodaran Data'!$F$293:$F$388,MATCH($C$11,'Damodaran Data'!$A$293:$A$388,0)),INDEX('Damodaran Data'!$F$392:$F$487,MATCH($C$11,'Damodaran Data'!$A$392:$A$487,0))))</f>
        <v>0.434598244890689</v>
      </c>
    </row>
    <row r="14" customFormat="false" ht="15" hidden="false" customHeight="false" outlineLevel="0" collapsed="false">
      <c r="B14" s="0" t="s">
        <v>477</v>
      </c>
      <c r="C14" s="17" t="n">
        <f aca="false">'Inputs &amp; Assumptions'!C68/(1-'Inputs &amp; Assumptions'!C68)</f>
        <v>0.046404027698617</v>
      </c>
    </row>
    <row r="15" customFormat="false" ht="15" hidden="false" customHeight="false" outlineLevel="0" collapsed="false">
      <c r="B15" s="0" t="s">
        <v>478</v>
      </c>
      <c r="C15" s="18" t="n">
        <v>0.3</v>
      </c>
    </row>
    <row r="16" customFormat="false" ht="15" hidden="false" customHeight="false" outlineLevel="0" collapsed="false">
      <c r="B16" s="13" t="s">
        <v>479</v>
      </c>
      <c r="C16" s="100" t="n">
        <f aca="false">C13*(1+(1-C15)*C14)</f>
        <v>0.448715221186263</v>
      </c>
    </row>
    <row r="19" customFormat="false" ht="15" hidden="false" customHeight="false" outlineLevel="0" collapsed="false">
      <c r="B19" s="0" t="s">
        <v>480</v>
      </c>
      <c r="C19" s="18" t="n">
        <v>0.0659</v>
      </c>
    </row>
    <row r="20" customFormat="false" ht="15" hidden="false" customHeight="false" outlineLevel="0" collapsed="false">
      <c r="B20" s="0" t="s">
        <v>481</v>
      </c>
      <c r="C20" s="17" t="n">
        <f aca="false">INDEX('Damodaran Data'!$D$8:$D$187,MATCH(C4,'Damodaran Data'!$A$8:$A$187,0))</f>
        <v>0.0186779540873986</v>
      </c>
    </row>
    <row r="21" customFormat="false" ht="15" hidden="false" customHeight="false" outlineLevel="0" collapsed="false">
      <c r="B21" s="13" t="s">
        <v>482</v>
      </c>
      <c r="C21" s="101" t="n">
        <f aca="false">C19-C20</f>
        <v>0.0472220459126014</v>
      </c>
    </row>
    <row r="22" customFormat="false" ht="15" hidden="false" customHeight="false" outlineLevel="0" collapsed="false">
      <c r="B22" s="0" t="s">
        <v>483</v>
      </c>
      <c r="C22" s="17" t="n">
        <f aca="false">INDEX('Damodaran Data'!$E$8:$E$187,MATCH(C4,'Damodaran Data'!$A$8:$A$187,0))</f>
        <v>0.0707535868000589</v>
      </c>
    </row>
    <row r="23" customFormat="false" ht="15" hidden="false" customHeight="false" outlineLevel="0" collapsed="false">
      <c r="B23" s="102" t="s">
        <v>484</v>
      </c>
      <c r="C23" s="103" t="n">
        <f aca="false">C21+C16*C22</f>
        <v>0.0789702572633114</v>
      </c>
    </row>
    <row r="26" customFormat="false" ht="15" hidden="false" customHeight="false" outlineLevel="0" collapsed="false">
      <c r="B26" s="0" t="s">
        <v>485</v>
      </c>
      <c r="C26" s="104" t="n">
        <f aca="false">'P&amp;L Schedule'!K14</f>
        <v>15980400000</v>
      </c>
    </row>
    <row r="27" customFormat="false" ht="15" hidden="false" customHeight="false" outlineLevel="0" collapsed="false">
      <c r="B27" s="0" t="s">
        <v>486</v>
      </c>
      <c r="C27" s="104" t="n">
        <f aca="false">ABS('P&amp;L Schedule'!K17)</f>
        <v>2548000000</v>
      </c>
    </row>
    <row r="28" customFormat="false" ht="15" hidden="false" customHeight="false" outlineLevel="0" collapsed="false">
      <c r="B28" s="13" t="s">
        <v>487</v>
      </c>
      <c r="C28" s="105" t="n">
        <f aca="false">IFERROR(C26/C27,999)</f>
        <v>6.27174254317112</v>
      </c>
    </row>
    <row r="29" customFormat="false" ht="15" hidden="false" customHeight="false" outlineLevel="0" collapsed="false">
      <c r="B29" s="0" t="s">
        <v>488</v>
      </c>
      <c r="C29" s="17" t="n">
        <f aca="false">IFERROR(INDEX('Damodaran Data'!$D$492:$D$506,MATCH(C28,'Damodaran Data'!$A$492:$A$506,1)),0)</f>
        <v>0.007</v>
      </c>
    </row>
    <row r="30" customFormat="false" ht="15" hidden="false" customHeight="false" outlineLevel="0" collapsed="false">
      <c r="B30" s="13" t="s">
        <v>489</v>
      </c>
      <c r="C30" s="101" t="n">
        <f aca="false">C21+C20+C29</f>
        <v>0.0729</v>
      </c>
    </row>
    <row r="31" customFormat="false" ht="15" hidden="false" customHeight="false" outlineLevel="0" collapsed="false">
      <c r="B31" s="102" t="s">
        <v>490</v>
      </c>
      <c r="C31" s="103" t="n">
        <f aca="false">C30*(1-C15)</f>
        <v>0.05103</v>
      </c>
    </row>
    <row r="32" customFormat="false" ht="45" hidden="false" customHeight="true" outlineLevel="0" collapsed="false">
      <c r="B32" s="90" t="str">
        <f aca="false">IF(C27&lt;=0,"⚠ Interest Expense is zero or negative (company appears debt-free on Borrowings). Interest Coverage defaulted to 999x -&gt; near-riskless Cost of Debt. Verify Total Debt below is really ~0 -- Lease Liabilities are NOT included in Book Value of Debt by this pipeline, so a lease-heavy but Borrowings-free company would show debt-free here even if it is not.","")</f>
        <v/>
      </c>
    </row>
    <row r="34" customFormat="false" ht="15" hidden="false" customHeight="false" outlineLevel="0" collapsed="false">
      <c r="B34" s="0" t="s">
        <v>491</v>
      </c>
      <c r="C34" s="104" t="n">
        <f aca="false">Schedules!K93</f>
        <v>2833300000</v>
      </c>
    </row>
    <row r="35" customFormat="false" ht="15" hidden="false" customHeight="false" outlineLevel="0" collapsed="false">
      <c r="B35" s="0" t="s">
        <v>492</v>
      </c>
      <c r="C35" s="106" t="n">
        <f aca="false">C8+C34</f>
        <v>768280858000</v>
      </c>
    </row>
    <row r="36" customFormat="false" ht="15" hidden="false" customHeight="false" outlineLevel="0" collapsed="false">
      <c r="B36" s="0" t="s">
        <v>493</v>
      </c>
      <c r="C36" s="17" t="n">
        <f aca="false">C8/C35</f>
        <v>0.996312155938161</v>
      </c>
    </row>
    <row r="37" customFormat="false" ht="15" hidden="false" customHeight="false" outlineLevel="0" collapsed="false">
      <c r="B37" s="0" t="s">
        <v>494</v>
      </c>
      <c r="C37" s="17" t="n">
        <f aca="false">C34/C35</f>
        <v>0.00368784406183917</v>
      </c>
    </row>
    <row r="39" customFormat="false" ht="16.15" hidden="false" customHeight="false" outlineLevel="0" collapsed="false">
      <c r="B39" s="107" t="s">
        <v>6</v>
      </c>
      <c r="C39" s="108" t="n">
        <f aca="false">C36*C23+C37*C31</f>
        <v>0.0788672179514766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9.7" hidden="false" customHeight="false" outlineLevel="0" collapsed="false">
      <c r="A1" s="0" t="s">
        <v>26</v>
      </c>
      <c r="B1" s="94" t="s">
        <v>495</v>
      </c>
    </row>
    <row r="5" customFormat="false" ht="15" hidden="false" customHeight="false" outlineLevel="0" collapsed="false">
      <c r="B5" s="12" t="s">
        <v>455</v>
      </c>
      <c r="C5" s="12" t="s">
        <v>38</v>
      </c>
      <c r="D5" s="12" t="s">
        <v>39</v>
      </c>
      <c r="E5" s="12" t="s">
        <v>40</v>
      </c>
      <c r="F5" s="12" t="s">
        <v>41</v>
      </c>
      <c r="G5" s="12" t="s">
        <v>42</v>
      </c>
      <c r="H5" s="12" t="s">
        <v>43</v>
      </c>
      <c r="I5" s="12" t="s">
        <v>44</v>
      </c>
      <c r="J5" s="12" t="s">
        <v>45</v>
      </c>
      <c r="K5" s="12" t="s">
        <v>46</v>
      </c>
      <c r="L5" s="12" t="s">
        <v>47</v>
      </c>
    </row>
    <row r="7" customFormat="false" ht="15" hidden="false" customHeight="false" outlineLevel="0" collapsed="false">
      <c r="B7" s="0" t="s">
        <v>125</v>
      </c>
      <c r="C7" s="83" t="n">
        <f aca="false">'P&amp;L Schedule'!L14</f>
        <v>21082278461.0485</v>
      </c>
      <c r="D7" s="83" t="n">
        <f aca="false">'P&amp;L Schedule'!M14</f>
        <v>27467042815.103</v>
      </c>
      <c r="E7" s="83" t="n">
        <f aca="false">'P&amp;L Schedule'!N14</f>
        <v>34978950119.7049</v>
      </c>
      <c r="F7" s="83" t="n">
        <f aca="false">'P&amp;L Schedule'!O14</f>
        <v>43648169473.8278</v>
      </c>
      <c r="G7" s="83" t="n">
        <f aca="false">'P&amp;L Schedule'!P14</f>
        <v>53484183389.1454</v>
      </c>
      <c r="H7" s="83" t="n">
        <f aca="false">'P&amp;L Schedule'!Q14</f>
        <v>64478240025.4949</v>
      </c>
      <c r="I7" s="83" t="n">
        <f aca="false">'P&amp;L Schedule'!R14</f>
        <v>76606679188.6386</v>
      </c>
      <c r="J7" s="83" t="n">
        <f aca="false">'P&amp;L Schedule'!S14</f>
        <v>91505989476.5932</v>
      </c>
      <c r="K7" s="83" t="n">
        <f aca="false">'P&amp;L Schedule'!T14</f>
        <v>105791572064.671</v>
      </c>
      <c r="L7" s="83" t="n">
        <f aca="false">'P&amp;L Schedule'!U14</f>
        <v>121089059870.559</v>
      </c>
    </row>
    <row r="8" customFormat="false" ht="15" hidden="false" customHeight="false" outlineLevel="0" collapsed="false">
      <c r="B8" s="109" t="s">
        <v>496</v>
      </c>
      <c r="C8" s="88" t="n">
        <f aca="false">IFERROR(Schedules!L107/Schedules!L106,0)</f>
        <v>0.257019848112653</v>
      </c>
      <c r="D8" s="88" t="n">
        <f aca="false">IFERROR(Schedules!M107/Schedules!M106,0)</f>
        <v>0.2517</v>
      </c>
      <c r="E8" s="88" t="n">
        <f aca="false">IFERROR(Schedules!N107/Schedules!N106,0)</f>
        <v>0.2517</v>
      </c>
      <c r="F8" s="88" t="n">
        <f aca="false">IFERROR(Schedules!O107/Schedules!O106,0)</f>
        <v>0.2517</v>
      </c>
      <c r="G8" s="88" t="n">
        <f aca="false">IFERROR(Schedules!P107/Schedules!P106,0)</f>
        <v>0.2517</v>
      </c>
      <c r="H8" s="88" t="n">
        <f aca="false">IFERROR(Schedules!Q107/Schedules!Q106,0)</f>
        <v>0.2517</v>
      </c>
      <c r="I8" s="88" t="n">
        <f aca="false">IFERROR(Schedules!R107/Schedules!R106,0)</f>
        <v>0.2517</v>
      </c>
      <c r="J8" s="88" t="n">
        <f aca="false">IFERROR(Schedules!S107/Schedules!S106,0)</f>
        <v>0.2517</v>
      </c>
      <c r="K8" s="88" t="n">
        <f aca="false">IFERROR(Schedules!T107/Schedules!T106,0)</f>
        <v>0.2517</v>
      </c>
      <c r="L8" s="88" t="n">
        <f aca="false">IFERROR(Schedules!U107/Schedules!U106,0)</f>
        <v>0.2517</v>
      </c>
    </row>
    <row r="9" customFormat="false" ht="15" hidden="false" customHeight="false" outlineLevel="0" collapsed="false">
      <c r="B9" s="13" t="s">
        <v>497</v>
      </c>
      <c r="C9" s="86" t="n">
        <f aca="false">C7*(1-C8)</f>
        <v>15663714453.1212</v>
      </c>
      <c r="D9" s="86" t="n">
        <f aca="false">D7*(1-D8)</f>
        <v>20553588138.5416</v>
      </c>
      <c r="E9" s="86" t="n">
        <f aca="false">E7*(1-E8)</f>
        <v>26174748374.5752</v>
      </c>
      <c r="F9" s="86" t="n">
        <f aca="false">F7*(1-F8)</f>
        <v>32661925217.2653</v>
      </c>
      <c r="G9" s="86" t="n">
        <f aca="false">G7*(1-G8)</f>
        <v>40022214430.0975</v>
      </c>
      <c r="H9" s="86" t="n">
        <f aca="false">H7*(1-H8)</f>
        <v>48249067011.0779</v>
      </c>
      <c r="I9" s="86" t="n">
        <f aca="false">I7*(1-I8)</f>
        <v>57324778036.8583</v>
      </c>
      <c r="J9" s="86" t="n">
        <f aca="false">J7*(1-J8)</f>
        <v>68473931925.3347</v>
      </c>
      <c r="K9" s="86" t="n">
        <f aca="false">K7*(1-K8)</f>
        <v>79163833375.9932</v>
      </c>
      <c r="L9" s="86" t="n">
        <f aca="false">L7*(1-L8)</f>
        <v>90610943501.1396</v>
      </c>
    </row>
    <row r="10" customFormat="false" ht="15" hidden="false" customHeight="false" outlineLevel="0" collapsed="false">
      <c r="B10" s="0" t="s">
        <v>498</v>
      </c>
      <c r="C10" s="83" t="n">
        <f aca="false">-'P&amp;L Schedule'!L13</f>
        <v>1896060905.99719</v>
      </c>
      <c r="D10" s="83" t="n">
        <f aca="false">-'P&amp;L Schedule'!M13</f>
        <v>2131589532.85459</v>
      </c>
      <c r="E10" s="83" t="n">
        <f aca="false">-'P&amp;L Schedule'!N13</f>
        <v>2378431939.77708</v>
      </c>
      <c r="F10" s="83" t="n">
        <f aca="false">-'P&amp;L Schedule'!O13</f>
        <v>2637184492.48425</v>
      </c>
      <c r="G10" s="83" t="n">
        <f aca="false">-'P&amp;L Schedule'!P13</f>
        <v>2908471258.44489</v>
      </c>
      <c r="H10" s="83" t="n">
        <f aca="false">-'P&amp;L Schedule'!Q13</f>
        <v>3192945551.61338</v>
      </c>
      <c r="I10" s="83" t="n">
        <f aca="false">-'P&amp;L Schedule'!R13</f>
        <v>3491291540.17753</v>
      </c>
      <c r="J10" s="83" t="n">
        <f aca="false">-'P&amp;L Schedule'!S13</f>
        <v>2132950013.32183</v>
      </c>
      <c r="K10" s="83" t="n">
        <f aca="false">-'P&amp;L Schedule'!T13</f>
        <v>2461223764.20525</v>
      </c>
      <c r="L10" s="83" t="n">
        <f aca="false">-'P&amp;L Schedule'!U13</f>
        <v>2805623962.86854</v>
      </c>
    </row>
    <row r="11" customFormat="false" ht="15" hidden="false" customHeight="false" outlineLevel="0" collapsed="false">
      <c r="B11" s="0" t="s">
        <v>499</v>
      </c>
      <c r="C11" s="83" t="n">
        <f aca="false">-Schedules!L53</f>
        <v>-2211325537.32233</v>
      </c>
      <c r="D11" s="83" t="n">
        <f aca="false">-Schedules!M53</f>
        <v>-2317016142.9585</v>
      </c>
      <c r="E11" s="83" t="n">
        <f aca="false">-Schedules!N53</f>
        <v>-2428315611.72575</v>
      </c>
      <c r="F11" s="83" t="n">
        <f aca="false">-Schedules!O53</f>
        <v>-2545481836.55502</v>
      </c>
      <c r="G11" s="83" t="n">
        <f aca="false">-Schedules!P53</f>
        <v>-2668787333.78931</v>
      </c>
      <c r="H11" s="83" t="n">
        <f aca="false">-Schedules!Q53</f>
        <v>-2798519816.13763</v>
      </c>
      <c r="I11" s="83" t="n">
        <f aca="false">-Schedules!R53</f>
        <v>-2934982812.55035</v>
      </c>
      <c r="J11" s="83" t="n">
        <f aca="false">-Schedules!S53</f>
        <v>-3078496334.76303</v>
      </c>
      <c r="K11" s="83" t="n">
        <f aca="false">-Schedules!T53</f>
        <v>-3229397590.66718</v>
      </c>
      <c r="L11" s="83" t="n">
        <f aca="false">-Schedules!U53</f>
        <v>-3388041745.02362</v>
      </c>
    </row>
    <row r="12" customFormat="false" ht="15" hidden="false" customHeight="false" outlineLevel="0" collapsed="false">
      <c r="B12" s="0" t="s">
        <v>500</v>
      </c>
      <c r="C12" s="83" t="n">
        <f aca="false">Schedules!L45</f>
        <v>-10527008631.709</v>
      </c>
      <c r="D12" s="83" t="n">
        <f aca="false">Schedules!M45</f>
        <v>-15032034725.786</v>
      </c>
      <c r="E12" s="83" t="n">
        <f aca="false">Schedules!N45</f>
        <v>-17617014145.5359</v>
      </c>
      <c r="F12" s="83" t="n">
        <f aca="false">Schedules!O45</f>
        <v>-20271849617.7228</v>
      </c>
      <c r="G12" s="83" t="n">
        <f aca="false">Schedules!P45</f>
        <v>-22949633084.6687</v>
      </c>
      <c r="H12" s="83" t="n">
        <f aca="false">Schedules!Q45</f>
        <v>-25609028041.0845</v>
      </c>
      <c r="I12" s="83" t="n">
        <f aca="false">Schedules!R45</f>
        <v>-28216253641.4854</v>
      </c>
      <c r="J12" s="83" t="n">
        <f aca="false">Schedules!S45</f>
        <v>-30746118521.417</v>
      </c>
      <c r="K12" s="83" t="n">
        <f aca="false">Schedules!T45</f>
        <v>-33182216647.858</v>
      </c>
      <c r="L12" s="83" t="n">
        <f aca="false">Schedules!U45</f>
        <v>-35516464956.9469</v>
      </c>
    </row>
    <row r="13" customFormat="false" ht="15" hidden="false" customHeight="false" outlineLevel="0" collapsed="false">
      <c r="B13" s="102" t="s">
        <v>501</v>
      </c>
      <c r="C13" s="95" t="n">
        <f aca="false">C9+C10+C11+C12</f>
        <v>4821441190.08707</v>
      </c>
      <c r="D13" s="95" t="n">
        <f aca="false">D9+D10+D11+D12</f>
        <v>5336126802.65162</v>
      </c>
      <c r="E13" s="95" t="n">
        <f aca="false">E9+E10+E11+E12</f>
        <v>8507850557.09055</v>
      </c>
      <c r="F13" s="95" t="n">
        <f aca="false">F9+F10+F11+F12</f>
        <v>12481778255.4717</v>
      </c>
      <c r="G13" s="95" t="n">
        <f aca="false">G9+G10+G11+G12</f>
        <v>17312265270.0843</v>
      </c>
      <c r="H13" s="95" t="n">
        <f aca="false">H9+H10+H11+H12</f>
        <v>23034464705.4691</v>
      </c>
      <c r="I13" s="95" t="n">
        <f aca="false">I9+I10+I11+I12</f>
        <v>29664833123.0001</v>
      </c>
      <c r="J13" s="95" t="n">
        <f aca="false">J9+J10+J11+J12</f>
        <v>36782267082.4765</v>
      </c>
      <c r="K13" s="95" t="n">
        <f aca="false">K9+K10+K11+K12</f>
        <v>45213442901.6733</v>
      </c>
      <c r="L13" s="95" t="n">
        <f aca="false">L9+L10+L11+L12</f>
        <v>54512060762.0376</v>
      </c>
    </row>
    <row r="15" customFormat="false" ht="15" hidden="false" customHeight="false" outlineLevel="0" collapsed="false">
      <c r="B15" s="109" t="s">
        <v>502</v>
      </c>
      <c r="C15" s="110" t="n">
        <f aca="false">1/(1+'WACC Schedule'!$C39)^1</f>
        <v>0.92689812366231</v>
      </c>
      <c r="D15" s="110" t="n">
        <f aca="false">1/(1+'WACC Schedule'!$C39)^2</f>
        <v>0.859140131648711</v>
      </c>
      <c r="E15" s="110" t="n">
        <f aca="false">1/(1+'WACC Schedule'!$C39)^3</f>
        <v>0.79633537598818</v>
      </c>
      <c r="F15" s="110" t="n">
        <f aca="false">1/(1+'WACC Schedule'!$C39)^4</f>
        <v>0.738121765809364</v>
      </c>
      <c r="G15" s="110" t="n">
        <f aca="false">1/(1+'WACC Schedule'!$C39)^5</f>
        <v>0.68416367976301</v>
      </c>
      <c r="H15" s="110" t="n">
        <f aca="false">1/(1+'WACC Schedule'!$C39)^6</f>
        <v>0.634150031050236</v>
      </c>
      <c r="I15" s="110" t="n">
        <f aca="false">1/(1+'WACC Schedule'!$C39)^7</f>
        <v>0.587792473900859</v>
      </c>
      <c r="J15" s="110" t="n">
        <f aca="false">1/(1+'WACC Schedule'!$C39)^8</f>
        <v>0.544823741161533</v>
      </c>
      <c r="K15" s="110" t="n">
        <f aca="false">1/(1+'WACC Schedule'!$C39)^9</f>
        <v>0.504996103409305</v>
      </c>
      <c r="L15" s="110" t="n">
        <f aca="false">1/(1+'WACC Schedule'!$C39)^10</f>
        <v>0.468079940706863</v>
      </c>
    </row>
    <row r="16" customFormat="false" ht="15" hidden="false" customHeight="false" outlineLevel="0" collapsed="false">
      <c r="B16" s="13" t="s">
        <v>503</v>
      </c>
      <c r="C16" s="86" t="n">
        <f aca="false">C13*C15</f>
        <v>4468984792.43988</v>
      </c>
      <c r="D16" s="86" t="n">
        <f aca="false">D13*D15</f>
        <v>4584480683.72432</v>
      </c>
      <c r="E16" s="86" t="n">
        <f aca="false">E13*E15</f>
        <v>6775102372.23194</v>
      </c>
      <c r="F16" s="86" t="n">
        <f aca="false">F13*F15</f>
        <v>9213072206.36972</v>
      </c>
      <c r="G16" s="86" t="n">
        <f aca="false">G13*G15</f>
        <v>11844423112.2142</v>
      </c>
      <c r="H16" s="86" t="n">
        <f aca="false">H13*H15</f>
        <v>14607306508.1988</v>
      </c>
      <c r="I16" s="86" t="n">
        <f aca="false">I13*I15</f>
        <v>17436765649.2244</v>
      </c>
      <c r="J16" s="86" t="n">
        <f aca="false">J13*J15</f>
        <v>20039852360.2776</v>
      </c>
      <c r="K16" s="86" t="n">
        <f aca="false">K13*K15</f>
        <v>22832612487.0641</v>
      </c>
      <c r="L16" s="86" t="n">
        <f aca="false">L13*L15</f>
        <v>25516002169.3035</v>
      </c>
    </row>
    <row r="18" customFormat="false" ht="15" hidden="false" customHeight="false" outlineLevel="0" collapsed="false">
      <c r="B18" s="102" t="s">
        <v>504</v>
      </c>
      <c r="C18" s="95" t="n">
        <f aca="false">SUM(C16:L16)</f>
        <v>137318602341.048</v>
      </c>
    </row>
    <row r="20" customFormat="false" ht="16.15" hidden="false" customHeight="false" outlineLevel="0" collapsed="false">
      <c r="A20" s="0" t="s">
        <v>26</v>
      </c>
      <c r="B20" s="107" t="s">
        <v>505</v>
      </c>
    </row>
    <row r="22" customFormat="false" ht="15" hidden="false" customHeight="false" outlineLevel="0" collapsed="false">
      <c r="B22" s="0" t="s">
        <v>7</v>
      </c>
      <c r="C22" s="111" t="n">
        <f aca="false">IF('Inputs &amp; Assumptions'!C13="",'Inputs &amp; Assumptions'!C12,'Inputs &amp; Assumptions'!C13)</f>
        <v>0.05</v>
      </c>
    </row>
    <row r="23" customFormat="false" ht="15" hidden="false" customHeight="false" outlineLevel="0" collapsed="false">
      <c r="B23" s="0" t="s">
        <v>506</v>
      </c>
      <c r="C23" s="111" t="n">
        <f aca="false">'Inputs &amp; Assumptions'!C73</f>
        <v>0.2517</v>
      </c>
    </row>
    <row r="24" customFormat="false" ht="15" hidden="false" customHeight="false" outlineLevel="0" collapsed="false">
      <c r="B24" s="0" t="s">
        <v>507</v>
      </c>
      <c r="C24" s="106" t="n">
        <f aca="false">L7*(1+C22)*(1-C23)</f>
        <v>95141490676.1966</v>
      </c>
    </row>
    <row r="25" customFormat="false" ht="15" hidden="false" customHeight="false" outlineLevel="0" collapsed="false">
      <c r="B25" s="109" t="s">
        <v>508</v>
      </c>
      <c r="C25" s="112" t="n">
        <f aca="false">C22/'WACC Schedule'!$C39</f>
        <v>0.633976971658398</v>
      </c>
    </row>
    <row r="26" customFormat="false" ht="15" hidden="false" customHeight="false" outlineLevel="0" collapsed="false">
      <c r="B26" s="102" t="s">
        <v>509</v>
      </c>
      <c r="C26" s="113" t="n">
        <f aca="false">C24*(1-C25)/('WACC Schedule'!$C39-C22)</f>
        <v>1206350282759.22</v>
      </c>
    </row>
    <row r="27" customFormat="false" ht="15" hidden="false" customHeight="false" outlineLevel="0" collapsed="false">
      <c r="B27" s="0" t="s">
        <v>510</v>
      </c>
      <c r="C27" s="106" t="n">
        <f aca="false">C26*L15</f>
        <v>564668368825.641</v>
      </c>
    </row>
    <row r="29" customFormat="false" ht="15" hidden="false" customHeight="false" outlineLevel="0" collapsed="false">
      <c r="B29" s="9" t="s">
        <v>511</v>
      </c>
      <c r="C29" s="114" t="n">
        <f aca="false">C18+C27</f>
        <v>701986971166.69</v>
      </c>
    </row>
    <row r="30" customFormat="false" ht="15" hidden="false" customHeight="false" outlineLevel="0" collapsed="false">
      <c r="B30" s="0" t="s">
        <v>512</v>
      </c>
      <c r="C30" s="104" t="n">
        <f aca="false">-Schedules!$K$93</f>
        <v>-2833300000</v>
      </c>
    </row>
    <row r="31" customFormat="false" ht="15" hidden="false" customHeight="false" outlineLevel="0" collapsed="false">
      <c r="B31" s="0" t="s">
        <v>513</v>
      </c>
      <c r="C31" s="104" t="n">
        <f aca="false">IFERROR(INDEX(HS_CONSOLIDATED!L:L,MATCH("CashAndCashEquivalents",HS_CONSOLIDATED!$C:$C,0)),0)</f>
        <v>11128300000</v>
      </c>
    </row>
    <row r="32" customFormat="false" ht="15" hidden="false" customHeight="false" outlineLevel="0" collapsed="false">
      <c r="B32" s="9" t="s">
        <v>514</v>
      </c>
      <c r="C32" s="114" t="n">
        <f aca="false">C29+C30+C31</f>
        <v>710281971166.69</v>
      </c>
    </row>
    <row r="33" customFormat="false" ht="16.15" hidden="false" customHeight="false" outlineLevel="0" collapsed="false">
      <c r="B33" s="107" t="s">
        <v>515</v>
      </c>
      <c r="C33" s="115" t="n">
        <f aca="false">C32/'WACC Schedule'!$C7</f>
        <v>52.0012132094114</v>
      </c>
    </row>
    <row r="36" customFormat="false" ht="16.15" hidden="false" customHeight="false" outlineLevel="0" collapsed="false">
      <c r="A36" s="0" t="s">
        <v>26</v>
      </c>
      <c r="B36" s="107" t="s">
        <v>516</v>
      </c>
    </row>
    <row r="38" customFormat="false" ht="15" hidden="false" customHeight="false" outlineLevel="0" collapsed="false">
      <c r="B38" s="12" t="s">
        <v>455</v>
      </c>
      <c r="C38" s="12" t="s">
        <v>29</v>
      </c>
      <c r="D38" s="12" t="s">
        <v>30</v>
      </c>
      <c r="E38" s="12" t="s">
        <v>31</v>
      </c>
      <c r="F38" s="12" t="s">
        <v>32</v>
      </c>
      <c r="G38" s="12" t="s">
        <v>33</v>
      </c>
      <c r="H38" s="12" t="s">
        <v>34</v>
      </c>
      <c r="I38" s="12" t="s">
        <v>35</v>
      </c>
      <c r="J38" s="12" t="s">
        <v>36</v>
      </c>
      <c r="K38" s="12" t="s">
        <v>37</v>
      </c>
      <c r="L38" s="12" t="s">
        <v>38</v>
      </c>
      <c r="M38" s="12" t="s">
        <v>39</v>
      </c>
      <c r="N38" s="12" t="s">
        <v>40</v>
      </c>
      <c r="O38" s="12" t="s">
        <v>41</v>
      </c>
      <c r="P38" s="12" t="s">
        <v>42</v>
      </c>
      <c r="Q38" s="12" t="s">
        <v>43</v>
      </c>
      <c r="R38" s="12" t="s">
        <v>44</v>
      </c>
      <c r="S38" s="12" t="s">
        <v>45</v>
      </c>
      <c r="T38" s="12" t="s">
        <v>46</v>
      </c>
      <c r="U38" s="12" t="s">
        <v>47</v>
      </c>
    </row>
    <row r="39" customFormat="false" ht="15" hidden="false" customHeight="false" outlineLevel="0" collapsed="false">
      <c r="B39" s="54" t="s">
        <v>517</v>
      </c>
      <c r="C39" s="54" t="s">
        <v>327</v>
      </c>
      <c r="D39" s="89" t="n">
        <f aca="false">Schedules!C64+Schedules!C44</f>
        <v>37043000000</v>
      </c>
      <c r="E39" s="89" t="n">
        <f aca="false">Schedules!D64+Schedules!D44</f>
        <v>47522400000</v>
      </c>
      <c r="F39" s="89" t="n">
        <f aca="false">Schedules!E64+Schedules!E44</f>
        <v>37666500000</v>
      </c>
      <c r="G39" s="89" t="n">
        <f aca="false">Schedules!F64+Schedules!F44</f>
        <v>31703800000</v>
      </c>
      <c r="H39" s="89" t="n">
        <f aca="false">Schedules!G64+Schedules!G44</f>
        <v>27158000000</v>
      </c>
      <c r="I39" s="89" t="n">
        <f aca="false">Schedules!H64+Schedules!H44</f>
        <v>26516900000</v>
      </c>
      <c r="J39" s="89" t="n">
        <f aca="false">Schedules!I64+Schedules!I44</f>
        <v>28813800000</v>
      </c>
      <c r="K39" s="89" t="n">
        <f aca="false">Schedules!J64+Schedules!J44</f>
        <v>31356000000</v>
      </c>
      <c r="L39" s="89" t="n">
        <f aca="false">Schedules!K64+Schedules!K44</f>
        <v>49868200000</v>
      </c>
      <c r="M39" s="89" t="n">
        <f aca="false">Schedules!L64+Schedules!L44</f>
        <v>61363032466.5431</v>
      </c>
      <c r="N39" s="89" t="n">
        <f aca="false">Schedules!M64+Schedules!M44</f>
        <v>77314113889.9356</v>
      </c>
      <c r="O39" s="89" t="n">
        <f aca="false">Schedules!N64+Schedules!N44</f>
        <v>95799586494.3969</v>
      </c>
      <c r="P39" s="89" t="n">
        <f aca="false">Schedules!O64+Schedules!O44</f>
        <v>116887362006.771</v>
      </c>
      <c r="Q39" s="89" t="n">
        <f aca="false">Schedules!P64+Schedules!P44</f>
        <v>140598307327.739</v>
      </c>
      <c r="R39" s="89" t="n">
        <f aca="false">Schedules!Q64+Schedules!Q44</f>
        <v>166911812099.728</v>
      </c>
      <c r="S39" s="89" t="n">
        <f aca="false">Schedules!R64+Schedules!R44</f>
        <v>195773339947.695</v>
      </c>
      <c r="T39" s="89" t="n">
        <f aca="false">Schedules!S64+Schedules!S44</f>
        <v>228199093108.821</v>
      </c>
      <c r="U39" s="89" t="n">
        <f aca="false">Schedules!T64+Schedules!T44</f>
        <v>262996552479.582</v>
      </c>
    </row>
    <row r="40" customFormat="false" ht="15" hidden="false" customHeight="false" outlineLevel="0" collapsed="false">
      <c r="B40" s="54" t="s">
        <v>518</v>
      </c>
      <c r="C40" s="89" t="n">
        <f aca="false">'P&amp;L Schedule'!C14*(1-(IF(AND(ABS(Schedules!C106)&gt;0,IFERROR(Schedules!C107/Schedules!C106,-1)&gt;=0,IFERROR(Schedules!C107/Schedules!C106,2)&lt;=0.6),Schedules!C107/Schedules!C106,'Inputs &amp; Assumptions'!$C$73)))</f>
        <v>20832741258.6799</v>
      </c>
      <c r="D40" s="89" t="n">
        <f aca="false">'P&amp;L Schedule'!D14*(1-(IF(AND(ABS(Schedules!D106)&gt;0,IFERROR(Schedules!D107/Schedules!D106,-1)&gt;=0,IFERROR(Schedules!D107/Schedules!D106,2)&lt;=0.6),Schedules!D107/Schedules!D106,'Inputs &amp; Assumptions'!$C$73)))</f>
        <v>6588092107.28362</v>
      </c>
      <c r="E40" s="89" t="n">
        <f aca="false">'P&amp;L Schedule'!E14*(1-(IF(AND(ABS(Schedules!E106)&gt;0,IFERROR(Schedules!E107/Schedules!E106,-1)&gt;=0,IFERROR(Schedules!E107/Schedules!E106,2)&lt;=0.6),Schedules!E107/Schedules!E106,'Inputs &amp; Assumptions'!$C$73)))</f>
        <v>-3478960680.23772</v>
      </c>
      <c r="F40" s="89" t="n">
        <f aca="false">'P&amp;L Schedule'!F14*(1-(IF(AND(ABS(Schedules!F106)&gt;0,IFERROR(Schedules!F107/Schedules!F106,-1)&gt;=0,IFERROR(Schedules!F107/Schedules!F106,2)&lt;=0.6),Schedules!F107/Schedules!F106,'Inputs &amp; Assumptions'!$C$73)))</f>
        <v>-9565818220</v>
      </c>
      <c r="G40" s="89" t="n">
        <f aca="false">'P&amp;L Schedule'!G14*(1-(IF(AND(ABS(Schedules!G106)&gt;0,IFERROR(Schedules!G107/Schedules!G106,-1)&gt;=0,IFERROR(Schedules!G107/Schedules!G106,2)&lt;=0.6),Schedules!G107/Schedules!G106,'Inputs &amp; Assumptions'!$C$73)))</f>
        <v>2637306468.51481</v>
      </c>
      <c r="H40" s="89" t="n">
        <f aca="false">'P&amp;L Schedule'!H14*(1-(IF(AND(ABS(Schedules!H106)&gt;0,IFERROR(Schedules!H107/Schedules!H106,-1)&gt;=0,IFERROR(Schedules!H107/Schedules!H106,2)&lt;=0.6),Schedules!H107/Schedules!H106,'Inputs &amp; Assumptions'!$C$73)))</f>
        <v>4711371630</v>
      </c>
      <c r="I40" s="89" t="n">
        <f aca="false">'P&amp;L Schedule'!I14*(1-(IF(AND(ABS(Schedules!I106)&gt;0,IFERROR(Schedules!I107/Schedules!I106,-1)&gt;=0,IFERROR(Schedules!I107/Schedules!I106,2)&lt;=0.6),Schedules!I107/Schedules!I106,'Inputs &amp; Assumptions'!$C$73)))</f>
        <v>5713653269.51873</v>
      </c>
      <c r="J40" s="89" t="n">
        <f aca="false">'P&amp;L Schedule'!J14*(1-(IF(AND(ABS(Schedules!J106)&gt;0,IFERROR(Schedules!J107/Schedules!J106,-1)&gt;=0,IFERROR(Schedules!J107/Schedules!J106,2)&lt;=0.6),Schedules!J107/Schedules!J106,'Inputs &amp; Assumptions'!$C$73)))</f>
        <v>6280332240</v>
      </c>
      <c r="K40" s="89" t="n">
        <f aca="false">'P&amp;L Schedule'!K14*(1-(IF(AND(ABS(Schedules!K106)&gt;0,IFERROR(Schedules!K107/Schedules!K106,-1)&gt;=0,IFERROR(Schedules!K107/Schedules!K106,2)&lt;=0.6),Schedules!K107/Schedules!K106,'Inputs &amp; Assumptions'!$C$73)))</f>
        <v>11958133320</v>
      </c>
      <c r="L40" s="89" t="n">
        <f aca="false">C7*(1-(C8))</f>
        <v>15663714453.1212</v>
      </c>
      <c r="M40" s="89" t="n">
        <f aca="false">D7*(1-(D8))</f>
        <v>20553588138.5416</v>
      </c>
      <c r="N40" s="89" t="n">
        <f aca="false">E7*(1-(E8))</f>
        <v>26174748374.5752</v>
      </c>
      <c r="O40" s="89" t="n">
        <f aca="false">F7*(1-(F8))</f>
        <v>32661925217.2653</v>
      </c>
      <c r="P40" s="89" t="n">
        <f aca="false">G7*(1-(G8))</f>
        <v>40022214430.0975</v>
      </c>
      <c r="Q40" s="89" t="n">
        <f aca="false">H7*(1-(H8))</f>
        <v>48249067011.0779</v>
      </c>
      <c r="R40" s="89" t="n">
        <f aca="false">I7*(1-(I8))</f>
        <v>57324778036.8583</v>
      </c>
      <c r="S40" s="89" t="n">
        <f aca="false">J7*(1-(J8))</f>
        <v>68473931925.3347</v>
      </c>
      <c r="T40" s="89" t="n">
        <f aca="false">K7*(1-(K8))</f>
        <v>79163833375.9932</v>
      </c>
      <c r="U40" s="89" t="n">
        <f aca="false">L7*(1-(L8))</f>
        <v>90610943501.1396</v>
      </c>
    </row>
    <row r="41" customFormat="false" ht="15" hidden="false" customHeight="false" outlineLevel="0" collapsed="false">
      <c r="B41" s="13" t="s">
        <v>519</v>
      </c>
      <c r="C41" s="54" t="s">
        <v>327</v>
      </c>
      <c r="D41" s="116" t="n">
        <f aca="false">IFERROR(D40/D39,"")</f>
        <v>0.177849853070313</v>
      </c>
      <c r="E41" s="116" t="n">
        <f aca="false">IFERROR(E40/E39,"")</f>
        <v>-0.0732067547143604</v>
      </c>
      <c r="F41" s="116" t="n">
        <f aca="false">IFERROR(F40/F39,"")</f>
        <v>-0.253960899473007</v>
      </c>
      <c r="G41" s="116" t="n">
        <f aca="false">IFERROR(G40/G39,"")</f>
        <v>0.0831858158490406</v>
      </c>
      <c r="H41" s="116" t="n">
        <f aca="false">IFERROR(H40/H39,"")</f>
        <v>0.173480065910597</v>
      </c>
      <c r="I41" s="116" t="n">
        <f aca="false">IFERROR(I40/I39,"")</f>
        <v>0.215472143030246</v>
      </c>
      <c r="J41" s="116" t="n">
        <f aca="false">IFERROR(J40/J39,"")</f>
        <v>0.217962651229619</v>
      </c>
      <c r="K41" s="116" t="n">
        <f aca="false">IFERROR(K40/K39,"")</f>
        <v>0.381366670493685</v>
      </c>
      <c r="L41" s="116" t="n">
        <f aca="false">IFERROR(L40/L39,"")</f>
        <v>0.314102262626707</v>
      </c>
      <c r="M41" s="116" t="n">
        <f aca="false">IFERROR(M40/M39,"")</f>
        <v>0.334950658602929</v>
      </c>
      <c r="N41" s="116" t="n">
        <f aca="false">IFERROR(N40/N39,"")</f>
        <v>0.33855071289878</v>
      </c>
      <c r="O41" s="116" t="n">
        <f aca="false">IFERROR(O40/O39,"")</f>
        <v>0.34094014820383</v>
      </c>
      <c r="P41" s="116" t="n">
        <f aca="false">IFERROR(P40/P39,"")</f>
        <v>0.342399843259182</v>
      </c>
      <c r="Q41" s="116" t="n">
        <f aca="false">IFERROR(Q40/Q39,"")</f>
        <v>0.343169615112136</v>
      </c>
      <c r="R41" s="116" t="n">
        <f aca="false">IFERROR(R40/R39,"")</f>
        <v>0.343443506578236</v>
      </c>
      <c r="S41" s="116" t="n">
        <f aca="false">IFERROR(S40/S39,"")</f>
        <v>0.349761269556054</v>
      </c>
      <c r="T41" s="116" t="n">
        <f aca="false">IFERROR(T40/T39,"")</f>
        <v>0.34690687109016</v>
      </c>
      <c r="U41" s="116" t="n">
        <f aca="false">IFERROR(U40/U39,"")</f>
        <v>0.344532818574397</v>
      </c>
    </row>
    <row r="44" customFormat="false" ht="15" hidden="false" customHeight="false" outlineLevel="0" collapsed="false">
      <c r="B44" s="0" t="s">
        <v>520</v>
      </c>
      <c r="C44" s="21" t="n">
        <f aca="false">AVERAGE(I41:K41)</f>
        <v>0.271600488251184</v>
      </c>
    </row>
    <row r="45" customFormat="false" ht="39.75" hidden="false" customHeight="true" outlineLevel="0" collapsed="false">
      <c r="B45" s="90" t="str">
        <f aca="false">IF(ABS(L41-C44)&gt;0.15,"⚠ Implied ROIC in the first forecast year ("&amp;TEXT(L41,"0.0%")&amp;") differs from the last 3yr average historical ROIC ("&amp;TEXT(C44,"0.0%")&amp;") by more than 15 percentage points. The assumed growth and reinvestment levels imply a return on capital very different from what this company has actually earned -- confirm this is deliberate (e.g. a genuine margin/efficiency inflection) before relying on the DCF.","")</f>
        <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65"/>
    <col collapsed="false" customWidth="true" hidden="false" outlineLevel="0" max="22" min="3" style="0" width="17"/>
  </cols>
  <sheetData>
    <row r="1" customFormat="false" ht="19.7" hidden="false" customHeight="false" outlineLevel="0" collapsed="false">
      <c r="A1" s="0" t="s">
        <v>26</v>
      </c>
      <c r="B1" s="94" t="s">
        <v>19</v>
      </c>
    </row>
    <row r="4" customFormat="false" ht="16.15" hidden="false" customHeight="false" outlineLevel="0" collapsed="false">
      <c r="A4" s="0" t="s">
        <v>26</v>
      </c>
      <c r="B4" s="107" t="s">
        <v>521</v>
      </c>
    </row>
    <row r="6" customFormat="false" ht="15" hidden="false" customHeight="false" outlineLevel="0" collapsed="false">
      <c r="B6" s="117" t="s">
        <v>7</v>
      </c>
    </row>
    <row r="7" customFormat="false" ht="15" hidden="false" customHeight="false" outlineLevel="0" collapsed="false">
      <c r="B7" s="117" t="s">
        <v>6</v>
      </c>
      <c r="C7" s="118" t="n">
        <f aca="false">(IF('Inputs &amp; Assumptions'!$C$13="",'Inputs &amp; Assumptions'!$C$12,'Inputs &amp; Assumptions'!$C$13))+(-0.02)</f>
        <v>0.03</v>
      </c>
      <c r="D7" s="118" t="n">
        <f aca="false">(IF('Inputs &amp; Assumptions'!$C$13="",'Inputs &amp; Assumptions'!$C$12,'Inputs &amp; Assumptions'!$C$13))+(-0.01)</f>
        <v>0.04</v>
      </c>
      <c r="E7" s="118" t="n">
        <f aca="false">(IF('Inputs &amp; Assumptions'!$C$13="",'Inputs &amp; Assumptions'!$C$12,'Inputs &amp; Assumptions'!$C$13))+(0)</f>
        <v>0.05</v>
      </c>
      <c r="F7" s="118" t="n">
        <f aca="false">(IF('Inputs &amp; Assumptions'!$C$13="",'Inputs &amp; Assumptions'!$C$12,'Inputs &amp; Assumptions'!$C$13))+(0.01)</f>
        <v>0.06</v>
      </c>
      <c r="G7" s="118" t="n">
        <f aca="false">(IF('Inputs &amp; Assumptions'!$C$13="",'Inputs &amp; Assumptions'!$C$12,'Inputs &amp; Assumptions'!$C$13))+(0.02)</f>
        <v>0.07</v>
      </c>
    </row>
    <row r="8" customFormat="false" ht="15" hidden="false" customHeight="false" outlineLevel="0" collapsed="false">
      <c r="B8" s="101" t="n">
        <f aca="false">'WACC Schedule'!$C39+(-0.02)</f>
        <v>0.0588672179514766</v>
      </c>
      <c r="C8" s="119" t="n">
        <f aca="false">(((((((('P&amp;L Schedule'!L14)*(1-(IFERROR(Schedules!L107/Schedules!L106,0))))+((-'P&amp;L Schedule'!L13))+((-Schedules!L53))+((Schedules!L45*(1)))))*(1/(1+$B8)^1)+(((('P&amp;L Schedule'!M14)*(1-(IFERROR(Schedules!M107/Schedules!M106,0))))+((-'P&amp;L Schedule'!M13))+((-Schedules!M53))+((Schedules!M45*(1)))))*(1/(1+$B8)^2)+(((('P&amp;L Schedule'!N14)*(1-(IFERROR(Schedules!N107/Schedules!N106,0))))+((-'P&amp;L Schedule'!N13))+((-Schedules!N53))+((Schedules!N45*(1)))))*(1/(1+$B8)^3)+(((('P&amp;L Schedule'!O14)*(1-(IFERROR(Schedules!O107/Schedules!O106,0))))+((-'P&amp;L Schedule'!O13))+((-Schedules!O53))+((Schedules!O45*(1)))))*(1/(1+$B8)^4)+(((('P&amp;L Schedule'!P14)*(1-(IFERROR(Schedules!P107/Schedules!P106,0))))+((-'P&amp;L Schedule'!P13))+((-Schedules!P53))+((Schedules!P45*(1)))))*(1/(1+$B8)^5)+(((('P&amp;L Schedule'!Q14)*(1-(IFERROR(Schedules!Q107/Schedules!Q106,0))))+((-'P&amp;L Schedule'!Q13))+((-Schedules!Q53))+((Schedules!Q45*(1)))))*(1/(1+$B8)^6)+(((('P&amp;L Schedule'!R14)*(1-(IFERROR(Schedules!R107/Schedules!R106,0))))+((-'P&amp;L Schedule'!R13))+((-Schedules!R53))+((Schedules!R45*(1)))))*(1/(1+$B8)^7)+(((('P&amp;L Schedule'!S14)*(1-(IFERROR(Schedules!S107/Schedules!S106,0))))+((-'P&amp;L Schedule'!S13))+((-Schedules!S53))+((Schedules!S45*(1)))))*(1/(1+$B8)^8)+(((('P&amp;L Schedule'!T14)*(1-(IFERROR(Schedules!T107/Schedules!T106,0))))+((-'P&amp;L Schedule'!T13))+((-Schedules!T53))+((Schedules!T45*(1)))))*(1/(1+$B8)^9)+(((('P&amp;L Schedule'!U14)*(1-(IFERROR(Schedules!U107/Schedules!U106,0))))+((-'P&amp;L Schedule'!U13))+((-Schedules!U53))+((Schedules!U45*(1)))))*(1/(1+$B8)^10))+((((('P&amp;L Schedule'!U14)*(1+(C$7))*(1-('Inputs &amp; Assumptions'!$C$73)))*(1-(((C$7)/($B8))))/(($B8)-(C$7))))*(1/(1+$B8)^10))))-(Schedules!$K$93)+(IFERROR(INDEX(HS_CONSOLIDATED!L:L,MATCH("CashAndCashEquivalents",HS_CONSOLIDATED!$C:$C,0)),0)))/'WACC Schedule'!$C7</f>
        <v>77.5900743937186</v>
      </c>
      <c r="D8" s="119" t="n">
        <f aca="false">(((((((('P&amp;L Schedule'!L14)*(1-(IFERROR(Schedules!L107/Schedules!L106,0))))+((-'P&amp;L Schedule'!L13))+((-Schedules!L53))+((Schedules!L45*(1)))))*(1/(1+$B8)^1)+(((('P&amp;L Schedule'!M14)*(1-(IFERROR(Schedules!M107/Schedules!M106,0))))+((-'P&amp;L Schedule'!M13))+((-Schedules!M53))+((Schedules!M45*(1)))))*(1/(1+$B8)^2)+(((('P&amp;L Schedule'!N14)*(1-(IFERROR(Schedules!N107/Schedules!N106,0))))+((-'P&amp;L Schedule'!N13))+((-Schedules!N53))+((Schedules!N45*(1)))))*(1/(1+$B8)^3)+(((('P&amp;L Schedule'!O14)*(1-(IFERROR(Schedules!O107/Schedules!O106,0))))+((-'P&amp;L Schedule'!O13))+((-Schedules!O53))+((Schedules!O45*(1)))))*(1/(1+$B8)^4)+(((('P&amp;L Schedule'!P14)*(1-(IFERROR(Schedules!P107/Schedules!P106,0))))+((-'P&amp;L Schedule'!P13))+((-Schedules!P53))+((Schedules!P45*(1)))))*(1/(1+$B8)^5)+(((('P&amp;L Schedule'!Q14)*(1-(IFERROR(Schedules!Q107/Schedules!Q106,0))))+((-'P&amp;L Schedule'!Q13))+((-Schedules!Q53))+((Schedules!Q45*(1)))))*(1/(1+$B8)^6)+(((('P&amp;L Schedule'!R14)*(1-(IFERROR(Schedules!R107/Schedules!R106,0))))+((-'P&amp;L Schedule'!R13))+((-Schedules!R53))+((Schedules!R45*(1)))))*(1/(1+$B8)^7)+(((('P&amp;L Schedule'!S14)*(1-(IFERROR(Schedules!S107/Schedules!S106,0))))+((-'P&amp;L Schedule'!S13))+((-Schedules!S53))+((Schedules!S45*(1)))))*(1/(1+$B8)^8)+(((('P&amp;L Schedule'!T14)*(1-(IFERROR(Schedules!T107/Schedules!T106,0))))+((-'P&amp;L Schedule'!T13))+((-Schedules!T53))+((Schedules!T45*(1)))))*(1/(1+$B8)^9)+(((('P&amp;L Schedule'!U14)*(1-(IFERROR(Schedules!U107/Schedules!U106,0))))+((-'P&amp;L Schedule'!U13))+((-Schedules!U53))+((Schedules!U45*(1)))))*(1/(1+$B8)^10))+((((('P&amp;L Schedule'!U14)*(1+(D$7))*(1-('Inputs &amp; Assumptions'!$C$73)))*(1-(((D$7)/($B8))))/(($B8)-(D$7))))*(1/(1+$B8)^10))))-(Schedules!$K$93)+(IFERROR(INDEX(HS_CONSOLIDATED!L:L,MATCH("CashAndCashEquivalents",HS_CONSOLIDATED!$C:$C,0)),0)))/'WACC Schedule'!$C7</f>
        <v>78.2261002863507</v>
      </c>
      <c r="E8" s="119" t="n">
        <f aca="false">(((((((('P&amp;L Schedule'!L14)*(1-(IFERROR(Schedules!L107/Schedules!L106,0))))+((-'P&amp;L Schedule'!L13))+((-Schedules!L53))+((Schedules!L45*(1)))))*(1/(1+$B8)^1)+(((('P&amp;L Schedule'!M14)*(1-(IFERROR(Schedules!M107/Schedules!M106,0))))+((-'P&amp;L Schedule'!M13))+((-Schedules!M53))+((Schedules!M45*(1)))))*(1/(1+$B8)^2)+(((('P&amp;L Schedule'!N14)*(1-(IFERROR(Schedules!N107/Schedules!N106,0))))+((-'P&amp;L Schedule'!N13))+((-Schedules!N53))+((Schedules!N45*(1)))))*(1/(1+$B8)^3)+(((('P&amp;L Schedule'!O14)*(1-(IFERROR(Schedules!O107/Schedules!O106,0))))+((-'P&amp;L Schedule'!O13))+((-Schedules!O53))+((Schedules!O45*(1)))))*(1/(1+$B8)^4)+(((('P&amp;L Schedule'!P14)*(1-(IFERROR(Schedules!P107/Schedules!P106,0))))+((-'P&amp;L Schedule'!P13))+((-Schedules!P53))+((Schedules!P45*(1)))))*(1/(1+$B8)^5)+(((('P&amp;L Schedule'!Q14)*(1-(IFERROR(Schedules!Q107/Schedules!Q106,0))))+((-'P&amp;L Schedule'!Q13))+((-Schedules!Q53))+((Schedules!Q45*(1)))))*(1/(1+$B8)^6)+(((('P&amp;L Schedule'!R14)*(1-(IFERROR(Schedules!R107/Schedules!R106,0))))+((-'P&amp;L Schedule'!R13))+((-Schedules!R53))+((Schedules!R45*(1)))))*(1/(1+$B8)^7)+(((('P&amp;L Schedule'!S14)*(1-(IFERROR(Schedules!S107/Schedules!S106,0))))+((-'P&amp;L Schedule'!S13))+((-Schedules!S53))+((Schedules!S45*(1)))))*(1/(1+$B8)^8)+(((('P&amp;L Schedule'!T14)*(1-(IFERROR(Schedules!T107/Schedules!T106,0))))+((-'P&amp;L Schedule'!T13))+((-Schedules!T53))+((Schedules!T45*(1)))))*(1/(1+$B8)^9)+(((('P&amp;L Schedule'!U14)*(1-(IFERROR(Schedules!U107/Schedules!U106,0))))+((-'P&amp;L Schedule'!U13))+((-Schedules!U53))+((Schedules!U45*(1)))))*(1/(1+$B8)^10))+((((('P&amp;L Schedule'!U14)*(1+(E$7))*(1-('Inputs &amp; Assumptions'!$C$73)))*(1-(((E$7)/($B8))))/(($B8)-(E$7))))*(1/(1+$B8)^10))))-(Schedules!$K$93)+(IFERROR(INDEX(HS_CONSOLIDATED!L:L,MATCH("CashAndCashEquivalents",HS_CONSOLIDATED!$C:$C,0)),0)))/'WACC Schedule'!$C7</f>
        <v>78.8621261789828</v>
      </c>
      <c r="F8" s="119" t="n">
        <f aca="false">(((((((('P&amp;L Schedule'!L14)*(1-(IFERROR(Schedules!L107/Schedules!L106,0))))+((-'P&amp;L Schedule'!L13))+((-Schedules!L53))+((Schedules!L45*(1)))))*(1/(1+$B8)^1)+(((('P&amp;L Schedule'!M14)*(1-(IFERROR(Schedules!M107/Schedules!M106,0))))+((-'P&amp;L Schedule'!M13))+((-Schedules!M53))+((Schedules!M45*(1)))))*(1/(1+$B8)^2)+(((('P&amp;L Schedule'!N14)*(1-(IFERROR(Schedules!N107/Schedules!N106,0))))+((-'P&amp;L Schedule'!N13))+((-Schedules!N53))+((Schedules!N45*(1)))))*(1/(1+$B8)^3)+(((('P&amp;L Schedule'!O14)*(1-(IFERROR(Schedules!O107/Schedules!O106,0))))+((-'P&amp;L Schedule'!O13))+((-Schedules!O53))+((Schedules!O45*(1)))))*(1/(1+$B8)^4)+(((('P&amp;L Schedule'!P14)*(1-(IFERROR(Schedules!P107/Schedules!P106,0))))+((-'P&amp;L Schedule'!P13))+((-Schedules!P53))+((Schedules!P45*(1)))))*(1/(1+$B8)^5)+(((('P&amp;L Schedule'!Q14)*(1-(IFERROR(Schedules!Q107/Schedules!Q106,0))))+((-'P&amp;L Schedule'!Q13))+((-Schedules!Q53))+((Schedules!Q45*(1)))))*(1/(1+$B8)^6)+(((('P&amp;L Schedule'!R14)*(1-(IFERROR(Schedules!R107/Schedules!R106,0))))+((-'P&amp;L Schedule'!R13))+((-Schedules!R53))+((Schedules!R45*(1)))))*(1/(1+$B8)^7)+(((('P&amp;L Schedule'!S14)*(1-(IFERROR(Schedules!S107/Schedules!S106,0))))+((-'P&amp;L Schedule'!S13))+((-Schedules!S53))+((Schedules!S45*(1)))))*(1/(1+$B8)^8)+(((('P&amp;L Schedule'!T14)*(1-(IFERROR(Schedules!T107/Schedules!T106,0))))+((-'P&amp;L Schedule'!T13))+((-Schedules!T53))+((Schedules!T45*(1)))))*(1/(1+$B8)^9)+(((('P&amp;L Schedule'!U14)*(1-(IFERROR(Schedules!U107/Schedules!U106,0))))+((-'P&amp;L Schedule'!U13))+((-Schedules!U53))+((Schedules!U45*(1)))))*(1/(1+$B8)^10))+((((('P&amp;L Schedule'!U14)*(1+(F$7))*(1-('Inputs &amp; Assumptions'!$C$73)))*(1-(((F$7)/($B8))))/(($B8)-(F$7))))*(1/(1+$B8)^10))))-(Schedules!$K$93)+(IFERROR(INDEX(HS_CONSOLIDATED!L:L,MATCH("CashAndCashEquivalents",HS_CONSOLIDATED!$C:$C,0)),0)))/'WACC Schedule'!$C7</f>
        <v>79.4981520716148</v>
      </c>
      <c r="G8" s="119" t="n">
        <f aca="false">(((((((('P&amp;L Schedule'!L14)*(1-(IFERROR(Schedules!L107/Schedules!L106,0))))+((-'P&amp;L Schedule'!L13))+((-Schedules!L53))+((Schedules!L45*(1)))))*(1/(1+$B8)^1)+(((('P&amp;L Schedule'!M14)*(1-(IFERROR(Schedules!M107/Schedules!M106,0))))+((-'P&amp;L Schedule'!M13))+((-Schedules!M53))+((Schedules!M45*(1)))))*(1/(1+$B8)^2)+(((('P&amp;L Schedule'!N14)*(1-(IFERROR(Schedules!N107/Schedules!N106,0))))+((-'P&amp;L Schedule'!N13))+((-Schedules!N53))+((Schedules!N45*(1)))))*(1/(1+$B8)^3)+(((('P&amp;L Schedule'!O14)*(1-(IFERROR(Schedules!O107/Schedules!O106,0))))+((-'P&amp;L Schedule'!O13))+((-Schedules!O53))+((Schedules!O45*(1)))))*(1/(1+$B8)^4)+(((('P&amp;L Schedule'!P14)*(1-(IFERROR(Schedules!P107/Schedules!P106,0))))+((-'P&amp;L Schedule'!P13))+((-Schedules!P53))+((Schedules!P45*(1)))))*(1/(1+$B8)^5)+(((('P&amp;L Schedule'!Q14)*(1-(IFERROR(Schedules!Q107/Schedules!Q106,0))))+((-'P&amp;L Schedule'!Q13))+((-Schedules!Q53))+((Schedules!Q45*(1)))))*(1/(1+$B8)^6)+(((('P&amp;L Schedule'!R14)*(1-(IFERROR(Schedules!R107/Schedules!R106,0))))+((-'P&amp;L Schedule'!R13))+((-Schedules!R53))+((Schedules!R45*(1)))))*(1/(1+$B8)^7)+(((('P&amp;L Schedule'!S14)*(1-(IFERROR(Schedules!S107/Schedules!S106,0))))+((-'P&amp;L Schedule'!S13))+((-Schedules!S53))+((Schedules!S45*(1)))))*(1/(1+$B8)^8)+(((('P&amp;L Schedule'!T14)*(1-(IFERROR(Schedules!T107/Schedules!T106,0))))+((-'P&amp;L Schedule'!T13))+((-Schedules!T53))+((Schedules!T45*(1)))))*(1/(1+$B8)^9)+(((('P&amp;L Schedule'!U14)*(1-(IFERROR(Schedules!U107/Schedules!U106,0))))+((-'P&amp;L Schedule'!U13))+((-Schedules!U53))+((Schedules!U45*(1)))))*(1/(1+$B8)^10))+((((('P&amp;L Schedule'!U14)*(1+(G$7))*(1-('Inputs &amp; Assumptions'!$C$73)))*(1-(((G$7)/($B8))))/(($B8)-(G$7))))*(1/(1+$B8)^10))))-(Schedules!$K$93)+(IFERROR(INDEX(HS_CONSOLIDATED!L:L,MATCH("CashAndCashEquivalents",HS_CONSOLIDATED!$C:$C,0)),0)))/'WACC Schedule'!$C7</f>
        <v>80.134177964247</v>
      </c>
    </row>
    <row r="9" customFormat="false" ht="15" hidden="false" customHeight="false" outlineLevel="0" collapsed="false">
      <c r="B9" s="101" t="n">
        <f aca="false">'WACC Schedule'!$C39+(-0.01)</f>
        <v>0.0688672179514766</v>
      </c>
      <c r="C9" s="119" t="n">
        <f aca="false">(((((((('P&amp;L Schedule'!L14)*(1-(IFERROR(Schedules!L107/Schedules!L106,0))))+((-'P&amp;L Schedule'!L13))+((-Schedules!L53))+((Schedules!L45*(1)))))*(1/(1+$B9)^1)+(((('P&amp;L Schedule'!M14)*(1-(IFERROR(Schedules!M107/Schedules!M106,0))))+((-'P&amp;L Schedule'!M13))+((-Schedules!M53))+((Schedules!M45*(1)))))*(1/(1+$B9)^2)+(((('P&amp;L Schedule'!N14)*(1-(IFERROR(Schedules!N107/Schedules!N106,0))))+((-'P&amp;L Schedule'!N13))+((-Schedules!N53))+((Schedules!N45*(1)))))*(1/(1+$B9)^3)+(((('P&amp;L Schedule'!O14)*(1-(IFERROR(Schedules!O107/Schedules!O106,0))))+((-'P&amp;L Schedule'!O13))+((-Schedules!O53))+((Schedules!O45*(1)))))*(1/(1+$B9)^4)+(((('P&amp;L Schedule'!P14)*(1-(IFERROR(Schedules!P107/Schedules!P106,0))))+((-'P&amp;L Schedule'!P13))+((-Schedules!P53))+((Schedules!P45*(1)))))*(1/(1+$B9)^5)+(((('P&amp;L Schedule'!Q14)*(1-(IFERROR(Schedules!Q107/Schedules!Q106,0))))+((-'P&amp;L Schedule'!Q13))+((-Schedules!Q53))+((Schedules!Q45*(1)))))*(1/(1+$B9)^6)+(((('P&amp;L Schedule'!R14)*(1-(IFERROR(Schedules!R107/Schedules!R106,0))))+((-'P&amp;L Schedule'!R13))+((-Schedules!R53))+((Schedules!R45*(1)))))*(1/(1+$B9)^7)+(((('P&amp;L Schedule'!S14)*(1-(IFERROR(Schedules!S107/Schedules!S106,0))))+((-'P&amp;L Schedule'!S13))+((-Schedules!S53))+((Schedules!S45*(1)))))*(1/(1+$B9)^8)+(((('P&amp;L Schedule'!T14)*(1-(IFERROR(Schedules!T107/Schedules!T106,0))))+((-'P&amp;L Schedule'!T13))+((-Schedules!T53))+((Schedules!T45*(1)))))*(1/(1+$B9)^9)+(((('P&amp;L Schedule'!U14)*(1-(IFERROR(Schedules!U107/Schedules!U106,0))))+((-'P&amp;L Schedule'!U13))+((-Schedules!U53))+((Schedules!U45*(1)))))*(1/(1+$B9)^10))+((((('P&amp;L Schedule'!U14)*(1+(C$7))*(1-('Inputs &amp; Assumptions'!$C$73)))*(1-(((C$7)/($B9))))/(($B9)-(C$7))))*(1/(1+$B9)^10))))-(Schedules!$K$93)+(IFERROR(INDEX(HS_CONSOLIDATED!L:L,MATCH("CashAndCashEquivalents",HS_CONSOLIDATED!$C:$C,0)),0)))/'WACC Schedule'!$C7</f>
        <v>62.3145960872819</v>
      </c>
      <c r="D9" s="119" t="n">
        <f aca="false">(((((((('P&amp;L Schedule'!L14)*(1-(IFERROR(Schedules!L107/Schedules!L106,0))))+((-'P&amp;L Schedule'!L13))+((-Schedules!L53))+((Schedules!L45*(1)))))*(1/(1+$B9)^1)+(((('P&amp;L Schedule'!M14)*(1-(IFERROR(Schedules!M107/Schedules!M106,0))))+((-'P&amp;L Schedule'!M13))+((-Schedules!M53))+((Schedules!M45*(1)))))*(1/(1+$B9)^2)+(((('P&amp;L Schedule'!N14)*(1-(IFERROR(Schedules!N107/Schedules!N106,0))))+((-'P&amp;L Schedule'!N13))+((-Schedules!N53))+((Schedules!N45*(1)))))*(1/(1+$B9)^3)+(((('P&amp;L Schedule'!O14)*(1-(IFERROR(Schedules!O107/Schedules!O106,0))))+((-'P&amp;L Schedule'!O13))+((-Schedules!O53))+((Schedules!O45*(1)))))*(1/(1+$B9)^4)+(((('P&amp;L Schedule'!P14)*(1-(IFERROR(Schedules!P107/Schedules!P106,0))))+((-'P&amp;L Schedule'!P13))+((-Schedules!P53))+((Schedules!P45*(1)))))*(1/(1+$B9)^5)+(((('P&amp;L Schedule'!Q14)*(1-(IFERROR(Schedules!Q107/Schedules!Q106,0))))+((-'P&amp;L Schedule'!Q13))+((-Schedules!Q53))+((Schedules!Q45*(1)))))*(1/(1+$B9)^6)+(((('P&amp;L Schedule'!R14)*(1-(IFERROR(Schedules!R107/Schedules!R106,0))))+((-'P&amp;L Schedule'!R13))+((-Schedules!R53))+((Schedules!R45*(1)))))*(1/(1+$B9)^7)+(((('P&amp;L Schedule'!S14)*(1-(IFERROR(Schedules!S107/Schedules!S106,0))))+((-'P&amp;L Schedule'!S13))+((-Schedules!S53))+((Schedules!S45*(1)))))*(1/(1+$B9)^8)+(((('P&amp;L Schedule'!T14)*(1-(IFERROR(Schedules!T107/Schedules!T106,0))))+((-'P&amp;L Schedule'!T13))+((-Schedules!T53))+((Schedules!T45*(1)))))*(1/(1+$B9)^9)+(((('P&amp;L Schedule'!U14)*(1-(IFERROR(Schedules!U107/Schedules!U106,0))))+((-'P&amp;L Schedule'!U13))+((-Schedules!U53))+((Schedules!U45*(1)))))*(1/(1+$B9)^10))+((((('P&amp;L Schedule'!U14)*(1+(D$7))*(1-('Inputs &amp; Assumptions'!$C$73)))*(1-(((D$7)/($B9))))/(($B9)-(D$7))))*(1/(1+$B9)^10))))-(Schedules!$K$93)+(IFERROR(INDEX(HS_CONSOLIDATED!L:L,MATCH("CashAndCashEquivalents",HS_CONSOLIDATED!$C:$C,0)),0)))/'WACC Schedule'!$C7</f>
        <v>62.809491266363</v>
      </c>
      <c r="E9" s="119" t="n">
        <f aca="false">(((((((('P&amp;L Schedule'!L14)*(1-(IFERROR(Schedules!L107/Schedules!L106,0))))+((-'P&amp;L Schedule'!L13))+((-Schedules!L53))+((Schedules!L45*(1)))))*(1/(1+$B9)^1)+(((('P&amp;L Schedule'!M14)*(1-(IFERROR(Schedules!M107/Schedules!M106,0))))+((-'P&amp;L Schedule'!M13))+((-Schedules!M53))+((Schedules!M45*(1)))))*(1/(1+$B9)^2)+(((('P&amp;L Schedule'!N14)*(1-(IFERROR(Schedules!N107/Schedules!N106,0))))+((-'P&amp;L Schedule'!N13))+((-Schedules!N53))+((Schedules!N45*(1)))))*(1/(1+$B9)^3)+(((('P&amp;L Schedule'!O14)*(1-(IFERROR(Schedules!O107/Schedules!O106,0))))+((-'P&amp;L Schedule'!O13))+((-Schedules!O53))+((Schedules!O45*(1)))))*(1/(1+$B9)^4)+(((('P&amp;L Schedule'!P14)*(1-(IFERROR(Schedules!P107/Schedules!P106,0))))+((-'P&amp;L Schedule'!P13))+((-Schedules!P53))+((Schedules!P45*(1)))))*(1/(1+$B9)^5)+(((('P&amp;L Schedule'!Q14)*(1-(IFERROR(Schedules!Q107/Schedules!Q106,0))))+((-'P&amp;L Schedule'!Q13))+((-Schedules!Q53))+((Schedules!Q45*(1)))))*(1/(1+$B9)^6)+(((('P&amp;L Schedule'!R14)*(1-(IFERROR(Schedules!R107/Schedules!R106,0))))+((-'P&amp;L Schedule'!R13))+((-Schedules!R53))+((Schedules!R45*(1)))))*(1/(1+$B9)^7)+(((('P&amp;L Schedule'!S14)*(1-(IFERROR(Schedules!S107/Schedules!S106,0))))+((-'P&amp;L Schedule'!S13))+((-Schedules!S53))+((Schedules!S45*(1)))))*(1/(1+$B9)^8)+(((('P&amp;L Schedule'!T14)*(1-(IFERROR(Schedules!T107/Schedules!T106,0))))+((-'P&amp;L Schedule'!T13))+((-Schedules!T53))+((Schedules!T45*(1)))))*(1/(1+$B9)^9)+(((('P&amp;L Schedule'!U14)*(1-(IFERROR(Schedules!U107/Schedules!U106,0))))+((-'P&amp;L Schedule'!U13))+((-Schedules!U53))+((Schedules!U45*(1)))))*(1/(1+$B9)^10))+((((('P&amp;L Schedule'!U14)*(1+(E$7))*(1-('Inputs &amp; Assumptions'!$C$73)))*(1-(((E$7)/($B9))))/(($B9)-(E$7))))*(1/(1+$B9)^10))))-(Schedules!$K$93)+(IFERROR(INDEX(HS_CONSOLIDATED!L:L,MATCH("CashAndCashEquivalents",HS_CONSOLIDATED!$C:$C,0)),0)))/'WACC Schedule'!$C7</f>
        <v>63.3043864454441</v>
      </c>
      <c r="F9" s="119" t="n">
        <f aca="false">(((((((('P&amp;L Schedule'!L14)*(1-(IFERROR(Schedules!L107/Schedules!L106,0))))+((-'P&amp;L Schedule'!L13))+((-Schedules!L53))+((Schedules!L45*(1)))))*(1/(1+$B9)^1)+(((('P&amp;L Schedule'!M14)*(1-(IFERROR(Schedules!M107/Schedules!M106,0))))+((-'P&amp;L Schedule'!M13))+((-Schedules!M53))+((Schedules!M45*(1)))))*(1/(1+$B9)^2)+(((('P&amp;L Schedule'!N14)*(1-(IFERROR(Schedules!N107/Schedules!N106,0))))+((-'P&amp;L Schedule'!N13))+((-Schedules!N53))+((Schedules!N45*(1)))))*(1/(1+$B9)^3)+(((('P&amp;L Schedule'!O14)*(1-(IFERROR(Schedules!O107/Schedules!O106,0))))+((-'P&amp;L Schedule'!O13))+((-Schedules!O53))+((Schedules!O45*(1)))))*(1/(1+$B9)^4)+(((('P&amp;L Schedule'!P14)*(1-(IFERROR(Schedules!P107/Schedules!P106,0))))+((-'P&amp;L Schedule'!P13))+((-Schedules!P53))+((Schedules!P45*(1)))))*(1/(1+$B9)^5)+(((('P&amp;L Schedule'!Q14)*(1-(IFERROR(Schedules!Q107/Schedules!Q106,0))))+((-'P&amp;L Schedule'!Q13))+((-Schedules!Q53))+((Schedules!Q45*(1)))))*(1/(1+$B9)^6)+(((('P&amp;L Schedule'!R14)*(1-(IFERROR(Schedules!R107/Schedules!R106,0))))+((-'P&amp;L Schedule'!R13))+((-Schedules!R53))+((Schedules!R45*(1)))))*(1/(1+$B9)^7)+(((('P&amp;L Schedule'!S14)*(1-(IFERROR(Schedules!S107/Schedules!S106,0))))+((-'P&amp;L Schedule'!S13))+((-Schedules!S53))+((Schedules!S45*(1)))))*(1/(1+$B9)^8)+(((('P&amp;L Schedule'!T14)*(1-(IFERROR(Schedules!T107/Schedules!T106,0))))+((-'P&amp;L Schedule'!T13))+((-Schedules!T53))+((Schedules!T45*(1)))))*(1/(1+$B9)^9)+(((('P&amp;L Schedule'!U14)*(1-(IFERROR(Schedules!U107/Schedules!U106,0))))+((-'P&amp;L Schedule'!U13))+((-Schedules!U53))+((Schedules!U45*(1)))))*(1/(1+$B9)^10))+((((('P&amp;L Schedule'!U14)*(1+(F$7))*(1-('Inputs &amp; Assumptions'!$C$73)))*(1-(((F$7)/($B9))))/(($B9)-(F$7))))*(1/(1+$B9)^10))))-(Schedules!$K$93)+(IFERROR(INDEX(HS_CONSOLIDATED!L:L,MATCH("CashAndCashEquivalents",HS_CONSOLIDATED!$C:$C,0)),0)))/'WACC Schedule'!$C7</f>
        <v>63.7992816245253</v>
      </c>
      <c r="G9" s="119" t="n">
        <f aca="false">(((((((('P&amp;L Schedule'!L14)*(1-(IFERROR(Schedules!L107/Schedules!L106,0))))+((-'P&amp;L Schedule'!L13))+((-Schedules!L53))+((Schedules!L45*(1)))))*(1/(1+$B9)^1)+(((('P&amp;L Schedule'!M14)*(1-(IFERROR(Schedules!M107/Schedules!M106,0))))+((-'P&amp;L Schedule'!M13))+((-Schedules!M53))+((Schedules!M45*(1)))))*(1/(1+$B9)^2)+(((('P&amp;L Schedule'!N14)*(1-(IFERROR(Schedules!N107/Schedules!N106,0))))+((-'P&amp;L Schedule'!N13))+((-Schedules!N53))+((Schedules!N45*(1)))))*(1/(1+$B9)^3)+(((('P&amp;L Schedule'!O14)*(1-(IFERROR(Schedules!O107/Schedules!O106,0))))+((-'P&amp;L Schedule'!O13))+((-Schedules!O53))+((Schedules!O45*(1)))))*(1/(1+$B9)^4)+(((('P&amp;L Schedule'!P14)*(1-(IFERROR(Schedules!P107/Schedules!P106,0))))+((-'P&amp;L Schedule'!P13))+((-Schedules!P53))+((Schedules!P45*(1)))))*(1/(1+$B9)^5)+(((('P&amp;L Schedule'!Q14)*(1-(IFERROR(Schedules!Q107/Schedules!Q106,0))))+((-'P&amp;L Schedule'!Q13))+((-Schedules!Q53))+((Schedules!Q45*(1)))))*(1/(1+$B9)^6)+(((('P&amp;L Schedule'!R14)*(1-(IFERROR(Schedules!R107/Schedules!R106,0))))+((-'P&amp;L Schedule'!R13))+((-Schedules!R53))+((Schedules!R45*(1)))))*(1/(1+$B9)^7)+(((('P&amp;L Schedule'!S14)*(1-(IFERROR(Schedules!S107/Schedules!S106,0))))+((-'P&amp;L Schedule'!S13))+((-Schedules!S53))+((Schedules!S45*(1)))))*(1/(1+$B9)^8)+(((('P&amp;L Schedule'!T14)*(1-(IFERROR(Schedules!T107/Schedules!T106,0))))+((-'P&amp;L Schedule'!T13))+((-Schedules!T53))+((Schedules!T45*(1)))))*(1/(1+$B9)^9)+(((('P&amp;L Schedule'!U14)*(1-(IFERROR(Schedules!U107/Schedules!U106,0))))+((-'P&amp;L Schedule'!U13))+((-Schedules!U53))+((Schedules!U45*(1)))))*(1/(1+$B9)^10))+((((('P&amp;L Schedule'!U14)*(1+(G$7))*(1-('Inputs &amp; Assumptions'!$C$73)))*(1-(((G$7)/($B9))))/(($B9)-(G$7))))*(1/(1+$B9)^10))))-(Schedules!$K$93)+(IFERROR(INDEX(HS_CONSOLIDATED!L:L,MATCH("CashAndCashEquivalents",HS_CONSOLIDATED!$C:$C,0)),0)))/'WACC Schedule'!$C7</f>
        <v>64.2941768036064</v>
      </c>
    </row>
    <row r="10" customFormat="false" ht="15" hidden="false" customHeight="false" outlineLevel="0" collapsed="false">
      <c r="B10" s="101" t="n">
        <f aca="false">'WACC Schedule'!$C39+(0)</f>
        <v>0.0788672179514766</v>
      </c>
      <c r="C10" s="119" t="n">
        <f aca="false">(((((((('P&amp;L Schedule'!L14)*(1-(IFERROR(Schedules!L107/Schedules!L106,0))))+((-'P&amp;L Schedule'!L13))+((-Schedules!L53))+((Schedules!L45*(1)))))*(1/(1+$B10)^1)+(((('P&amp;L Schedule'!M14)*(1-(IFERROR(Schedules!M107/Schedules!M106,0))))+((-'P&amp;L Schedule'!M13))+((-Schedules!M53))+((Schedules!M45*(1)))))*(1/(1+$B10)^2)+(((('P&amp;L Schedule'!N14)*(1-(IFERROR(Schedules!N107/Schedules!N106,0))))+((-'P&amp;L Schedule'!N13))+((-Schedules!N53))+((Schedules!N45*(1)))))*(1/(1+$B10)^3)+(((('P&amp;L Schedule'!O14)*(1-(IFERROR(Schedules!O107/Schedules!O106,0))))+((-'P&amp;L Schedule'!O13))+((-Schedules!O53))+((Schedules!O45*(1)))))*(1/(1+$B10)^4)+(((('P&amp;L Schedule'!P14)*(1-(IFERROR(Schedules!P107/Schedules!P106,0))))+((-'P&amp;L Schedule'!P13))+((-Schedules!P53))+((Schedules!P45*(1)))))*(1/(1+$B10)^5)+(((('P&amp;L Schedule'!Q14)*(1-(IFERROR(Schedules!Q107/Schedules!Q106,0))))+((-'P&amp;L Schedule'!Q13))+((-Schedules!Q53))+((Schedules!Q45*(1)))))*(1/(1+$B10)^6)+(((('P&amp;L Schedule'!R14)*(1-(IFERROR(Schedules!R107/Schedules!R106,0))))+((-'P&amp;L Schedule'!R13))+((-Schedules!R53))+((Schedules!R45*(1)))))*(1/(1+$B10)^7)+(((('P&amp;L Schedule'!S14)*(1-(IFERROR(Schedules!S107/Schedules!S106,0))))+((-'P&amp;L Schedule'!S13))+((-Schedules!S53))+((Schedules!S45*(1)))))*(1/(1+$B10)^8)+(((('P&amp;L Schedule'!T14)*(1-(IFERROR(Schedules!T107/Schedules!T106,0))))+((-'P&amp;L Schedule'!T13))+((-Schedules!T53))+((Schedules!T45*(1)))))*(1/(1+$B10)^9)+(((('P&amp;L Schedule'!U14)*(1-(IFERROR(Schedules!U107/Schedules!U106,0))))+((-'P&amp;L Schedule'!U13))+((-Schedules!U53))+((Schedules!U45*(1)))))*(1/(1+$B10)^10))+((((('P&amp;L Schedule'!U14)*(1+(C$7))*(1-('Inputs &amp; Assumptions'!$C$73)))*(1-(((C$7)/($B10))))/(($B10)-(C$7))))*(1/(1+$B10)^10))))-(Schedules!$K$93)+(IFERROR(INDEX(HS_CONSOLIDATED!L:L,MATCH("CashAndCashEquivalents",HS_CONSOLIDATED!$C:$C,0)),0)))/'WACC Schedule'!$C7</f>
        <v>51.2137743522788</v>
      </c>
      <c r="D10" s="119" t="n">
        <f aca="false">(((((((('P&amp;L Schedule'!L14)*(1-(IFERROR(Schedules!L107/Schedules!L106,0))))+((-'P&amp;L Schedule'!L13))+((-Schedules!L53))+((Schedules!L45*(1)))))*(1/(1+$B10)^1)+(((('P&amp;L Schedule'!M14)*(1-(IFERROR(Schedules!M107/Schedules!M106,0))))+((-'P&amp;L Schedule'!M13))+((-Schedules!M53))+((Schedules!M45*(1)))))*(1/(1+$B10)^2)+(((('P&amp;L Schedule'!N14)*(1-(IFERROR(Schedules!N107/Schedules!N106,0))))+((-'P&amp;L Schedule'!N13))+((-Schedules!N53))+((Schedules!N45*(1)))))*(1/(1+$B10)^3)+(((('P&amp;L Schedule'!O14)*(1-(IFERROR(Schedules!O107/Schedules!O106,0))))+((-'P&amp;L Schedule'!O13))+((-Schedules!O53))+((Schedules!O45*(1)))))*(1/(1+$B10)^4)+(((('P&amp;L Schedule'!P14)*(1-(IFERROR(Schedules!P107/Schedules!P106,0))))+((-'P&amp;L Schedule'!P13))+((-Schedules!P53))+((Schedules!P45*(1)))))*(1/(1+$B10)^5)+(((('P&amp;L Schedule'!Q14)*(1-(IFERROR(Schedules!Q107/Schedules!Q106,0))))+((-'P&amp;L Schedule'!Q13))+((-Schedules!Q53))+((Schedules!Q45*(1)))))*(1/(1+$B10)^6)+(((('P&amp;L Schedule'!R14)*(1-(IFERROR(Schedules!R107/Schedules!R106,0))))+((-'P&amp;L Schedule'!R13))+((-Schedules!R53))+((Schedules!R45*(1)))))*(1/(1+$B10)^7)+(((('P&amp;L Schedule'!S14)*(1-(IFERROR(Schedules!S107/Schedules!S106,0))))+((-'P&amp;L Schedule'!S13))+((-Schedules!S53))+((Schedules!S45*(1)))))*(1/(1+$B10)^8)+(((('P&amp;L Schedule'!T14)*(1-(IFERROR(Schedules!T107/Schedules!T106,0))))+((-'P&amp;L Schedule'!T13))+((-Schedules!T53))+((Schedules!T45*(1)))))*(1/(1+$B10)^9)+(((('P&amp;L Schedule'!U14)*(1-(IFERROR(Schedules!U107/Schedules!U106,0))))+((-'P&amp;L Schedule'!U13))+((-Schedules!U53))+((Schedules!U45*(1)))))*(1/(1+$B10)^10))+((((('P&amp;L Schedule'!U14)*(1+(D$7))*(1-('Inputs &amp; Assumptions'!$C$73)))*(1-(((D$7)/($B10))))/(($B10)-(D$7))))*(1/(1+$B10)^10))))-(Schedules!$K$93)+(IFERROR(INDEX(HS_CONSOLIDATED!L:L,MATCH("CashAndCashEquivalents",HS_CONSOLIDATED!$C:$C,0)),0)))/'WACC Schedule'!$C7</f>
        <v>51.6074937808451</v>
      </c>
      <c r="E10" s="119" t="n">
        <f aca="false">(((((((('P&amp;L Schedule'!L14)*(1-(IFERROR(Schedules!L107/Schedules!L106,0))))+((-'P&amp;L Schedule'!L13))+((-Schedules!L53))+((Schedules!L45*(1)))))*(1/(1+$B10)^1)+(((('P&amp;L Schedule'!M14)*(1-(IFERROR(Schedules!M107/Schedules!M106,0))))+((-'P&amp;L Schedule'!M13))+((-Schedules!M53))+((Schedules!M45*(1)))))*(1/(1+$B10)^2)+(((('P&amp;L Schedule'!N14)*(1-(IFERROR(Schedules!N107/Schedules!N106,0))))+((-'P&amp;L Schedule'!N13))+((-Schedules!N53))+((Schedules!N45*(1)))))*(1/(1+$B10)^3)+(((('P&amp;L Schedule'!O14)*(1-(IFERROR(Schedules!O107/Schedules!O106,0))))+((-'P&amp;L Schedule'!O13))+((-Schedules!O53))+((Schedules!O45*(1)))))*(1/(1+$B10)^4)+(((('P&amp;L Schedule'!P14)*(1-(IFERROR(Schedules!P107/Schedules!P106,0))))+((-'P&amp;L Schedule'!P13))+((-Schedules!P53))+((Schedules!P45*(1)))))*(1/(1+$B10)^5)+(((('P&amp;L Schedule'!Q14)*(1-(IFERROR(Schedules!Q107/Schedules!Q106,0))))+((-'P&amp;L Schedule'!Q13))+((-Schedules!Q53))+((Schedules!Q45*(1)))))*(1/(1+$B10)^6)+(((('P&amp;L Schedule'!R14)*(1-(IFERROR(Schedules!R107/Schedules!R106,0))))+((-'P&amp;L Schedule'!R13))+((-Schedules!R53))+((Schedules!R45*(1)))))*(1/(1+$B10)^7)+(((('P&amp;L Schedule'!S14)*(1-(IFERROR(Schedules!S107/Schedules!S106,0))))+((-'P&amp;L Schedule'!S13))+((-Schedules!S53))+((Schedules!S45*(1)))))*(1/(1+$B10)^8)+(((('P&amp;L Schedule'!T14)*(1-(IFERROR(Schedules!T107/Schedules!T106,0))))+((-'P&amp;L Schedule'!T13))+((-Schedules!T53))+((Schedules!T45*(1)))))*(1/(1+$B10)^9)+(((('P&amp;L Schedule'!U14)*(1-(IFERROR(Schedules!U107/Schedules!U106,0))))+((-'P&amp;L Schedule'!U13))+((-Schedules!U53))+((Schedules!U45*(1)))))*(1/(1+$B10)^10))+((((('P&amp;L Schedule'!U14)*(1+(E$7))*(1-('Inputs &amp; Assumptions'!$C$73)))*(1-(((E$7)/($B10))))/(($B10)-(E$7))))*(1/(1+$B10)^10))))-(Schedules!$K$93)+(IFERROR(INDEX(HS_CONSOLIDATED!L:L,MATCH("CashAndCashEquivalents",HS_CONSOLIDATED!$C:$C,0)),0)))/'WACC Schedule'!$C7</f>
        <v>52.0012132094114</v>
      </c>
      <c r="F10" s="119" t="n">
        <f aca="false">(((((((('P&amp;L Schedule'!L14)*(1-(IFERROR(Schedules!L107/Schedules!L106,0))))+((-'P&amp;L Schedule'!L13))+((-Schedules!L53))+((Schedules!L45*(1)))))*(1/(1+$B10)^1)+(((('P&amp;L Schedule'!M14)*(1-(IFERROR(Schedules!M107/Schedules!M106,0))))+((-'P&amp;L Schedule'!M13))+((-Schedules!M53))+((Schedules!M45*(1)))))*(1/(1+$B10)^2)+(((('P&amp;L Schedule'!N14)*(1-(IFERROR(Schedules!N107/Schedules!N106,0))))+((-'P&amp;L Schedule'!N13))+((-Schedules!N53))+((Schedules!N45*(1)))))*(1/(1+$B10)^3)+(((('P&amp;L Schedule'!O14)*(1-(IFERROR(Schedules!O107/Schedules!O106,0))))+((-'P&amp;L Schedule'!O13))+((-Schedules!O53))+((Schedules!O45*(1)))))*(1/(1+$B10)^4)+(((('P&amp;L Schedule'!P14)*(1-(IFERROR(Schedules!P107/Schedules!P106,0))))+((-'P&amp;L Schedule'!P13))+((-Schedules!P53))+((Schedules!P45*(1)))))*(1/(1+$B10)^5)+(((('P&amp;L Schedule'!Q14)*(1-(IFERROR(Schedules!Q107/Schedules!Q106,0))))+((-'P&amp;L Schedule'!Q13))+((-Schedules!Q53))+((Schedules!Q45*(1)))))*(1/(1+$B10)^6)+(((('P&amp;L Schedule'!R14)*(1-(IFERROR(Schedules!R107/Schedules!R106,0))))+((-'P&amp;L Schedule'!R13))+((-Schedules!R53))+((Schedules!R45*(1)))))*(1/(1+$B10)^7)+(((('P&amp;L Schedule'!S14)*(1-(IFERROR(Schedules!S107/Schedules!S106,0))))+((-'P&amp;L Schedule'!S13))+((-Schedules!S53))+((Schedules!S45*(1)))))*(1/(1+$B10)^8)+(((('P&amp;L Schedule'!T14)*(1-(IFERROR(Schedules!T107/Schedules!T106,0))))+((-'P&amp;L Schedule'!T13))+((-Schedules!T53))+((Schedules!T45*(1)))))*(1/(1+$B10)^9)+(((('P&amp;L Schedule'!U14)*(1-(IFERROR(Schedules!U107/Schedules!U106,0))))+((-'P&amp;L Schedule'!U13))+((-Schedules!U53))+((Schedules!U45*(1)))))*(1/(1+$B10)^10))+((((('P&amp;L Schedule'!U14)*(1+(F$7))*(1-('Inputs &amp; Assumptions'!$C$73)))*(1-(((F$7)/($B10))))/(($B10)-(F$7))))*(1/(1+$B10)^10))))-(Schedules!$K$93)+(IFERROR(INDEX(HS_CONSOLIDATED!L:L,MATCH("CashAndCashEquivalents",HS_CONSOLIDATED!$C:$C,0)),0)))/'WACC Schedule'!$C7</f>
        <v>52.3949326379777</v>
      </c>
      <c r="G10" s="119" t="n">
        <f aca="false">(((((((('P&amp;L Schedule'!L14)*(1-(IFERROR(Schedules!L107/Schedules!L106,0))))+((-'P&amp;L Schedule'!L13))+((-Schedules!L53))+((Schedules!L45*(1)))))*(1/(1+$B10)^1)+(((('P&amp;L Schedule'!M14)*(1-(IFERROR(Schedules!M107/Schedules!M106,0))))+((-'P&amp;L Schedule'!M13))+((-Schedules!M53))+((Schedules!M45*(1)))))*(1/(1+$B10)^2)+(((('P&amp;L Schedule'!N14)*(1-(IFERROR(Schedules!N107/Schedules!N106,0))))+((-'P&amp;L Schedule'!N13))+((-Schedules!N53))+((Schedules!N45*(1)))))*(1/(1+$B10)^3)+(((('P&amp;L Schedule'!O14)*(1-(IFERROR(Schedules!O107/Schedules!O106,0))))+((-'P&amp;L Schedule'!O13))+((-Schedules!O53))+((Schedules!O45*(1)))))*(1/(1+$B10)^4)+(((('P&amp;L Schedule'!P14)*(1-(IFERROR(Schedules!P107/Schedules!P106,0))))+((-'P&amp;L Schedule'!P13))+((-Schedules!P53))+((Schedules!P45*(1)))))*(1/(1+$B10)^5)+(((('P&amp;L Schedule'!Q14)*(1-(IFERROR(Schedules!Q107/Schedules!Q106,0))))+((-'P&amp;L Schedule'!Q13))+((-Schedules!Q53))+((Schedules!Q45*(1)))))*(1/(1+$B10)^6)+(((('P&amp;L Schedule'!R14)*(1-(IFERROR(Schedules!R107/Schedules!R106,0))))+((-'P&amp;L Schedule'!R13))+((-Schedules!R53))+((Schedules!R45*(1)))))*(1/(1+$B10)^7)+(((('P&amp;L Schedule'!S14)*(1-(IFERROR(Schedules!S107/Schedules!S106,0))))+((-'P&amp;L Schedule'!S13))+((-Schedules!S53))+((Schedules!S45*(1)))))*(1/(1+$B10)^8)+(((('P&amp;L Schedule'!T14)*(1-(IFERROR(Schedules!T107/Schedules!T106,0))))+((-'P&amp;L Schedule'!T13))+((-Schedules!T53))+((Schedules!T45*(1)))))*(1/(1+$B10)^9)+(((('P&amp;L Schedule'!U14)*(1-(IFERROR(Schedules!U107/Schedules!U106,0))))+((-'P&amp;L Schedule'!U13))+((-Schedules!U53))+((Schedules!U45*(1)))))*(1/(1+$B10)^10))+((((('P&amp;L Schedule'!U14)*(1+(G$7))*(1-('Inputs &amp; Assumptions'!$C$73)))*(1-(((G$7)/($B10))))/(($B10)-(G$7))))*(1/(1+$B10)^10))))-(Schedules!$K$93)+(IFERROR(INDEX(HS_CONSOLIDATED!L:L,MATCH("CashAndCashEquivalents",HS_CONSOLIDATED!$C:$C,0)),0)))/'WACC Schedule'!$C7</f>
        <v>52.788652066544</v>
      </c>
    </row>
    <row r="11" customFormat="false" ht="15" hidden="false" customHeight="false" outlineLevel="0" collapsed="false">
      <c r="B11" s="101" t="n">
        <f aca="false">'WACC Schedule'!$C39+(0.01)</f>
        <v>0.0888672179514766</v>
      </c>
      <c r="C11" s="119" t="n">
        <f aca="false">(((((((('P&amp;L Schedule'!L14)*(1-(IFERROR(Schedules!L107/Schedules!L106,0))))+((-'P&amp;L Schedule'!L13))+((-Schedules!L53))+((Schedules!L45*(1)))))*(1/(1+$B11)^1)+(((('P&amp;L Schedule'!M14)*(1-(IFERROR(Schedules!M107/Schedules!M106,0))))+((-'P&amp;L Schedule'!M13))+((-Schedules!M53))+((Schedules!M45*(1)))))*(1/(1+$B11)^2)+(((('P&amp;L Schedule'!N14)*(1-(IFERROR(Schedules!N107/Schedules!N106,0))))+((-'P&amp;L Schedule'!N13))+((-Schedules!N53))+((Schedules!N45*(1)))))*(1/(1+$B11)^3)+(((('P&amp;L Schedule'!O14)*(1-(IFERROR(Schedules!O107/Schedules!O106,0))))+((-'P&amp;L Schedule'!O13))+((-Schedules!O53))+((Schedules!O45*(1)))))*(1/(1+$B11)^4)+(((('P&amp;L Schedule'!P14)*(1-(IFERROR(Schedules!P107/Schedules!P106,0))))+((-'P&amp;L Schedule'!P13))+((-Schedules!P53))+((Schedules!P45*(1)))))*(1/(1+$B11)^5)+(((('P&amp;L Schedule'!Q14)*(1-(IFERROR(Schedules!Q107/Schedules!Q106,0))))+((-'P&amp;L Schedule'!Q13))+((-Schedules!Q53))+((Schedules!Q45*(1)))))*(1/(1+$B11)^6)+(((('P&amp;L Schedule'!R14)*(1-(IFERROR(Schedules!R107/Schedules!R106,0))))+((-'P&amp;L Schedule'!R13))+((-Schedules!R53))+((Schedules!R45*(1)))))*(1/(1+$B11)^7)+(((('P&amp;L Schedule'!S14)*(1-(IFERROR(Schedules!S107/Schedules!S106,0))))+((-'P&amp;L Schedule'!S13))+((-Schedules!S53))+((Schedules!S45*(1)))))*(1/(1+$B11)^8)+(((('P&amp;L Schedule'!T14)*(1-(IFERROR(Schedules!T107/Schedules!T106,0))))+((-'P&amp;L Schedule'!T13))+((-Schedules!T53))+((Schedules!T45*(1)))))*(1/(1+$B11)^9)+(((('P&amp;L Schedule'!U14)*(1-(IFERROR(Schedules!U107/Schedules!U106,0))))+((-'P&amp;L Schedule'!U13))+((-Schedules!U53))+((Schedules!U45*(1)))))*(1/(1+$B11)^10))+((((('P&amp;L Schedule'!U14)*(1+(C$7))*(1-('Inputs &amp; Assumptions'!$C$73)))*(1-(((C$7)/($B11))))/(($B11)-(C$7))))*(1/(1+$B11)^10))))-(Schedules!$K$93)+(IFERROR(INDEX(HS_CONSOLIDATED!L:L,MATCH("CashAndCashEquivalents",HS_CONSOLIDATED!$C:$C,0)),0)))/'WACC Schedule'!$C7</f>
        <v>42.8526125007988</v>
      </c>
      <c r="D11" s="119" t="n">
        <f aca="false">(((((((('P&amp;L Schedule'!L14)*(1-(IFERROR(Schedules!L107/Schedules!L106,0))))+((-'P&amp;L Schedule'!L13))+((-Schedules!L53))+((Schedules!L45*(1)))))*(1/(1+$B11)^1)+(((('P&amp;L Schedule'!M14)*(1-(IFERROR(Schedules!M107/Schedules!M106,0))))+((-'P&amp;L Schedule'!M13))+((-Schedules!M53))+((Schedules!M45*(1)))))*(1/(1+$B11)^2)+(((('P&amp;L Schedule'!N14)*(1-(IFERROR(Schedules!N107/Schedules!N106,0))))+((-'P&amp;L Schedule'!N13))+((-Schedules!N53))+((Schedules!N45*(1)))))*(1/(1+$B11)^3)+(((('P&amp;L Schedule'!O14)*(1-(IFERROR(Schedules!O107/Schedules!O106,0))))+((-'P&amp;L Schedule'!O13))+((-Schedules!O53))+((Schedules!O45*(1)))))*(1/(1+$B11)^4)+(((('P&amp;L Schedule'!P14)*(1-(IFERROR(Schedules!P107/Schedules!P106,0))))+((-'P&amp;L Schedule'!P13))+((-Schedules!P53))+((Schedules!P45*(1)))))*(1/(1+$B11)^5)+(((('P&amp;L Schedule'!Q14)*(1-(IFERROR(Schedules!Q107/Schedules!Q106,0))))+((-'P&amp;L Schedule'!Q13))+((-Schedules!Q53))+((Schedules!Q45*(1)))))*(1/(1+$B11)^6)+(((('P&amp;L Schedule'!R14)*(1-(IFERROR(Schedules!R107/Schedules!R106,0))))+((-'P&amp;L Schedule'!R13))+((-Schedules!R53))+((Schedules!R45*(1)))))*(1/(1+$B11)^7)+(((('P&amp;L Schedule'!S14)*(1-(IFERROR(Schedules!S107/Schedules!S106,0))))+((-'P&amp;L Schedule'!S13))+((-Schedules!S53))+((Schedules!S45*(1)))))*(1/(1+$B11)^8)+(((('P&amp;L Schedule'!T14)*(1-(IFERROR(Schedules!T107/Schedules!T106,0))))+((-'P&amp;L Schedule'!T13))+((-Schedules!T53))+((Schedules!T45*(1)))))*(1/(1+$B11)^9)+(((('P&amp;L Schedule'!U14)*(1-(IFERROR(Schedules!U107/Schedules!U106,0))))+((-'P&amp;L Schedule'!U13))+((-Schedules!U53))+((Schedules!U45*(1)))))*(1/(1+$B11)^10))+((((('P&amp;L Schedule'!U14)*(1+(D$7))*(1-('Inputs &amp; Assumptions'!$C$73)))*(1-(((D$7)/($B11))))/(($B11)-(D$7))))*(1/(1+$B11)^10))))-(Schedules!$K$93)+(IFERROR(INDEX(HS_CONSOLIDATED!L:L,MATCH("CashAndCashEquivalents",HS_CONSOLIDATED!$C:$C,0)),0)))/'WACC Schedule'!$C7</f>
        <v>43.171232127117</v>
      </c>
      <c r="E11" s="119" t="n">
        <f aca="false">(((((((('P&amp;L Schedule'!L14)*(1-(IFERROR(Schedules!L107/Schedules!L106,0))))+((-'P&amp;L Schedule'!L13))+((-Schedules!L53))+((Schedules!L45*(1)))))*(1/(1+$B11)^1)+(((('P&amp;L Schedule'!M14)*(1-(IFERROR(Schedules!M107/Schedules!M106,0))))+((-'P&amp;L Schedule'!M13))+((-Schedules!M53))+((Schedules!M45*(1)))))*(1/(1+$B11)^2)+(((('P&amp;L Schedule'!N14)*(1-(IFERROR(Schedules!N107/Schedules!N106,0))))+((-'P&amp;L Schedule'!N13))+((-Schedules!N53))+((Schedules!N45*(1)))))*(1/(1+$B11)^3)+(((('P&amp;L Schedule'!O14)*(1-(IFERROR(Schedules!O107/Schedules!O106,0))))+((-'P&amp;L Schedule'!O13))+((-Schedules!O53))+((Schedules!O45*(1)))))*(1/(1+$B11)^4)+(((('P&amp;L Schedule'!P14)*(1-(IFERROR(Schedules!P107/Schedules!P106,0))))+((-'P&amp;L Schedule'!P13))+((-Schedules!P53))+((Schedules!P45*(1)))))*(1/(1+$B11)^5)+(((('P&amp;L Schedule'!Q14)*(1-(IFERROR(Schedules!Q107/Schedules!Q106,0))))+((-'P&amp;L Schedule'!Q13))+((-Schedules!Q53))+((Schedules!Q45*(1)))))*(1/(1+$B11)^6)+(((('P&amp;L Schedule'!R14)*(1-(IFERROR(Schedules!R107/Schedules!R106,0))))+((-'P&amp;L Schedule'!R13))+((-Schedules!R53))+((Schedules!R45*(1)))))*(1/(1+$B11)^7)+(((('P&amp;L Schedule'!S14)*(1-(IFERROR(Schedules!S107/Schedules!S106,0))))+((-'P&amp;L Schedule'!S13))+((-Schedules!S53))+((Schedules!S45*(1)))))*(1/(1+$B11)^8)+(((('P&amp;L Schedule'!T14)*(1-(IFERROR(Schedules!T107/Schedules!T106,0))))+((-'P&amp;L Schedule'!T13))+((-Schedules!T53))+((Schedules!T45*(1)))))*(1/(1+$B11)^9)+(((('P&amp;L Schedule'!U14)*(1-(IFERROR(Schedules!U107/Schedules!U106,0))))+((-'P&amp;L Schedule'!U13))+((-Schedules!U53))+((Schedules!U45*(1)))))*(1/(1+$B11)^10))+((((('P&amp;L Schedule'!U14)*(1+(E$7))*(1-('Inputs &amp; Assumptions'!$C$73)))*(1-(((E$7)/($B11))))/(($B11)-(E$7))))*(1/(1+$B11)^10))))-(Schedules!$K$93)+(IFERROR(INDEX(HS_CONSOLIDATED!L:L,MATCH("CashAndCashEquivalents",HS_CONSOLIDATED!$C:$C,0)),0)))/'WACC Schedule'!$C7</f>
        <v>43.4898517534352</v>
      </c>
      <c r="F11" s="119" t="n">
        <f aca="false">(((((((('P&amp;L Schedule'!L14)*(1-(IFERROR(Schedules!L107/Schedules!L106,0))))+((-'P&amp;L Schedule'!L13))+((-Schedules!L53))+((Schedules!L45*(1)))))*(1/(1+$B11)^1)+(((('P&amp;L Schedule'!M14)*(1-(IFERROR(Schedules!M107/Schedules!M106,0))))+((-'P&amp;L Schedule'!M13))+((-Schedules!M53))+((Schedules!M45*(1)))))*(1/(1+$B11)^2)+(((('P&amp;L Schedule'!N14)*(1-(IFERROR(Schedules!N107/Schedules!N106,0))))+((-'P&amp;L Schedule'!N13))+((-Schedules!N53))+((Schedules!N45*(1)))))*(1/(1+$B11)^3)+(((('P&amp;L Schedule'!O14)*(1-(IFERROR(Schedules!O107/Schedules!O106,0))))+((-'P&amp;L Schedule'!O13))+((-Schedules!O53))+((Schedules!O45*(1)))))*(1/(1+$B11)^4)+(((('P&amp;L Schedule'!P14)*(1-(IFERROR(Schedules!P107/Schedules!P106,0))))+((-'P&amp;L Schedule'!P13))+((-Schedules!P53))+((Schedules!P45*(1)))))*(1/(1+$B11)^5)+(((('P&amp;L Schedule'!Q14)*(1-(IFERROR(Schedules!Q107/Schedules!Q106,0))))+((-'P&amp;L Schedule'!Q13))+((-Schedules!Q53))+((Schedules!Q45*(1)))))*(1/(1+$B11)^6)+(((('P&amp;L Schedule'!R14)*(1-(IFERROR(Schedules!R107/Schedules!R106,0))))+((-'P&amp;L Schedule'!R13))+((-Schedules!R53))+((Schedules!R45*(1)))))*(1/(1+$B11)^7)+(((('P&amp;L Schedule'!S14)*(1-(IFERROR(Schedules!S107/Schedules!S106,0))))+((-'P&amp;L Schedule'!S13))+((-Schedules!S53))+((Schedules!S45*(1)))))*(1/(1+$B11)^8)+(((('P&amp;L Schedule'!T14)*(1-(IFERROR(Schedules!T107/Schedules!T106,0))))+((-'P&amp;L Schedule'!T13))+((-Schedules!T53))+((Schedules!T45*(1)))))*(1/(1+$B11)^9)+(((('P&amp;L Schedule'!U14)*(1-(IFERROR(Schedules!U107/Schedules!U106,0))))+((-'P&amp;L Schedule'!U13))+((-Schedules!U53))+((Schedules!U45*(1)))))*(1/(1+$B11)^10))+((((('P&amp;L Schedule'!U14)*(1+(F$7))*(1-('Inputs &amp; Assumptions'!$C$73)))*(1-(((F$7)/($B11))))/(($B11)-(F$7))))*(1/(1+$B11)^10))))-(Schedules!$K$93)+(IFERROR(INDEX(HS_CONSOLIDATED!L:L,MATCH("CashAndCashEquivalents",HS_CONSOLIDATED!$C:$C,0)),0)))/'WACC Schedule'!$C7</f>
        <v>43.8084713797534</v>
      </c>
      <c r="G11" s="119" t="n">
        <f aca="false">(((((((('P&amp;L Schedule'!L14)*(1-(IFERROR(Schedules!L107/Schedules!L106,0))))+((-'P&amp;L Schedule'!L13))+((-Schedules!L53))+((Schedules!L45*(1)))))*(1/(1+$B11)^1)+(((('P&amp;L Schedule'!M14)*(1-(IFERROR(Schedules!M107/Schedules!M106,0))))+((-'P&amp;L Schedule'!M13))+((-Schedules!M53))+((Schedules!M45*(1)))))*(1/(1+$B11)^2)+(((('P&amp;L Schedule'!N14)*(1-(IFERROR(Schedules!N107/Schedules!N106,0))))+((-'P&amp;L Schedule'!N13))+((-Schedules!N53))+((Schedules!N45*(1)))))*(1/(1+$B11)^3)+(((('P&amp;L Schedule'!O14)*(1-(IFERROR(Schedules!O107/Schedules!O106,0))))+((-'P&amp;L Schedule'!O13))+((-Schedules!O53))+((Schedules!O45*(1)))))*(1/(1+$B11)^4)+(((('P&amp;L Schedule'!P14)*(1-(IFERROR(Schedules!P107/Schedules!P106,0))))+((-'P&amp;L Schedule'!P13))+((-Schedules!P53))+((Schedules!P45*(1)))))*(1/(1+$B11)^5)+(((('P&amp;L Schedule'!Q14)*(1-(IFERROR(Schedules!Q107/Schedules!Q106,0))))+((-'P&amp;L Schedule'!Q13))+((-Schedules!Q53))+((Schedules!Q45*(1)))))*(1/(1+$B11)^6)+(((('P&amp;L Schedule'!R14)*(1-(IFERROR(Schedules!R107/Schedules!R106,0))))+((-'P&amp;L Schedule'!R13))+((-Schedules!R53))+((Schedules!R45*(1)))))*(1/(1+$B11)^7)+(((('P&amp;L Schedule'!S14)*(1-(IFERROR(Schedules!S107/Schedules!S106,0))))+((-'P&amp;L Schedule'!S13))+((-Schedules!S53))+((Schedules!S45*(1)))))*(1/(1+$B11)^8)+(((('P&amp;L Schedule'!T14)*(1-(IFERROR(Schedules!T107/Schedules!T106,0))))+((-'P&amp;L Schedule'!T13))+((-Schedules!T53))+((Schedules!T45*(1)))))*(1/(1+$B11)^9)+(((('P&amp;L Schedule'!U14)*(1-(IFERROR(Schedules!U107/Schedules!U106,0))))+((-'P&amp;L Schedule'!U13))+((-Schedules!U53))+((Schedules!U45*(1)))))*(1/(1+$B11)^10))+((((('P&amp;L Schedule'!U14)*(1+(G$7))*(1-('Inputs &amp; Assumptions'!$C$73)))*(1-(((G$7)/($B11))))/(($B11)-(G$7))))*(1/(1+$B11)^10))))-(Schedules!$K$93)+(IFERROR(INDEX(HS_CONSOLIDATED!L:L,MATCH("CashAndCashEquivalents",HS_CONSOLIDATED!$C:$C,0)),0)))/'WACC Schedule'!$C7</f>
        <v>44.1270910060715</v>
      </c>
    </row>
    <row r="12" customFormat="false" ht="15" hidden="false" customHeight="false" outlineLevel="0" collapsed="false">
      <c r="B12" s="101" t="n">
        <f aca="false">'WACC Schedule'!$C39+(0.02)</f>
        <v>0.0988672179514766</v>
      </c>
      <c r="C12" s="119" t="n">
        <f aca="false">(((((((('P&amp;L Schedule'!L14)*(1-(IFERROR(Schedules!L107/Schedules!L106,0))))+((-'P&amp;L Schedule'!L13))+((-Schedules!L53))+((Schedules!L45*(1)))))*(1/(1+$B12)^1)+(((('P&amp;L Schedule'!M14)*(1-(IFERROR(Schedules!M107/Schedules!M106,0))))+((-'P&amp;L Schedule'!M13))+((-Schedules!M53))+((Schedules!M45*(1)))))*(1/(1+$B12)^2)+(((('P&amp;L Schedule'!N14)*(1-(IFERROR(Schedules!N107/Schedules!N106,0))))+((-'P&amp;L Schedule'!N13))+((-Schedules!N53))+((Schedules!N45*(1)))))*(1/(1+$B12)^3)+(((('P&amp;L Schedule'!O14)*(1-(IFERROR(Schedules!O107/Schedules!O106,0))))+((-'P&amp;L Schedule'!O13))+((-Schedules!O53))+((Schedules!O45*(1)))))*(1/(1+$B12)^4)+(((('P&amp;L Schedule'!P14)*(1-(IFERROR(Schedules!P107/Schedules!P106,0))))+((-'P&amp;L Schedule'!P13))+((-Schedules!P53))+((Schedules!P45*(1)))))*(1/(1+$B12)^5)+(((('P&amp;L Schedule'!Q14)*(1-(IFERROR(Schedules!Q107/Schedules!Q106,0))))+((-'P&amp;L Schedule'!Q13))+((-Schedules!Q53))+((Schedules!Q45*(1)))))*(1/(1+$B12)^6)+(((('P&amp;L Schedule'!R14)*(1-(IFERROR(Schedules!R107/Schedules!R106,0))))+((-'P&amp;L Schedule'!R13))+((-Schedules!R53))+((Schedules!R45*(1)))))*(1/(1+$B12)^7)+(((('P&amp;L Schedule'!S14)*(1-(IFERROR(Schedules!S107/Schedules!S106,0))))+((-'P&amp;L Schedule'!S13))+((-Schedules!S53))+((Schedules!S45*(1)))))*(1/(1+$B12)^8)+(((('P&amp;L Schedule'!T14)*(1-(IFERROR(Schedules!T107/Schedules!T106,0))))+((-'P&amp;L Schedule'!T13))+((-Schedules!T53))+((Schedules!T45*(1)))))*(1/(1+$B12)^9)+(((('P&amp;L Schedule'!U14)*(1-(IFERROR(Schedules!U107/Schedules!U106,0))))+((-'P&amp;L Schedule'!U13))+((-Schedules!U53))+((Schedules!U45*(1)))))*(1/(1+$B12)^10))+((((('P&amp;L Schedule'!U14)*(1+(C$7))*(1-('Inputs &amp; Assumptions'!$C$73)))*(1-(((C$7)/($B12))))/(($B12)-(C$7))))*(1/(1+$B12)^10))))-(Schedules!$K$93)+(IFERROR(INDEX(HS_CONSOLIDATED!L:L,MATCH("CashAndCashEquivalents",HS_CONSOLIDATED!$C:$C,0)),0)))/'WACC Schedule'!$C7</f>
        <v>36.3791490528435</v>
      </c>
      <c r="D12" s="119" t="n">
        <f aca="false">(((((((('P&amp;L Schedule'!L14)*(1-(IFERROR(Schedules!L107/Schedules!L106,0))))+((-'P&amp;L Schedule'!L13))+((-Schedules!L53))+((Schedules!L45*(1)))))*(1/(1+$B12)^1)+(((('P&amp;L Schedule'!M14)*(1-(IFERROR(Schedules!M107/Schedules!M106,0))))+((-'P&amp;L Schedule'!M13))+((-Schedules!M53))+((Schedules!M45*(1)))))*(1/(1+$B12)^2)+(((('P&amp;L Schedule'!N14)*(1-(IFERROR(Schedules!N107/Schedules!N106,0))))+((-'P&amp;L Schedule'!N13))+((-Schedules!N53))+((Schedules!N45*(1)))))*(1/(1+$B12)^3)+(((('P&amp;L Schedule'!O14)*(1-(IFERROR(Schedules!O107/Schedules!O106,0))))+((-'P&amp;L Schedule'!O13))+((-Schedules!O53))+((Schedules!O45*(1)))))*(1/(1+$B12)^4)+(((('P&amp;L Schedule'!P14)*(1-(IFERROR(Schedules!P107/Schedules!P106,0))))+((-'P&amp;L Schedule'!P13))+((-Schedules!P53))+((Schedules!P45*(1)))))*(1/(1+$B12)^5)+(((('P&amp;L Schedule'!Q14)*(1-(IFERROR(Schedules!Q107/Schedules!Q106,0))))+((-'P&amp;L Schedule'!Q13))+((-Schedules!Q53))+((Schedules!Q45*(1)))))*(1/(1+$B12)^6)+(((('P&amp;L Schedule'!R14)*(1-(IFERROR(Schedules!R107/Schedules!R106,0))))+((-'P&amp;L Schedule'!R13))+((-Schedules!R53))+((Schedules!R45*(1)))))*(1/(1+$B12)^7)+(((('P&amp;L Schedule'!S14)*(1-(IFERROR(Schedules!S107/Schedules!S106,0))))+((-'P&amp;L Schedule'!S13))+((-Schedules!S53))+((Schedules!S45*(1)))))*(1/(1+$B12)^8)+(((('P&amp;L Schedule'!T14)*(1-(IFERROR(Schedules!T107/Schedules!T106,0))))+((-'P&amp;L Schedule'!T13))+((-Schedules!T53))+((Schedules!T45*(1)))))*(1/(1+$B12)^9)+(((('P&amp;L Schedule'!U14)*(1-(IFERROR(Schedules!U107/Schedules!U106,0))))+((-'P&amp;L Schedule'!U13))+((-Schedules!U53))+((Schedules!U45*(1)))))*(1/(1+$B12)^10))+((((('P&amp;L Schedule'!U14)*(1+(D$7))*(1-('Inputs &amp; Assumptions'!$C$73)))*(1-(((D$7)/($B12))))/(($B12)-(D$7))))*(1/(1+$B12)^10))))-(Schedules!$K$93)+(IFERROR(INDEX(HS_CONSOLIDATED!L:L,MATCH("CashAndCashEquivalents",HS_CONSOLIDATED!$C:$C,0)),0)))/'WACC Schedule'!$C7</f>
        <v>36.6405209253464</v>
      </c>
      <c r="E12" s="119" t="n">
        <f aca="false">(((((((('P&amp;L Schedule'!L14)*(1-(IFERROR(Schedules!L107/Schedules!L106,0))))+((-'P&amp;L Schedule'!L13))+((-Schedules!L53))+((Schedules!L45*(1)))))*(1/(1+$B12)^1)+(((('P&amp;L Schedule'!M14)*(1-(IFERROR(Schedules!M107/Schedules!M106,0))))+((-'P&amp;L Schedule'!M13))+((-Schedules!M53))+((Schedules!M45*(1)))))*(1/(1+$B12)^2)+(((('P&amp;L Schedule'!N14)*(1-(IFERROR(Schedules!N107/Schedules!N106,0))))+((-'P&amp;L Schedule'!N13))+((-Schedules!N53))+((Schedules!N45*(1)))))*(1/(1+$B12)^3)+(((('P&amp;L Schedule'!O14)*(1-(IFERROR(Schedules!O107/Schedules!O106,0))))+((-'P&amp;L Schedule'!O13))+((-Schedules!O53))+((Schedules!O45*(1)))))*(1/(1+$B12)^4)+(((('P&amp;L Schedule'!P14)*(1-(IFERROR(Schedules!P107/Schedules!P106,0))))+((-'P&amp;L Schedule'!P13))+((-Schedules!P53))+((Schedules!P45*(1)))))*(1/(1+$B12)^5)+(((('P&amp;L Schedule'!Q14)*(1-(IFERROR(Schedules!Q107/Schedules!Q106,0))))+((-'P&amp;L Schedule'!Q13))+((-Schedules!Q53))+((Schedules!Q45*(1)))))*(1/(1+$B12)^6)+(((('P&amp;L Schedule'!R14)*(1-(IFERROR(Schedules!R107/Schedules!R106,0))))+((-'P&amp;L Schedule'!R13))+((-Schedules!R53))+((Schedules!R45*(1)))))*(1/(1+$B12)^7)+(((('P&amp;L Schedule'!S14)*(1-(IFERROR(Schedules!S107/Schedules!S106,0))))+((-'P&amp;L Schedule'!S13))+((-Schedules!S53))+((Schedules!S45*(1)))))*(1/(1+$B12)^8)+(((('P&amp;L Schedule'!T14)*(1-(IFERROR(Schedules!T107/Schedules!T106,0))))+((-'P&amp;L Schedule'!T13))+((-Schedules!T53))+((Schedules!T45*(1)))))*(1/(1+$B12)^9)+(((('P&amp;L Schedule'!U14)*(1-(IFERROR(Schedules!U107/Schedules!U106,0))))+((-'P&amp;L Schedule'!U13))+((-Schedules!U53))+((Schedules!U45*(1)))))*(1/(1+$B12)^10))+((((('P&amp;L Schedule'!U14)*(1+(E$7))*(1-('Inputs &amp; Assumptions'!$C$73)))*(1-(((E$7)/($B12))))/(($B12)-(E$7))))*(1/(1+$B12)^10))))-(Schedules!$K$93)+(IFERROR(INDEX(HS_CONSOLIDATED!L:L,MATCH("CashAndCashEquivalents",HS_CONSOLIDATED!$C:$C,0)),0)))/'WACC Schedule'!$C7</f>
        <v>36.9018927978492</v>
      </c>
      <c r="F12" s="119" t="n">
        <f aca="false">(((((((('P&amp;L Schedule'!L14)*(1-(IFERROR(Schedules!L107/Schedules!L106,0))))+((-'P&amp;L Schedule'!L13))+((-Schedules!L53))+((Schedules!L45*(1)))))*(1/(1+$B12)^1)+(((('P&amp;L Schedule'!M14)*(1-(IFERROR(Schedules!M107/Schedules!M106,0))))+((-'P&amp;L Schedule'!M13))+((-Schedules!M53))+((Schedules!M45*(1)))))*(1/(1+$B12)^2)+(((('P&amp;L Schedule'!N14)*(1-(IFERROR(Schedules!N107/Schedules!N106,0))))+((-'P&amp;L Schedule'!N13))+((-Schedules!N53))+((Schedules!N45*(1)))))*(1/(1+$B12)^3)+(((('P&amp;L Schedule'!O14)*(1-(IFERROR(Schedules!O107/Schedules!O106,0))))+((-'P&amp;L Schedule'!O13))+((-Schedules!O53))+((Schedules!O45*(1)))))*(1/(1+$B12)^4)+(((('P&amp;L Schedule'!P14)*(1-(IFERROR(Schedules!P107/Schedules!P106,0))))+((-'P&amp;L Schedule'!P13))+((-Schedules!P53))+((Schedules!P45*(1)))))*(1/(1+$B12)^5)+(((('P&amp;L Schedule'!Q14)*(1-(IFERROR(Schedules!Q107/Schedules!Q106,0))))+((-'P&amp;L Schedule'!Q13))+((-Schedules!Q53))+((Schedules!Q45*(1)))))*(1/(1+$B12)^6)+(((('P&amp;L Schedule'!R14)*(1-(IFERROR(Schedules!R107/Schedules!R106,0))))+((-'P&amp;L Schedule'!R13))+((-Schedules!R53))+((Schedules!R45*(1)))))*(1/(1+$B12)^7)+(((('P&amp;L Schedule'!S14)*(1-(IFERROR(Schedules!S107/Schedules!S106,0))))+((-'P&amp;L Schedule'!S13))+((-Schedules!S53))+((Schedules!S45*(1)))))*(1/(1+$B12)^8)+(((('P&amp;L Schedule'!T14)*(1-(IFERROR(Schedules!T107/Schedules!T106,0))))+((-'P&amp;L Schedule'!T13))+((-Schedules!T53))+((Schedules!T45*(1)))))*(1/(1+$B12)^9)+(((('P&amp;L Schedule'!U14)*(1-(IFERROR(Schedules!U107/Schedules!U106,0))))+((-'P&amp;L Schedule'!U13))+((-Schedules!U53))+((Schedules!U45*(1)))))*(1/(1+$B12)^10))+((((('P&amp;L Schedule'!U14)*(1+(F$7))*(1-('Inputs &amp; Assumptions'!$C$73)))*(1-(((F$7)/($B12))))/(($B12)-(F$7))))*(1/(1+$B12)^10))))-(Schedules!$K$93)+(IFERROR(INDEX(HS_CONSOLIDATED!L:L,MATCH("CashAndCashEquivalents",HS_CONSOLIDATED!$C:$C,0)),0)))/'WACC Schedule'!$C7</f>
        <v>37.163264670352</v>
      </c>
      <c r="G12" s="119" t="n">
        <f aca="false">(((((((('P&amp;L Schedule'!L14)*(1-(IFERROR(Schedules!L107/Schedules!L106,0))))+((-'P&amp;L Schedule'!L13))+((-Schedules!L53))+((Schedules!L45*(1)))))*(1/(1+$B12)^1)+(((('P&amp;L Schedule'!M14)*(1-(IFERROR(Schedules!M107/Schedules!M106,0))))+((-'P&amp;L Schedule'!M13))+((-Schedules!M53))+((Schedules!M45*(1)))))*(1/(1+$B12)^2)+(((('P&amp;L Schedule'!N14)*(1-(IFERROR(Schedules!N107/Schedules!N106,0))))+((-'P&amp;L Schedule'!N13))+((-Schedules!N53))+((Schedules!N45*(1)))))*(1/(1+$B12)^3)+(((('P&amp;L Schedule'!O14)*(1-(IFERROR(Schedules!O107/Schedules!O106,0))))+((-'P&amp;L Schedule'!O13))+((-Schedules!O53))+((Schedules!O45*(1)))))*(1/(1+$B12)^4)+(((('P&amp;L Schedule'!P14)*(1-(IFERROR(Schedules!P107/Schedules!P106,0))))+((-'P&amp;L Schedule'!P13))+((-Schedules!P53))+((Schedules!P45*(1)))))*(1/(1+$B12)^5)+(((('P&amp;L Schedule'!Q14)*(1-(IFERROR(Schedules!Q107/Schedules!Q106,0))))+((-'P&amp;L Schedule'!Q13))+((-Schedules!Q53))+((Schedules!Q45*(1)))))*(1/(1+$B12)^6)+(((('P&amp;L Schedule'!R14)*(1-(IFERROR(Schedules!R107/Schedules!R106,0))))+((-'P&amp;L Schedule'!R13))+((-Schedules!R53))+((Schedules!R45*(1)))))*(1/(1+$B12)^7)+(((('P&amp;L Schedule'!S14)*(1-(IFERROR(Schedules!S107/Schedules!S106,0))))+((-'P&amp;L Schedule'!S13))+((-Schedules!S53))+((Schedules!S45*(1)))))*(1/(1+$B12)^8)+(((('P&amp;L Schedule'!T14)*(1-(IFERROR(Schedules!T107/Schedules!T106,0))))+((-'P&amp;L Schedule'!T13))+((-Schedules!T53))+((Schedules!T45*(1)))))*(1/(1+$B12)^9)+(((('P&amp;L Schedule'!U14)*(1-(IFERROR(Schedules!U107/Schedules!U106,0))))+((-'P&amp;L Schedule'!U13))+((-Schedules!U53))+((Schedules!U45*(1)))))*(1/(1+$B12)^10))+((((('P&amp;L Schedule'!U14)*(1+(G$7))*(1-('Inputs &amp; Assumptions'!$C$73)))*(1-(((G$7)/($B12))))/(($B12)-(G$7))))*(1/(1+$B12)^10))))-(Schedules!$K$93)+(IFERROR(INDEX(HS_CONSOLIDATED!L:L,MATCH("CashAndCashEquivalents",HS_CONSOLIDATED!$C:$C,0)),0)))/'WACC Schedule'!$C7</f>
        <v>37.4246365428548</v>
      </c>
    </row>
    <row r="15" customFormat="false" ht="16.15" hidden="false" customHeight="false" outlineLevel="0" collapsed="false">
      <c r="A15" s="0" t="s">
        <v>26</v>
      </c>
      <c r="B15" s="107" t="s">
        <v>522</v>
      </c>
    </row>
    <row r="17" customFormat="false" ht="15" hidden="false" customHeight="false" outlineLevel="0" collapsed="false">
      <c r="B17" s="117" t="s">
        <v>523</v>
      </c>
    </row>
    <row r="18" customFormat="false" ht="15" hidden="false" customHeight="false" outlineLevel="0" collapsed="false">
      <c r="B18" s="117" t="s">
        <v>524</v>
      </c>
      <c r="C18" s="118" t="n">
        <f aca="false">'WACC Schedule'!$C39+(-0.02)</f>
        <v>0.0588672179514766</v>
      </c>
      <c r="D18" s="118" t="n">
        <f aca="false">'WACC Schedule'!$C39+(-0.01)</f>
        <v>0.0688672179514766</v>
      </c>
      <c r="E18" s="118" t="n">
        <f aca="false">'WACC Schedule'!$C39+(0)</f>
        <v>0.0788672179514766</v>
      </c>
      <c r="F18" s="118" t="n">
        <f aca="false">'WACC Schedule'!$C39+(0.01)</f>
        <v>0.0888672179514766</v>
      </c>
      <c r="G18" s="118" t="n">
        <f aca="false">'WACC Schedule'!$C39+(0.02)</f>
        <v>0.0988672179514766</v>
      </c>
    </row>
    <row r="19" customFormat="false" ht="15" hidden="false" customHeight="false" outlineLevel="0" collapsed="false">
      <c r="B19" s="105" t="n">
        <v>0.7</v>
      </c>
      <c r="C19" s="119" t="n">
        <f aca="false">(((((((('P&amp;L Schedule'!L14)*(1-(IFERROR(Schedules!L107/Schedules!L106,0))))+((-'P&amp;L Schedule'!L13))+((-Schedules!L53))+((Schedules!L45*($B19)))))*(1/(1+C$18)^1)+(((('P&amp;L Schedule'!M14)*(1-(IFERROR(Schedules!M107/Schedules!M106,0))))+((-'P&amp;L Schedule'!M13))+((-Schedules!M53))+((Schedules!M45*($B19)))))*(1/(1+C$18)^2)+(((('P&amp;L Schedule'!N14)*(1-(IFERROR(Schedules!N107/Schedules!N106,0))))+((-'P&amp;L Schedule'!N13))+((-Schedules!N53))+((Schedules!N45*($B19)))))*(1/(1+C$18)^3)+(((('P&amp;L Schedule'!O14)*(1-(IFERROR(Schedules!O107/Schedules!O106,0))))+((-'P&amp;L Schedule'!O13))+((-Schedules!O53))+((Schedules!O45*($B19)))))*(1/(1+C$18)^4)+(((('P&amp;L Schedule'!P14)*(1-(IFERROR(Schedules!P107/Schedules!P106,0))))+((-'P&amp;L Schedule'!P13))+((-Schedules!P53))+((Schedules!P45*($B19)))))*(1/(1+C$18)^5)+(((('P&amp;L Schedule'!Q14)*(1-(IFERROR(Schedules!Q107/Schedules!Q106,0))))+((-'P&amp;L Schedule'!Q13))+((-Schedules!Q53))+((Schedules!Q45*($B19)))))*(1/(1+C$18)^6)+(((('P&amp;L Schedule'!R14)*(1-(IFERROR(Schedules!R107/Schedules!R106,0))))+((-'P&amp;L Schedule'!R13))+((-Schedules!R53))+((Schedules!R45*($B19)))))*(1/(1+C$18)^7)+(((('P&amp;L Schedule'!S14)*(1-(IFERROR(Schedules!S107/Schedules!S106,0))))+((-'P&amp;L Schedule'!S13))+((-Schedules!S53))+((Schedules!S45*($B19)))))*(1/(1+C$18)^8)+(((('P&amp;L Schedule'!T14)*(1-(IFERROR(Schedules!T107/Schedules!T106,0))))+((-'P&amp;L Schedule'!T13))+((-Schedules!T53))+((Schedules!T45*($B19)))))*(1/(1+C$18)^9)+(((('P&amp;L Schedule'!U14)*(1-(IFERROR(Schedules!U107/Schedules!U106,0))))+((-'P&amp;L Schedule'!U13))+((-Schedules!U53))+((Schedules!U45*($B19)))))*(1/(1+C$18)^10))+((((('P&amp;L Schedule'!U14)*(1+((IF('Inputs &amp; Assumptions'!$C$13="",'Inputs &amp; Assumptions'!$C$12,'Inputs &amp; Assumptions'!$C$13))))*(1-('Inputs &amp; Assumptions'!$C$73)))*(1-((((IF('Inputs &amp; Assumptions'!$C$13="",'Inputs &amp; Assumptions'!$C$12,'Inputs &amp; Assumptions'!$C$13)))/(C$18))))/((C$18)-((IF('Inputs &amp; Assumptions'!$C$13="",'Inputs &amp; Assumptions'!$C$12,'Inputs &amp; Assumptions'!$C$13))))))*(1/(1+C$18)^10))))-(Schedules!$K$93)+(IFERROR(INDEX(HS_CONSOLIDATED!L:L,MATCH("CashAndCashEquivalents",HS_CONSOLIDATED!$C:$C,0)),0)))/'WACC Schedule'!$C7</f>
        <v>82.5512062202656</v>
      </c>
      <c r="D19" s="119" t="n">
        <f aca="false">(((((((('P&amp;L Schedule'!L14)*(1-(IFERROR(Schedules!L107/Schedules!L106,0))))+((-'P&amp;L Schedule'!L13))+((-Schedules!L53))+((Schedules!L45*($B19)))))*(1/(1+D$18)^1)+(((('P&amp;L Schedule'!M14)*(1-(IFERROR(Schedules!M107/Schedules!M106,0))))+((-'P&amp;L Schedule'!M13))+((-Schedules!M53))+((Schedules!M45*($B19)))))*(1/(1+D$18)^2)+(((('P&amp;L Schedule'!N14)*(1-(IFERROR(Schedules!N107/Schedules!N106,0))))+((-'P&amp;L Schedule'!N13))+((-Schedules!N53))+((Schedules!N45*($B19)))))*(1/(1+D$18)^3)+(((('P&amp;L Schedule'!O14)*(1-(IFERROR(Schedules!O107/Schedules!O106,0))))+((-'P&amp;L Schedule'!O13))+((-Schedules!O53))+((Schedules!O45*($B19)))))*(1/(1+D$18)^4)+(((('P&amp;L Schedule'!P14)*(1-(IFERROR(Schedules!P107/Schedules!P106,0))))+((-'P&amp;L Schedule'!P13))+((-Schedules!P53))+((Schedules!P45*($B19)))))*(1/(1+D$18)^5)+(((('P&amp;L Schedule'!Q14)*(1-(IFERROR(Schedules!Q107/Schedules!Q106,0))))+((-'P&amp;L Schedule'!Q13))+((-Schedules!Q53))+((Schedules!Q45*($B19)))))*(1/(1+D$18)^6)+(((('P&amp;L Schedule'!R14)*(1-(IFERROR(Schedules!R107/Schedules!R106,0))))+((-'P&amp;L Schedule'!R13))+((-Schedules!R53))+((Schedules!R45*($B19)))))*(1/(1+D$18)^7)+(((('P&amp;L Schedule'!S14)*(1-(IFERROR(Schedules!S107/Schedules!S106,0))))+((-'P&amp;L Schedule'!S13))+((-Schedules!S53))+((Schedules!S45*($B19)))))*(1/(1+D$18)^8)+(((('P&amp;L Schedule'!T14)*(1-(IFERROR(Schedules!T107/Schedules!T106,0))))+((-'P&amp;L Schedule'!T13))+((-Schedules!T53))+((Schedules!T45*($B19)))))*(1/(1+D$18)^9)+(((('P&amp;L Schedule'!U14)*(1-(IFERROR(Schedules!U107/Schedules!U106,0))))+((-'P&amp;L Schedule'!U13))+((-Schedules!U53))+((Schedules!U45*($B19)))))*(1/(1+D$18)^10))+((((('P&amp;L Schedule'!U14)*(1+((IF('Inputs &amp; Assumptions'!$C$13="",'Inputs &amp; Assumptions'!$C$12,'Inputs &amp; Assumptions'!$C$13))))*(1-('Inputs &amp; Assumptions'!$C$73)))*(1-((((IF('Inputs &amp; Assumptions'!$C$13="",'Inputs &amp; Assumptions'!$C$12,'Inputs &amp; Assumptions'!$C$13)))/(D$18))))/((D$18)-((IF('Inputs &amp; Assumptions'!$C$13="",'Inputs &amp; Assumptions'!$C$12,'Inputs &amp; Assumptions'!$C$13))))))*(1/(1+D$18)^10))))-(Schedules!$K$93)+(IFERROR(INDEX(HS_CONSOLIDATED!L:L,MATCH("CashAndCashEquivalents",HS_CONSOLIDATED!$C:$C,0)),0)))/'WACC Schedule'!$C7</f>
        <v>66.7923090520059</v>
      </c>
      <c r="E19" s="119" t="n">
        <f aca="false">(((((((('P&amp;L Schedule'!L14)*(1-(IFERROR(Schedules!L107/Schedules!L106,0))))+((-'P&amp;L Schedule'!L13))+((-Schedules!L53))+((Schedules!L45*($B19)))))*(1/(1+E$18)^1)+(((('P&amp;L Schedule'!M14)*(1-(IFERROR(Schedules!M107/Schedules!M106,0))))+((-'P&amp;L Schedule'!M13))+((-Schedules!M53))+((Schedules!M45*($B19)))))*(1/(1+E$18)^2)+(((('P&amp;L Schedule'!N14)*(1-(IFERROR(Schedules!N107/Schedules!N106,0))))+((-'P&amp;L Schedule'!N13))+((-Schedules!N53))+((Schedules!N45*($B19)))))*(1/(1+E$18)^3)+(((('P&amp;L Schedule'!O14)*(1-(IFERROR(Schedules!O107/Schedules!O106,0))))+((-'P&amp;L Schedule'!O13))+((-Schedules!O53))+((Schedules!O45*($B19)))))*(1/(1+E$18)^4)+(((('P&amp;L Schedule'!P14)*(1-(IFERROR(Schedules!P107/Schedules!P106,0))))+((-'P&amp;L Schedule'!P13))+((-Schedules!P53))+((Schedules!P45*($B19)))))*(1/(1+E$18)^5)+(((('P&amp;L Schedule'!Q14)*(1-(IFERROR(Schedules!Q107/Schedules!Q106,0))))+((-'P&amp;L Schedule'!Q13))+((-Schedules!Q53))+((Schedules!Q45*($B19)))))*(1/(1+E$18)^6)+(((('P&amp;L Schedule'!R14)*(1-(IFERROR(Schedules!R107/Schedules!R106,0))))+((-'P&amp;L Schedule'!R13))+((-Schedules!R53))+((Schedules!R45*($B19)))))*(1/(1+E$18)^7)+(((('P&amp;L Schedule'!S14)*(1-(IFERROR(Schedules!S107/Schedules!S106,0))))+((-'P&amp;L Schedule'!S13))+((-Schedules!S53))+((Schedules!S45*($B19)))))*(1/(1+E$18)^8)+(((('P&amp;L Schedule'!T14)*(1-(IFERROR(Schedules!T107/Schedules!T106,0))))+((-'P&amp;L Schedule'!T13))+((-Schedules!T53))+((Schedules!T45*($B19)))))*(1/(1+E$18)^9)+(((('P&amp;L Schedule'!U14)*(1-(IFERROR(Schedules!U107/Schedules!U106,0))))+((-'P&amp;L Schedule'!U13))+((-Schedules!U53))+((Schedules!U45*($B19)))))*(1/(1+E$18)^10))+((((('P&amp;L Schedule'!U14)*(1+((IF('Inputs &amp; Assumptions'!$C$13="",'Inputs &amp; Assumptions'!$C$12,'Inputs &amp; Assumptions'!$C$13))))*(1-('Inputs &amp; Assumptions'!$C$73)))*(1-((((IF('Inputs &amp; Assumptions'!$C$13="",'Inputs &amp; Assumptions'!$C$12,'Inputs &amp; Assumptions'!$C$13)))/(E$18))))/((E$18)-((IF('Inputs &amp; Assumptions'!$C$13="",'Inputs &amp; Assumptions'!$C$12,'Inputs &amp; Assumptions'!$C$13))))))*(1/(1+E$18)^10))))-(Schedules!$K$93)+(IFERROR(INDEX(HS_CONSOLIDATED!L:L,MATCH("CashAndCashEquivalents",HS_CONSOLIDATED!$C:$C,0)),0)))/'WACC Schedule'!$C7</f>
        <v>55.3028606343093</v>
      </c>
      <c r="F19" s="119" t="n">
        <f aca="false">(((((((('P&amp;L Schedule'!L14)*(1-(IFERROR(Schedules!L107/Schedules!L106,0))))+((-'P&amp;L Schedule'!L13))+((-Schedules!L53))+((Schedules!L45*($B19)))))*(1/(1+F$18)^1)+(((('P&amp;L Schedule'!M14)*(1-(IFERROR(Schedules!M107/Schedules!M106,0))))+((-'P&amp;L Schedule'!M13))+((-Schedules!M53))+((Schedules!M45*($B19)))))*(1/(1+F$18)^2)+(((('P&amp;L Schedule'!N14)*(1-(IFERROR(Schedules!N107/Schedules!N106,0))))+((-'P&amp;L Schedule'!N13))+((-Schedules!N53))+((Schedules!N45*($B19)))))*(1/(1+F$18)^3)+(((('P&amp;L Schedule'!O14)*(1-(IFERROR(Schedules!O107/Schedules!O106,0))))+((-'P&amp;L Schedule'!O13))+((-Schedules!O53))+((Schedules!O45*($B19)))))*(1/(1+F$18)^4)+(((('P&amp;L Schedule'!P14)*(1-(IFERROR(Schedules!P107/Schedules!P106,0))))+((-'P&amp;L Schedule'!P13))+((-Schedules!P53))+((Schedules!P45*($B19)))))*(1/(1+F$18)^5)+(((('P&amp;L Schedule'!Q14)*(1-(IFERROR(Schedules!Q107/Schedules!Q106,0))))+((-'P&amp;L Schedule'!Q13))+((-Schedules!Q53))+((Schedules!Q45*($B19)))))*(1/(1+F$18)^6)+(((('P&amp;L Schedule'!R14)*(1-(IFERROR(Schedules!R107/Schedules!R106,0))))+((-'P&amp;L Schedule'!R13))+((-Schedules!R53))+((Schedules!R45*($B19)))))*(1/(1+F$18)^7)+(((('P&amp;L Schedule'!S14)*(1-(IFERROR(Schedules!S107/Schedules!S106,0))))+((-'P&amp;L Schedule'!S13))+((-Schedules!S53))+((Schedules!S45*($B19)))))*(1/(1+F$18)^8)+(((('P&amp;L Schedule'!T14)*(1-(IFERROR(Schedules!T107/Schedules!T106,0))))+((-'P&amp;L Schedule'!T13))+((-Schedules!T53))+((Schedules!T45*($B19)))))*(1/(1+F$18)^9)+(((('P&amp;L Schedule'!U14)*(1-(IFERROR(Schedules!U107/Schedules!U106,0))))+((-'P&amp;L Schedule'!U13))+((-Schedules!U53))+((Schedules!U45*($B19)))))*(1/(1+F$18)^10))+((((('P&amp;L Schedule'!U14)*(1+((IF('Inputs &amp; Assumptions'!$C$13="",'Inputs &amp; Assumptions'!$C$12,'Inputs &amp; Assumptions'!$C$13))))*(1-('Inputs &amp; Assumptions'!$C$73)))*(1-((((IF('Inputs &amp; Assumptions'!$C$13="",'Inputs &amp; Assumptions'!$C$12,'Inputs &amp; Assumptions'!$C$13)))/(F$18))))/((F$18)-((IF('Inputs &amp; Assumptions'!$C$13="",'Inputs &amp; Assumptions'!$C$12,'Inputs &amp; Assumptions'!$C$13))))))*(1/(1+F$18)^10))))-(Schedules!$K$93)+(IFERROR(INDEX(HS_CONSOLIDATED!L:L,MATCH("CashAndCashEquivalents",HS_CONSOLIDATED!$C:$C,0)),0)))/'WACC Schedule'!$C7</f>
        <v>46.6188010522333</v>
      </c>
      <c r="G19" s="119" t="n">
        <f aca="false">(((((((('P&amp;L Schedule'!L14)*(1-(IFERROR(Schedules!L107/Schedules!L106,0))))+((-'P&amp;L Schedule'!L13))+((-Schedules!L53))+((Schedules!L45*($B19)))))*(1/(1+G$18)^1)+(((('P&amp;L Schedule'!M14)*(1-(IFERROR(Schedules!M107/Schedules!M106,0))))+((-'P&amp;L Schedule'!M13))+((-Schedules!M53))+((Schedules!M45*($B19)))))*(1/(1+G$18)^2)+(((('P&amp;L Schedule'!N14)*(1-(IFERROR(Schedules!N107/Schedules!N106,0))))+((-'P&amp;L Schedule'!N13))+((-Schedules!N53))+((Schedules!N45*($B19)))))*(1/(1+G$18)^3)+(((('P&amp;L Schedule'!O14)*(1-(IFERROR(Schedules!O107/Schedules!O106,0))))+((-'P&amp;L Schedule'!O13))+((-Schedules!O53))+((Schedules!O45*($B19)))))*(1/(1+G$18)^4)+(((('P&amp;L Schedule'!P14)*(1-(IFERROR(Schedules!P107/Schedules!P106,0))))+((-'P&amp;L Schedule'!P13))+((-Schedules!P53))+((Schedules!P45*($B19)))))*(1/(1+G$18)^5)+(((('P&amp;L Schedule'!Q14)*(1-(IFERROR(Schedules!Q107/Schedules!Q106,0))))+((-'P&amp;L Schedule'!Q13))+((-Schedules!Q53))+((Schedules!Q45*($B19)))))*(1/(1+G$18)^6)+(((('P&amp;L Schedule'!R14)*(1-(IFERROR(Schedules!R107/Schedules!R106,0))))+((-'P&amp;L Schedule'!R13))+((-Schedules!R53))+((Schedules!R45*($B19)))))*(1/(1+G$18)^7)+(((('P&amp;L Schedule'!S14)*(1-(IFERROR(Schedules!S107/Schedules!S106,0))))+((-'P&amp;L Schedule'!S13))+((-Schedules!S53))+((Schedules!S45*($B19)))))*(1/(1+G$18)^8)+(((('P&amp;L Schedule'!T14)*(1-(IFERROR(Schedules!T107/Schedules!T106,0))))+((-'P&amp;L Schedule'!T13))+((-Schedules!T53))+((Schedules!T45*($B19)))))*(1/(1+G$18)^9)+(((('P&amp;L Schedule'!U14)*(1-(IFERROR(Schedules!U107/Schedules!U106,0))))+((-'P&amp;L Schedule'!U13))+((-Schedules!U53))+((Schedules!U45*($B19)))))*(1/(1+G$18)^10))+((((('P&amp;L Schedule'!U14)*(1+((IF('Inputs &amp; Assumptions'!$C$13="",'Inputs &amp; Assumptions'!$C$12,'Inputs &amp; Assumptions'!$C$13))))*(1-('Inputs &amp; Assumptions'!$C$73)))*(1-((((IF('Inputs &amp; Assumptions'!$C$13="",'Inputs &amp; Assumptions'!$C$12,'Inputs &amp; Assumptions'!$C$13)))/(G$18))))/((G$18)-((IF('Inputs &amp; Assumptions'!$C$13="",'Inputs &amp; Assumptions'!$C$12,'Inputs &amp; Assumptions'!$C$13))))))*(1/(1+G$18)^10))))-(Schedules!$K$93)+(IFERROR(INDEX(HS_CONSOLIDATED!L:L,MATCH("CashAndCashEquivalents",HS_CONSOLIDATED!$C:$C,0)),0)))/'WACC Schedule'!$C7</f>
        <v>39.8705451119694</v>
      </c>
    </row>
    <row r="20" customFormat="false" ht="15" hidden="false" customHeight="false" outlineLevel="0" collapsed="false">
      <c r="B20" s="105" t="n">
        <v>0.85</v>
      </c>
      <c r="C20" s="119" t="n">
        <f aca="false">(((((((('P&amp;L Schedule'!L14)*(1-(IFERROR(Schedules!L107/Schedules!L106,0))))+((-'P&amp;L Schedule'!L13))+((-Schedules!L53))+((Schedules!L45*($B20)))))*(1/(1+C$18)^1)+(((('P&amp;L Schedule'!M14)*(1-(IFERROR(Schedules!M107/Schedules!M106,0))))+((-'P&amp;L Schedule'!M13))+((-Schedules!M53))+((Schedules!M45*($B20)))))*(1/(1+C$18)^2)+(((('P&amp;L Schedule'!N14)*(1-(IFERROR(Schedules!N107/Schedules!N106,0))))+((-'P&amp;L Schedule'!N13))+((-Schedules!N53))+((Schedules!N45*($B20)))))*(1/(1+C$18)^3)+(((('P&amp;L Schedule'!O14)*(1-(IFERROR(Schedules!O107/Schedules!O106,0))))+((-'P&amp;L Schedule'!O13))+((-Schedules!O53))+((Schedules!O45*($B20)))))*(1/(1+C$18)^4)+(((('P&amp;L Schedule'!P14)*(1-(IFERROR(Schedules!P107/Schedules!P106,0))))+((-'P&amp;L Schedule'!P13))+((-Schedules!P53))+((Schedules!P45*($B20)))))*(1/(1+C$18)^5)+(((('P&amp;L Schedule'!Q14)*(1-(IFERROR(Schedules!Q107/Schedules!Q106,0))))+((-'P&amp;L Schedule'!Q13))+((-Schedules!Q53))+((Schedules!Q45*($B20)))))*(1/(1+C$18)^6)+(((('P&amp;L Schedule'!R14)*(1-(IFERROR(Schedules!R107/Schedules!R106,0))))+((-'P&amp;L Schedule'!R13))+((-Schedules!R53))+((Schedules!R45*($B20)))))*(1/(1+C$18)^7)+(((('P&amp;L Schedule'!S14)*(1-(IFERROR(Schedules!S107/Schedules!S106,0))))+((-'P&amp;L Schedule'!S13))+((-Schedules!S53))+((Schedules!S45*($B20)))))*(1/(1+C$18)^8)+(((('P&amp;L Schedule'!T14)*(1-(IFERROR(Schedules!T107/Schedules!T106,0))))+((-'P&amp;L Schedule'!T13))+((-Schedules!T53))+((Schedules!T45*($B20)))))*(1/(1+C$18)^9)+(((('P&amp;L Schedule'!U14)*(1-(IFERROR(Schedules!U107/Schedules!U106,0))))+((-'P&amp;L Schedule'!U13))+((-Schedules!U53))+((Schedules!U45*($B20)))))*(1/(1+C$18)^10))+((((('P&amp;L Schedule'!U14)*(1+((IF('Inputs &amp; Assumptions'!$C$13="",'Inputs &amp; Assumptions'!$C$12,'Inputs &amp; Assumptions'!$C$13))))*(1-('Inputs &amp; Assumptions'!$C$73)))*(1-((((IF('Inputs &amp; Assumptions'!$C$13="",'Inputs &amp; Assumptions'!$C$12,'Inputs &amp; Assumptions'!$C$13)))/(C$18))))/((C$18)-((IF('Inputs &amp; Assumptions'!$C$13="",'Inputs &amp; Assumptions'!$C$12,'Inputs &amp; Assumptions'!$C$13))))))*(1/(1+C$18)^10))))-(Schedules!$K$93)+(IFERROR(INDEX(HS_CONSOLIDATED!L:L,MATCH("CashAndCashEquivalents",HS_CONSOLIDATED!$C:$C,0)),0)))/'WACC Schedule'!$C7</f>
        <v>80.7066661996242</v>
      </c>
      <c r="D20" s="119" t="n">
        <f aca="false">(((((((('P&amp;L Schedule'!L14)*(1-(IFERROR(Schedules!L107/Schedules!L106,0))))+((-'P&amp;L Schedule'!L13))+((-Schedules!L53))+((Schedules!L45*($B20)))))*(1/(1+D$18)^1)+(((('P&amp;L Schedule'!M14)*(1-(IFERROR(Schedules!M107/Schedules!M106,0))))+((-'P&amp;L Schedule'!M13))+((-Schedules!M53))+((Schedules!M45*($B20)))))*(1/(1+D$18)^2)+(((('P&amp;L Schedule'!N14)*(1-(IFERROR(Schedules!N107/Schedules!N106,0))))+((-'P&amp;L Schedule'!N13))+((-Schedules!N53))+((Schedules!N45*($B20)))))*(1/(1+D$18)^3)+(((('P&amp;L Schedule'!O14)*(1-(IFERROR(Schedules!O107/Schedules!O106,0))))+((-'P&amp;L Schedule'!O13))+((-Schedules!O53))+((Schedules!O45*($B20)))))*(1/(1+D$18)^4)+(((('P&amp;L Schedule'!P14)*(1-(IFERROR(Schedules!P107/Schedules!P106,0))))+((-'P&amp;L Schedule'!P13))+((-Schedules!P53))+((Schedules!P45*($B20)))))*(1/(1+D$18)^5)+(((('P&amp;L Schedule'!Q14)*(1-(IFERROR(Schedules!Q107/Schedules!Q106,0))))+((-'P&amp;L Schedule'!Q13))+((-Schedules!Q53))+((Schedules!Q45*($B20)))))*(1/(1+D$18)^6)+(((('P&amp;L Schedule'!R14)*(1-(IFERROR(Schedules!R107/Schedules!R106,0))))+((-'P&amp;L Schedule'!R13))+((-Schedules!R53))+((Schedules!R45*($B20)))))*(1/(1+D$18)^7)+(((('P&amp;L Schedule'!S14)*(1-(IFERROR(Schedules!S107/Schedules!S106,0))))+((-'P&amp;L Schedule'!S13))+((-Schedules!S53))+((Schedules!S45*($B20)))))*(1/(1+D$18)^8)+(((('P&amp;L Schedule'!T14)*(1-(IFERROR(Schedules!T107/Schedules!T106,0))))+((-'P&amp;L Schedule'!T13))+((-Schedules!T53))+((Schedules!T45*($B20)))))*(1/(1+D$18)^9)+(((('P&amp;L Schedule'!U14)*(1-(IFERROR(Schedules!U107/Schedules!U106,0))))+((-'P&amp;L Schedule'!U13))+((-Schedules!U53))+((Schedules!U45*($B20)))))*(1/(1+D$18)^10))+((((('P&amp;L Schedule'!U14)*(1+((IF('Inputs &amp; Assumptions'!$C$13="",'Inputs &amp; Assumptions'!$C$12,'Inputs &amp; Assumptions'!$C$13))))*(1-('Inputs &amp; Assumptions'!$C$73)))*(1-((((IF('Inputs &amp; Assumptions'!$C$13="",'Inputs &amp; Assumptions'!$C$12,'Inputs &amp; Assumptions'!$C$13)))/(D$18))))/((D$18)-((IF('Inputs &amp; Assumptions'!$C$13="",'Inputs &amp; Assumptions'!$C$12,'Inputs &amp; Assumptions'!$C$13))))))*(1/(1+D$18)^10))))-(Schedules!$K$93)+(IFERROR(INDEX(HS_CONSOLIDATED!L:L,MATCH("CashAndCashEquivalents",HS_CONSOLIDATED!$C:$C,0)),0)))/'WACC Schedule'!$C7</f>
        <v>65.048347748725</v>
      </c>
      <c r="E20" s="119" t="n">
        <f aca="false">(((((((('P&amp;L Schedule'!L14)*(1-(IFERROR(Schedules!L107/Schedules!L106,0))))+((-'P&amp;L Schedule'!L13))+((-Schedules!L53))+((Schedules!L45*($B20)))))*(1/(1+E$18)^1)+(((('P&amp;L Schedule'!M14)*(1-(IFERROR(Schedules!M107/Schedules!M106,0))))+((-'P&amp;L Schedule'!M13))+((-Schedules!M53))+((Schedules!M45*($B20)))))*(1/(1+E$18)^2)+(((('P&amp;L Schedule'!N14)*(1-(IFERROR(Schedules!N107/Schedules!N106,0))))+((-'P&amp;L Schedule'!N13))+((-Schedules!N53))+((Schedules!N45*($B20)))))*(1/(1+E$18)^3)+(((('P&amp;L Schedule'!O14)*(1-(IFERROR(Schedules!O107/Schedules!O106,0))))+((-'P&amp;L Schedule'!O13))+((-Schedules!O53))+((Schedules!O45*($B20)))))*(1/(1+E$18)^4)+(((('P&amp;L Schedule'!P14)*(1-(IFERROR(Schedules!P107/Schedules!P106,0))))+((-'P&amp;L Schedule'!P13))+((-Schedules!P53))+((Schedules!P45*($B20)))))*(1/(1+E$18)^5)+(((('P&amp;L Schedule'!Q14)*(1-(IFERROR(Schedules!Q107/Schedules!Q106,0))))+((-'P&amp;L Schedule'!Q13))+((-Schedules!Q53))+((Schedules!Q45*($B20)))))*(1/(1+E$18)^6)+(((('P&amp;L Schedule'!R14)*(1-(IFERROR(Schedules!R107/Schedules!R106,0))))+((-'P&amp;L Schedule'!R13))+((-Schedules!R53))+((Schedules!R45*($B20)))))*(1/(1+E$18)^7)+(((('P&amp;L Schedule'!S14)*(1-(IFERROR(Schedules!S107/Schedules!S106,0))))+((-'P&amp;L Schedule'!S13))+((-Schedules!S53))+((Schedules!S45*($B20)))))*(1/(1+E$18)^8)+(((('P&amp;L Schedule'!T14)*(1-(IFERROR(Schedules!T107/Schedules!T106,0))))+((-'P&amp;L Schedule'!T13))+((-Schedules!T53))+((Schedules!T45*($B20)))))*(1/(1+E$18)^9)+(((('P&amp;L Schedule'!U14)*(1-(IFERROR(Schedules!U107/Schedules!U106,0))))+((-'P&amp;L Schedule'!U13))+((-Schedules!U53))+((Schedules!U45*($B20)))))*(1/(1+E$18)^10))+((((('P&amp;L Schedule'!U14)*(1+((IF('Inputs &amp; Assumptions'!$C$13="",'Inputs &amp; Assumptions'!$C$12,'Inputs &amp; Assumptions'!$C$13))))*(1-('Inputs &amp; Assumptions'!$C$73)))*(1-((((IF('Inputs &amp; Assumptions'!$C$13="",'Inputs &amp; Assumptions'!$C$12,'Inputs &amp; Assumptions'!$C$13)))/(E$18))))/((E$18)-((IF('Inputs &amp; Assumptions'!$C$13="",'Inputs &amp; Assumptions'!$C$12,'Inputs &amp; Assumptions'!$C$13))))))*(1/(1+E$18)^10))))-(Schedules!$K$93)+(IFERROR(INDEX(HS_CONSOLIDATED!L:L,MATCH("CashAndCashEquivalents",HS_CONSOLIDATED!$C:$C,0)),0)))/'WACC Schedule'!$C7</f>
        <v>53.6520369218603</v>
      </c>
      <c r="F20" s="119" t="n">
        <f aca="false">(((((((('P&amp;L Schedule'!L14)*(1-(IFERROR(Schedules!L107/Schedules!L106,0))))+((-'P&amp;L Schedule'!L13))+((-Schedules!L53))+((Schedules!L45*($B20)))))*(1/(1+F$18)^1)+(((('P&amp;L Schedule'!M14)*(1-(IFERROR(Schedules!M107/Schedules!M106,0))))+((-'P&amp;L Schedule'!M13))+((-Schedules!M53))+((Schedules!M45*($B20)))))*(1/(1+F$18)^2)+(((('P&amp;L Schedule'!N14)*(1-(IFERROR(Schedules!N107/Schedules!N106,0))))+((-'P&amp;L Schedule'!N13))+((-Schedules!N53))+((Schedules!N45*($B20)))))*(1/(1+F$18)^3)+(((('P&amp;L Schedule'!O14)*(1-(IFERROR(Schedules!O107/Schedules!O106,0))))+((-'P&amp;L Schedule'!O13))+((-Schedules!O53))+((Schedules!O45*($B20)))))*(1/(1+F$18)^4)+(((('P&amp;L Schedule'!P14)*(1-(IFERROR(Schedules!P107/Schedules!P106,0))))+((-'P&amp;L Schedule'!P13))+((-Schedules!P53))+((Schedules!P45*($B20)))))*(1/(1+F$18)^5)+(((('P&amp;L Schedule'!Q14)*(1-(IFERROR(Schedules!Q107/Schedules!Q106,0))))+((-'P&amp;L Schedule'!Q13))+((-Schedules!Q53))+((Schedules!Q45*($B20)))))*(1/(1+F$18)^6)+(((('P&amp;L Schedule'!R14)*(1-(IFERROR(Schedules!R107/Schedules!R106,0))))+((-'P&amp;L Schedule'!R13))+((-Schedules!R53))+((Schedules!R45*($B20)))))*(1/(1+F$18)^7)+(((('P&amp;L Schedule'!S14)*(1-(IFERROR(Schedules!S107/Schedules!S106,0))))+((-'P&amp;L Schedule'!S13))+((-Schedules!S53))+((Schedules!S45*($B20)))))*(1/(1+F$18)^8)+(((('P&amp;L Schedule'!T14)*(1-(IFERROR(Schedules!T107/Schedules!T106,0))))+((-'P&amp;L Schedule'!T13))+((-Schedules!T53))+((Schedules!T45*($B20)))))*(1/(1+F$18)^9)+(((('P&amp;L Schedule'!U14)*(1-(IFERROR(Schedules!U107/Schedules!U106,0))))+((-'P&amp;L Schedule'!U13))+((-Schedules!U53))+((Schedules!U45*($B20)))))*(1/(1+F$18)^10))+((((('P&amp;L Schedule'!U14)*(1+((IF('Inputs &amp; Assumptions'!$C$13="",'Inputs &amp; Assumptions'!$C$12,'Inputs &amp; Assumptions'!$C$13))))*(1-('Inputs &amp; Assumptions'!$C$73)))*(1-((((IF('Inputs &amp; Assumptions'!$C$13="",'Inputs &amp; Assumptions'!$C$12,'Inputs &amp; Assumptions'!$C$13)))/(F$18))))/((F$18)-((IF('Inputs &amp; Assumptions'!$C$13="",'Inputs &amp; Assumptions'!$C$12,'Inputs &amp; Assumptions'!$C$13))))))*(1/(1+F$18)^10))))-(Schedules!$K$93)+(IFERROR(INDEX(HS_CONSOLIDATED!L:L,MATCH("CashAndCashEquivalents",HS_CONSOLIDATED!$C:$C,0)),0)))/'WACC Schedule'!$C7</f>
        <v>45.0543264028342</v>
      </c>
      <c r="G20" s="119" t="n">
        <f aca="false">(((((((('P&amp;L Schedule'!L14)*(1-(IFERROR(Schedules!L107/Schedules!L106,0))))+((-'P&amp;L Schedule'!L13))+((-Schedules!L53))+((Schedules!L45*($B20)))))*(1/(1+G$18)^1)+(((('P&amp;L Schedule'!M14)*(1-(IFERROR(Schedules!M107/Schedules!M106,0))))+((-'P&amp;L Schedule'!M13))+((-Schedules!M53))+((Schedules!M45*($B20)))))*(1/(1+G$18)^2)+(((('P&amp;L Schedule'!N14)*(1-(IFERROR(Schedules!N107/Schedules!N106,0))))+((-'P&amp;L Schedule'!N13))+((-Schedules!N53))+((Schedules!N45*($B20)))))*(1/(1+G$18)^3)+(((('P&amp;L Schedule'!O14)*(1-(IFERROR(Schedules!O107/Schedules!O106,0))))+((-'P&amp;L Schedule'!O13))+((-Schedules!O53))+((Schedules!O45*($B20)))))*(1/(1+G$18)^4)+(((('P&amp;L Schedule'!P14)*(1-(IFERROR(Schedules!P107/Schedules!P106,0))))+((-'P&amp;L Schedule'!P13))+((-Schedules!P53))+((Schedules!P45*($B20)))))*(1/(1+G$18)^5)+(((('P&amp;L Schedule'!Q14)*(1-(IFERROR(Schedules!Q107/Schedules!Q106,0))))+((-'P&amp;L Schedule'!Q13))+((-Schedules!Q53))+((Schedules!Q45*($B20)))))*(1/(1+G$18)^6)+(((('P&amp;L Schedule'!R14)*(1-(IFERROR(Schedules!R107/Schedules!R106,0))))+((-'P&amp;L Schedule'!R13))+((-Schedules!R53))+((Schedules!R45*($B20)))))*(1/(1+G$18)^7)+(((('P&amp;L Schedule'!S14)*(1-(IFERROR(Schedules!S107/Schedules!S106,0))))+((-'P&amp;L Schedule'!S13))+((-Schedules!S53))+((Schedules!S45*($B20)))))*(1/(1+G$18)^8)+(((('P&amp;L Schedule'!T14)*(1-(IFERROR(Schedules!T107/Schedules!T106,0))))+((-'P&amp;L Schedule'!T13))+((-Schedules!T53))+((Schedules!T45*($B20)))))*(1/(1+G$18)^9)+(((('P&amp;L Schedule'!U14)*(1-(IFERROR(Schedules!U107/Schedules!U106,0))))+((-'P&amp;L Schedule'!U13))+((-Schedules!U53))+((Schedules!U45*($B20)))))*(1/(1+G$18)^10))+((((('P&amp;L Schedule'!U14)*(1+((IF('Inputs &amp; Assumptions'!$C$13="",'Inputs &amp; Assumptions'!$C$12,'Inputs &amp; Assumptions'!$C$13))))*(1-('Inputs &amp; Assumptions'!$C$73)))*(1-((((IF('Inputs &amp; Assumptions'!$C$13="",'Inputs &amp; Assumptions'!$C$12,'Inputs &amp; Assumptions'!$C$13)))/(G$18))))/((G$18)-((IF('Inputs &amp; Assumptions'!$C$13="",'Inputs &amp; Assumptions'!$C$12,'Inputs &amp; Assumptions'!$C$13))))))*(1/(1+G$18)^10))))-(Schedules!$K$93)+(IFERROR(INDEX(HS_CONSOLIDATED!L:L,MATCH("CashAndCashEquivalents",HS_CONSOLIDATED!$C:$C,0)),0)))/'WACC Schedule'!$C7</f>
        <v>38.3862189549093</v>
      </c>
    </row>
    <row r="21" customFormat="false" ht="15" hidden="false" customHeight="false" outlineLevel="0" collapsed="false">
      <c r="B21" s="105" t="n">
        <v>1</v>
      </c>
      <c r="C21" s="119" t="n">
        <f aca="false">(((((((('P&amp;L Schedule'!L14)*(1-(IFERROR(Schedules!L107/Schedules!L106,0))))+((-'P&amp;L Schedule'!L13))+((-Schedules!L53))+((Schedules!L45*($B21)))))*(1/(1+C$18)^1)+(((('P&amp;L Schedule'!M14)*(1-(IFERROR(Schedules!M107/Schedules!M106,0))))+((-'P&amp;L Schedule'!M13))+((-Schedules!M53))+((Schedules!M45*($B21)))))*(1/(1+C$18)^2)+(((('P&amp;L Schedule'!N14)*(1-(IFERROR(Schedules!N107/Schedules!N106,0))))+((-'P&amp;L Schedule'!N13))+((-Schedules!N53))+((Schedules!N45*($B21)))))*(1/(1+C$18)^3)+(((('P&amp;L Schedule'!O14)*(1-(IFERROR(Schedules!O107/Schedules!O106,0))))+((-'P&amp;L Schedule'!O13))+((-Schedules!O53))+((Schedules!O45*($B21)))))*(1/(1+C$18)^4)+(((('P&amp;L Schedule'!P14)*(1-(IFERROR(Schedules!P107/Schedules!P106,0))))+((-'P&amp;L Schedule'!P13))+((-Schedules!P53))+((Schedules!P45*($B21)))))*(1/(1+C$18)^5)+(((('P&amp;L Schedule'!Q14)*(1-(IFERROR(Schedules!Q107/Schedules!Q106,0))))+((-'P&amp;L Schedule'!Q13))+((-Schedules!Q53))+((Schedules!Q45*($B21)))))*(1/(1+C$18)^6)+(((('P&amp;L Schedule'!R14)*(1-(IFERROR(Schedules!R107/Schedules!R106,0))))+((-'P&amp;L Schedule'!R13))+((-Schedules!R53))+((Schedules!R45*($B21)))))*(1/(1+C$18)^7)+(((('P&amp;L Schedule'!S14)*(1-(IFERROR(Schedules!S107/Schedules!S106,0))))+((-'P&amp;L Schedule'!S13))+((-Schedules!S53))+((Schedules!S45*($B21)))))*(1/(1+C$18)^8)+(((('P&amp;L Schedule'!T14)*(1-(IFERROR(Schedules!T107/Schedules!T106,0))))+((-'P&amp;L Schedule'!T13))+((-Schedules!T53))+((Schedules!T45*($B21)))))*(1/(1+C$18)^9)+(((('P&amp;L Schedule'!U14)*(1-(IFERROR(Schedules!U107/Schedules!U106,0))))+((-'P&amp;L Schedule'!U13))+((-Schedules!U53))+((Schedules!U45*($B21)))))*(1/(1+C$18)^10))+((((('P&amp;L Schedule'!U14)*(1+((IF('Inputs &amp; Assumptions'!$C$13="",'Inputs &amp; Assumptions'!$C$12,'Inputs &amp; Assumptions'!$C$13))))*(1-('Inputs &amp; Assumptions'!$C$73)))*(1-((((IF('Inputs &amp; Assumptions'!$C$13="",'Inputs &amp; Assumptions'!$C$12,'Inputs &amp; Assumptions'!$C$13)))/(C$18))))/((C$18)-((IF('Inputs &amp; Assumptions'!$C$13="",'Inputs &amp; Assumptions'!$C$12,'Inputs &amp; Assumptions'!$C$13))))))*(1/(1+C$18)^10))))-(Schedules!$K$93)+(IFERROR(INDEX(HS_CONSOLIDATED!L:L,MATCH("CashAndCashEquivalents",HS_CONSOLIDATED!$C:$C,0)),0)))/'WACC Schedule'!$C7</f>
        <v>78.8621261789828</v>
      </c>
      <c r="D21" s="119" t="n">
        <f aca="false">(((((((('P&amp;L Schedule'!L14)*(1-(IFERROR(Schedules!L107/Schedules!L106,0))))+((-'P&amp;L Schedule'!L13))+((-Schedules!L53))+((Schedules!L45*($B21)))))*(1/(1+D$18)^1)+(((('P&amp;L Schedule'!M14)*(1-(IFERROR(Schedules!M107/Schedules!M106,0))))+((-'P&amp;L Schedule'!M13))+((-Schedules!M53))+((Schedules!M45*($B21)))))*(1/(1+D$18)^2)+(((('P&amp;L Schedule'!N14)*(1-(IFERROR(Schedules!N107/Schedules!N106,0))))+((-'P&amp;L Schedule'!N13))+((-Schedules!N53))+((Schedules!N45*($B21)))))*(1/(1+D$18)^3)+(((('P&amp;L Schedule'!O14)*(1-(IFERROR(Schedules!O107/Schedules!O106,0))))+((-'P&amp;L Schedule'!O13))+((-Schedules!O53))+((Schedules!O45*($B21)))))*(1/(1+D$18)^4)+(((('P&amp;L Schedule'!P14)*(1-(IFERROR(Schedules!P107/Schedules!P106,0))))+((-'P&amp;L Schedule'!P13))+((-Schedules!P53))+((Schedules!P45*($B21)))))*(1/(1+D$18)^5)+(((('P&amp;L Schedule'!Q14)*(1-(IFERROR(Schedules!Q107/Schedules!Q106,0))))+((-'P&amp;L Schedule'!Q13))+((-Schedules!Q53))+((Schedules!Q45*($B21)))))*(1/(1+D$18)^6)+(((('P&amp;L Schedule'!R14)*(1-(IFERROR(Schedules!R107/Schedules!R106,0))))+((-'P&amp;L Schedule'!R13))+((-Schedules!R53))+((Schedules!R45*($B21)))))*(1/(1+D$18)^7)+(((('P&amp;L Schedule'!S14)*(1-(IFERROR(Schedules!S107/Schedules!S106,0))))+((-'P&amp;L Schedule'!S13))+((-Schedules!S53))+((Schedules!S45*($B21)))))*(1/(1+D$18)^8)+(((('P&amp;L Schedule'!T14)*(1-(IFERROR(Schedules!T107/Schedules!T106,0))))+((-'P&amp;L Schedule'!T13))+((-Schedules!T53))+((Schedules!T45*($B21)))))*(1/(1+D$18)^9)+(((('P&amp;L Schedule'!U14)*(1-(IFERROR(Schedules!U107/Schedules!U106,0))))+((-'P&amp;L Schedule'!U13))+((-Schedules!U53))+((Schedules!U45*($B21)))))*(1/(1+D$18)^10))+((((('P&amp;L Schedule'!U14)*(1+((IF('Inputs &amp; Assumptions'!$C$13="",'Inputs &amp; Assumptions'!$C$12,'Inputs &amp; Assumptions'!$C$13))))*(1-('Inputs &amp; Assumptions'!$C$73)))*(1-((((IF('Inputs &amp; Assumptions'!$C$13="",'Inputs &amp; Assumptions'!$C$12,'Inputs &amp; Assumptions'!$C$13)))/(D$18))))/((D$18)-((IF('Inputs &amp; Assumptions'!$C$13="",'Inputs &amp; Assumptions'!$C$12,'Inputs &amp; Assumptions'!$C$13))))))*(1/(1+D$18)^10))))-(Schedules!$K$93)+(IFERROR(INDEX(HS_CONSOLIDATED!L:L,MATCH("CashAndCashEquivalents",HS_CONSOLIDATED!$C:$C,0)),0)))/'WACC Schedule'!$C7</f>
        <v>63.3043864454441</v>
      </c>
      <c r="E21" s="119" t="n">
        <f aca="false">(((((((('P&amp;L Schedule'!L14)*(1-(IFERROR(Schedules!L107/Schedules!L106,0))))+((-'P&amp;L Schedule'!L13))+((-Schedules!L53))+((Schedules!L45*($B21)))))*(1/(1+E$18)^1)+(((('P&amp;L Schedule'!M14)*(1-(IFERROR(Schedules!M107/Schedules!M106,0))))+((-'P&amp;L Schedule'!M13))+((-Schedules!M53))+((Schedules!M45*($B21)))))*(1/(1+E$18)^2)+(((('P&amp;L Schedule'!N14)*(1-(IFERROR(Schedules!N107/Schedules!N106,0))))+((-'P&amp;L Schedule'!N13))+((-Schedules!N53))+((Schedules!N45*($B21)))))*(1/(1+E$18)^3)+(((('P&amp;L Schedule'!O14)*(1-(IFERROR(Schedules!O107/Schedules!O106,0))))+((-'P&amp;L Schedule'!O13))+((-Schedules!O53))+((Schedules!O45*($B21)))))*(1/(1+E$18)^4)+(((('P&amp;L Schedule'!P14)*(1-(IFERROR(Schedules!P107/Schedules!P106,0))))+((-'P&amp;L Schedule'!P13))+((-Schedules!P53))+((Schedules!P45*($B21)))))*(1/(1+E$18)^5)+(((('P&amp;L Schedule'!Q14)*(1-(IFERROR(Schedules!Q107/Schedules!Q106,0))))+((-'P&amp;L Schedule'!Q13))+((-Schedules!Q53))+((Schedules!Q45*($B21)))))*(1/(1+E$18)^6)+(((('P&amp;L Schedule'!R14)*(1-(IFERROR(Schedules!R107/Schedules!R106,0))))+((-'P&amp;L Schedule'!R13))+((-Schedules!R53))+((Schedules!R45*($B21)))))*(1/(1+E$18)^7)+(((('P&amp;L Schedule'!S14)*(1-(IFERROR(Schedules!S107/Schedules!S106,0))))+((-'P&amp;L Schedule'!S13))+((-Schedules!S53))+((Schedules!S45*($B21)))))*(1/(1+E$18)^8)+(((('P&amp;L Schedule'!T14)*(1-(IFERROR(Schedules!T107/Schedules!T106,0))))+((-'P&amp;L Schedule'!T13))+((-Schedules!T53))+((Schedules!T45*($B21)))))*(1/(1+E$18)^9)+(((('P&amp;L Schedule'!U14)*(1-(IFERROR(Schedules!U107/Schedules!U106,0))))+((-'P&amp;L Schedule'!U13))+((-Schedules!U53))+((Schedules!U45*($B21)))))*(1/(1+E$18)^10))+((((('P&amp;L Schedule'!U14)*(1+((IF('Inputs &amp; Assumptions'!$C$13="",'Inputs &amp; Assumptions'!$C$12,'Inputs &amp; Assumptions'!$C$13))))*(1-('Inputs &amp; Assumptions'!$C$73)))*(1-((((IF('Inputs &amp; Assumptions'!$C$13="",'Inputs &amp; Assumptions'!$C$12,'Inputs &amp; Assumptions'!$C$13)))/(E$18))))/((E$18)-((IF('Inputs &amp; Assumptions'!$C$13="",'Inputs &amp; Assumptions'!$C$12,'Inputs &amp; Assumptions'!$C$13))))))*(1/(1+E$18)^10))))-(Schedules!$K$93)+(IFERROR(INDEX(HS_CONSOLIDATED!L:L,MATCH("CashAndCashEquivalents",HS_CONSOLIDATED!$C:$C,0)),0)))/'WACC Schedule'!$C7</f>
        <v>52.0012132094114</v>
      </c>
      <c r="F21" s="119" t="n">
        <f aca="false">(((((((('P&amp;L Schedule'!L14)*(1-(IFERROR(Schedules!L107/Schedules!L106,0))))+((-'P&amp;L Schedule'!L13))+((-Schedules!L53))+((Schedules!L45*($B21)))))*(1/(1+F$18)^1)+(((('P&amp;L Schedule'!M14)*(1-(IFERROR(Schedules!M107/Schedules!M106,0))))+((-'P&amp;L Schedule'!M13))+((-Schedules!M53))+((Schedules!M45*($B21)))))*(1/(1+F$18)^2)+(((('P&amp;L Schedule'!N14)*(1-(IFERROR(Schedules!N107/Schedules!N106,0))))+((-'P&amp;L Schedule'!N13))+((-Schedules!N53))+((Schedules!N45*($B21)))))*(1/(1+F$18)^3)+(((('P&amp;L Schedule'!O14)*(1-(IFERROR(Schedules!O107/Schedules!O106,0))))+((-'P&amp;L Schedule'!O13))+((-Schedules!O53))+((Schedules!O45*($B21)))))*(1/(1+F$18)^4)+(((('P&amp;L Schedule'!P14)*(1-(IFERROR(Schedules!P107/Schedules!P106,0))))+((-'P&amp;L Schedule'!P13))+((-Schedules!P53))+((Schedules!P45*($B21)))))*(1/(1+F$18)^5)+(((('P&amp;L Schedule'!Q14)*(1-(IFERROR(Schedules!Q107/Schedules!Q106,0))))+((-'P&amp;L Schedule'!Q13))+((-Schedules!Q53))+((Schedules!Q45*($B21)))))*(1/(1+F$18)^6)+(((('P&amp;L Schedule'!R14)*(1-(IFERROR(Schedules!R107/Schedules!R106,0))))+((-'P&amp;L Schedule'!R13))+((-Schedules!R53))+((Schedules!R45*($B21)))))*(1/(1+F$18)^7)+(((('P&amp;L Schedule'!S14)*(1-(IFERROR(Schedules!S107/Schedules!S106,0))))+((-'P&amp;L Schedule'!S13))+((-Schedules!S53))+((Schedules!S45*($B21)))))*(1/(1+F$18)^8)+(((('P&amp;L Schedule'!T14)*(1-(IFERROR(Schedules!T107/Schedules!T106,0))))+((-'P&amp;L Schedule'!T13))+((-Schedules!T53))+((Schedules!T45*($B21)))))*(1/(1+F$18)^9)+(((('P&amp;L Schedule'!U14)*(1-(IFERROR(Schedules!U107/Schedules!U106,0))))+((-'P&amp;L Schedule'!U13))+((-Schedules!U53))+((Schedules!U45*($B21)))))*(1/(1+F$18)^10))+((((('P&amp;L Schedule'!U14)*(1+((IF('Inputs &amp; Assumptions'!$C$13="",'Inputs &amp; Assumptions'!$C$12,'Inputs &amp; Assumptions'!$C$13))))*(1-('Inputs &amp; Assumptions'!$C$73)))*(1-((((IF('Inputs &amp; Assumptions'!$C$13="",'Inputs &amp; Assumptions'!$C$12,'Inputs &amp; Assumptions'!$C$13)))/(F$18))))/((F$18)-((IF('Inputs &amp; Assumptions'!$C$13="",'Inputs &amp; Assumptions'!$C$12,'Inputs &amp; Assumptions'!$C$13))))))*(1/(1+F$18)^10))))-(Schedules!$K$93)+(IFERROR(INDEX(HS_CONSOLIDATED!L:L,MATCH("CashAndCashEquivalents",HS_CONSOLIDATED!$C:$C,0)),0)))/'WACC Schedule'!$C7</f>
        <v>43.4898517534352</v>
      </c>
      <c r="G21" s="119" t="n">
        <f aca="false">(((((((('P&amp;L Schedule'!L14)*(1-(IFERROR(Schedules!L107/Schedules!L106,0))))+((-'P&amp;L Schedule'!L13))+((-Schedules!L53))+((Schedules!L45*($B21)))))*(1/(1+G$18)^1)+(((('P&amp;L Schedule'!M14)*(1-(IFERROR(Schedules!M107/Schedules!M106,0))))+((-'P&amp;L Schedule'!M13))+((-Schedules!M53))+((Schedules!M45*($B21)))))*(1/(1+G$18)^2)+(((('P&amp;L Schedule'!N14)*(1-(IFERROR(Schedules!N107/Schedules!N106,0))))+((-'P&amp;L Schedule'!N13))+((-Schedules!N53))+((Schedules!N45*($B21)))))*(1/(1+G$18)^3)+(((('P&amp;L Schedule'!O14)*(1-(IFERROR(Schedules!O107/Schedules!O106,0))))+((-'P&amp;L Schedule'!O13))+((-Schedules!O53))+((Schedules!O45*($B21)))))*(1/(1+G$18)^4)+(((('P&amp;L Schedule'!P14)*(1-(IFERROR(Schedules!P107/Schedules!P106,0))))+((-'P&amp;L Schedule'!P13))+((-Schedules!P53))+((Schedules!P45*($B21)))))*(1/(1+G$18)^5)+(((('P&amp;L Schedule'!Q14)*(1-(IFERROR(Schedules!Q107/Schedules!Q106,0))))+((-'P&amp;L Schedule'!Q13))+((-Schedules!Q53))+((Schedules!Q45*($B21)))))*(1/(1+G$18)^6)+(((('P&amp;L Schedule'!R14)*(1-(IFERROR(Schedules!R107/Schedules!R106,0))))+((-'P&amp;L Schedule'!R13))+((-Schedules!R53))+((Schedules!R45*($B21)))))*(1/(1+G$18)^7)+(((('P&amp;L Schedule'!S14)*(1-(IFERROR(Schedules!S107/Schedules!S106,0))))+((-'P&amp;L Schedule'!S13))+((-Schedules!S53))+((Schedules!S45*($B21)))))*(1/(1+G$18)^8)+(((('P&amp;L Schedule'!T14)*(1-(IFERROR(Schedules!T107/Schedules!T106,0))))+((-'P&amp;L Schedule'!T13))+((-Schedules!T53))+((Schedules!T45*($B21)))))*(1/(1+G$18)^9)+(((('P&amp;L Schedule'!U14)*(1-(IFERROR(Schedules!U107/Schedules!U106,0))))+((-'P&amp;L Schedule'!U13))+((-Schedules!U53))+((Schedules!U45*($B21)))))*(1/(1+G$18)^10))+((((('P&amp;L Schedule'!U14)*(1+((IF('Inputs &amp; Assumptions'!$C$13="",'Inputs &amp; Assumptions'!$C$12,'Inputs &amp; Assumptions'!$C$13))))*(1-('Inputs &amp; Assumptions'!$C$73)))*(1-((((IF('Inputs &amp; Assumptions'!$C$13="",'Inputs &amp; Assumptions'!$C$12,'Inputs &amp; Assumptions'!$C$13)))/(G$18))))/((G$18)-((IF('Inputs &amp; Assumptions'!$C$13="",'Inputs &amp; Assumptions'!$C$12,'Inputs &amp; Assumptions'!$C$13))))))*(1/(1+G$18)^10))))-(Schedules!$K$93)+(IFERROR(INDEX(HS_CONSOLIDATED!L:L,MATCH("CashAndCashEquivalents",HS_CONSOLIDATED!$C:$C,0)),0)))/'WACC Schedule'!$C7</f>
        <v>36.9018927978492</v>
      </c>
    </row>
    <row r="22" customFormat="false" ht="15" hidden="false" customHeight="false" outlineLevel="0" collapsed="false">
      <c r="B22" s="105" t="n">
        <v>1.15</v>
      </c>
      <c r="C22" s="119" t="n">
        <f aca="false">(((((((('P&amp;L Schedule'!L14)*(1-(IFERROR(Schedules!L107/Schedules!L106,0))))+((-'P&amp;L Schedule'!L13))+((-Schedules!L53))+((Schedules!L45*($B22)))))*(1/(1+C$18)^1)+(((('P&amp;L Schedule'!M14)*(1-(IFERROR(Schedules!M107/Schedules!M106,0))))+((-'P&amp;L Schedule'!M13))+((-Schedules!M53))+((Schedules!M45*($B22)))))*(1/(1+C$18)^2)+(((('P&amp;L Schedule'!N14)*(1-(IFERROR(Schedules!N107/Schedules!N106,0))))+((-'P&amp;L Schedule'!N13))+((-Schedules!N53))+((Schedules!N45*($B22)))))*(1/(1+C$18)^3)+(((('P&amp;L Schedule'!O14)*(1-(IFERROR(Schedules!O107/Schedules!O106,0))))+((-'P&amp;L Schedule'!O13))+((-Schedules!O53))+((Schedules!O45*($B22)))))*(1/(1+C$18)^4)+(((('P&amp;L Schedule'!P14)*(1-(IFERROR(Schedules!P107/Schedules!P106,0))))+((-'P&amp;L Schedule'!P13))+((-Schedules!P53))+((Schedules!P45*($B22)))))*(1/(1+C$18)^5)+(((('P&amp;L Schedule'!Q14)*(1-(IFERROR(Schedules!Q107/Schedules!Q106,0))))+((-'P&amp;L Schedule'!Q13))+((-Schedules!Q53))+((Schedules!Q45*($B22)))))*(1/(1+C$18)^6)+(((('P&amp;L Schedule'!R14)*(1-(IFERROR(Schedules!R107/Schedules!R106,0))))+((-'P&amp;L Schedule'!R13))+((-Schedules!R53))+((Schedules!R45*($B22)))))*(1/(1+C$18)^7)+(((('P&amp;L Schedule'!S14)*(1-(IFERROR(Schedules!S107/Schedules!S106,0))))+((-'P&amp;L Schedule'!S13))+((-Schedules!S53))+((Schedules!S45*($B22)))))*(1/(1+C$18)^8)+(((('P&amp;L Schedule'!T14)*(1-(IFERROR(Schedules!T107/Schedules!T106,0))))+((-'P&amp;L Schedule'!T13))+((-Schedules!T53))+((Schedules!T45*($B22)))))*(1/(1+C$18)^9)+(((('P&amp;L Schedule'!U14)*(1-(IFERROR(Schedules!U107/Schedules!U106,0))))+((-'P&amp;L Schedule'!U13))+((-Schedules!U53))+((Schedules!U45*($B22)))))*(1/(1+C$18)^10))+((((('P&amp;L Schedule'!U14)*(1+((IF('Inputs &amp; Assumptions'!$C$13="",'Inputs &amp; Assumptions'!$C$12,'Inputs &amp; Assumptions'!$C$13))))*(1-('Inputs &amp; Assumptions'!$C$73)))*(1-((((IF('Inputs &amp; Assumptions'!$C$13="",'Inputs &amp; Assumptions'!$C$12,'Inputs &amp; Assumptions'!$C$13)))/(C$18))))/((C$18)-((IF('Inputs &amp; Assumptions'!$C$13="",'Inputs &amp; Assumptions'!$C$12,'Inputs &amp; Assumptions'!$C$13))))))*(1/(1+C$18)^10))))-(Schedules!$K$93)+(IFERROR(INDEX(HS_CONSOLIDATED!L:L,MATCH("CashAndCashEquivalents",HS_CONSOLIDATED!$C:$C,0)),0)))/'WACC Schedule'!$C7</f>
        <v>77.0175861583414</v>
      </c>
      <c r="D22" s="119" t="n">
        <f aca="false">(((((((('P&amp;L Schedule'!L14)*(1-(IFERROR(Schedules!L107/Schedules!L106,0))))+((-'P&amp;L Schedule'!L13))+((-Schedules!L53))+((Schedules!L45*($B22)))))*(1/(1+D$18)^1)+(((('P&amp;L Schedule'!M14)*(1-(IFERROR(Schedules!M107/Schedules!M106,0))))+((-'P&amp;L Schedule'!M13))+((-Schedules!M53))+((Schedules!M45*($B22)))))*(1/(1+D$18)^2)+(((('P&amp;L Schedule'!N14)*(1-(IFERROR(Schedules!N107/Schedules!N106,0))))+((-'P&amp;L Schedule'!N13))+((-Schedules!N53))+((Schedules!N45*($B22)))))*(1/(1+D$18)^3)+(((('P&amp;L Schedule'!O14)*(1-(IFERROR(Schedules!O107/Schedules!O106,0))))+((-'P&amp;L Schedule'!O13))+((-Schedules!O53))+((Schedules!O45*($B22)))))*(1/(1+D$18)^4)+(((('P&amp;L Schedule'!P14)*(1-(IFERROR(Schedules!P107/Schedules!P106,0))))+((-'P&amp;L Schedule'!P13))+((-Schedules!P53))+((Schedules!P45*($B22)))))*(1/(1+D$18)^5)+(((('P&amp;L Schedule'!Q14)*(1-(IFERROR(Schedules!Q107/Schedules!Q106,0))))+((-'P&amp;L Schedule'!Q13))+((-Schedules!Q53))+((Schedules!Q45*($B22)))))*(1/(1+D$18)^6)+(((('P&amp;L Schedule'!R14)*(1-(IFERROR(Schedules!R107/Schedules!R106,0))))+((-'P&amp;L Schedule'!R13))+((-Schedules!R53))+((Schedules!R45*($B22)))))*(1/(1+D$18)^7)+(((('P&amp;L Schedule'!S14)*(1-(IFERROR(Schedules!S107/Schedules!S106,0))))+((-'P&amp;L Schedule'!S13))+((-Schedules!S53))+((Schedules!S45*($B22)))))*(1/(1+D$18)^8)+(((('P&amp;L Schedule'!T14)*(1-(IFERROR(Schedules!T107/Schedules!T106,0))))+((-'P&amp;L Schedule'!T13))+((-Schedules!T53))+((Schedules!T45*($B22)))))*(1/(1+D$18)^9)+(((('P&amp;L Schedule'!U14)*(1-(IFERROR(Schedules!U107/Schedules!U106,0))))+((-'P&amp;L Schedule'!U13))+((-Schedules!U53))+((Schedules!U45*($B22)))))*(1/(1+D$18)^10))+((((('P&amp;L Schedule'!U14)*(1+((IF('Inputs &amp; Assumptions'!$C$13="",'Inputs &amp; Assumptions'!$C$12,'Inputs &amp; Assumptions'!$C$13))))*(1-('Inputs &amp; Assumptions'!$C$73)))*(1-((((IF('Inputs &amp; Assumptions'!$C$13="",'Inputs &amp; Assumptions'!$C$12,'Inputs &amp; Assumptions'!$C$13)))/(D$18))))/((D$18)-((IF('Inputs &amp; Assumptions'!$C$13="",'Inputs &amp; Assumptions'!$C$12,'Inputs &amp; Assumptions'!$C$13))))))*(1/(1+D$18)^10))))-(Schedules!$K$93)+(IFERROR(INDEX(HS_CONSOLIDATED!L:L,MATCH("CashAndCashEquivalents",HS_CONSOLIDATED!$C:$C,0)),0)))/'WACC Schedule'!$C7</f>
        <v>61.5604251421633</v>
      </c>
      <c r="E22" s="119" t="n">
        <f aca="false">(((((((('P&amp;L Schedule'!L14)*(1-(IFERROR(Schedules!L107/Schedules!L106,0))))+((-'P&amp;L Schedule'!L13))+((-Schedules!L53))+((Schedules!L45*($B22)))))*(1/(1+E$18)^1)+(((('P&amp;L Schedule'!M14)*(1-(IFERROR(Schedules!M107/Schedules!M106,0))))+((-'P&amp;L Schedule'!M13))+((-Schedules!M53))+((Schedules!M45*($B22)))))*(1/(1+E$18)^2)+(((('P&amp;L Schedule'!N14)*(1-(IFERROR(Schedules!N107/Schedules!N106,0))))+((-'P&amp;L Schedule'!N13))+((-Schedules!N53))+((Schedules!N45*($B22)))))*(1/(1+E$18)^3)+(((('P&amp;L Schedule'!O14)*(1-(IFERROR(Schedules!O107/Schedules!O106,0))))+((-'P&amp;L Schedule'!O13))+((-Schedules!O53))+((Schedules!O45*($B22)))))*(1/(1+E$18)^4)+(((('P&amp;L Schedule'!P14)*(1-(IFERROR(Schedules!P107/Schedules!P106,0))))+((-'P&amp;L Schedule'!P13))+((-Schedules!P53))+((Schedules!P45*($B22)))))*(1/(1+E$18)^5)+(((('P&amp;L Schedule'!Q14)*(1-(IFERROR(Schedules!Q107/Schedules!Q106,0))))+((-'P&amp;L Schedule'!Q13))+((-Schedules!Q53))+((Schedules!Q45*($B22)))))*(1/(1+E$18)^6)+(((('P&amp;L Schedule'!R14)*(1-(IFERROR(Schedules!R107/Schedules!R106,0))))+((-'P&amp;L Schedule'!R13))+((-Schedules!R53))+((Schedules!R45*($B22)))))*(1/(1+E$18)^7)+(((('P&amp;L Schedule'!S14)*(1-(IFERROR(Schedules!S107/Schedules!S106,0))))+((-'P&amp;L Schedule'!S13))+((-Schedules!S53))+((Schedules!S45*($B22)))))*(1/(1+E$18)^8)+(((('P&amp;L Schedule'!T14)*(1-(IFERROR(Schedules!T107/Schedules!T106,0))))+((-'P&amp;L Schedule'!T13))+((-Schedules!T53))+((Schedules!T45*($B22)))))*(1/(1+E$18)^9)+(((('P&amp;L Schedule'!U14)*(1-(IFERROR(Schedules!U107/Schedules!U106,0))))+((-'P&amp;L Schedule'!U13))+((-Schedules!U53))+((Schedules!U45*($B22)))))*(1/(1+E$18)^10))+((((('P&amp;L Schedule'!U14)*(1+((IF('Inputs &amp; Assumptions'!$C$13="",'Inputs &amp; Assumptions'!$C$12,'Inputs &amp; Assumptions'!$C$13))))*(1-('Inputs &amp; Assumptions'!$C$73)))*(1-((((IF('Inputs &amp; Assumptions'!$C$13="",'Inputs &amp; Assumptions'!$C$12,'Inputs &amp; Assumptions'!$C$13)))/(E$18))))/((E$18)-((IF('Inputs &amp; Assumptions'!$C$13="",'Inputs &amp; Assumptions'!$C$12,'Inputs &amp; Assumptions'!$C$13))))))*(1/(1+E$18)^10))))-(Schedules!$K$93)+(IFERROR(INDEX(HS_CONSOLIDATED!L:L,MATCH("CashAndCashEquivalents",HS_CONSOLIDATED!$C:$C,0)),0)))/'WACC Schedule'!$C7</f>
        <v>50.3503894969624</v>
      </c>
      <c r="F22" s="119" t="n">
        <f aca="false">(((((((('P&amp;L Schedule'!L14)*(1-(IFERROR(Schedules!L107/Schedules!L106,0))))+((-'P&amp;L Schedule'!L13))+((-Schedules!L53))+((Schedules!L45*($B22)))))*(1/(1+F$18)^1)+(((('P&amp;L Schedule'!M14)*(1-(IFERROR(Schedules!M107/Schedules!M106,0))))+((-'P&amp;L Schedule'!M13))+((-Schedules!M53))+((Schedules!M45*($B22)))))*(1/(1+F$18)^2)+(((('P&amp;L Schedule'!N14)*(1-(IFERROR(Schedules!N107/Schedules!N106,0))))+((-'P&amp;L Schedule'!N13))+((-Schedules!N53))+((Schedules!N45*($B22)))))*(1/(1+F$18)^3)+(((('P&amp;L Schedule'!O14)*(1-(IFERROR(Schedules!O107/Schedules!O106,0))))+((-'P&amp;L Schedule'!O13))+((-Schedules!O53))+((Schedules!O45*($B22)))))*(1/(1+F$18)^4)+(((('P&amp;L Schedule'!P14)*(1-(IFERROR(Schedules!P107/Schedules!P106,0))))+((-'P&amp;L Schedule'!P13))+((-Schedules!P53))+((Schedules!P45*($B22)))))*(1/(1+F$18)^5)+(((('P&amp;L Schedule'!Q14)*(1-(IFERROR(Schedules!Q107/Schedules!Q106,0))))+((-'P&amp;L Schedule'!Q13))+((-Schedules!Q53))+((Schedules!Q45*($B22)))))*(1/(1+F$18)^6)+(((('P&amp;L Schedule'!R14)*(1-(IFERROR(Schedules!R107/Schedules!R106,0))))+((-'P&amp;L Schedule'!R13))+((-Schedules!R53))+((Schedules!R45*($B22)))))*(1/(1+F$18)^7)+(((('P&amp;L Schedule'!S14)*(1-(IFERROR(Schedules!S107/Schedules!S106,0))))+((-'P&amp;L Schedule'!S13))+((-Schedules!S53))+((Schedules!S45*($B22)))))*(1/(1+F$18)^8)+(((('P&amp;L Schedule'!T14)*(1-(IFERROR(Schedules!T107/Schedules!T106,0))))+((-'P&amp;L Schedule'!T13))+((-Schedules!T53))+((Schedules!T45*($B22)))))*(1/(1+F$18)^9)+(((('P&amp;L Schedule'!U14)*(1-(IFERROR(Schedules!U107/Schedules!U106,0))))+((-'P&amp;L Schedule'!U13))+((-Schedules!U53))+((Schedules!U45*($B22)))))*(1/(1+F$18)^10))+((((('P&amp;L Schedule'!U14)*(1+((IF('Inputs &amp; Assumptions'!$C$13="",'Inputs &amp; Assumptions'!$C$12,'Inputs &amp; Assumptions'!$C$13))))*(1-('Inputs &amp; Assumptions'!$C$73)))*(1-((((IF('Inputs &amp; Assumptions'!$C$13="",'Inputs &amp; Assumptions'!$C$12,'Inputs &amp; Assumptions'!$C$13)))/(F$18))))/((F$18)-((IF('Inputs &amp; Assumptions'!$C$13="",'Inputs &amp; Assumptions'!$C$12,'Inputs &amp; Assumptions'!$C$13))))))*(1/(1+F$18)^10))))-(Schedules!$K$93)+(IFERROR(INDEX(HS_CONSOLIDATED!L:L,MATCH("CashAndCashEquivalents",HS_CONSOLIDATED!$C:$C,0)),0)))/'WACC Schedule'!$C7</f>
        <v>41.9253771040361</v>
      </c>
      <c r="G22" s="119" t="n">
        <f aca="false">(((((((('P&amp;L Schedule'!L14)*(1-(IFERROR(Schedules!L107/Schedules!L106,0))))+((-'P&amp;L Schedule'!L13))+((-Schedules!L53))+((Schedules!L45*($B22)))))*(1/(1+G$18)^1)+(((('P&amp;L Schedule'!M14)*(1-(IFERROR(Schedules!M107/Schedules!M106,0))))+((-'P&amp;L Schedule'!M13))+((-Schedules!M53))+((Schedules!M45*($B22)))))*(1/(1+G$18)^2)+(((('P&amp;L Schedule'!N14)*(1-(IFERROR(Schedules!N107/Schedules!N106,0))))+((-'P&amp;L Schedule'!N13))+((-Schedules!N53))+((Schedules!N45*($B22)))))*(1/(1+G$18)^3)+(((('P&amp;L Schedule'!O14)*(1-(IFERROR(Schedules!O107/Schedules!O106,0))))+((-'P&amp;L Schedule'!O13))+((-Schedules!O53))+((Schedules!O45*($B22)))))*(1/(1+G$18)^4)+(((('P&amp;L Schedule'!P14)*(1-(IFERROR(Schedules!P107/Schedules!P106,0))))+((-'P&amp;L Schedule'!P13))+((-Schedules!P53))+((Schedules!P45*($B22)))))*(1/(1+G$18)^5)+(((('P&amp;L Schedule'!Q14)*(1-(IFERROR(Schedules!Q107/Schedules!Q106,0))))+((-'P&amp;L Schedule'!Q13))+((-Schedules!Q53))+((Schedules!Q45*($B22)))))*(1/(1+G$18)^6)+(((('P&amp;L Schedule'!R14)*(1-(IFERROR(Schedules!R107/Schedules!R106,0))))+((-'P&amp;L Schedule'!R13))+((-Schedules!R53))+((Schedules!R45*($B22)))))*(1/(1+G$18)^7)+(((('P&amp;L Schedule'!S14)*(1-(IFERROR(Schedules!S107/Schedules!S106,0))))+((-'P&amp;L Schedule'!S13))+((-Schedules!S53))+((Schedules!S45*($B22)))))*(1/(1+G$18)^8)+(((('P&amp;L Schedule'!T14)*(1-(IFERROR(Schedules!T107/Schedules!T106,0))))+((-'P&amp;L Schedule'!T13))+((-Schedules!T53))+((Schedules!T45*($B22)))))*(1/(1+G$18)^9)+(((('P&amp;L Schedule'!U14)*(1-(IFERROR(Schedules!U107/Schedules!U106,0))))+((-'P&amp;L Schedule'!U13))+((-Schedules!U53))+((Schedules!U45*($B22)))))*(1/(1+G$18)^10))+((((('P&amp;L Schedule'!U14)*(1+((IF('Inputs &amp; Assumptions'!$C$13="",'Inputs &amp; Assumptions'!$C$12,'Inputs &amp; Assumptions'!$C$13))))*(1-('Inputs &amp; Assumptions'!$C$73)))*(1-((((IF('Inputs &amp; Assumptions'!$C$13="",'Inputs &amp; Assumptions'!$C$12,'Inputs &amp; Assumptions'!$C$13)))/(G$18))))/((G$18)-((IF('Inputs &amp; Assumptions'!$C$13="",'Inputs &amp; Assumptions'!$C$12,'Inputs &amp; Assumptions'!$C$13))))))*(1/(1+G$18)^10))))-(Schedules!$K$93)+(IFERROR(INDEX(HS_CONSOLIDATED!L:L,MATCH("CashAndCashEquivalents",HS_CONSOLIDATED!$C:$C,0)),0)))/'WACC Schedule'!$C7</f>
        <v>35.4175666407891</v>
      </c>
    </row>
    <row r="23" customFormat="false" ht="15" hidden="false" customHeight="false" outlineLevel="0" collapsed="false">
      <c r="B23" s="105" t="n">
        <v>1.3</v>
      </c>
      <c r="C23" s="119" t="n">
        <f aca="false">(((((((('P&amp;L Schedule'!L14)*(1-(IFERROR(Schedules!L107/Schedules!L106,0))))+((-'P&amp;L Schedule'!L13))+((-Schedules!L53))+((Schedules!L45*($B23)))))*(1/(1+C$18)^1)+(((('P&amp;L Schedule'!M14)*(1-(IFERROR(Schedules!M107/Schedules!M106,0))))+((-'P&amp;L Schedule'!M13))+((-Schedules!M53))+((Schedules!M45*($B23)))))*(1/(1+C$18)^2)+(((('P&amp;L Schedule'!N14)*(1-(IFERROR(Schedules!N107/Schedules!N106,0))))+((-'P&amp;L Schedule'!N13))+((-Schedules!N53))+((Schedules!N45*($B23)))))*(1/(1+C$18)^3)+(((('P&amp;L Schedule'!O14)*(1-(IFERROR(Schedules!O107/Schedules!O106,0))))+((-'P&amp;L Schedule'!O13))+((-Schedules!O53))+((Schedules!O45*($B23)))))*(1/(1+C$18)^4)+(((('P&amp;L Schedule'!P14)*(1-(IFERROR(Schedules!P107/Schedules!P106,0))))+((-'P&amp;L Schedule'!P13))+((-Schedules!P53))+((Schedules!P45*($B23)))))*(1/(1+C$18)^5)+(((('P&amp;L Schedule'!Q14)*(1-(IFERROR(Schedules!Q107/Schedules!Q106,0))))+((-'P&amp;L Schedule'!Q13))+((-Schedules!Q53))+((Schedules!Q45*($B23)))))*(1/(1+C$18)^6)+(((('P&amp;L Schedule'!R14)*(1-(IFERROR(Schedules!R107/Schedules!R106,0))))+((-'P&amp;L Schedule'!R13))+((-Schedules!R53))+((Schedules!R45*($B23)))))*(1/(1+C$18)^7)+(((('P&amp;L Schedule'!S14)*(1-(IFERROR(Schedules!S107/Schedules!S106,0))))+((-'P&amp;L Schedule'!S13))+((-Schedules!S53))+((Schedules!S45*($B23)))))*(1/(1+C$18)^8)+(((('P&amp;L Schedule'!T14)*(1-(IFERROR(Schedules!T107/Schedules!T106,0))))+((-'P&amp;L Schedule'!T13))+((-Schedules!T53))+((Schedules!T45*($B23)))))*(1/(1+C$18)^9)+(((('P&amp;L Schedule'!U14)*(1-(IFERROR(Schedules!U107/Schedules!U106,0))))+((-'P&amp;L Schedule'!U13))+((-Schedules!U53))+((Schedules!U45*($B23)))))*(1/(1+C$18)^10))+((((('P&amp;L Schedule'!U14)*(1+((IF('Inputs &amp; Assumptions'!$C$13="",'Inputs &amp; Assumptions'!$C$12,'Inputs &amp; Assumptions'!$C$13))))*(1-('Inputs &amp; Assumptions'!$C$73)))*(1-((((IF('Inputs &amp; Assumptions'!$C$13="",'Inputs &amp; Assumptions'!$C$12,'Inputs &amp; Assumptions'!$C$13)))/(C$18))))/((C$18)-((IF('Inputs &amp; Assumptions'!$C$13="",'Inputs &amp; Assumptions'!$C$12,'Inputs &amp; Assumptions'!$C$13))))))*(1/(1+C$18)^10))))-(Schedules!$K$93)+(IFERROR(INDEX(HS_CONSOLIDATED!L:L,MATCH("CashAndCashEquivalents",HS_CONSOLIDATED!$C:$C,0)),0)))/'WACC Schedule'!$C7</f>
        <v>75.1730461376999</v>
      </c>
      <c r="D23" s="119" t="n">
        <f aca="false">(((((((('P&amp;L Schedule'!L14)*(1-(IFERROR(Schedules!L107/Schedules!L106,0))))+((-'P&amp;L Schedule'!L13))+((-Schedules!L53))+((Schedules!L45*($B23)))))*(1/(1+D$18)^1)+(((('P&amp;L Schedule'!M14)*(1-(IFERROR(Schedules!M107/Schedules!M106,0))))+((-'P&amp;L Schedule'!M13))+((-Schedules!M53))+((Schedules!M45*($B23)))))*(1/(1+D$18)^2)+(((('P&amp;L Schedule'!N14)*(1-(IFERROR(Schedules!N107/Schedules!N106,0))))+((-'P&amp;L Schedule'!N13))+((-Schedules!N53))+((Schedules!N45*($B23)))))*(1/(1+D$18)^3)+(((('P&amp;L Schedule'!O14)*(1-(IFERROR(Schedules!O107/Schedules!O106,0))))+((-'P&amp;L Schedule'!O13))+((-Schedules!O53))+((Schedules!O45*($B23)))))*(1/(1+D$18)^4)+(((('P&amp;L Schedule'!P14)*(1-(IFERROR(Schedules!P107/Schedules!P106,0))))+((-'P&amp;L Schedule'!P13))+((-Schedules!P53))+((Schedules!P45*($B23)))))*(1/(1+D$18)^5)+(((('P&amp;L Schedule'!Q14)*(1-(IFERROR(Schedules!Q107/Schedules!Q106,0))))+((-'P&amp;L Schedule'!Q13))+((-Schedules!Q53))+((Schedules!Q45*($B23)))))*(1/(1+D$18)^6)+(((('P&amp;L Schedule'!R14)*(1-(IFERROR(Schedules!R107/Schedules!R106,0))))+((-'P&amp;L Schedule'!R13))+((-Schedules!R53))+((Schedules!R45*($B23)))))*(1/(1+D$18)^7)+(((('P&amp;L Schedule'!S14)*(1-(IFERROR(Schedules!S107/Schedules!S106,0))))+((-'P&amp;L Schedule'!S13))+((-Schedules!S53))+((Schedules!S45*($B23)))))*(1/(1+D$18)^8)+(((('P&amp;L Schedule'!T14)*(1-(IFERROR(Schedules!T107/Schedules!T106,0))))+((-'P&amp;L Schedule'!T13))+((-Schedules!T53))+((Schedules!T45*($B23)))))*(1/(1+D$18)^9)+(((('P&amp;L Schedule'!U14)*(1-(IFERROR(Schedules!U107/Schedules!U106,0))))+((-'P&amp;L Schedule'!U13))+((-Schedules!U53))+((Schedules!U45*($B23)))))*(1/(1+D$18)^10))+((((('P&amp;L Schedule'!U14)*(1+((IF('Inputs &amp; Assumptions'!$C$13="",'Inputs &amp; Assumptions'!$C$12,'Inputs &amp; Assumptions'!$C$13))))*(1-('Inputs &amp; Assumptions'!$C$73)))*(1-((((IF('Inputs &amp; Assumptions'!$C$13="",'Inputs &amp; Assumptions'!$C$12,'Inputs &amp; Assumptions'!$C$13)))/(D$18))))/((D$18)-((IF('Inputs &amp; Assumptions'!$C$13="",'Inputs &amp; Assumptions'!$C$12,'Inputs &amp; Assumptions'!$C$13))))))*(1/(1+D$18)^10))))-(Schedules!$K$93)+(IFERROR(INDEX(HS_CONSOLIDATED!L:L,MATCH("CashAndCashEquivalents",HS_CONSOLIDATED!$C:$C,0)),0)))/'WACC Schedule'!$C7</f>
        <v>59.8164638388824</v>
      </c>
      <c r="E23" s="119" t="n">
        <f aca="false">(((((((('P&amp;L Schedule'!L14)*(1-(IFERROR(Schedules!L107/Schedules!L106,0))))+((-'P&amp;L Schedule'!L13))+((-Schedules!L53))+((Schedules!L45*($B23)))))*(1/(1+E$18)^1)+(((('P&amp;L Schedule'!M14)*(1-(IFERROR(Schedules!M107/Schedules!M106,0))))+((-'P&amp;L Schedule'!M13))+((-Schedules!M53))+((Schedules!M45*($B23)))))*(1/(1+E$18)^2)+(((('P&amp;L Schedule'!N14)*(1-(IFERROR(Schedules!N107/Schedules!N106,0))))+((-'P&amp;L Schedule'!N13))+((-Schedules!N53))+((Schedules!N45*($B23)))))*(1/(1+E$18)^3)+(((('P&amp;L Schedule'!O14)*(1-(IFERROR(Schedules!O107/Schedules!O106,0))))+((-'P&amp;L Schedule'!O13))+((-Schedules!O53))+((Schedules!O45*($B23)))))*(1/(1+E$18)^4)+(((('P&amp;L Schedule'!P14)*(1-(IFERROR(Schedules!P107/Schedules!P106,0))))+((-'P&amp;L Schedule'!P13))+((-Schedules!P53))+((Schedules!P45*($B23)))))*(1/(1+E$18)^5)+(((('P&amp;L Schedule'!Q14)*(1-(IFERROR(Schedules!Q107/Schedules!Q106,0))))+((-'P&amp;L Schedule'!Q13))+((-Schedules!Q53))+((Schedules!Q45*($B23)))))*(1/(1+E$18)^6)+(((('P&amp;L Schedule'!R14)*(1-(IFERROR(Schedules!R107/Schedules!R106,0))))+((-'P&amp;L Schedule'!R13))+((-Schedules!R53))+((Schedules!R45*($B23)))))*(1/(1+E$18)^7)+(((('P&amp;L Schedule'!S14)*(1-(IFERROR(Schedules!S107/Schedules!S106,0))))+((-'P&amp;L Schedule'!S13))+((-Schedules!S53))+((Schedules!S45*($B23)))))*(1/(1+E$18)^8)+(((('P&amp;L Schedule'!T14)*(1-(IFERROR(Schedules!T107/Schedules!T106,0))))+((-'P&amp;L Schedule'!T13))+((-Schedules!T53))+((Schedules!T45*($B23)))))*(1/(1+E$18)^9)+(((('P&amp;L Schedule'!U14)*(1-(IFERROR(Schedules!U107/Schedules!U106,0))))+((-'P&amp;L Schedule'!U13))+((-Schedules!U53))+((Schedules!U45*($B23)))))*(1/(1+E$18)^10))+((((('P&amp;L Schedule'!U14)*(1+((IF('Inputs &amp; Assumptions'!$C$13="",'Inputs &amp; Assumptions'!$C$12,'Inputs &amp; Assumptions'!$C$13))))*(1-('Inputs &amp; Assumptions'!$C$73)))*(1-((((IF('Inputs &amp; Assumptions'!$C$13="",'Inputs &amp; Assumptions'!$C$12,'Inputs &amp; Assumptions'!$C$13)))/(E$18))))/((E$18)-((IF('Inputs &amp; Assumptions'!$C$13="",'Inputs &amp; Assumptions'!$C$12,'Inputs &amp; Assumptions'!$C$13))))))*(1/(1+E$18)^10))))-(Schedules!$K$93)+(IFERROR(INDEX(HS_CONSOLIDATED!L:L,MATCH("CashAndCashEquivalents",HS_CONSOLIDATED!$C:$C,0)),0)))/'WACC Schedule'!$C7</f>
        <v>48.6995657845135</v>
      </c>
      <c r="F23" s="119" t="n">
        <f aca="false">(((((((('P&amp;L Schedule'!L14)*(1-(IFERROR(Schedules!L107/Schedules!L106,0))))+((-'P&amp;L Schedule'!L13))+((-Schedules!L53))+((Schedules!L45*($B23)))))*(1/(1+F$18)^1)+(((('P&amp;L Schedule'!M14)*(1-(IFERROR(Schedules!M107/Schedules!M106,0))))+((-'P&amp;L Schedule'!M13))+((-Schedules!M53))+((Schedules!M45*($B23)))))*(1/(1+F$18)^2)+(((('P&amp;L Schedule'!N14)*(1-(IFERROR(Schedules!N107/Schedules!N106,0))))+((-'P&amp;L Schedule'!N13))+((-Schedules!N53))+((Schedules!N45*($B23)))))*(1/(1+F$18)^3)+(((('P&amp;L Schedule'!O14)*(1-(IFERROR(Schedules!O107/Schedules!O106,0))))+((-'P&amp;L Schedule'!O13))+((-Schedules!O53))+((Schedules!O45*($B23)))))*(1/(1+F$18)^4)+(((('P&amp;L Schedule'!P14)*(1-(IFERROR(Schedules!P107/Schedules!P106,0))))+((-'P&amp;L Schedule'!P13))+((-Schedules!P53))+((Schedules!P45*($B23)))))*(1/(1+F$18)^5)+(((('P&amp;L Schedule'!Q14)*(1-(IFERROR(Schedules!Q107/Schedules!Q106,0))))+((-'P&amp;L Schedule'!Q13))+((-Schedules!Q53))+((Schedules!Q45*($B23)))))*(1/(1+F$18)^6)+(((('P&amp;L Schedule'!R14)*(1-(IFERROR(Schedules!R107/Schedules!R106,0))))+((-'P&amp;L Schedule'!R13))+((-Schedules!R53))+((Schedules!R45*($B23)))))*(1/(1+F$18)^7)+(((('P&amp;L Schedule'!S14)*(1-(IFERROR(Schedules!S107/Schedules!S106,0))))+((-'P&amp;L Schedule'!S13))+((-Schedules!S53))+((Schedules!S45*($B23)))))*(1/(1+F$18)^8)+(((('P&amp;L Schedule'!T14)*(1-(IFERROR(Schedules!T107/Schedules!T106,0))))+((-'P&amp;L Schedule'!T13))+((-Schedules!T53))+((Schedules!T45*($B23)))))*(1/(1+F$18)^9)+(((('P&amp;L Schedule'!U14)*(1-(IFERROR(Schedules!U107/Schedules!U106,0))))+((-'P&amp;L Schedule'!U13))+((-Schedules!U53))+((Schedules!U45*($B23)))))*(1/(1+F$18)^10))+((((('P&amp;L Schedule'!U14)*(1+((IF('Inputs &amp; Assumptions'!$C$13="",'Inputs &amp; Assumptions'!$C$12,'Inputs &amp; Assumptions'!$C$13))))*(1-('Inputs &amp; Assumptions'!$C$73)))*(1-((((IF('Inputs &amp; Assumptions'!$C$13="",'Inputs &amp; Assumptions'!$C$12,'Inputs &amp; Assumptions'!$C$13)))/(F$18))))/((F$18)-((IF('Inputs &amp; Assumptions'!$C$13="",'Inputs &amp; Assumptions'!$C$12,'Inputs &amp; Assumptions'!$C$13))))))*(1/(1+F$18)^10))))-(Schedules!$K$93)+(IFERROR(INDEX(HS_CONSOLIDATED!L:L,MATCH("CashAndCashEquivalents",HS_CONSOLIDATED!$C:$C,0)),0)))/'WACC Schedule'!$C7</f>
        <v>40.3609024546371</v>
      </c>
      <c r="G23" s="119" t="n">
        <f aca="false">(((((((('P&amp;L Schedule'!L14)*(1-(IFERROR(Schedules!L107/Schedules!L106,0))))+((-'P&amp;L Schedule'!L13))+((-Schedules!L53))+((Schedules!L45*($B23)))))*(1/(1+G$18)^1)+(((('P&amp;L Schedule'!M14)*(1-(IFERROR(Schedules!M107/Schedules!M106,0))))+((-'P&amp;L Schedule'!M13))+((-Schedules!M53))+((Schedules!M45*($B23)))))*(1/(1+G$18)^2)+(((('P&amp;L Schedule'!N14)*(1-(IFERROR(Schedules!N107/Schedules!N106,0))))+((-'P&amp;L Schedule'!N13))+((-Schedules!N53))+((Schedules!N45*($B23)))))*(1/(1+G$18)^3)+(((('P&amp;L Schedule'!O14)*(1-(IFERROR(Schedules!O107/Schedules!O106,0))))+((-'P&amp;L Schedule'!O13))+((-Schedules!O53))+((Schedules!O45*($B23)))))*(1/(1+G$18)^4)+(((('P&amp;L Schedule'!P14)*(1-(IFERROR(Schedules!P107/Schedules!P106,0))))+((-'P&amp;L Schedule'!P13))+((-Schedules!P53))+((Schedules!P45*($B23)))))*(1/(1+G$18)^5)+(((('P&amp;L Schedule'!Q14)*(1-(IFERROR(Schedules!Q107/Schedules!Q106,0))))+((-'P&amp;L Schedule'!Q13))+((-Schedules!Q53))+((Schedules!Q45*($B23)))))*(1/(1+G$18)^6)+(((('P&amp;L Schedule'!R14)*(1-(IFERROR(Schedules!R107/Schedules!R106,0))))+((-'P&amp;L Schedule'!R13))+((-Schedules!R53))+((Schedules!R45*($B23)))))*(1/(1+G$18)^7)+(((('P&amp;L Schedule'!S14)*(1-(IFERROR(Schedules!S107/Schedules!S106,0))))+((-'P&amp;L Schedule'!S13))+((-Schedules!S53))+((Schedules!S45*($B23)))))*(1/(1+G$18)^8)+(((('P&amp;L Schedule'!T14)*(1-(IFERROR(Schedules!T107/Schedules!T106,0))))+((-'P&amp;L Schedule'!T13))+((-Schedules!T53))+((Schedules!T45*($B23)))))*(1/(1+G$18)^9)+(((('P&amp;L Schedule'!U14)*(1-(IFERROR(Schedules!U107/Schedules!U106,0))))+((-'P&amp;L Schedule'!U13))+((-Schedules!U53))+((Schedules!U45*($B23)))))*(1/(1+G$18)^10))+((((('P&amp;L Schedule'!U14)*(1+((IF('Inputs &amp; Assumptions'!$C$13="",'Inputs &amp; Assumptions'!$C$12,'Inputs &amp; Assumptions'!$C$13))))*(1-('Inputs &amp; Assumptions'!$C$73)))*(1-((((IF('Inputs &amp; Assumptions'!$C$13="",'Inputs &amp; Assumptions'!$C$12,'Inputs &amp; Assumptions'!$C$13)))/(G$18))))/((G$18)-((IF('Inputs &amp; Assumptions'!$C$13="",'Inputs &amp; Assumptions'!$C$12,'Inputs &amp; Assumptions'!$C$13))))))*(1/(1+G$18)^10))))-(Schedules!$K$93)+(IFERROR(INDEX(HS_CONSOLIDATED!L:L,MATCH("CashAndCashEquivalents",HS_CONSOLIDATED!$C:$C,0)),0)))/'WACC Schedule'!$C7</f>
        <v>33.933240483729</v>
      </c>
    </row>
    <row r="26" customFormat="false" ht="16.15" hidden="false" customHeight="false" outlineLevel="0" collapsed="false">
      <c r="A26" s="0" t="s">
        <v>26</v>
      </c>
      <c r="B26" s="107" t="s">
        <v>525</v>
      </c>
    </row>
    <row r="27" customFormat="false" ht="15" hidden="false" customHeight="false" outlineLevel="0" collapsed="false">
      <c r="B27" s="54" t="s">
        <v>526</v>
      </c>
    </row>
    <row r="29" customFormat="false" ht="15" hidden="false" customHeight="false" outlineLevel="0" collapsed="false">
      <c r="B29" s="117" t="s">
        <v>523</v>
      </c>
    </row>
    <row r="30" customFormat="false" ht="15" hidden="false" customHeight="false" outlineLevel="0" collapsed="false">
      <c r="B30" s="117" t="s">
        <v>527</v>
      </c>
      <c r="C30" s="118" t="n">
        <f aca="false">'WACC Schedule'!$C39+(-0.02)</f>
        <v>0.0588672179514766</v>
      </c>
      <c r="D30" s="118" t="n">
        <f aca="false">'WACC Schedule'!$C39+(-0.01)</f>
        <v>0.0688672179514766</v>
      </c>
      <c r="E30" s="118" t="n">
        <f aca="false">'WACC Schedule'!$C39+(0)</f>
        <v>0.0788672179514766</v>
      </c>
      <c r="F30" s="118" t="n">
        <f aca="false">'WACC Schedule'!$C39+(0.01)</f>
        <v>0.0888672179514766</v>
      </c>
      <c r="G30" s="118" t="n">
        <f aca="false">'WACC Schedule'!$C39+(0.02)</f>
        <v>0.0988672179514766</v>
      </c>
    </row>
    <row r="31" customFormat="false" ht="15" hidden="false" customHeight="false" outlineLevel="0" collapsed="false">
      <c r="B31" s="120" t="s">
        <v>528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5"/>
    <col collapsed="false" customWidth="true" hidden="false" outlineLevel="0" max="2" min="2" style="0" width="58"/>
    <col collapsed="false" customWidth="true" hidden="false" outlineLevel="0" max="3" min="3" style="0" width="16"/>
    <col collapsed="false" customWidth="true" hidden="false" outlineLevel="0" max="4" min="4" style="0" width="70"/>
    <col collapsed="false" customWidth="true" hidden="false" outlineLevel="0" max="22" min="5" style="0" width="17"/>
  </cols>
  <sheetData>
    <row r="1" customFormat="false" ht="19.7" hidden="false" customHeight="false" outlineLevel="0" collapsed="false">
      <c r="A1" s="0" t="s">
        <v>26</v>
      </c>
      <c r="B1" s="94" t="s">
        <v>529</v>
      </c>
    </row>
    <row r="2" customFormat="false" ht="27.75" hidden="false" customHeight="true" outlineLevel="0" collapsed="false">
      <c r="B2" s="121" t="s">
        <v>530</v>
      </c>
    </row>
    <row r="4" customFormat="false" ht="15" hidden="false" customHeight="false" outlineLevel="0" collapsed="false">
      <c r="A4" s="12" t="s">
        <v>26</v>
      </c>
      <c r="B4" s="12" t="s">
        <v>531</v>
      </c>
      <c r="C4" s="12" t="s">
        <v>532</v>
      </c>
      <c r="D4" s="12" t="s">
        <v>533</v>
      </c>
    </row>
    <row r="6" customFormat="false" ht="21" hidden="false" customHeight="false" outlineLevel="0" collapsed="false">
      <c r="B6" s="13" t="s">
        <v>534</v>
      </c>
      <c r="C6" s="111" t="n">
        <f aca="false">'Inputs &amp; Assumptions'!C12</f>
        <v>-0.00353482348130765</v>
      </c>
      <c r="D6" s="121" t="s">
        <v>535</v>
      </c>
    </row>
    <row r="8" customFormat="false" ht="15" hidden="false" customHeight="false" outlineLevel="0" collapsed="false">
      <c r="B8" s="13" t="s">
        <v>536</v>
      </c>
    </row>
    <row r="9" customFormat="false" ht="15" hidden="false" customHeight="false" outlineLevel="0" collapsed="false">
      <c r="B9" s="109" t="s">
        <v>537</v>
      </c>
      <c r="C9" s="122" t="n">
        <f aca="false">DCF!C44</f>
        <v>0.271600488251184</v>
      </c>
    </row>
    <row r="10" customFormat="false" ht="15" hidden="false" customHeight="false" outlineLevel="0" collapsed="false">
      <c r="B10" s="109" t="s">
        <v>538</v>
      </c>
      <c r="C10" s="122" t="n">
        <f aca="false">AVERAGE(IFERROR(((Schedules!I53)-((-'P&amp;L Schedule'!I13))-(Schedules!I45))/(DCF!I40),""),IFERROR(((Schedules!J53)-((-'P&amp;L Schedule'!J13))-(Schedules!J45))/(DCF!J40),""),IFERROR(((Schedules!K53)-((-'P&amp;L Schedule'!K13))-(Schedules!K45))/(DCF!K40),""))</f>
        <v>0.724774396633298</v>
      </c>
    </row>
    <row r="11" customFormat="false" ht="40" hidden="false" customHeight="false" outlineLevel="0" collapsed="false">
      <c r="B11" s="13" t="s">
        <v>539</v>
      </c>
      <c r="C11" s="123" t="n">
        <f aca="false">C9*C10</f>
        <v>0.196849079997561</v>
      </c>
      <c r="D11" s="121" t="s">
        <v>540</v>
      </c>
    </row>
    <row r="13" customFormat="false" ht="15" hidden="false" customHeight="false" outlineLevel="0" collapsed="false">
      <c r="B13" s="13" t="s">
        <v>541</v>
      </c>
    </row>
    <row r="14" customFormat="false" ht="21" hidden="false" customHeight="false" outlineLevel="0" collapsed="false">
      <c r="B14" s="96" t="s">
        <v>542</v>
      </c>
      <c r="C14" s="18" t="n">
        <v>0.485</v>
      </c>
      <c r="D14" s="121" t="s">
        <v>543</v>
      </c>
    </row>
    <row r="16" customFormat="false" ht="15" hidden="false" customHeight="false" outlineLevel="0" collapsed="false">
      <c r="B16" s="13" t="s">
        <v>544</v>
      </c>
    </row>
    <row r="17" customFormat="false" ht="21" hidden="false" customHeight="false" outlineLevel="0" collapsed="false">
      <c r="B17" s="96" t="s">
        <v>545</v>
      </c>
      <c r="C17" s="18" t="n">
        <v>0.136</v>
      </c>
      <c r="D17" s="121" t="s">
        <v>546</v>
      </c>
    </row>
    <row r="19" customFormat="false" ht="15" hidden="false" customHeight="false" outlineLevel="0" collapsed="false">
      <c r="B19" s="13" t="s">
        <v>547</v>
      </c>
    </row>
    <row r="20" customFormat="false" ht="30.5" hidden="false" customHeight="false" outlineLevel="0" collapsed="false">
      <c r="B20" s="96" t="s">
        <v>548</v>
      </c>
      <c r="C20" s="18"/>
      <c r="D20" s="121" t="s">
        <v>549</v>
      </c>
    </row>
    <row r="22" customFormat="false" ht="15" hidden="false" customHeight="false" outlineLevel="0" collapsed="false">
      <c r="B22" s="13" t="s">
        <v>550</v>
      </c>
    </row>
    <row r="23" customFormat="false" ht="40" hidden="false" customHeight="false" outlineLevel="0" collapsed="false">
      <c r="B23" s="96" t="s">
        <v>551</v>
      </c>
      <c r="C23" s="124" t="n">
        <v>200000000000</v>
      </c>
      <c r="D23" s="121" t="s">
        <v>552</v>
      </c>
    </row>
    <row r="24" customFormat="false" ht="15" hidden="false" customHeight="false" outlineLevel="0" collapsed="false">
      <c r="B24" s="96" t="s">
        <v>553</v>
      </c>
      <c r="C24" s="18" t="n">
        <v>0.543</v>
      </c>
      <c r="D24" s="121" t="s">
        <v>554</v>
      </c>
    </row>
    <row r="25" customFormat="false" ht="15" hidden="false" customHeight="false" outlineLevel="0" collapsed="false">
      <c r="B25" s="13" t="s">
        <v>555</v>
      </c>
      <c r="C25" s="98" t="n">
        <f aca="false">IF(C23="","",C23*C24)</f>
        <v>108600000000</v>
      </c>
    </row>
    <row r="26" customFormat="false" ht="40" hidden="false" customHeight="false" outlineLevel="0" collapsed="false">
      <c r="B26" s="13" t="s">
        <v>556</v>
      </c>
      <c r="C26" s="123" t="n">
        <f aca="false">IF(C25="","",IFERROR(C25/(Schedules!K8)-1,""))</f>
        <v>-0.00273101102505646</v>
      </c>
      <c r="D26" s="121" t="s">
        <v>557</v>
      </c>
    </row>
    <row r="28" customFormat="false" ht="15" hidden="false" customHeight="false" outlineLevel="0" collapsed="false">
      <c r="B28" s="13" t="s">
        <v>558</v>
      </c>
    </row>
    <row r="29" customFormat="false" ht="27.75" hidden="false" customHeight="true" outlineLevel="0" collapsed="false">
      <c r="B29" s="121" t="s">
        <v>559</v>
      </c>
    </row>
    <row r="30" customFormat="false" ht="15" hidden="false" customHeight="false" outlineLevel="0" collapsed="false">
      <c r="B30" s="13" t="s">
        <v>560</v>
      </c>
      <c r="C30" s="125" t="n">
        <f aca="false">'WACC Schedule'!$C6</f>
        <v>56.04</v>
      </c>
    </row>
    <row r="32" customFormat="false" ht="15" hidden="false" customHeight="false" outlineLevel="0" collapsed="false">
      <c r="B32" s="12" t="s">
        <v>561</v>
      </c>
      <c r="C32" s="12" t="s">
        <v>562</v>
      </c>
      <c r="D32" s="12" t="s">
        <v>563</v>
      </c>
    </row>
    <row r="33" customFormat="false" ht="15" hidden="false" customHeight="false" outlineLevel="0" collapsed="false">
      <c r="B33" s="101" t="n">
        <f aca="false">'WACC Schedule'!$C39-(15*0.01)</f>
        <v>-0.0711327820485234</v>
      </c>
      <c r="C33"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Schedule'!U14)*(1+($B33))*(1-('Inputs &amp; Assumptions'!$C$73)))*(1-((($B33)/('WACC Schedule'!$C39))))/(('WACC Schedule'!$C39)-($B33))))*(1/(1+'WACC Schedule'!$C39)^10))))-(Schedules!$K$93)+(IFERROR(INDEX(HS_CONSOLIDATED!L:L,MATCH("CashAndCashEquivalents",HS_CONSOLIDATED!$C:$C,0)),0)))/'WACC Schedule'!$C7</f>
        <v>47.2319802365323</v>
      </c>
      <c r="D33" s="126" t="n">
        <f aca="false">IFERROR(C33-C30,"")</f>
        <v>-8.80801976346766</v>
      </c>
    </row>
    <row r="34" customFormat="false" ht="15" hidden="false" customHeight="false" outlineLevel="0" collapsed="false">
      <c r="B34" s="101" t="n">
        <f aca="false">'WACC Schedule'!$C39-(14*0.01)</f>
        <v>-0.0611327820485234</v>
      </c>
      <c r="C34"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Schedule'!U14)*(1+($B34))*(1-('Inputs &amp; Assumptions'!$C$73)))*(1-((($B34)/('WACC Schedule'!$C39))))/(('WACC Schedule'!$C39)-($B34))))*(1/(1+'WACC Schedule'!$C39)^10))))-(Schedules!$K$93)+(IFERROR(INDEX(HS_CONSOLIDATED!L:L,MATCH("CashAndCashEquivalents",HS_CONSOLIDATED!$C:$C,0)),0)))/'WACC Schedule'!$C7</f>
        <v>47.6256996650986</v>
      </c>
      <c r="D34" s="126" t="n">
        <f aca="false">IFERROR(C34-C30,"")</f>
        <v>-8.41430033490138</v>
      </c>
    </row>
    <row r="35" customFormat="false" ht="15" hidden="false" customHeight="false" outlineLevel="0" collapsed="false">
      <c r="B35" s="101" t="n">
        <f aca="false">'WACC Schedule'!$C39-(13*0.01)</f>
        <v>-0.0511327820485234</v>
      </c>
      <c r="C35"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Schedule'!U14)*(1+($B35))*(1-('Inputs &amp; Assumptions'!$C$73)))*(1-((($B35)/('WACC Schedule'!$C39))))/(('WACC Schedule'!$C39)-($B35))))*(1/(1+'WACC Schedule'!$C39)^10))))-(Schedules!$K$93)+(IFERROR(INDEX(HS_CONSOLIDATED!L:L,MATCH("CashAndCashEquivalents",HS_CONSOLIDATED!$C:$C,0)),0)))/'WACC Schedule'!$C7</f>
        <v>48.0194190936649</v>
      </c>
      <c r="D35" s="126" t="n">
        <f aca="false">IFERROR(C35-C30,"")</f>
        <v>-8.02058090633506</v>
      </c>
    </row>
    <row r="36" customFormat="false" ht="15" hidden="false" customHeight="false" outlineLevel="0" collapsed="false">
      <c r="B36" s="101" t="n">
        <f aca="false">'WACC Schedule'!$C39-(12*0.01)</f>
        <v>-0.0411327820485234</v>
      </c>
      <c r="C36"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Schedule'!U14)*(1+($B36))*(1-('Inputs &amp; Assumptions'!$C$73)))*(1-((($B36)/('WACC Schedule'!$C39))))/(('WACC Schedule'!$C39)-($B36))))*(1/(1+'WACC Schedule'!$C39)^10))))-(Schedules!$K$93)+(IFERROR(INDEX(HS_CONSOLIDATED!L:L,MATCH("CashAndCashEquivalents",HS_CONSOLIDATED!$C:$C,0)),0)))/'WACC Schedule'!$C7</f>
        <v>48.4131385222312</v>
      </c>
      <c r="D36" s="126" t="n">
        <f aca="false">IFERROR(C36-C30,"")</f>
        <v>-7.62686147776876</v>
      </c>
    </row>
    <row r="37" customFormat="false" ht="15" hidden="false" customHeight="false" outlineLevel="0" collapsed="false">
      <c r="B37" s="101" t="n">
        <f aca="false">'WACC Schedule'!$C39-(11*0.01)</f>
        <v>-0.0311327820485234</v>
      </c>
      <c r="C37"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Schedule'!U14)*(1+($B37))*(1-('Inputs &amp; Assumptions'!$C$73)))*(1-((($B37)/('WACC Schedule'!$C39))))/(('WACC Schedule'!$C39)-($B37))))*(1/(1+'WACC Schedule'!$C39)^10))))-(Schedules!$K$93)+(IFERROR(INDEX(HS_CONSOLIDATED!L:L,MATCH("CashAndCashEquivalents",HS_CONSOLIDATED!$C:$C,0)),0)))/'WACC Schedule'!$C7</f>
        <v>48.8068579507975</v>
      </c>
      <c r="D37" s="126" t="n">
        <f aca="false">IFERROR(C37-C30,"")</f>
        <v>-7.23314204920247</v>
      </c>
    </row>
    <row r="38" customFormat="false" ht="15" hidden="false" customHeight="false" outlineLevel="0" collapsed="false">
      <c r="B38" s="101" t="n">
        <f aca="false">'WACC Schedule'!$C39-(10*0.01)</f>
        <v>-0.0211327820485234</v>
      </c>
      <c r="C38"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Schedule'!U14)*(1+($B38))*(1-('Inputs &amp; Assumptions'!$C$73)))*(1-((($B38)/('WACC Schedule'!$C39))))/(('WACC Schedule'!$C39)-($B38))))*(1/(1+'WACC Schedule'!$C39)^10))))-(Schedules!$K$93)+(IFERROR(INDEX(HS_CONSOLIDATED!L:L,MATCH("CashAndCashEquivalents",HS_CONSOLIDATED!$C:$C,0)),0)))/'WACC Schedule'!$C7</f>
        <v>49.2005773793638</v>
      </c>
      <c r="D38" s="126" t="n">
        <f aca="false">IFERROR(C38-C30,"")</f>
        <v>-6.83942262063618</v>
      </c>
    </row>
    <row r="39" customFormat="false" ht="15" hidden="false" customHeight="false" outlineLevel="0" collapsed="false">
      <c r="B39" s="101" t="n">
        <f aca="false">'WACC Schedule'!$C39-(9*0.01)</f>
        <v>-0.0111327820485234</v>
      </c>
      <c r="C39"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Schedule'!U14)*(1+($B39))*(1-('Inputs &amp; Assumptions'!$C$73)))*(1-((($B39)/('WACC Schedule'!$C39))))/(('WACC Schedule'!$C39)-($B39))))*(1/(1+'WACC Schedule'!$C39)^10))))-(Schedules!$K$93)+(IFERROR(INDEX(HS_CONSOLIDATED!L:L,MATCH("CashAndCashEquivalents",HS_CONSOLIDATED!$C:$C,0)),0)))/'WACC Schedule'!$C7</f>
        <v>49.5942968079301</v>
      </c>
      <c r="D39" s="126" t="n">
        <f aca="false">IFERROR(C39-C30,"")</f>
        <v>-6.44570319206989</v>
      </c>
    </row>
    <row r="40" customFormat="false" ht="15" hidden="false" customHeight="false" outlineLevel="0" collapsed="false">
      <c r="B40" s="101" t="n">
        <f aca="false">'WACC Schedule'!$C39-(8*0.01)</f>
        <v>-0.00113278204852341</v>
      </c>
      <c r="C40"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Schedule'!U14)*(1+($B40))*(1-('Inputs &amp; Assumptions'!$C$73)))*(1-((($B40)/('WACC Schedule'!$C39))))/(('WACC Schedule'!$C39)-($B40))))*(1/(1+'WACC Schedule'!$C39)^10))))-(Schedules!$K$93)+(IFERROR(INDEX(HS_CONSOLIDATED!L:L,MATCH("CashAndCashEquivalents",HS_CONSOLIDATED!$C:$C,0)),0)))/'WACC Schedule'!$C7</f>
        <v>49.9880162364964</v>
      </c>
      <c r="D40" s="126" t="n">
        <f aca="false">IFERROR(C40-C30,"")</f>
        <v>-6.05198376350358</v>
      </c>
    </row>
    <row r="41" customFormat="false" ht="15" hidden="false" customHeight="false" outlineLevel="0" collapsed="false">
      <c r="B41" s="101" t="n">
        <f aca="false">'WACC Schedule'!$C39-(7*0.01)</f>
        <v>0.00886721795147659</v>
      </c>
      <c r="C41"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Schedule'!U14)*(1+($B41))*(1-('Inputs &amp; Assumptions'!$C$73)))*(1-((($B41)/('WACC Schedule'!$C39))))/(('WACC Schedule'!$C39)-($B41))))*(1/(1+'WACC Schedule'!$C39)^10))))-(Schedules!$K$93)+(IFERROR(INDEX(HS_CONSOLIDATED!L:L,MATCH("CashAndCashEquivalents",HS_CONSOLIDATED!$C:$C,0)),0)))/'WACC Schedule'!$C7</f>
        <v>50.3817356650627</v>
      </c>
      <c r="D41" s="126" t="n">
        <f aca="false">IFERROR(C41-C30,"")</f>
        <v>-5.65826433493728</v>
      </c>
    </row>
    <row r="42" customFormat="false" ht="15" hidden="false" customHeight="false" outlineLevel="0" collapsed="false">
      <c r="B42" s="101" t="n">
        <f aca="false">'WACC Schedule'!$C39-(6*0.01)</f>
        <v>0.0188672179514766</v>
      </c>
      <c r="C42"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Schedule'!U14)*(1+($B42))*(1-('Inputs &amp; Assumptions'!$C$73)))*(1-((($B42)/('WACC Schedule'!$C39))))/(('WACC Schedule'!$C39)-($B42))))*(1/(1+'WACC Schedule'!$C39)^10))))-(Schedules!$K$93)+(IFERROR(INDEX(HS_CONSOLIDATED!L:L,MATCH("CashAndCashEquivalents",HS_CONSOLIDATED!$C:$C,0)),0)))/'WACC Schedule'!$C7</f>
        <v>50.775455093629</v>
      </c>
      <c r="D42" s="126" t="n">
        <f aca="false">IFERROR(C42-C30,"")</f>
        <v>-5.26454490637099</v>
      </c>
    </row>
    <row r="43" customFormat="false" ht="15" hidden="false" customHeight="false" outlineLevel="0" collapsed="false">
      <c r="B43" s="101" t="n">
        <f aca="false">'WACC Schedule'!$C39-(5*0.01)</f>
        <v>0.0288672179514766</v>
      </c>
      <c r="C43"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Schedule'!U14)*(1+($B43))*(1-('Inputs &amp; Assumptions'!$C$73)))*(1-((($B43)/('WACC Schedule'!$C39))))/(('WACC Schedule'!$C39)-($B43))))*(1/(1+'WACC Schedule'!$C39)^10))))-(Schedules!$K$93)+(IFERROR(INDEX(HS_CONSOLIDATED!L:L,MATCH("CashAndCashEquivalents",HS_CONSOLIDATED!$C:$C,0)),0)))/'WACC Schedule'!$C7</f>
        <v>51.1691745221953</v>
      </c>
      <c r="D43" s="126" t="n">
        <f aca="false">IFERROR(C43-C30,"")</f>
        <v>-4.87082547780469</v>
      </c>
    </row>
    <row r="44" customFormat="false" ht="15" hidden="false" customHeight="false" outlineLevel="0" collapsed="false">
      <c r="B44" s="101" t="n">
        <f aca="false">'WACC Schedule'!$C39-(4*0.01)</f>
        <v>0.0388672179514766</v>
      </c>
      <c r="C44"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Schedule'!U14)*(1+($B44))*(1-('Inputs &amp; Assumptions'!$C$73)))*(1-((($B44)/('WACC Schedule'!$C39))))/(('WACC Schedule'!$C39)-($B44))))*(1/(1+'WACC Schedule'!$C39)^10))))-(Schedules!$K$93)+(IFERROR(INDEX(HS_CONSOLIDATED!L:L,MATCH("CashAndCashEquivalents",HS_CONSOLIDATED!$C:$C,0)),0)))/'WACC Schedule'!$C7</f>
        <v>51.5628939507616</v>
      </c>
      <c r="D44" s="126" t="n">
        <f aca="false">IFERROR(C44-C30,"")</f>
        <v>-4.47710604923839</v>
      </c>
    </row>
    <row r="45" customFormat="false" ht="15" hidden="false" customHeight="false" outlineLevel="0" collapsed="false">
      <c r="B45" s="101" t="n">
        <f aca="false">'WACC Schedule'!$C39-(3*0.01)</f>
        <v>0.0488672179514766</v>
      </c>
      <c r="C45"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Schedule'!U14)*(1+($B45))*(1-('Inputs &amp; Assumptions'!$C$73)))*(1-((($B45)/('WACC Schedule'!$C39))))/(('WACC Schedule'!$C39)-($B45))))*(1/(1+'WACC Schedule'!$C39)^10))))-(Schedules!$K$93)+(IFERROR(INDEX(HS_CONSOLIDATED!L:L,MATCH("CashAndCashEquivalents",HS_CONSOLIDATED!$C:$C,0)),0)))/'WACC Schedule'!$C7</f>
        <v>51.9566133793279</v>
      </c>
      <c r="D45" s="126" t="n">
        <f aca="false">IFERROR(C45-C30,"")</f>
        <v>-4.0833866206721</v>
      </c>
    </row>
    <row r="46" customFormat="false" ht="15" hidden="false" customHeight="false" outlineLevel="0" collapsed="false">
      <c r="B46" s="101" t="n">
        <f aca="false">'WACC Schedule'!$C39-(2*0.01)</f>
        <v>0.0588672179514766</v>
      </c>
      <c r="C46"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Schedule'!U14)*(1+($B46))*(1-('Inputs &amp; Assumptions'!$C$73)))*(1-((($B46)/('WACC Schedule'!$C39))))/(('WACC Schedule'!$C39)-($B46))))*(1/(1+'WACC Schedule'!$C39)^10))))-(Schedules!$K$93)+(IFERROR(INDEX(HS_CONSOLIDATED!L:L,MATCH("CashAndCashEquivalents",HS_CONSOLIDATED!$C:$C,0)),0)))/'WACC Schedule'!$C7</f>
        <v>52.3503328078942</v>
      </c>
      <c r="D46" s="126" t="n">
        <f aca="false">IFERROR(C46-C30,"")</f>
        <v>-3.68966719210579</v>
      </c>
    </row>
    <row r="47" customFormat="false" ht="15" hidden="false" customHeight="false" outlineLevel="0" collapsed="false">
      <c r="B47" s="101" t="n">
        <f aca="false">'WACC Schedule'!$C39-(1*0.01)</f>
        <v>0.0688672179514766</v>
      </c>
      <c r="C47" s="119"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Schedule'!U14)*(1+($B47))*(1-('Inputs &amp; Assumptions'!$C$73)))*(1-((($B47)/('WACC Schedule'!$C39))))/(('WACC Schedule'!$C39)-($B47))))*(1/(1+'WACC Schedule'!$C39)^10))))-(Schedules!$K$93)+(IFERROR(INDEX(HS_CONSOLIDATED!L:L,MATCH("CashAndCashEquivalents",HS_CONSOLIDATED!$C:$C,0)),0)))/'WACC Schedule'!$C7</f>
        <v>52.7440522364605</v>
      </c>
      <c r="D47" s="126" t="n">
        <f aca="false">IFERROR(C47-C30,"")</f>
        <v>-3.29594776353948</v>
      </c>
    </row>
    <row r="49" customFormat="false" ht="30.5" hidden="false" customHeight="false" outlineLevel="0" collapsed="false">
      <c r="A49" s="0" t="s">
        <v>26</v>
      </c>
      <c r="B49" s="107" t="s">
        <v>564</v>
      </c>
      <c r="C49" s="127" t="n">
        <v>0.05</v>
      </c>
      <c r="D49" s="121" t="s">
        <v>565</v>
      </c>
    </row>
    <row r="51" customFormat="false" ht="15" hidden="false" customHeight="false" outlineLevel="0" collapsed="false">
      <c r="B51" s="17" t="n">
        <f aca="false">'WACC Schedule'!$C39-(16*0.01)</f>
        <v>-0.0811327820485234</v>
      </c>
      <c r="C51"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Schedule'!U14)*(1+($B51))*(1-('Inputs &amp; Assumptions'!$C$73)))*(1-((($B51)/('WACC Schedule'!$C39))))/(('WACC Schedule'!$C39)-($B51))))*(1/(1+'WACC Schedule'!$C39)^10))))-(Schedules!$K$93)+(IFERROR(INDEX(HS_CONSOLIDATED!L:L,MATCH("CashAndCashEquivalents",HS_CONSOLIDATED!$C:$C,0)),0)))/'WACC Schedule'!$C7</f>
        <v>46.838260807966</v>
      </c>
      <c r="D51" s="0" t="n">
        <f aca="false">IFERROR(C51-C30,"")</f>
        <v>-9.20173919203397</v>
      </c>
    </row>
    <row r="52" customFormat="false" ht="15" hidden="false" customHeight="false" outlineLevel="0" collapsed="false">
      <c r="B52" s="17" t="n">
        <f aca="false">'WACC Schedule'!$C39-(17*0.01)</f>
        <v>-0.0911327820485234</v>
      </c>
      <c r="C52"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Schedule'!U14)*(1+($B52))*(1-('Inputs &amp; Assumptions'!$C$73)))*(1-((($B52)/('WACC Schedule'!$C39))))/(('WACC Schedule'!$C39)-($B52))))*(1/(1+'WACC Schedule'!$C39)^10))))-(Schedules!$K$93)+(IFERROR(INDEX(HS_CONSOLIDATED!L:L,MATCH("CashAndCashEquivalents",HS_CONSOLIDATED!$C:$C,0)),0)))/'WACC Schedule'!$C7</f>
        <v>46.4445413793997</v>
      </c>
      <c r="D52" s="0" t="n">
        <f aca="false">IFERROR(C52-C30,"")</f>
        <v>-9.59545862060026</v>
      </c>
    </row>
    <row r="53" customFormat="false" ht="15" hidden="false" customHeight="false" outlineLevel="0" collapsed="false">
      <c r="B53" s="17" t="n">
        <f aca="false">'WACC Schedule'!$C39-(18*0.01)</f>
        <v>-0.101132782048523</v>
      </c>
      <c r="C53"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Schedule'!U14)*(1+($B53))*(1-('Inputs &amp; Assumptions'!$C$73)))*(1-((($B53)/('WACC Schedule'!$C39))))/(('WACC Schedule'!$C39)-($B53))))*(1/(1+'WACC Schedule'!$C39)^10))))-(Schedules!$K$93)+(IFERROR(INDEX(HS_CONSOLIDATED!L:L,MATCH("CashAndCashEquivalents",HS_CONSOLIDATED!$C:$C,0)),0)))/'WACC Schedule'!$C7</f>
        <v>46.0508219508334</v>
      </c>
      <c r="D53" s="0" t="n">
        <f aca="false">IFERROR(C53-C30,"")</f>
        <v>-9.98917804916656</v>
      </c>
    </row>
    <row r="54" customFormat="false" ht="15" hidden="false" customHeight="false" outlineLevel="0" collapsed="false">
      <c r="B54" s="17" t="n">
        <f aca="false">'WACC Schedule'!$C39-(19*0.01)</f>
        <v>-0.111132782048523</v>
      </c>
      <c r="C54"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Schedule'!U14)*(1+($B54))*(1-('Inputs &amp; Assumptions'!$C$73)))*(1-((($B54)/('WACC Schedule'!$C39))))/(('WACC Schedule'!$C39)-($B54))))*(1/(1+'WACC Schedule'!$C39)^10))))-(Schedules!$K$93)+(IFERROR(INDEX(HS_CONSOLIDATED!L:L,MATCH("CashAndCashEquivalents",HS_CONSOLIDATED!$C:$C,0)),0)))/'WACC Schedule'!$C7</f>
        <v>45.6571025222671</v>
      </c>
      <c r="D54" s="0" t="n">
        <f aca="false">IFERROR(C54-C30,"")</f>
        <v>-10.3828974777329</v>
      </c>
    </row>
    <row r="55" customFormat="false" ht="15" hidden="false" customHeight="false" outlineLevel="0" collapsed="false">
      <c r="B55" s="17" t="n">
        <f aca="false">'WACC Schedule'!$C39-(20*0.01)</f>
        <v>-0.121132782048523</v>
      </c>
      <c r="C55"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Schedule'!U14)*(1+($B55))*(1-('Inputs &amp; Assumptions'!$C$73)))*(1-((($B55)/('WACC Schedule'!$C39))))/(('WACC Schedule'!$C39)-($B55))))*(1/(1+'WACC Schedule'!$C39)^10))))-(Schedules!$K$93)+(IFERROR(INDEX(HS_CONSOLIDATED!L:L,MATCH("CashAndCashEquivalents",HS_CONSOLIDATED!$C:$C,0)),0)))/'WACC Schedule'!$C7</f>
        <v>45.2633830937008</v>
      </c>
      <c r="D55" s="0" t="n">
        <f aca="false">IFERROR(C55-C30,"")</f>
        <v>-10.7766169062992</v>
      </c>
    </row>
    <row r="56" customFormat="false" ht="15" hidden="false" customHeight="false" outlineLevel="0" collapsed="false">
      <c r="B56" s="17" t="n">
        <f aca="false">'WACC Schedule'!$C39-(21*0.01)</f>
        <v>-0.131132782048523</v>
      </c>
      <c r="C56"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Schedule'!U14)*(1+($B56))*(1-('Inputs &amp; Assumptions'!$C$73)))*(1-((($B56)/('WACC Schedule'!$C39))))/(('WACC Schedule'!$C39)-($B56))))*(1/(1+'WACC Schedule'!$C39)^10))))-(Schedules!$K$93)+(IFERROR(INDEX(HS_CONSOLIDATED!L:L,MATCH("CashAndCashEquivalents",HS_CONSOLIDATED!$C:$C,0)),0)))/'WACC Schedule'!$C7</f>
        <v>44.8696636651345</v>
      </c>
      <c r="D56" s="0" t="n">
        <f aca="false">IFERROR(C56-C30,"")</f>
        <v>-11.1703363348655</v>
      </c>
    </row>
    <row r="57" customFormat="false" ht="15" hidden="false" customHeight="false" outlineLevel="0" collapsed="false">
      <c r="B57" s="17" t="n">
        <f aca="false">'WACC Schedule'!$C39-(22*0.01)</f>
        <v>-0.141132782048523</v>
      </c>
      <c r="C57"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Schedule'!U14)*(1+($B57))*(1-('Inputs &amp; Assumptions'!$C$73)))*(1-((($B57)/('WACC Schedule'!$C39))))/(('WACC Schedule'!$C39)-($B57))))*(1/(1+'WACC Schedule'!$C39)^10))))-(Schedules!$K$93)+(IFERROR(INDEX(HS_CONSOLIDATED!L:L,MATCH("CashAndCashEquivalents",HS_CONSOLIDATED!$C:$C,0)),0)))/'WACC Schedule'!$C7</f>
        <v>44.4759442365683</v>
      </c>
      <c r="D57" s="0" t="n">
        <f aca="false">IFERROR(C57-C30,"")</f>
        <v>-11.5640557634317</v>
      </c>
    </row>
    <row r="58" customFormat="false" ht="15" hidden="false" customHeight="false" outlineLevel="0" collapsed="false">
      <c r="B58" s="17" t="n">
        <f aca="false">'WACC Schedule'!$C39-(23*0.01)</f>
        <v>-0.151132782048523</v>
      </c>
      <c r="C58"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Schedule'!U14)*(1+($B58))*(1-('Inputs &amp; Assumptions'!$C$73)))*(1-((($B58)/('WACC Schedule'!$C39))))/(('WACC Schedule'!$C39)-($B58))))*(1/(1+'WACC Schedule'!$C39)^10))))-(Schedules!$K$93)+(IFERROR(INDEX(HS_CONSOLIDATED!L:L,MATCH("CashAndCashEquivalents",HS_CONSOLIDATED!$C:$C,0)),0)))/'WACC Schedule'!$C7</f>
        <v>44.082224808002</v>
      </c>
      <c r="D58" s="0" t="n">
        <f aca="false">IFERROR(C58-C30,"")</f>
        <v>-11.957775191998</v>
      </c>
    </row>
    <row r="59" customFormat="false" ht="15" hidden="false" customHeight="false" outlineLevel="0" collapsed="false">
      <c r="B59" s="17" t="n">
        <f aca="false">'WACC Schedule'!$C39-(24*0.01)</f>
        <v>-0.161132782048523</v>
      </c>
      <c r="C59"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Schedule'!U14)*(1+($B59))*(1-('Inputs &amp; Assumptions'!$C$73)))*(1-((($B59)/('WACC Schedule'!$C39))))/(('WACC Schedule'!$C39)-($B59))))*(1/(1+'WACC Schedule'!$C39)^10))))-(Schedules!$K$93)+(IFERROR(INDEX(HS_CONSOLIDATED!L:L,MATCH("CashAndCashEquivalents",HS_CONSOLIDATED!$C:$C,0)),0)))/'WACC Schedule'!$C7</f>
        <v>43.6885053794357</v>
      </c>
      <c r="D59" s="0" t="n">
        <f aca="false">IFERROR(C59-C30,"")</f>
        <v>-12.3514946205643</v>
      </c>
    </row>
    <row r="60" customFormat="false" ht="15" hidden="false" customHeight="false" outlineLevel="0" collapsed="false">
      <c r="B60" s="17" t="n">
        <f aca="false">'WACC Schedule'!$C39-(25*0.01)</f>
        <v>-0.171132782048523</v>
      </c>
      <c r="C60"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Schedule'!U14)*(1+($B60))*(1-('Inputs &amp; Assumptions'!$C$73)))*(1-((($B60)/('WACC Schedule'!$C39))))/(('WACC Schedule'!$C39)-($B60))))*(1/(1+'WACC Schedule'!$C39)^10))))-(Schedules!$K$93)+(IFERROR(INDEX(HS_CONSOLIDATED!L:L,MATCH("CashAndCashEquivalents",HS_CONSOLIDATED!$C:$C,0)),0)))/'WACC Schedule'!$C7</f>
        <v>43.2947859508694</v>
      </c>
      <c r="D60" s="0" t="n">
        <f aca="false">IFERROR(C60-C30,"")</f>
        <v>-12.7452140491306</v>
      </c>
    </row>
    <row r="61" customFormat="false" ht="15" hidden="false" customHeight="false" outlineLevel="0" collapsed="false">
      <c r="B61" s="17" t="n">
        <f aca="false">'WACC Schedule'!$C39-(26*0.01)</f>
        <v>-0.181132782048523</v>
      </c>
      <c r="C61"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Schedule'!U14)*(1+($B61))*(1-('Inputs &amp; Assumptions'!$C$73)))*(1-((($B61)/('WACC Schedule'!$C39))))/(('WACC Schedule'!$C39)-($B61))))*(1/(1+'WACC Schedule'!$C39)^10))))-(Schedules!$K$93)+(IFERROR(INDEX(HS_CONSOLIDATED!L:L,MATCH("CashAndCashEquivalents",HS_CONSOLIDATED!$C:$C,0)),0)))/'WACC Schedule'!$C7</f>
        <v>42.9010665223031</v>
      </c>
      <c r="D61" s="0" t="n">
        <f aca="false">IFERROR(C61-C30,"")</f>
        <v>-13.1389334776969</v>
      </c>
    </row>
    <row r="62" customFormat="false" ht="15" hidden="false" customHeight="false" outlineLevel="0" collapsed="false">
      <c r="B62" s="17" t="n">
        <f aca="false">'WACC Schedule'!$C39-(27*0.01)</f>
        <v>-0.191132782048523</v>
      </c>
      <c r="C62"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Schedule'!U14)*(1+($B62))*(1-('Inputs &amp; Assumptions'!$C$73)))*(1-((($B62)/('WACC Schedule'!$C39))))/(('WACC Schedule'!$C39)-($B62))))*(1/(1+'WACC Schedule'!$C39)^10))))-(Schedules!$K$93)+(IFERROR(INDEX(HS_CONSOLIDATED!L:L,MATCH("CashAndCashEquivalents",HS_CONSOLIDATED!$C:$C,0)),0)))/'WACC Schedule'!$C7</f>
        <v>42.5073470937368</v>
      </c>
      <c r="D62" s="0" t="n">
        <f aca="false">IFERROR(C62-C30,"")</f>
        <v>-13.5326529062632</v>
      </c>
    </row>
    <row r="63" customFormat="false" ht="15" hidden="false" customHeight="false" outlineLevel="0" collapsed="false">
      <c r="B63" s="17" t="n">
        <f aca="false">'WACC Schedule'!$C39-(28*0.01)</f>
        <v>-0.201132782048523</v>
      </c>
      <c r="C63"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Schedule'!U14)*(1+($B63))*(1-('Inputs &amp; Assumptions'!$C$73)))*(1-((($B63)/('WACC Schedule'!$C39))))/(('WACC Schedule'!$C39)-($B63))))*(1/(1+'WACC Schedule'!$C39)^10))))-(Schedules!$K$93)+(IFERROR(INDEX(HS_CONSOLIDATED!L:L,MATCH("CashAndCashEquivalents",HS_CONSOLIDATED!$C:$C,0)),0)))/'WACC Schedule'!$C7</f>
        <v>42.1136276651705</v>
      </c>
      <c r="D63" s="0" t="n">
        <f aca="false">IFERROR(C63-C30,"")</f>
        <v>-13.9263723348295</v>
      </c>
    </row>
    <row r="64" customFormat="false" ht="15" hidden="false" customHeight="false" outlineLevel="0" collapsed="false">
      <c r="B64" s="17" t="n">
        <f aca="false">'WACC Schedule'!$C39-(29*0.01)</f>
        <v>-0.211132782048523</v>
      </c>
      <c r="C64"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Schedule'!U14)*(1+($B64))*(1-('Inputs &amp; Assumptions'!$C$73)))*(1-((($B64)/('WACC Schedule'!$C39))))/(('WACC Schedule'!$C39)-($B64))))*(1/(1+'WACC Schedule'!$C39)^10))))-(Schedules!$K$93)+(IFERROR(INDEX(HS_CONSOLIDATED!L:L,MATCH("CashAndCashEquivalents",HS_CONSOLIDATED!$C:$C,0)),0)))/'WACC Schedule'!$C7</f>
        <v>41.7199082366042</v>
      </c>
      <c r="D64" s="0" t="n">
        <f aca="false">IFERROR(C64-C30,"")</f>
        <v>-14.3200917633958</v>
      </c>
    </row>
    <row r="65" customFormat="false" ht="15" hidden="false" customHeight="false" outlineLevel="0" collapsed="false">
      <c r="B65" s="17" t="n">
        <f aca="false">'WACC Schedule'!$C39-(30*0.01)</f>
        <v>-0.221132782048523</v>
      </c>
      <c r="C65"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Schedule'!U14)*(1+($B65))*(1-('Inputs &amp; Assumptions'!$C$73)))*(1-((($B65)/('WACC Schedule'!$C39))))/(('WACC Schedule'!$C39)-($B65))))*(1/(1+'WACC Schedule'!$C39)^10))))-(Schedules!$K$93)+(IFERROR(INDEX(HS_CONSOLIDATED!L:L,MATCH("CashAndCashEquivalents",HS_CONSOLIDATED!$C:$C,0)),0)))/'WACC Schedule'!$C7</f>
        <v>41.3261888080379</v>
      </c>
      <c r="D65" s="0" t="n">
        <f aca="false">IFERROR(C65-C30,"")</f>
        <v>-14.7138111919621</v>
      </c>
    </row>
    <row r="66" customFormat="false" ht="15" hidden="false" customHeight="false" outlineLevel="0" collapsed="false">
      <c r="B66" s="17" t="n">
        <f aca="false">'WACC Schedule'!$C39-(31*0.01)</f>
        <v>-0.231132782048523</v>
      </c>
      <c r="C66"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Schedule'!U14)*(1+($B66))*(1-('Inputs &amp; Assumptions'!$C$73)))*(1-((($B66)/('WACC Schedule'!$C39))))/(('WACC Schedule'!$C39)-($B66))))*(1/(1+'WACC Schedule'!$C39)^10))))-(Schedules!$K$93)+(IFERROR(INDEX(HS_CONSOLIDATED!L:L,MATCH("CashAndCashEquivalents",HS_CONSOLIDATED!$C:$C,0)),0)))/'WACC Schedule'!$C7</f>
        <v>40.9324693794716</v>
      </c>
      <c r="D66" s="0" t="n">
        <f aca="false">IFERROR(C66-C30,"")</f>
        <v>-15.1075306205284</v>
      </c>
    </row>
    <row r="67" customFormat="false" ht="15" hidden="false" customHeight="false" outlineLevel="0" collapsed="false">
      <c r="B67" s="17" t="n">
        <f aca="false">'WACC Schedule'!$C39-(32*0.01)</f>
        <v>-0.241132782048523</v>
      </c>
      <c r="C67"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Schedule'!U14)*(1+($B67))*(1-('Inputs &amp; Assumptions'!$C$73)))*(1-((($B67)/('WACC Schedule'!$C39))))/(('WACC Schedule'!$C39)-($B67))))*(1/(1+'WACC Schedule'!$C39)^10))))-(Schedules!$K$93)+(IFERROR(INDEX(HS_CONSOLIDATED!L:L,MATCH("CashAndCashEquivalents",HS_CONSOLIDATED!$C:$C,0)),0)))/'WACC Schedule'!$C7</f>
        <v>40.5387499509053</v>
      </c>
      <c r="D67" s="0" t="n">
        <f aca="false">IFERROR(C67-C30,"")</f>
        <v>-15.5012500490947</v>
      </c>
    </row>
    <row r="68" customFormat="false" ht="15" hidden="false" customHeight="false" outlineLevel="0" collapsed="false">
      <c r="B68" s="17" t="n">
        <f aca="false">'WACC Schedule'!$C39-(33*0.01)</f>
        <v>-0.251132782048523</v>
      </c>
      <c r="C68"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Schedule'!U14)*(1+($B68))*(1-('Inputs &amp; Assumptions'!$C$73)))*(1-((($B68)/('WACC Schedule'!$C39))))/(('WACC Schedule'!$C39)-($B68))))*(1/(1+'WACC Schedule'!$C39)^10))))-(Schedules!$K$93)+(IFERROR(INDEX(HS_CONSOLIDATED!L:L,MATCH("CashAndCashEquivalents",HS_CONSOLIDATED!$C:$C,0)),0)))/'WACC Schedule'!$C7</f>
        <v>40.145030522339</v>
      </c>
      <c r="D68" s="0" t="n">
        <f aca="false">IFERROR(C68-C30,"")</f>
        <v>-15.894969477661</v>
      </c>
    </row>
    <row r="69" customFormat="false" ht="15" hidden="false" customHeight="false" outlineLevel="0" collapsed="false">
      <c r="B69" s="17" t="n">
        <f aca="false">'WACC Schedule'!$C39-(34*0.01)</f>
        <v>-0.261132782048523</v>
      </c>
      <c r="C69"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Schedule'!U14)*(1+($B69))*(1-('Inputs &amp; Assumptions'!$C$73)))*(1-((($B69)/('WACC Schedule'!$C39))))/(('WACC Schedule'!$C39)-($B69))))*(1/(1+'WACC Schedule'!$C39)^10))))-(Schedules!$K$93)+(IFERROR(INDEX(HS_CONSOLIDATED!L:L,MATCH("CashAndCashEquivalents",HS_CONSOLIDATED!$C:$C,0)),0)))/'WACC Schedule'!$C7</f>
        <v>39.7513110937727</v>
      </c>
      <c r="D69" s="0" t="n">
        <f aca="false">IFERROR(C69-C30,"")</f>
        <v>-16.2886889062273</v>
      </c>
    </row>
    <row r="70" customFormat="false" ht="15" hidden="false" customHeight="false" outlineLevel="0" collapsed="false">
      <c r="B70" s="17" t="n">
        <f aca="false">'WACC Schedule'!$C39-(35*0.01)</f>
        <v>-0.271132782048523</v>
      </c>
      <c r="C70"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Schedule'!U14)*(1+($B70))*(1-('Inputs &amp; Assumptions'!$C$73)))*(1-((($B70)/('WACC Schedule'!$C39))))/(('WACC Schedule'!$C39)-($B70))))*(1/(1+'WACC Schedule'!$C39)^10))))-(Schedules!$K$93)+(IFERROR(INDEX(HS_CONSOLIDATED!L:L,MATCH("CashAndCashEquivalents",HS_CONSOLIDATED!$C:$C,0)),0)))/'WACC Schedule'!$C7</f>
        <v>39.3575916652064</v>
      </c>
      <c r="D70" s="0" t="n">
        <f aca="false">IFERROR(C70-C30,"")</f>
        <v>-16.6824083347936</v>
      </c>
    </row>
    <row r="71" customFormat="false" ht="15" hidden="false" customHeight="false" outlineLevel="0" collapsed="false">
      <c r="B71" s="17" t="n">
        <f aca="false">'WACC Schedule'!$C39-(36*0.01)</f>
        <v>-0.281132782048523</v>
      </c>
      <c r="C71"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Schedule'!U14)*(1+($B71))*(1-('Inputs &amp; Assumptions'!$C$73)))*(1-((($B71)/('WACC Schedule'!$C39))))/(('WACC Schedule'!$C39)-($B71))))*(1/(1+'WACC Schedule'!$C39)^10))))-(Schedules!$K$93)+(IFERROR(INDEX(HS_CONSOLIDATED!L:L,MATCH("CashAndCashEquivalents",HS_CONSOLIDATED!$C:$C,0)),0)))/'WACC Schedule'!$C7</f>
        <v>38.9638722366401</v>
      </c>
      <c r="D71" s="0" t="n">
        <f aca="false">IFERROR(C71-C30,"")</f>
        <v>-17.0761277633599</v>
      </c>
    </row>
    <row r="72" customFormat="false" ht="15" hidden="false" customHeight="false" outlineLevel="0" collapsed="false">
      <c r="B72" s="17" t="n">
        <f aca="false">'WACC Schedule'!$C39-(37*0.01)</f>
        <v>-0.291132782048523</v>
      </c>
      <c r="C72"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Schedule'!U14)*(1+($B72))*(1-('Inputs &amp; Assumptions'!$C$73)))*(1-((($B72)/('WACC Schedule'!$C39))))/(('WACC Schedule'!$C39)-($B72))))*(1/(1+'WACC Schedule'!$C39)^10))))-(Schedules!$K$93)+(IFERROR(INDEX(HS_CONSOLIDATED!L:L,MATCH("CashAndCashEquivalents",HS_CONSOLIDATED!$C:$C,0)),0)))/'WACC Schedule'!$C7</f>
        <v>38.5701528080738</v>
      </c>
      <c r="D72" s="0" t="n">
        <f aca="false">IFERROR(C72-C30,"")</f>
        <v>-17.4698471919262</v>
      </c>
    </row>
    <row r="73" customFormat="false" ht="15" hidden="false" customHeight="false" outlineLevel="0" collapsed="false">
      <c r="B73" s="17" t="n">
        <f aca="false">'WACC Schedule'!$C39-(38*0.01)</f>
        <v>-0.301132782048523</v>
      </c>
      <c r="C73"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Schedule'!U14)*(1+($B73))*(1-('Inputs &amp; Assumptions'!$C$73)))*(1-((($B73)/('WACC Schedule'!$C39))))/(('WACC Schedule'!$C39)-($B73))))*(1/(1+'WACC Schedule'!$C39)^10))))-(Schedules!$K$93)+(IFERROR(INDEX(HS_CONSOLIDATED!L:L,MATCH("CashAndCashEquivalents",HS_CONSOLIDATED!$C:$C,0)),0)))/'WACC Schedule'!$C7</f>
        <v>38.1764333795075</v>
      </c>
      <c r="D73" s="0" t="n">
        <f aca="false">IFERROR(C73-C30,"")</f>
        <v>-17.8635666204925</v>
      </c>
    </row>
    <row r="74" customFormat="false" ht="15" hidden="false" customHeight="false" outlineLevel="0" collapsed="false">
      <c r="B74" s="17" t="n">
        <f aca="false">'WACC Schedule'!$C39-(39*0.01)</f>
        <v>-0.311132782048523</v>
      </c>
      <c r="C74"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Schedule'!U14)*(1+($B74))*(1-('Inputs &amp; Assumptions'!$C$73)))*(1-((($B74)/('WACC Schedule'!$C39))))/(('WACC Schedule'!$C39)-($B74))))*(1/(1+'WACC Schedule'!$C39)^10))))-(Schedules!$K$93)+(IFERROR(INDEX(HS_CONSOLIDATED!L:L,MATCH("CashAndCashEquivalents",HS_CONSOLIDATED!$C:$C,0)),0)))/'WACC Schedule'!$C7</f>
        <v>37.7827139509412</v>
      </c>
      <c r="D74" s="0" t="n">
        <f aca="false">IFERROR(C74-C30,"")</f>
        <v>-18.2572860490588</v>
      </c>
    </row>
    <row r="75" customFormat="false" ht="15" hidden="false" customHeight="false" outlineLevel="0" collapsed="false">
      <c r="B75" s="17" t="n">
        <f aca="false">'WACC Schedule'!$C39-(40*0.01)</f>
        <v>-0.321132782048523</v>
      </c>
      <c r="C75" s="0" t="n">
        <f aca="false">(((((((('P&amp;L Schedule'!L14)*(1-(IFERROR(Schedules!L107/Schedules!L106,0))))+((-'P&amp;L Schedule'!L13))+((-Schedules!L53))+((Schedules!L45*(1)))))*(1/(1+'WACC Schedule'!$C39)^1)+(((('P&amp;L Schedule'!M14)*(1-(IFERROR(Schedules!M107/Schedules!M106,0))))+((-'P&amp;L Schedule'!M13))+((-Schedules!M53))+((Schedules!M45*(1)))))*(1/(1+'WACC Schedule'!$C39)^2)+(((('P&amp;L Schedule'!N14)*(1-(IFERROR(Schedules!N107/Schedules!N106,0))))+((-'P&amp;L Schedule'!N13))+((-Schedules!N53))+((Schedules!N45*(1)))))*(1/(1+'WACC Schedule'!$C39)^3)+(((('P&amp;L Schedule'!O14)*(1-(IFERROR(Schedules!O107/Schedules!O106,0))))+((-'P&amp;L Schedule'!O13))+((-Schedules!O53))+((Schedules!O45*(1)))))*(1/(1+'WACC Schedule'!$C39)^4)+(((('P&amp;L Schedule'!P14)*(1-(IFERROR(Schedules!P107/Schedules!P106,0))))+((-'P&amp;L Schedule'!P13))+((-Schedules!P53))+((Schedules!P45*(1)))))*(1/(1+'WACC Schedule'!$C39)^5)+(((('P&amp;L Schedule'!Q14)*(1-(IFERROR(Schedules!Q107/Schedules!Q106,0))))+((-'P&amp;L Schedule'!Q13))+((-Schedules!Q53))+((Schedules!Q45*(1)))))*(1/(1+'WACC Schedule'!$C39)^6)+(((('P&amp;L Schedule'!R14)*(1-(IFERROR(Schedules!R107/Schedules!R106,0))))+((-'P&amp;L Schedule'!R13))+((-Schedules!R53))+((Schedules!R45*(1)))))*(1/(1+'WACC Schedule'!$C39)^7)+(((('P&amp;L Schedule'!S14)*(1-(IFERROR(Schedules!S107/Schedules!S106,0))))+((-'P&amp;L Schedule'!S13))+((-Schedules!S53))+((Schedules!S45*(1)))))*(1/(1+'WACC Schedule'!$C39)^8)+(((('P&amp;L Schedule'!T14)*(1-(IFERROR(Schedules!T107/Schedules!T106,0))))+((-'P&amp;L Schedule'!T13))+((-Schedules!T53))+((Schedules!T45*(1)))))*(1/(1+'WACC Schedule'!$C39)^9)+(((('P&amp;L Schedule'!U14)*(1-(IFERROR(Schedules!U107/Schedules!U106,0))))+((-'P&amp;L Schedule'!U13))+((-Schedules!U53))+((Schedules!U45*(1)))))*(1/(1+'WACC Schedule'!$C39)^10))+((((('P&amp;L Schedule'!U14)*(1+($B75))*(1-('Inputs &amp; Assumptions'!$C$73)))*(1-((($B75)/('WACC Schedule'!$C39))))/(('WACC Schedule'!$C39)-($B75))))*(1/(1+'WACC Schedule'!$C39)^10))))-(Schedules!$K$93)+(IFERROR(INDEX(HS_CONSOLIDATED!L:L,MATCH("CashAndCashEquivalents",HS_CONSOLIDATED!$C:$C,0)),0)))/'WACC Schedule'!$C7</f>
        <v>37.3889945223749</v>
      </c>
      <c r="D75" s="0" t="n">
        <f aca="false">IFERROR(C75-C30,"")</f>
        <v>-18.6510054776251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I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30"/>
  </cols>
  <sheetData>
    <row r="1" customFormat="false" ht="15" hidden="false" customHeight="false" outlineLevel="0" collapsed="false">
      <c r="A1" s="128"/>
      <c r="B1" s="128"/>
      <c r="C1" s="128"/>
      <c r="D1" s="128"/>
      <c r="E1" s="128"/>
      <c r="F1" s="128"/>
      <c r="G1" s="128"/>
      <c r="H1" s="128"/>
      <c r="I1" s="128"/>
    </row>
    <row r="2" customFormat="false" ht="15" hidden="false" customHeight="false" outlineLevel="0" collapsed="false">
      <c r="A2" s="128"/>
      <c r="B2" s="128"/>
      <c r="C2" s="128"/>
      <c r="D2" s="128"/>
      <c r="E2" s="128"/>
      <c r="F2" s="128"/>
      <c r="G2" s="128"/>
      <c r="H2" s="128"/>
      <c r="I2" s="128"/>
    </row>
    <row r="3" customFormat="false" ht="15" hidden="false" customHeight="false" outlineLevel="0" collapsed="false">
      <c r="A3" s="128"/>
      <c r="B3" s="128"/>
      <c r="C3" s="128"/>
      <c r="D3" s="128"/>
      <c r="E3" s="128"/>
      <c r="F3" s="128"/>
      <c r="G3" s="128"/>
      <c r="H3" s="128"/>
      <c r="I3" s="128"/>
    </row>
    <row r="4" customFormat="false" ht="15" hidden="false" customHeight="false" outlineLevel="0" collapsed="false">
      <c r="A4" s="128"/>
      <c r="B4" s="128"/>
      <c r="C4" s="128"/>
      <c r="D4" s="128"/>
      <c r="E4" s="128"/>
      <c r="F4" s="128"/>
      <c r="G4" s="128"/>
      <c r="H4" s="128"/>
      <c r="I4" s="128"/>
    </row>
    <row r="5" customFormat="false" ht="15" hidden="false" customHeight="false" outlineLevel="0" collapsed="false">
      <c r="A5" s="128"/>
      <c r="B5" s="128"/>
      <c r="C5" s="128"/>
      <c r="D5" s="128"/>
      <c r="E5" s="128"/>
      <c r="F5" s="128"/>
      <c r="G5" s="128"/>
      <c r="H5" s="128"/>
      <c r="I5" s="128"/>
    </row>
    <row r="6" customFormat="false" ht="22.05" hidden="false" customHeight="false" outlineLevel="0" collapsed="false">
      <c r="A6" s="128"/>
      <c r="B6" s="129" t="s">
        <v>566</v>
      </c>
      <c r="C6" s="128"/>
      <c r="D6" s="128"/>
      <c r="E6" s="128"/>
      <c r="F6" s="128"/>
      <c r="G6" s="128"/>
      <c r="H6" s="128"/>
      <c r="I6" s="128"/>
    </row>
    <row r="7" customFormat="false" ht="15" hidden="false" customHeight="false" outlineLevel="0" collapsed="false">
      <c r="A7" s="128"/>
      <c r="B7" s="128"/>
      <c r="C7" s="128"/>
      <c r="D7" s="128"/>
      <c r="E7" s="128"/>
      <c r="F7" s="128"/>
      <c r="G7" s="128"/>
      <c r="H7" s="128"/>
      <c r="I7" s="128"/>
    </row>
    <row r="8" customFormat="false" ht="15" hidden="false" customHeight="false" outlineLevel="0" collapsed="false">
      <c r="A8" s="128"/>
      <c r="B8" s="128"/>
      <c r="C8" s="128"/>
      <c r="D8" s="128"/>
      <c r="E8" s="128"/>
      <c r="F8" s="128"/>
      <c r="G8" s="128"/>
      <c r="H8" s="128"/>
      <c r="I8" s="128"/>
    </row>
    <row r="9" customFormat="false" ht="15" hidden="false" customHeight="false" outlineLevel="0" collapsed="false">
      <c r="A9" s="128"/>
      <c r="B9" s="128"/>
      <c r="C9" s="128"/>
      <c r="D9" s="128"/>
      <c r="E9" s="128"/>
      <c r="F9" s="128"/>
      <c r="G9" s="128"/>
      <c r="H9" s="128"/>
      <c r="I9" s="128"/>
    </row>
    <row r="10" customFormat="false" ht="15" hidden="false" customHeight="false" outlineLevel="0" collapsed="false">
      <c r="A10" s="128"/>
      <c r="B10" s="128"/>
      <c r="C10" s="128"/>
      <c r="D10" s="128"/>
      <c r="E10" s="128"/>
      <c r="F10" s="128"/>
      <c r="G10" s="128"/>
      <c r="H10" s="128"/>
      <c r="I10" s="128"/>
    </row>
    <row r="11" customFormat="false" ht="15" hidden="false" customHeight="false" outlineLevel="0" collapsed="false">
      <c r="A11" s="128"/>
      <c r="B11" s="128"/>
      <c r="C11" s="128"/>
      <c r="D11" s="128"/>
      <c r="E11" s="128"/>
      <c r="F11" s="128"/>
      <c r="G11" s="128"/>
      <c r="H11" s="128"/>
      <c r="I11" s="128"/>
    </row>
    <row r="12" customFormat="false" ht="15" hidden="false" customHeight="false" outlineLevel="0" collapsed="false">
      <c r="A12" s="128"/>
      <c r="B12" s="128"/>
      <c r="C12" s="128"/>
      <c r="D12" s="128"/>
      <c r="E12" s="128"/>
      <c r="F12" s="128"/>
      <c r="G12" s="128"/>
      <c r="H12" s="128"/>
      <c r="I12" s="128"/>
    </row>
    <row r="13" customFormat="false" ht="15" hidden="false" customHeight="false" outlineLevel="0" collapsed="false">
      <c r="A13" s="128"/>
      <c r="B13" s="128"/>
      <c r="C13" s="128"/>
      <c r="D13" s="128"/>
      <c r="E13" s="128"/>
      <c r="F13" s="128"/>
      <c r="G13" s="128"/>
      <c r="H13" s="128"/>
      <c r="I13" s="128"/>
    </row>
    <row r="14" customFormat="false" ht="15" hidden="false" customHeight="false" outlineLevel="0" collapsed="false">
      <c r="A14" s="128"/>
      <c r="B14" s="128"/>
      <c r="C14" s="128"/>
      <c r="D14" s="128"/>
      <c r="E14" s="128"/>
      <c r="F14" s="128"/>
      <c r="G14" s="128"/>
      <c r="H14" s="128"/>
      <c r="I14" s="12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62"/>
    <col collapsed="false" customWidth="true" hidden="false" outlineLevel="0" max="3" min="3" style="0" width="42"/>
    <col collapsed="false" customWidth="true" hidden="false" outlineLevel="0" max="12" min="4" style="0" width="22"/>
  </cols>
  <sheetData>
    <row r="1" customFormat="false" ht="17.35" hidden="false" customHeight="false" outlineLevel="0" collapsed="false">
      <c r="B1" s="130" t="s">
        <v>0</v>
      </c>
    </row>
    <row r="3" customFormat="false" ht="15" hidden="false" customHeight="false" outlineLevel="0" collapsed="false">
      <c r="A3" s="0" t="s">
        <v>26</v>
      </c>
      <c r="B3" s="13" t="s">
        <v>111</v>
      </c>
    </row>
    <row r="4" customFormat="false" ht="15" hidden="false" customHeight="false" outlineLevel="0" collapsed="false">
      <c r="B4" s="0" t="s">
        <v>567</v>
      </c>
    </row>
    <row r="6" customFormat="false" ht="15" hidden="false" customHeight="false" outlineLevel="0" collapsed="false">
      <c r="C6" s="131" t="s">
        <v>568</v>
      </c>
      <c r="D6" s="13" t="s">
        <v>29</v>
      </c>
      <c r="E6" s="13" t="s">
        <v>30</v>
      </c>
      <c r="F6" s="13" t="s">
        <v>31</v>
      </c>
      <c r="G6" s="13" t="s">
        <v>32</v>
      </c>
      <c r="H6" s="13" t="s">
        <v>33</v>
      </c>
      <c r="I6" s="13" t="s">
        <v>34</v>
      </c>
      <c r="J6" s="13" t="s">
        <v>35</v>
      </c>
      <c r="K6" s="13" t="s">
        <v>36</v>
      </c>
      <c r="L6" s="13" t="s">
        <v>37</v>
      </c>
    </row>
    <row r="7" customFormat="false" ht="15" hidden="false" customHeight="false" outlineLevel="0" collapsed="false">
      <c r="B7" s="63" t="s">
        <v>112</v>
      </c>
    </row>
    <row r="8" customFormat="false" ht="15" hidden="false" customHeight="false" outlineLevel="0" collapsed="false">
      <c r="B8" s="132" t="s">
        <v>113</v>
      </c>
      <c r="C8" s="133" t="s">
        <v>569</v>
      </c>
      <c r="D8" s="134" t="n">
        <v>127143700000</v>
      </c>
      <c r="E8" s="134" t="n">
        <v>83338400000</v>
      </c>
      <c r="F8" s="134" t="n">
        <v>50246900000</v>
      </c>
      <c r="G8" s="134" t="n">
        <v>29728500000</v>
      </c>
      <c r="H8" s="134" t="n">
        <v>33457200000</v>
      </c>
      <c r="I8" s="134" t="n">
        <v>65817800000</v>
      </c>
      <c r="J8" s="134" t="n">
        <v>59705300000</v>
      </c>
      <c r="K8" s="134" t="n">
        <v>65290900000</v>
      </c>
      <c r="L8" s="134" t="n">
        <v>108897400000</v>
      </c>
    </row>
    <row r="9" customFormat="false" ht="15" hidden="false" customHeight="false" outlineLevel="0" collapsed="false">
      <c r="B9" s="132" t="s">
        <v>114</v>
      </c>
      <c r="C9" s="133" t="s">
        <v>570</v>
      </c>
      <c r="D9" s="134" t="n">
        <v>888200000</v>
      </c>
      <c r="E9" s="134" t="n">
        <v>791700000</v>
      </c>
      <c r="F9" s="134" t="n">
        <v>499500000</v>
      </c>
      <c r="G9" s="134" t="n">
        <v>275700000</v>
      </c>
      <c r="H9" s="134" t="n">
        <v>198700000</v>
      </c>
      <c r="I9" s="134" t="n">
        <v>221900000</v>
      </c>
      <c r="J9" s="134" t="n">
        <v>196300000</v>
      </c>
      <c r="K9" s="134" t="n">
        <v>384200000</v>
      </c>
      <c r="L9" s="134" t="n">
        <v>1033900000</v>
      </c>
    </row>
    <row r="10" customFormat="false" ht="15" hidden="false" customHeight="false" outlineLevel="0" collapsed="false">
      <c r="B10" s="135" t="s">
        <v>115</v>
      </c>
      <c r="C10" s="133" t="s">
        <v>571</v>
      </c>
      <c r="D10" s="136" t="n">
        <v>128031900000</v>
      </c>
      <c r="E10" s="136" t="n">
        <v>84130100000</v>
      </c>
      <c r="F10" s="136" t="n">
        <v>50746400000</v>
      </c>
      <c r="G10" s="136" t="n">
        <v>30004200000</v>
      </c>
      <c r="H10" s="136" t="n">
        <v>33655900000</v>
      </c>
      <c r="I10" s="136" t="n">
        <v>66039700000</v>
      </c>
      <c r="J10" s="136" t="n">
        <v>59901600000</v>
      </c>
      <c r="K10" s="136" t="n">
        <v>65675100000</v>
      </c>
      <c r="L10" s="136" t="n">
        <v>109931300000</v>
      </c>
    </row>
    <row r="11" customFormat="false" ht="15" hidden="false" customHeight="false" outlineLevel="0" collapsed="false">
      <c r="B11" s="63" t="s">
        <v>572</v>
      </c>
    </row>
    <row r="12" customFormat="false" ht="15" hidden="false" customHeight="false" outlineLevel="0" collapsed="false">
      <c r="B12" s="132" t="s">
        <v>117</v>
      </c>
      <c r="C12" s="133" t="s">
        <v>573</v>
      </c>
      <c r="D12" s="134" t="n">
        <v>82914400000</v>
      </c>
      <c r="E12" s="134" t="n">
        <v>40319900000</v>
      </c>
      <c r="F12" s="134" t="n">
        <v>29565000000</v>
      </c>
      <c r="G12" s="134" t="n">
        <v>14044100000</v>
      </c>
      <c r="H12" s="134" t="n">
        <v>16107500000</v>
      </c>
      <c r="I12" s="134" t="n">
        <v>40919500000</v>
      </c>
      <c r="J12" s="134" t="n">
        <v>36267600000</v>
      </c>
      <c r="K12" s="134" t="n">
        <v>40186500000</v>
      </c>
      <c r="L12" s="134" t="n">
        <v>71391700000</v>
      </c>
    </row>
    <row r="13" customFormat="false" ht="15" hidden="false" customHeight="false" outlineLevel="0" collapsed="false">
      <c r="B13" s="132" t="s">
        <v>118</v>
      </c>
      <c r="C13" s="133" t="s">
        <v>574</v>
      </c>
      <c r="D13" s="134" t="n">
        <v>0</v>
      </c>
      <c r="E13" s="134" t="n">
        <v>9879500000</v>
      </c>
      <c r="F13" s="134" t="n">
        <v>0</v>
      </c>
      <c r="G13" s="134" t="n">
        <v>0</v>
      </c>
      <c r="H13" s="134" t="n">
        <v>0</v>
      </c>
      <c r="I13" s="134" t="n">
        <v>0</v>
      </c>
      <c r="J13" s="134" t="n">
        <v>0</v>
      </c>
      <c r="K13" s="134" t="n">
        <v>0</v>
      </c>
      <c r="L13" s="134" t="n">
        <v>0</v>
      </c>
    </row>
    <row r="14" customFormat="false" ht="15" hidden="false" customHeight="false" outlineLevel="0" collapsed="false">
      <c r="B14" s="132" t="s">
        <v>119</v>
      </c>
      <c r="C14" s="133" t="s">
        <v>575</v>
      </c>
      <c r="D14" s="134" t="n">
        <v>-7485500000</v>
      </c>
      <c r="E14" s="134" t="n">
        <v>957700000</v>
      </c>
      <c r="F14" s="134" t="n">
        <v>418500000</v>
      </c>
      <c r="G14" s="134" t="n">
        <v>4691000000</v>
      </c>
      <c r="H14" s="134" t="n">
        <v>-334800000</v>
      </c>
      <c r="I14" s="134" t="n">
        <v>2396100000</v>
      </c>
      <c r="J14" s="134" t="n">
        <v>1559000000</v>
      </c>
      <c r="K14" s="134" t="n">
        <v>-365200000</v>
      </c>
      <c r="L14" s="134" t="n">
        <v>-2525700000</v>
      </c>
    </row>
    <row r="15" customFormat="false" ht="15" hidden="false" customHeight="false" outlineLevel="0" collapsed="false">
      <c r="B15" s="132" t="s">
        <v>576</v>
      </c>
      <c r="C15" s="133" t="s">
        <v>577</v>
      </c>
      <c r="D15" s="134" t="n">
        <v>10464800000</v>
      </c>
      <c r="E15" s="134" t="n">
        <v>8046800000</v>
      </c>
      <c r="F15" s="134" t="n">
        <v>8741600000</v>
      </c>
      <c r="G15" s="134" t="n">
        <v>7962500000</v>
      </c>
      <c r="H15" s="134" t="n">
        <v>5532100000</v>
      </c>
      <c r="I15" s="134" t="n">
        <v>5453600000</v>
      </c>
      <c r="J15" s="134" t="n">
        <v>6092200000</v>
      </c>
      <c r="K15" s="134" t="n">
        <v>7029000000</v>
      </c>
      <c r="L15" s="134" t="n">
        <v>9415300000</v>
      </c>
    </row>
    <row r="16" customFormat="false" ht="15" hidden="false" customHeight="false" outlineLevel="0" collapsed="false">
      <c r="B16" s="132" t="s">
        <v>126</v>
      </c>
      <c r="C16" s="133" t="s">
        <v>578</v>
      </c>
      <c r="D16" s="134" t="n">
        <v>12875900000</v>
      </c>
      <c r="E16" s="134" t="n">
        <v>15809800000</v>
      </c>
      <c r="F16" s="134" t="n">
        <v>12699100000</v>
      </c>
      <c r="G16" s="134" t="n">
        <v>13672900000</v>
      </c>
      <c r="H16" s="134" t="n">
        <v>9962600000</v>
      </c>
      <c r="I16" s="134" t="n">
        <v>7345200000</v>
      </c>
      <c r="J16" s="134" t="n">
        <v>4207600000</v>
      </c>
      <c r="K16" s="134" t="n">
        <v>1643200000</v>
      </c>
      <c r="L16" s="134" t="n">
        <v>2548000000</v>
      </c>
    </row>
    <row r="17" customFormat="false" ht="15" hidden="false" customHeight="false" outlineLevel="0" collapsed="false">
      <c r="B17" s="132" t="s">
        <v>579</v>
      </c>
      <c r="C17" s="133" t="s">
        <v>580</v>
      </c>
      <c r="D17" s="134" t="n">
        <v>3890300000</v>
      </c>
      <c r="E17" s="134" t="n">
        <v>3416100000</v>
      </c>
      <c r="F17" s="134" t="n">
        <v>3418500000</v>
      </c>
      <c r="G17" s="134" t="n">
        <v>4186100000</v>
      </c>
      <c r="H17" s="134" t="n">
        <v>2583800000</v>
      </c>
      <c r="I17" s="134" t="n">
        <v>2598400000</v>
      </c>
      <c r="J17" s="134" t="n">
        <v>2596800000</v>
      </c>
      <c r="K17" s="134" t="n">
        <v>1896000000</v>
      </c>
      <c r="L17" s="134" t="n">
        <v>2591900000</v>
      </c>
    </row>
    <row r="18" customFormat="false" ht="15" hidden="false" customHeight="false" outlineLevel="0" collapsed="false">
      <c r="B18" s="132" t="s">
        <v>122</v>
      </c>
      <c r="C18" s="133" t="s">
        <v>581</v>
      </c>
      <c r="D18" s="134" t="n">
        <v>16256100000</v>
      </c>
      <c r="E18" s="134" t="n">
        <v>14103900000</v>
      </c>
      <c r="F18" s="134" t="n">
        <v>11609300000</v>
      </c>
      <c r="G18" s="134" t="n">
        <v>11628200000</v>
      </c>
      <c r="H18" s="134" t="n">
        <v>6809600000</v>
      </c>
      <c r="I18" s="134" t="n">
        <v>8154100000</v>
      </c>
      <c r="J18" s="134" t="n">
        <v>7467300000</v>
      </c>
      <c r="K18" s="134" t="n">
        <v>8151800000</v>
      </c>
      <c r="L18" s="134" t="n">
        <v>12043800000</v>
      </c>
    </row>
    <row r="19" customFormat="false" ht="15" hidden="false" customHeight="false" outlineLevel="0" collapsed="false">
      <c r="B19" s="135" t="s">
        <v>582</v>
      </c>
      <c r="C19" s="133" t="s">
        <v>583</v>
      </c>
      <c r="D19" s="136" t="n">
        <v>118916000000</v>
      </c>
      <c r="E19" s="136" t="n">
        <v>92533700000</v>
      </c>
      <c r="F19" s="136" t="n">
        <v>66452000000</v>
      </c>
      <c r="G19" s="136" t="n">
        <v>56184800000</v>
      </c>
      <c r="H19" s="136" t="n">
        <v>40660800000</v>
      </c>
      <c r="I19" s="136" t="n">
        <v>66866900000</v>
      </c>
      <c r="J19" s="136" t="n">
        <v>58190500000</v>
      </c>
      <c r="K19" s="136" t="n">
        <v>58541300000</v>
      </c>
      <c r="L19" s="136" t="n">
        <v>95465000000</v>
      </c>
    </row>
    <row r="20" customFormat="false" ht="15" hidden="false" customHeight="false" outlineLevel="0" collapsed="false">
      <c r="B20" s="32" t="s">
        <v>584</v>
      </c>
      <c r="C20" s="133" t="s">
        <v>585</v>
      </c>
      <c r="D20" s="136" t="n">
        <v>9115900000</v>
      </c>
      <c r="E20" s="136" t="n">
        <v>-8403600000</v>
      </c>
      <c r="F20" s="136" t="n">
        <v>-15705600000</v>
      </c>
      <c r="G20" s="136" t="n">
        <v>-26180600000</v>
      </c>
      <c r="H20" s="136" t="n">
        <v>-7004900000</v>
      </c>
      <c r="I20" s="136" t="n">
        <v>-827200000</v>
      </c>
      <c r="J20" s="136" t="n">
        <v>1711100000</v>
      </c>
      <c r="K20" s="136" t="n">
        <v>7133800000</v>
      </c>
      <c r="L20" s="136" t="n">
        <v>14466300000</v>
      </c>
    </row>
    <row r="21" customFormat="false" ht="15" hidden="false" customHeight="false" outlineLevel="0" collapsed="false">
      <c r="B21" s="6" t="s">
        <v>127</v>
      </c>
      <c r="C21" s="133" t="s">
        <v>586</v>
      </c>
      <c r="D21" s="134" t="n">
        <v>0</v>
      </c>
      <c r="E21" s="134" t="n">
        <v>4496200000</v>
      </c>
      <c r="F21" s="134" t="n">
        <v>275700000</v>
      </c>
      <c r="G21" s="134" t="n">
        <v>-658900000</v>
      </c>
      <c r="H21" s="134" t="n">
        <v>8054600000</v>
      </c>
      <c r="I21" s="134" t="n">
        <v>831200000</v>
      </c>
      <c r="J21" s="134" t="n">
        <v>27206000000</v>
      </c>
      <c r="K21" s="134" t="n">
        <v>-538900000</v>
      </c>
      <c r="L21" s="134" t="n">
        <v>0</v>
      </c>
    </row>
    <row r="22" customFormat="false" ht="15" hidden="false" customHeight="false" outlineLevel="0" collapsed="false">
      <c r="B22" s="32" t="s">
        <v>201</v>
      </c>
      <c r="C22" s="133" t="s">
        <v>587</v>
      </c>
      <c r="D22" s="136" t="n">
        <v>9115900000</v>
      </c>
      <c r="E22" s="136" t="n">
        <v>-3907400000</v>
      </c>
      <c r="F22" s="136" t="n">
        <v>-15429900000</v>
      </c>
      <c r="G22" s="136" t="n">
        <v>-26839500000</v>
      </c>
      <c r="H22" s="136" t="n">
        <v>1049700000</v>
      </c>
      <c r="I22" s="136" t="n">
        <v>4000000</v>
      </c>
      <c r="J22" s="136" t="n">
        <v>28917100000</v>
      </c>
      <c r="K22" s="136" t="n">
        <v>6594900000</v>
      </c>
      <c r="L22" s="136" t="n">
        <v>14466300000</v>
      </c>
    </row>
    <row r="23" customFormat="false" ht="15" hidden="false" customHeight="false" outlineLevel="0" collapsed="false">
      <c r="B23" s="63" t="s">
        <v>588</v>
      </c>
    </row>
    <row r="24" customFormat="false" ht="15" hidden="false" customHeight="false" outlineLevel="0" collapsed="false">
      <c r="B24" s="132" t="s">
        <v>129</v>
      </c>
      <c r="C24" s="133" t="s">
        <v>589</v>
      </c>
      <c r="D24" s="134" t="n">
        <v>117000000</v>
      </c>
      <c r="E24" s="134" t="n">
        <v>-15600000</v>
      </c>
      <c r="F24" s="134" t="n">
        <v>30900000</v>
      </c>
      <c r="G24" s="134" t="n">
        <v>74400000</v>
      </c>
      <c r="H24" s="134" t="n">
        <v>46300000</v>
      </c>
      <c r="I24" s="134" t="n">
        <v>1840700000</v>
      </c>
      <c r="J24" s="134" t="n">
        <v>46100000</v>
      </c>
      <c r="K24" s="134" t="n">
        <v>29000000</v>
      </c>
      <c r="L24" s="134" t="n">
        <v>144200000</v>
      </c>
    </row>
    <row r="25" customFormat="false" ht="15" hidden="false" customHeight="false" outlineLevel="0" collapsed="false">
      <c r="B25" s="132" t="s">
        <v>130</v>
      </c>
      <c r="C25" s="133" t="s">
        <v>590</v>
      </c>
      <c r="D25" s="134" t="n">
        <v>0</v>
      </c>
      <c r="E25" s="134" t="n">
        <v>0</v>
      </c>
      <c r="F25" s="134" t="n">
        <v>-149900000</v>
      </c>
      <c r="G25" s="134" t="n">
        <v>0</v>
      </c>
      <c r="H25" s="134" t="n">
        <v>0</v>
      </c>
      <c r="I25" s="134" t="n">
        <v>-174800000</v>
      </c>
      <c r="J25" s="134" t="n">
        <v>-1900000</v>
      </c>
      <c r="K25" s="134" t="n">
        <v>-37600000</v>
      </c>
      <c r="L25" s="134" t="n">
        <v>-6394200000</v>
      </c>
    </row>
    <row r="26" customFormat="false" ht="15" hidden="false" customHeight="false" outlineLevel="0" collapsed="false">
      <c r="B26" s="135" t="s">
        <v>131</v>
      </c>
      <c r="C26" s="133" t="s">
        <v>591</v>
      </c>
      <c r="D26" s="136" t="n">
        <v>117000000</v>
      </c>
      <c r="E26" s="136" t="n">
        <v>-15600000</v>
      </c>
      <c r="F26" s="136" t="n">
        <v>-119000000</v>
      </c>
      <c r="G26" s="136" t="n">
        <v>74400000</v>
      </c>
      <c r="H26" s="136" t="n">
        <v>46300000</v>
      </c>
      <c r="I26" s="136" t="n">
        <v>1665900000</v>
      </c>
      <c r="J26" s="136" t="n">
        <v>44200000</v>
      </c>
      <c r="K26" s="136" t="n">
        <v>-8600000</v>
      </c>
      <c r="L26" s="136" t="n">
        <v>-6250000000</v>
      </c>
    </row>
    <row r="27" customFormat="false" ht="15" hidden="false" customHeight="false" outlineLevel="0" collapsed="false">
      <c r="B27" s="32" t="s">
        <v>592</v>
      </c>
      <c r="C27" s="133" t="s">
        <v>593</v>
      </c>
      <c r="D27" s="136" t="n">
        <v>8998900000</v>
      </c>
      <c r="E27" s="136" t="n">
        <v>-3891800000</v>
      </c>
      <c r="F27" s="136" t="n">
        <v>-15310900000</v>
      </c>
      <c r="G27" s="136" t="n">
        <v>-26913900000</v>
      </c>
      <c r="H27" s="136" t="n">
        <v>1003400000</v>
      </c>
      <c r="I27" s="136" t="n">
        <v>-1661900000</v>
      </c>
      <c r="J27" s="136" t="n">
        <v>28872900000</v>
      </c>
      <c r="K27" s="136" t="n">
        <v>6603500000</v>
      </c>
      <c r="L27" s="136" t="n">
        <v>20716300000</v>
      </c>
    </row>
    <row r="28" customFormat="false" ht="15" hidden="false" customHeight="false" outlineLevel="0" collapsed="false">
      <c r="B28" s="6" t="s">
        <v>594</v>
      </c>
      <c r="C28" s="133" t="s">
        <v>595</v>
      </c>
      <c r="D28" s="134" t="n">
        <v>-482500000</v>
      </c>
      <c r="E28" s="134" t="n">
        <v>51700000</v>
      </c>
      <c r="F28" s="134" t="n">
        <v>-61000000</v>
      </c>
      <c r="G28" s="134" t="n">
        <v>-4500000</v>
      </c>
      <c r="H28" s="134" t="n">
        <v>32500000</v>
      </c>
      <c r="I28" s="134" t="n">
        <v>-103600000</v>
      </c>
      <c r="J28" s="134" t="n">
        <v>0</v>
      </c>
      <c r="K28" s="134" t="n">
        <v>0</v>
      </c>
      <c r="L28" s="134" t="n">
        <v>0</v>
      </c>
    </row>
    <row r="29" customFormat="false" ht="15" hidden="false" customHeight="false" outlineLevel="0" collapsed="false">
      <c r="B29" s="32" t="s">
        <v>596</v>
      </c>
      <c r="C29" s="133" t="s">
        <v>597</v>
      </c>
      <c r="D29" s="136" t="n">
        <v>8516400000</v>
      </c>
      <c r="E29" s="136" t="n">
        <v>-3840100000</v>
      </c>
      <c r="F29" s="136" t="n">
        <v>-15371900000</v>
      </c>
      <c r="G29" s="136" t="n">
        <v>-26918400000</v>
      </c>
      <c r="H29" s="136" t="n">
        <v>1035900000</v>
      </c>
      <c r="I29" s="136" t="n">
        <v>-1765500000</v>
      </c>
      <c r="J29" s="136" t="n">
        <v>28872900000</v>
      </c>
      <c r="K29" s="136" t="n">
        <v>6603500000</v>
      </c>
      <c r="L29" s="136" t="n">
        <v>20716300000</v>
      </c>
    </row>
    <row r="30" customFormat="false" ht="15" hidden="false" customHeight="false" outlineLevel="0" collapsed="false">
      <c r="B30" s="132" t="s">
        <v>598</v>
      </c>
      <c r="C30" s="133" t="s">
        <v>599</v>
      </c>
      <c r="D30" s="134" t="n">
        <v>8577100000</v>
      </c>
      <c r="E30" s="134" t="n">
        <v>-3769800000</v>
      </c>
      <c r="F30" s="134" t="n">
        <v>-15271800000</v>
      </c>
      <c r="G30" s="134" t="n">
        <v>-26422300000</v>
      </c>
      <c r="H30" s="134" t="n">
        <v>1041800000</v>
      </c>
      <c r="I30" s="134" t="n">
        <v>-1995900000</v>
      </c>
      <c r="J30" s="134" t="n">
        <v>28490100000</v>
      </c>
      <c r="K30" s="134" t="n">
        <v>6603500000</v>
      </c>
      <c r="L30" s="134" t="n">
        <v>20716300000</v>
      </c>
    </row>
    <row r="31" customFormat="false" ht="15" hidden="false" customHeight="false" outlineLevel="0" collapsed="false">
      <c r="B31" s="132" t="s">
        <v>600</v>
      </c>
      <c r="C31" s="133" t="s">
        <v>601</v>
      </c>
      <c r="D31" s="134" t="n">
        <v>-60700000</v>
      </c>
      <c r="E31" s="134" t="n">
        <v>-70300000</v>
      </c>
      <c r="F31" s="134" t="n">
        <v>100100000</v>
      </c>
      <c r="G31" s="134" t="n">
        <v>496100000</v>
      </c>
      <c r="H31" s="134" t="n">
        <v>5900000</v>
      </c>
      <c r="I31" s="134" t="n">
        <v>230400000</v>
      </c>
      <c r="J31" s="134" t="n">
        <v>382800000</v>
      </c>
      <c r="K31" s="134" t="n">
        <v>0</v>
      </c>
      <c r="L31" s="134" t="n">
        <v>0</v>
      </c>
    </row>
    <row r="32" customFormat="false" ht="15" hidden="false" customHeight="false" outlineLevel="0" collapsed="false">
      <c r="B32" s="6" t="s">
        <v>598</v>
      </c>
      <c r="C32" s="133" t="s">
        <v>599</v>
      </c>
      <c r="D32" s="134" t="n">
        <v>8577100000</v>
      </c>
      <c r="E32" s="134" t="n">
        <v>-3769800000</v>
      </c>
      <c r="F32" s="134" t="n">
        <v>-15271800000</v>
      </c>
      <c r="G32" s="134" t="n">
        <v>-26422300000</v>
      </c>
      <c r="H32" s="134" t="n">
        <v>1041800000</v>
      </c>
      <c r="I32" s="134" t="n">
        <v>-1995900000</v>
      </c>
      <c r="J32" s="134" t="n">
        <v>28490100000</v>
      </c>
      <c r="K32" s="134" t="n">
        <v>6603500000</v>
      </c>
      <c r="L32" s="134" t="n">
        <v>20716300000</v>
      </c>
    </row>
    <row r="33" customFormat="false" ht="15" hidden="false" customHeight="false" outlineLevel="0" collapsed="false">
      <c r="B33" s="6" t="s">
        <v>600</v>
      </c>
      <c r="C33" s="133" t="s">
        <v>601</v>
      </c>
      <c r="D33" s="134" t="n">
        <v>-60700000</v>
      </c>
      <c r="E33" s="134" t="n">
        <v>-70300000</v>
      </c>
      <c r="F33" s="134" t="n">
        <v>100100000</v>
      </c>
      <c r="G33" s="134" t="n">
        <v>496100000</v>
      </c>
      <c r="H33" s="134" t="n">
        <v>5900000</v>
      </c>
      <c r="I33" s="134" t="n">
        <v>230400000</v>
      </c>
      <c r="J33" s="134" t="n">
        <v>382800000</v>
      </c>
      <c r="K33" s="134" t="n">
        <v>0</v>
      </c>
      <c r="L33" s="134" t="n">
        <v>0</v>
      </c>
    </row>
    <row r="34" customFormat="false" ht="15" hidden="false" customHeight="false" outlineLevel="0" collapsed="false">
      <c r="B34" s="63" t="s">
        <v>602</v>
      </c>
    </row>
    <row r="35" customFormat="false" ht="15" hidden="false" customHeight="false" outlineLevel="0" collapsed="false">
      <c r="B35" s="137" t="s">
        <v>603</v>
      </c>
    </row>
    <row r="36" customFormat="false" ht="15" hidden="false" customHeight="false" outlineLevel="0" collapsed="false">
      <c r="B36" s="138" t="s">
        <v>604</v>
      </c>
      <c r="C36" s="133" t="s">
        <v>605</v>
      </c>
      <c r="D36" s="134" t="n">
        <v>-158600000</v>
      </c>
      <c r="E36" s="134" t="n">
        <v>116500000</v>
      </c>
      <c r="F36" s="134" t="n">
        <v>5600000</v>
      </c>
      <c r="G36" s="134" t="n">
        <v>66100000</v>
      </c>
      <c r="H36" s="134" t="n">
        <v>-3800000</v>
      </c>
      <c r="I36" s="134" t="n">
        <v>33300000</v>
      </c>
      <c r="J36" s="134" t="n">
        <v>-92200000</v>
      </c>
      <c r="K36" s="134" t="n">
        <v>31700000</v>
      </c>
      <c r="L36" s="134" t="n">
        <v>64400000</v>
      </c>
    </row>
    <row r="37" customFormat="false" ht="15" hidden="false" customHeight="false" outlineLevel="0" collapsed="false">
      <c r="B37" s="138" t="s">
        <v>606</v>
      </c>
      <c r="C37" s="133" t="s">
        <v>607</v>
      </c>
      <c r="D37" s="134" t="n">
        <v>-158600000</v>
      </c>
      <c r="E37" s="134" t="n">
        <v>116500000</v>
      </c>
      <c r="F37" s="134" t="n">
        <v>5600000</v>
      </c>
      <c r="G37" s="134" t="n">
        <v>66100000</v>
      </c>
      <c r="H37" s="134" t="n">
        <v>-3800000</v>
      </c>
      <c r="I37" s="134" t="n">
        <v>33300000</v>
      </c>
      <c r="J37" s="134" t="n">
        <v>-92200000</v>
      </c>
      <c r="K37" s="134" t="n">
        <v>31700000</v>
      </c>
      <c r="L37" s="134" t="n">
        <v>64400000</v>
      </c>
    </row>
    <row r="38" customFormat="false" ht="15" hidden="false" customHeight="false" outlineLevel="0" collapsed="false">
      <c r="B38" s="138" t="s">
        <v>608</v>
      </c>
      <c r="C38" s="133" t="s">
        <v>609</v>
      </c>
      <c r="D38" s="134" t="n">
        <v>-2238200000</v>
      </c>
      <c r="E38" s="134" t="n">
        <v>-2009200000</v>
      </c>
      <c r="F38" s="134" t="n">
        <v>-403400000</v>
      </c>
      <c r="G38" s="134" t="n">
        <v>1340800000</v>
      </c>
      <c r="H38" s="134" t="n">
        <v>316200000</v>
      </c>
      <c r="I38" s="134" t="n">
        <v>-851600000</v>
      </c>
      <c r="J38" s="134" t="n">
        <v>-256600000</v>
      </c>
      <c r="K38" s="134" t="n">
        <v>633000000</v>
      </c>
      <c r="L38" s="134" t="n">
        <v>-297700000</v>
      </c>
    </row>
    <row r="39" customFormat="false" ht="15" hidden="false" customHeight="false" outlineLevel="0" collapsed="false">
      <c r="B39" s="138" t="s">
        <v>610</v>
      </c>
      <c r="C39" s="133" t="s">
        <v>611</v>
      </c>
      <c r="D39" s="134" t="n">
        <v>-2238200000</v>
      </c>
      <c r="E39" s="134" t="n">
        <v>-2009200000</v>
      </c>
      <c r="F39" s="134" t="n">
        <v>-403400000</v>
      </c>
      <c r="G39" s="134" t="n">
        <v>1340800000</v>
      </c>
      <c r="H39" s="134" t="n">
        <v>316200000</v>
      </c>
      <c r="I39" s="134" t="n">
        <v>-851600000</v>
      </c>
      <c r="J39" s="134" t="n">
        <v>-256600000</v>
      </c>
      <c r="K39" s="134" t="n">
        <v>633000000</v>
      </c>
      <c r="L39" s="134" t="n">
        <v>-297700000</v>
      </c>
    </row>
    <row r="40" customFormat="false" ht="15" hidden="false" customHeight="false" outlineLevel="0" collapsed="false">
      <c r="B40" s="138" t="s">
        <v>612</v>
      </c>
      <c r="C40" s="133" t="s">
        <v>613</v>
      </c>
      <c r="D40" s="134" t="n">
        <v>-2396800000</v>
      </c>
      <c r="E40" s="134" t="n">
        <v>-1892700000</v>
      </c>
      <c r="F40" s="134" t="n">
        <v>-397800000</v>
      </c>
      <c r="G40" s="134" t="n">
        <v>1406900000</v>
      </c>
      <c r="H40" s="134" t="n">
        <v>312400000</v>
      </c>
      <c r="I40" s="134" t="n">
        <v>-818300000</v>
      </c>
      <c r="J40" s="134" t="n">
        <v>-348800000</v>
      </c>
      <c r="K40" s="134" t="n">
        <v>664700000</v>
      </c>
      <c r="L40" s="134" t="n">
        <v>-233300000</v>
      </c>
    </row>
    <row r="41" customFormat="false" ht="15" hidden="false" customHeight="false" outlineLevel="0" collapsed="false">
      <c r="B41" s="139" t="s">
        <v>614</v>
      </c>
    </row>
    <row r="42" customFormat="false" ht="15" hidden="false" customHeight="false" outlineLevel="0" collapsed="false">
      <c r="B42" s="140" t="s">
        <v>615</v>
      </c>
      <c r="C42" s="133" t="s">
        <v>616</v>
      </c>
      <c r="D42" s="134" t="n">
        <v>6119600000</v>
      </c>
      <c r="E42" s="134" t="n">
        <v>-5732800000</v>
      </c>
      <c r="F42" s="134" t="n">
        <v>-15769700000</v>
      </c>
      <c r="G42" s="134" t="n">
        <v>-25511500000</v>
      </c>
      <c r="H42" s="134" t="n">
        <v>1348300000</v>
      </c>
      <c r="I42" s="134" t="n">
        <v>-2583800000</v>
      </c>
      <c r="J42" s="134" t="n">
        <v>28524100000</v>
      </c>
      <c r="K42" s="134" t="n">
        <v>7268200000</v>
      </c>
      <c r="L42" s="134" t="n">
        <v>20483000000</v>
      </c>
    </row>
    <row r="43" customFormat="false" ht="15" hidden="false" customHeight="false" outlineLevel="0" collapsed="false">
      <c r="B43" s="141" t="s">
        <v>617</v>
      </c>
    </row>
    <row r="44" customFormat="false" ht="15" hidden="false" customHeight="false" outlineLevel="0" collapsed="false">
      <c r="B44" s="142" t="s">
        <v>618</v>
      </c>
      <c r="C44" s="133" t="s">
        <v>619</v>
      </c>
      <c r="D44" s="134" t="n">
        <v>6029700000</v>
      </c>
      <c r="E44" s="134" t="n">
        <v>-5662500000</v>
      </c>
      <c r="F44" s="134" t="n">
        <v>-15669600000</v>
      </c>
      <c r="G44" s="134" t="n">
        <v>-25015400000</v>
      </c>
      <c r="H44" s="134" t="n">
        <v>1354200000</v>
      </c>
      <c r="I44" s="134" t="n">
        <v>-2814200000</v>
      </c>
      <c r="J44" s="134" t="n">
        <v>28141300000</v>
      </c>
      <c r="K44" s="134" t="n">
        <v>7268200000</v>
      </c>
      <c r="L44" s="134" t="n">
        <v>20483000000</v>
      </c>
    </row>
    <row r="45" customFormat="false" ht="15" hidden="false" customHeight="false" outlineLevel="0" collapsed="false">
      <c r="B45" s="142" t="s">
        <v>620</v>
      </c>
      <c r="C45" s="133" t="s">
        <v>621</v>
      </c>
      <c r="D45" s="134" t="n">
        <v>89900000</v>
      </c>
      <c r="E45" s="134" t="n">
        <v>-70300000</v>
      </c>
      <c r="F45" s="134" t="n">
        <v>-100100000</v>
      </c>
      <c r="G45" s="134" t="n">
        <v>-496100000</v>
      </c>
      <c r="H45" s="134" t="n">
        <v>-5900000</v>
      </c>
      <c r="I45" s="134" t="n">
        <v>230400000</v>
      </c>
      <c r="J45" s="134" t="n">
        <v>382800000</v>
      </c>
      <c r="K45" s="134" t="n">
        <v>0</v>
      </c>
      <c r="L45" s="134" t="n">
        <v>0</v>
      </c>
    </row>
    <row r="46" customFormat="false" ht="15" hidden="false" customHeight="false" outlineLevel="0" collapsed="false">
      <c r="B46" s="132" t="s">
        <v>615</v>
      </c>
      <c r="C46" s="133" t="s">
        <v>616</v>
      </c>
      <c r="D46" s="134" t="n">
        <v>6119600000</v>
      </c>
      <c r="E46" s="134" t="n">
        <v>-5732800000</v>
      </c>
      <c r="F46" s="134" t="n">
        <v>-15769700000</v>
      </c>
      <c r="G46" s="134" t="n">
        <v>-25511500000</v>
      </c>
      <c r="H46" s="134" t="n">
        <v>1348300000</v>
      </c>
      <c r="I46" s="134" t="n">
        <v>-2583800000</v>
      </c>
      <c r="J46" s="134" t="n">
        <v>28524100000</v>
      </c>
      <c r="K46" s="134" t="n">
        <v>7268200000</v>
      </c>
      <c r="L46" s="134" t="n">
        <v>20483000000</v>
      </c>
    </row>
    <row r="47" customFormat="false" ht="15" hidden="false" customHeight="false" outlineLevel="0" collapsed="false">
      <c r="B47" s="137" t="s">
        <v>617</v>
      </c>
    </row>
    <row r="48" customFormat="false" ht="15" hidden="false" customHeight="false" outlineLevel="0" collapsed="false">
      <c r="B48" s="138" t="s">
        <v>618</v>
      </c>
      <c r="C48" s="133" t="s">
        <v>619</v>
      </c>
      <c r="D48" s="134" t="n">
        <v>6029700000</v>
      </c>
      <c r="E48" s="134" t="n">
        <v>-5662500000</v>
      </c>
      <c r="F48" s="134" t="n">
        <v>-15669600000</v>
      </c>
      <c r="G48" s="134" t="n">
        <v>-25015400000</v>
      </c>
      <c r="H48" s="134" t="n">
        <v>1354200000</v>
      </c>
      <c r="I48" s="134" t="n">
        <v>-2814200000</v>
      </c>
      <c r="J48" s="134" t="n">
        <v>28141300000</v>
      </c>
      <c r="K48" s="134" t="n">
        <v>7268200000</v>
      </c>
      <c r="L48" s="134" t="n">
        <v>20483000000</v>
      </c>
    </row>
    <row r="49" customFormat="false" ht="15" hidden="false" customHeight="false" outlineLevel="0" collapsed="false">
      <c r="B49" s="138" t="s">
        <v>620</v>
      </c>
      <c r="C49" s="133" t="s">
        <v>621</v>
      </c>
      <c r="D49" s="134" t="n">
        <v>89900000</v>
      </c>
      <c r="E49" s="134" t="n">
        <v>-70300000</v>
      </c>
      <c r="F49" s="134" t="n">
        <v>-100100000</v>
      </c>
      <c r="G49" s="134" t="n">
        <v>-496100000</v>
      </c>
      <c r="H49" s="134" t="n">
        <v>-5900000</v>
      </c>
      <c r="I49" s="134" t="n">
        <v>230400000</v>
      </c>
      <c r="J49" s="134" t="n">
        <v>382800000</v>
      </c>
      <c r="K49" s="134" t="n">
        <v>0</v>
      </c>
      <c r="L49" s="134" t="n">
        <v>0</v>
      </c>
    </row>
    <row r="50" customFormat="false" ht="15" hidden="false" customHeight="false" outlineLevel="0" collapsed="false">
      <c r="B50" s="63" t="s">
        <v>622</v>
      </c>
    </row>
    <row r="51" customFormat="false" ht="15" hidden="false" customHeight="false" outlineLevel="0" collapsed="false">
      <c r="B51" s="137" t="s">
        <v>623</v>
      </c>
    </row>
    <row r="52" customFormat="false" ht="15" hidden="false" customHeight="false" outlineLevel="0" collapsed="false">
      <c r="B52" s="138" t="s">
        <v>612</v>
      </c>
      <c r="C52" s="133" t="s">
        <v>613</v>
      </c>
      <c r="D52" s="134" t="n">
        <v>-2396800000</v>
      </c>
      <c r="E52" s="134" t="n">
        <v>-1892700000</v>
      </c>
      <c r="F52" s="134" t="n">
        <v>-397800000</v>
      </c>
      <c r="G52" s="134" t="n">
        <v>1406900000</v>
      </c>
      <c r="H52" s="134" t="n">
        <v>312400000</v>
      </c>
      <c r="I52" s="134" t="n">
        <v>-818300000</v>
      </c>
      <c r="J52" s="134" t="n">
        <v>-348800000</v>
      </c>
      <c r="K52" s="134" t="n">
        <v>664700000</v>
      </c>
      <c r="L52" s="134" t="n">
        <v>-233300000</v>
      </c>
    </row>
    <row r="53" customFormat="false" ht="15" hidden="false" customHeight="false" outlineLevel="0" collapsed="false">
      <c r="B53" s="139" t="s">
        <v>624</v>
      </c>
    </row>
    <row r="54" customFormat="false" ht="15" hidden="false" customHeight="false" outlineLevel="0" collapsed="false">
      <c r="B54" s="140" t="s">
        <v>615</v>
      </c>
      <c r="C54" s="133" t="s">
        <v>616</v>
      </c>
      <c r="D54" s="134" t="n">
        <v>6119600000</v>
      </c>
      <c r="E54" s="134" t="n">
        <v>-5732800000</v>
      </c>
      <c r="F54" s="134" t="n">
        <v>-15769700000</v>
      </c>
      <c r="G54" s="134" t="n">
        <v>-25511500000</v>
      </c>
      <c r="H54" s="134" t="n">
        <v>1348300000</v>
      </c>
      <c r="I54" s="134" t="n">
        <v>-2583800000</v>
      </c>
      <c r="J54" s="134" t="n">
        <v>28524100000</v>
      </c>
      <c r="K54" s="134" t="n">
        <v>7268200000</v>
      </c>
      <c r="L54" s="134" t="n">
        <v>20483000000</v>
      </c>
    </row>
    <row r="55" customFormat="false" ht="15" hidden="false" customHeight="false" outlineLevel="0" collapsed="false">
      <c r="B55" s="141" t="s">
        <v>625</v>
      </c>
    </row>
    <row r="56" customFormat="false" ht="15" hidden="false" customHeight="false" outlineLevel="0" collapsed="false">
      <c r="B56" s="142" t="s">
        <v>618</v>
      </c>
      <c r="C56" s="133" t="s">
        <v>619</v>
      </c>
      <c r="D56" s="134" t="n">
        <v>6029700000</v>
      </c>
      <c r="E56" s="134" t="n">
        <v>-5662500000</v>
      </c>
      <c r="F56" s="134" t="n">
        <v>-15669600000</v>
      </c>
      <c r="G56" s="134" t="n">
        <v>-25015400000</v>
      </c>
      <c r="H56" s="134" t="n">
        <v>1354200000</v>
      </c>
      <c r="I56" s="134" t="n">
        <v>-2814200000</v>
      </c>
      <c r="J56" s="134" t="n">
        <v>28141300000</v>
      </c>
      <c r="K56" s="134" t="n">
        <v>7268200000</v>
      </c>
      <c r="L56" s="134" t="n">
        <v>20483000000</v>
      </c>
    </row>
    <row r="57" customFormat="false" ht="15" hidden="false" customHeight="false" outlineLevel="0" collapsed="false">
      <c r="B57" s="142" t="s">
        <v>620</v>
      </c>
      <c r="C57" s="133" t="s">
        <v>621</v>
      </c>
      <c r="D57" s="134" t="n">
        <v>89900000</v>
      </c>
      <c r="E57" s="134" t="n">
        <v>-70300000</v>
      </c>
      <c r="F57" s="134" t="n">
        <v>-100100000</v>
      </c>
      <c r="G57" s="134" t="n">
        <v>-496100000</v>
      </c>
      <c r="H57" s="134" t="n">
        <v>-5900000</v>
      </c>
      <c r="I57" s="134" t="n">
        <v>230400000</v>
      </c>
      <c r="J57" s="134" t="n">
        <v>382800000</v>
      </c>
      <c r="K57" s="134" t="n">
        <v>0</v>
      </c>
      <c r="L57" s="134" t="n">
        <v>0</v>
      </c>
    </row>
    <row r="58" customFormat="false" ht="15" hidden="false" customHeight="false" outlineLevel="0" collapsed="false">
      <c r="B58" s="139" t="s">
        <v>626</v>
      </c>
    </row>
    <row r="59" customFormat="false" ht="15" hidden="false" customHeight="false" outlineLevel="0" collapsed="false">
      <c r="B59" s="140" t="s">
        <v>627</v>
      </c>
      <c r="C59" s="133" t="s">
        <v>628</v>
      </c>
      <c r="D59" s="134" t="n">
        <v>1.71</v>
      </c>
      <c r="E59" s="134" t="n">
        <v>-0.72</v>
      </c>
      <c r="F59" s="134" t="n">
        <v>-2.87</v>
      </c>
      <c r="G59" s="134" t="n">
        <v>-4.97</v>
      </c>
      <c r="H59" s="134" t="n">
        <v>0.14</v>
      </c>
      <c r="I59" s="134" t="n">
        <v>-0.22</v>
      </c>
      <c r="J59" s="134" t="n">
        <v>2.64</v>
      </c>
      <c r="K59" s="134" t="n">
        <v>0.5</v>
      </c>
      <c r="L59" s="134" t="n">
        <v>1.52</v>
      </c>
    </row>
    <row r="60" customFormat="false" ht="15" hidden="false" customHeight="false" outlineLevel="0" collapsed="false">
      <c r="B60" s="143" t="s">
        <v>629</v>
      </c>
      <c r="C60" s="133" t="s">
        <v>630</v>
      </c>
      <c r="D60" s="136" t="n">
        <v>1.71</v>
      </c>
      <c r="E60" s="136" t="n">
        <v>-0.72</v>
      </c>
      <c r="F60" s="136" t="n">
        <v>-2.87</v>
      </c>
      <c r="G60" s="136" t="n">
        <v>-4.97</v>
      </c>
      <c r="H60" s="136" t="n">
        <v>0.14</v>
      </c>
      <c r="I60" s="136" t="n">
        <v>-0.22</v>
      </c>
      <c r="J60" s="136" t="n">
        <v>2.64</v>
      </c>
      <c r="K60" s="136" t="n">
        <v>0.5</v>
      </c>
      <c r="L60" s="136" t="n">
        <v>1.52</v>
      </c>
    </row>
    <row r="61" customFormat="false" ht="15" hidden="false" customHeight="false" outlineLevel="0" collapsed="false">
      <c r="B61" s="139" t="s">
        <v>631</v>
      </c>
    </row>
    <row r="62" customFormat="false" ht="15" hidden="false" customHeight="false" outlineLevel="0" collapsed="false">
      <c r="B62" s="140" t="s">
        <v>632</v>
      </c>
      <c r="C62" s="133" t="s">
        <v>633</v>
      </c>
      <c r="D62" s="134" t="n">
        <v>1.6</v>
      </c>
      <c r="E62" s="134" t="n">
        <v>-0.72</v>
      </c>
      <c r="F62" s="134" t="n">
        <v>-2.87</v>
      </c>
      <c r="G62" s="134" t="n">
        <v>-4.97</v>
      </c>
      <c r="H62" s="134" t="n">
        <v>0.12</v>
      </c>
      <c r="I62" s="134" t="n">
        <v>-0.22</v>
      </c>
      <c r="J62" s="134" t="n">
        <v>2.64</v>
      </c>
      <c r="K62" s="134" t="n">
        <v>0.5</v>
      </c>
      <c r="L62" s="134" t="n">
        <v>1.51</v>
      </c>
    </row>
    <row r="63" customFormat="false" ht="15" hidden="false" customHeight="false" outlineLevel="0" collapsed="false">
      <c r="B63" s="143" t="s">
        <v>634</v>
      </c>
      <c r="C63" s="133" t="s">
        <v>635</v>
      </c>
      <c r="D63" s="136" t="n">
        <v>1.6</v>
      </c>
      <c r="E63" s="136" t="n">
        <v>-0.72</v>
      </c>
      <c r="F63" s="136" t="n">
        <v>-2.87</v>
      </c>
      <c r="G63" s="136" t="n">
        <v>-4.97</v>
      </c>
      <c r="H63" s="136" t="n">
        <v>0.12</v>
      </c>
      <c r="I63" s="136" t="n">
        <v>-0.22</v>
      </c>
      <c r="J63" s="136" t="n">
        <v>2.64</v>
      </c>
      <c r="K63" s="136" t="n">
        <v>0.5</v>
      </c>
      <c r="L63" s="136" t="n">
        <v>1.51</v>
      </c>
    </row>
    <row r="64" customFormat="false" ht="15" hidden="false" customHeight="false" outlineLevel="0" collapsed="false">
      <c r="B64" s="132" t="s">
        <v>615</v>
      </c>
      <c r="C64" s="133" t="s">
        <v>616</v>
      </c>
      <c r="D64" s="134" t="n">
        <v>6119600000</v>
      </c>
      <c r="E64" s="134" t="n">
        <v>-5732800000</v>
      </c>
      <c r="F64" s="134" t="n">
        <v>-15769700000</v>
      </c>
      <c r="G64" s="134" t="n">
        <v>-25511500000</v>
      </c>
      <c r="H64" s="134" t="n">
        <v>1348300000</v>
      </c>
      <c r="I64" s="134" t="n">
        <v>-2583800000</v>
      </c>
      <c r="J64" s="134" t="n">
        <v>28524100000</v>
      </c>
      <c r="K64" s="134" t="n">
        <v>7268200000</v>
      </c>
      <c r="L64" s="134" t="n">
        <v>20483000000</v>
      </c>
    </row>
    <row r="65" customFormat="false" ht="15" hidden="false" customHeight="false" outlineLevel="0" collapsed="false">
      <c r="B65" s="137" t="s">
        <v>625</v>
      </c>
    </row>
    <row r="66" customFormat="false" ht="15" hidden="false" customHeight="false" outlineLevel="0" collapsed="false">
      <c r="B66" s="138" t="s">
        <v>618</v>
      </c>
      <c r="C66" s="133" t="s">
        <v>619</v>
      </c>
      <c r="D66" s="134" t="n">
        <v>6029700000</v>
      </c>
      <c r="E66" s="134" t="n">
        <v>-5662500000</v>
      </c>
      <c r="F66" s="134" t="n">
        <v>-15669600000</v>
      </c>
      <c r="G66" s="134" t="n">
        <v>-25015400000</v>
      </c>
      <c r="H66" s="134" t="n">
        <v>1354200000</v>
      </c>
      <c r="I66" s="134" t="n">
        <v>-2814200000</v>
      </c>
      <c r="J66" s="134" t="n">
        <v>28141300000</v>
      </c>
      <c r="K66" s="134" t="n">
        <v>7268200000</v>
      </c>
      <c r="L66" s="134" t="n">
        <v>20483000000</v>
      </c>
    </row>
    <row r="67" customFormat="false" ht="15" hidden="false" customHeight="false" outlineLevel="0" collapsed="false">
      <c r="B67" s="138" t="s">
        <v>620</v>
      </c>
      <c r="C67" s="133" t="s">
        <v>621</v>
      </c>
      <c r="D67" s="134" t="n">
        <v>89900000</v>
      </c>
      <c r="E67" s="134" t="n">
        <v>-70300000</v>
      </c>
      <c r="F67" s="134" t="n">
        <v>-100100000</v>
      </c>
      <c r="G67" s="134" t="n">
        <v>-496100000</v>
      </c>
      <c r="H67" s="134" t="n">
        <v>-5900000</v>
      </c>
      <c r="I67" s="134" t="n">
        <v>230400000</v>
      </c>
      <c r="J67" s="134" t="n">
        <v>382800000</v>
      </c>
      <c r="K67" s="134" t="n">
        <v>0</v>
      </c>
      <c r="L67" s="134" t="n">
        <v>0</v>
      </c>
    </row>
    <row r="68" customFormat="false" ht="15" hidden="false" customHeight="false" outlineLevel="0" collapsed="false">
      <c r="B68" s="63" t="s">
        <v>636</v>
      </c>
    </row>
    <row r="69" customFormat="false" ht="15" hidden="false" customHeight="false" outlineLevel="0" collapsed="false">
      <c r="B69" s="137" t="s">
        <v>637</v>
      </c>
    </row>
    <row r="70" customFormat="false" ht="15" hidden="false" customHeight="false" outlineLevel="0" collapsed="false">
      <c r="B70" s="139" t="s">
        <v>638</v>
      </c>
    </row>
    <row r="71" customFormat="false" ht="15" hidden="false" customHeight="false" outlineLevel="0" collapsed="false">
      <c r="B71" s="141" t="s">
        <v>626</v>
      </c>
    </row>
    <row r="72" customFormat="false" ht="15" hidden="false" customHeight="false" outlineLevel="0" collapsed="false">
      <c r="B72" s="142" t="s">
        <v>627</v>
      </c>
      <c r="C72" s="133" t="s">
        <v>628</v>
      </c>
      <c r="D72" s="134" t="n">
        <v>1.71</v>
      </c>
      <c r="E72" s="134" t="n">
        <v>-0.72</v>
      </c>
      <c r="F72" s="134" t="n">
        <v>-2.87</v>
      </c>
      <c r="G72" s="134" t="n">
        <v>-4.97</v>
      </c>
      <c r="H72" s="134" t="n">
        <v>0.14</v>
      </c>
      <c r="I72" s="134" t="n">
        <v>-0.22</v>
      </c>
      <c r="J72" s="134" t="n">
        <v>2.64</v>
      </c>
      <c r="K72" s="134" t="n">
        <v>0.5</v>
      </c>
      <c r="L72" s="134" t="n">
        <v>1.52</v>
      </c>
    </row>
    <row r="73" customFormat="false" ht="15" hidden="false" customHeight="false" outlineLevel="0" collapsed="false">
      <c r="B73" s="144" t="s">
        <v>629</v>
      </c>
      <c r="C73" s="133" t="s">
        <v>630</v>
      </c>
      <c r="D73" s="136" t="n">
        <v>1.71</v>
      </c>
      <c r="E73" s="136" t="n">
        <v>-0.72</v>
      </c>
      <c r="F73" s="136" t="n">
        <v>-2.87</v>
      </c>
      <c r="G73" s="136" t="n">
        <v>-4.97</v>
      </c>
      <c r="H73" s="136" t="n">
        <v>0.14</v>
      </c>
      <c r="I73" s="136" t="n">
        <v>-0.22</v>
      </c>
      <c r="J73" s="136" t="n">
        <v>2.64</v>
      </c>
      <c r="K73" s="136" t="n">
        <v>0.5</v>
      </c>
      <c r="L73" s="136" t="n">
        <v>1.52</v>
      </c>
    </row>
    <row r="74" customFormat="false" ht="15" hidden="false" customHeight="false" outlineLevel="0" collapsed="false">
      <c r="B74" s="141" t="s">
        <v>631</v>
      </c>
    </row>
    <row r="75" customFormat="false" ht="15" hidden="false" customHeight="false" outlineLevel="0" collapsed="false">
      <c r="B75" s="142" t="s">
        <v>632</v>
      </c>
      <c r="C75" s="133" t="s">
        <v>633</v>
      </c>
      <c r="D75" s="134" t="n">
        <v>1.6</v>
      </c>
      <c r="E75" s="134" t="n">
        <v>-0.72</v>
      </c>
      <c r="F75" s="134" t="n">
        <v>-2.87</v>
      </c>
      <c r="G75" s="134" t="n">
        <v>-4.97</v>
      </c>
      <c r="H75" s="134" t="n">
        <v>0.12</v>
      </c>
      <c r="I75" s="134" t="n">
        <v>-0.22</v>
      </c>
      <c r="J75" s="134" t="n">
        <v>2.64</v>
      </c>
      <c r="K75" s="134" t="n">
        <v>0.5</v>
      </c>
      <c r="L75" s="134" t="n">
        <v>1.51</v>
      </c>
    </row>
    <row r="76" customFormat="false" ht="15" hidden="false" customHeight="false" outlineLevel="0" collapsed="false">
      <c r="B76" s="144" t="s">
        <v>634</v>
      </c>
      <c r="C76" s="133" t="s">
        <v>635</v>
      </c>
      <c r="D76" s="136" t="n">
        <v>1.6</v>
      </c>
      <c r="E76" s="136" t="n">
        <v>-0.72</v>
      </c>
      <c r="F76" s="136" t="n">
        <v>-2.87</v>
      </c>
      <c r="G76" s="136" t="n">
        <v>-4.97</v>
      </c>
      <c r="H76" s="136" t="n">
        <v>0.12</v>
      </c>
      <c r="I76" s="136" t="n">
        <v>-0.22</v>
      </c>
      <c r="J76" s="136" t="n">
        <v>2.64</v>
      </c>
      <c r="K76" s="136" t="n">
        <v>0.5</v>
      </c>
      <c r="L76" s="136" t="n">
        <v>1.51</v>
      </c>
    </row>
    <row r="79" customFormat="false" ht="15" hidden="false" customHeight="false" outlineLevel="0" collapsed="false">
      <c r="A79" s="0" t="s">
        <v>26</v>
      </c>
      <c r="B79" s="13" t="s">
        <v>133</v>
      </c>
    </row>
    <row r="80" customFormat="false" ht="15" hidden="false" customHeight="false" outlineLevel="0" collapsed="false">
      <c r="B80" s="0" t="s">
        <v>567</v>
      </c>
    </row>
    <row r="82" customFormat="false" ht="15" hidden="false" customHeight="false" outlineLevel="0" collapsed="false">
      <c r="C82" s="131" t="s">
        <v>568</v>
      </c>
      <c r="D82" s="13" t="s">
        <v>29</v>
      </c>
      <c r="E82" s="13" t="s">
        <v>30</v>
      </c>
      <c r="F82" s="13" t="s">
        <v>31</v>
      </c>
      <c r="G82" s="13" t="s">
        <v>32</v>
      </c>
      <c r="H82" s="13" t="s">
        <v>33</v>
      </c>
      <c r="I82" s="13" t="s">
        <v>34</v>
      </c>
      <c r="J82" s="13" t="s">
        <v>35</v>
      </c>
      <c r="K82" s="13" t="s">
        <v>36</v>
      </c>
      <c r="L82" s="13" t="s">
        <v>37</v>
      </c>
    </row>
    <row r="83" customFormat="false" ht="15" hidden="false" customHeight="false" outlineLevel="0" collapsed="false">
      <c r="B83" s="63" t="s">
        <v>134</v>
      </c>
    </row>
    <row r="84" customFormat="false" ht="15" hidden="false" customHeight="false" outlineLevel="0" collapsed="false">
      <c r="B84" s="137" t="s">
        <v>135</v>
      </c>
    </row>
    <row r="85" customFormat="false" ht="15" hidden="false" customHeight="false" outlineLevel="0" collapsed="false">
      <c r="B85" s="138" t="s">
        <v>137</v>
      </c>
      <c r="C85" s="133" t="s">
        <v>639</v>
      </c>
      <c r="D85" s="134" t="n">
        <v>14201800000</v>
      </c>
      <c r="E85" s="134" t="n">
        <v>12673200000</v>
      </c>
      <c r="F85" s="134" t="n">
        <v>11473200000</v>
      </c>
      <c r="G85" s="134" t="n">
        <v>10484300000</v>
      </c>
      <c r="H85" s="134" t="n">
        <v>9353100000</v>
      </c>
      <c r="I85" s="134" t="n">
        <v>9073300000</v>
      </c>
      <c r="J85" s="134" t="n">
        <v>7784500000</v>
      </c>
      <c r="K85" s="134" t="n">
        <v>8095100000</v>
      </c>
      <c r="L85" s="134" t="n">
        <v>8220600000</v>
      </c>
    </row>
    <row r="86" customFormat="false" ht="15" hidden="false" customHeight="false" outlineLevel="0" collapsed="false">
      <c r="B86" s="138" t="s">
        <v>138</v>
      </c>
      <c r="C86" s="133" t="s">
        <v>640</v>
      </c>
      <c r="D86" s="134" t="n">
        <v>1185600000</v>
      </c>
      <c r="E86" s="134" t="n">
        <v>1734200000</v>
      </c>
      <c r="F86" s="134" t="n">
        <v>2183300000</v>
      </c>
      <c r="G86" s="134" t="n">
        <v>1100800000</v>
      </c>
      <c r="H86" s="134" t="n">
        <v>1039300000</v>
      </c>
      <c r="I86" s="134" t="n">
        <v>152100000</v>
      </c>
      <c r="J86" s="134" t="n">
        <v>25700000</v>
      </c>
      <c r="K86" s="134" t="n">
        <v>162100000</v>
      </c>
      <c r="L86" s="134" t="n">
        <v>886700000</v>
      </c>
    </row>
    <row r="87" customFormat="false" ht="15" hidden="false" customHeight="false" outlineLevel="0" collapsed="false">
      <c r="B87" s="138" t="s">
        <v>146</v>
      </c>
      <c r="C87" s="133" t="s">
        <v>641</v>
      </c>
      <c r="D87" s="134" t="n">
        <v>341400000</v>
      </c>
      <c r="E87" s="134" t="n">
        <v>407900000</v>
      </c>
      <c r="F87" s="134" t="n">
        <v>373600000</v>
      </c>
      <c r="G87" s="134" t="n">
        <v>346700000</v>
      </c>
      <c r="H87" s="134" t="n">
        <v>326400000</v>
      </c>
      <c r="I87" s="134" t="n">
        <v>308600000</v>
      </c>
      <c r="J87" s="134" t="n">
        <v>292100000</v>
      </c>
      <c r="K87" s="134" t="n">
        <v>270100000</v>
      </c>
      <c r="L87" s="134" t="n">
        <v>257500000</v>
      </c>
    </row>
    <row r="88" customFormat="false" ht="15" hidden="false" customHeight="false" outlineLevel="0" collapsed="false">
      <c r="B88" s="138" t="s">
        <v>139</v>
      </c>
      <c r="C88" s="133" t="s">
        <v>642</v>
      </c>
      <c r="D88" s="134" t="n">
        <v>76200000</v>
      </c>
      <c r="E88" s="134" t="n">
        <v>76300000</v>
      </c>
      <c r="F88" s="134" t="n">
        <v>76300000</v>
      </c>
      <c r="G88" s="134" t="n">
        <v>76300000</v>
      </c>
      <c r="H88" s="134" t="n">
        <v>76300000</v>
      </c>
      <c r="I88" s="134" t="n">
        <v>0</v>
      </c>
      <c r="J88" s="134" t="n">
        <v>0</v>
      </c>
      <c r="K88" s="134" t="n">
        <v>0</v>
      </c>
      <c r="L88" s="134" t="n">
        <v>4798300000</v>
      </c>
    </row>
    <row r="89" customFormat="false" ht="15" hidden="false" customHeight="false" outlineLevel="0" collapsed="false">
      <c r="B89" s="138" t="s">
        <v>140</v>
      </c>
      <c r="C89" s="133" t="s">
        <v>643</v>
      </c>
      <c r="D89" s="134" t="n">
        <v>2033500000</v>
      </c>
      <c r="E89" s="134" t="n">
        <v>1471200000</v>
      </c>
      <c r="F89" s="134" t="n">
        <v>3274400000</v>
      </c>
      <c r="G89" s="134" t="n">
        <v>2675000000</v>
      </c>
      <c r="H89" s="134" t="n">
        <v>1904600000</v>
      </c>
      <c r="I89" s="134" t="n">
        <v>1211100000</v>
      </c>
      <c r="J89" s="134" t="n">
        <v>584800000</v>
      </c>
      <c r="K89" s="134" t="n">
        <v>499400000</v>
      </c>
      <c r="L89" s="134" t="n">
        <v>4519200000</v>
      </c>
    </row>
    <row r="90" customFormat="false" ht="15" hidden="false" customHeight="false" outlineLevel="0" collapsed="false">
      <c r="B90" s="138" t="s">
        <v>141</v>
      </c>
      <c r="C90" s="133" t="s">
        <v>644</v>
      </c>
      <c r="D90" s="134" t="n">
        <v>874300000</v>
      </c>
      <c r="E90" s="134" t="n">
        <v>1798200000</v>
      </c>
      <c r="F90" s="134" t="n">
        <v>104100000</v>
      </c>
      <c r="G90" s="134" t="n">
        <v>123000000</v>
      </c>
      <c r="H90" s="134" t="n">
        <v>35200000</v>
      </c>
      <c r="I90" s="134" t="n">
        <v>44200000</v>
      </c>
      <c r="J90" s="134" t="n">
        <v>34300000</v>
      </c>
      <c r="K90" s="134" t="n">
        <v>35100000</v>
      </c>
      <c r="L90" s="134" t="n">
        <v>164300000</v>
      </c>
    </row>
    <row r="91" customFormat="false" ht="15" hidden="false" customHeight="false" outlineLevel="0" collapsed="false">
      <c r="B91" s="138" t="s">
        <v>147</v>
      </c>
      <c r="C91" s="133" t="s">
        <v>645</v>
      </c>
      <c r="D91" s="134" t="n">
        <v>0</v>
      </c>
      <c r="E91" s="134" t="n">
        <v>668600000</v>
      </c>
      <c r="F91" s="134" t="n">
        <v>203000000</v>
      </c>
      <c r="G91" s="134" t="n">
        <v>197100000</v>
      </c>
      <c r="H91" s="134" t="n">
        <v>229700000</v>
      </c>
      <c r="I91" s="134" t="n">
        <v>0</v>
      </c>
      <c r="J91" s="134" t="n">
        <v>0</v>
      </c>
      <c r="K91" s="134" t="n">
        <v>0</v>
      </c>
      <c r="L91" s="134" t="n">
        <v>0</v>
      </c>
    </row>
    <row r="92" customFormat="false" ht="15" hidden="false" customHeight="false" outlineLevel="0" collapsed="false">
      <c r="B92" s="139" t="s">
        <v>646</v>
      </c>
    </row>
    <row r="93" customFormat="false" ht="15" hidden="false" customHeight="false" outlineLevel="0" collapsed="false">
      <c r="B93" s="140" t="s">
        <v>148</v>
      </c>
      <c r="C93" s="133" t="s">
        <v>647</v>
      </c>
      <c r="D93" s="134" t="n">
        <v>1885500000</v>
      </c>
      <c r="E93" s="134" t="n">
        <v>1300000</v>
      </c>
      <c r="F93" s="134" t="n">
        <v>1300000</v>
      </c>
      <c r="G93" s="134" t="n">
        <v>300000</v>
      </c>
      <c r="H93" s="134" t="n">
        <v>300000</v>
      </c>
      <c r="I93" s="134" t="n">
        <v>300000</v>
      </c>
      <c r="J93" s="134" t="n">
        <v>300000</v>
      </c>
      <c r="K93" s="134" t="n">
        <v>300000</v>
      </c>
      <c r="L93" s="134" t="n">
        <v>300000</v>
      </c>
    </row>
    <row r="94" customFormat="false" ht="15" hidden="false" customHeight="false" outlineLevel="0" collapsed="false">
      <c r="B94" s="140" t="s">
        <v>142</v>
      </c>
      <c r="C94" s="133" t="s">
        <v>648</v>
      </c>
      <c r="D94" s="134" t="n">
        <v>457700000</v>
      </c>
      <c r="E94" s="134" t="n">
        <v>48400000</v>
      </c>
      <c r="F94" s="134" t="n">
        <v>0</v>
      </c>
      <c r="G94" s="134" t="n">
        <v>0</v>
      </c>
      <c r="H94" s="134" t="n">
        <v>0</v>
      </c>
      <c r="I94" s="134" t="n">
        <v>0</v>
      </c>
      <c r="J94" s="134" t="n">
        <v>0</v>
      </c>
      <c r="K94" s="134" t="n">
        <v>0</v>
      </c>
      <c r="L94" s="134" t="n">
        <v>0</v>
      </c>
    </row>
    <row r="95" customFormat="false" ht="15" hidden="false" customHeight="false" outlineLevel="0" collapsed="false">
      <c r="B95" s="140" t="s">
        <v>149</v>
      </c>
      <c r="C95" s="133" t="s">
        <v>649</v>
      </c>
      <c r="D95" s="134" t="n">
        <v>59600000</v>
      </c>
      <c r="E95" s="134" t="n">
        <v>11200000</v>
      </c>
      <c r="F95" s="134" t="n">
        <v>0</v>
      </c>
      <c r="G95" s="134" t="n">
        <v>0</v>
      </c>
      <c r="H95" s="134" t="n">
        <v>0</v>
      </c>
      <c r="I95" s="134" t="n">
        <v>0</v>
      </c>
      <c r="J95" s="134" t="n">
        <v>0</v>
      </c>
      <c r="K95" s="134" t="n">
        <v>0</v>
      </c>
      <c r="L95" s="134" t="n">
        <v>0</v>
      </c>
    </row>
    <row r="96" customFormat="false" ht="15" hidden="false" customHeight="false" outlineLevel="0" collapsed="false">
      <c r="B96" s="140" t="s">
        <v>150</v>
      </c>
      <c r="C96" s="133" t="s">
        <v>650</v>
      </c>
      <c r="D96" s="134" t="n">
        <v>7118400000</v>
      </c>
      <c r="E96" s="134" t="n">
        <v>5811500000</v>
      </c>
      <c r="F96" s="134" t="n">
        <v>4838100000</v>
      </c>
      <c r="G96" s="134" t="n">
        <v>2844000000</v>
      </c>
      <c r="H96" s="134" t="n">
        <v>4026300000</v>
      </c>
      <c r="I96" s="134" t="n">
        <v>2643100000</v>
      </c>
      <c r="J96" s="134" t="n">
        <v>4331400000</v>
      </c>
      <c r="K96" s="134" t="n">
        <v>9029200000</v>
      </c>
      <c r="L96" s="134" t="n">
        <v>11035000000</v>
      </c>
    </row>
    <row r="97" customFormat="false" ht="15" hidden="false" customHeight="false" outlineLevel="0" collapsed="false">
      <c r="B97" s="143" t="s">
        <v>153</v>
      </c>
      <c r="C97" s="133" t="s">
        <v>651</v>
      </c>
      <c r="D97" s="136" t="n">
        <v>9521200000</v>
      </c>
      <c r="E97" s="136" t="n">
        <v>5872400000</v>
      </c>
      <c r="F97" s="136" t="n">
        <v>4839400000</v>
      </c>
      <c r="G97" s="136" t="n">
        <v>2844300000</v>
      </c>
      <c r="H97" s="136" t="n">
        <v>4026600000</v>
      </c>
      <c r="I97" s="136" t="n">
        <v>2643400000</v>
      </c>
      <c r="J97" s="136" t="n">
        <v>4331700000</v>
      </c>
      <c r="K97" s="136" t="n">
        <v>9029500000</v>
      </c>
      <c r="L97" s="136" t="n">
        <v>11035300000</v>
      </c>
    </row>
    <row r="98" customFormat="false" ht="15" hidden="false" customHeight="false" outlineLevel="0" collapsed="false">
      <c r="B98" s="138" t="s">
        <v>151</v>
      </c>
      <c r="C98" s="133" t="s">
        <v>652</v>
      </c>
      <c r="D98" s="134" t="n">
        <v>0</v>
      </c>
      <c r="E98" s="134" t="n">
        <v>0</v>
      </c>
      <c r="F98" s="134" t="n">
        <v>0</v>
      </c>
      <c r="G98" s="134" t="n">
        <v>0</v>
      </c>
      <c r="H98" s="134" t="n">
        <v>0</v>
      </c>
      <c r="I98" s="134" t="n">
        <v>174800000</v>
      </c>
      <c r="J98" s="134" t="n">
        <v>2000000</v>
      </c>
      <c r="K98" s="134" t="n">
        <v>37700000</v>
      </c>
      <c r="L98" s="134" t="n">
        <v>6445500000</v>
      </c>
    </row>
    <row r="99" customFormat="false" ht="15" hidden="false" customHeight="false" outlineLevel="0" collapsed="false">
      <c r="B99" s="138" t="s">
        <v>143</v>
      </c>
      <c r="C99" s="133" t="s">
        <v>653</v>
      </c>
      <c r="D99" s="134" t="n">
        <v>1661600000</v>
      </c>
      <c r="E99" s="134" t="n">
        <v>1393800000</v>
      </c>
      <c r="F99" s="134" t="n">
        <v>1038400000</v>
      </c>
      <c r="G99" s="134" t="n">
        <v>510500000</v>
      </c>
      <c r="H99" s="134" t="n">
        <v>544600000</v>
      </c>
      <c r="I99" s="134" t="n">
        <v>292400000</v>
      </c>
      <c r="J99" s="134" t="n">
        <v>402200000</v>
      </c>
      <c r="K99" s="134" t="n">
        <v>784300000</v>
      </c>
      <c r="L99" s="134" t="n">
        <v>751400000</v>
      </c>
    </row>
    <row r="100" customFormat="false" ht="15" hidden="false" customHeight="false" outlineLevel="0" collapsed="false">
      <c r="B100" s="145" t="s">
        <v>654</v>
      </c>
      <c r="C100" s="133" t="s">
        <v>655</v>
      </c>
      <c r="D100" s="136" t="n">
        <v>29895600000</v>
      </c>
      <c r="E100" s="136" t="n">
        <v>26095800000</v>
      </c>
      <c r="F100" s="136" t="n">
        <v>23565700000</v>
      </c>
      <c r="G100" s="136" t="n">
        <v>18358000000</v>
      </c>
      <c r="H100" s="136" t="n">
        <v>17535800000</v>
      </c>
      <c r="I100" s="136" t="n">
        <v>13899900000</v>
      </c>
      <c r="J100" s="136" t="n">
        <v>13457300000</v>
      </c>
      <c r="K100" s="136" t="n">
        <v>18913300000</v>
      </c>
      <c r="L100" s="136" t="n">
        <v>37078800000</v>
      </c>
    </row>
    <row r="101" customFormat="false" ht="15" hidden="false" customHeight="false" outlineLevel="0" collapsed="false">
      <c r="B101" s="137" t="s">
        <v>656</v>
      </c>
    </row>
    <row r="102" customFormat="false" ht="15" hidden="false" customHeight="false" outlineLevel="0" collapsed="false">
      <c r="B102" s="138" t="s">
        <v>156</v>
      </c>
      <c r="C102" s="133" t="s">
        <v>156</v>
      </c>
      <c r="D102" s="134" t="n">
        <v>34688400000</v>
      </c>
      <c r="E102" s="134" t="n">
        <v>30263700000</v>
      </c>
      <c r="F102" s="134" t="n">
        <v>29139300000</v>
      </c>
      <c r="G102" s="134" t="n">
        <v>20555900000</v>
      </c>
      <c r="H102" s="134" t="n">
        <v>21727600000</v>
      </c>
      <c r="I102" s="134" t="n">
        <v>22079000000</v>
      </c>
      <c r="J102" s="134" t="n">
        <v>18271300000</v>
      </c>
      <c r="K102" s="134" t="n">
        <v>22922900000</v>
      </c>
      <c r="L102" s="134" t="n">
        <v>32335500000</v>
      </c>
    </row>
    <row r="103" customFormat="false" ht="15" hidden="false" customHeight="false" outlineLevel="0" collapsed="false">
      <c r="B103" s="139" t="s">
        <v>657</v>
      </c>
    </row>
    <row r="104" customFormat="false" ht="15" hidden="false" customHeight="false" outlineLevel="0" collapsed="false">
      <c r="B104" s="140" t="s">
        <v>159</v>
      </c>
      <c r="C104" s="133" t="s">
        <v>658</v>
      </c>
      <c r="D104" s="134" t="n">
        <v>4811000000</v>
      </c>
      <c r="E104" s="134" t="n">
        <v>0</v>
      </c>
      <c r="F104" s="134" t="n">
        <v>0</v>
      </c>
      <c r="G104" s="134" t="n">
        <v>0</v>
      </c>
      <c r="H104" s="134" t="n">
        <v>0</v>
      </c>
      <c r="I104" s="134" t="n">
        <v>0</v>
      </c>
      <c r="J104" s="134" t="n">
        <v>0</v>
      </c>
      <c r="K104" s="134" t="n">
        <v>83500000</v>
      </c>
      <c r="L104" s="134" t="n">
        <v>429100000</v>
      </c>
    </row>
    <row r="105" customFormat="false" ht="15" hidden="false" customHeight="false" outlineLevel="0" collapsed="false">
      <c r="B105" s="140" t="s">
        <v>157</v>
      </c>
      <c r="C105" s="133" t="s">
        <v>659</v>
      </c>
      <c r="D105" s="134" t="n">
        <v>36275300000</v>
      </c>
      <c r="E105" s="134" t="n">
        <v>29851500000</v>
      </c>
      <c r="F105" s="134" t="n">
        <v>18805900000</v>
      </c>
      <c r="G105" s="134" t="n">
        <v>13645400000</v>
      </c>
      <c r="H105" s="134" t="n">
        <v>11897200000</v>
      </c>
      <c r="I105" s="134" t="n">
        <v>13769500000</v>
      </c>
      <c r="J105" s="134" t="n">
        <v>11704400000</v>
      </c>
      <c r="K105" s="134" t="n">
        <v>18295800000</v>
      </c>
      <c r="L105" s="134" t="n">
        <v>38663500000</v>
      </c>
    </row>
    <row r="106" customFormat="false" ht="15" hidden="false" customHeight="false" outlineLevel="0" collapsed="false">
      <c r="B106" s="140" t="s">
        <v>160</v>
      </c>
      <c r="C106" s="133" t="s">
        <v>660</v>
      </c>
      <c r="D106" s="134" t="n">
        <v>3361200000</v>
      </c>
      <c r="E106" s="134" t="n">
        <v>5810700000</v>
      </c>
      <c r="F106" s="134" t="n">
        <v>746200000</v>
      </c>
      <c r="G106" s="134" t="n">
        <v>823300000</v>
      </c>
      <c r="H106" s="134" t="n">
        <v>2625000000</v>
      </c>
      <c r="I106" s="134" t="n">
        <v>5004300000</v>
      </c>
      <c r="J106" s="134" t="n">
        <v>3673100000</v>
      </c>
      <c r="K106" s="134" t="n">
        <v>4268400000</v>
      </c>
      <c r="L106" s="134" t="n">
        <v>11128300000</v>
      </c>
    </row>
    <row r="107" customFormat="false" ht="15" hidden="false" customHeight="false" outlineLevel="0" collapsed="false">
      <c r="B107" s="140" t="s">
        <v>161</v>
      </c>
      <c r="C107" s="133" t="s">
        <v>661</v>
      </c>
      <c r="D107" s="134" t="n">
        <v>494000000</v>
      </c>
      <c r="E107" s="134" t="n">
        <v>499300000</v>
      </c>
      <c r="F107" s="134" t="n">
        <v>115200000</v>
      </c>
      <c r="G107" s="134" t="n">
        <v>224500000</v>
      </c>
      <c r="H107" s="134" t="n">
        <v>212700000</v>
      </c>
      <c r="I107" s="134" t="n">
        <v>9600000</v>
      </c>
      <c r="J107" s="134" t="n">
        <v>6100000</v>
      </c>
      <c r="K107" s="134" t="n">
        <v>2600000</v>
      </c>
      <c r="L107" s="134" t="n">
        <v>2700000</v>
      </c>
    </row>
    <row r="108" customFormat="false" ht="15" hidden="false" customHeight="false" outlineLevel="0" collapsed="false">
      <c r="B108" s="140" t="s">
        <v>162</v>
      </c>
      <c r="C108" s="133" t="s">
        <v>662</v>
      </c>
      <c r="D108" s="134" t="n">
        <v>1486000000</v>
      </c>
      <c r="E108" s="134" t="n">
        <v>2663600000</v>
      </c>
      <c r="F108" s="134" t="n">
        <v>3163100000</v>
      </c>
      <c r="G108" s="134" t="n">
        <v>1087100000</v>
      </c>
      <c r="H108" s="134" t="n">
        <v>1759700000</v>
      </c>
      <c r="I108" s="134" t="n">
        <v>1205000000</v>
      </c>
      <c r="J108" s="134" t="n">
        <v>1490500000</v>
      </c>
      <c r="K108" s="134" t="n">
        <v>1349800000</v>
      </c>
      <c r="L108" s="134" t="n">
        <v>1883800000</v>
      </c>
    </row>
    <row r="109" customFormat="false" ht="15" hidden="false" customHeight="false" outlineLevel="0" collapsed="false">
      <c r="B109" s="143" t="s">
        <v>164</v>
      </c>
      <c r="C109" s="133" t="s">
        <v>663</v>
      </c>
      <c r="D109" s="136" t="n">
        <v>46427500000</v>
      </c>
      <c r="E109" s="136" t="n">
        <v>38825100000</v>
      </c>
      <c r="F109" s="136" t="n">
        <v>22830400000</v>
      </c>
      <c r="G109" s="136" t="n">
        <v>15780300000</v>
      </c>
      <c r="H109" s="136" t="n">
        <v>16494600000</v>
      </c>
      <c r="I109" s="136" t="n">
        <v>19988400000</v>
      </c>
      <c r="J109" s="136" t="n">
        <v>16874100000</v>
      </c>
      <c r="K109" s="136" t="n">
        <v>24000100000</v>
      </c>
      <c r="L109" s="136" t="n">
        <v>52107400000</v>
      </c>
    </row>
    <row r="110" customFormat="false" ht="15" hidden="false" customHeight="false" outlineLevel="0" collapsed="false">
      <c r="B110" s="138" t="s">
        <v>163</v>
      </c>
      <c r="C110" s="133" t="s">
        <v>664</v>
      </c>
      <c r="D110" s="134" t="n">
        <v>451900000</v>
      </c>
      <c r="E110" s="134" t="n">
        <v>93300000</v>
      </c>
      <c r="F110" s="134" t="n">
        <v>160800000</v>
      </c>
      <c r="G110" s="134" t="n">
        <v>204600000</v>
      </c>
      <c r="H110" s="134" t="n">
        <v>61200000</v>
      </c>
      <c r="I110" s="134" t="n">
        <v>11100000</v>
      </c>
      <c r="J110" s="134" t="n">
        <v>5400000</v>
      </c>
      <c r="K110" s="134" t="n">
        <v>11500000</v>
      </c>
      <c r="L110" s="134" t="n">
        <v>503800000</v>
      </c>
    </row>
    <row r="111" customFormat="false" ht="15" hidden="false" customHeight="false" outlineLevel="0" collapsed="false">
      <c r="B111" s="138" t="s">
        <v>158</v>
      </c>
      <c r="C111" s="133" t="s">
        <v>665</v>
      </c>
      <c r="D111" s="134" t="n">
        <v>10137600000</v>
      </c>
      <c r="E111" s="134" t="n">
        <v>9306100000</v>
      </c>
      <c r="F111" s="134" t="n">
        <v>12119300000</v>
      </c>
      <c r="G111" s="134" t="n">
        <v>9894700000</v>
      </c>
      <c r="H111" s="134" t="n">
        <v>9695800000</v>
      </c>
      <c r="I111" s="134" t="n">
        <v>8112600000</v>
      </c>
      <c r="J111" s="134" t="n">
        <v>6271000000</v>
      </c>
      <c r="K111" s="134" t="n">
        <v>5942400000</v>
      </c>
      <c r="L111" s="134" t="n">
        <v>7570400000</v>
      </c>
    </row>
    <row r="112" customFormat="false" ht="15" hidden="false" customHeight="false" outlineLevel="0" collapsed="false">
      <c r="B112" s="145" t="s">
        <v>666</v>
      </c>
      <c r="C112" s="133" t="s">
        <v>667</v>
      </c>
      <c r="D112" s="136" t="n">
        <v>91705400000</v>
      </c>
      <c r="E112" s="136" t="n">
        <v>78488200000</v>
      </c>
      <c r="F112" s="136" t="n">
        <v>64249800000</v>
      </c>
      <c r="G112" s="136" t="n">
        <v>46435500000</v>
      </c>
      <c r="H112" s="136" t="n">
        <v>47979200000</v>
      </c>
      <c r="I112" s="136" t="n">
        <v>50191100000</v>
      </c>
      <c r="J112" s="136" t="n">
        <v>41421800000</v>
      </c>
      <c r="K112" s="136" t="n">
        <v>52876900000</v>
      </c>
      <c r="L112" s="136" t="n">
        <v>92517100000</v>
      </c>
    </row>
    <row r="113" customFormat="false" ht="15" hidden="false" customHeight="false" outlineLevel="0" collapsed="false">
      <c r="B113" s="132" t="s">
        <v>166</v>
      </c>
      <c r="C113" s="133" t="s">
        <v>668</v>
      </c>
      <c r="D113" s="134" t="n">
        <v>0</v>
      </c>
      <c r="E113" s="134" t="n">
        <v>6621700000</v>
      </c>
      <c r="F113" s="134" t="n">
        <v>893600000</v>
      </c>
      <c r="G113" s="134" t="n">
        <v>510000000</v>
      </c>
      <c r="H113" s="134" t="n">
        <v>495900000</v>
      </c>
      <c r="I113" s="134" t="n">
        <v>657600000</v>
      </c>
      <c r="J113" s="134" t="n">
        <v>354700000</v>
      </c>
      <c r="K113" s="134" t="n">
        <v>0</v>
      </c>
      <c r="L113" s="134" t="n">
        <v>0</v>
      </c>
    </row>
    <row r="114" customFormat="false" ht="15" hidden="false" customHeight="false" outlineLevel="0" collapsed="false">
      <c r="B114" s="135" t="s">
        <v>669</v>
      </c>
      <c r="C114" s="133" t="s">
        <v>670</v>
      </c>
      <c r="D114" s="136" t="n">
        <v>121601000000</v>
      </c>
      <c r="E114" s="136" t="n">
        <v>111205700000</v>
      </c>
      <c r="F114" s="136" t="n">
        <v>88709100000</v>
      </c>
      <c r="G114" s="136" t="n">
        <v>65303500000</v>
      </c>
      <c r="H114" s="136" t="n">
        <v>66010900000</v>
      </c>
      <c r="I114" s="136" t="n">
        <v>64748600000</v>
      </c>
      <c r="J114" s="136" t="n">
        <v>55233800000</v>
      </c>
      <c r="K114" s="136" t="n">
        <v>71790200000</v>
      </c>
      <c r="L114" s="136" t="n">
        <v>129595900000</v>
      </c>
    </row>
    <row r="115" customFormat="false" ht="15" hidden="false" customHeight="false" outlineLevel="0" collapsed="false">
      <c r="B115" s="63" t="s">
        <v>671</v>
      </c>
    </row>
    <row r="116" customFormat="false" ht="15" hidden="false" customHeight="false" outlineLevel="0" collapsed="false">
      <c r="B116" s="137" t="s">
        <v>672</v>
      </c>
    </row>
    <row r="117" customFormat="false" ht="15" hidden="false" customHeight="false" outlineLevel="0" collapsed="false">
      <c r="B117" s="139" t="s">
        <v>673</v>
      </c>
    </row>
    <row r="118" customFormat="false" ht="15" hidden="false" customHeight="false" outlineLevel="0" collapsed="false">
      <c r="B118" s="140" t="s">
        <v>170</v>
      </c>
      <c r="C118" s="133" t="s">
        <v>674</v>
      </c>
      <c r="D118" s="134" t="n">
        <v>10048800000</v>
      </c>
      <c r="E118" s="134" t="n">
        <v>10639500000</v>
      </c>
      <c r="F118" s="134" t="n">
        <v>10639500000</v>
      </c>
      <c r="G118" s="134" t="n">
        <v>10639500000</v>
      </c>
      <c r="H118" s="134" t="n">
        <v>17016000000</v>
      </c>
      <c r="I118" s="134" t="n">
        <v>18434900000</v>
      </c>
      <c r="J118" s="134" t="n">
        <v>24544000000</v>
      </c>
      <c r="K118" s="134" t="n">
        <v>27217200000</v>
      </c>
      <c r="L118" s="134" t="n">
        <v>27317900000</v>
      </c>
    </row>
    <row r="119" customFormat="false" ht="15" hidden="false" customHeight="false" outlineLevel="0" collapsed="false">
      <c r="B119" s="140" t="s">
        <v>171</v>
      </c>
      <c r="C119" s="133" t="s">
        <v>675</v>
      </c>
      <c r="D119" s="134" t="n">
        <v>-78462100000</v>
      </c>
      <c r="E119" s="134" t="n">
        <v>-80308000000</v>
      </c>
      <c r="F119" s="134" t="n">
        <v>-95615600000</v>
      </c>
      <c r="G119" s="134" t="n">
        <v>-120468900000</v>
      </c>
      <c r="H119" s="134" t="n">
        <v>-50446300000</v>
      </c>
      <c r="I119" s="134" t="n">
        <v>-53692200000</v>
      </c>
      <c r="J119" s="134" t="n">
        <v>-13552600000</v>
      </c>
      <c r="K119" s="134" t="n">
        <v>11985900000</v>
      </c>
      <c r="L119" s="134" t="n">
        <v>33739300000</v>
      </c>
    </row>
    <row r="120" customFormat="false" ht="15" hidden="false" customHeight="false" outlineLevel="0" collapsed="false">
      <c r="B120" s="143" t="s">
        <v>172</v>
      </c>
      <c r="C120" s="133" t="s">
        <v>676</v>
      </c>
      <c r="D120" s="136" t="n">
        <v>-68413300000</v>
      </c>
      <c r="E120" s="136" t="n">
        <v>-69668500000</v>
      </c>
      <c r="F120" s="136" t="n">
        <v>-84976100000</v>
      </c>
      <c r="G120" s="136" t="n">
        <v>-109829400000</v>
      </c>
      <c r="H120" s="136" t="n">
        <v>-33430300000</v>
      </c>
      <c r="I120" s="136" t="n">
        <v>-35257300000</v>
      </c>
      <c r="J120" s="136" t="n">
        <v>10991400000</v>
      </c>
      <c r="K120" s="136" t="n">
        <v>39203100000</v>
      </c>
      <c r="L120" s="136" t="n">
        <v>61057200000</v>
      </c>
    </row>
    <row r="121" customFormat="false" ht="15" hidden="false" customHeight="false" outlineLevel="0" collapsed="false">
      <c r="B121" s="138" t="s">
        <v>173</v>
      </c>
      <c r="C121" s="133" t="s">
        <v>677</v>
      </c>
      <c r="D121" s="134" t="n">
        <v>86800000</v>
      </c>
      <c r="E121" s="134" t="n">
        <v>101900000</v>
      </c>
      <c r="F121" s="134" t="n">
        <v>-54800000</v>
      </c>
      <c r="G121" s="134" t="n">
        <v>-589000000</v>
      </c>
      <c r="H121" s="134" t="n">
        <v>-576800000</v>
      </c>
      <c r="I121" s="134" t="n">
        <v>-360800000</v>
      </c>
      <c r="J121" s="134" t="n">
        <v>0</v>
      </c>
      <c r="K121" s="134" t="n">
        <v>0</v>
      </c>
      <c r="L121" s="134" t="n">
        <v>0</v>
      </c>
    </row>
    <row r="122" customFormat="false" ht="15" hidden="false" customHeight="false" outlineLevel="0" collapsed="false">
      <c r="B122" s="145" t="s">
        <v>174</v>
      </c>
      <c r="C122" s="133" t="s">
        <v>260</v>
      </c>
      <c r="D122" s="136" t="n">
        <v>-68326500000</v>
      </c>
      <c r="E122" s="136" t="n">
        <v>-69566600000</v>
      </c>
      <c r="F122" s="136" t="n">
        <v>-85030900000</v>
      </c>
      <c r="G122" s="136" t="n">
        <v>-110418400000</v>
      </c>
      <c r="H122" s="136" t="n">
        <v>-34007100000</v>
      </c>
      <c r="I122" s="136" t="n">
        <v>-35618100000</v>
      </c>
      <c r="J122" s="136" t="n">
        <v>10991400000</v>
      </c>
      <c r="K122" s="136" t="n">
        <v>39203100000</v>
      </c>
      <c r="L122" s="136" t="n">
        <v>61057200000</v>
      </c>
    </row>
    <row r="123" customFormat="false" ht="15" hidden="false" customHeight="false" outlineLevel="0" collapsed="false">
      <c r="B123" s="137" t="s">
        <v>678</v>
      </c>
    </row>
    <row r="124" customFormat="false" ht="15" hidden="false" customHeight="false" outlineLevel="0" collapsed="false">
      <c r="B124" s="139" t="s">
        <v>679</v>
      </c>
    </row>
    <row r="125" customFormat="false" ht="15" hidden="false" customHeight="false" outlineLevel="0" collapsed="false">
      <c r="B125" s="141" t="s">
        <v>680</v>
      </c>
    </row>
    <row r="126" customFormat="false" ht="15" hidden="false" customHeight="false" outlineLevel="0" collapsed="false">
      <c r="B126" s="142" t="s">
        <v>178</v>
      </c>
      <c r="C126" s="133" t="s">
        <v>681</v>
      </c>
      <c r="D126" s="134" t="n">
        <v>48409800000</v>
      </c>
      <c r="E126" s="134" t="n">
        <v>77157100000</v>
      </c>
      <c r="F126" s="134" t="n">
        <v>62441400000</v>
      </c>
      <c r="G126" s="134" t="n">
        <v>8417700000</v>
      </c>
      <c r="H126" s="134" t="n">
        <v>60272000000</v>
      </c>
      <c r="I126" s="134" t="n">
        <v>55924400000</v>
      </c>
      <c r="J126" s="134" t="n">
        <v>15172700000</v>
      </c>
      <c r="K126" s="134" t="n">
        <v>498700000</v>
      </c>
      <c r="L126" s="134" t="n">
        <v>1291900000</v>
      </c>
    </row>
    <row r="127" customFormat="false" ht="15" hidden="false" customHeight="false" outlineLevel="0" collapsed="false">
      <c r="B127" s="142" t="s">
        <v>180</v>
      </c>
      <c r="C127" s="133" t="s">
        <v>682</v>
      </c>
      <c r="D127" s="134" t="n">
        <v>2254600000</v>
      </c>
      <c r="E127" s="134" t="n">
        <v>553300000</v>
      </c>
      <c r="F127" s="134" t="n">
        <v>504900000</v>
      </c>
      <c r="G127" s="134" t="n">
        <v>910900000</v>
      </c>
      <c r="H127" s="134" t="n">
        <v>775400000</v>
      </c>
      <c r="I127" s="134" t="n">
        <v>792100000</v>
      </c>
      <c r="J127" s="134" t="n">
        <v>375200000</v>
      </c>
      <c r="K127" s="134" t="n">
        <v>341300000</v>
      </c>
      <c r="L127" s="134" t="n">
        <v>6546100000</v>
      </c>
    </row>
    <row r="128" customFormat="false" ht="15" hidden="false" customHeight="false" outlineLevel="0" collapsed="false">
      <c r="B128" s="144" t="s">
        <v>181</v>
      </c>
      <c r="C128" s="133" t="s">
        <v>683</v>
      </c>
      <c r="D128" s="136" t="n">
        <v>50664400000</v>
      </c>
      <c r="E128" s="136" t="n">
        <v>77710400000</v>
      </c>
      <c r="F128" s="136" t="n">
        <v>62946300000</v>
      </c>
      <c r="G128" s="136" t="n">
        <v>9328600000</v>
      </c>
      <c r="H128" s="136" t="n">
        <v>61047400000</v>
      </c>
      <c r="I128" s="136" t="n">
        <v>56716500000</v>
      </c>
      <c r="J128" s="136" t="n">
        <v>15547900000</v>
      </c>
      <c r="K128" s="136" t="n">
        <v>840000000</v>
      </c>
      <c r="L128" s="136" t="n">
        <v>7838000000</v>
      </c>
    </row>
    <row r="129" customFormat="false" ht="15" hidden="false" customHeight="false" outlineLevel="0" collapsed="false">
      <c r="B129" s="140" t="s">
        <v>182</v>
      </c>
      <c r="C129" s="133" t="s">
        <v>684</v>
      </c>
      <c r="D129" s="134" t="n">
        <v>1272000000</v>
      </c>
      <c r="E129" s="134" t="n">
        <v>1204300000</v>
      </c>
      <c r="F129" s="134" t="n">
        <v>1184600000</v>
      </c>
      <c r="G129" s="134" t="n">
        <v>932700000</v>
      </c>
      <c r="H129" s="134" t="n">
        <v>825100000</v>
      </c>
      <c r="I129" s="134" t="n">
        <v>1304300000</v>
      </c>
      <c r="J129" s="134" t="n">
        <v>1681800000</v>
      </c>
      <c r="K129" s="134" t="n">
        <v>1653800000</v>
      </c>
      <c r="L129" s="134" t="n">
        <v>1549800000</v>
      </c>
    </row>
    <row r="130" customFormat="false" ht="15" hidden="false" customHeight="false" outlineLevel="0" collapsed="false">
      <c r="B130" s="140" t="s">
        <v>183</v>
      </c>
      <c r="C130" s="133" t="s">
        <v>685</v>
      </c>
      <c r="D130" s="134" t="n">
        <v>400200000</v>
      </c>
      <c r="E130" s="134" t="n">
        <v>299800000</v>
      </c>
      <c r="F130" s="134" t="n">
        <v>117000000</v>
      </c>
      <c r="G130" s="134" t="n">
        <v>8900000</v>
      </c>
      <c r="H130" s="134" t="n">
        <v>7700000</v>
      </c>
      <c r="I130" s="134" t="n">
        <v>1900000</v>
      </c>
      <c r="J130" s="134" t="n">
        <v>4800000</v>
      </c>
      <c r="K130" s="134" t="n">
        <v>4800000</v>
      </c>
      <c r="L130" s="134" t="n">
        <v>4500000</v>
      </c>
    </row>
    <row r="131" customFormat="false" ht="15" hidden="false" customHeight="false" outlineLevel="0" collapsed="false">
      <c r="B131" s="143" t="s">
        <v>184</v>
      </c>
      <c r="C131" s="133" t="s">
        <v>686</v>
      </c>
      <c r="D131" s="136" t="n">
        <v>52336600000</v>
      </c>
      <c r="E131" s="136" t="n">
        <v>79214500000</v>
      </c>
      <c r="F131" s="136" t="n">
        <v>64247900000</v>
      </c>
      <c r="G131" s="136" t="n">
        <v>10270200000</v>
      </c>
      <c r="H131" s="136" t="n">
        <v>61880200000</v>
      </c>
      <c r="I131" s="136" t="n">
        <v>58022700000</v>
      </c>
      <c r="J131" s="136" t="n">
        <v>17234500000</v>
      </c>
      <c r="K131" s="136" t="n">
        <v>2498600000</v>
      </c>
      <c r="L131" s="136" t="n">
        <v>9392300000</v>
      </c>
    </row>
    <row r="132" customFormat="false" ht="15" hidden="false" customHeight="false" outlineLevel="0" collapsed="false">
      <c r="B132" s="139" t="s">
        <v>687</v>
      </c>
    </row>
    <row r="133" customFormat="false" ht="15" hidden="false" customHeight="false" outlineLevel="0" collapsed="false">
      <c r="B133" s="141" t="s">
        <v>688</v>
      </c>
    </row>
    <row r="134" customFormat="false" ht="15" hidden="false" customHeight="false" outlineLevel="0" collapsed="false">
      <c r="B134" s="142" t="s">
        <v>187</v>
      </c>
      <c r="C134" s="133" t="s">
        <v>689</v>
      </c>
      <c r="D134" s="134" t="n">
        <v>20763800000</v>
      </c>
      <c r="E134" s="134" t="n">
        <v>38894500000</v>
      </c>
      <c r="F134" s="134" t="n">
        <v>33797900000</v>
      </c>
      <c r="G134" s="134" t="n">
        <v>88438500000</v>
      </c>
      <c r="H134" s="134" t="n">
        <v>1753400000</v>
      </c>
      <c r="I134" s="134" t="n">
        <v>7981200000</v>
      </c>
      <c r="J134" s="134" t="n">
        <v>3876100000</v>
      </c>
      <c r="K134" s="134" t="n">
        <v>600800000</v>
      </c>
      <c r="L134" s="134" t="n">
        <v>1541400000</v>
      </c>
    </row>
    <row r="135" customFormat="false" ht="15" hidden="false" customHeight="false" outlineLevel="0" collapsed="false">
      <c r="B135" s="146" t="s">
        <v>690</v>
      </c>
    </row>
    <row r="136" customFormat="false" ht="15" hidden="false" customHeight="false" outlineLevel="0" collapsed="false">
      <c r="B136" s="147" t="s">
        <v>189</v>
      </c>
      <c r="C136" s="133" t="s">
        <v>691</v>
      </c>
      <c r="D136" s="136" t="n">
        <v>48122500000</v>
      </c>
      <c r="E136" s="136" t="n">
        <v>25266000000</v>
      </c>
      <c r="F136" s="136" t="n">
        <v>21751900000</v>
      </c>
      <c r="G136" s="136" t="n">
        <v>12981800000</v>
      </c>
      <c r="H136" s="136" t="n">
        <v>15819900000</v>
      </c>
      <c r="I136" s="136" t="n">
        <v>18404900000</v>
      </c>
      <c r="J136" s="136" t="n">
        <v>8946400000</v>
      </c>
      <c r="K136" s="136" t="n">
        <v>17957800000</v>
      </c>
      <c r="L136" s="136" t="n">
        <v>29351400000</v>
      </c>
    </row>
    <row r="137" customFormat="false" ht="15" hidden="false" customHeight="false" outlineLevel="0" collapsed="false">
      <c r="B137" s="142" t="s">
        <v>190</v>
      </c>
      <c r="C137" s="133" t="s">
        <v>692</v>
      </c>
      <c r="D137" s="134" t="n">
        <v>49265400000</v>
      </c>
      <c r="E137" s="134" t="n">
        <v>15979300000</v>
      </c>
      <c r="F137" s="134" t="n">
        <v>30606500000</v>
      </c>
      <c r="G137" s="134" t="n">
        <v>53105400000</v>
      </c>
      <c r="H137" s="134" t="n">
        <v>10241800000</v>
      </c>
      <c r="I137" s="134" t="n">
        <v>3803800000</v>
      </c>
      <c r="J137" s="134" t="n">
        <v>2165300000</v>
      </c>
      <c r="K137" s="134" t="n">
        <v>1889300000</v>
      </c>
      <c r="L137" s="134" t="n">
        <v>4140400000</v>
      </c>
    </row>
    <row r="138" customFormat="false" ht="15" hidden="false" customHeight="false" outlineLevel="0" collapsed="false">
      <c r="B138" s="144" t="s">
        <v>191</v>
      </c>
      <c r="C138" s="133" t="s">
        <v>693</v>
      </c>
      <c r="D138" s="136" t="n">
        <v>118151700000</v>
      </c>
      <c r="E138" s="136" t="n">
        <v>80139800000</v>
      </c>
      <c r="F138" s="136" t="n">
        <v>86156300000</v>
      </c>
      <c r="G138" s="136" t="n">
        <v>154525700000</v>
      </c>
      <c r="H138" s="136" t="n">
        <v>27815100000</v>
      </c>
      <c r="I138" s="136" t="n">
        <v>30189900000</v>
      </c>
      <c r="J138" s="136" t="n">
        <v>14987800000</v>
      </c>
      <c r="K138" s="136" t="n">
        <v>20447900000</v>
      </c>
      <c r="L138" s="136" t="n">
        <v>35033200000</v>
      </c>
    </row>
    <row r="139" customFormat="false" ht="15" hidden="false" customHeight="false" outlineLevel="0" collapsed="false">
      <c r="B139" s="140" t="s">
        <v>192</v>
      </c>
      <c r="C139" s="133" t="s">
        <v>694</v>
      </c>
      <c r="D139" s="134" t="n">
        <v>11221300000</v>
      </c>
      <c r="E139" s="134" t="n">
        <v>10363800000</v>
      </c>
      <c r="F139" s="134" t="n">
        <v>15940600000</v>
      </c>
      <c r="G139" s="134" t="n">
        <v>3869400000</v>
      </c>
      <c r="H139" s="134" t="n">
        <v>4931300000</v>
      </c>
      <c r="I139" s="134" t="n">
        <v>5582900000</v>
      </c>
      <c r="J139" s="134" t="n">
        <v>6311700000</v>
      </c>
      <c r="K139" s="134" t="n">
        <v>4105200000</v>
      </c>
      <c r="L139" s="134" t="n">
        <v>18391200000</v>
      </c>
    </row>
    <row r="140" customFormat="false" ht="15" hidden="false" customHeight="false" outlineLevel="0" collapsed="false">
      <c r="B140" s="140" t="s">
        <v>193</v>
      </c>
      <c r="C140" s="133" t="s">
        <v>695</v>
      </c>
      <c r="D140" s="134" t="n">
        <v>8217900000</v>
      </c>
      <c r="E140" s="134" t="n">
        <v>8185800000</v>
      </c>
      <c r="F140" s="134" t="n">
        <v>7395200000</v>
      </c>
      <c r="G140" s="134" t="n">
        <v>7056600000</v>
      </c>
      <c r="H140" s="134" t="n">
        <v>5391400000</v>
      </c>
      <c r="I140" s="134" t="n">
        <v>6571200000</v>
      </c>
      <c r="J140" s="134" t="n">
        <v>5708400000</v>
      </c>
      <c r="K140" s="134" t="n">
        <v>5515800000</v>
      </c>
      <c r="L140" s="134" t="n">
        <v>5637300000</v>
      </c>
    </row>
    <row r="141" customFormat="false" ht="15" hidden="false" customHeight="false" outlineLevel="0" collapsed="false">
      <c r="B141" s="140" t="s">
        <v>194</v>
      </c>
      <c r="C141" s="133" t="s">
        <v>696</v>
      </c>
      <c r="D141" s="134" t="n">
        <v>0</v>
      </c>
      <c r="E141" s="134" t="n">
        <v>0</v>
      </c>
      <c r="F141" s="134" t="n">
        <v>0</v>
      </c>
      <c r="G141" s="134" t="n">
        <v>0</v>
      </c>
      <c r="H141" s="134" t="n">
        <v>0</v>
      </c>
      <c r="I141" s="134" t="n">
        <v>0</v>
      </c>
      <c r="J141" s="134" t="n">
        <v>0</v>
      </c>
      <c r="K141" s="134" t="n">
        <v>19600000</v>
      </c>
      <c r="L141" s="134" t="n">
        <v>84700000</v>
      </c>
    </row>
    <row r="142" customFormat="false" ht="15" hidden="false" customHeight="false" outlineLevel="0" collapsed="false">
      <c r="B142" s="143" t="s">
        <v>195</v>
      </c>
      <c r="C142" s="133" t="s">
        <v>697</v>
      </c>
      <c r="D142" s="136" t="n">
        <v>137590900000</v>
      </c>
      <c r="E142" s="136" t="n">
        <v>98689400000</v>
      </c>
      <c r="F142" s="136" t="n">
        <v>109492100000</v>
      </c>
      <c r="G142" s="136" t="n">
        <v>165451700000</v>
      </c>
      <c r="H142" s="136" t="n">
        <v>38137800000</v>
      </c>
      <c r="I142" s="136" t="n">
        <v>42344000000</v>
      </c>
      <c r="J142" s="136" t="n">
        <v>27007900000</v>
      </c>
      <c r="K142" s="136" t="n">
        <v>30088500000</v>
      </c>
      <c r="L142" s="136" t="n">
        <v>59146400000</v>
      </c>
    </row>
    <row r="143" customFormat="false" ht="15" hidden="false" customHeight="false" outlineLevel="0" collapsed="false">
      <c r="B143" s="138" t="s">
        <v>196</v>
      </c>
      <c r="C143" s="133" t="s">
        <v>698</v>
      </c>
      <c r="D143" s="134" t="n">
        <v>0</v>
      </c>
      <c r="E143" s="134" t="n">
        <v>2868400000</v>
      </c>
      <c r="F143" s="134" t="n">
        <v>0</v>
      </c>
      <c r="G143" s="134" t="n">
        <v>0</v>
      </c>
      <c r="H143" s="134" t="n">
        <v>0</v>
      </c>
      <c r="I143" s="134" t="n">
        <v>0</v>
      </c>
      <c r="J143" s="134" t="n">
        <v>0</v>
      </c>
      <c r="K143" s="134" t="n">
        <v>0</v>
      </c>
      <c r="L143" s="134" t="n">
        <v>0</v>
      </c>
    </row>
    <row r="144" customFormat="false" ht="15" hidden="false" customHeight="false" outlineLevel="0" collapsed="false">
      <c r="B144" s="145" t="s">
        <v>175</v>
      </c>
      <c r="C144" s="133" t="s">
        <v>175</v>
      </c>
      <c r="D144" s="136" t="n">
        <v>189927500000</v>
      </c>
      <c r="E144" s="136" t="n">
        <v>180772300000</v>
      </c>
      <c r="F144" s="136" t="n">
        <v>173740000000</v>
      </c>
      <c r="G144" s="136" t="n">
        <v>175721900000</v>
      </c>
      <c r="H144" s="136" t="n">
        <v>100018000000</v>
      </c>
      <c r="I144" s="136" t="n">
        <v>100366700000</v>
      </c>
      <c r="J144" s="136" t="n">
        <v>44242400000</v>
      </c>
      <c r="K144" s="136" t="n">
        <v>32587100000</v>
      </c>
      <c r="L144" s="136" t="n">
        <v>68538700000</v>
      </c>
    </row>
    <row r="145" customFormat="false" ht="15" hidden="false" customHeight="false" outlineLevel="0" collapsed="false">
      <c r="B145" s="135" t="s">
        <v>197</v>
      </c>
      <c r="C145" s="133" t="s">
        <v>699</v>
      </c>
      <c r="D145" s="136" t="n">
        <v>121601000000</v>
      </c>
      <c r="E145" s="136" t="n">
        <v>111205700000</v>
      </c>
      <c r="F145" s="136" t="n">
        <v>88709100000</v>
      </c>
      <c r="G145" s="136" t="n">
        <v>65303500000</v>
      </c>
      <c r="H145" s="136" t="n">
        <v>66010900000</v>
      </c>
      <c r="I145" s="136" t="n">
        <v>64748600000</v>
      </c>
      <c r="J145" s="136" t="n">
        <v>55233800000</v>
      </c>
      <c r="K145" s="136" t="n">
        <v>71790200000</v>
      </c>
      <c r="L145" s="136" t="n">
        <v>129595900000</v>
      </c>
    </row>
    <row r="148" customFormat="false" ht="15" hidden="false" customHeight="false" outlineLevel="0" collapsed="false">
      <c r="A148" s="0" t="s">
        <v>26</v>
      </c>
      <c r="B148" s="13" t="s">
        <v>199</v>
      </c>
    </row>
    <row r="149" customFormat="false" ht="15" hidden="false" customHeight="false" outlineLevel="0" collapsed="false">
      <c r="B149" s="0" t="s">
        <v>567</v>
      </c>
    </row>
    <row r="151" customFormat="false" ht="15" hidden="false" customHeight="false" outlineLevel="0" collapsed="false">
      <c r="C151" s="131" t="s">
        <v>568</v>
      </c>
      <c r="D151" s="13" t="s">
        <v>29</v>
      </c>
      <c r="E151" s="13" t="s">
        <v>30</v>
      </c>
      <c r="F151" s="13" t="s">
        <v>31</v>
      </c>
      <c r="G151" s="13" t="s">
        <v>32</v>
      </c>
      <c r="H151" s="13" t="s">
        <v>33</v>
      </c>
      <c r="I151" s="13" t="s">
        <v>34</v>
      </c>
      <c r="J151" s="13" t="s">
        <v>35</v>
      </c>
      <c r="K151" s="13" t="s">
        <v>36</v>
      </c>
      <c r="L151" s="13" t="s">
        <v>37</v>
      </c>
    </row>
    <row r="152" customFormat="false" ht="15" hidden="false" customHeight="false" outlineLevel="0" collapsed="false">
      <c r="B152" s="63" t="s">
        <v>700</v>
      </c>
    </row>
    <row r="153" customFormat="false" ht="15" hidden="false" customHeight="false" outlineLevel="0" collapsed="false">
      <c r="B153" s="132" t="s">
        <v>201</v>
      </c>
      <c r="C153" s="133" t="s">
        <v>587</v>
      </c>
      <c r="D153" s="134" t="n">
        <v>9115900000</v>
      </c>
      <c r="E153" s="134" t="n">
        <v>-3907400000</v>
      </c>
      <c r="F153" s="134" t="n">
        <v>-15429900000</v>
      </c>
      <c r="G153" s="134" t="n">
        <v>-26839500000</v>
      </c>
      <c r="H153" s="134" t="n">
        <v>1049700000</v>
      </c>
      <c r="I153" s="134" t="n">
        <v>4000000</v>
      </c>
      <c r="J153" s="134" t="n">
        <v>28917100000</v>
      </c>
      <c r="K153" s="134" t="n">
        <v>6594900000</v>
      </c>
      <c r="L153" s="134" t="n">
        <v>14466300000</v>
      </c>
    </row>
    <row r="154" customFormat="false" ht="15" hidden="false" customHeight="false" outlineLevel="0" collapsed="false">
      <c r="B154" s="137" t="s">
        <v>701</v>
      </c>
    </row>
    <row r="155" customFormat="false" ht="15" hidden="false" customHeight="false" outlineLevel="0" collapsed="false">
      <c r="B155" s="138" t="s">
        <v>203</v>
      </c>
      <c r="C155" s="133" t="s">
        <v>702</v>
      </c>
      <c r="D155" s="134" t="n">
        <v>11485000000</v>
      </c>
      <c r="E155" s="134" t="n">
        <v>14012500000</v>
      </c>
      <c r="F155" s="134" t="n">
        <v>11795000000</v>
      </c>
      <c r="G155" s="134" t="n">
        <v>12901200000</v>
      </c>
      <c r="H155" s="134" t="n">
        <v>9573700000</v>
      </c>
      <c r="I155" s="134" t="n">
        <v>7025700000</v>
      </c>
      <c r="J155" s="134" t="n">
        <v>3829700000</v>
      </c>
      <c r="K155" s="134" t="n">
        <v>1056500000</v>
      </c>
      <c r="L155" s="134" t="n">
        <v>1056800000</v>
      </c>
    </row>
    <row r="156" customFormat="false" ht="15" hidden="false" customHeight="false" outlineLevel="0" collapsed="false">
      <c r="B156" s="138" t="s">
        <v>204</v>
      </c>
      <c r="C156" s="133" t="s">
        <v>703</v>
      </c>
      <c r="D156" s="134" t="n">
        <v>-9441900000</v>
      </c>
      <c r="E156" s="134" t="n">
        <v>4008300000</v>
      </c>
      <c r="F156" s="134" t="n">
        <v>1124400000</v>
      </c>
      <c r="G156" s="134" t="n">
        <v>8583400000</v>
      </c>
      <c r="H156" s="134" t="n">
        <v>-1171700000</v>
      </c>
      <c r="I156" s="134" t="n">
        <v>-485200000</v>
      </c>
      <c r="J156" s="134" t="n">
        <v>3807700000</v>
      </c>
      <c r="K156" s="134" t="n">
        <v>-4651600000</v>
      </c>
      <c r="L156" s="134" t="n">
        <v>-8187300000</v>
      </c>
    </row>
    <row r="157" customFormat="false" ht="15" hidden="false" customHeight="false" outlineLevel="0" collapsed="false">
      <c r="B157" s="138" t="s">
        <v>205</v>
      </c>
      <c r="C157" s="133" t="s">
        <v>704</v>
      </c>
      <c r="D157" s="134" t="n">
        <v>-10467400000</v>
      </c>
      <c r="E157" s="134" t="n">
        <v>6875000000</v>
      </c>
      <c r="F157" s="134" t="n">
        <v>10066900000</v>
      </c>
      <c r="G157" s="134" t="n">
        <v>1889100000</v>
      </c>
      <c r="H157" s="134" t="n">
        <v>677600000</v>
      </c>
      <c r="I157" s="134" t="n">
        <v>-2304900000</v>
      </c>
      <c r="J157" s="134" t="n">
        <v>1930800000</v>
      </c>
      <c r="K157" s="134" t="n">
        <v>-6769100000</v>
      </c>
      <c r="L157" s="134" t="n">
        <v>-20068300000</v>
      </c>
    </row>
    <row r="158" customFormat="false" ht="15" hidden="false" customHeight="false" outlineLevel="0" collapsed="false">
      <c r="B158" s="138" t="s">
        <v>206</v>
      </c>
      <c r="C158" s="133" t="s">
        <v>705</v>
      </c>
      <c r="D158" s="134" t="n">
        <v>-3151500000</v>
      </c>
      <c r="E158" s="134" t="n">
        <v>4300000</v>
      </c>
      <c r="F158" s="134" t="n">
        <v>-1817300000</v>
      </c>
      <c r="G158" s="134" t="n">
        <v>5910200000</v>
      </c>
      <c r="H158" s="134" t="n">
        <v>-1640500000</v>
      </c>
      <c r="I158" s="134" t="n">
        <v>3534800000</v>
      </c>
      <c r="J158" s="134" t="n">
        <v>5900000</v>
      </c>
      <c r="K158" s="134" t="n">
        <v>0</v>
      </c>
      <c r="L158" s="134" t="n">
        <v>0</v>
      </c>
    </row>
    <row r="159" customFormat="false" ht="15" hidden="false" customHeight="false" outlineLevel="0" collapsed="false">
      <c r="B159" s="138" t="s">
        <v>207</v>
      </c>
      <c r="C159" s="133" t="s">
        <v>706</v>
      </c>
      <c r="D159" s="134" t="n">
        <v>0</v>
      </c>
      <c r="E159" s="134" t="n">
        <v>0</v>
      </c>
      <c r="F159" s="134" t="n">
        <v>0</v>
      </c>
      <c r="G159" s="134" t="n">
        <v>0</v>
      </c>
      <c r="H159" s="134" t="n">
        <v>0</v>
      </c>
      <c r="I159" s="134" t="n">
        <v>0</v>
      </c>
      <c r="J159" s="134" t="n">
        <v>0</v>
      </c>
      <c r="K159" s="134" t="n">
        <v>-3996900000</v>
      </c>
      <c r="L159" s="134" t="n">
        <v>-3687400000</v>
      </c>
    </row>
    <row r="160" customFormat="false" ht="15" hidden="false" customHeight="false" outlineLevel="0" collapsed="false">
      <c r="B160" s="138" t="s">
        <v>208</v>
      </c>
      <c r="C160" s="133" t="s">
        <v>707</v>
      </c>
      <c r="D160" s="134" t="n">
        <v>15067900000</v>
      </c>
      <c r="E160" s="134" t="n">
        <v>-23565000000</v>
      </c>
      <c r="F160" s="134" t="n">
        <v>-433900000</v>
      </c>
      <c r="G160" s="134" t="n">
        <v>-22331600000</v>
      </c>
      <c r="H160" s="134" t="n">
        <v>540500000</v>
      </c>
      <c r="I160" s="134" t="n">
        <v>825400000</v>
      </c>
      <c r="J160" s="134" t="n">
        <v>-11176600000</v>
      </c>
      <c r="K160" s="134" t="n">
        <v>0</v>
      </c>
      <c r="L160" s="134" t="n">
        <v>0</v>
      </c>
    </row>
    <row r="161" customFormat="false" ht="15" hidden="false" customHeight="false" outlineLevel="0" collapsed="false">
      <c r="B161" s="138" t="s">
        <v>209</v>
      </c>
      <c r="C161" s="133" t="s">
        <v>708</v>
      </c>
      <c r="D161" s="134" t="n">
        <v>3890300000</v>
      </c>
      <c r="E161" s="134" t="n">
        <v>3416100000</v>
      </c>
      <c r="F161" s="134" t="n">
        <v>3418500000</v>
      </c>
      <c r="G161" s="134" t="n">
        <v>4186100000</v>
      </c>
      <c r="H161" s="134" t="n">
        <v>2583800000</v>
      </c>
      <c r="I161" s="134" t="n">
        <v>2598400000</v>
      </c>
      <c r="J161" s="134" t="n">
        <v>2596800000</v>
      </c>
      <c r="K161" s="134" t="n">
        <v>1896000000</v>
      </c>
      <c r="L161" s="134" t="n">
        <v>2591900000</v>
      </c>
    </row>
    <row r="162" customFormat="false" ht="15" hidden="false" customHeight="false" outlineLevel="0" collapsed="false">
      <c r="B162" s="138" t="s">
        <v>210</v>
      </c>
      <c r="C162" s="133" t="s">
        <v>709</v>
      </c>
      <c r="D162" s="134" t="n">
        <v>0</v>
      </c>
      <c r="E162" s="134" t="n">
        <v>-219300000</v>
      </c>
      <c r="F162" s="134" t="n">
        <v>-114500000</v>
      </c>
      <c r="G162" s="134" t="n">
        <v>-52500000</v>
      </c>
      <c r="H162" s="134" t="n">
        <v>24300000</v>
      </c>
      <c r="I162" s="134" t="n">
        <v>12400000</v>
      </c>
      <c r="J162" s="134" t="n">
        <v>-32300000</v>
      </c>
      <c r="K162" s="134" t="n">
        <v>54800000</v>
      </c>
      <c r="L162" s="134" t="n">
        <v>195200000</v>
      </c>
    </row>
    <row r="163" customFormat="false" ht="15" hidden="false" customHeight="false" outlineLevel="0" collapsed="false">
      <c r="B163" s="138" t="s">
        <v>211</v>
      </c>
      <c r="C163" s="133" t="s">
        <v>710</v>
      </c>
      <c r="D163" s="134" t="n">
        <v>0</v>
      </c>
      <c r="E163" s="134" t="n">
        <v>0</v>
      </c>
      <c r="F163" s="134" t="n">
        <v>0</v>
      </c>
      <c r="G163" s="134" t="n">
        <v>0</v>
      </c>
      <c r="H163" s="134" t="n">
        <v>0</v>
      </c>
      <c r="I163" s="134" t="n">
        <v>0</v>
      </c>
      <c r="J163" s="134" t="n">
        <v>0</v>
      </c>
      <c r="K163" s="134" t="n">
        <v>4807200000</v>
      </c>
      <c r="L163" s="134" t="n">
        <v>23040800000</v>
      </c>
    </row>
    <row r="164" customFormat="false" ht="15" hidden="false" customHeight="false" outlineLevel="0" collapsed="false">
      <c r="B164" s="138" t="s">
        <v>212</v>
      </c>
      <c r="C164" s="133" t="s">
        <v>711</v>
      </c>
      <c r="D164" s="134" t="n">
        <v>-1215600000</v>
      </c>
      <c r="E164" s="134" t="n">
        <v>514700000</v>
      </c>
      <c r="F164" s="134" t="n">
        <v>2403600000</v>
      </c>
      <c r="G164" s="134" t="n">
        <v>4976300000</v>
      </c>
      <c r="H164" s="134" t="n">
        <v>455200000</v>
      </c>
      <c r="I164" s="134" t="n">
        <v>322700000</v>
      </c>
      <c r="J164" s="134" t="n">
        <v>111100000</v>
      </c>
      <c r="K164" s="134" t="n">
        <v>0</v>
      </c>
      <c r="L164" s="134" t="n">
        <v>0</v>
      </c>
    </row>
    <row r="165" customFormat="false" ht="15" hidden="false" customHeight="false" outlineLevel="0" collapsed="false">
      <c r="B165" s="138" t="s">
        <v>213</v>
      </c>
      <c r="C165" s="133" t="s">
        <v>712</v>
      </c>
      <c r="D165" s="134" t="n">
        <v>0</v>
      </c>
      <c r="E165" s="134" t="n">
        <v>0</v>
      </c>
      <c r="F165" s="134" t="n">
        <v>0</v>
      </c>
      <c r="G165" s="134" t="n">
        <v>0</v>
      </c>
      <c r="H165" s="134" t="n">
        <v>0</v>
      </c>
      <c r="I165" s="134" t="n">
        <v>0</v>
      </c>
      <c r="J165" s="134" t="n">
        <v>0</v>
      </c>
      <c r="K165" s="134" t="n">
        <v>383000000</v>
      </c>
      <c r="L165" s="134" t="n">
        <v>1029800000</v>
      </c>
    </row>
    <row r="166" customFormat="false" ht="15" hidden="false" customHeight="false" outlineLevel="0" collapsed="false">
      <c r="B166" s="138" t="s">
        <v>214</v>
      </c>
      <c r="C166" s="133" t="s">
        <v>713</v>
      </c>
      <c r="D166" s="134" t="n">
        <v>192800000</v>
      </c>
      <c r="E166" s="134" t="n">
        <v>0</v>
      </c>
      <c r="F166" s="134" t="n">
        <v>0</v>
      </c>
      <c r="G166" s="134" t="n">
        <v>0</v>
      </c>
      <c r="H166" s="134" t="n">
        <v>0</v>
      </c>
      <c r="I166" s="134" t="n">
        <v>0</v>
      </c>
      <c r="J166" s="134" t="n">
        <v>0</v>
      </c>
      <c r="K166" s="134" t="n">
        <v>291400000</v>
      </c>
      <c r="L166" s="134" t="n">
        <v>1149500000</v>
      </c>
    </row>
    <row r="167" customFormat="false" ht="15" hidden="false" customHeight="false" outlineLevel="0" collapsed="false">
      <c r="B167" s="138" t="s">
        <v>215</v>
      </c>
      <c r="C167" s="133" t="s">
        <v>714</v>
      </c>
      <c r="D167" s="134" t="n">
        <v>-417800000</v>
      </c>
      <c r="E167" s="134" t="n">
        <v>-405500000</v>
      </c>
      <c r="F167" s="134" t="n">
        <v>-149900000</v>
      </c>
      <c r="G167" s="134" t="n">
        <v>39700000</v>
      </c>
      <c r="H167" s="134" t="n">
        <v>0</v>
      </c>
      <c r="I167" s="134" t="n">
        <v>0</v>
      </c>
      <c r="J167" s="134" t="n">
        <v>0</v>
      </c>
      <c r="K167" s="134" t="n">
        <v>0</v>
      </c>
      <c r="L167" s="134" t="n">
        <v>0</v>
      </c>
    </row>
    <row r="168" customFormat="false" ht="15" hidden="false" customHeight="false" outlineLevel="0" collapsed="false">
      <c r="B168" s="138" t="s">
        <v>216</v>
      </c>
      <c r="C168" s="133" t="s">
        <v>715</v>
      </c>
      <c r="D168" s="134" t="n">
        <v>3634300000</v>
      </c>
      <c r="E168" s="134" t="n">
        <v>1729200000</v>
      </c>
      <c r="F168" s="134" t="n">
        <v>1268500000</v>
      </c>
      <c r="G168" s="134" t="n">
        <v>1816000000</v>
      </c>
      <c r="H168" s="134" t="n">
        <v>309500000</v>
      </c>
      <c r="I168" s="134" t="n">
        <v>2586000000</v>
      </c>
      <c r="J168" s="134" t="n">
        <v>2031600000</v>
      </c>
      <c r="K168" s="134" t="n">
        <v>2098200000</v>
      </c>
      <c r="L168" s="134" t="n">
        <v>1407300000</v>
      </c>
    </row>
    <row r="169" customFormat="false" ht="15" hidden="false" customHeight="false" outlineLevel="0" collapsed="false">
      <c r="B169" s="138" t="s">
        <v>217</v>
      </c>
      <c r="C169" s="133" t="s">
        <v>716</v>
      </c>
      <c r="D169" s="134" t="n">
        <v>-1987800000</v>
      </c>
      <c r="E169" s="134" t="n">
        <v>-4151100000</v>
      </c>
      <c r="F169" s="134" t="n">
        <v>439000000</v>
      </c>
      <c r="G169" s="134" t="n">
        <v>-292800000</v>
      </c>
      <c r="H169" s="134" t="n">
        <v>-7231000000</v>
      </c>
      <c r="I169" s="134" t="n">
        <v>-1194600000</v>
      </c>
      <c r="J169" s="134" t="n">
        <v>-27205900000</v>
      </c>
      <c r="K169" s="134" t="n">
        <v>0</v>
      </c>
      <c r="L169" s="134" t="n">
        <v>0</v>
      </c>
    </row>
    <row r="170" customFormat="false" ht="15" hidden="false" customHeight="false" outlineLevel="0" collapsed="false">
      <c r="B170" s="145" t="s">
        <v>218</v>
      </c>
      <c r="C170" s="133" t="s">
        <v>717</v>
      </c>
      <c r="D170" s="136" t="n">
        <v>7588300000</v>
      </c>
      <c r="E170" s="136" t="n">
        <v>2219200000</v>
      </c>
      <c r="F170" s="136" t="n">
        <v>28000300000</v>
      </c>
      <c r="G170" s="136" t="n">
        <v>17625100000</v>
      </c>
      <c r="H170" s="136" t="n">
        <v>4121400000</v>
      </c>
      <c r="I170" s="136" t="n">
        <v>12920700000</v>
      </c>
      <c r="J170" s="136" t="n">
        <v>-24101200000</v>
      </c>
      <c r="K170" s="136" t="n">
        <v>-5596500000</v>
      </c>
      <c r="L170" s="136" t="n">
        <v>-3531300000</v>
      </c>
    </row>
    <row r="171" customFormat="false" ht="15" hidden="false" customHeight="false" outlineLevel="0" collapsed="false">
      <c r="B171" s="135" t="s">
        <v>219</v>
      </c>
      <c r="C171" s="133" t="s">
        <v>718</v>
      </c>
      <c r="D171" s="136" t="n">
        <v>16704200000</v>
      </c>
      <c r="E171" s="136" t="n">
        <v>-1688200000</v>
      </c>
      <c r="F171" s="136" t="n">
        <v>12570400000</v>
      </c>
      <c r="G171" s="136" t="n">
        <v>-9214400000</v>
      </c>
      <c r="H171" s="136" t="n">
        <v>5171100000</v>
      </c>
      <c r="I171" s="136" t="n">
        <v>12924700000</v>
      </c>
      <c r="J171" s="136" t="n">
        <v>4815900000</v>
      </c>
      <c r="K171" s="136" t="n">
        <v>998400000</v>
      </c>
      <c r="L171" s="136" t="n">
        <v>10935000000</v>
      </c>
    </row>
    <row r="172" customFormat="false" ht="15" hidden="false" customHeight="false" outlineLevel="0" collapsed="false">
      <c r="B172" s="132" t="s">
        <v>220</v>
      </c>
      <c r="C172" s="133" t="s">
        <v>719</v>
      </c>
      <c r="D172" s="134" t="n">
        <v>615900000</v>
      </c>
      <c r="E172" s="134" t="n">
        <v>-593800000</v>
      </c>
      <c r="F172" s="134" t="n">
        <v>-97000000</v>
      </c>
      <c r="G172" s="134" t="n">
        <v>76000000</v>
      </c>
      <c r="H172" s="134" t="n">
        <v>-133900000</v>
      </c>
      <c r="I172" s="134" t="n">
        <v>-94300000</v>
      </c>
      <c r="J172" s="134" t="n">
        <v>149300000</v>
      </c>
      <c r="K172" s="134" t="n">
        <v>203100000</v>
      </c>
      <c r="L172" s="134" t="n">
        <v>15400000</v>
      </c>
    </row>
    <row r="173" customFormat="false" ht="15" hidden="false" customHeight="false" outlineLevel="0" collapsed="false">
      <c r="B173" s="135" t="s">
        <v>221</v>
      </c>
      <c r="C173" s="133" t="s">
        <v>720</v>
      </c>
      <c r="D173" s="136" t="n">
        <v>16088300000</v>
      </c>
      <c r="E173" s="136" t="n">
        <v>-1094400000</v>
      </c>
      <c r="F173" s="136" t="n">
        <v>12667400000</v>
      </c>
      <c r="G173" s="136" t="n">
        <v>-9290400000</v>
      </c>
      <c r="H173" s="136" t="n">
        <v>5305000000</v>
      </c>
      <c r="I173" s="136" t="n">
        <v>13019000000</v>
      </c>
      <c r="J173" s="136" t="n">
        <v>4666600000</v>
      </c>
      <c r="K173" s="136" t="n">
        <v>795300000</v>
      </c>
      <c r="L173" s="136" t="n">
        <v>10919600000</v>
      </c>
    </row>
    <row r="174" customFormat="false" ht="15" hidden="false" customHeight="false" outlineLevel="0" collapsed="false">
      <c r="B174" s="63" t="s">
        <v>222</v>
      </c>
    </row>
    <row r="175" customFormat="false" ht="15" hidden="false" customHeight="false" outlineLevel="0" collapsed="false">
      <c r="B175" s="132" t="s">
        <v>223</v>
      </c>
      <c r="C175" s="133" t="s">
        <v>721</v>
      </c>
      <c r="D175" s="134" t="n">
        <v>0</v>
      </c>
      <c r="E175" s="134" t="n">
        <v>0</v>
      </c>
      <c r="F175" s="134" t="n">
        <v>0</v>
      </c>
      <c r="G175" s="134" t="n">
        <v>0</v>
      </c>
      <c r="H175" s="134" t="n">
        <v>0</v>
      </c>
      <c r="I175" s="134" t="n">
        <v>0</v>
      </c>
      <c r="J175" s="134" t="n">
        <v>0</v>
      </c>
      <c r="K175" s="134" t="n">
        <v>0</v>
      </c>
      <c r="L175" s="134" t="n">
        <v>4413300000</v>
      </c>
    </row>
    <row r="176" customFormat="false" ht="15" hidden="false" customHeight="false" outlineLevel="0" collapsed="false">
      <c r="B176" s="132" t="s">
        <v>224</v>
      </c>
      <c r="C176" s="133" t="s">
        <v>722</v>
      </c>
      <c r="D176" s="134" t="n">
        <v>85500000</v>
      </c>
      <c r="E176" s="134" t="n">
        <v>800000</v>
      </c>
      <c r="F176" s="134" t="n">
        <v>2855300000</v>
      </c>
      <c r="G176" s="134" t="n">
        <v>305100000</v>
      </c>
      <c r="H176" s="134" t="n">
        <v>0</v>
      </c>
      <c r="I176" s="134" t="n">
        <v>0</v>
      </c>
      <c r="J176" s="134" t="n">
        <v>0</v>
      </c>
      <c r="K176" s="134" t="n">
        <v>0</v>
      </c>
      <c r="L176" s="134" t="n">
        <v>0</v>
      </c>
    </row>
    <row r="177" customFormat="false" ht="15" hidden="false" customHeight="false" outlineLevel="0" collapsed="false">
      <c r="B177" s="132" t="s">
        <v>225</v>
      </c>
      <c r="C177" s="133" t="s">
        <v>723</v>
      </c>
      <c r="D177" s="134" t="n">
        <v>1525600000</v>
      </c>
      <c r="E177" s="134" t="n">
        <v>307200000</v>
      </c>
      <c r="F177" s="134" t="n">
        <v>68100000</v>
      </c>
      <c r="G177" s="134" t="n">
        <v>0</v>
      </c>
      <c r="H177" s="134" t="n">
        <v>0</v>
      </c>
      <c r="I177" s="134" t="n">
        <v>0</v>
      </c>
      <c r="J177" s="134" t="n">
        <v>0</v>
      </c>
      <c r="K177" s="134" t="n">
        <v>0</v>
      </c>
      <c r="L177" s="134" t="n">
        <v>0</v>
      </c>
    </row>
    <row r="178" customFormat="false" ht="15" hidden="false" customHeight="false" outlineLevel="0" collapsed="false">
      <c r="B178" s="132" t="s">
        <v>226</v>
      </c>
      <c r="C178" s="133" t="s">
        <v>724</v>
      </c>
      <c r="D178" s="134" t="n">
        <v>0</v>
      </c>
      <c r="E178" s="134" t="n">
        <v>0</v>
      </c>
      <c r="F178" s="134" t="n">
        <v>0</v>
      </c>
      <c r="G178" s="134" t="n">
        <v>0</v>
      </c>
      <c r="H178" s="134" t="n">
        <v>0</v>
      </c>
      <c r="I178" s="134" t="n">
        <v>106700000</v>
      </c>
      <c r="J178" s="134" t="n">
        <v>769600000</v>
      </c>
      <c r="K178" s="134" t="n">
        <v>436800000</v>
      </c>
      <c r="L178" s="134" t="n">
        <v>0</v>
      </c>
    </row>
    <row r="179" customFormat="false" ht="15" hidden="false" customHeight="false" outlineLevel="0" collapsed="false">
      <c r="B179" s="132" t="s">
        <v>227</v>
      </c>
      <c r="C179" s="133" t="s">
        <v>725</v>
      </c>
      <c r="D179" s="134" t="n">
        <v>226800000</v>
      </c>
      <c r="E179" s="134" t="n">
        <v>552200000</v>
      </c>
      <c r="F179" s="134" t="n">
        <v>356300000</v>
      </c>
      <c r="G179" s="134" t="n">
        <v>6800000</v>
      </c>
      <c r="H179" s="134" t="n">
        <v>29500000</v>
      </c>
      <c r="I179" s="134" t="n">
        <v>9000000</v>
      </c>
      <c r="J179" s="134" t="n">
        <v>864800000</v>
      </c>
      <c r="K179" s="134" t="n">
        <v>9700000</v>
      </c>
      <c r="L179" s="134" t="n">
        <v>21900000</v>
      </c>
    </row>
    <row r="180" customFormat="false" ht="15" hidden="false" customHeight="false" outlineLevel="0" collapsed="false">
      <c r="B180" s="132" t="s">
        <v>228</v>
      </c>
      <c r="C180" s="133" t="s">
        <v>726</v>
      </c>
      <c r="D180" s="134" t="n">
        <v>4139600000</v>
      </c>
      <c r="E180" s="134" t="n">
        <v>7095500000</v>
      </c>
      <c r="F180" s="134" t="n">
        <v>2825700000</v>
      </c>
      <c r="G180" s="134" t="n">
        <v>1004900000</v>
      </c>
      <c r="H180" s="134" t="n">
        <v>519300000</v>
      </c>
      <c r="I180" s="134" t="n">
        <v>767200000</v>
      </c>
      <c r="J180" s="134" t="n">
        <v>1006800000</v>
      </c>
      <c r="K180" s="134" t="n">
        <v>2273600000</v>
      </c>
      <c r="L180" s="134" t="n">
        <v>3706100000</v>
      </c>
    </row>
    <row r="181" customFormat="false" ht="15" hidden="false" customHeight="false" outlineLevel="0" collapsed="false">
      <c r="B181" s="132" t="s">
        <v>229</v>
      </c>
      <c r="C181" s="133" t="s">
        <v>727</v>
      </c>
      <c r="D181" s="134" t="n">
        <v>0</v>
      </c>
      <c r="E181" s="134" t="n">
        <v>0</v>
      </c>
      <c r="F181" s="134" t="n">
        <v>497300000</v>
      </c>
      <c r="G181" s="134" t="n">
        <v>254200000</v>
      </c>
      <c r="H181" s="134" t="n">
        <v>133300000</v>
      </c>
      <c r="I181" s="134" t="n">
        <v>99300000</v>
      </c>
      <c r="J181" s="134" t="n">
        <v>101700000</v>
      </c>
      <c r="K181" s="134" t="n">
        <v>142100000</v>
      </c>
      <c r="L181" s="134" t="n">
        <v>148700000</v>
      </c>
    </row>
    <row r="182" customFormat="false" ht="15" hidden="false" customHeight="false" outlineLevel="0" collapsed="false">
      <c r="B182" s="132" t="s">
        <v>230</v>
      </c>
      <c r="C182" s="133" t="s">
        <v>728</v>
      </c>
      <c r="D182" s="134" t="n">
        <v>0</v>
      </c>
      <c r="E182" s="134" t="n">
        <v>0</v>
      </c>
      <c r="F182" s="134" t="n">
        <v>294000000</v>
      </c>
      <c r="G182" s="134" t="n">
        <v>0</v>
      </c>
      <c r="H182" s="134" t="n">
        <v>0</v>
      </c>
      <c r="I182" s="134" t="n">
        <v>0</v>
      </c>
      <c r="J182" s="134" t="n">
        <v>0</v>
      </c>
      <c r="K182" s="134" t="n">
        <v>0</v>
      </c>
      <c r="L182" s="134" t="n">
        <v>0</v>
      </c>
    </row>
    <row r="183" customFormat="false" ht="15" hidden="false" customHeight="false" outlineLevel="0" collapsed="false">
      <c r="B183" s="132" t="s">
        <v>231</v>
      </c>
      <c r="C183" s="133" t="s">
        <v>729</v>
      </c>
      <c r="D183" s="134" t="n">
        <v>343400000</v>
      </c>
      <c r="E183" s="134" t="n">
        <v>368500000</v>
      </c>
      <c r="F183" s="134" t="n">
        <v>335100000</v>
      </c>
      <c r="G183" s="134" t="n">
        <v>265000000</v>
      </c>
      <c r="H183" s="134" t="n">
        <v>87200000</v>
      </c>
      <c r="I183" s="134" t="n">
        <v>164800000</v>
      </c>
      <c r="J183" s="134" t="n">
        <v>119800000</v>
      </c>
      <c r="K183" s="134" t="n">
        <v>251800000</v>
      </c>
      <c r="L183" s="134" t="n">
        <v>772800000</v>
      </c>
    </row>
    <row r="184" customFormat="false" ht="15" hidden="false" customHeight="false" outlineLevel="0" collapsed="false">
      <c r="B184" s="132" t="s">
        <v>232</v>
      </c>
      <c r="C184" s="133" t="s">
        <v>730</v>
      </c>
      <c r="D184" s="134" t="n">
        <v>-1493200000</v>
      </c>
      <c r="E184" s="134" t="n">
        <v>5146600000</v>
      </c>
      <c r="F184" s="134" t="n">
        <v>395300000</v>
      </c>
      <c r="G184" s="134" t="n">
        <v>-150800000</v>
      </c>
      <c r="H184" s="134" t="n">
        <v>32000000</v>
      </c>
      <c r="I184" s="134" t="n">
        <v>203100000</v>
      </c>
      <c r="J184" s="134" t="n">
        <v>0</v>
      </c>
      <c r="K184" s="134" t="n">
        <v>-82300000</v>
      </c>
      <c r="L184" s="134" t="n">
        <v>-341400000</v>
      </c>
    </row>
    <row r="185" customFormat="false" ht="15" hidden="false" customHeight="false" outlineLevel="0" collapsed="false">
      <c r="B185" s="135" t="s">
        <v>233</v>
      </c>
      <c r="C185" s="133" t="s">
        <v>731</v>
      </c>
      <c r="D185" s="136" t="n">
        <v>-6502700000</v>
      </c>
      <c r="E185" s="136" t="n">
        <v>-1334600000</v>
      </c>
      <c r="F185" s="136" t="n">
        <v>1251500000</v>
      </c>
      <c r="G185" s="136" t="n">
        <v>-324600000</v>
      </c>
      <c r="H185" s="136" t="n">
        <v>-237300000</v>
      </c>
      <c r="I185" s="136" t="n">
        <v>-184300000</v>
      </c>
      <c r="J185" s="136" t="n">
        <v>849100000</v>
      </c>
      <c r="K185" s="136" t="n">
        <v>-1515500000</v>
      </c>
      <c r="L185" s="136" t="n">
        <v>-7517400000</v>
      </c>
    </row>
    <row r="186" customFormat="false" ht="15" hidden="false" customHeight="false" outlineLevel="0" collapsed="false">
      <c r="B186" s="63" t="s">
        <v>234</v>
      </c>
    </row>
    <row r="187" customFormat="false" ht="15" hidden="false" customHeight="false" outlineLevel="0" collapsed="false">
      <c r="B187" s="132" t="s">
        <v>235</v>
      </c>
      <c r="C187" s="133" t="s">
        <v>732</v>
      </c>
      <c r="D187" s="134" t="n">
        <v>0</v>
      </c>
      <c r="E187" s="134" t="n">
        <v>0</v>
      </c>
      <c r="F187" s="134" t="n">
        <v>0</v>
      </c>
      <c r="G187" s="134" t="n">
        <v>0</v>
      </c>
      <c r="H187" s="134" t="n">
        <v>3421600000</v>
      </c>
      <c r="I187" s="134" t="n">
        <v>0</v>
      </c>
      <c r="J187" s="134" t="n">
        <v>0</v>
      </c>
      <c r="K187" s="134" t="n">
        <v>20652100000</v>
      </c>
      <c r="L187" s="134" t="n">
        <v>221600000</v>
      </c>
    </row>
    <row r="188" customFormat="false" ht="15" hidden="false" customHeight="false" outlineLevel="0" collapsed="false">
      <c r="B188" s="132" t="s">
        <v>236</v>
      </c>
      <c r="C188" s="133" t="s">
        <v>733</v>
      </c>
      <c r="D188" s="134" t="n">
        <v>0</v>
      </c>
      <c r="E188" s="134" t="n">
        <v>0</v>
      </c>
      <c r="F188" s="134" t="n">
        <v>0</v>
      </c>
      <c r="G188" s="134" t="n">
        <v>0</v>
      </c>
      <c r="H188" s="134" t="n">
        <v>0</v>
      </c>
      <c r="I188" s="134" t="n">
        <v>0</v>
      </c>
      <c r="J188" s="134" t="n">
        <v>10796700000</v>
      </c>
      <c r="K188" s="134" t="n">
        <v>0</v>
      </c>
      <c r="L188" s="134" t="n">
        <v>0</v>
      </c>
    </row>
    <row r="189" customFormat="false" ht="15" hidden="false" customHeight="false" outlineLevel="0" collapsed="false">
      <c r="B189" s="132" t="s">
        <v>237</v>
      </c>
      <c r="C189" s="133" t="s">
        <v>734</v>
      </c>
      <c r="D189" s="134" t="n">
        <v>0</v>
      </c>
      <c r="E189" s="134" t="n">
        <v>0</v>
      </c>
      <c r="F189" s="134" t="n">
        <v>0</v>
      </c>
      <c r="G189" s="134" t="n">
        <v>0</v>
      </c>
      <c r="H189" s="134" t="n">
        <v>499800000</v>
      </c>
      <c r="I189" s="134" t="n">
        <v>0</v>
      </c>
      <c r="J189" s="134" t="n">
        <v>0</v>
      </c>
      <c r="K189" s="134" t="n">
        <v>0</v>
      </c>
      <c r="L189" s="134" t="n">
        <v>0</v>
      </c>
    </row>
    <row r="190" customFormat="false" ht="15" hidden="false" customHeight="false" outlineLevel="0" collapsed="false">
      <c r="B190" s="132" t="s">
        <v>238</v>
      </c>
      <c r="C190" s="133" t="s">
        <v>735</v>
      </c>
      <c r="D190" s="134" t="n">
        <v>4760100000</v>
      </c>
      <c r="E190" s="134" t="n">
        <v>20617300000</v>
      </c>
      <c r="F190" s="134" t="n">
        <v>-4922000000</v>
      </c>
      <c r="G190" s="134" t="n">
        <v>55872200000</v>
      </c>
      <c r="H190" s="134" t="n">
        <v>-1184800000</v>
      </c>
      <c r="I190" s="134" t="n">
        <v>-1485500000</v>
      </c>
      <c r="J190" s="134" t="n">
        <v>30447000000</v>
      </c>
      <c r="K190" s="134" t="n">
        <v>0</v>
      </c>
      <c r="L190" s="134" t="n">
        <v>0</v>
      </c>
    </row>
    <row r="191" customFormat="false" ht="15" hidden="false" customHeight="false" outlineLevel="0" collapsed="false">
      <c r="B191" s="132" t="s">
        <v>239</v>
      </c>
      <c r="C191" s="133" t="s">
        <v>736</v>
      </c>
      <c r="D191" s="134" t="n">
        <v>6970000000</v>
      </c>
      <c r="E191" s="134" t="n">
        <v>5216100000</v>
      </c>
      <c r="F191" s="134" t="n">
        <v>3035700000</v>
      </c>
      <c r="G191" s="134" t="n">
        <v>41745300000</v>
      </c>
      <c r="H191" s="134" t="n">
        <v>1914200000</v>
      </c>
      <c r="I191" s="134" t="n">
        <v>5748100000</v>
      </c>
      <c r="J191" s="134" t="n">
        <v>43835300000</v>
      </c>
      <c r="K191" s="134" t="n">
        <v>18033600000</v>
      </c>
      <c r="L191" s="134" t="n">
        <v>-4194600000</v>
      </c>
    </row>
    <row r="192" customFormat="false" ht="15" hidden="false" customHeight="false" outlineLevel="0" collapsed="false">
      <c r="B192" s="132" t="s">
        <v>240</v>
      </c>
      <c r="C192" s="133" t="s">
        <v>737</v>
      </c>
      <c r="D192" s="134" t="n">
        <v>0</v>
      </c>
      <c r="E192" s="134" t="n">
        <v>0</v>
      </c>
      <c r="F192" s="134" t="n">
        <v>0</v>
      </c>
      <c r="G192" s="134" t="n">
        <v>0</v>
      </c>
      <c r="H192" s="134" t="n">
        <v>0</v>
      </c>
      <c r="I192" s="134" t="n">
        <v>0</v>
      </c>
      <c r="J192" s="134" t="n">
        <v>0</v>
      </c>
      <c r="K192" s="134" t="n">
        <v>231600000</v>
      </c>
      <c r="L192" s="134" t="n">
        <v>283700000</v>
      </c>
    </row>
    <row r="193" customFormat="false" ht="15" hidden="false" customHeight="false" outlineLevel="0" collapsed="false">
      <c r="B193" s="132" t="s">
        <v>241</v>
      </c>
      <c r="C193" s="133" t="s">
        <v>738</v>
      </c>
      <c r="D193" s="134" t="n">
        <v>10280300000</v>
      </c>
      <c r="E193" s="134" t="n">
        <v>10477400000</v>
      </c>
      <c r="F193" s="134" t="n">
        <v>11025700000</v>
      </c>
      <c r="G193" s="134" t="n">
        <v>4434500000</v>
      </c>
      <c r="H193" s="134" t="n">
        <v>4088400000</v>
      </c>
      <c r="I193" s="134" t="n">
        <v>3215900000</v>
      </c>
      <c r="J193" s="134" t="n">
        <v>4253300000</v>
      </c>
      <c r="K193" s="134" t="n">
        <v>0</v>
      </c>
      <c r="L193" s="134" t="n">
        <v>0</v>
      </c>
    </row>
    <row r="194" customFormat="false" ht="15" hidden="false" customHeight="false" outlineLevel="0" collapsed="false">
      <c r="B194" s="132" t="s">
        <v>232</v>
      </c>
      <c r="C194" s="133" t="s">
        <v>739</v>
      </c>
      <c r="D194" s="134" t="n">
        <v>0</v>
      </c>
      <c r="E194" s="134" t="n">
        <v>0</v>
      </c>
      <c r="F194" s="134" t="n">
        <v>0</v>
      </c>
      <c r="G194" s="134" t="n">
        <v>0</v>
      </c>
      <c r="H194" s="134" t="n">
        <v>0</v>
      </c>
      <c r="I194" s="134" t="n">
        <v>0</v>
      </c>
      <c r="J194" s="134" t="n">
        <v>0</v>
      </c>
      <c r="K194" s="134" t="n">
        <v>-1070600000</v>
      </c>
      <c r="L194" s="134" t="n">
        <v>-702400000</v>
      </c>
    </row>
    <row r="195" customFormat="false" ht="15" hidden="false" customHeight="false" outlineLevel="0" collapsed="false">
      <c r="B195" s="135" t="s">
        <v>242</v>
      </c>
      <c r="C195" s="133" t="s">
        <v>740</v>
      </c>
      <c r="D195" s="136" t="n">
        <v>-12490200000</v>
      </c>
      <c r="E195" s="136" t="n">
        <v>4923800000</v>
      </c>
      <c r="F195" s="136" t="n">
        <v>-18983400000</v>
      </c>
      <c r="G195" s="136" t="n">
        <v>9692400000</v>
      </c>
      <c r="H195" s="136" t="n">
        <v>-3266000000</v>
      </c>
      <c r="I195" s="136" t="n">
        <v>-10449500000</v>
      </c>
      <c r="J195" s="136" t="n">
        <v>-6844900000</v>
      </c>
      <c r="K195" s="136" t="n">
        <v>1316300000</v>
      </c>
      <c r="L195" s="136" t="n">
        <v>3430100000</v>
      </c>
    </row>
    <row r="196" customFormat="false" ht="15" hidden="false" customHeight="false" outlineLevel="0" collapsed="false">
      <c r="B196" s="32" t="s">
        <v>243</v>
      </c>
      <c r="C196" s="133" t="s">
        <v>741</v>
      </c>
      <c r="D196" s="136" t="n">
        <v>-2904600000</v>
      </c>
      <c r="E196" s="136" t="n">
        <v>2494800000</v>
      </c>
      <c r="F196" s="136" t="n">
        <v>-5064500000</v>
      </c>
      <c r="G196" s="136" t="n">
        <v>77400000</v>
      </c>
      <c r="H196" s="136" t="n">
        <v>1801700000</v>
      </c>
      <c r="I196" s="136" t="n">
        <v>2385200000</v>
      </c>
      <c r="J196" s="136" t="n">
        <v>-1329200000</v>
      </c>
      <c r="K196" s="136" t="n">
        <v>596100000</v>
      </c>
      <c r="L196" s="136" t="n">
        <v>6832300000</v>
      </c>
    </row>
    <row r="197" customFormat="false" ht="15" hidden="false" customHeight="false" outlineLevel="0" collapsed="false">
      <c r="B197" s="63" t="s">
        <v>742</v>
      </c>
    </row>
    <row r="198" customFormat="false" ht="15" hidden="false" customHeight="false" outlineLevel="0" collapsed="false">
      <c r="B198" s="132" t="s">
        <v>244</v>
      </c>
      <c r="C198" s="133" t="s">
        <v>743</v>
      </c>
      <c r="D198" s="134" t="n">
        <v>0</v>
      </c>
      <c r="E198" s="134" t="n">
        <v>-45300000</v>
      </c>
      <c r="F198" s="134" t="n">
        <v>0</v>
      </c>
      <c r="G198" s="134" t="n">
        <v>-300000</v>
      </c>
      <c r="H198" s="134" t="n">
        <v>0</v>
      </c>
      <c r="I198" s="134" t="n">
        <v>-5900000</v>
      </c>
      <c r="J198" s="134" t="n">
        <v>-2000000</v>
      </c>
      <c r="K198" s="134" t="n">
        <v>-800000</v>
      </c>
      <c r="L198" s="134" t="n">
        <v>27600000</v>
      </c>
    </row>
    <row r="199" customFormat="false" ht="15" hidden="false" customHeight="false" outlineLevel="0" collapsed="false">
      <c r="B199" s="32" t="s">
        <v>245</v>
      </c>
      <c r="C199" s="133" t="s">
        <v>744</v>
      </c>
      <c r="D199" s="136" t="n">
        <v>-2904600000</v>
      </c>
      <c r="E199" s="136" t="n">
        <v>2449500000</v>
      </c>
      <c r="F199" s="136" t="n">
        <v>-5064500000</v>
      </c>
      <c r="G199" s="136" t="n">
        <v>77100000</v>
      </c>
      <c r="H199" s="136" t="n">
        <v>1801700000</v>
      </c>
      <c r="I199" s="136" t="n">
        <v>2379300000</v>
      </c>
      <c r="J199" s="136" t="n">
        <v>-1331200000</v>
      </c>
      <c r="K199" s="136" t="n">
        <v>595300000</v>
      </c>
      <c r="L199" s="136" t="n">
        <v>6859900000</v>
      </c>
    </row>
    <row r="202" customFormat="false" ht="19.7" hidden="false" customHeight="false" outlineLevel="0" collapsed="false">
      <c r="A202" s="0" t="s">
        <v>26</v>
      </c>
      <c r="B202" s="148" t="s">
        <v>745</v>
      </c>
    </row>
    <row r="204" customFormat="false" ht="15" hidden="false" customHeight="false" outlineLevel="0" collapsed="false">
      <c r="A204" s="0" t="s">
        <v>26</v>
      </c>
      <c r="B204" s="63" t="s">
        <v>746</v>
      </c>
    </row>
    <row r="206" customFormat="false" ht="15" hidden="false" customHeight="false" outlineLevel="0" collapsed="false">
      <c r="C206" s="131" t="s">
        <v>568</v>
      </c>
      <c r="D206" s="13" t="s">
        <v>29</v>
      </c>
      <c r="E206" s="13" t="s">
        <v>30</v>
      </c>
      <c r="F206" s="13" t="s">
        <v>31</v>
      </c>
      <c r="G206" s="13" t="s">
        <v>32</v>
      </c>
      <c r="H206" s="13" t="s">
        <v>33</v>
      </c>
      <c r="I206" s="13" t="s">
        <v>34</v>
      </c>
      <c r="J206" s="13" t="s">
        <v>35</v>
      </c>
      <c r="K206" s="13" t="s">
        <v>36</v>
      </c>
      <c r="L206" s="13" t="s">
        <v>37</v>
      </c>
    </row>
    <row r="207" customFormat="false" ht="15" hidden="false" customHeight="false" outlineLevel="0" collapsed="false">
      <c r="B207" s="63" t="s">
        <v>747</v>
      </c>
    </row>
    <row r="208" customFormat="false" ht="15" hidden="false" customHeight="false" outlineLevel="0" collapsed="false">
      <c r="B208" s="137" t="s">
        <v>748</v>
      </c>
    </row>
    <row r="209" customFormat="false" ht="15" hidden="false" customHeight="false" outlineLevel="0" collapsed="false">
      <c r="B209" s="139" t="s">
        <v>749</v>
      </c>
    </row>
    <row r="210" customFormat="false" ht="15" hidden="false" customHeight="false" outlineLevel="0" collapsed="false">
      <c r="B210" s="140" t="s">
        <v>750</v>
      </c>
      <c r="C210" s="133" t="s">
        <v>751</v>
      </c>
      <c r="D210" s="134" t="n">
        <v>0</v>
      </c>
      <c r="E210" s="134" t="n">
        <v>0</v>
      </c>
      <c r="F210" s="134" t="n">
        <v>0</v>
      </c>
      <c r="G210" s="134" t="n">
        <v>-1656000000</v>
      </c>
      <c r="H210" s="134" t="n">
        <v>-163100000</v>
      </c>
      <c r="I210" s="134" t="n">
        <v>-206300000</v>
      </c>
      <c r="J210" s="134" t="n">
        <v>-216900000</v>
      </c>
      <c r="K210" s="134" t="n">
        <v>0</v>
      </c>
      <c r="L210" s="134" t="n">
        <v>-75900000</v>
      </c>
    </row>
    <row r="211" customFormat="false" ht="15" hidden="false" customHeight="false" outlineLevel="0" collapsed="false">
      <c r="B211" s="140" t="s">
        <v>752</v>
      </c>
      <c r="C211" s="133" t="s">
        <v>753</v>
      </c>
      <c r="D211" s="134" t="n">
        <v>0</v>
      </c>
      <c r="E211" s="134" t="n">
        <v>0</v>
      </c>
      <c r="F211" s="134" t="n">
        <v>0</v>
      </c>
      <c r="G211" s="134" t="n">
        <v>0</v>
      </c>
      <c r="H211" s="134" t="n">
        <v>0</v>
      </c>
      <c r="I211" s="134" t="n">
        <v>0</v>
      </c>
      <c r="J211" s="134" t="n">
        <v>243400000</v>
      </c>
      <c r="K211" s="134" t="n">
        <v>0</v>
      </c>
      <c r="L211" s="134" t="n">
        <v>0</v>
      </c>
    </row>
    <row r="212" customFormat="false" ht="15" hidden="false" customHeight="false" outlineLevel="0" collapsed="false">
      <c r="B212" s="143" t="s">
        <v>754</v>
      </c>
      <c r="C212" s="133" t="s">
        <v>755</v>
      </c>
      <c r="D212" s="136" t="n">
        <v>0</v>
      </c>
      <c r="E212" s="136" t="n">
        <v>0</v>
      </c>
      <c r="F212" s="136" t="n">
        <v>0</v>
      </c>
      <c r="G212" s="136" t="n">
        <v>-1656000000</v>
      </c>
      <c r="H212" s="136" t="n">
        <v>-163100000</v>
      </c>
      <c r="I212" s="136" t="n">
        <v>-206300000</v>
      </c>
      <c r="J212" s="136" t="n">
        <v>-460300000</v>
      </c>
      <c r="K212" s="136" t="n">
        <v>0</v>
      </c>
      <c r="L212" s="136" t="n">
        <v>-75900000</v>
      </c>
    </row>
    <row r="213" customFormat="false" ht="15" hidden="false" customHeight="false" outlineLevel="0" collapsed="false">
      <c r="B213" s="137" t="s">
        <v>756</v>
      </c>
    </row>
    <row r="214" customFormat="false" ht="15" hidden="false" customHeight="false" outlineLevel="0" collapsed="false">
      <c r="B214" s="138" t="s">
        <v>757</v>
      </c>
      <c r="C214" s="133" t="s">
        <v>758</v>
      </c>
      <c r="D214" s="134" t="n">
        <v>-252300000</v>
      </c>
      <c r="E214" s="134" t="n">
        <v>-33400000</v>
      </c>
      <c r="F214" s="134" t="n">
        <v>-63700000</v>
      </c>
      <c r="G214" s="134" t="n">
        <v>-4500000</v>
      </c>
      <c r="H214" s="134" t="n">
        <v>32500000</v>
      </c>
      <c r="I214" s="134" t="n">
        <v>-103600000</v>
      </c>
      <c r="J214" s="134" t="n">
        <v>0</v>
      </c>
      <c r="K214" s="134" t="n">
        <v>0</v>
      </c>
      <c r="L214" s="134" t="n">
        <v>0</v>
      </c>
    </row>
    <row r="215" customFormat="false" ht="15" hidden="false" customHeight="false" outlineLevel="0" collapsed="false">
      <c r="B215" s="138" t="s">
        <v>759</v>
      </c>
      <c r="C215" s="133" t="s">
        <v>760</v>
      </c>
      <c r="D215" s="134" t="n">
        <v>-230200000</v>
      </c>
      <c r="E215" s="134" t="n">
        <v>85100000</v>
      </c>
      <c r="F215" s="134" t="n">
        <v>2700000</v>
      </c>
      <c r="G215" s="134" t="n">
        <v>0</v>
      </c>
      <c r="H215" s="134" t="n">
        <v>0</v>
      </c>
      <c r="I215" s="134" t="n">
        <v>0</v>
      </c>
      <c r="J215" s="134" t="n">
        <v>0</v>
      </c>
      <c r="K215" s="134" t="n">
        <v>0</v>
      </c>
      <c r="L215" s="134" t="n">
        <v>0</v>
      </c>
    </row>
    <row r="216" customFormat="false" ht="15" hidden="false" customHeight="false" outlineLevel="0" collapsed="false">
      <c r="B216" s="145" t="s">
        <v>594</v>
      </c>
      <c r="C216" s="133" t="s">
        <v>595</v>
      </c>
      <c r="D216" s="136" t="n">
        <v>-482500000</v>
      </c>
      <c r="E216" s="136" t="n">
        <v>51700000</v>
      </c>
      <c r="F216" s="136" t="n">
        <v>-61000000</v>
      </c>
      <c r="G216" s="136" t="n">
        <v>-4500000</v>
      </c>
      <c r="H216" s="136" t="n">
        <v>32500000</v>
      </c>
      <c r="I216" s="136" t="n">
        <v>-103600000</v>
      </c>
      <c r="J216" s="136" t="n">
        <v>0</v>
      </c>
      <c r="K216" s="136" t="n">
        <v>0</v>
      </c>
      <c r="L216" s="136" t="n">
        <v>0</v>
      </c>
    </row>
    <row r="217" customFormat="false" ht="15" hidden="false" customHeight="false" outlineLevel="0" collapsed="false">
      <c r="B217" s="137" t="s">
        <v>761</v>
      </c>
    </row>
    <row r="218" customFormat="false" ht="15" hidden="false" customHeight="false" outlineLevel="0" collapsed="false">
      <c r="B218" s="138" t="s">
        <v>762</v>
      </c>
      <c r="C218" s="133" t="s">
        <v>763</v>
      </c>
      <c r="D218" s="134" t="n">
        <v>-7485500000</v>
      </c>
      <c r="E218" s="134" t="n">
        <v>957700000</v>
      </c>
      <c r="F218" s="134" t="n">
        <v>418500000</v>
      </c>
      <c r="G218" s="134" t="n">
        <v>4691000000</v>
      </c>
      <c r="H218" s="134" t="n">
        <v>-334800000</v>
      </c>
      <c r="I218" s="134" t="n">
        <v>2396100000</v>
      </c>
      <c r="J218" s="134" t="n">
        <v>1559000000</v>
      </c>
      <c r="K218" s="134" t="n">
        <v>-365200000</v>
      </c>
      <c r="L218" s="134" t="n">
        <v>-2525700000</v>
      </c>
    </row>
    <row r="219" customFormat="false" ht="15" hidden="false" customHeight="false" outlineLevel="0" collapsed="false">
      <c r="B219" s="145" t="s">
        <v>119</v>
      </c>
      <c r="C219" s="133" t="s">
        <v>575</v>
      </c>
      <c r="D219" s="136" t="n">
        <v>-7485500000</v>
      </c>
      <c r="E219" s="136" t="n">
        <v>957700000</v>
      </c>
      <c r="F219" s="136" t="n">
        <v>418500000</v>
      </c>
      <c r="G219" s="136" t="n">
        <v>4691000000</v>
      </c>
      <c r="H219" s="136" t="n">
        <v>-334800000</v>
      </c>
      <c r="I219" s="136" t="n">
        <v>2396100000</v>
      </c>
      <c r="J219" s="136" t="n">
        <v>1559000000</v>
      </c>
      <c r="K219" s="136" t="n">
        <v>-365200000</v>
      </c>
      <c r="L219" s="136" t="n">
        <v>-2525700000</v>
      </c>
    </row>
    <row r="220" customFormat="false" ht="15" hidden="false" customHeight="false" outlineLevel="0" collapsed="false">
      <c r="B220" s="137" t="s">
        <v>764</v>
      </c>
    </row>
    <row r="221" customFormat="false" ht="15" hidden="false" customHeight="false" outlineLevel="0" collapsed="false">
      <c r="B221" s="139" t="s">
        <v>765</v>
      </c>
    </row>
    <row r="222" customFormat="false" ht="15" hidden="false" customHeight="false" outlineLevel="0" collapsed="false">
      <c r="B222" s="140" t="s">
        <v>127</v>
      </c>
      <c r="C222" s="133" t="s">
        <v>586</v>
      </c>
      <c r="D222" s="134" t="n">
        <v>0</v>
      </c>
      <c r="E222" s="134" t="n">
        <v>4496200000</v>
      </c>
      <c r="F222" s="134" t="n">
        <v>275700000</v>
      </c>
      <c r="G222" s="134" t="n">
        <v>-658900000</v>
      </c>
      <c r="H222" s="134" t="n">
        <v>8054600000</v>
      </c>
      <c r="I222" s="134" t="n">
        <v>831200000</v>
      </c>
      <c r="J222" s="134" t="n">
        <v>27206000000</v>
      </c>
      <c r="K222" s="134" t="n">
        <v>-538900000</v>
      </c>
      <c r="L222" s="134" t="n">
        <v>0</v>
      </c>
    </row>
    <row r="223" customFormat="false" ht="15" hidden="false" customHeight="false" outlineLevel="0" collapsed="false">
      <c r="B223" s="143" t="s">
        <v>766</v>
      </c>
      <c r="C223" s="133" t="s">
        <v>767</v>
      </c>
      <c r="D223" s="136" t="n">
        <v>0</v>
      </c>
      <c r="E223" s="136" t="n">
        <v>4496200000</v>
      </c>
      <c r="F223" s="136" t="n">
        <v>275700000</v>
      </c>
      <c r="G223" s="136" t="n">
        <v>-658900000</v>
      </c>
      <c r="H223" s="136" t="n">
        <v>8054600000</v>
      </c>
      <c r="I223" s="136" t="n">
        <v>831200000</v>
      </c>
      <c r="J223" s="136" t="n">
        <v>27206000000</v>
      </c>
      <c r="K223" s="136" t="n">
        <v>-538900000</v>
      </c>
      <c r="L223" s="136" t="n">
        <v>0</v>
      </c>
    </row>
    <row r="224" customFormat="false" ht="15" hidden="false" customHeight="false" outlineLevel="0" collapsed="false">
      <c r="B224" s="137" t="s">
        <v>768</v>
      </c>
    </row>
    <row r="225" customFormat="false" ht="15" hidden="false" customHeight="false" outlineLevel="0" collapsed="false">
      <c r="B225" s="139" t="s">
        <v>769</v>
      </c>
    </row>
    <row r="226" customFormat="false" ht="15" hidden="false" customHeight="false" outlineLevel="0" collapsed="false">
      <c r="B226" s="143" t="s">
        <v>770</v>
      </c>
      <c r="C226" s="133" t="s">
        <v>771</v>
      </c>
      <c r="D226" s="136" t="n">
        <v>111422000000</v>
      </c>
      <c r="E226" s="136" t="n">
        <v>66371900000</v>
      </c>
      <c r="F226" s="136" t="n">
        <v>49784600000</v>
      </c>
      <c r="G226" s="136" t="n">
        <v>10153800000</v>
      </c>
      <c r="H226" s="136" t="n">
        <v>14746800000</v>
      </c>
      <c r="I226" s="136" t="n">
        <v>42100500000</v>
      </c>
      <c r="J226" s="136" t="n">
        <v>41240400000</v>
      </c>
      <c r="K226" s="136" t="n">
        <v>60041100000</v>
      </c>
      <c r="L226" s="136" t="n">
        <v>103573800000</v>
      </c>
    </row>
    <row r="227" customFormat="false" ht="15" hidden="false" customHeight="false" outlineLevel="0" collapsed="false">
      <c r="B227" s="139" t="s">
        <v>772</v>
      </c>
    </row>
    <row r="228" customFormat="false" ht="15" hidden="false" customHeight="false" outlineLevel="0" collapsed="false">
      <c r="B228" s="143" t="s">
        <v>773</v>
      </c>
      <c r="C228" s="133" t="s">
        <v>774</v>
      </c>
      <c r="D228" s="136" t="n">
        <v>15503300000</v>
      </c>
      <c r="E228" s="136" t="n">
        <v>16550600000</v>
      </c>
      <c r="F228" s="136" t="n">
        <v>0</v>
      </c>
      <c r="G228" s="136" t="n">
        <v>19178200000</v>
      </c>
      <c r="H228" s="136" t="n">
        <v>18199700000</v>
      </c>
      <c r="I228" s="136" t="n">
        <v>23099000000</v>
      </c>
      <c r="J228" s="136" t="n">
        <v>18228000000</v>
      </c>
      <c r="K228" s="136" t="n">
        <v>4927300000</v>
      </c>
      <c r="L228" s="136" t="n">
        <v>4939400000</v>
      </c>
    </row>
    <row r="233" customFormat="false" ht="15" hidden="false" customHeight="false" outlineLevel="0" collapsed="false">
      <c r="A233" s="0" t="s">
        <v>26</v>
      </c>
      <c r="B233" s="63" t="s">
        <v>775</v>
      </c>
    </row>
    <row r="235" customFormat="false" ht="15" hidden="false" customHeight="false" outlineLevel="0" collapsed="false">
      <c r="C235" s="131" t="s">
        <v>568</v>
      </c>
      <c r="D235" s="13" t="s">
        <v>29</v>
      </c>
      <c r="E235" s="13" t="s">
        <v>30</v>
      </c>
      <c r="F235" s="13" t="s">
        <v>31</v>
      </c>
      <c r="G235" s="13" t="s">
        <v>32</v>
      </c>
      <c r="H235" s="13" t="s">
        <v>33</v>
      </c>
      <c r="I235" s="13" t="s">
        <v>34</v>
      </c>
      <c r="J235" s="13" t="s">
        <v>35</v>
      </c>
      <c r="K235" s="13" t="s">
        <v>36</v>
      </c>
      <c r="L235" s="13" t="s">
        <v>37</v>
      </c>
    </row>
    <row r="236" customFormat="false" ht="15" hidden="false" customHeight="false" outlineLevel="0" collapsed="false">
      <c r="B236" s="137" t="s">
        <v>637</v>
      </c>
    </row>
    <row r="237" customFormat="false" ht="15" hidden="false" customHeight="false" outlineLevel="0" collapsed="false">
      <c r="B237" s="139" t="s">
        <v>638</v>
      </c>
    </row>
    <row r="238" customFormat="false" ht="15" hidden="false" customHeight="false" outlineLevel="0" collapsed="false">
      <c r="B238" s="141" t="s">
        <v>626</v>
      </c>
    </row>
    <row r="239" customFormat="false" ht="15" hidden="false" customHeight="false" outlineLevel="0" collapsed="false">
      <c r="B239" s="142" t="s">
        <v>627</v>
      </c>
      <c r="C239" s="133" t="s">
        <v>628</v>
      </c>
      <c r="D239" s="134" t="n">
        <v>1.71</v>
      </c>
      <c r="E239" s="134" t="n">
        <v>-0.72</v>
      </c>
      <c r="F239" s="134" t="n">
        <v>-2.87</v>
      </c>
      <c r="G239" s="134" t="n">
        <v>-4.97</v>
      </c>
      <c r="H239" s="134" t="n">
        <v>0.14</v>
      </c>
      <c r="I239" s="134" t="n">
        <v>-0.22</v>
      </c>
      <c r="J239" s="134" t="n">
        <v>2.64</v>
      </c>
      <c r="K239" s="134" t="n">
        <v>0.5</v>
      </c>
      <c r="L239" s="134" t="n">
        <v>1.52</v>
      </c>
    </row>
    <row r="240" customFormat="false" ht="15" hidden="false" customHeight="false" outlineLevel="0" collapsed="false">
      <c r="B240" s="144" t="s">
        <v>629</v>
      </c>
      <c r="C240" s="133" t="s">
        <v>630</v>
      </c>
      <c r="D240" s="136" t="n">
        <v>1.71</v>
      </c>
      <c r="E240" s="136" t="n">
        <v>-0.72</v>
      </c>
      <c r="F240" s="136" t="n">
        <v>-2.87</v>
      </c>
      <c r="G240" s="136" t="n">
        <v>-4.97</v>
      </c>
      <c r="H240" s="136" t="n">
        <v>0.14</v>
      </c>
      <c r="I240" s="136" t="n">
        <v>-0.22</v>
      </c>
      <c r="J240" s="136" t="n">
        <v>2.64</v>
      </c>
      <c r="K240" s="136" t="n">
        <v>0.5</v>
      </c>
      <c r="L240" s="136" t="n">
        <v>1.52</v>
      </c>
    </row>
    <row r="241" customFormat="false" ht="15" hidden="false" customHeight="false" outlineLevel="0" collapsed="false">
      <c r="B241" s="141" t="s">
        <v>631</v>
      </c>
    </row>
    <row r="242" customFormat="false" ht="15" hidden="false" customHeight="false" outlineLevel="0" collapsed="false">
      <c r="B242" s="142" t="s">
        <v>632</v>
      </c>
      <c r="C242" s="133" t="s">
        <v>633</v>
      </c>
      <c r="D242" s="134" t="n">
        <v>1.6</v>
      </c>
      <c r="E242" s="134" t="n">
        <v>-0.72</v>
      </c>
      <c r="F242" s="134" t="n">
        <v>-2.87</v>
      </c>
      <c r="G242" s="134" t="n">
        <v>-4.97</v>
      </c>
      <c r="H242" s="134" t="n">
        <v>0.12</v>
      </c>
      <c r="I242" s="134" t="n">
        <v>-0.22</v>
      </c>
      <c r="J242" s="134" t="n">
        <v>2.64</v>
      </c>
      <c r="K242" s="134" t="n">
        <v>0.5</v>
      </c>
      <c r="L242" s="134" t="n">
        <v>1.51</v>
      </c>
    </row>
    <row r="243" customFormat="false" ht="15" hidden="false" customHeight="false" outlineLevel="0" collapsed="false">
      <c r="B243" s="144" t="s">
        <v>634</v>
      </c>
      <c r="C243" s="133" t="s">
        <v>635</v>
      </c>
      <c r="D243" s="136" t="n">
        <v>1.6</v>
      </c>
      <c r="E243" s="136" t="n">
        <v>-0.72</v>
      </c>
      <c r="F243" s="136" t="n">
        <v>-2.87</v>
      </c>
      <c r="G243" s="136" t="n">
        <v>-4.97</v>
      </c>
      <c r="H243" s="136" t="n">
        <v>0.12</v>
      </c>
      <c r="I243" s="136" t="n">
        <v>-0.22</v>
      </c>
      <c r="J243" s="136" t="n">
        <v>2.64</v>
      </c>
      <c r="K243" s="136" t="n">
        <v>0.5</v>
      </c>
      <c r="L243" s="136" t="n">
        <v>1.51</v>
      </c>
    </row>
    <row r="244" customFormat="false" ht="15" hidden="false" customHeight="false" outlineLevel="0" collapsed="false">
      <c r="B244" s="141" t="s">
        <v>776</v>
      </c>
    </row>
    <row r="245" customFormat="false" ht="15" hidden="false" customHeight="false" outlineLevel="0" collapsed="false">
      <c r="B245" s="142" t="s">
        <v>777</v>
      </c>
      <c r="C245" s="133" t="s">
        <v>778</v>
      </c>
      <c r="D245" s="134" t="n">
        <v>8577100000</v>
      </c>
      <c r="E245" s="134" t="n">
        <v>-3769800000</v>
      </c>
      <c r="F245" s="134" t="n">
        <v>-15271800000</v>
      </c>
      <c r="G245" s="134" t="n">
        <v>-26422300000</v>
      </c>
      <c r="H245" s="134" t="n">
        <v>1041800000</v>
      </c>
      <c r="I245" s="134" t="n">
        <v>-1995900000</v>
      </c>
      <c r="J245" s="134" t="n">
        <v>0</v>
      </c>
      <c r="K245" s="134" t="n">
        <v>0</v>
      </c>
      <c r="L245" s="134" t="n">
        <v>0</v>
      </c>
    </row>
    <row r="246" customFormat="false" ht="15" hidden="false" customHeight="false" outlineLevel="0" collapsed="false">
      <c r="B246" s="142" t="s">
        <v>779</v>
      </c>
      <c r="C246" s="133" t="s">
        <v>780</v>
      </c>
      <c r="D246" s="134" t="n">
        <v>9608700000</v>
      </c>
      <c r="E246" s="134" t="n">
        <v>-3251600000</v>
      </c>
      <c r="F246" s="134" t="n">
        <v>-15271800000</v>
      </c>
      <c r="G246" s="134" t="n">
        <v>-26422300000</v>
      </c>
      <c r="H246" s="134" t="n">
        <v>1041800000</v>
      </c>
      <c r="I246" s="134" t="n">
        <v>-1995900000</v>
      </c>
      <c r="J246" s="134" t="n">
        <v>0</v>
      </c>
      <c r="K246" s="134" t="n">
        <v>0</v>
      </c>
      <c r="L246" s="134" t="n">
        <v>0</v>
      </c>
    </row>
    <row r="247" customFormat="false" ht="15" hidden="false" customHeight="false" outlineLevel="0" collapsed="false">
      <c r="B247" s="141" t="s">
        <v>781</v>
      </c>
    </row>
    <row r="248" customFormat="false" ht="15" hidden="false" customHeight="false" outlineLevel="0" collapsed="false">
      <c r="B248" s="142" t="s">
        <v>782</v>
      </c>
      <c r="C248" s="133" t="s">
        <v>783</v>
      </c>
      <c r="D248" s="134" t="n">
        <v>5022862081</v>
      </c>
      <c r="E248" s="134" t="n">
        <v>5257378830</v>
      </c>
      <c r="F248" s="134" t="n">
        <v>5319774121</v>
      </c>
      <c r="G248" s="134" t="n">
        <v>5319774121</v>
      </c>
      <c r="H248" s="134" t="n">
        <v>7581705498</v>
      </c>
      <c r="I248" s="134" t="n">
        <v>8926947969</v>
      </c>
      <c r="J248" s="134" t="n">
        <v>0</v>
      </c>
      <c r="K248" s="134" t="n">
        <v>0</v>
      </c>
      <c r="L248" s="134" t="n">
        <v>0</v>
      </c>
    </row>
    <row r="249" customFormat="false" ht="15" hidden="false" customHeight="false" outlineLevel="0" collapsed="false">
      <c r="B249" s="142" t="s">
        <v>784</v>
      </c>
      <c r="C249" s="133" t="s">
        <v>785</v>
      </c>
      <c r="D249" s="134" t="n">
        <v>5993602765</v>
      </c>
      <c r="E249" s="134" t="n">
        <v>5993732816</v>
      </c>
      <c r="F249" s="134" t="n">
        <v>5989814254</v>
      </c>
      <c r="G249" s="134" t="n">
        <v>5989814254</v>
      </c>
      <c r="H249" s="134" t="n">
        <v>8760692965</v>
      </c>
      <c r="I249" s="134" t="n">
        <v>9811893086</v>
      </c>
      <c r="J249" s="134" t="n">
        <v>0</v>
      </c>
      <c r="K249" s="134" t="n">
        <v>0</v>
      </c>
      <c r="L249" s="134" t="n">
        <v>0</v>
      </c>
    </row>
    <row r="251" customFormat="false" ht="15" hidden="false" customHeight="false" outlineLevel="0" collapsed="false">
      <c r="B251" s="63" t="s">
        <v>786</v>
      </c>
    </row>
    <row r="252" customFormat="false" ht="15" hidden="false" customHeight="false" outlineLevel="0" collapsed="false">
      <c r="B252" s="132" t="s">
        <v>777</v>
      </c>
      <c r="C252" s="133" t="s">
        <v>778</v>
      </c>
      <c r="D252" s="134" t="n">
        <v>8577100000</v>
      </c>
      <c r="E252" s="134" t="n">
        <v>-3769800000</v>
      </c>
      <c r="F252" s="134" t="n">
        <v>-15271800000</v>
      </c>
      <c r="G252" s="134" t="n">
        <v>-26422300000</v>
      </c>
      <c r="H252" s="134" t="n">
        <v>1041800000</v>
      </c>
      <c r="I252" s="134" t="n">
        <v>-1995900000</v>
      </c>
      <c r="J252" s="134" t="n">
        <v>0</v>
      </c>
      <c r="K252" s="134" t="n">
        <v>0</v>
      </c>
      <c r="L252" s="134" t="n">
        <v>0</v>
      </c>
    </row>
    <row r="253" customFormat="false" ht="15" hidden="false" customHeight="false" outlineLevel="0" collapsed="false">
      <c r="B253" s="132" t="s">
        <v>779</v>
      </c>
      <c r="C253" s="133" t="s">
        <v>780</v>
      </c>
      <c r="D253" s="134" t="n">
        <v>9608700000</v>
      </c>
      <c r="E253" s="134" t="n">
        <v>-3251600000</v>
      </c>
      <c r="F253" s="134" t="n">
        <v>-15271800000</v>
      </c>
      <c r="G253" s="134" t="n">
        <v>-26422300000</v>
      </c>
      <c r="H253" s="134" t="n">
        <v>1041800000</v>
      </c>
      <c r="I253" s="134" t="n">
        <v>-1995900000</v>
      </c>
      <c r="J253" s="134" t="n">
        <v>0</v>
      </c>
      <c r="K253" s="134" t="n">
        <v>0</v>
      </c>
      <c r="L253" s="134" t="n">
        <v>0</v>
      </c>
    </row>
    <row r="255" customFormat="false" ht="15" hidden="false" customHeight="false" outlineLevel="0" collapsed="false">
      <c r="B255" s="63" t="s">
        <v>787</v>
      </c>
    </row>
    <row r="256" customFormat="false" ht="15" hidden="false" customHeight="false" outlineLevel="0" collapsed="false">
      <c r="B256" s="137" t="s">
        <v>788</v>
      </c>
    </row>
    <row r="257" customFormat="false" ht="15" hidden="false" customHeight="false" outlineLevel="0" collapsed="false">
      <c r="B257" s="139" t="s">
        <v>789</v>
      </c>
    </row>
    <row r="258" customFormat="false" ht="15" hidden="false" customHeight="false" outlineLevel="0" collapsed="false">
      <c r="B258" s="141" t="s">
        <v>626</v>
      </c>
    </row>
    <row r="259" customFormat="false" ht="15" hidden="false" customHeight="false" outlineLevel="0" collapsed="false">
      <c r="B259" s="142" t="s">
        <v>627</v>
      </c>
      <c r="C259" s="133" t="s">
        <v>628</v>
      </c>
      <c r="D259" s="134" t="n">
        <v>1.71</v>
      </c>
      <c r="E259" s="134" t="n">
        <v>-0.72</v>
      </c>
      <c r="F259" s="134" t="n">
        <v>-2.87</v>
      </c>
      <c r="G259" s="134" t="n">
        <v>-4.97</v>
      </c>
      <c r="H259" s="134" t="n">
        <v>0.14</v>
      </c>
      <c r="I259" s="134" t="n">
        <v>-0.22</v>
      </c>
      <c r="J259" s="134" t="n">
        <v>2.64</v>
      </c>
      <c r="K259" s="134" t="n">
        <v>0.5</v>
      </c>
      <c r="L259" s="134" t="n">
        <v>1.52</v>
      </c>
    </row>
    <row r="260" customFormat="false" ht="15" hidden="false" customHeight="false" outlineLevel="0" collapsed="false">
      <c r="B260" s="144" t="s">
        <v>629</v>
      </c>
      <c r="C260" s="133" t="s">
        <v>630</v>
      </c>
      <c r="D260" s="136" t="n">
        <v>1.71</v>
      </c>
      <c r="E260" s="136" t="n">
        <v>-0.72</v>
      </c>
      <c r="F260" s="136" t="n">
        <v>-2.87</v>
      </c>
      <c r="G260" s="136" t="n">
        <v>-4.97</v>
      </c>
      <c r="H260" s="136" t="n">
        <v>0.14</v>
      </c>
      <c r="I260" s="136" t="n">
        <v>-0.22</v>
      </c>
      <c r="J260" s="136" t="n">
        <v>2.64</v>
      </c>
      <c r="K260" s="136" t="n">
        <v>0.5</v>
      </c>
      <c r="L260" s="136" t="n">
        <v>1.52</v>
      </c>
    </row>
    <row r="261" customFormat="false" ht="15" hidden="false" customHeight="false" outlineLevel="0" collapsed="false">
      <c r="B261" s="141" t="s">
        <v>631</v>
      </c>
    </row>
    <row r="262" customFormat="false" ht="15" hidden="false" customHeight="false" outlineLevel="0" collapsed="false">
      <c r="B262" s="142" t="s">
        <v>632</v>
      </c>
      <c r="C262" s="133" t="s">
        <v>633</v>
      </c>
      <c r="D262" s="134" t="n">
        <v>1.6</v>
      </c>
      <c r="E262" s="134" t="n">
        <v>-0.72</v>
      </c>
      <c r="F262" s="134" t="n">
        <v>-2.87</v>
      </c>
      <c r="G262" s="134" t="n">
        <v>-4.97</v>
      </c>
      <c r="H262" s="134" t="n">
        <v>0.12</v>
      </c>
      <c r="I262" s="134" t="n">
        <v>-0.22</v>
      </c>
      <c r="J262" s="134" t="n">
        <v>2.64</v>
      </c>
      <c r="K262" s="134" t="n">
        <v>0.5</v>
      </c>
      <c r="L262" s="134" t="n">
        <v>1.51</v>
      </c>
    </row>
    <row r="263" customFormat="false" ht="15" hidden="false" customHeight="false" outlineLevel="0" collapsed="false">
      <c r="B263" s="144" t="s">
        <v>634</v>
      </c>
      <c r="C263" s="133" t="s">
        <v>635</v>
      </c>
      <c r="D263" s="136" t="n">
        <v>1.6</v>
      </c>
      <c r="E263" s="136" t="n">
        <v>-0.72</v>
      </c>
      <c r="F263" s="136" t="n">
        <v>-2.87</v>
      </c>
      <c r="G263" s="136" t="n">
        <v>-4.97</v>
      </c>
      <c r="H263" s="136" t="n">
        <v>0.12</v>
      </c>
      <c r="I263" s="136" t="n">
        <v>-0.22</v>
      </c>
      <c r="J263" s="136" t="n">
        <v>2.64</v>
      </c>
      <c r="K263" s="136" t="n">
        <v>0.5</v>
      </c>
      <c r="L263" s="136" t="n">
        <v>1.51</v>
      </c>
    </row>
    <row r="264" customFormat="false" ht="15" hidden="false" customHeight="false" outlineLevel="0" collapsed="false">
      <c r="B264" s="141" t="s">
        <v>781</v>
      </c>
    </row>
    <row r="265" customFormat="false" ht="15" hidden="false" customHeight="false" outlineLevel="0" collapsed="false">
      <c r="B265" s="142" t="s">
        <v>782</v>
      </c>
      <c r="C265" s="133" t="s">
        <v>783</v>
      </c>
      <c r="D265" s="134" t="n">
        <v>5022862081</v>
      </c>
      <c r="E265" s="134" t="n">
        <v>5257378830</v>
      </c>
      <c r="F265" s="134" t="n">
        <v>5319774121</v>
      </c>
      <c r="G265" s="134" t="n">
        <v>5319774121</v>
      </c>
      <c r="H265" s="134" t="n">
        <v>7581705498</v>
      </c>
      <c r="I265" s="134" t="n">
        <v>8926947969</v>
      </c>
      <c r="J265" s="134" t="n">
        <v>0</v>
      </c>
      <c r="K265" s="134" t="n">
        <v>0</v>
      </c>
      <c r="L265" s="134" t="n">
        <v>0</v>
      </c>
    </row>
    <row r="266" customFormat="false" ht="15" hidden="false" customHeight="false" outlineLevel="0" collapsed="false">
      <c r="B266" s="142" t="s">
        <v>784</v>
      </c>
      <c r="C266" s="133" t="s">
        <v>785</v>
      </c>
      <c r="D266" s="134" t="n">
        <v>5993602765</v>
      </c>
      <c r="E266" s="134" t="n">
        <v>5993732816</v>
      </c>
      <c r="F266" s="134" t="n">
        <v>5989814254</v>
      </c>
      <c r="G266" s="134" t="n">
        <v>5989814254</v>
      </c>
      <c r="H266" s="134" t="n">
        <v>8760692965</v>
      </c>
      <c r="I266" s="134" t="n">
        <v>9811893086</v>
      </c>
      <c r="J266" s="134" t="n">
        <v>0</v>
      </c>
      <c r="K266" s="134" t="n">
        <v>0</v>
      </c>
      <c r="L266" s="134" t="n">
        <v>0</v>
      </c>
    </row>
    <row r="269" customFormat="false" ht="15" hidden="false" customHeight="false" outlineLevel="0" collapsed="false">
      <c r="A269" s="0" t="s">
        <v>26</v>
      </c>
      <c r="B269" s="63" t="s">
        <v>790</v>
      </c>
    </row>
    <row r="271" customFormat="false" ht="15" hidden="false" customHeight="false" outlineLevel="0" collapsed="false">
      <c r="C271" s="131" t="s">
        <v>568</v>
      </c>
      <c r="D271" s="13" t="s">
        <v>29</v>
      </c>
      <c r="E271" s="13" t="s">
        <v>30</v>
      </c>
      <c r="F271" s="13" t="s">
        <v>31</v>
      </c>
      <c r="G271" s="13" t="s">
        <v>32</v>
      </c>
      <c r="H271" s="13" t="s">
        <v>33</v>
      </c>
      <c r="I271" s="13" t="s">
        <v>34</v>
      </c>
      <c r="J271" s="13" t="s">
        <v>35</v>
      </c>
      <c r="K271" s="13" t="s">
        <v>36</v>
      </c>
      <c r="L271" s="13" t="s">
        <v>37</v>
      </c>
    </row>
    <row r="272" customFormat="false" ht="15" hidden="false" customHeight="false" outlineLevel="0" collapsed="false">
      <c r="B272" s="63" t="s">
        <v>791</v>
      </c>
    </row>
    <row r="273" customFormat="false" ht="15" hidden="false" customHeight="false" outlineLevel="0" collapsed="false">
      <c r="B273" s="137" t="s">
        <v>792</v>
      </c>
    </row>
    <row r="274" customFormat="false" ht="15" hidden="false" customHeight="false" outlineLevel="0" collapsed="false">
      <c r="B274" s="138" t="s">
        <v>793</v>
      </c>
      <c r="C274" s="133" t="s">
        <v>794</v>
      </c>
      <c r="D274" s="134" t="n">
        <v>41300000</v>
      </c>
      <c r="E274" s="134" t="n">
        <v>75600000</v>
      </c>
      <c r="F274" s="134" t="n">
        <v>86800000</v>
      </c>
      <c r="G274" s="134" t="n">
        <v>66500000</v>
      </c>
      <c r="H274" s="134" t="n">
        <v>68100000</v>
      </c>
      <c r="I274" s="134" t="n">
        <v>1840700000</v>
      </c>
      <c r="J274" s="134" t="n">
        <v>46100000</v>
      </c>
      <c r="K274" s="134" t="n">
        <v>29000000</v>
      </c>
      <c r="L274" s="134" t="n">
        <v>65000000</v>
      </c>
    </row>
    <row r="275" customFormat="false" ht="15" hidden="false" customHeight="false" outlineLevel="0" collapsed="false">
      <c r="B275" s="138" t="s">
        <v>795</v>
      </c>
      <c r="C275" s="133" t="s">
        <v>796</v>
      </c>
      <c r="D275" s="134" t="n">
        <v>75700000</v>
      </c>
      <c r="E275" s="134" t="n">
        <v>-91200000</v>
      </c>
      <c r="F275" s="134" t="n">
        <v>-55900000</v>
      </c>
      <c r="G275" s="134" t="n">
        <v>7900000</v>
      </c>
      <c r="H275" s="134" t="n">
        <v>-21800000</v>
      </c>
      <c r="I275" s="134" t="n">
        <v>0</v>
      </c>
      <c r="J275" s="134" t="n">
        <v>0</v>
      </c>
      <c r="K275" s="134" t="n">
        <v>0</v>
      </c>
      <c r="L275" s="134" t="n">
        <v>79200000</v>
      </c>
    </row>
    <row r="276" customFormat="false" ht="15" hidden="false" customHeight="false" outlineLevel="0" collapsed="false">
      <c r="B276" s="145" t="s">
        <v>797</v>
      </c>
      <c r="C276" s="133" t="s">
        <v>798</v>
      </c>
      <c r="D276" s="136" t="n">
        <v>117000000</v>
      </c>
      <c r="E276" s="136" t="n">
        <v>-15600000</v>
      </c>
      <c r="F276" s="136" t="n">
        <v>30900000</v>
      </c>
      <c r="G276" s="136" t="n">
        <v>74400000</v>
      </c>
      <c r="H276" s="136" t="n">
        <v>46300000</v>
      </c>
      <c r="I276" s="136" t="n">
        <v>1840700000</v>
      </c>
      <c r="J276" s="136" t="n">
        <v>46100000</v>
      </c>
      <c r="K276" s="136" t="n">
        <v>29000000</v>
      </c>
      <c r="L276" s="136" t="n">
        <v>144200000</v>
      </c>
    </row>
    <row r="277" customFormat="false" ht="15" hidden="false" customHeight="false" outlineLevel="0" collapsed="false">
      <c r="B277" s="132" t="s">
        <v>799</v>
      </c>
      <c r="C277" s="133" t="s">
        <v>800</v>
      </c>
      <c r="D277" s="134" t="n">
        <v>0</v>
      </c>
      <c r="E277" s="134" t="n">
        <v>0</v>
      </c>
      <c r="F277" s="134" t="n">
        <v>0</v>
      </c>
      <c r="G277" s="134" t="n">
        <v>0</v>
      </c>
      <c r="H277" s="134" t="n">
        <v>0</v>
      </c>
      <c r="I277" s="134" t="n">
        <v>-174800000</v>
      </c>
      <c r="J277" s="134" t="n">
        <v>-1900000</v>
      </c>
      <c r="K277" s="134" t="n">
        <v>-37600000</v>
      </c>
      <c r="L277" s="134" t="n">
        <v>-6394200000</v>
      </c>
    </row>
    <row r="278" customFormat="false" ht="15" hidden="false" customHeight="false" outlineLevel="0" collapsed="false">
      <c r="B278" s="132" t="s">
        <v>801</v>
      </c>
      <c r="C278" s="133" t="s">
        <v>802</v>
      </c>
      <c r="D278" s="134" t="n">
        <v>0</v>
      </c>
      <c r="E278" s="134" t="n">
        <v>0</v>
      </c>
      <c r="F278" s="134" t="n">
        <v>-149900000</v>
      </c>
      <c r="G278" s="134" t="n">
        <v>0</v>
      </c>
      <c r="H278" s="134" t="n">
        <v>0</v>
      </c>
      <c r="I278" s="134" t="n">
        <v>0</v>
      </c>
      <c r="J278" s="134" t="n">
        <v>0</v>
      </c>
      <c r="K278" s="134" t="n">
        <v>0</v>
      </c>
      <c r="L278" s="134" t="n">
        <v>0</v>
      </c>
    </row>
    <row r="279" customFormat="false" ht="15" hidden="false" customHeight="false" outlineLevel="0" collapsed="false">
      <c r="B279" s="135" t="s">
        <v>803</v>
      </c>
      <c r="C279" s="133" t="s">
        <v>804</v>
      </c>
      <c r="D279" s="136" t="n">
        <v>117000000</v>
      </c>
      <c r="E279" s="136" t="n">
        <v>-15600000</v>
      </c>
      <c r="F279" s="136" t="n">
        <v>-119000000</v>
      </c>
      <c r="G279" s="136" t="n">
        <v>74400000</v>
      </c>
      <c r="H279" s="136" t="n">
        <v>46300000</v>
      </c>
      <c r="I279" s="136" t="n">
        <v>1665900000</v>
      </c>
      <c r="J279" s="136" t="n">
        <v>44200000</v>
      </c>
      <c r="K279" s="136" t="n">
        <v>-8600000</v>
      </c>
      <c r="L279" s="136" t="n">
        <v>-6250000000</v>
      </c>
    </row>
    <row r="283" customFormat="false" ht="15" hidden="false" customHeight="false" outlineLevel="0" collapsed="false">
      <c r="B283" s="137" t="s">
        <v>805</v>
      </c>
    </row>
    <row r="284" customFormat="false" ht="15" hidden="false" customHeight="false" outlineLevel="0" collapsed="false">
      <c r="B284" s="139" t="s">
        <v>806</v>
      </c>
    </row>
    <row r="285" customFormat="false" ht="15" hidden="false" customHeight="false" outlineLevel="0" collapsed="false">
      <c r="B285" s="141" t="s">
        <v>807</v>
      </c>
    </row>
    <row r="286" customFormat="false" ht="15" hidden="false" customHeight="false" outlineLevel="0" collapsed="false">
      <c r="B286" s="142" t="s">
        <v>808</v>
      </c>
      <c r="C286" s="133" t="s">
        <v>809</v>
      </c>
      <c r="D286" s="134" t="n">
        <v>0</v>
      </c>
      <c r="E286" s="134" t="n">
        <v>0</v>
      </c>
      <c r="F286" s="134" t="n">
        <v>0</v>
      </c>
      <c r="G286" s="134" t="n">
        <v>0</v>
      </c>
      <c r="H286" s="134" t="n">
        <v>0</v>
      </c>
      <c r="I286" s="134" t="n">
        <v>174800000</v>
      </c>
      <c r="J286" s="134" t="n">
        <v>1900000</v>
      </c>
      <c r="K286" s="134" t="n">
        <v>37600000</v>
      </c>
      <c r="L286" s="134" t="n">
        <v>6394200000</v>
      </c>
    </row>
    <row r="287" customFormat="false" ht="15" hidden="false" customHeight="false" outlineLevel="0" collapsed="false">
      <c r="B287" s="144" t="s">
        <v>810</v>
      </c>
      <c r="C287" s="133" t="s">
        <v>811</v>
      </c>
      <c r="D287" s="136" t="n">
        <v>0</v>
      </c>
      <c r="E287" s="136" t="n">
        <v>0</v>
      </c>
      <c r="F287" s="136" t="n">
        <v>0</v>
      </c>
      <c r="G287" s="136" t="n">
        <v>0</v>
      </c>
      <c r="H287" s="136" t="n">
        <v>0</v>
      </c>
      <c r="I287" s="136" t="n">
        <v>-174800000</v>
      </c>
      <c r="J287" s="136" t="n">
        <v>-1900000</v>
      </c>
      <c r="K287" s="136" t="n">
        <v>-37600000</v>
      </c>
      <c r="L287" s="136" t="n">
        <v>-6394200000</v>
      </c>
    </row>
    <row r="288" customFormat="false" ht="15" hidden="false" customHeight="false" outlineLevel="0" collapsed="false">
      <c r="B288" s="141" t="s">
        <v>812</v>
      </c>
    </row>
    <row r="289" customFormat="false" ht="15" hidden="false" customHeight="false" outlineLevel="0" collapsed="false">
      <c r="B289" s="142" t="s">
        <v>813</v>
      </c>
      <c r="C289" s="133" t="s">
        <v>814</v>
      </c>
      <c r="D289" s="134" t="n">
        <v>0</v>
      </c>
      <c r="E289" s="134" t="n">
        <v>0</v>
      </c>
      <c r="F289" s="134" t="n">
        <v>0</v>
      </c>
      <c r="G289" s="134" t="n">
        <v>0</v>
      </c>
      <c r="H289" s="134" t="n">
        <v>0</v>
      </c>
      <c r="I289" s="134" t="n">
        <v>0</v>
      </c>
      <c r="J289" s="134" t="n">
        <v>0</v>
      </c>
      <c r="K289" s="134" t="n">
        <v>0</v>
      </c>
      <c r="L289" s="134" t="n">
        <v>-6394200000</v>
      </c>
    </row>
    <row r="290" customFormat="false" ht="15" hidden="false" customHeight="false" outlineLevel="0" collapsed="false">
      <c r="B290" s="141" t="s">
        <v>815</v>
      </c>
    </row>
    <row r="291" customFormat="false" ht="15" hidden="false" customHeight="false" outlineLevel="0" collapsed="false">
      <c r="B291" s="149" t="s">
        <v>816</v>
      </c>
      <c r="C291" s="133" t="s">
        <v>817</v>
      </c>
      <c r="D291" s="134" t="n">
        <v>0</v>
      </c>
      <c r="E291" s="134" t="n">
        <v>0</v>
      </c>
      <c r="F291" s="134" t="n">
        <v>0</v>
      </c>
      <c r="G291" s="134" t="n">
        <v>0</v>
      </c>
      <c r="H291" s="134" t="n">
        <v>0</v>
      </c>
      <c r="I291" s="134" t="n">
        <v>-174800000</v>
      </c>
      <c r="J291" s="134" t="n">
        <v>172900000</v>
      </c>
      <c r="K291" s="134" t="n">
        <v>-35700000</v>
      </c>
      <c r="L291" s="134" t="n">
        <v>0</v>
      </c>
    </row>
    <row r="292" customFormat="false" ht="15" hidden="false" customHeight="false" outlineLevel="0" collapsed="false">
      <c r="B292" s="141" t="s">
        <v>818</v>
      </c>
    </row>
    <row r="293" customFormat="false" ht="15" hidden="false" customHeight="false" outlineLevel="0" collapsed="false">
      <c r="B293" s="144" t="s">
        <v>810</v>
      </c>
      <c r="C293" s="133" t="s">
        <v>811</v>
      </c>
      <c r="D293" s="136" t="n">
        <v>0</v>
      </c>
      <c r="E293" s="136" t="n">
        <v>0</v>
      </c>
      <c r="F293" s="136" t="n">
        <v>0</v>
      </c>
      <c r="G293" s="136" t="n">
        <v>0</v>
      </c>
      <c r="H293" s="136" t="n">
        <v>0</v>
      </c>
      <c r="I293" s="136" t="n">
        <v>-174800000</v>
      </c>
      <c r="J293" s="136" t="n">
        <v>-1900000</v>
      </c>
      <c r="K293" s="136" t="n">
        <v>-37600000</v>
      </c>
      <c r="L293" s="136" t="n">
        <v>-6394200000</v>
      </c>
    </row>
    <row r="294" customFormat="false" ht="15" hidden="false" customHeight="false" outlineLevel="0" collapsed="false">
      <c r="B294" s="146" t="s">
        <v>819</v>
      </c>
    </row>
    <row r="295" customFormat="false" ht="15" hidden="false" customHeight="false" outlineLevel="0" collapsed="false">
      <c r="B295" s="149" t="s">
        <v>816</v>
      </c>
      <c r="C295" s="133" t="s">
        <v>817</v>
      </c>
      <c r="D295" s="134" t="n">
        <v>0</v>
      </c>
      <c r="E295" s="134" t="n">
        <v>0</v>
      </c>
      <c r="F295" s="134" t="n">
        <v>0</v>
      </c>
      <c r="G295" s="134" t="n">
        <v>0</v>
      </c>
      <c r="H295" s="134" t="n">
        <v>0</v>
      </c>
      <c r="I295" s="134" t="n">
        <v>-174800000</v>
      </c>
      <c r="J295" s="134" t="n">
        <v>172900000</v>
      </c>
      <c r="K295" s="134" t="n">
        <v>-35700000</v>
      </c>
      <c r="L295" s="134" t="n">
        <v>0</v>
      </c>
    </row>
    <row r="296" customFormat="false" ht="15" hidden="false" customHeight="false" outlineLevel="0" collapsed="false">
      <c r="B296" s="149" t="s">
        <v>820</v>
      </c>
      <c r="C296" s="133" t="s">
        <v>821</v>
      </c>
      <c r="D296" s="134" t="n">
        <v>0</v>
      </c>
      <c r="E296" s="134" t="n">
        <v>0</v>
      </c>
      <c r="F296" s="134" t="n">
        <v>0</v>
      </c>
      <c r="G296" s="134" t="n">
        <v>0</v>
      </c>
      <c r="H296" s="134" t="n">
        <v>0</v>
      </c>
      <c r="I296" s="134" t="n">
        <v>0</v>
      </c>
      <c r="J296" s="134" t="n">
        <v>0</v>
      </c>
      <c r="K296" s="134" t="n">
        <v>0</v>
      </c>
      <c r="L296" s="134" t="n">
        <v>-6356600000</v>
      </c>
    </row>
    <row r="297" customFormat="false" ht="15" hidden="false" customHeight="false" outlineLevel="0" collapsed="false">
      <c r="B297" s="147" t="s">
        <v>822</v>
      </c>
      <c r="C297" s="133" t="s">
        <v>823</v>
      </c>
      <c r="D297" s="136" t="n">
        <v>0</v>
      </c>
      <c r="E297" s="136" t="n">
        <v>0</v>
      </c>
      <c r="F297" s="136" t="n">
        <v>0</v>
      </c>
      <c r="G297" s="136" t="n">
        <v>0</v>
      </c>
      <c r="H297" s="136" t="n">
        <v>0</v>
      </c>
      <c r="I297" s="136" t="n">
        <v>-174800000</v>
      </c>
      <c r="J297" s="136" t="n">
        <v>172900000</v>
      </c>
      <c r="K297" s="136" t="n">
        <v>-35700000</v>
      </c>
      <c r="L297" s="136" t="n">
        <v>-6356600000</v>
      </c>
    </row>
    <row r="298" customFormat="false" ht="15" hidden="false" customHeight="false" outlineLevel="0" collapsed="false">
      <c r="B298" s="144" t="s">
        <v>810</v>
      </c>
      <c r="C298" s="133" t="s">
        <v>811</v>
      </c>
      <c r="D298" s="136" t="n">
        <v>0</v>
      </c>
      <c r="E298" s="136" t="n">
        <v>0</v>
      </c>
      <c r="F298" s="136" t="n">
        <v>0</v>
      </c>
      <c r="G298" s="136" t="n">
        <v>0</v>
      </c>
      <c r="H298" s="136" t="n">
        <v>0</v>
      </c>
      <c r="I298" s="136" t="n">
        <v>-174800000</v>
      </c>
      <c r="J298" s="136" t="n">
        <v>-1900000</v>
      </c>
      <c r="K298" s="136" t="n">
        <v>-37600000</v>
      </c>
      <c r="L298" s="136" t="n">
        <v>-6394200000</v>
      </c>
    </row>
    <row r="300" customFormat="false" ht="15" hidden="false" customHeight="false" outlineLevel="0" collapsed="false">
      <c r="B300" s="63" t="s">
        <v>824</v>
      </c>
    </row>
    <row r="301" customFormat="false" ht="15" hidden="false" customHeight="false" outlineLevel="0" collapsed="false">
      <c r="B301" s="132" t="s">
        <v>825</v>
      </c>
      <c r="C301" s="133" t="s">
        <v>826</v>
      </c>
      <c r="D301" s="134" t="n">
        <v>9115900000</v>
      </c>
      <c r="E301" s="134" t="n">
        <v>-3907400000</v>
      </c>
      <c r="F301" s="134" t="n">
        <v>-15429900000</v>
      </c>
      <c r="G301" s="134" t="n">
        <v>-26839500000</v>
      </c>
      <c r="H301" s="134" t="n">
        <v>1049700000</v>
      </c>
      <c r="I301" s="134" t="n">
        <v>4000000</v>
      </c>
      <c r="J301" s="134" t="n">
        <v>28917100000</v>
      </c>
      <c r="K301" s="134" t="n">
        <v>6594900000</v>
      </c>
      <c r="L301" s="134" t="n">
        <v>14466300000</v>
      </c>
    </row>
    <row r="302" customFormat="false" ht="15" hidden="false" customHeight="false" outlineLevel="0" collapsed="false">
      <c r="B302" s="132" t="s">
        <v>827</v>
      </c>
      <c r="C302" s="133" t="s">
        <v>828</v>
      </c>
      <c r="D302" s="134" t="n">
        <v>0</v>
      </c>
      <c r="E302" s="134" t="n">
        <v>0</v>
      </c>
      <c r="F302" s="134" t="n">
        <v>0</v>
      </c>
      <c r="G302" s="134" t="n">
        <v>0</v>
      </c>
      <c r="H302" s="134" t="n">
        <v>0</v>
      </c>
      <c r="I302" s="134" t="n">
        <v>0</v>
      </c>
      <c r="J302" s="134" t="n">
        <v>0</v>
      </c>
      <c r="K302" s="134" t="n">
        <v>1659800000</v>
      </c>
      <c r="L302" s="134" t="n">
        <v>3640900000</v>
      </c>
    </row>
    <row r="303" customFormat="false" ht="15" hidden="false" customHeight="false" outlineLevel="0" collapsed="false">
      <c r="B303" s="132" t="s">
        <v>829</v>
      </c>
      <c r="C303" s="133" t="s">
        <v>830</v>
      </c>
      <c r="D303" s="134" t="n">
        <v>-3154800000</v>
      </c>
      <c r="E303" s="134" t="n">
        <v>1352300000</v>
      </c>
      <c r="F303" s="134" t="n">
        <v>5391800000</v>
      </c>
      <c r="G303" s="134" t="n">
        <v>9378800000</v>
      </c>
      <c r="H303" s="134" t="n">
        <v>-366800000</v>
      </c>
      <c r="I303" s="134" t="n">
        <v>-1000000</v>
      </c>
      <c r="J303" s="134" t="n">
        <v>-7277900000</v>
      </c>
      <c r="K303" s="134" t="n">
        <v>0</v>
      </c>
      <c r="L303" s="134" t="n">
        <v>0</v>
      </c>
    </row>
    <row r="304" customFormat="false" ht="15" hidden="false" customHeight="false" outlineLevel="0" collapsed="false">
      <c r="B304" s="132" t="s">
        <v>831</v>
      </c>
      <c r="C304" s="133" t="s">
        <v>832</v>
      </c>
      <c r="D304" s="134" t="n">
        <v>63600000</v>
      </c>
      <c r="E304" s="134" t="n">
        <v>719200000</v>
      </c>
      <c r="F304" s="134" t="n">
        <v>214000000</v>
      </c>
      <c r="G304" s="134" t="n">
        <v>48800000</v>
      </c>
      <c r="H304" s="134" t="n">
        <v>747700000</v>
      </c>
      <c r="I304" s="134" t="n">
        <v>3382300000</v>
      </c>
      <c r="J304" s="134" t="n">
        <v>3253400000</v>
      </c>
      <c r="K304" s="134" t="n">
        <v>880800000</v>
      </c>
      <c r="L304" s="134" t="n">
        <v>1538900000</v>
      </c>
    </row>
    <row r="305" customFormat="false" ht="15" hidden="false" customHeight="false" outlineLevel="0" collapsed="false">
      <c r="B305" s="132" t="s">
        <v>833</v>
      </c>
      <c r="C305" s="133" t="s">
        <v>834</v>
      </c>
      <c r="D305" s="134" t="n">
        <v>-4235700000</v>
      </c>
      <c r="E305" s="134" t="n">
        <v>478600000</v>
      </c>
      <c r="F305" s="134" t="n">
        <v>4130900000</v>
      </c>
      <c r="G305" s="134" t="n">
        <v>8504300000</v>
      </c>
      <c r="H305" s="134" t="n">
        <v>829400000</v>
      </c>
      <c r="I305" s="134" t="n">
        <v>-971500000</v>
      </c>
      <c r="J305" s="134" t="n">
        <v>-395000000</v>
      </c>
      <c r="K305" s="134" t="n">
        <v>49900000</v>
      </c>
      <c r="L305" s="134" t="n">
        <v>4122200000</v>
      </c>
    </row>
    <row r="306" customFormat="false" ht="15" hidden="false" customHeight="false" outlineLevel="0" collapsed="false">
      <c r="B306" s="132" t="s">
        <v>835</v>
      </c>
      <c r="C306" s="133" t="s">
        <v>836</v>
      </c>
      <c r="D306" s="134" t="n">
        <v>75700000</v>
      </c>
      <c r="E306" s="134" t="n">
        <v>-91200000</v>
      </c>
      <c r="F306" s="134" t="n">
        <v>-56000000</v>
      </c>
      <c r="G306" s="134" t="n">
        <v>-12200000</v>
      </c>
      <c r="H306" s="134" t="n">
        <v>-1200000</v>
      </c>
      <c r="I306" s="134" t="n">
        <v>-900000</v>
      </c>
      <c r="J306" s="134" t="n">
        <v>0</v>
      </c>
      <c r="K306" s="134" t="n">
        <v>0</v>
      </c>
      <c r="L306" s="134" t="n">
        <v>0</v>
      </c>
    </row>
    <row r="307" customFormat="false" ht="15" hidden="false" customHeight="false" outlineLevel="0" collapsed="false">
      <c r="B307" s="132" t="s">
        <v>837</v>
      </c>
      <c r="C307" s="133" t="s">
        <v>838</v>
      </c>
      <c r="D307" s="134" t="n">
        <v>1058600000</v>
      </c>
      <c r="E307" s="134" t="n">
        <v>230100000</v>
      </c>
      <c r="F307" s="134" t="n">
        <v>983900000</v>
      </c>
      <c r="G307" s="134" t="n">
        <v>912300000</v>
      </c>
      <c r="H307" s="134" t="n">
        <v>-1896400000</v>
      </c>
      <c r="I307" s="134" t="n">
        <v>-745000000</v>
      </c>
      <c r="J307" s="134" t="n">
        <v>-10092100000</v>
      </c>
      <c r="K307" s="134" t="n">
        <v>-2599100000</v>
      </c>
      <c r="L307" s="134" t="n">
        <v>-15552000000</v>
      </c>
    </row>
    <row r="308" customFormat="false" ht="15" hidden="false" customHeight="false" outlineLevel="0" collapsed="false">
      <c r="B308" s="135" t="s">
        <v>803</v>
      </c>
      <c r="C308" s="133" t="s">
        <v>804</v>
      </c>
      <c r="D308" s="136" t="n">
        <v>117000000</v>
      </c>
      <c r="E308" s="136" t="n">
        <v>-15600000</v>
      </c>
      <c r="F308" s="136" t="n">
        <v>-119000000</v>
      </c>
      <c r="G308" s="136" t="n">
        <v>74400000</v>
      </c>
      <c r="H308" s="136" t="n">
        <v>46300000</v>
      </c>
      <c r="I308" s="136" t="n">
        <v>1665900000</v>
      </c>
      <c r="J308" s="136" t="n">
        <v>44200000</v>
      </c>
      <c r="K308" s="136" t="n">
        <v>-8600000</v>
      </c>
      <c r="L308" s="136" t="n">
        <v>-6250000000</v>
      </c>
    </row>
    <row r="310" customFormat="false" ht="15" hidden="false" customHeight="false" outlineLevel="0" collapsed="false">
      <c r="B310" s="63" t="s">
        <v>839</v>
      </c>
    </row>
    <row r="311" customFormat="false" ht="15" hidden="false" customHeight="false" outlineLevel="0" collapsed="false">
      <c r="B311" s="132" t="s">
        <v>825</v>
      </c>
      <c r="C311" s="133" t="s">
        <v>826</v>
      </c>
      <c r="D311" s="134" t="n">
        <v>9115900000</v>
      </c>
      <c r="E311" s="134" t="n">
        <v>-3907400000</v>
      </c>
      <c r="F311" s="134" t="n">
        <v>-15429900000</v>
      </c>
      <c r="G311" s="134" t="n">
        <v>-26839500000</v>
      </c>
      <c r="H311" s="134" t="n">
        <v>1049700000</v>
      </c>
      <c r="I311" s="134" t="n">
        <v>4000000</v>
      </c>
      <c r="J311" s="134" t="n">
        <v>28917100000</v>
      </c>
      <c r="K311" s="134" t="n">
        <v>6594900000</v>
      </c>
      <c r="L311" s="134" t="n">
        <v>14466300000</v>
      </c>
    </row>
    <row r="312" customFormat="false" ht="15" hidden="false" customHeight="false" outlineLevel="0" collapsed="false">
      <c r="B312" s="132" t="s">
        <v>840</v>
      </c>
      <c r="C312" s="133" t="s">
        <v>841</v>
      </c>
      <c r="D312" s="134" t="n">
        <v>0</v>
      </c>
      <c r="E312" s="134" t="n">
        <v>0</v>
      </c>
      <c r="F312" s="134" t="n">
        <v>0</v>
      </c>
      <c r="G312" s="134" t="n">
        <v>0</v>
      </c>
      <c r="H312" s="134" t="n">
        <v>0</v>
      </c>
      <c r="I312" s="134" t="n">
        <v>0</v>
      </c>
      <c r="J312" s="134" t="n">
        <v>0</v>
      </c>
      <c r="K312" s="134" t="n">
        <v>0</v>
      </c>
      <c r="L312" s="134" t="n">
        <v>0.2517</v>
      </c>
    </row>
    <row r="313" customFormat="false" ht="15" hidden="false" customHeight="false" outlineLevel="0" collapsed="false">
      <c r="B313" s="135" t="s">
        <v>842</v>
      </c>
      <c r="C313" s="133" t="s">
        <v>843</v>
      </c>
      <c r="D313" s="136" t="n">
        <v>0</v>
      </c>
      <c r="E313" s="136" t="n">
        <v>0</v>
      </c>
      <c r="F313" s="136" t="n">
        <v>0</v>
      </c>
      <c r="G313" s="136" t="n">
        <v>0</v>
      </c>
      <c r="H313" s="136" t="n">
        <v>0</v>
      </c>
      <c r="I313" s="136" t="n">
        <v>0</v>
      </c>
      <c r="J313" s="136" t="n">
        <v>0</v>
      </c>
      <c r="K313" s="136" t="n">
        <v>0</v>
      </c>
      <c r="L313" s="136" t="n">
        <v>0.2517</v>
      </c>
    </row>
    <row r="316" customFormat="false" ht="15" hidden="false" customHeight="false" outlineLevel="0" collapsed="false">
      <c r="A316" s="0" t="s">
        <v>26</v>
      </c>
      <c r="B316" s="63" t="s">
        <v>844</v>
      </c>
    </row>
    <row r="318" customFormat="false" ht="15" hidden="false" customHeight="false" outlineLevel="0" collapsed="false">
      <c r="C318" s="131" t="s">
        <v>568</v>
      </c>
      <c r="D318" s="13" t="s">
        <v>29</v>
      </c>
      <c r="E318" s="13" t="s">
        <v>30</v>
      </c>
      <c r="F318" s="13" t="s">
        <v>31</v>
      </c>
      <c r="G318" s="13" t="s">
        <v>32</v>
      </c>
      <c r="H318" s="13" t="s">
        <v>33</v>
      </c>
      <c r="I318" s="13" t="s">
        <v>34</v>
      </c>
      <c r="J318" s="13" t="s">
        <v>35</v>
      </c>
      <c r="K318" s="13" t="s">
        <v>36</v>
      </c>
      <c r="L318" s="13" t="s">
        <v>37</v>
      </c>
    </row>
    <row r="319" customFormat="false" ht="15" hidden="false" customHeight="false" outlineLevel="0" collapsed="false">
      <c r="B319" s="63" t="s">
        <v>845</v>
      </c>
    </row>
    <row r="320" customFormat="false" ht="15" hidden="false" customHeight="false" outlineLevel="0" collapsed="false">
      <c r="B320" s="137" t="s">
        <v>846</v>
      </c>
    </row>
    <row r="321" customFormat="false" ht="15" hidden="false" customHeight="false" outlineLevel="0" collapsed="false">
      <c r="B321" s="138" t="s">
        <v>770</v>
      </c>
      <c r="C321" s="133" t="s">
        <v>771</v>
      </c>
      <c r="D321" s="134" t="n">
        <v>111422000000</v>
      </c>
      <c r="E321" s="134" t="n">
        <v>66371900000</v>
      </c>
      <c r="F321" s="134" t="n">
        <v>49784600000</v>
      </c>
      <c r="G321" s="134" t="n">
        <v>10153800000</v>
      </c>
      <c r="H321" s="134" t="n">
        <v>14746800000</v>
      </c>
      <c r="I321" s="134" t="n">
        <v>42100500000</v>
      </c>
      <c r="J321" s="134" t="n">
        <v>41240400000</v>
      </c>
      <c r="K321" s="134" t="n">
        <v>60041100000</v>
      </c>
      <c r="L321" s="134" t="n">
        <v>103573800000</v>
      </c>
    </row>
    <row r="322" customFormat="false" ht="15" hidden="false" customHeight="false" outlineLevel="0" collapsed="false">
      <c r="B322" s="138" t="s">
        <v>773</v>
      </c>
      <c r="C322" s="133" t="s">
        <v>774</v>
      </c>
      <c r="D322" s="134" t="n">
        <v>15503300000</v>
      </c>
      <c r="E322" s="134" t="n">
        <v>16550600000</v>
      </c>
      <c r="F322" s="134" t="n">
        <v>0</v>
      </c>
      <c r="G322" s="134" t="n">
        <v>19178200000</v>
      </c>
      <c r="H322" s="134" t="n">
        <v>18199700000</v>
      </c>
      <c r="I322" s="134" t="n">
        <v>23099000000</v>
      </c>
      <c r="J322" s="134" t="n">
        <v>18228000000</v>
      </c>
      <c r="K322" s="134" t="n">
        <v>4927300000</v>
      </c>
      <c r="L322" s="134" t="n">
        <v>4939400000</v>
      </c>
    </row>
    <row r="323" customFormat="false" ht="15" hidden="false" customHeight="false" outlineLevel="0" collapsed="false">
      <c r="B323" s="145" t="s">
        <v>847</v>
      </c>
      <c r="C323" s="133" t="s">
        <v>848</v>
      </c>
      <c r="D323" s="136" t="n">
        <v>218400000</v>
      </c>
      <c r="E323" s="136" t="n">
        <v>415900000</v>
      </c>
      <c r="F323" s="136" t="n">
        <v>462300000</v>
      </c>
      <c r="G323" s="136" t="n">
        <v>396500000</v>
      </c>
      <c r="H323" s="136" t="n">
        <v>510700000</v>
      </c>
      <c r="I323" s="136" t="n">
        <v>618300000</v>
      </c>
      <c r="J323" s="136" t="n">
        <v>236900000</v>
      </c>
      <c r="K323" s="136" t="n">
        <v>322500000</v>
      </c>
      <c r="L323" s="136" t="n">
        <v>384200000</v>
      </c>
    </row>
    <row r="324" customFormat="false" ht="15" hidden="false" customHeight="false" outlineLevel="0" collapsed="false">
      <c r="B324" s="145" t="s">
        <v>849</v>
      </c>
      <c r="C324" s="133" t="s">
        <v>850</v>
      </c>
      <c r="D324" s="136" t="n">
        <v>127143700000</v>
      </c>
      <c r="E324" s="136" t="n">
        <v>83338400000</v>
      </c>
      <c r="F324" s="136" t="n">
        <v>50246900000</v>
      </c>
      <c r="G324" s="136" t="n">
        <v>29728500000</v>
      </c>
      <c r="H324" s="136" t="n">
        <v>33457200000</v>
      </c>
      <c r="I324" s="136" t="n">
        <v>65817800000</v>
      </c>
      <c r="J324" s="136" t="n">
        <v>59705300000</v>
      </c>
      <c r="K324" s="136" t="n">
        <v>65290900000</v>
      </c>
      <c r="L324" s="136" t="n">
        <v>108897400000</v>
      </c>
    </row>
    <row r="325" customFormat="false" ht="15" hidden="false" customHeight="false" outlineLevel="0" collapsed="false">
      <c r="B325" s="135" t="s">
        <v>113</v>
      </c>
      <c r="C325" s="133" t="s">
        <v>569</v>
      </c>
      <c r="D325" s="136" t="n">
        <v>127143700000</v>
      </c>
      <c r="E325" s="136" t="n">
        <v>83338400000</v>
      </c>
      <c r="F325" s="136" t="n">
        <v>50246900000</v>
      </c>
      <c r="G325" s="136" t="n">
        <v>29728500000</v>
      </c>
      <c r="H325" s="136" t="n">
        <v>33457200000</v>
      </c>
      <c r="I325" s="136" t="n">
        <v>65817800000</v>
      </c>
      <c r="J325" s="136" t="n">
        <v>59705300000</v>
      </c>
      <c r="K325" s="136" t="n">
        <v>65290900000</v>
      </c>
      <c r="L325" s="136" t="n">
        <v>108897400000</v>
      </c>
    </row>
    <row r="327" customFormat="false" ht="15" hidden="false" customHeight="false" outlineLevel="0" collapsed="false">
      <c r="B327" s="63" t="s">
        <v>851</v>
      </c>
    </row>
    <row r="328" customFormat="false" ht="15" hidden="false" customHeight="false" outlineLevel="0" collapsed="false">
      <c r="B328" s="137" t="s">
        <v>852</v>
      </c>
    </row>
    <row r="329" customFormat="false" ht="15" hidden="false" customHeight="false" outlineLevel="0" collapsed="false">
      <c r="B329" s="138" t="s">
        <v>853</v>
      </c>
      <c r="C329" s="133" t="s">
        <v>854</v>
      </c>
      <c r="D329" s="134" t="n">
        <v>218400000</v>
      </c>
      <c r="E329" s="134" t="n">
        <v>415900000</v>
      </c>
      <c r="F329" s="134" t="n">
        <v>462300000</v>
      </c>
      <c r="G329" s="134" t="n">
        <v>396500000</v>
      </c>
      <c r="H329" s="134" t="n">
        <v>510700000</v>
      </c>
      <c r="I329" s="134" t="n">
        <v>618300000</v>
      </c>
      <c r="J329" s="134" t="n">
        <v>236900000</v>
      </c>
      <c r="K329" s="134" t="n">
        <v>322500000</v>
      </c>
      <c r="L329" s="134" t="n">
        <v>384200000</v>
      </c>
    </row>
    <row r="330" customFormat="false" ht="15" hidden="false" customHeight="false" outlineLevel="0" collapsed="false">
      <c r="B330" s="145" t="s">
        <v>847</v>
      </c>
      <c r="C330" s="133" t="s">
        <v>848</v>
      </c>
      <c r="D330" s="136" t="n">
        <v>218400000</v>
      </c>
      <c r="E330" s="136" t="n">
        <v>415900000</v>
      </c>
      <c r="F330" s="136" t="n">
        <v>462300000</v>
      </c>
      <c r="G330" s="136" t="n">
        <v>396500000</v>
      </c>
      <c r="H330" s="136" t="n">
        <v>510700000</v>
      </c>
      <c r="I330" s="136" t="n">
        <v>618300000</v>
      </c>
      <c r="J330" s="136" t="n">
        <v>236900000</v>
      </c>
      <c r="K330" s="136" t="n">
        <v>322500000</v>
      </c>
      <c r="L330" s="136" t="n">
        <v>384200000</v>
      </c>
    </row>
    <row r="331" customFormat="false" ht="15" hidden="false" customHeight="false" outlineLevel="0" collapsed="false">
      <c r="B331" s="139" t="s">
        <v>855</v>
      </c>
    </row>
    <row r="332" customFormat="false" ht="15" hidden="false" customHeight="false" outlineLevel="0" collapsed="false">
      <c r="B332" s="141" t="s">
        <v>856</v>
      </c>
    </row>
    <row r="333" customFormat="false" ht="15" hidden="false" customHeight="false" outlineLevel="0" collapsed="false">
      <c r="B333" s="142" t="s">
        <v>853</v>
      </c>
      <c r="C333" s="133" t="s">
        <v>854</v>
      </c>
      <c r="D333" s="134" t="n">
        <v>218400000</v>
      </c>
      <c r="E333" s="134" t="n">
        <v>415900000</v>
      </c>
      <c r="F333" s="134" t="n">
        <v>462300000</v>
      </c>
      <c r="G333" s="134" t="n">
        <v>396500000</v>
      </c>
      <c r="H333" s="134" t="n">
        <v>510700000</v>
      </c>
      <c r="I333" s="134" t="n">
        <v>618300000</v>
      </c>
      <c r="J333" s="134" t="n">
        <v>236900000</v>
      </c>
      <c r="K333" s="134" t="n">
        <v>322500000</v>
      </c>
      <c r="L333" s="134" t="n">
        <v>384200000</v>
      </c>
    </row>
    <row r="335" customFormat="false" ht="15" hidden="false" customHeight="false" outlineLevel="0" collapsed="false">
      <c r="B335" s="63" t="s">
        <v>857</v>
      </c>
    </row>
    <row r="336" customFormat="false" ht="15" hidden="false" customHeight="false" outlineLevel="0" collapsed="false">
      <c r="B336" s="137" t="s">
        <v>858</v>
      </c>
    </row>
    <row r="337" customFormat="false" ht="15" hidden="false" customHeight="false" outlineLevel="0" collapsed="false">
      <c r="B337" s="139" t="s">
        <v>859</v>
      </c>
    </row>
    <row r="338" customFormat="false" ht="15" hidden="false" customHeight="false" outlineLevel="0" collapsed="false">
      <c r="B338" s="140" t="s">
        <v>860</v>
      </c>
      <c r="C338" s="133" t="s">
        <v>861</v>
      </c>
      <c r="D338" s="134" t="n">
        <v>203000000</v>
      </c>
      <c r="E338" s="134" t="n">
        <v>228200000</v>
      </c>
      <c r="F338" s="134" t="n">
        <v>240500000</v>
      </c>
      <c r="G338" s="134" t="n">
        <v>146900000</v>
      </c>
      <c r="H338" s="134" t="n">
        <v>61500000</v>
      </c>
      <c r="I338" s="134" t="n">
        <v>106500000</v>
      </c>
      <c r="J338" s="134" t="n">
        <v>112600000</v>
      </c>
      <c r="K338" s="134" t="n">
        <v>331900000</v>
      </c>
      <c r="L338" s="134" t="n">
        <v>808100000</v>
      </c>
    </row>
    <row r="339" customFormat="false" ht="15" hidden="false" customHeight="false" outlineLevel="0" collapsed="false">
      <c r="B339" s="140" t="s">
        <v>862</v>
      </c>
      <c r="C339" s="133" t="s">
        <v>863</v>
      </c>
      <c r="D339" s="134" t="n">
        <v>59700000</v>
      </c>
      <c r="E339" s="134" t="n">
        <v>5700000</v>
      </c>
      <c r="F339" s="134" t="n">
        <v>5900000</v>
      </c>
      <c r="G339" s="134" t="n">
        <v>20300000</v>
      </c>
      <c r="H339" s="134" t="n">
        <v>20200000</v>
      </c>
      <c r="I339" s="134" t="n">
        <v>16200000</v>
      </c>
      <c r="J339" s="134" t="n">
        <v>0</v>
      </c>
      <c r="K339" s="134" t="n">
        <v>0</v>
      </c>
      <c r="L339" s="134" t="n">
        <v>0</v>
      </c>
    </row>
    <row r="340" customFormat="false" ht="15" hidden="false" customHeight="false" outlineLevel="0" collapsed="false">
      <c r="B340" s="140" t="s">
        <v>864</v>
      </c>
      <c r="C340" s="133" t="s">
        <v>865</v>
      </c>
      <c r="D340" s="134" t="n">
        <v>397400000</v>
      </c>
      <c r="E340" s="134" t="n">
        <v>400800000</v>
      </c>
      <c r="F340" s="134" t="n">
        <v>244900000</v>
      </c>
      <c r="G340" s="134" t="n">
        <v>104300000</v>
      </c>
      <c r="H340" s="134" t="n">
        <v>112700000</v>
      </c>
      <c r="I340" s="134" t="n">
        <v>95000000</v>
      </c>
      <c r="J340" s="134" t="n">
        <v>80400000</v>
      </c>
      <c r="K340" s="134" t="n">
        <v>38700000</v>
      </c>
      <c r="L340" s="134" t="n">
        <v>129100000</v>
      </c>
    </row>
    <row r="341" customFormat="false" ht="15" hidden="false" customHeight="false" outlineLevel="0" collapsed="false">
      <c r="B341" s="143" t="s">
        <v>866</v>
      </c>
      <c r="C341" s="133" t="s">
        <v>867</v>
      </c>
      <c r="D341" s="136" t="n">
        <v>660100000</v>
      </c>
      <c r="E341" s="136" t="n">
        <v>634700000</v>
      </c>
      <c r="F341" s="136" t="n">
        <v>491300000</v>
      </c>
      <c r="G341" s="136" t="n">
        <v>271500000</v>
      </c>
      <c r="H341" s="136" t="n">
        <v>194400000</v>
      </c>
      <c r="I341" s="136" t="n">
        <v>217700000</v>
      </c>
      <c r="J341" s="136" t="n">
        <v>193000000</v>
      </c>
      <c r="K341" s="136" t="n">
        <v>370600000</v>
      </c>
      <c r="L341" s="136" t="n">
        <v>937200000</v>
      </c>
    </row>
    <row r="342" customFormat="false" ht="15" hidden="false" customHeight="false" outlineLevel="0" collapsed="false">
      <c r="B342" s="145" t="s">
        <v>868</v>
      </c>
      <c r="C342" s="133" t="s">
        <v>869</v>
      </c>
      <c r="D342" s="136" t="n">
        <v>660100000</v>
      </c>
      <c r="E342" s="136" t="n">
        <v>634700000</v>
      </c>
      <c r="F342" s="136" t="n">
        <v>491300000</v>
      </c>
      <c r="G342" s="136" t="n">
        <v>271500000</v>
      </c>
      <c r="H342" s="136" t="n">
        <v>194400000</v>
      </c>
      <c r="I342" s="136" t="n">
        <v>217700000</v>
      </c>
      <c r="J342" s="136" t="n">
        <v>193000000</v>
      </c>
      <c r="K342" s="136" t="n">
        <v>370600000</v>
      </c>
      <c r="L342" s="136" t="n">
        <v>937200000</v>
      </c>
    </row>
    <row r="343" customFormat="false" ht="15" hidden="false" customHeight="false" outlineLevel="0" collapsed="false">
      <c r="B343" s="137" t="s">
        <v>870</v>
      </c>
    </row>
    <row r="344" customFormat="false" ht="15" hidden="false" customHeight="false" outlineLevel="0" collapsed="false">
      <c r="B344" s="138" t="s">
        <v>871</v>
      </c>
      <c r="C344" s="133" t="s">
        <v>872</v>
      </c>
      <c r="D344" s="134" t="n">
        <v>216600000</v>
      </c>
      <c r="E344" s="134" t="n">
        <v>141900000</v>
      </c>
      <c r="F344" s="134" t="n">
        <v>2800000</v>
      </c>
      <c r="G344" s="134" t="n">
        <v>0</v>
      </c>
      <c r="H344" s="134" t="n">
        <v>0</v>
      </c>
      <c r="I344" s="134" t="n">
        <v>0</v>
      </c>
      <c r="J344" s="134" t="n">
        <v>0</v>
      </c>
      <c r="K344" s="134" t="n">
        <v>0</v>
      </c>
      <c r="L344" s="134" t="n">
        <v>0</v>
      </c>
    </row>
    <row r="345" customFormat="false" ht="15" hidden="false" customHeight="false" outlineLevel="0" collapsed="false">
      <c r="B345" s="145" t="s">
        <v>873</v>
      </c>
      <c r="C345" s="133" t="s">
        <v>874</v>
      </c>
      <c r="D345" s="136" t="n">
        <v>216600000</v>
      </c>
      <c r="E345" s="136" t="n">
        <v>141900000</v>
      </c>
      <c r="F345" s="136" t="n">
        <v>2800000</v>
      </c>
      <c r="G345" s="136" t="n">
        <v>0</v>
      </c>
      <c r="H345" s="136" t="n">
        <v>0</v>
      </c>
      <c r="I345" s="136" t="n">
        <v>0</v>
      </c>
      <c r="J345" s="136" t="n">
        <v>0</v>
      </c>
      <c r="K345" s="136" t="n">
        <v>0</v>
      </c>
      <c r="L345" s="136" t="n">
        <v>0</v>
      </c>
    </row>
    <row r="346" customFormat="false" ht="15" hidden="false" customHeight="false" outlineLevel="0" collapsed="false">
      <c r="B346" s="137" t="s">
        <v>875</v>
      </c>
    </row>
    <row r="347" customFormat="false" ht="15" hidden="false" customHeight="false" outlineLevel="0" collapsed="false">
      <c r="B347" s="138" t="s">
        <v>876</v>
      </c>
      <c r="C347" s="133" t="s">
        <v>877</v>
      </c>
      <c r="D347" s="134" t="n">
        <v>11500000</v>
      </c>
      <c r="E347" s="134" t="n">
        <v>12400000</v>
      </c>
      <c r="F347" s="134" t="n">
        <v>0</v>
      </c>
      <c r="G347" s="134" t="n">
        <v>0</v>
      </c>
      <c r="H347" s="134" t="n">
        <v>0</v>
      </c>
      <c r="I347" s="134" t="n">
        <v>0</v>
      </c>
      <c r="J347" s="134" t="n">
        <v>0</v>
      </c>
      <c r="K347" s="134" t="n">
        <v>0</v>
      </c>
      <c r="L347" s="134" t="n">
        <v>0</v>
      </c>
    </row>
    <row r="348" customFormat="false" ht="15" hidden="false" customHeight="false" outlineLevel="0" collapsed="false">
      <c r="B348" s="138" t="s">
        <v>878</v>
      </c>
      <c r="C348" s="133" t="s">
        <v>879</v>
      </c>
      <c r="D348" s="134" t="n">
        <v>0</v>
      </c>
      <c r="E348" s="134" t="n">
        <v>2700000</v>
      </c>
      <c r="F348" s="134" t="n">
        <v>5400000</v>
      </c>
      <c r="G348" s="134" t="n">
        <v>4200000</v>
      </c>
      <c r="H348" s="134" t="n">
        <v>4300000</v>
      </c>
      <c r="I348" s="134" t="n">
        <v>4200000</v>
      </c>
      <c r="J348" s="134" t="n">
        <v>3300000</v>
      </c>
      <c r="K348" s="134" t="n">
        <v>13600000</v>
      </c>
      <c r="L348" s="134" t="n">
        <v>96700000</v>
      </c>
    </row>
    <row r="349" customFormat="false" ht="15" hidden="false" customHeight="false" outlineLevel="0" collapsed="false">
      <c r="B349" s="145" t="s">
        <v>880</v>
      </c>
      <c r="C349" s="133" t="s">
        <v>881</v>
      </c>
      <c r="D349" s="136" t="n">
        <v>11500000</v>
      </c>
      <c r="E349" s="136" t="n">
        <v>15100000</v>
      </c>
      <c r="F349" s="136" t="n">
        <v>5400000</v>
      </c>
      <c r="G349" s="136" t="n">
        <v>4200000</v>
      </c>
      <c r="H349" s="136" t="n">
        <v>4300000</v>
      </c>
      <c r="I349" s="136" t="n">
        <v>4200000</v>
      </c>
      <c r="J349" s="136" t="n">
        <v>3300000</v>
      </c>
      <c r="K349" s="136" t="n">
        <v>13600000</v>
      </c>
      <c r="L349" s="136" t="n">
        <v>96700000</v>
      </c>
    </row>
    <row r="350" customFormat="false" ht="15" hidden="false" customHeight="false" outlineLevel="0" collapsed="false">
      <c r="B350" s="135" t="s">
        <v>114</v>
      </c>
      <c r="C350" s="133" t="s">
        <v>570</v>
      </c>
      <c r="D350" s="136" t="n">
        <v>888200000</v>
      </c>
      <c r="E350" s="136" t="n">
        <v>791700000</v>
      </c>
      <c r="F350" s="136" t="n">
        <v>499500000</v>
      </c>
      <c r="G350" s="136" t="n">
        <v>275700000</v>
      </c>
      <c r="H350" s="136" t="n">
        <v>198700000</v>
      </c>
      <c r="I350" s="136" t="n">
        <v>221900000</v>
      </c>
      <c r="J350" s="136" t="n">
        <v>196300000</v>
      </c>
      <c r="K350" s="136" t="n">
        <v>384200000</v>
      </c>
      <c r="L350" s="136" t="n">
        <v>1033900000</v>
      </c>
    </row>
    <row r="352" customFormat="false" ht="15" hidden="false" customHeight="false" outlineLevel="0" collapsed="false">
      <c r="B352" s="63" t="s">
        <v>882</v>
      </c>
    </row>
    <row r="353" customFormat="false" ht="15" hidden="false" customHeight="false" outlineLevel="0" collapsed="false">
      <c r="B353" s="137" t="s">
        <v>883</v>
      </c>
    </row>
    <row r="354" customFormat="false" ht="15" hidden="false" customHeight="false" outlineLevel="0" collapsed="false">
      <c r="B354" s="138" t="s">
        <v>884</v>
      </c>
      <c r="C354" s="133" t="s">
        <v>885</v>
      </c>
      <c r="D354" s="134" t="n">
        <v>11065100000</v>
      </c>
      <c r="E354" s="134" t="n">
        <v>11055900000</v>
      </c>
      <c r="F354" s="134" t="n">
        <v>11789800000</v>
      </c>
      <c r="G354" s="134" t="n">
        <v>12901300000</v>
      </c>
      <c r="H354" s="134" t="n">
        <v>9573700000</v>
      </c>
      <c r="I354" s="134" t="n">
        <v>7025700000</v>
      </c>
      <c r="J354" s="134" t="n">
        <v>3829700000</v>
      </c>
      <c r="K354" s="134" t="n">
        <v>1056500000</v>
      </c>
      <c r="L354" s="134" t="n">
        <v>1056800000</v>
      </c>
    </row>
    <row r="355" customFormat="false" ht="15" hidden="false" customHeight="false" outlineLevel="0" collapsed="false">
      <c r="B355" s="145" t="s">
        <v>886</v>
      </c>
      <c r="C355" s="133" t="s">
        <v>887</v>
      </c>
      <c r="D355" s="136" t="n">
        <v>11065100000</v>
      </c>
      <c r="E355" s="136" t="n">
        <v>11055900000</v>
      </c>
      <c r="F355" s="136" t="n">
        <v>11789800000</v>
      </c>
      <c r="G355" s="136" t="n">
        <v>12901300000</v>
      </c>
      <c r="H355" s="136" t="n">
        <v>9573700000</v>
      </c>
      <c r="I355" s="136" t="n">
        <v>7025700000</v>
      </c>
      <c r="J355" s="136" t="n">
        <v>3829700000</v>
      </c>
      <c r="K355" s="136" t="n">
        <v>1056500000</v>
      </c>
      <c r="L355" s="136" t="n">
        <v>1056800000</v>
      </c>
    </row>
    <row r="356" customFormat="false" ht="15" hidden="false" customHeight="false" outlineLevel="0" collapsed="false">
      <c r="B356" s="132" t="s">
        <v>888</v>
      </c>
      <c r="C356" s="133" t="s">
        <v>889</v>
      </c>
      <c r="D356" s="134" t="n">
        <v>1704300000</v>
      </c>
      <c r="E356" s="134" t="n">
        <v>4584300000</v>
      </c>
      <c r="F356" s="134" t="n">
        <v>851600000</v>
      </c>
      <c r="G356" s="134" t="n">
        <v>763000000</v>
      </c>
      <c r="H356" s="134" t="n">
        <v>383600000</v>
      </c>
      <c r="I356" s="134" t="n">
        <v>319000000</v>
      </c>
      <c r="J356" s="134" t="n">
        <v>377900000</v>
      </c>
      <c r="K356" s="134" t="n">
        <v>586700000</v>
      </c>
      <c r="L356" s="134" t="n">
        <v>1491200000</v>
      </c>
    </row>
    <row r="357" customFormat="false" ht="15" hidden="false" customHeight="false" outlineLevel="0" collapsed="false">
      <c r="B357" s="132" t="s">
        <v>890</v>
      </c>
      <c r="C357" s="133" t="s">
        <v>891</v>
      </c>
      <c r="D357" s="134" t="n">
        <v>106500000</v>
      </c>
      <c r="E357" s="134" t="n">
        <v>169600000</v>
      </c>
      <c r="F357" s="134" t="n">
        <v>57700000</v>
      </c>
      <c r="G357" s="134" t="n">
        <v>8600000</v>
      </c>
      <c r="H357" s="134" t="n">
        <v>5300000</v>
      </c>
      <c r="I357" s="134" t="n">
        <v>500000</v>
      </c>
      <c r="J357" s="134" t="n">
        <v>0</v>
      </c>
      <c r="K357" s="134" t="n">
        <v>0</v>
      </c>
      <c r="L357" s="134" t="n">
        <v>0</v>
      </c>
    </row>
    <row r="358" customFormat="false" ht="15" hidden="false" customHeight="false" outlineLevel="0" collapsed="false">
      <c r="B358" s="135" t="s">
        <v>126</v>
      </c>
      <c r="C358" s="133" t="s">
        <v>578</v>
      </c>
      <c r="D358" s="136" t="n">
        <v>12875900000</v>
      </c>
      <c r="E358" s="136" t="n">
        <v>15809800000</v>
      </c>
      <c r="F358" s="136" t="n">
        <v>12699100000</v>
      </c>
      <c r="G358" s="136" t="n">
        <v>13672900000</v>
      </c>
      <c r="H358" s="136" t="n">
        <v>9962600000</v>
      </c>
      <c r="I358" s="136" t="n">
        <v>7345200000</v>
      </c>
      <c r="J358" s="136" t="n">
        <v>4207600000</v>
      </c>
      <c r="K358" s="136" t="n">
        <v>1643200000</v>
      </c>
      <c r="L358" s="136" t="n">
        <v>2548000000</v>
      </c>
    </row>
    <row r="360" customFormat="false" ht="15" hidden="false" customHeight="false" outlineLevel="0" collapsed="false">
      <c r="B360" s="63" t="s">
        <v>892</v>
      </c>
    </row>
    <row r="361" customFormat="false" ht="15" hidden="false" customHeight="false" outlineLevel="0" collapsed="false">
      <c r="B361" s="132" t="s">
        <v>893</v>
      </c>
      <c r="C361" s="133" t="s">
        <v>894</v>
      </c>
      <c r="D361" s="134" t="n">
        <v>8943900000</v>
      </c>
      <c r="E361" s="134" t="n">
        <v>6907000000</v>
      </c>
      <c r="F361" s="134" t="n">
        <v>7633400000</v>
      </c>
      <c r="G361" s="134" t="n">
        <v>6994800000</v>
      </c>
      <c r="H361" s="134" t="n">
        <v>4927700000</v>
      </c>
      <c r="I361" s="134" t="n">
        <v>4883100000</v>
      </c>
      <c r="J361" s="134" t="n">
        <v>5433600000</v>
      </c>
      <c r="K361" s="134" t="n">
        <v>5906900000</v>
      </c>
      <c r="L361" s="134" t="n">
        <v>7284800000</v>
      </c>
    </row>
    <row r="362" customFormat="false" ht="15" hidden="false" customHeight="false" outlineLevel="0" collapsed="false">
      <c r="B362" s="137" t="s">
        <v>895</v>
      </c>
    </row>
    <row r="363" customFormat="false" ht="15" hidden="false" customHeight="false" outlineLevel="0" collapsed="false">
      <c r="B363" s="138" t="s">
        <v>896</v>
      </c>
      <c r="C363" s="133" t="s">
        <v>897</v>
      </c>
      <c r="D363" s="134" t="n">
        <v>778600000</v>
      </c>
      <c r="E363" s="134" t="n">
        <v>799900000</v>
      </c>
      <c r="F363" s="134" t="n">
        <v>786000000</v>
      </c>
      <c r="G363" s="134" t="n">
        <v>737700000</v>
      </c>
      <c r="H363" s="134" t="n">
        <v>425100000</v>
      </c>
      <c r="I363" s="134" t="n">
        <v>314000000</v>
      </c>
      <c r="J363" s="134" t="n">
        <v>237800000</v>
      </c>
      <c r="K363" s="134" t="n">
        <v>265600000</v>
      </c>
      <c r="L363" s="134" t="n">
        <v>310800000</v>
      </c>
    </row>
    <row r="364" customFormat="false" ht="15" hidden="false" customHeight="false" outlineLevel="0" collapsed="false">
      <c r="B364" s="145" t="s">
        <v>898</v>
      </c>
      <c r="C364" s="133" t="s">
        <v>899</v>
      </c>
      <c r="D364" s="136" t="n">
        <v>778600000</v>
      </c>
      <c r="E364" s="136" t="n">
        <v>799900000</v>
      </c>
      <c r="F364" s="136" t="n">
        <v>786000000</v>
      </c>
      <c r="G364" s="136" t="n">
        <v>737700000</v>
      </c>
      <c r="H364" s="136" t="n">
        <v>425100000</v>
      </c>
      <c r="I364" s="136" t="n">
        <v>314000000</v>
      </c>
      <c r="J364" s="136" t="n">
        <v>237800000</v>
      </c>
      <c r="K364" s="136" t="n">
        <v>265600000</v>
      </c>
      <c r="L364" s="136" t="n">
        <v>310800000</v>
      </c>
    </row>
    <row r="365" customFormat="false" ht="15" hidden="false" customHeight="false" outlineLevel="0" collapsed="false">
      <c r="B365" s="137" t="s">
        <v>900</v>
      </c>
    </row>
    <row r="366" customFormat="false" ht="15" hidden="false" customHeight="false" outlineLevel="0" collapsed="false">
      <c r="B366" s="138" t="s">
        <v>901</v>
      </c>
      <c r="C366" s="133" t="s">
        <v>902</v>
      </c>
      <c r="D366" s="134" t="n">
        <v>192800000</v>
      </c>
      <c r="E366" s="134" t="n">
        <v>0</v>
      </c>
      <c r="F366" s="134" t="n">
        <v>0</v>
      </c>
      <c r="G366" s="134" t="n">
        <v>0</v>
      </c>
      <c r="H366" s="134" t="n">
        <v>0</v>
      </c>
      <c r="I366" s="134" t="n">
        <v>0</v>
      </c>
      <c r="J366" s="134" t="n">
        <v>0</v>
      </c>
      <c r="K366" s="134" t="n">
        <v>291400000</v>
      </c>
      <c r="L366" s="134" t="n">
        <v>1149500000</v>
      </c>
    </row>
    <row r="367" customFormat="false" ht="15" hidden="false" customHeight="false" outlineLevel="0" collapsed="false">
      <c r="B367" s="145" t="s">
        <v>903</v>
      </c>
      <c r="C367" s="133" t="s">
        <v>904</v>
      </c>
      <c r="D367" s="136" t="n">
        <v>192800000</v>
      </c>
      <c r="E367" s="136" t="n">
        <v>0</v>
      </c>
      <c r="F367" s="136" t="n">
        <v>0</v>
      </c>
      <c r="G367" s="136" t="n">
        <v>0</v>
      </c>
      <c r="H367" s="136" t="n">
        <v>0</v>
      </c>
      <c r="I367" s="136" t="n">
        <v>0</v>
      </c>
      <c r="J367" s="136" t="n">
        <v>0</v>
      </c>
      <c r="K367" s="136" t="n">
        <v>291400000</v>
      </c>
      <c r="L367" s="136" t="n">
        <v>1149500000</v>
      </c>
    </row>
    <row r="368" customFormat="false" ht="15" hidden="false" customHeight="false" outlineLevel="0" collapsed="false">
      <c r="B368" s="132" t="s">
        <v>905</v>
      </c>
      <c r="C368" s="133" t="s">
        <v>905</v>
      </c>
      <c r="D368" s="134" t="n">
        <v>75100000</v>
      </c>
      <c r="E368" s="134" t="n">
        <v>0</v>
      </c>
      <c r="F368" s="134" t="n">
        <v>0</v>
      </c>
      <c r="G368" s="134" t="n">
        <v>0</v>
      </c>
      <c r="H368" s="134" t="n">
        <v>0</v>
      </c>
      <c r="I368" s="134" t="n">
        <v>0</v>
      </c>
      <c r="J368" s="134" t="n">
        <v>115100000</v>
      </c>
      <c r="K368" s="134" t="n">
        <v>139900000</v>
      </c>
      <c r="L368" s="134" t="n">
        <v>139700000</v>
      </c>
    </row>
    <row r="369" customFormat="false" ht="15" hidden="false" customHeight="false" outlineLevel="0" collapsed="false">
      <c r="B369" s="132" t="s">
        <v>906</v>
      </c>
      <c r="C369" s="133" t="s">
        <v>907</v>
      </c>
      <c r="D369" s="134" t="n">
        <v>474400000</v>
      </c>
      <c r="E369" s="134" t="n">
        <v>339900000</v>
      </c>
      <c r="F369" s="134" t="n">
        <v>322200000</v>
      </c>
      <c r="G369" s="134" t="n">
        <v>230000000</v>
      </c>
      <c r="H369" s="134" t="n">
        <v>179300000</v>
      </c>
      <c r="I369" s="134" t="n">
        <v>256500000</v>
      </c>
      <c r="J369" s="134" t="n">
        <v>305700000</v>
      </c>
      <c r="K369" s="134" t="n">
        <v>425200000</v>
      </c>
      <c r="L369" s="134" t="n">
        <v>530500000</v>
      </c>
    </row>
    <row r="370" customFormat="false" ht="15" hidden="false" customHeight="false" outlineLevel="0" collapsed="false">
      <c r="B370" s="135" t="s">
        <v>576</v>
      </c>
      <c r="C370" s="133" t="s">
        <v>577</v>
      </c>
      <c r="D370" s="136" t="n">
        <v>10464800000</v>
      </c>
      <c r="E370" s="136" t="n">
        <v>8046800000</v>
      </c>
      <c r="F370" s="136" t="n">
        <v>8741600000</v>
      </c>
      <c r="G370" s="136" t="n">
        <v>7962500000</v>
      </c>
      <c r="H370" s="136" t="n">
        <v>5532100000</v>
      </c>
      <c r="I370" s="136" t="n">
        <v>5453600000</v>
      </c>
      <c r="J370" s="136" t="n">
        <v>6092200000</v>
      </c>
      <c r="K370" s="136" t="n">
        <v>7029000000</v>
      </c>
      <c r="L370" s="136" t="n">
        <v>9415300000</v>
      </c>
    </row>
    <row r="372" customFormat="false" ht="15" hidden="false" customHeight="false" outlineLevel="0" collapsed="false">
      <c r="B372" s="63" t="s">
        <v>908</v>
      </c>
    </row>
    <row r="373" customFormat="false" ht="15" hidden="false" customHeight="false" outlineLevel="0" collapsed="false">
      <c r="B373" s="132" t="s">
        <v>909</v>
      </c>
      <c r="C373" s="133" t="s">
        <v>910</v>
      </c>
      <c r="D373" s="134" t="n">
        <v>2348500000</v>
      </c>
      <c r="E373" s="134" t="n">
        <v>2363100000</v>
      </c>
      <c r="F373" s="134" t="n">
        <v>2453700000</v>
      </c>
      <c r="G373" s="134" t="n">
        <v>2538400000</v>
      </c>
      <c r="H373" s="134" t="n">
        <v>1183900000</v>
      </c>
      <c r="I373" s="134" t="n">
        <v>1209500000</v>
      </c>
      <c r="J373" s="134" t="n">
        <v>1418200000</v>
      </c>
      <c r="K373" s="134" t="n">
        <v>1192400000</v>
      </c>
      <c r="L373" s="134" t="n">
        <v>1659100000</v>
      </c>
    </row>
    <row r="374" customFormat="false" ht="15" hidden="false" customHeight="false" outlineLevel="0" collapsed="false">
      <c r="B374" s="132" t="s">
        <v>911</v>
      </c>
      <c r="C374" s="133" t="s">
        <v>912</v>
      </c>
      <c r="D374" s="134" t="n">
        <v>1541800000</v>
      </c>
      <c r="E374" s="134" t="n">
        <v>1053000000</v>
      </c>
      <c r="F374" s="134" t="n">
        <v>964800000</v>
      </c>
      <c r="G374" s="134" t="n">
        <v>1647700000</v>
      </c>
      <c r="H374" s="134" t="n">
        <v>1399900000</v>
      </c>
      <c r="I374" s="134" t="n">
        <v>1388900000</v>
      </c>
      <c r="J374" s="134" t="n">
        <v>1178600000</v>
      </c>
      <c r="K374" s="134" t="n">
        <v>703600000</v>
      </c>
      <c r="L374" s="134" t="n">
        <v>932800000</v>
      </c>
    </row>
    <row r="375" customFormat="false" ht="15" hidden="false" customHeight="false" outlineLevel="0" collapsed="false">
      <c r="B375" s="135" t="s">
        <v>579</v>
      </c>
      <c r="C375" s="133" t="s">
        <v>580</v>
      </c>
      <c r="D375" s="136" t="n">
        <v>3890300000</v>
      </c>
      <c r="E375" s="136" t="n">
        <v>3416100000</v>
      </c>
      <c r="F375" s="136" t="n">
        <v>3418500000</v>
      </c>
      <c r="G375" s="136" t="n">
        <v>4186100000</v>
      </c>
      <c r="H375" s="136" t="n">
        <v>2583800000</v>
      </c>
      <c r="I375" s="136" t="n">
        <v>2598400000</v>
      </c>
      <c r="J375" s="136" t="n">
        <v>2596800000</v>
      </c>
      <c r="K375" s="136" t="n">
        <v>1896000000</v>
      </c>
      <c r="L375" s="136" t="n">
        <v>2591900000</v>
      </c>
    </row>
    <row r="377" customFormat="false" ht="15" hidden="false" customHeight="false" outlineLevel="0" collapsed="false">
      <c r="B377" s="63" t="s">
        <v>913</v>
      </c>
    </row>
    <row r="378" customFormat="false" ht="15" hidden="false" customHeight="false" outlineLevel="0" collapsed="false">
      <c r="B378" s="132" t="s">
        <v>914</v>
      </c>
      <c r="C378" s="133" t="s">
        <v>915</v>
      </c>
      <c r="D378" s="134" t="n">
        <v>1824100000</v>
      </c>
      <c r="E378" s="134" t="n">
        <v>1239100000</v>
      </c>
      <c r="F378" s="134" t="n">
        <v>824100000</v>
      </c>
      <c r="G378" s="134" t="n">
        <v>413900000</v>
      </c>
      <c r="H378" s="134" t="n">
        <v>342500000</v>
      </c>
      <c r="I378" s="134" t="n">
        <v>889200000</v>
      </c>
      <c r="J378" s="134" t="n">
        <v>895400000</v>
      </c>
      <c r="K378" s="134" t="n">
        <v>953100000</v>
      </c>
      <c r="L378" s="134" t="n">
        <v>1485300000</v>
      </c>
    </row>
    <row r="379" customFormat="false" ht="15" hidden="false" customHeight="false" outlineLevel="0" collapsed="false">
      <c r="B379" s="132" t="s">
        <v>916</v>
      </c>
      <c r="C379" s="133" t="s">
        <v>917</v>
      </c>
      <c r="D379" s="134" t="n">
        <v>714400000</v>
      </c>
      <c r="E379" s="134" t="n">
        <v>593600000</v>
      </c>
      <c r="F379" s="134" t="n">
        <v>571000000</v>
      </c>
      <c r="G379" s="134" t="n">
        <v>610400000</v>
      </c>
      <c r="H379" s="134" t="n">
        <v>450500000</v>
      </c>
      <c r="I379" s="134" t="n">
        <v>575900000</v>
      </c>
      <c r="J379" s="134" t="n">
        <v>615400000</v>
      </c>
      <c r="K379" s="134" t="n">
        <v>587900000</v>
      </c>
      <c r="L379" s="134" t="n">
        <v>652900000</v>
      </c>
    </row>
    <row r="380" customFormat="false" ht="15" hidden="false" customHeight="false" outlineLevel="0" collapsed="false">
      <c r="B380" s="132" t="s">
        <v>918</v>
      </c>
      <c r="C380" s="133" t="s">
        <v>918</v>
      </c>
      <c r="D380" s="134" t="n">
        <v>784800000</v>
      </c>
      <c r="E380" s="134" t="n">
        <v>692400000</v>
      </c>
      <c r="F380" s="134" t="n">
        <v>628200000</v>
      </c>
      <c r="G380" s="134" t="n">
        <v>451800000</v>
      </c>
      <c r="H380" s="134" t="n">
        <v>362900000</v>
      </c>
      <c r="I380" s="134" t="n">
        <v>249100000</v>
      </c>
      <c r="J380" s="134" t="n">
        <v>235000000</v>
      </c>
      <c r="K380" s="134" t="n">
        <v>228800000</v>
      </c>
      <c r="L380" s="134" t="n">
        <v>315700000</v>
      </c>
    </row>
    <row r="381" customFormat="false" ht="15" hidden="false" customHeight="false" outlineLevel="0" collapsed="false">
      <c r="B381" s="132" t="s">
        <v>919</v>
      </c>
      <c r="C381" s="133" t="s">
        <v>920</v>
      </c>
      <c r="D381" s="134" t="n">
        <v>481000000</v>
      </c>
      <c r="E381" s="134" t="n">
        <v>390500000</v>
      </c>
      <c r="F381" s="134" t="n">
        <v>423400000</v>
      </c>
      <c r="G381" s="134" t="n">
        <v>290300000</v>
      </c>
      <c r="H381" s="134" t="n">
        <v>236700000</v>
      </c>
      <c r="I381" s="134" t="n">
        <v>333500000</v>
      </c>
      <c r="J381" s="134" t="n">
        <v>367500000</v>
      </c>
      <c r="K381" s="134" t="n">
        <v>467300000</v>
      </c>
      <c r="L381" s="134" t="n">
        <v>648100000</v>
      </c>
    </row>
    <row r="382" customFormat="false" ht="15" hidden="false" customHeight="false" outlineLevel="0" collapsed="false">
      <c r="B382" s="132" t="s">
        <v>921</v>
      </c>
      <c r="C382" s="133" t="s">
        <v>922</v>
      </c>
      <c r="D382" s="134" t="n">
        <v>116500000</v>
      </c>
      <c r="E382" s="134" t="n">
        <v>153800000</v>
      </c>
      <c r="F382" s="134" t="n">
        <v>191200000</v>
      </c>
      <c r="G382" s="134" t="n">
        <v>54600000</v>
      </c>
      <c r="H382" s="134" t="n">
        <v>13200000</v>
      </c>
      <c r="I382" s="134" t="n">
        <v>3700000</v>
      </c>
      <c r="J382" s="134" t="n">
        <v>12400000</v>
      </c>
      <c r="K382" s="134" t="n">
        <v>2700000</v>
      </c>
      <c r="L382" s="134" t="n">
        <v>5200000</v>
      </c>
    </row>
    <row r="383" customFormat="false" ht="15" hidden="false" customHeight="false" outlineLevel="0" collapsed="false">
      <c r="B383" s="132" t="s">
        <v>923</v>
      </c>
      <c r="C383" s="133" t="s">
        <v>923</v>
      </c>
      <c r="D383" s="134" t="n">
        <v>317100000</v>
      </c>
      <c r="E383" s="134" t="n">
        <v>254400000</v>
      </c>
      <c r="F383" s="134" t="n">
        <v>219100000</v>
      </c>
      <c r="G383" s="134" t="n">
        <v>210200000</v>
      </c>
      <c r="H383" s="134" t="n">
        <v>167700000</v>
      </c>
      <c r="I383" s="134" t="n">
        <v>196100000</v>
      </c>
      <c r="J383" s="134" t="n">
        <v>202600000</v>
      </c>
      <c r="K383" s="134" t="n">
        <v>231600000</v>
      </c>
      <c r="L383" s="134" t="n">
        <v>357700000</v>
      </c>
    </row>
    <row r="384" customFormat="false" ht="15" hidden="false" customHeight="false" outlineLevel="0" collapsed="false">
      <c r="B384" s="137" t="s">
        <v>924</v>
      </c>
    </row>
    <row r="385" customFormat="false" ht="15" hidden="false" customHeight="false" outlineLevel="0" collapsed="false">
      <c r="B385" s="138" t="s">
        <v>925</v>
      </c>
      <c r="C385" s="133" t="s">
        <v>926</v>
      </c>
      <c r="D385" s="134" t="n">
        <v>306800000</v>
      </c>
      <c r="E385" s="134" t="n">
        <v>124400000</v>
      </c>
      <c r="F385" s="134" t="n">
        <v>107500000</v>
      </c>
      <c r="G385" s="134" t="n">
        <v>151300000</v>
      </c>
      <c r="H385" s="134" t="n">
        <v>186200000</v>
      </c>
      <c r="I385" s="134" t="n">
        <v>92100000</v>
      </c>
      <c r="J385" s="134" t="n">
        <v>157100000</v>
      </c>
      <c r="K385" s="134" t="n">
        <v>120300000</v>
      </c>
      <c r="L385" s="134" t="n">
        <v>153100000</v>
      </c>
    </row>
    <row r="386" customFormat="false" ht="15" hidden="false" customHeight="false" outlineLevel="0" collapsed="false">
      <c r="B386" s="145" t="s">
        <v>927</v>
      </c>
      <c r="C386" s="133" t="s">
        <v>928</v>
      </c>
      <c r="D386" s="136" t="n">
        <v>306800000</v>
      </c>
      <c r="E386" s="136" t="n">
        <v>124400000</v>
      </c>
      <c r="F386" s="136" t="n">
        <v>107500000</v>
      </c>
      <c r="G386" s="136" t="n">
        <v>151300000</v>
      </c>
      <c r="H386" s="136" t="n">
        <v>186200000</v>
      </c>
      <c r="I386" s="136" t="n">
        <v>92100000</v>
      </c>
      <c r="J386" s="136" t="n">
        <v>157100000</v>
      </c>
      <c r="K386" s="136" t="n">
        <v>120300000</v>
      </c>
      <c r="L386" s="136" t="n">
        <v>153100000</v>
      </c>
    </row>
    <row r="387" customFormat="false" ht="15" hidden="false" customHeight="false" outlineLevel="0" collapsed="false">
      <c r="B387" s="132" t="s">
        <v>929</v>
      </c>
      <c r="C387" s="133" t="s">
        <v>930</v>
      </c>
      <c r="D387" s="134" t="n">
        <v>236700000</v>
      </c>
      <c r="E387" s="134" t="n">
        <v>800000</v>
      </c>
      <c r="F387" s="134" t="n">
        <v>283400000</v>
      </c>
      <c r="G387" s="134" t="n">
        <v>17900000</v>
      </c>
      <c r="H387" s="134" t="n">
        <v>59600000</v>
      </c>
      <c r="I387" s="134" t="n">
        <v>41300000</v>
      </c>
      <c r="J387" s="134" t="n">
        <v>72300000</v>
      </c>
      <c r="K387" s="134" t="n">
        <v>101900000</v>
      </c>
      <c r="L387" s="134" t="n">
        <v>55100000</v>
      </c>
    </row>
    <row r="388" customFormat="false" ht="15" hidden="false" customHeight="false" outlineLevel="0" collapsed="false">
      <c r="B388" s="132" t="s">
        <v>931</v>
      </c>
      <c r="C388" s="133" t="s">
        <v>932</v>
      </c>
      <c r="D388" s="134" t="n">
        <v>176300000</v>
      </c>
      <c r="E388" s="134" t="n">
        <v>167800000</v>
      </c>
      <c r="F388" s="134" t="n">
        <v>131200000</v>
      </c>
      <c r="G388" s="134" t="n">
        <v>119300000</v>
      </c>
      <c r="H388" s="134" t="n">
        <v>91600000</v>
      </c>
      <c r="I388" s="134" t="n">
        <v>82700000</v>
      </c>
      <c r="J388" s="134" t="n">
        <v>83000000</v>
      </c>
      <c r="K388" s="134" t="n">
        <v>99200000</v>
      </c>
      <c r="L388" s="134" t="n">
        <v>93000000</v>
      </c>
    </row>
    <row r="389" customFormat="false" ht="15" hidden="false" customHeight="false" outlineLevel="0" collapsed="false">
      <c r="B389" s="132" t="s">
        <v>933</v>
      </c>
      <c r="C389" s="133" t="s">
        <v>934</v>
      </c>
      <c r="D389" s="134" t="n">
        <v>1332100000</v>
      </c>
      <c r="E389" s="134" t="n">
        <v>1145300000</v>
      </c>
      <c r="F389" s="134" t="n">
        <v>1107000000</v>
      </c>
      <c r="G389" s="134" t="n">
        <v>789000000</v>
      </c>
      <c r="H389" s="134" t="n">
        <v>575800000</v>
      </c>
      <c r="I389" s="134" t="n">
        <v>670000000</v>
      </c>
      <c r="J389" s="134" t="n">
        <v>864400000</v>
      </c>
      <c r="K389" s="134" t="n">
        <v>984600000</v>
      </c>
      <c r="L389" s="134" t="n">
        <v>1165200000</v>
      </c>
    </row>
    <row r="390" customFormat="false" ht="15" hidden="false" customHeight="false" outlineLevel="0" collapsed="false">
      <c r="B390" s="132" t="s">
        <v>935</v>
      </c>
      <c r="C390" s="133" t="s">
        <v>936</v>
      </c>
      <c r="D390" s="134" t="n">
        <v>167000000</v>
      </c>
      <c r="E390" s="134" t="n">
        <v>139000000</v>
      </c>
      <c r="F390" s="134" t="n">
        <v>106100000</v>
      </c>
      <c r="G390" s="134" t="n">
        <v>20500000</v>
      </c>
      <c r="H390" s="134" t="n">
        <v>36700000</v>
      </c>
      <c r="I390" s="134" t="n">
        <v>54100000</v>
      </c>
      <c r="J390" s="134" t="n">
        <v>35500000</v>
      </c>
      <c r="K390" s="134" t="n">
        <v>107700000</v>
      </c>
      <c r="L390" s="134" t="n">
        <v>91300000</v>
      </c>
    </row>
    <row r="391" customFormat="false" ht="15" hidden="false" customHeight="false" outlineLevel="0" collapsed="false">
      <c r="B391" s="132" t="s">
        <v>937</v>
      </c>
      <c r="C391" s="133" t="s">
        <v>938</v>
      </c>
      <c r="D391" s="134" t="n">
        <v>190100000</v>
      </c>
      <c r="E391" s="134" t="n">
        <v>99100000</v>
      </c>
      <c r="F391" s="134" t="n">
        <v>94800000</v>
      </c>
      <c r="G391" s="134" t="n">
        <v>8700000</v>
      </c>
      <c r="H391" s="134" t="n">
        <v>12700000</v>
      </c>
      <c r="I391" s="134" t="n">
        <v>14900000</v>
      </c>
      <c r="J391" s="134" t="n">
        <v>32200000</v>
      </c>
      <c r="K391" s="134" t="n">
        <v>91700000</v>
      </c>
      <c r="L391" s="134" t="n">
        <v>235800000</v>
      </c>
    </row>
    <row r="392" customFormat="false" ht="15" hidden="false" customHeight="false" outlineLevel="0" collapsed="false">
      <c r="B392" s="132" t="s">
        <v>939</v>
      </c>
      <c r="C392" s="133" t="s">
        <v>940</v>
      </c>
      <c r="D392" s="134" t="n">
        <v>68800000</v>
      </c>
      <c r="E392" s="134" t="n">
        <v>127100000</v>
      </c>
      <c r="F392" s="134" t="n">
        <v>0</v>
      </c>
      <c r="G392" s="134" t="n">
        <v>0</v>
      </c>
      <c r="H392" s="134" t="n">
        <v>0</v>
      </c>
      <c r="I392" s="134" t="n">
        <v>0</v>
      </c>
      <c r="J392" s="134" t="n">
        <v>0</v>
      </c>
      <c r="K392" s="134" t="n">
        <v>0</v>
      </c>
      <c r="L392" s="134" t="n">
        <v>0</v>
      </c>
    </row>
    <row r="393" customFormat="false" ht="15" hidden="false" customHeight="false" outlineLevel="0" collapsed="false">
      <c r="B393" s="132" t="s">
        <v>941</v>
      </c>
      <c r="C393" s="133" t="s">
        <v>942</v>
      </c>
      <c r="D393" s="134" t="n">
        <v>3320400000</v>
      </c>
      <c r="E393" s="134" t="n">
        <v>1724100000</v>
      </c>
      <c r="F393" s="134" t="n">
        <v>789700000</v>
      </c>
      <c r="G393" s="134" t="n">
        <v>298700000</v>
      </c>
      <c r="H393" s="134" t="n">
        <v>358700000</v>
      </c>
      <c r="I393" s="134" t="n">
        <v>673000000</v>
      </c>
      <c r="J393" s="134" t="n">
        <v>146500000</v>
      </c>
      <c r="K393" s="134" t="n">
        <v>80300000</v>
      </c>
      <c r="L393" s="134" t="n">
        <v>396300000</v>
      </c>
    </row>
    <row r="394" customFormat="false" ht="15" hidden="false" customHeight="false" outlineLevel="0" collapsed="false">
      <c r="B394" s="132" t="s">
        <v>943</v>
      </c>
      <c r="C394" s="133" t="s">
        <v>944</v>
      </c>
      <c r="D394" s="134" t="n">
        <v>-201300000</v>
      </c>
      <c r="E394" s="134" t="n">
        <v>-263600000</v>
      </c>
      <c r="F394" s="134" t="n">
        <v>-147100000</v>
      </c>
      <c r="G394" s="134" t="n">
        <v>40000000</v>
      </c>
      <c r="H394" s="134" t="n">
        <v>24100000</v>
      </c>
      <c r="I394" s="134" t="n">
        <v>105300000</v>
      </c>
      <c r="J394" s="134" t="n">
        <v>13800000</v>
      </c>
      <c r="K394" s="134" t="n">
        <v>83100000</v>
      </c>
      <c r="L394" s="134" t="n">
        <v>62100000</v>
      </c>
    </row>
    <row r="395" customFormat="false" ht="15" hidden="false" customHeight="false" outlineLevel="0" collapsed="false">
      <c r="B395" s="137" t="s">
        <v>945</v>
      </c>
    </row>
    <row r="396" customFormat="false" ht="15" hidden="false" customHeight="false" outlineLevel="0" collapsed="false">
      <c r="B396" s="138" t="s">
        <v>946</v>
      </c>
      <c r="C396" s="133" t="s">
        <v>947</v>
      </c>
      <c r="D396" s="134" t="n">
        <v>43100000</v>
      </c>
      <c r="E396" s="134" t="n">
        <v>17600000</v>
      </c>
      <c r="F396" s="134" t="n">
        <v>31100000</v>
      </c>
      <c r="G396" s="134" t="n">
        <v>24100000</v>
      </c>
      <c r="H396" s="134" t="n">
        <v>28900000</v>
      </c>
      <c r="I396" s="134" t="n">
        <v>27700000</v>
      </c>
      <c r="J396" s="134" t="n">
        <v>23800000</v>
      </c>
      <c r="K396" s="134" t="n">
        <v>20800000</v>
      </c>
      <c r="L396" s="134" t="n">
        <v>23500000</v>
      </c>
    </row>
    <row r="397" customFormat="false" ht="15" hidden="false" customHeight="false" outlineLevel="0" collapsed="false">
      <c r="B397" s="145" t="s">
        <v>948</v>
      </c>
      <c r="C397" s="133" t="s">
        <v>949</v>
      </c>
      <c r="D397" s="136" t="n">
        <v>43100000</v>
      </c>
      <c r="E397" s="136" t="n">
        <v>17600000</v>
      </c>
      <c r="F397" s="136" t="n">
        <v>31100000</v>
      </c>
      <c r="G397" s="136" t="n">
        <v>24100000</v>
      </c>
      <c r="H397" s="136" t="n">
        <v>28900000</v>
      </c>
      <c r="I397" s="136" t="n">
        <v>27700000</v>
      </c>
      <c r="J397" s="136" t="n">
        <v>23800000</v>
      </c>
      <c r="K397" s="136" t="n">
        <v>20800000</v>
      </c>
      <c r="L397" s="136" t="n">
        <v>23500000</v>
      </c>
    </row>
    <row r="398" customFormat="false" ht="15" hidden="false" customHeight="false" outlineLevel="0" collapsed="false">
      <c r="B398" s="132" t="s">
        <v>950</v>
      </c>
      <c r="C398" s="133" t="s">
        <v>951</v>
      </c>
      <c r="D398" s="134" t="n">
        <v>5478100000</v>
      </c>
      <c r="E398" s="134" t="n">
        <v>6695800000</v>
      </c>
      <c r="F398" s="134" t="n">
        <v>5616500000</v>
      </c>
      <c r="G398" s="134" t="n">
        <v>7637300000</v>
      </c>
      <c r="H398" s="134" t="n">
        <v>3383500000</v>
      </c>
      <c r="I398" s="134" t="n">
        <v>3492800000</v>
      </c>
      <c r="J398" s="134" t="n">
        <v>3043200000</v>
      </c>
      <c r="K398" s="134" t="n">
        <v>3325300000</v>
      </c>
      <c r="L398" s="134" t="n">
        <v>5534200000</v>
      </c>
    </row>
    <row r="399" customFormat="false" ht="15" hidden="false" customHeight="false" outlineLevel="0" collapsed="false">
      <c r="B399" s="135" t="s">
        <v>122</v>
      </c>
      <c r="C399" s="133" t="s">
        <v>581</v>
      </c>
      <c r="D399" s="136" t="n">
        <v>16256100000</v>
      </c>
      <c r="E399" s="136" t="n">
        <v>14103900000</v>
      </c>
      <c r="F399" s="136" t="n">
        <v>11609300000</v>
      </c>
      <c r="G399" s="136" t="n">
        <v>11628200000</v>
      </c>
      <c r="H399" s="136" t="n">
        <v>6809600000</v>
      </c>
      <c r="I399" s="136" t="n">
        <v>8154100000</v>
      </c>
      <c r="J399" s="136" t="n">
        <v>7467300000</v>
      </c>
      <c r="K399" s="136" t="n">
        <v>8151800000</v>
      </c>
      <c r="L399" s="136" t="n">
        <v>12043800000</v>
      </c>
    </row>
    <row r="402" customFormat="false" ht="15" hidden="false" customHeight="false" outlineLevel="0" collapsed="false">
      <c r="B402" s="63" t="s">
        <v>952</v>
      </c>
    </row>
    <row r="403" customFormat="false" ht="15" hidden="false" customHeight="false" outlineLevel="0" collapsed="false">
      <c r="B403" s="132" t="s">
        <v>953</v>
      </c>
      <c r="C403" s="133" t="s">
        <v>954</v>
      </c>
      <c r="D403" s="134" t="n">
        <v>75700000</v>
      </c>
      <c r="E403" s="134" t="n">
        <v>-91200000</v>
      </c>
      <c r="F403" s="134" t="n">
        <v>-55900000</v>
      </c>
      <c r="G403" s="134" t="n">
        <v>7900000</v>
      </c>
      <c r="H403" s="134" t="n">
        <v>-21800000</v>
      </c>
      <c r="I403" s="134" t="n">
        <v>0</v>
      </c>
      <c r="J403" s="134" t="n">
        <v>0</v>
      </c>
      <c r="K403" s="134" t="n">
        <v>0</v>
      </c>
      <c r="L403" s="134" t="n">
        <v>0</v>
      </c>
    </row>
    <row r="404" customFormat="false" ht="15" hidden="false" customHeight="false" outlineLevel="0" collapsed="false">
      <c r="B404" s="132" t="s">
        <v>955</v>
      </c>
      <c r="C404" s="133" t="s">
        <v>956</v>
      </c>
      <c r="D404" s="134" t="n">
        <v>41300000</v>
      </c>
      <c r="E404" s="134" t="n">
        <v>75600000</v>
      </c>
      <c r="F404" s="134" t="n">
        <v>86800000</v>
      </c>
      <c r="G404" s="134" t="n">
        <v>66500000</v>
      </c>
      <c r="H404" s="134" t="n">
        <v>68100000</v>
      </c>
      <c r="I404" s="134" t="n">
        <v>1840700000</v>
      </c>
      <c r="J404" s="134" t="n">
        <v>46100000</v>
      </c>
      <c r="K404" s="134" t="n">
        <v>29000000</v>
      </c>
      <c r="L404" s="134" t="n">
        <v>144200000</v>
      </c>
    </row>
    <row r="405" customFormat="false" ht="15" hidden="false" customHeight="false" outlineLevel="0" collapsed="false">
      <c r="B405" s="135" t="s">
        <v>129</v>
      </c>
      <c r="C405" s="133" t="s">
        <v>589</v>
      </c>
      <c r="D405" s="136" t="n">
        <v>117000000</v>
      </c>
      <c r="E405" s="136" t="n">
        <v>-15600000</v>
      </c>
      <c r="F405" s="136" t="n">
        <v>30900000</v>
      </c>
      <c r="G405" s="136" t="n">
        <v>74400000</v>
      </c>
      <c r="H405" s="136" t="n">
        <v>46300000</v>
      </c>
      <c r="I405" s="136" t="n">
        <v>1840700000</v>
      </c>
      <c r="J405" s="136" t="n">
        <v>46100000</v>
      </c>
      <c r="K405" s="136" t="n">
        <v>29000000</v>
      </c>
      <c r="L405" s="136" t="n">
        <v>144200000</v>
      </c>
    </row>
    <row r="408" customFormat="false" ht="15" hidden="false" customHeight="false" outlineLevel="0" collapsed="false">
      <c r="B408" s="63" t="s">
        <v>957</v>
      </c>
    </row>
    <row r="409" customFormat="false" ht="15" hidden="false" customHeight="false" outlineLevel="0" collapsed="false">
      <c r="B409" s="132" t="s">
        <v>958</v>
      </c>
      <c r="C409" s="133" t="s">
        <v>959</v>
      </c>
      <c r="D409" s="134" t="n">
        <v>900100000</v>
      </c>
      <c r="E409" s="134" t="n">
        <v>802700000</v>
      </c>
      <c r="F409" s="134" t="n">
        <v>632100000</v>
      </c>
      <c r="G409" s="134" t="n">
        <v>490200000</v>
      </c>
      <c r="H409" s="134" t="n">
        <v>478300000</v>
      </c>
      <c r="I409" s="134" t="n">
        <v>652700000</v>
      </c>
      <c r="J409" s="134" t="n">
        <v>667200000</v>
      </c>
      <c r="K409" s="134" t="n">
        <v>665500000</v>
      </c>
      <c r="L409" s="134" t="n">
        <v>769300000</v>
      </c>
    </row>
    <row r="410" customFormat="false" ht="15" hidden="false" customHeight="false" outlineLevel="0" collapsed="false">
      <c r="B410" s="135" t="s">
        <v>960</v>
      </c>
      <c r="C410" s="133" t="s">
        <v>961</v>
      </c>
      <c r="D410" s="136" t="n">
        <v>900100000</v>
      </c>
      <c r="E410" s="136" t="n">
        <v>802700000</v>
      </c>
      <c r="F410" s="136" t="n">
        <v>632100000</v>
      </c>
      <c r="G410" s="136" t="n">
        <v>490200000</v>
      </c>
      <c r="H410" s="136" t="n">
        <v>478300000</v>
      </c>
      <c r="I410" s="136" t="n">
        <v>652700000</v>
      </c>
      <c r="J410" s="136" t="n">
        <v>667200000</v>
      </c>
      <c r="K410" s="136" t="n">
        <v>665500000</v>
      </c>
      <c r="L410" s="136" t="n">
        <v>769300000</v>
      </c>
    </row>
    <row r="413" customFormat="false" ht="15" hidden="false" customHeight="false" outlineLevel="0" collapsed="false">
      <c r="A413" s="0" t="s">
        <v>26</v>
      </c>
      <c r="B413" s="63" t="s">
        <v>962</v>
      </c>
    </row>
    <row r="415" customFormat="false" ht="15" hidden="false" customHeight="false" outlineLevel="0" collapsed="false">
      <c r="C415" s="131" t="s">
        <v>568</v>
      </c>
      <c r="D415" s="13" t="s">
        <v>29</v>
      </c>
      <c r="E415" s="13" t="s">
        <v>30</v>
      </c>
      <c r="F415" s="13" t="s">
        <v>31</v>
      </c>
      <c r="G415" s="13" t="s">
        <v>32</v>
      </c>
      <c r="H415" s="13" t="s">
        <v>33</v>
      </c>
      <c r="I415" s="13" t="s">
        <v>34</v>
      </c>
      <c r="J415" s="13" t="s">
        <v>35</v>
      </c>
      <c r="K415" s="13" t="s">
        <v>36</v>
      </c>
      <c r="L415" s="13" t="s">
        <v>37</v>
      </c>
    </row>
    <row r="416" customFormat="false" ht="15" hidden="false" customHeight="false" outlineLevel="0" collapsed="false">
      <c r="B416" s="63" t="s">
        <v>963</v>
      </c>
    </row>
    <row r="417" customFormat="false" ht="15" hidden="false" customHeight="false" outlineLevel="0" collapsed="false">
      <c r="B417" s="137" t="s">
        <v>964</v>
      </c>
    </row>
    <row r="418" customFormat="false" ht="15" hidden="false" customHeight="false" outlineLevel="0" collapsed="false">
      <c r="B418" s="139" t="s">
        <v>965</v>
      </c>
    </row>
    <row r="419" customFormat="false" ht="15" hidden="false" customHeight="false" outlineLevel="0" collapsed="false">
      <c r="B419" s="140" t="s">
        <v>966</v>
      </c>
      <c r="C419" s="133" t="s">
        <v>967</v>
      </c>
      <c r="D419" s="134" t="n">
        <v>3457700000</v>
      </c>
      <c r="E419" s="134" t="n">
        <v>3060000000</v>
      </c>
      <c r="F419" s="134" t="n">
        <v>1097500000</v>
      </c>
      <c r="G419" s="134" t="n">
        <v>1549900000</v>
      </c>
      <c r="H419" s="134" t="n">
        <v>1662600000</v>
      </c>
      <c r="I419" s="134" t="n">
        <v>1561500000</v>
      </c>
      <c r="J419" s="134" t="n">
        <v>1883200000</v>
      </c>
      <c r="K419" s="134" t="n">
        <v>1894400000</v>
      </c>
      <c r="L419" s="134" t="n">
        <v>2267600000</v>
      </c>
    </row>
    <row r="420" customFormat="false" ht="15" hidden="false" customHeight="false" outlineLevel="0" collapsed="false">
      <c r="B420" s="140" t="s">
        <v>968</v>
      </c>
      <c r="C420" s="133" t="s">
        <v>968</v>
      </c>
      <c r="D420" s="134" t="n">
        <v>0</v>
      </c>
      <c r="E420" s="134" t="n">
        <v>0</v>
      </c>
      <c r="F420" s="134" t="n">
        <v>0</v>
      </c>
      <c r="G420" s="134" t="n">
        <v>0</v>
      </c>
      <c r="H420" s="134" t="n">
        <v>0</v>
      </c>
      <c r="I420" s="134" t="n">
        <v>0</v>
      </c>
      <c r="J420" s="134" t="n">
        <v>0</v>
      </c>
      <c r="K420" s="134" t="n">
        <v>0</v>
      </c>
      <c r="L420" s="134" t="n">
        <v>94800000</v>
      </c>
    </row>
    <row r="421" customFormat="false" ht="15" hidden="false" customHeight="false" outlineLevel="0" collapsed="false">
      <c r="B421" s="140" t="s">
        <v>969</v>
      </c>
      <c r="C421" s="133" t="s">
        <v>970</v>
      </c>
      <c r="D421" s="134" t="n">
        <v>779800000</v>
      </c>
      <c r="E421" s="134" t="n">
        <v>1025600000</v>
      </c>
      <c r="F421" s="134" t="n">
        <v>2013500000</v>
      </c>
      <c r="G421" s="134" t="n">
        <v>2097800000</v>
      </c>
      <c r="H421" s="134" t="n">
        <v>15800000</v>
      </c>
      <c r="I421" s="134" t="n">
        <v>28500000</v>
      </c>
      <c r="J421" s="134" t="n">
        <v>33800000</v>
      </c>
      <c r="K421" s="134" t="n">
        <v>40600000</v>
      </c>
      <c r="L421" s="134" t="n">
        <v>0</v>
      </c>
    </row>
    <row r="422" customFormat="false" ht="15" hidden="false" customHeight="false" outlineLevel="0" collapsed="false">
      <c r="B422" s="143" t="s">
        <v>971</v>
      </c>
      <c r="C422" s="133" t="s">
        <v>972</v>
      </c>
      <c r="D422" s="136" t="n">
        <v>4237500000</v>
      </c>
      <c r="E422" s="136" t="n">
        <v>4085600000</v>
      </c>
      <c r="F422" s="136" t="n">
        <v>3111000000</v>
      </c>
      <c r="G422" s="136" t="n">
        <v>3647700000</v>
      </c>
      <c r="H422" s="136" t="n">
        <v>1678400000</v>
      </c>
      <c r="I422" s="136" t="n">
        <v>1590000000</v>
      </c>
      <c r="J422" s="136" t="n">
        <v>1917000000</v>
      </c>
      <c r="K422" s="136" t="n">
        <v>1935000000</v>
      </c>
      <c r="L422" s="136" t="n">
        <v>2362400000</v>
      </c>
    </row>
    <row r="423" customFormat="false" ht="15" hidden="false" customHeight="false" outlineLevel="0" collapsed="false">
      <c r="B423" s="139" t="s">
        <v>973</v>
      </c>
    </row>
    <row r="424" customFormat="false" ht="15" hidden="false" customHeight="false" outlineLevel="0" collapsed="false">
      <c r="B424" s="140" t="s">
        <v>974</v>
      </c>
      <c r="C424" s="133" t="s">
        <v>975</v>
      </c>
      <c r="D424" s="134" t="n">
        <v>1095700000</v>
      </c>
      <c r="E424" s="134" t="n">
        <v>754600000</v>
      </c>
      <c r="F424" s="134" t="n">
        <v>569000000</v>
      </c>
      <c r="G424" s="134" t="n">
        <v>196000000</v>
      </c>
      <c r="H424" s="134" t="n">
        <v>188700000</v>
      </c>
      <c r="I424" s="134" t="n">
        <v>267400000</v>
      </c>
      <c r="J424" s="134" t="n">
        <v>187900000</v>
      </c>
      <c r="K424" s="134" t="n">
        <v>299500000</v>
      </c>
      <c r="L424" s="134" t="n">
        <v>1488900000</v>
      </c>
    </row>
    <row r="425" customFormat="false" ht="15" hidden="false" customHeight="false" outlineLevel="0" collapsed="false">
      <c r="B425" s="140" t="s">
        <v>976</v>
      </c>
      <c r="C425" s="133" t="s">
        <v>977</v>
      </c>
      <c r="D425" s="134" t="n">
        <v>5163000000</v>
      </c>
      <c r="E425" s="134" t="n">
        <v>4050000000</v>
      </c>
      <c r="F425" s="134" t="n">
        <v>4050000000</v>
      </c>
      <c r="G425" s="134" t="n">
        <v>0</v>
      </c>
      <c r="H425" s="134" t="n">
        <v>0</v>
      </c>
      <c r="I425" s="134" t="n">
        <v>0</v>
      </c>
      <c r="J425" s="134" t="n">
        <v>0</v>
      </c>
      <c r="K425" s="134" t="n">
        <v>0</v>
      </c>
      <c r="L425" s="134" t="n">
        <v>0</v>
      </c>
    </row>
    <row r="426" customFormat="false" ht="15" hidden="false" customHeight="false" outlineLevel="0" collapsed="false">
      <c r="B426" s="143" t="s">
        <v>978</v>
      </c>
      <c r="C426" s="133" t="s">
        <v>979</v>
      </c>
      <c r="D426" s="136" t="n">
        <v>6258700000</v>
      </c>
      <c r="E426" s="136" t="n">
        <v>4804600000</v>
      </c>
      <c r="F426" s="136" t="n">
        <v>4619000000</v>
      </c>
      <c r="G426" s="136" t="n">
        <v>196000000</v>
      </c>
      <c r="H426" s="136" t="n">
        <v>188700000</v>
      </c>
      <c r="I426" s="136" t="n">
        <v>267400000</v>
      </c>
      <c r="J426" s="136" t="n">
        <v>187900000</v>
      </c>
      <c r="K426" s="136" t="n">
        <v>299500000</v>
      </c>
      <c r="L426" s="136" t="n">
        <v>1488900000</v>
      </c>
    </row>
    <row r="427" customFormat="false" ht="15" hidden="false" customHeight="false" outlineLevel="0" collapsed="false">
      <c r="B427" s="145" t="s">
        <v>980</v>
      </c>
      <c r="C427" s="133" t="s">
        <v>981</v>
      </c>
      <c r="D427" s="136" t="n">
        <v>10496200000</v>
      </c>
      <c r="E427" s="136" t="n">
        <v>8890200000</v>
      </c>
      <c r="F427" s="136" t="n">
        <v>7730000000</v>
      </c>
      <c r="G427" s="136" t="n">
        <v>3843700000</v>
      </c>
      <c r="H427" s="136" t="n">
        <v>1867100000</v>
      </c>
      <c r="I427" s="136" t="n">
        <v>1857400000</v>
      </c>
      <c r="J427" s="136" t="n">
        <v>2104900000</v>
      </c>
      <c r="K427" s="136" t="n">
        <v>2234500000</v>
      </c>
      <c r="L427" s="136" t="n">
        <v>3851300000</v>
      </c>
    </row>
    <row r="428" customFormat="false" ht="15" hidden="false" customHeight="false" outlineLevel="0" collapsed="false">
      <c r="B428" s="137" t="s">
        <v>982</v>
      </c>
    </row>
    <row r="429" customFormat="false" ht="15" hidden="false" customHeight="false" outlineLevel="0" collapsed="false">
      <c r="B429" s="149" t="s">
        <v>138</v>
      </c>
      <c r="C429" s="133" t="s">
        <v>640</v>
      </c>
      <c r="D429" s="134" t="n">
        <v>1185600000</v>
      </c>
      <c r="E429" s="134" t="n">
        <v>1734200000</v>
      </c>
      <c r="F429" s="134" t="n">
        <v>2183300000</v>
      </c>
      <c r="G429" s="134" t="n">
        <v>1100800000</v>
      </c>
      <c r="H429" s="134" t="n">
        <v>1039300000</v>
      </c>
      <c r="I429" s="134" t="n">
        <v>152100000</v>
      </c>
      <c r="J429" s="134" t="n">
        <v>25700000</v>
      </c>
      <c r="K429" s="134" t="n">
        <v>162100000</v>
      </c>
      <c r="L429" s="134" t="n">
        <v>886700000</v>
      </c>
    </row>
    <row r="430" customFormat="false" ht="15" hidden="false" customHeight="false" outlineLevel="0" collapsed="false">
      <c r="B430" s="149" t="s">
        <v>141</v>
      </c>
      <c r="C430" s="133" t="s">
        <v>644</v>
      </c>
      <c r="D430" s="134" t="n">
        <v>874300000</v>
      </c>
      <c r="E430" s="134" t="n">
        <v>1798200000</v>
      </c>
      <c r="F430" s="134" t="n">
        <v>104100000</v>
      </c>
      <c r="G430" s="134" t="n">
        <v>123000000</v>
      </c>
      <c r="H430" s="134" t="n">
        <v>35200000</v>
      </c>
      <c r="I430" s="134" t="n">
        <v>44200000</v>
      </c>
      <c r="J430" s="134" t="n">
        <v>34300000</v>
      </c>
      <c r="K430" s="134" t="n">
        <v>35100000</v>
      </c>
      <c r="L430" s="134" t="n">
        <v>164300000</v>
      </c>
    </row>
    <row r="435" customFormat="false" ht="15" hidden="false" customHeight="false" outlineLevel="0" collapsed="false">
      <c r="A435" s="0" t="s">
        <v>26</v>
      </c>
      <c r="B435" s="63" t="s">
        <v>983</v>
      </c>
    </row>
    <row r="437" customFormat="false" ht="15" hidden="false" customHeight="false" outlineLevel="0" collapsed="false">
      <c r="C437" s="131" t="s">
        <v>568</v>
      </c>
      <c r="D437" s="13" t="s">
        <v>29</v>
      </c>
      <c r="E437" s="13" t="s">
        <v>30</v>
      </c>
      <c r="F437" s="13" t="s">
        <v>31</v>
      </c>
      <c r="G437" s="13" t="s">
        <v>32</v>
      </c>
      <c r="H437" s="13" t="s">
        <v>33</v>
      </c>
      <c r="I437" s="13" t="s">
        <v>34</v>
      </c>
      <c r="J437" s="13" t="s">
        <v>35</v>
      </c>
      <c r="K437" s="13" t="s">
        <v>36</v>
      </c>
      <c r="L437" s="13" t="s">
        <v>37</v>
      </c>
    </row>
    <row r="438" customFormat="false" ht="15" hidden="false" customHeight="false" outlineLevel="0" collapsed="false">
      <c r="B438" s="63" t="s">
        <v>984</v>
      </c>
    </row>
    <row r="439" customFormat="false" ht="15" hidden="false" customHeight="false" outlineLevel="0" collapsed="false">
      <c r="B439" s="137" t="s">
        <v>985</v>
      </c>
    </row>
    <row r="440" customFormat="false" ht="15" hidden="false" customHeight="false" outlineLevel="0" collapsed="false">
      <c r="B440" s="139" t="s">
        <v>986</v>
      </c>
    </row>
    <row r="441" customFormat="false" ht="15" hidden="false" customHeight="false" outlineLevel="0" collapsed="false">
      <c r="B441" s="140" t="s">
        <v>159</v>
      </c>
      <c r="C441" s="133" t="s">
        <v>658</v>
      </c>
      <c r="D441" s="134" t="n">
        <v>4811000000</v>
      </c>
      <c r="E441" s="134" t="n">
        <v>0</v>
      </c>
      <c r="F441" s="134" t="n">
        <v>0</v>
      </c>
      <c r="G441" s="134" t="n">
        <v>0</v>
      </c>
      <c r="H441" s="134" t="n">
        <v>0</v>
      </c>
      <c r="I441" s="134" t="n">
        <v>0</v>
      </c>
      <c r="J441" s="134" t="n">
        <v>0</v>
      </c>
      <c r="K441" s="134" t="n">
        <v>83500000</v>
      </c>
      <c r="L441" s="134" t="n">
        <v>429100000</v>
      </c>
    </row>
    <row r="442" customFormat="false" ht="15" hidden="false" customHeight="false" outlineLevel="0" collapsed="false">
      <c r="B442" s="132" t="s">
        <v>987</v>
      </c>
      <c r="C442" s="133" t="s">
        <v>988</v>
      </c>
      <c r="D442" s="134" t="n">
        <v>4811000000</v>
      </c>
      <c r="E442" s="134" t="n">
        <v>0</v>
      </c>
      <c r="F442" s="134" t="n">
        <v>0</v>
      </c>
      <c r="G442" s="134" t="n">
        <v>0</v>
      </c>
      <c r="H442" s="134" t="n">
        <v>0</v>
      </c>
      <c r="I442" s="134" t="n">
        <v>0</v>
      </c>
      <c r="J442" s="134" t="n">
        <v>0</v>
      </c>
      <c r="K442" s="134" t="n">
        <v>0</v>
      </c>
      <c r="L442" s="134" t="n">
        <v>0</v>
      </c>
    </row>
    <row r="443" customFormat="false" ht="15" hidden="false" customHeight="false" outlineLevel="0" collapsed="false">
      <c r="B443" s="132" t="s">
        <v>989</v>
      </c>
      <c r="C443" s="133" t="s">
        <v>990</v>
      </c>
      <c r="D443" s="134" t="n">
        <v>4811000000</v>
      </c>
      <c r="E443" s="134" t="n">
        <v>0</v>
      </c>
      <c r="F443" s="134" t="n">
        <v>0</v>
      </c>
      <c r="G443" s="134" t="n">
        <v>0</v>
      </c>
      <c r="H443" s="134" t="n">
        <v>0</v>
      </c>
      <c r="I443" s="134" t="n">
        <v>0</v>
      </c>
      <c r="J443" s="134" t="n">
        <v>0</v>
      </c>
      <c r="K443" s="134" t="n">
        <v>0</v>
      </c>
      <c r="L443" s="134" t="n">
        <v>0</v>
      </c>
    </row>
    <row r="444" customFormat="false" ht="15" hidden="false" customHeight="false" outlineLevel="0" collapsed="false">
      <c r="B444" s="132" t="s">
        <v>991</v>
      </c>
      <c r="C444" s="133" t="s">
        <v>992</v>
      </c>
      <c r="D444" s="134" t="n">
        <v>0</v>
      </c>
      <c r="E444" s="134" t="n">
        <v>0</v>
      </c>
      <c r="F444" s="134" t="n">
        <v>0</v>
      </c>
      <c r="G444" s="134" t="n">
        <v>0</v>
      </c>
      <c r="H444" s="134" t="n">
        <v>0</v>
      </c>
      <c r="I444" s="134" t="n">
        <v>0</v>
      </c>
      <c r="J444" s="134" t="n">
        <v>0</v>
      </c>
      <c r="K444" s="134" t="n">
        <v>83500000</v>
      </c>
      <c r="L444" s="134" t="n">
        <v>429100000</v>
      </c>
    </row>
    <row r="447" customFormat="false" ht="15" hidden="false" customHeight="false" outlineLevel="0" collapsed="false">
      <c r="A447" s="0" t="s">
        <v>26</v>
      </c>
      <c r="B447" s="63" t="s">
        <v>993</v>
      </c>
    </row>
    <row r="449" customFormat="false" ht="15" hidden="false" customHeight="false" outlineLevel="0" collapsed="false">
      <c r="C449" s="131" t="s">
        <v>568</v>
      </c>
      <c r="D449" s="13" t="s">
        <v>29</v>
      </c>
      <c r="E449" s="13" t="s">
        <v>30</v>
      </c>
      <c r="F449" s="13" t="s">
        <v>31</v>
      </c>
      <c r="G449" s="13" t="s">
        <v>32</v>
      </c>
      <c r="H449" s="13" t="s">
        <v>33</v>
      </c>
      <c r="I449" s="13" t="s">
        <v>34</v>
      </c>
      <c r="J449" s="13" t="s">
        <v>35</v>
      </c>
      <c r="K449" s="13" t="s">
        <v>36</v>
      </c>
      <c r="L449" s="13" t="s">
        <v>37</v>
      </c>
    </row>
    <row r="450" customFormat="false" ht="15" hidden="false" customHeight="false" outlineLevel="0" collapsed="false">
      <c r="B450" s="63" t="s">
        <v>994</v>
      </c>
    </row>
    <row r="451" customFormat="false" ht="15" hidden="false" customHeight="false" outlineLevel="0" collapsed="false">
      <c r="B451" s="137" t="s">
        <v>995</v>
      </c>
    </row>
    <row r="452" customFormat="false" ht="15" hidden="false" customHeight="false" outlineLevel="0" collapsed="false">
      <c r="B452" s="138" t="s">
        <v>996</v>
      </c>
      <c r="C452" s="133" t="s">
        <v>997</v>
      </c>
      <c r="D452" s="134" t="n">
        <v>12490000000</v>
      </c>
      <c r="E452" s="134" t="n">
        <v>12490000000</v>
      </c>
      <c r="F452" s="134" t="n">
        <v>12490000000</v>
      </c>
      <c r="G452" s="134" t="n">
        <v>12490000000</v>
      </c>
      <c r="H452" s="134" t="n">
        <v>46000000000</v>
      </c>
      <c r="I452" s="134" t="n">
        <v>55000000000</v>
      </c>
      <c r="J452" s="134" t="n">
        <v>55000000000</v>
      </c>
      <c r="K452" s="134" t="n">
        <v>55000000000</v>
      </c>
      <c r="L452" s="134" t="n">
        <v>105265000000</v>
      </c>
    </row>
    <row r="453" customFormat="false" ht="15" hidden="false" customHeight="false" outlineLevel="0" collapsed="false">
      <c r="B453" s="138" t="s">
        <v>998</v>
      </c>
      <c r="C453" s="133" t="s">
        <v>999</v>
      </c>
      <c r="D453" s="134" t="n">
        <v>24980000000</v>
      </c>
      <c r="E453" s="134" t="n">
        <v>24980000000</v>
      </c>
      <c r="F453" s="134" t="n">
        <v>24980000000</v>
      </c>
      <c r="G453" s="134" t="n">
        <v>24980000000</v>
      </c>
      <c r="H453" s="134" t="n">
        <v>92000000000</v>
      </c>
      <c r="I453" s="134" t="n">
        <v>110000000000</v>
      </c>
      <c r="J453" s="134" t="n">
        <v>110000000000</v>
      </c>
      <c r="K453" s="134" t="n">
        <v>110000000000</v>
      </c>
      <c r="L453" s="134" t="n">
        <v>210530000000</v>
      </c>
    </row>
    <row r="454" customFormat="false" ht="15" hidden="false" customHeight="false" outlineLevel="0" collapsed="false">
      <c r="B454" s="138" t="s">
        <v>1000</v>
      </c>
      <c r="C454" s="133" t="s">
        <v>1001</v>
      </c>
      <c r="D454" s="134" t="n">
        <v>5043330927</v>
      </c>
      <c r="E454" s="134" t="n">
        <v>5338706098</v>
      </c>
      <c r="F454" s="134" t="n">
        <v>5338706098</v>
      </c>
      <c r="G454" s="134" t="n">
        <v>5338706098</v>
      </c>
      <c r="H454" s="134" t="n">
        <v>8526944750</v>
      </c>
      <c r="I454" s="134" t="n">
        <v>9236376014</v>
      </c>
      <c r="J454" s="134" t="n">
        <v>12492019060</v>
      </c>
      <c r="K454" s="134" t="n">
        <v>13631620199</v>
      </c>
      <c r="L454" s="134" t="n">
        <v>13675852549</v>
      </c>
    </row>
    <row r="455" customFormat="false" ht="15" hidden="false" customHeight="false" outlineLevel="0" collapsed="false">
      <c r="B455" s="138" t="s">
        <v>1002</v>
      </c>
      <c r="C455" s="133" t="s">
        <v>1003</v>
      </c>
      <c r="D455" s="134" t="n">
        <v>10086700000</v>
      </c>
      <c r="E455" s="134" t="n">
        <v>10677400000</v>
      </c>
      <c r="F455" s="134" t="n">
        <v>10677400000</v>
      </c>
      <c r="G455" s="134" t="n">
        <v>10677400000</v>
      </c>
      <c r="H455" s="134" t="n">
        <v>17053900000</v>
      </c>
      <c r="I455" s="134" t="n">
        <v>18472800000</v>
      </c>
      <c r="J455" s="134" t="n">
        <v>24984000000</v>
      </c>
      <c r="K455" s="134" t="n">
        <v>27263240398</v>
      </c>
      <c r="L455" s="134" t="n">
        <v>27351705098</v>
      </c>
    </row>
    <row r="456" customFormat="false" ht="15" hidden="false" customHeight="false" outlineLevel="0" collapsed="false">
      <c r="B456" s="138" t="s">
        <v>1004</v>
      </c>
      <c r="C456" s="133" t="s">
        <v>1005</v>
      </c>
      <c r="D456" s="134" t="n">
        <v>5024398950</v>
      </c>
      <c r="E456" s="134" t="n">
        <v>5319774121</v>
      </c>
      <c r="F456" s="134" t="n">
        <v>5319774121</v>
      </c>
      <c r="G456" s="134" t="n">
        <v>5319774121</v>
      </c>
      <c r="H456" s="134" t="n">
        <v>8508012773</v>
      </c>
      <c r="I456" s="134" t="n">
        <v>9217444037</v>
      </c>
      <c r="J456" s="134" t="n">
        <v>12070909026</v>
      </c>
      <c r="K456" s="134" t="n">
        <v>13604494159</v>
      </c>
      <c r="L456" s="134" t="n">
        <v>13656920572</v>
      </c>
    </row>
    <row r="457" customFormat="false" ht="15" hidden="false" customHeight="false" outlineLevel="0" collapsed="false">
      <c r="B457" s="138" t="s">
        <v>1006</v>
      </c>
      <c r="C457" s="133" t="s">
        <v>1007</v>
      </c>
      <c r="D457" s="134" t="n">
        <v>10048800000</v>
      </c>
      <c r="E457" s="134" t="n">
        <v>10639500000</v>
      </c>
      <c r="F457" s="134" t="n">
        <v>10639500000</v>
      </c>
      <c r="G457" s="134" t="n">
        <v>10639500000</v>
      </c>
      <c r="H457" s="134" t="n">
        <v>17016000000</v>
      </c>
      <c r="I457" s="134" t="n">
        <v>18434900000</v>
      </c>
      <c r="J457" s="134" t="n">
        <v>24141800000</v>
      </c>
      <c r="K457" s="134" t="n">
        <v>27209000000</v>
      </c>
      <c r="L457" s="134" t="n">
        <v>27310000000</v>
      </c>
    </row>
    <row r="458" customFormat="false" ht="15" hidden="false" customHeight="false" outlineLevel="0" collapsed="false">
      <c r="B458" s="138" t="s">
        <v>1008</v>
      </c>
      <c r="C458" s="133" t="s">
        <v>1009</v>
      </c>
      <c r="D458" s="134" t="n">
        <v>0</v>
      </c>
      <c r="E458" s="134" t="n">
        <v>0</v>
      </c>
      <c r="F458" s="134" t="n">
        <v>0</v>
      </c>
      <c r="G458" s="134" t="n">
        <v>0</v>
      </c>
      <c r="H458" s="134" t="n">
        <v>0</v>
      </c>
      <c r="I458" s="134" t="n">
        <v>0</v>
      </c>
      <c r="J458" s="134" t="n">
        <v>402178057</v>
      </c>
      <c r="K458" s="134" t="n">
        <v>8194063</v>
      </c>
      <c r="L458" s="134" t="n">
        <v>0</v>
      </c>
    </row>
    <row r="459" customFormat="false" ht="15" hidden="false" customHeight="false" outlineLevel="0" collapsed="false">
      <c r="B459" s="138" t="s">
        <v>1010</v>
      </c>
      <c r="C459" s="133" t="s">
        <v>1011</v>
      </c>
      <c r="D459" s="134" t="n">
        <v>0</v>
      </c>
      <c r="E459" s="134" t="n">
        <v>0</v>
      </c>
      <c r="F459" s="134" t="n">
        <v>0</v>
      </c>
      <c r="G459" s="134" t="n">
        <v>0</v>
      </c>
      <c r="H459" s="134" t="n">
        <v>0</v>
      </c>
      <c r="I459" s="134" t="n">
        <v>0</v>
      </c>
      <c r="J459" s="134" t="n">
        <v>402200000</v>
      </c>
      <c r="K459" s="134" t="n">
        <v>16400000</v>
      </c>
      <c r="L459" s="134" t="n">
        <v>0</v>
      </c>
    </row>
    <row r="460" customFormat="false" ht="15" hidden="false" customHeight="false" outlineLevel="0" collapsed="false">
      <c r="B460" s="145" t="s">
        <v>1012</v>
      </c>
      <c r="C460" s="133" t="s">
        <v>1013</v>
      </c>
      <c r="D460" s="136" t="n">
        <v>5024398950</v>
      </c>
      <c r="E460" s="136" t="n">
        <v>5319774121</v>
      </c>
      <c r="F460" s="136" t="n">
        <v>5319774121</v>
      </c>
      <c r="G460" s="136" t="n">
        <v>5319774121</v>
      </c>
      <c r="H460" s="136" t="n">
        <v>8508012773</v>
      </c>
      <c r="I460" s="136" t="n">
        <v>9217444037</v>
      </c>
      <c r="J460" s="136" t="n">
        <v>12473087083</v>
      </c>
      <c r="K460" s="136" t="n">
        <v>13612688222</v>
      </c>
      <c r="L460" s="136" t="n">
        <v>13656920572</v>
      </c>
    </row>
    <row r="461" customFormat="false" ht="15" hidden="false" customHeight="false" outlineLevel="0" collapsed="false">
      <c r="B461" s="145" t="s">
        <v>1014</v>
      </c>
      <c r="C461" s="133" t="s">
        <v>1015</v>
      </c>
      <c r="D461" s="136" t="n">
        <v>10048800000</v>
      </c>
      <c r="E461" s="136" t="n">
        <v>10639500000</v>
      </c>
      <c r="F461" s="136" t="n">
        <v>10639500000</v>
      </c>
      <c r="G461" s="136" t="n">
        <v>10639500000</v>
      </c>
      <c r="H461" s="136" t="n">
        <v>17016000000</v>
      </c>
      <c r="I461" s="136" t="n">
        <v>18434900000</v>
      </c>
      <c r="J461" s="136" t="n">
        <v>24544000000</v>
      </c>
      <c r="K461" s="136" t="n">
        <v>27225400000</v>
      </c>
      <c r="L461" s="136" t="n">
        <v>27310000000</v>
      </c>
    </row>
    <row r="462" customFormat="false" ht="15" hidden="false" customHeight="false" outlineLevel="0" collapsed="false">
      <c r="B462" s="139" t="s">
        <v>1016</v>
      </c>
    </row>
    <row r="463" customFormat="false" ht="15" hidden="false" customHeight="false" outlineLevel="0" collapsed="false">
      <c r="B463" s="140" t="s">
        <v>1017</v>
      </c>
      <c r="C463" s="133" t="s">
        <v>1018</v>
      </c>
      <c r="D463" s="134" t="n">
        <v>5024398950</v>
      </c>
      <c r="E463" s="134" t="n">
        <v>5319774121</v>
      </c>
      <c r="F463" s="134" t="n">
        <v>5319774121</v>
      </c>
      <c r="G463" s="134" t="n">
        <v>5319774121</v>
      </c>
      <c r="H463" s="134" t="n">
        <v>8508012773</v>
      </c>
      <c r="I463" s="134" t="n">
        <v>9217444037</v>
      </c>
      <c r="J463" s="134" t="n">
        <v>12473087083</v>
      </c>
      <c r="K463" s="134" t="n">
        <v>13612688222</v>
      </c>
      <c r="L463" s="134" t="n">
        <v>13648726509</v>
      </c>
    </row>
    <row r="464" customFormat="false" ht="15" hidden="false" customHeight="false" outlineLevel="0" collapsed="false">
      <c r="B464" s="140" t="s">
        <v>1019</v>
      </c>
      <c r="C464" s="133" t="s">
        <v>1020</v>
      </c>
      <c r="D464" s="134" t="n">
        <v>10048800000</v>
      </c>
      <c r="E464" s="134" t="n">
        <v>10639500000</v>
      </c>
      <c r="F464" s="134" t="n">
        <v>10639500000</v>
      </c>
      <c r="G464" s="134" t="n">
        <v>10639500000</v>
      </c>
      <c r="H464" s="134" t="n">
        <v>17016000000</v>
      </c>
      <c r="I464" s="134" t="n">
        <v>18434900000</v>
      </c>
      <c r="J464" s="134" t="n">
        <v>24544000000</v>
      </c>
      <c r="K464" s="134" t="n">
        <v>27217200000</v>
      </c>
      <c r="L464" s="134" t="n">
        <v>27297500000</v>
      </c>
    </row>
    <row r="465" customFormat="false" ht="15" hidden="false" customHeight="false" outlineLevel="0" collapsed="false">
      <c r="B465" s="140" t="s">
        <v>1021</v>
      </c>
      <c r="C465" s="133" t="s">
        <v>1022</v>
      </c>
      <c r="D465" s="134" t="n">
        <v>0</v>
      </c>
      <c r="E465" s="134" t="n">
        <v>0</v>
      </c>
      <c r="F465" s="134" t="n">
        <v>0</v>
      </c>
      <c r="G465" s="134" t="n">
        <v>0</v>
      </c>
      <c r="H465" s="134" t="n">
        <v>0</v>
      </c>
      <c r="I465" s="134" t="n">
        <v>0</v>
      </c>
      <c r="J465" s="134" t="n">
        <v>0</v>
      </c>
      <c r="K465" s="134" t="n">
        <v>0</v>
      </c>
      <c r="L465" s="134" t="n">
        <v>20400000</v>
      </c>
    </row>
    <row r="466" customFormat="false" ht="15" hidden="false" customHeight="false" outlineLevel="0" collapsed="false">
      <c r="B466" s="143" t="s">
        <v>1023</v>
      </c>
      <c r="C466" s="133" t="s">
        <v>1024</v>
      </c>
      <c r="D466" s="136" t="n">
        <v>10048800000</v>
      </c>
      <c r="E466" s="136" t="n">
        <v>10639500000</v>
      </c>
      <c r="F466" s="136" t="n">
        <v>10639500000</v>
      </c>
      <c r="G466" s="136" t="n">
        <v>10639500000</v>
      </c>
      <c r="H466" s="136" t="n">
        <v>17016000000</v>
      </c>
      <c r="I466" s="136" t="n">
        <v>18434900000</v>
      </c>
      <c r="J466" s="136" t="n">
        <v>24544000000</v>
      </c>
      <c r="K466" s="136" t="n">
        <v>27217200000</v>
      </c>
      <c r="L466" s="136" t="n">
        <v>27317900000</v>
      </c>
    </row>
    <row r="467" customFormat="false" ht="15" hidden="false" customHeight="false" outlineLevel="0" collapsed="false">
      <c r="B467" s="139" t="s">
        <v>1025</v>
      </c>
    </row>
    <row r="468" customFormat="false" ht="15" hidden="false" customHeight="false" outlineLevel="0" collapsed="false">
      <c r="B468" s="140" t="s">
        <v>1026</v>
      </c>
      <c r="C468" s="133" t="s">
        <v>1027</v>
      </c>
      <c r="D468" s="134" t="n">
        <v>5024398950</v>
      </c>
      <c r="E468" s="134" t="n">
        <v>5319774121</v>
      </c>
      <c r="F468" s="134" t="n">
        <v>5319774121</v>
      </c>
      <c r="G468" s="134" t="n">
        <v>5319774121</v>
      </c>
      <c r="H468" s="134" t="n">
        <v>8508012773</v>
      </c>
      <c r="I468" s="134" t="n">
        <v>9217444037</v>
      </c>
      <c r="J468" s="134" t="n">
        <v>12473087083</v>
      </c>
      <c r="K468" s="134" t="n">
        <v>13612688222</v>
      </c>
      <c r="L468" s="134" t="n">
        <v>13648726509</v>
      </c>
    </row>
    <row r="469" customFormat="false" ht="15" hidden="false" customHeight="false" outlineLevel="0" collapsed="false">
      <c r="B469" s="141" t="s">
        <v>1028</v>
      </c>
    </row>
    <row r="470" customFormat="false" ht="15" hidden="false" customHeight="false" outlineLevel="0" collapsed="false">
      <c r="B470" s="146" t="s">
        <v>1029</v>
      </c>
    </row>
    <row r="471" customFormat="false" ht="15" hidden="false" customHeight="false" outlineLevel="0" collapsed="false">
      <c r="B471" s="147" t="s">
        <v>1030</v>
      </c>
      <c r="C471" s="133" t="s">
        <v>1031</v>
      </c>
      <c r="D471" s="136" t="n">
        <v>3895536</v>
      </c>
      <c r="E471" s="136" t="n">
        <v>295375171</v>
      </c>
      <c r="F471" s="136" t="n">
        <v>0</v>
      </c>
      <c r="G471" s="136" t="n">
        <v>0</v>
      </c>
      <c r="H471" s="136" t="n">
        <v>3188238652</v>
      </c>
      <c r="I471" s="136" t="n">
        <v>709431264</v>
      </c>
      <c r="J471" s="136" t="n">
        <v>3255643046</v>
      </c>
      <c r="K471" s="136" t="n">
        <v>1139601139</v>
      </c>
      <c r="L471" s="136" t="n">
        <v>44232350</v>
      </c>
    </row>
    <row r="472" customFormat="false" ht="15" hidden="false" customHeight="false" outlineLevel="0" collapsed="false">
      <c r="B472" s="146" t="s">
        <v>1032</v>
      </c>
    </row>
    <row r="473" customFormat="false" ht="15" hidden="false" customHeight="false" outlineLevel="0" collapsed="false">
      <c r="B473" s="147" t="s">
        <v>1033</v>
      </c>
      <c r="C473" s="133" t="s">
        <v>1034</v>
      </c>
      <c r="D473" s="136" t="n">
        <v>0</v>
      </c>
      <c r="E473" s="136" t="n">
        <v>0</v>
      </c>
      <c r="F473" s="136" t="n">
        <v>0</v>
      </c>
      <c r="G473" s="136" t="n">
        <v>0</v>
      </c>
      <c r="H473" s="136" t="n">
        <v>0</v>
      </c>
      <c r="I473" s="136" t="n">
        <v>0</v>
      </c>
      <c r="J473" s="136" t="n">
        <v>0</v>
      </c>
      <c r="K473" s="136" t="n">
        <v>0</v>
      </c>
      <c r="L473" s="136" t="n">
        <v>8194063</v>
      </c>
    </row>
    <row r="474" customFormat="false" ht="15" hidden="false" customHeight="false" outlineLevel="0" collapsed="false">
      <c r="B474" s="144" t="s">
        <v>1035</v>
      </c>
      <c r="C474" s="133" t="s">
        <v>1036</v>
      </c>
      <c r="D474" s="136" t="n">
        <v>3895536</v>
      </c>
      <c r="E474" s="136" t="n">
        <v>295375171</v>
      </c>
      <c r="F474" s="136" t="n">
        <v>0</v>
      </c>
      <c r="G474" s="136" t="n">
        <v>0</v>
      </c>
      <c r="H474" s="136" t="n">
        <v>3188238652</v>
      </c>
      <c r="I474" s="136" t="n">
        <v>709431264</v>
      </c>
      <c r="J474" s="136" t="n">
        <v>3255643046</v>
      </c>
      <c r="K474" s="136" t="n">
        <v>1139601139</v>
      </c>
      <c r="L474" s="136" t="n">
        <v>36038287</v>
      </c>
    </row>
    <row r="475" customFormat="false" ht="15" hidden="false" customHeight="false" outlineLevel="0" collapsed="false">
      <c r="B475" s="140" t="s">
        <v>1026</v>
      </c>
      <c r="C475" s="133" t="s">
        <v>1027</v>
      </c>
      <c r="D475" s="134" t="n">
        <v>5024398950</v>
      </c>
      <c r="E475" s="134" t="n">
        <v>5319774121</v>
      </c>
      <c r="F475" s="134" t="n">
        <v>5319774121</v>
      </c>
      <c r="G475" s="134" t="n">
        <v>5319774121</v>
      </c>
      <c r="H475" s="134" t="n">
        <v>8508012773</v>
      </c>
      <c r="I475" s="134" t="n">
        <v>9217444037</v>
      </c>
      <c r="J475" s="134" t="n">
        <v>12473087083</v>
      </c>
      <c r="K475" s="134" t="n">
        <v>13612688222</v>
      </c>
      <c r="L475" s="134" t="n">
        <v>13648726509</v>
      </c>
    </row>
    <row r="476" customFormat="false" ht="15" hidden="false" customHeight="false" outlineLevel="0" collapsed="false">
      <c r="B476" s="139" t="s">
        <v>1037</v>
      </c>
    </row>
    <row r="477" customFormat="false" ht="15" hidden="false" customHeight="false" outlineLevel="0" collapsed="false">
      <c r="B477" s="140" t="s">
        <v>170</v>
      </c>
      <c r="C477" s="133" t="s">
        <v>674</v>
      </c>
      <c r="D477" s="134" t="n">
        <v>10048800000</v>
      </c>
      <c r="E477" s="134" t="n">
        <v>10639500000</v>
      </c>
      <c r="F477" s="134" t="n">
        <v>10639500000</v>
      </c>
      <c r="G477" s="134" t="n">
        <v>10639500000</v>
      </c>
      <c r="H477" s="134" t="n">
        <v>17016000000</v>
      </c>
      <c r="I477" s="134" t="n">
        <v>18434900000</v>
      </c>
      <c r="J477" s="134" t="n">
        <v>24544000000</v>
      </c>
      <c r="K477" s="134" t="n">
        <v>27217200000</v>
      </c>
      <c r="L477" s="134" t="n">
        <v>27317900000</v>
      </c>
    </row>
    <row r="478" customFormat="false" ht="15" hidden="false" customHeight="false" outlineLevel="0" collapsed="false">
      <c r="B478" s="141" t="s">
        <v>1038</v>
      </c>
    </row>
    <row r="479" customFormat="false" ht="15" hidden="false" customHeight="false" outlineLevel="0" collapsed="false">
      <c r="B479" s="146" t="s">
        <v>1039</v>
      </c>
    </row>
    <row r="480" customFormat="false" ht="15" hidden="false" customHeight="false" outlineLevel="0" collapsed="false">
      <c r="B480" s="149" t="s">
        <v>1040</v>
      </c>
      <c r="C480" s="133" t="s">
        <v>1041</v>
      </c>
      <c r="D480" s="134" t="n">
        <v>0</v>
      </c>
      <c r="E480" s="134" t="n">
        <v>0</v>
      </c>
      <c r="F480" s="134" t="n">
        <v>0</v>
      </c>
      <c r="G480" s="134" t="n">
        <v>0</v>
      </c>
      <c r="H480" s="134" t="n">
        <v>0</v>
      </c>
      <c r="I480" s="134" t="n">
        <v>0</v>
      </c>
      <c r="J480" s="134" t="n">
        <v>4397800000</v>
      </c>
      <c r="K480" s="134" t="n">
        <v>394000000</v>
      </c>
      <c r="L480" s="134" t="n">
        <v>0</v>
      </c>
    </row>
    <row r="481" customFormat="false" ht="15" hidden="false" customHeight="false" outlineLevel="0" collapsed="false">
      <c r="B481" s="149" t="s">
        <v>1042</v>
      </c>
      <c r="C481" s="133" t="s">
        <v>1043</v>
      </c>
      <c r="D481" s="134" t="n">
        <v>7800000</v>
      </c>
      <c r="E481" s="134" t="n">
        <v>0</v>
      </c>
      <c r="F481" s="134" t="n">
        <v>0</v>
      </c>
      <c r="G481" s="134" t="n">
        <v>0</v>
      </c>
      <c r="H481" s="134" t="n">
        <v>0</v>
      </c>
      <c r="I481" s="134" t="n">
        <v>408000000</v>
      </c>
      <c r="J481" s="134" t="n">
        <v>1142900000</v>
      </c>
      <c r="K481" s="134" t="n">
        <v>0</v>
      </c>
      <c r="L481" s="134" t="n">
        <v>0</v>
      </c>
    </row>
    <row r="482" customFormat="false" ht="15" hidden="false" customHeight="false" outlineLevel="0" collapsed="false">
      <c r="B482" s="149" t="s">
        <v>1044</v>
      </c>
      <c r="C482" s="133" t="s">
        <v>1045</v>
      </c>
      <c r="D482" s="134" t="n">
        <v>0</v>
      </c>
      <c r="E482" s="134" t="n">
        <v>0</v>
      </c>
      <c r="F482" s="134" t="n">
        <v>0</v>
      </c>
      <c r="G482" s="134" t="n">
        <v>0</v>
      </c>
      <c r="H482" s="134" t="n">
        <v>4787500000</v>
      </c>
      <c r="I482" s="134" t="n">
        <v>0</v>
      </c>
      <c r="J482" s="134" t="n">
        <v>0</v>
      </c>
      <c r="K482" s="134" t="n">
        <v>0</v>
      </c>
      <c r="L482" s="134" t="n">
        <v>0</v>
      </c>
    </row>
    <row r="483" customFormat="false" ht="15" hidden="false" customHeight="false" outlineLevel="0" collapsed="false">
      <c r="B483" s="149" t="s">
        <v>1046</v>
      </c>
      <c r="C483" s="133" t="s">
        <v>1047</v>
      </c>
      <c r="D483" s="134" t="n">
        <v>0</v>
      </c>
      <c r="E483" s="134" t="n">
        <v>0</v>
      </c>
      <c r="F483" s="134" t="n">
        <v>0</v>
      </c>
      <c r="G483" s="134" t="n">
        <v>0</v>
      </c>
      <c r="H483" s="134" t="n">
        <v>0</v>
      </c>
      <c r="I483" s="134" t="n">
        <v>0</v>
      </c>
      <c r="J483" s="134" t="n">
        <v>0</v>
      </c>
      <c r="K483" s="134" t="n">
        <v>2279200000</v>
      </c>
      <c r="L483" s="134" t="n">
        <v>0</v>
      </c>
    </row>
    <row r="484" customFormat="false" ht="15" hidden="false" customHeight="false" outlineLevel="0" collapsed="false">
      <c r="B484" s="149" t="s">
        <v>1048</v>
      </c>
      <c r="C484" s="133" t="s">
        <v>1049</v>
      </c>
      <c r="D484" s="134" t="n">
        <v>0</v>
      </c>
      <c r="E484" s="134" t="n">
        <v>0</v>
      </c>
      <c r="F484" s="134" t="n">
        <v>0</v>
      </c>
      <c r="G484" s="134" t="n">
        <v>0</v>
      </c>
      <c r="H484" s="134" t="n">
        <v>0</v>
      </c>
      <c r="I484" s="134" t="n">
        <v>0</v>
      </c>
      <c r="J484" s="134" t="n">
        <v>0</v>
      </c>
      <c r="K484" s="134" t="n">
        <v>0</v>
      </c>
      <c r="L484" s="134" t="n">
        <v>20500000</v>
      </c>
    </row>
    <row r="485" customFormat="false" ht="15" hidden="false" customHeight="false" outlineLevel="0" collapsed="false">
      <c r="B485" s="149" t="s">
        <v>1050</v>
      </c>
      <c r="C485" s="133" t="s">
        <v>1051</v>
      </c>
      <c r="D485" s="134" t="n">
        <v>0</v>
      </c>
      <c r="E485" s="134" t="n">
        <v>590700000</v>
      </c>
      <c r="F485" s="134" t="n">
        <v>0</v>
      </c>
      <c r="G485" s="134" t="n">
        <v>0</v>
      </c>
      <c r="H485" s="134" t="n">
        <v>1589000000</v>
      </c>
      <c r="I485" s="134" t="n">
        <v>1010900000</v>
      </c>
      <c r="J485" s="134" t="n">
        <v>568400000</v>
      </c>
      <c r="K485" s="134" t="n">
        <v>0</v>
      </c>
      <c r="L485" s="134" t="n">
        <v>88500000</v>
      </c>
    </row>
    <row r="486" customFormat="false" ht="15" hidden="false" customHeight="false" outlineLevel="0" collapsed="false">
      <c r="B486" s="147" t="s">
        <v>1052</v>
      </c>
      <c r="C486" s="133" t="s">
        <v>1053</v>
      </c>
      <c r="D486" s="136" t="n">
        <v>7800000</v>
      </c>
      <c r="E486" s="136" t="n">
        <v>590700000</v>
      </c>
      <c r="F486" s="136" t="n">
        <v>0</v>
      </c>
      <c r="G486" s="136" t="n">
        <v>0</v>
      </c>
      <c r="H486" s="136" t="n">
        <v>6376500000</v>
      </c>
      <c r="I486" s="136" t="n">
        <v>1418900000</v>
      </c>
      <c r="J486" s="136" t="n">
        <v>6109100000</v>
      </c>
      <c r="K486" s="136" t="n">
        <v>2673200000</v>
      </c>
      <c r="L486" s="136" t="n">
        <v>109000000</v>
      </c>
    </row>
    <row r="487" customFormat="false" ht="15" hidden="false" customHeight="false" outlineLevel="0" collapsed="false">
      <c r="B487" s="146" t="s">
        <v>1054</v>
      </c>
    </row>
    <row r="488" customFormat="false" ht="15" hidden="false" customHeight="false" outlineLevel="0" collapsed="false">
      <c r="B488" s="149" t="s">
        <v>1055</v>
      </c>
      <c r="C488" s="133" t="s">
        <v>1056</v>
      </c>
      <c r="D488" s="134" t="n">
        <v>0</v>
      </c>
      <c r="E488" s="134" t="n">
        <v>0</v>
      </c>
      <c r="F488" s="134" t="n">
        <v>0</v>
      </c>
      <c r="G488" s="134" t="n">
        <v>0</v>
      </c>
      <c r="H488" s="134" t="n">
        <v>0</v>
      </c>
      <c r="I488" s="134" t="n">
        <v>0</v>
      </c>
      <c r="J488" s="134" t="n">
        <v>0</v>
      </c>
      <c r="K488" s="134" t="n">
        <v>0</v>
      </c>
      <c r="L488" s="134" t="n">
        <v>8300000</v>
      </c>
    </row>
    <row r="489" customFormat="false" ht="15" hidden="false" customHeight="false" outlineLevel="0" collapsed="false">
      <c r="B489" s="147" t="s">
        <v>1057</v>
      </c>
      <c r="C489" s="133" t="s">
        <v>1058</v>
      </c>
      <c r="D489" s="136" t="n">
        <v>0</v>
      </c>
      <c r="E489" s="136" t="n">
        <v>0</v>
      </c>
      <c r="F489" s="136" t="n">
        <v>0</v>
      </c>
      <c r="G489" s="136" t="n">
        <v>0</v>
      </c>
      <c r="H489" s="136" t="n">
        <v>0</v>
      </c>
      <c r="I489" s="136" t="n">
        <v>0</v>
      </c>
      <c r="J489" s="136" t="n">
        <v>0</v>
      </c>
      <c r="K489" s="136" t="n">
        <v>0</v>
      </c>
      <c r="L489" s="136" t="n">
        <v>8300000</v>
      </c>
    </row>
    <row r="490" customFormat="false" ht="15" hidden="false" customHeight="false" outlineLevel="0" collapsed="false">
      <c r="B490" s="144" t="s">
        <v>1059</v>
      </c>
      <c r="C490" s="133" t="s">
        <v>1060</v>
      </c>
      <c r="D490" s="136" t="n">
        <v>7800000</v>
      </c>
      <c r="E490" s="136" t="n">
        <v>590700000</v>
      </c>
      <c r="F490" s="136" t="n">
        <v>0</v>
      </c>
      <c r="G490" s="136" t="n">
        <v>0</v>
      </c>
      <c r="H490" s="136" t="n">
        <v>6376500000</v>
      </c>
      <c r="I490" s="136" t="n">
        <v>1418900000</v>
      </c>
      <c r="J490" s="136" t="n">
        <v>6109100000</v>
      </c>
      <c r="K490" s="136" t="n">
        <v>2673200000</v>
      </c>
      <c r="L490" s="136" t="n">
        <v>100700000</v>
      </c>
    </row>
    <row r="491" customFormat="false" ht="15" hidden="false" customHeight="false" outlineLevel="0" collapsed="false">
      <c r="B491" s="140" t="s">
        <v>170</v>
      </c>
      <c r="C491" s="133" t="s">
        <v>674</v>
      </c>
      <c r="D491" s="134" t="n">
        <v>10048800000</v>
      </c>
      <c r="E491" s="134" t="n">
        <v>10639500000</v>
      </c>
      <c r="F491" s="134" t="n">
        <v>10639500000</v>
      </c>
      <c r="G491" s="134" t="n">
        <v>10639500000</v>
      </c>
      <c r="H491" s="134" t="n">
        <v>17016000000</v>
      </c>
      <c r="I491" s="134" t="n">
        <v>18434900000</v>
      </c>
      <c r="J491" s="134" t="n">
        <v>24544000000</v>
      </c>
      <c r="K491" s="134" t="n">
        <v>27217200000</v>
      </c>
      <c r="L491" s="134" t="n">
        <v>27317900000</v>
      </c>
    </row>
    <row r="495" customFormat="false" ht="15" hidden="false" customHeight="false" outlineLevel="0" collapsed="false">
      <c r="A495" s="0" t="s">
        <v>26</v>
      </c>
      <c r="B495" s="63" t="s">
        <v>1061</v>
      </c>
    </row>
    <row r="497" customFormat="false" ht="15" hidden="false" customHeight="false" outlineLevel="0" collapsed="false">
      <c r="C497" s="131" t="s">
        <v>568</v>
      </c>
      <c r="D497" s="13" t="s">
        <v>29</v>
      </c>
      <c r="E497" s="13" t="s">
        <v>30</v>
      </c>
      <c r="F497" s="13" t="s">
        <v>31</v>
      </c>
      <c r="G497" s="13" t="s">
        <v>32</v>
      </c>
      <c r="H497" s="13" t="s">
        <v>33</v>
      </c>
      <c r="I497" s="13" t="s">
        <v>34</v>
      </c>
      <c r="J497" s="13" t="s">
        <v>35</v>
      </c>
      <c r="K497" s="13" t="s">
        <v>36</v>
      </c>
      <c r="L497" s="13" t="s">
        <v>37</v>
      </c>
    </row>
    <row r="498" customFormat="false" ht="15" hidden="false" customHeight="false" outlineLevel="0" collapsed="false">
      <c r="B498" s="63" t="s">
        <v>1062</v>
      </c>
    </row>
    <row r="499" customFormat="false" ht="15" hidden="false" customHeight="false" outlineLevel="0" collapsed="false">
      <c r="B499" s="137" t="s">
        <v>1063</v>
      </c>
    </row>
    <row r="500" customFormat="false" ht="15" hidden="false" customHeight="false" outlineLevel="0" collapsed="false">
      <c r="B500" s="138" t="s">
        <v>139</v>
      </c>
      <c r="C500" s="133" t="s">
        <v>642</v>
      </c>
      <c r="D500" s="134" t="n">
        <v>76200000</v>
      </c>
      <c r="E500" s="134" t="n">
        <v>76300000</v>
      </c>
      <c r="F500" s="134" t="n">
        <v>76300000</v>
      </c>
      <c r="G500" s="134" t="n">
        <v>76300000</v>
      </c>
      <c r="H500" s="134" t="n">
        <v>76300000</v>
      </c>
      <c r="I500" s="134" t="n">
        <v>0</v>
      </c>
      <c r="J500" s="134" t="n">
        <v>0</v>
      </c>
      <c r="K500" s="134" t="n">
        <v>0</v>
      </c>
      <c r="L500" s="134" t="n">
        <v>4798300000</v>
      </c>
    </row>
    <row r="501" customFormat="false" ht="15" hidden="false" customHeight="false" outlineLevel="0" collapsed="false">
      <c r="B501" s="138" t="s">
        <v>139</v>
      </c>
      <c r="C501" s="133" t="s">
        <v>642</v>
      </c>
      <c r="D501" s="134" t="n">
        <v>76200000</v>
      </c>
      <c r="E501" s="134" t="n">
        <v>76300000</v>
      </c>
      <c r="F501" s="134" t="n">
        <v>76300000</v>
      </c>
      <c r="G501" s="134" t="n">
        <v>76300000</v>
      </c>
      <c r="H501" s="134" t="n">
        <v>76300000</v>
      </c>
      <c r="I501" s="134" t="n">
        <v>0</v>
      </c>
      <c r="J501" s="134" t="n">
        <v>0</v>
      </c>
      <c r="K501" s="134" t="n">
        <v>0</v>
      </c>
      <c r="L501" s="134" t="n">
        <v>4798300000</v>
      </c>
    </row>
    <row r="504" customFormat="false" ht="15" hidden="false" customHeight="false" outlineLevel="0" collapsed="false">
      <c r="A504" s="0" t="s">
        <v>26</v>
      </c>
      <c r="B504" s="63" t="s">
        <v>1064</v>
      </c>
    </row>
    <row r="506" customFormat="false" ht="15" hidden="false" customHeight="false" outlineLevel="0" collapsed="false">
      <c r="C506" s="131" t="s">
        <v>568</v>
      </c>
      <c r="D506" s="13" t="s">
        <v>29</v>
      </c>
      <c r="E506" s="13" t="s">
        <v>30</v>
      </c>
      <c r="F506" s="13" t="s">
        <v>31</v>
      </c>
      <c r="G506" s="13" t="s">
        <v>32</v>
      </c>
      <c r="H506" s="13" t="s">
        <v>33</v>
      </c>
      <c r="I506" s="13" t="s">
        <v>34</v>
      </c>
      <c r="J506" s="13" t="s">
        <v>35</v>
      </c>
      <c r="K506" s="13" t="s">
        <v>36</v>
      </c>
      <c r="L506" s="13" t="s">
        <v>37</v>
      </c>
    </row>
    <row r="507" customFormat="false" ht="15" hidden="false" customHeight="false" outlineLevel="0" collapsed="false">
      <c r="B507" s="137" t="s">
        <v>1065</v>
      </c>
    </row>
    <row r="508" customFormat="false" ht="15" hidden="false" customHeight="false" outlineLevel="0" collapsed="false">
      <c r="B508" s="139" t="s">
        <v>1066</v>
      </c>
    </row>
    <row r="509" customFormat="false" ht="15" hidden="false" customHeight="false" outlineLevel="0" collapsed="false">
      <c r="B509" s="141" t="s">
        <v>1067</v>
      </c>
    </row>
    <row r="510" customFormat="false" ht="15" hidden="false" customHeight="false" outlineLevel="0" collapsed="false">
      <c r="B510" s="142" t="s">
        <v>146</v>
      </c>
      <c r="C510" s="133" t="s">
        <v>641</v>
      </c>
      <c r="D510" s="134" t="n">
        <v>341400000</v>
      </c>
      <c r="E510" s="134" t="n">
        <v>407900000</v>
      </c>
      <c r="F510" s="134" t="n">
        <v>373600000</v>
      </c>
      <c r="G510" s="134" t="n">
        <v>346700000</v>
      </c>
      <c r="H510" s="134" t="n">
        <v>326400000</v>
      </c>
      <c r="I510" s="134" t="n">
        <v>308600000</v>
      </c>
      <c r="J510" s="134" t="n">
        <v>292100000</v>
      </c>
      <c r="K510" s="134" t="n">
        <v>270100000</v>
      </c>
      <c r="L510" s="134" t="n">
        <v>257500000</v>
      </c>
    </row>
    <row r="511" customFormat="false" ht="15" hidden="false" customHeight="false" outlineLevel="0" collapsed="false">
      <c r="B511" s="142" t="s">
        <v>146</v>
      </c>
      <c r="C511" s="133" t="s">
        <v>641</v>
      </c>
      <c r="D511" s="134" t="n">
        <v>341400000</v>
      </c>
      <c r="E511" s="134" t="n">
        <v>407900000</v>
      </c>
      <c r="F511" s="134" t="n">
        <v>373600000</v>
      </c>
      <c r="G511" s="134" t="n">
        <v>346700000</v>
      </c>
      <c r="H511" s="134" t="n">
        <v>326400000</v>
      </c>
      <c r="I511" s="134" t="n">
        <v>308600000</v>
      </c>
      <c r="J511" s="134" t="n">
        <v>292100000</v>
      </c>
      <c r="K511" s="134" t="n">
        <v>270100000</v>
      </c>
      <c r="L511" s="134" t="n">
        <v>257500000</v>
      </c>
    </row>
    <row r="513" customFormat="false" ht="15" hidden="false" customHeight="false" outlineLevel="0" collapsed="false">
      <c r="B513" s="63" t="s">
        <v>1068</v>
      </c>
    </row>
    <row r="514" customFormat="false" ht="15" hidden="false" customHeight="false" outlineLevel="0" collapsed="false">
      <c r="B514" s="132" t="s">
        <v>1069</v>
      </c>
      <c r="C514" s="133" t="s">
        <v>1070</v>
      </c>
      <c r="D514" s="134" t="n">
        <v>69200000</v>
      </c>
      <c r="E514" s="134" t="n">
        <v>151300000</v>
      </c>
      <c r="F514" s="134" t="n">
        <v>188300000</v>
      </c>
      <c r="G514" s="134" t="n">
        <v>195200000</v>
      </c>
      <c r="H514" s="134" t="n">
        <v>126800000</v>
      </c>
      <c r="I514" s="134" t="n">
        <v>92200000</v>
      </c>
      <c r="J514" s="134" t="n">
        <v>88800000</v>
      </c>
      <c r="K514" s="134" t="n">
        <v>116700000</v>
      </c>
      <c r="L514" s="134" t="n">
        <v>115700000</v>
      </c>
    </row>
    <row r="515" customFormat="false" ht="15" hidden="false" customHeight="false" outlineLevel="0" collapsed="false">
      <c r="B515" s="137" t="s">
        <v>1071</v>
      </c>
    </row>
    <row r="516" customFormat="false" ht="15" hidden="false" customHeight="false" outlineLevel="0" collapsed="false">
      <c r="B516" s="138" t="s">
        <v>1072</v>
      </c>
      <c r="C516" s="133" t="s">
        <v>1073</v>
      </c>
      <c r="D516" s="134" t="n">
        <v>0</v>
      </c>
      <c r="E516" s="134" t="n">
        <v>0</v>
      </c>
      <c r="F516" s="134" t="n">
        <v>0</v>
      </c>
      <c r="G516" s="134" t="n">
        <v>0</v>
      </c>
      <c r="H516" s="134" t="n">
        <v>0</v>
      </c>
      <c r="I516" s="134" t="n">
        <v>0</v>
      </c>
      <c r="J516" s="134" t="n">
        <v>0</v>
      </c>
      <c r="K516" s="134" t="n">
        <v>32100000</v>
      </c>
      <c r="L516" s="134" t="n">
        <v>31000000</v>
      </c>
    </row>
    <row r="517" customFormat="false" ht="15" hidden="false" customHeight="false" outlineLevel="0" collapsed="false">
      <c r="B517" s="138" t="s">
        <v>1074</v>
      </c>
      <c r="C517" s="133" t="s">
        <v>1075</v>
      </c>
      <c r="D517" s="134" t="n">
        <v>6700000</v>
      </c>
      <c r="E517" s="134" t="n">
        <v>11600000</v>
      </c>
      <c r="F517" s="134" t="n">
        <v>18100000</v>
      </c>
      <c r="G517" s="134" t="n">
        <v>17200000</v>
      </c>
      <c r="H517" s="134" t="n">
        <v>17500000</v>
      </c>
      <c r="I517" s="134" t="n">
        <v>19000000</v>
      </c>
      <c r="J517" s="134" t="n">
        <v>19600000</v>
      </c>
      <c r="K517" s="134" t="n">
        <v>0</v>
      </c>
      <c r="L517" s="134" t="n">
        <v>0</v>
      </c>
    </row>
    <row r="518" customFormat="false" ht="15" hidden="false" customHeight="false" outlineLevel="0" collapsed="false">
      <c r="B518" s="145" t="s">
        <v>1076</v>
      </c>
      <c r="C518" s="133" t="s">
        <v>1077</v>
      </c>
      <c r="D518" s="136" t="n">
        <v>6700000</v>
      </c>
      <c r="E518" s="136" t="n">
        <v>11600000</v>
      </c>
      <c r="F518" s="136" t="n">
        <v>18100000</v>
      </c>
      <c r="G518" s="136" t="n">
        <v>17200000</v>
      </c>
      <c r="H518" s="136" t="n">
        <v>17500000</v>
      </c>
      <c r="I518" s="136" t="n">
        <v>19000000</v>
      </c>
      <c r="J518" s="136" t="n">
        <v>19600000</v>
      </c>
      <c r="K518" s="136" t="n">
        <v>32100000</v>
      </c>
      <c r="L518" s="136" t="n">
        <v>31000000</v>
      </c>
    </row>
    <row r="519" customFormat="false" ht="15" hidden="false" customHeight="false" outlineLevel="0" collapsed="false">
      <c r="B519" s="135" t="s">
        <v>1078</v>
      </c>
      <c r="C519" s="133" t="s">
        <v>1079</v>
      </c>
      <c r="D519" s="136" t="n">
        <v>62500000</v>
      </c>
      <c r="E519" s="136" t="n">
        <v>139700000</v>
      </c>
      <c r="F519" s="136" t="n">
        <v>170200000</v>
      </c>
      <c r="G519" s="136" t="n">
        <v>178000000</v>
      </c>
      <c r="H519" s="136" t="n">
        <v>109300000</v>
      </c>
      <c r="I519" s="136" t="n">
        <v>73200000</v>
      </c>
      <c r="J519" s="136" t="n">
        <v>69200000</v>
      </c>
      <c r="K519" s="136" t="n">
        <v>84600000</v>
      </c>
      <c r="L519" s="136" t="n">
        <v>84700000</v>
      </c>
    </row>
    <row r="522" customFormat="false" ht="15" hidden="false" customHeight="false" outlineLevel="0" collapsed="false">
      <c r="A522" s="0" t="s">
        <v>26</v>
      </c>
      <c r="B522" s="63" t="s">
        <v>1080</v>
      </c>
    </row>
    <row r="524" customFormat="false" ht="15" hidden="false" customHeight="false" outlineLevel="0" collapsed="false">
      <c r="C524" s="131" t="s">
        <v>568</v>
      </c>
      <c r="D524" s="13" t="s">
        <v>29</v>
      </c>
      <c r="E524" s="13" t="s">
        <v>30</v>
      </c>
      <c r="F524" s="13" t="s">
        <v>31</v>
      </c>
      <c r="G524" s="13" t="s">
        <v>32</v>
      </c>
      <c r="H524" s="13" t="s">
        <v>33</v>
      </c>
      <c r="I524" s="13" t="s">
        <v>34</v>
      </c>
      <c r="J524" s="13" t="s">
        <v>35</v>
      </c>
      <c r="K524" s="13" t="s">
        <v>36</v>
      </c>
      <c r="L524" s="13" t="s">
        <v>37</v>
      </c>
    </row>
    <row r="525" customFormat="false" ht="15" hidden="false" customHeight="false" outlineLevel="0" collapsed="false">
      <c r="B525" s="63" t="s">
        <v>1081</v>
      </c>
    </row>
    <row r="526" customFormat="false" ht="15" hidden="false" customHeight="false" outlineLevel="0" collapsed="false">
      <c r="B526" s="137" t="s">
        <v>1082</v>
      </c>
    </row>
    <row r="527" customFormat="false" ht="15" hidden="false" customHeight="false" outlineLevel="0" collapsed="false">
      <c r="B527" s="139" t="s">
        <v>1083</v>
      </c>
    </row>
    <row r="528" customFormat="false" ht="15" hidden="false" customHeight="false" outlineLevel="0" collapsed="false">
      <c r="B528" s="140" t="s">
        <v>148</v>
      </c>
      <c r="C528" s="133" t="s">
        <v>647</v>
      </c>
      <c r="D528" s="134" t="n">
        <v>1885500000</v>
      </c>
      <c r="E528" s="134" t="n">
        <v>1300000</v>
      </c>
      <c r="F528" s="134" t="n">
        <v>1300000</v>
      </c>
      <c r="G528" s="134" t="n">
        <v>300000</v>
      </c>
      <c r="H528" s="134" t="n">
        <v>300000</v>
      </c>
      <c r="I528" s="134" t="n">
        <v>300000</v>
      </c>
      <c r="J528" s="134" t="n">
        <v>300000</v>
      </c>
      <c r="K528" s="134" t="n">
        <v>300000</v>
      </c>
      <c r="L528" s="134" t="n">
        <v>300000</v>
      </c>
    </row>
    <row r="529" customFormat="false" ht="15" hidden="false" customHeight="false" outlineLevel="0" collapsed="false">
      <c r="B529" s="132" t="s">
        <v>1084</v>
      </c>
      <c r="C529" s="133" t="s">
        <v>1085</v>
      </c>
      <c r="D529" s="134" t="n">
        <v>0</v>
      </c>
      <c r="E529" s="134" t="n">
        <v>0</v>
      </c>
      <c r="F529" s="134" t="n">
        <v>0</v>
      </c>
      <c r="G529" s="134" t="n">
        <v>300000</v>
      </c>
      <c r="H529" s="134" t="n">
        <v>300000</v>
      </c>
      <c r="I529" s="134" t="n">
        <v>300000</v>
      </c>
      <c r="J529" s="134" t="n">
        <v>300000</v>
      </c>
      <c r="K529" s="134" t="n">
        <v>300000</v>
      </c>
      <c r="L529" s="134" t="n">
        <v>300000</v>
      </c>
    </row>
    <row r="530" customFormat="false" ht="15" hidden="false" customHeight="false" outlineLevel="0" collapsed="false">
      <c r="B530" s="132" t="s">
        <v>1086</v>
      </c>
      <c r="C530" s="133" t="s">
        <v>1087</v>
      </c>
      <c r="D530" s="134" t="n">
        <v>1885500000</v>
      </c>
      <c r="E530" s="134" t="n">
        <v>1300000</v>
      </c>
      <c r="F530" s="134" t="n">
        <v>1300000</v>
      </c>
      <c r="G530" s="134" t="n">
        <v>0</v>
      </c>
      <c r="H530" s="134" t="n">
        <v>0</v>
      </c>
      <c r="I530" s="134" t="n">
        <v>0</v>
      </c>
      <c r="J530" s="134" t="n">
        <v>0</v>
      </c>
      <c r="K530" s="134" t="n">
        <v>0</v>
      </c>
      <c r="L530" s="134" t="n">
        <v>0</v>
      </c>
    </row>
    <row r="533" customFormat="false" ht="15" hidden="false" customHeight="false" outlineLevel="0" collapsed="false">
      <c r="A533" s="0" t="s">
        <v>26</v>
      </c>
      <c r="B533" s="63" t="s">
        <v>1088</v>
      </c>
    </row>
    <row r="535" customFormat="false" ht="15" hidden="false" customHeight="false" outlineLevel="0" collapsed="false">
      <c r="C535" s="131" t="s">
        <v>568</v>
      </c>
      <c r="D535" s="13" t="s">
        <v>29</v>
      </c>
      <c r="E535" s="13" t="s">
        <v>30</v>
      </c>
      <c r="F535" s="13" t="s">
        <v>31</v>
      </c>
      <c r="G535" s="13" t="s">
        <v>32</v>
      </c>
      <c r="H535" s="13" t="s">
        <v>33</v>
      </c>
      <c r="I535" s="13" t="s">
        <v>34</v>
      </c>
      <c r="J535" s="13" t="s">
        <v>35</v>
      </c>
      <c r="K535" s="13" t="s">
        <v>36</v>
      </c>
      <c r="L535" s="13" t="s">
        <v>37</v>
      </c>
    </row>
    <row r="536" customFormat="false" ht="15" hidden="false" customHeight="false" outlineLevel="0" collapsed="false">
      <c r="B536" s="137" t="s">
        <v>1089</v>
      </c>
    </row>
    <row r="537" customFormat="false" ht="15" hidden="false" customHeight="false" outlineLevel="0" collapsed="false">
      <c r="B537" s="139" t="s">
        <v>1090</v>
      </c>
    </row>
    <row r="538" customFormat="false" ht="15" hidden="false" customHeight="false" outlineLevel="0" collapsed="false">
      <c r="B538" s="141" t="s">
        <v>1091</v>
      </c>
    </row>
    <row r="539" customFormat="false" ht="15" hidden="false" customHeight="false" outlineLevel="0" collapsed="false">
      <c r="B539" s="142" t="s">
        <v>140</v>
      </c>
      <c r="C539" s="133" t="s">
        <v>643</v>
      </c>
      <c r="D539" s="134" t="n">
        <v>2033500000</v>
      </c>
      <c r="E539" s="134" t="n">
        <v>1471200000</v>
      </c>
      <c r="F539" s="134" t="n">
        <v>3274400000</v>
      </c>
      <c r="G539" s="134" t="n">
        <v>2675000000</v>
      </c>
      <c r="H539" s="134" t="n">
        <v>1904600000</v>
      </c>
      <c r="I539" s="134" t="n">
        <v>1211100000</v>
      </c>
      <c r="J539" s="134" t="n">
        <v>584800000</v>
      </c>
      <c r="K539" s="134" t="n">
        <v>499400000</v>
      </c>
      <c r="L539" s="134" t="n">
        <v>4519200000</v>
      </c>
    </row>
    <row r="540" customFormat="false" ht="15" hidden="false" customHeight="false" outlineLevel="0" collapsed="false">
      <c r="B540" s="146" t="s">
        <v>1092</v>
      </c>
    </row>
    <row r="541" customFormat="false" ht="15" hidden="false" customHeight="false" outlineLevel="0" collapsed="false">
      <c r="B541" s="149" t="s">
        <v>1093</v>
      </c>
      <c r="C541" s="133" t="s">
        <v>1094</v>
      </c>
      <c r="D541" s="134" t="n">
        <v>289800000</v>
      </c>
      <c r="E541" s="134" t="n">
        <v>488600000</v>
      </c>
      <c r="F541" s="134" t="n">
        <v>2753700000</v>
      </c>
      <c r="G541" s="134" t="n">
        <v>761100000</v>
      </c>
      <c r="H541" s="134" t="n">
        <v>465300000</v>
      </c>
      <c r="I541" s="134" t="n">
        <v>400400000</v>
      </c>
      <c r="J541" s="134" t="n">
        <v>334900000</v>
      </c>
      <c r="K541" s="134" t="n">
        <v>401400000</v>
      </c>
      <c r="L541" s="134" t="n">
        <v>3686600000</v>
      </c>
    </row>
    <row r="542" customFormat="false" ht="15" hidden="false" customHeight="false" outlineLevel="0" collapsed="false">
      <c r="B542" s="149" t="s">
        <v>1095</v>
      </c>
      <c r="C542" s="133" t="s">
        <v>1096</v>
      </c>
      <c r="D542" s="134" t="n">
        <v>-39000000</v>
      </c>
      <c r="E542" s="134" t="n">
        <v>9100000</v>
      </c>
      <c r="F542" s="134" t="n">
        <v>115900000</v>
      </c>
      <c r="G542" s="134" t="n">
        <v>0</v>
      </c>
      <c r="H542" s="134" t="n">
        <v>0</v>
      </c>
      <c r="I542" s="134" t="n">
        <v>0</v>
      </c>
      <c r="J542" s="134" t="n">
        <v>0</v>
      </c>
      <c r="K542" s="134" t="n">
        <v>0</v>
      </c>
      <c r="L542" s="134" t="n">
        <v>0</v>
      </c>
    </row>
    <row r="543" customFormat="false" ht="15" hidden="false" customHeight="false" outlineLevel="0" collapsed="false">
      <c r="B543" s="149" t="s">
        <v>1097</v>
      </c>
      <c r="C543" s="133" t="s">
        <v>1098</v>
      </c>
      <c r="D543" s="134" t="n">
        <v>-1541800000</v>
      </c>
      <c r="E543" s="134" t="n">
        <v>-1053000000</v>
      </c>
      <c r="F543" s="134" t="n">
        <v>-964800000</v>
      </c>
      <c r="G543" s="134" t="n">
        <v>-1361700000</v>
      </c>
      <c r="H543" s="134" t="n">
        <v>-1236800000</v>
      </c>
      <c r="I543" s="134" t="n">
        <v>-1093700000</v>
      </c>
      <c r="J543" s="134" t="n">
        <v>-961700000</v>
      </c>
      <c r="K543" s="134" t="n">
        <v>-486900000</v>
      </c>
      <c r="L543" s="134" t="n">
        <v>-674000000</v>
      </c>
    </row>
    <row r="544" customFormat="false" ht="15" hidden="false" customHeight="false" outlineLevel="0" collapsed="false">
      <c r="B544" s="149" t="s">
        <v>1099</v>
      </c>
      <c r="C544" s="133" t="s">
        <v>1100</v>
      </c>
      <c r="D544" s="134" t="n">
        <v>0</v>
      </c>
      <c r="E544" s="134" t="n">
        <v>0</v>
      </c>
      <c r="F544" s="134" t="n">
        <v>0</v>
      </c>
      <c r="G544" s="134" t="n">
        <v>-300000</v>
      </c>
      <c r="H544" s="134" t="n">
        <v>0</v>
      </c>
      <c r="I544" s="134" t="n">
        <v>0</v>
      </c>
      <c r="J544" s="134" t="n">
        <v>0</v>
      </c>
      <c r="K544" s="134" t="n">
        <v>0</v>
      </c>
      <c r="L544" s="134" t="n">
        <v>-6500000</v>
      </c>
    </row>
    <row r="545" customFormat="false" ht="15" hidden="false" customHeight="false" outlineLevel="0" collapsed="false">
      <c r="B545" s="149" t="s">
        <v>1101</v>
      </c>
      <c r="C545" s="133" t="s">
        <v>1102</v>
      </c>
      <c r="D545" s="134" t="n">
        <v>0</v>
      </c>
      <c r="E545" s="134" t="n">
        <v>0</v>
      </c>
      <c r="F545" s="134" t="n">
        <v>0</v>
      </c>
      <c r="G545" s="134" t="n">
        <v>0</v>
      </c>
      <c r="H545" s="134" t="n">
        <v>0</v>
      </c>
      <c r="I545" s="134" t="n">
        <v>0</v>
      </c>
      <c r="J545" s="134" t="n">
        <v>0</v>
      </c>
      <c r="K545" s="134" t="n">
        <v>800000</v>
      </c>
      <c r="L545" s="134" t="n">
        <v>1013700000</v>
      </c>
    </row>
    <row r="546" customFormat="false" ht="15" hidden="false" customHeight="false" outlineLevel="0" collapsed="false">
      <c r="B546" s="150" t="s">
        <v>1103</v>
      </c>
    </row>
    <row r="547" customFormat="false" ht="15" hidden="false" customHeight="false" outlineLevel="0" collapsed="false">
      <c r="B547" s="151" t="s">
        <v>1104</v>
      </c>
      <c r="C547" s="133" t="s">
        <v>1105</v>
      </c>
      <c r="D547" s="134" t="n">
        <v>14800000</v>
      </c>
      <c r="E547" s="134" t="n">
        <v>-7000000</v>
      </c>
      <c r="F547" s="134" t="n">
        <v>-101600000</v>
      </c>
      <c r="G547" s="134" t="n">
        <v>1500000</v>
      </c>
      <c r="H547" s="134" t="n">
        <v>1100000</v>
      </c>
      <c r="I547" s="134" t="n">
        <v>0</v>
      </c>
      <c r="J547" s="134" t="n">
        <v>500000</v>
      </c>
      <c r="K547" s="134" t="n">
        <v>-6000000</v>
      </c>
      <c r="L547" s="134" t="n">
        <v>-100000</v>
      </c>
    </row>
    <row r="548" customFormat="false" ht="15" hidden="false" customHeight="false" outlineLevel="0" collapsed="false">
      <c r="B548" s="152" t="s">
        <v>1106</v>
      </c>
      <c r="C548" s="133" t="s">
        <v>1107</v>
      </c>
      <c r="D548" s="136" t="n">
        <v>14800000</v>
      </c>
      <c r="E548" s="136" t="n">
        <v>-7000000</v>
      </c>
      <c r="F548" s="136" t="n">
        <v>-101600000</v>
      </c>
      <c r="G548" s="136" t="n">
        <v>1500000</v>
      </c>
      <c r="H548" s="136" t="n">
        <v>1100000</v>
      </c>
      <c r="I548" s="136" t="n">
        <v>0</v>
      </c>
      <c r="J548" s="136" t="n">
        <v>500000</v>
      </c>
      <c r="K548" s="136" t="n">
        <v>-6000000</v>
      </c>
      <c r="L548" s="136" t="n">
        <v>-100000</v>
      </c>
    </row>
    <row r="549" customFormat="false" ht="15" hidden="false" customHeight="false" outlineLevel="0" collapsed="false">
      <c r="B549" s="150" t="s">
        <v>1108</v>
      </c>
    </row>
    <row r="550" customFormat="false" ht="15" hidden="false" customHeight="false" outlineLevel="0" collapsed="false">
      <c r="B550" s="151" t="s">
        <v>1109</v>
      </c>
      <c r="C550" s="133" t="s">
        <v>1110</v>
      </c>
      <c r="D550" s="134" t="n">
        <v>0</v>
      </c>
      <c r="E550" s="134" t="n">
        <v>0</v>
      </c>
      <c r="F550" s="134" t="n">
        <v>0</v>
      </c>
      <c r="G550" s="134" t="n">
        <v>0</v>
      </c>
      <c r="H550" s="134" t="n">
        <v>0</v>
      </c>
      <c r="I550" s="134" t="n">
        <v>200000</v>
      </c>
      <c r="J550" s="134" t="n">
        <v>0</v>
      </c>
      <c r="K550" s="134" t="n">
        <v>-5300000</v>
      </c>
      <c r="L550" s="134" t="n">
        <v>-100000</v>
      </c>
    </row>
    <row r="551" customFormat="false" ht="15" hidden="false" customHeight="false" outlineLevel="0" collapsed="false">
      <c r="B551" s="152" t="s">
        <v>1111</v>
      </c>
      <c r="C551" s="133" t="s">
        <v>1112</v>
      </c>
      <c r="D551" s="136" t="n">
        <v>0</v>
      </c>
      <c r="E551" s="136" t="n">
        <v>0</v>
      </c>
      <c r="F551" s="136" t="n">
        <v>0</v>
      </c>
      <c r="G551" s="136" t="n">
        <v>0</v>
      </c>
      <c r="H551" s="136" t="n">
        <v>0</v>
      </c>
      <c r="I551" s="136" t="n">
        <v>200000</v>
      </c>
      <c r="J551" s="136" t="n">
        <v>0</v>
      </c>
      <c r="K551" s="136" t="n">
        <v>-5300000</v>
      </c>
      <c r="L551" s="136" t="n">
        <v>-100000</v>
      </c>
    </row>
    <row r="552" customFormat="false" ht="15" hidden="false" customHeight="false" outlineLevel="0" collapsed="false">
      <c r="B552" s="147" t="s">
        <v>1113</v>
      </c>
      <c r="C552" s="133" t="s">
        <v>1114</v>
      </c>
      <c r="D552" s="136" t="n">
        <v>-1276200000</v>
      </c>
      <c r="E552" s="136" t="n">
        <v>-562300000</v>
      </c>
      <c r="F552" s="136" t="n">
        <v>1803200000</v>
      </c>
      <c r="G552" s="136" t="n">
        <v>-599400000</v>
      </c>
      <c r="H552" s="136" t="n">
        <v>-770400000</v>
      </c>
      <c r="I552" s="136" t="n">
        <v>-693500000</v>
      </c>
      <c r="J552" s="136" t="n">
        <v>-626300000</v>
      </c>
      <c r="K552" s="136" t="n">
        <v>-85400000</v>
      </c>
      <c r="L552" s="136" t="n">
        <v>4019800000</v>
      </c>
    </row>
    <row r="553" customFormat="false" ht="15" hidden="false" customHeight="false" outlineLevel="0" collapsed="false">
      <c r="B553" s="142" t="s">
        <v>140</v>
      </c>
      <c r="C553" s="133" t="s">
        <v>643</v>
      </c>
      <c r="D553" s="134" t="n">
        <v>2033500000</v>
      </c>
      <c r="E553" s="134" t="n">
        <v>1471200000</v>
      </c>
      <c r="F553" s="134" t="n">
        <v>3274400000</v>
      </c>
      <c r="G553" s="134" t="n">
        <v>2675000000</v>
      </c>
      <c r="H553" s="134" t="n">
        <v>1904600000</v>
      </c>
      <c r="I553" s="134" t="n">
        <v>1211100000</v>
      </c>
      <c r="J553" s="134" t="n">
        <v>584800000</v>
      </c>
      <c r="K553" s="134" t="n">
        <v>499400000</v>
      </c>
      <c r="L553" s="134" t="n">
        <v>4519200000</v>
      </c>
    </row>
    <row r="556" customFormat="false" ht="15" hidden="false" customHeight="false" outlineLevel="0" collapsed="false">
      <c r="A556" s="0" t="s">
        <v>26</v>
      </c>
      <c r="B556" s="63" t="s">
        <v>1115</v>
      </c>
    </row>
    <row r="558" customFormat="false" ht="15" hidden="false" customHeight="false" outlineLevel="0" collapsed="false">
      <c r="C558" s="131" t="s">
        <v>568</v>
      </c>
      <c r="D558" s="13" t="s">
        <v>29</v>
      </c>
      <c r="E558" s="13" t="s">
        <v>30</v>
      </c>
      <c r="F558" s="13" t="s">
        <v>31</v>
      </c>
      <c r="G558" s="13" t="s">
        <v>32</v>
      </c>
      <c r="H558" s="13" t="s">
        <v>33</v>
      </c>
      <c r="I558" s="13" t="s">
        <v>34</v>
      </c>
      <c r="J558" s="13" t="s">
        <v>35</v>
      </c>
      <c r="K558" s="13" t="s">
        <v>36</v>
      </c>
      <c r="L558" s="13" t="s">
        <v>37</v>
      </c>
    </row>
    <row r="559" customFormat="false" ht="15" hidden="false" customHeight="false" outlineLevel="0" collapsed="false">
      <c r="B559" s="137" t="s">
        <v>1116</v>
      </c>
    </row>
    <row r="560" customFormat="false" ht="15" hidden="false" customHeight="false" outlineLevel="0" collapsed="false">
      <c r="B560" s="139" t="s">
        <v>1117</v>
      </c>
    </row>
    <row r="561" customFormat="false" ht="15" hidden="false" customHeight="false" outlineLevel="0" collapsed="false">
      <c r="B561" s="141" t="s">
        <v>1118</v>
      </c>
    </row>
    <row r="562" customFormat="false" ht="15" hidden="false" customHeight="false" outlineLevel="0" collapsed="false">
      <c r="B562" s="142" t="s">
        <v>137</v>
      </c>
      <c r="C562" s="133" t="s">
        <v>639</v>
      </c>
      <c r="D562" s="134" t="n">
        <v>14201800000</v>
      </c>
      <c r="E562" s="134" t="n">
        <v>12673200000</v>
      </c>
      <c r="F562" s="134" t="n">
        <v>11473200000</v>
      </c>
      <c r="G562" s="134" t="n">
        <v>10484300000</v>
      </c>
      <c r="H562" s="134" t="n">
        <v>9353100000</v>
      </c>
      <c r="I562" s="134" t="n">
        <v>9073300000</v>
      </c>
      <c r="J562" s="134" t="n">
        <v>7784500000</v>
      </c>
      <c r="K562" s="134" t="n">
        <v>8095100000</v>
      </c>
      <c r="L562" s="134" t="n">
        <v>8220600000</v>
      </c>
    </row>
    <row r="563" customFormat="false" ht="15" hidden="false" customHeight="false" outlineLevel="0" collapsed="false">
      <c r="B563" s="146" t="s">
        <v>1119</v>
      </c>
    </row>
    <row r="564" customFormat="false" ht="15" hidden="false" customHeight="false" outlineLevel="0" collapsed="false">
      <c r="B564" s="149" t="s">
        <v>1120</v>
      </c>
      <c r="C564" s="133" t="s">
        <v>1121</v>
      </c>
      <c r="D564" s="134" t="n">
        <v>4467700000</v>
      </c>
      <c r="E564" s="134" t="n">
        <v>5109400000</v>
      </c>
      <c r="F564" s="134" t="n">
        <v>1373800000</v>
      </c>
      <c r="G564" s="134" t="n">
        <v>402100000</v>
      </c>
      <c r="H564" s="134" t="n">
        <v>231300000</v>
      </c>
      <c r="I564" s="134" t="n">
        <v>1288300000</v>
      </c>
      <c r="J564" s="134" t="n">
        <v>907300000</v>
      </c>
      <c r="K564" s="134" t="n">
        <v>1831600000</v>
      </c>
      <c r="L564" s="134" t="n">
        <v>2111000000</v>
      </c>
    </row>
    <row r="565" customFormat="false" ht="15" hidden="false" customHeight="false" outlineLevel="0" collapsed="false">
      <c r="B565" s="149" t="s">
        <v>1122</v>
      </c>
      <c r="C565" s="133" t="s">
        <v>1123</v>
      </c>
      <c r="D565" s="134" t="n">
        <v>0</v>
      </c>
      <c r="E565" s="134" t="n">
        <v>0</v>
      </c>
      <c r="F565" s="134" t="n">
        <v>0</v>
      </c>
      <c r="G565" s="134" t="n">
        <v>818300000</v>
      </c>
      <c r="H565" s="134" t="n">
        <v>0</v>
      </c>
      <c r="I565" s="134" t="n">
        <v>0</v>
      </c>
      <c r="J565" s="134" t="n">
        <v>0</v>
      </c>
      <c r="K565" s="134" t="n">
        <v>0</v>
      </c>
      <c r="L565" s="134" t="n">
        <v>221700000</v>
      </c>
    </row>
    <row r="566" customFormat="false" ht="15" hidden="false" customHeight="false" outlineLevel="0" collapsed="false">
      <c r="B566" s="149" t="s">
        <v>1124</v>
      </c>
      <c r="C566" s="133" t="s">
        <v>1125</v>
      </c>
      <c r="D566" s="134" t="n">
        <v>-7000000</v>
      </c>
      <c r="E566" s="134" t="n">
        <v>12600000</v>
      </c>
      <c r="F566" s="134" t="n">
        <v>28800000</v>
      </c>
      <c r="G566" s="134" t="n">
        <v>47600000</v>
      </c>
      <c r="H566" s="134" t="n">
        <v>37700000</v>
      </c>
      <c r="I566" s="134" t="n">
        <v>0</v>
      </c>
      <c r="J566" s="134" t="n">
        <v>0</v>
      </c>
      <c r="K566" s="134" t="n">
        <v>0</v>
      </c>
      <c r="L566" s="134" t="n">
        <v>0</v>
      </c>
    </row>
    <row r="567" customFormat="false" ht="15" hidden="false" customHeight="false" outlineLevel="0" collapsed="false">
      <c r="B567" s="150" t="s">
        <v>1126</v>
      </c>
    </row>
    <row r="568" customFormat="false" ht="15" hidden="false" customHeight="false" outlineLevel="0" collapsed="false">
      <c r="B568" s="151" t="s">
        <v>1127</v>
      </c>
      <c r="C568" s="133" t="s">
        <v>1128</v>
      </c>
      <c r="D568" s="134" t="n">
        <v>-2316400000</v>
      </c>
      <c r="E568" s="134" t="n">
        <v>-2321800000</v>
      </c>
      <c r="F568" s="134" t="n">
        <v>-2420400000</v>
      </c>
      <c r="G568" s="134" t="n">
        <v>-1141300000</v>
      </c>
      <c r="H568" s="134" t="n">
        <v>-1163600000</v>
      </c>
      <c r="I568" s="134" t="n">
        <v>-1205800000</v>
      </c>
      <c r="J568" s="134" t="n">
        <v>-1401700000</v>
      </c>
      <c r="K568" s="134" t="n">
        <v>-1393900000</v>
      </c>
      <c r="L568" s="134" t="n">
        <v>-1903700000</v>
      </c>
    </row>
    <row r="569" customFormat="false" ht="15" hidden="false" customHeight="false" outlineLevel="0" collapsed="false">
      <c r="B569" s="152" t="s">
        <v>1129</v>
      </c>
      <c r="C569" s="133" t="s">
        <v>1130</v>
      </c>
      <c r="D569" s="136" t="n">
        <v>-2316400000</v>
      </c>
      <c r="E569" s="136" t="n">
        <v>-2321800000</v>
      </c>
      <c r="F569" s="136" t="n">
        <v>-2420400000</v>
      </c>
      <c r="G569" s="136" t="n">
        <v>-1141300000</v>
      </c>
      <c r="H569" s="136" t="n">
        <v>-1163600000</v>
      </c>
      <c r="I569" s="136" t="n">
        <v>-1205800000</v>
      </c>
      <c r="J569" s="136" t="n">
        <v>-1401700000</v>
      </c>
      <c r="K569" s="136" t="n">
        <v>-1393900000</v>
      </c>
      <c r="L569" s="136" t="n">
        <v>-1903700000</v>
      </c>
    </row>
    <row r="570" customFormat="false" ht="15" hidden="false" customHeight="false" outlineLevel="0" collapsed="false">
      <c r="B570" s="149" t="s">
        <v>750</v>
      </c>
      <c r="C570" s="133" t="s">
        <v>751</v>
      </c>
      <c r="D570" s="134" t="n">
        <v>0</v>
      </c>
      <c r="E570" s="134" t="n">
        <v>0</v>
      </c>
      <c r="F570" s="134" t="n">
        <v>0</v>
      </c>
      <c r="G570" s="134" t="n">
        <v>-1656000000</v>
      </c>
      <c r="H570" s="134" t="n">
        <v>-163100000</v>
      </c>
      <c r="I570" s="134" t="n">
        <v>-206300000</v>
      </c>
      <c r="J570" s="134" t="n">
        <v>-216900000</v>
      </c>
      <c r="K570" s="134" t="n">
        <v>0</v>
      </c>
      <c r="L570" s="134" t="n">
        <v>-75900000</v>
      </c>
    </row>
    <row r="571" customFormat="false" ht="15" hidden="false" customHeight="false" outlineLevel="0" collapsed="false">
      <c r="B571" s="149" t="s">
        <v>752</v>
      </c>
      <c r="C571" s="133" t="s">
        <v>753</v>
      </c>
      <c r="D571" s="134" t="n">
        <v>0</v>
      </c>
      <c r="E571" s="134" t="n">
        <v>0</v>
      </c>
      <c r="F571" s="134" t="n">
        <v>0</v>
      </c>
      <c r="G571" s="134" t="n">
        <v>0</v>
      </c>
      <c r="H571" s="134" t="n">
        <v>0</v>
      </c>
      <c r="I571" s="134" t="n">
        <v>0</v>
      </c>
      <c r="J571" s="134" t="n">
        <v>243400000</v>
      </c>
      <c r="K571" s="134" t="n">
        <v>0</v>
      </c>
      <c r="L571" s="134" t="n">
        <v>0</v>
      </c>
    </row>
    <row r="572" customFormat="false" ht="15" hidden="false" customHeight="false" outlineLevel="0" collapsed="false">
      <c r="B572" s="149" t="s">
        <v>1131</v>
      </c>
      <c r="C572" s="133" t="s">
        <v>1132</v>
      </c>
      <c r="D572" s="134" t="n">
        <v>0</v>
      </c>
      <c r="E572" s="134" t="n">
        <v>0</v>
      </c>
      <c r="F572" s="134" t="n">
        <v>0</v>
      </c>
      <c r="G572" s="134" t="n">
        <v>937600000</v>
      </c>
      <c r="H572" s="134" t="n">
        <v>0</v>
      </c>
      <c r="I572" s="134" t="n">
        <v>0</v>
      </c>
      <c r="J572" s="134" t="n">
        <v>0</v>
      </c>
      <c r="K572" s="134" t="n">
        <v>-3700000</v>
      </c>
      <c r="L572" s="134" t="n">
        <v>4300000</v>
      </c>
    </row>
    <row r="573" customFormat="false" ht="15" hidden="false" customHeight="false" outlineLevel="0" collapsed="false">
      <c r="B573" s="150" t="s">
        <v>1133</v>
      </c>
    </row>
    <row r="574" customFormat="false" ht="15" hidden="false" customHeight="false" outlineLevel="0" collapsed="false">
      <c r="B574" s="151" t="s">
        <v>1134</v>
      </c>
      <c r="C574" s="133" t="s">
        <v>1135</v>
      </c>
      <c r="D574" s="134" t="n">
        <v>100000</v>
      </c>
      <c r="E574" s="134" t="n">
        <v>-9600000</v>
      </c>
      <c r="F574" s="134" t="n">
        <v>-13500000</v>
      </c>
      <c r="G574" s="134" t="n">
        <v>-386800000</v>
      </c>
      <c r="H574" s="134" t="n">
        <v>-19900000</v>
      </c>
      <c r="I574" s="134" t="n">
        <v>800000</v>
      </c>
      <c r="J574" s="134" t="n">
        <v>-641600000</v>
      </c>
      <c r="K574" s="134" t="n">
        <v>-123400000</v>
      </c>
      <c r="L574" s="134" t="n">
        <v>-1252600000</v>
      </c>
    </row>
    <row r="575" customFormat="false" ht="15" hidden="false" customHeight="false" outlineLevel="0" collapsed="false">
      <c r="B575" s="152" t="s">
        <v>1136</v>
      </c>
      <c r="C575" s="133" t="s">
        <v>1137</v>
      </c>
      <c r="D575" s="136" t="n">
        <v>100000</v>
      </c>
      <c r="E575" s="136" t="n">
        <v>-9600000</v>
      </c>
      <c r="F575" s="136" t="n">
        <v>-13500000</v>
      </c>
      <c r="G575" s="136" t="n">
        <v>-386800000</v>
      </c>
      <c r="H575" s="136" t="n">
        <v>-19900000</v>
      </c>
      <c r="I575" s="136" t="n">
        <v>800000</v>
      </c>
      <c r="J575" s="136" t="n">
        <v>-641600000</v>
      </c>
      <c r="K575" s="136" t="n">
        <v>-123400000</v>
      </c>
      <c r="L575" s="136" t="n">
        <v>-1252600000</v>
      </c>
    </row>
    <row r="576" customFormat="false" ht="15" hidden="false" customHeight="false" outlineLevel="0" collapsed="false">
      <c r="B576" s="150" t="s">
        <v>1138</v>
      </c>
    </row>
    <row r="577" customFormat="false" ht="15" hidden="false" customHeight="false" outlineLevel="0" collapsed="false">
      <c r="B577" s="151" t="s">
        <v>1139</v>
      </c>
      <c r="C577" s="133" t="s">
        <v>1140</v>
      </c>
      <c r="D577" s="134" t="n">
        <v>287900000</v>
      </c>
      <c r="E577" s="134" t="n">
        <v>472800000</v>
      </c>
      <c r="F577" s="134" t="n">
        <v>168700000</v>
      </c>
      <c r="G577" s="134" t="n">
        <v>10400000</v>
      </c>
      <c r="H577" s="134" t="n">
        <v>53600000</v>
      </c>
      <c r="I577" s="134" t="n">
        <v>156800000</v>
      </c>
      <c r="J577" s="134" t="n">
        <v>179300000</v>
      </c>
      <c r="K577" s="134" t="n">
        <v>0</v>
      </c>
      <c r="L577" s="134" t="n">
        <v>-1013300000</v>
      </c>
    </row>
    <row r="578" customFormat="false" ht="15" hidden="false" customHeight="false" outlineLevel="0" collapsed="false">
      <c r="B578" s="152" t="s">
        <v>1141</v>
      </c>
      <c r="C578" s="133" t="s">
        <v>1142</v>
      </c>
      <c r="D578" s="136" t="n">
        <v>287900000</v>
      </c>
      <c r="E578" s="136" t="n">
        <v>472800000</v>
      </c>
      <c r="F578" s="136" t="n">
        <v>168700000</v>
      </c>
      <c r="G578" s="136" t="n">
        <v>10400000</v>
      </c>
      <c r="H578" s="136" t="n">
        <v>53600000</v>
      </c>
      <c r="I578" s="136" t="n">
        <v>156800000</v>
      </c>
      <c r="J578" s="136" t="n">
        <v>179300000</v>
      </c>
      <c r="K578" s="136" t="n">
        <v>0</v>
      </c>
      <c r="L578" s="136" t="n">
        <v>-1013300000</v>
      </c>
    </row>
    <row r="579" customFormat="false" ht="15" hidden="false" customHeight="false" outlineLevel="0" collapsed="false">
      <c r="B579" s="149" t="s">
        <v>1143</v>
      </c>
      <c r="C579" s="133" t="s">
        <v>1144</v>
      </c>
      <c r="D579" s="134" t="n">
        <v>0</v>
      </c>
      <c r="E579" s="134" t="n">
        <v>3846400000</v>
      </c>
      <c r="F579" s="134" t="n">
        <v>0</v>
      </c>
      <c r="G579" s="134" t="n">
        <v>0</v>
      </c>
      <c r="H579" s="134" t="n">
        <v>0</v>
      </c>
      <c r="I579" s="134" t="n">
        <v>0</v>
      </c>
      <c r="J579" s="134" t="n">
        <v>0</v>
      </c>
      <c r="K579" s="134" t="n">
        <v>0</v>
      </c>
      <c r="L579" s="134" t="n">
        <v>0</v>
      </c>
    </row>
    <row r="580" customFormat="false" ht="15" hidden="false" customHeight="false" outlineLevel="0" collapsed="false">
      <c r="B580" s="149" t="s">
        <v>1145</v>
      </c>
      <c r="C580" s="133" t="s">
        <v>1146</v>
      </c>
      <c r="D580" s="134" t="n">
        <v>0</v>
      </c>
      <c r="E580" s="134" t="n">
        <v>0</v>
      </c>
      <c r="F580" s="134" t="n">
        <v>0</v>
      </c>
      <c r="G580" s="134" t="n">
        <v>0</v>
      </c>
      <c r="H580" s="134" t="n">
        <v>0</v>
      </c>
      <c r="I580" s="134" t="n">
        <v>0</v>
      </c>
      <c r="J580" s="134" t="n">
        <v>0</v>
      </c>
      <c r="K580" s="134" t="n">
        <v>0</v>
      </c>
      <c r="L580" s="134" t="n">
        <v>-7400000</v>
      </c>
    </row>
    <row r="581" customFormat="false" ht="15" hidden="false" customHeight="false" outlineLevel="0" collapsed="false">
      <c r="B581" s="147" t="s">
        <v>1147</v>
      </c>
      <c r="C581" s="133" t="s">
        <v>1148</v>
      </c>
      <c r="D581" s="136" t="n">
        <v>1856500000</v>
      </c>
      <c r="E581" s="136" t="n">
        <v>-1528600000</v>
      </c>
      <c r="F581" s="136" t="n">
        <v>-1200000000</v>
      </c>
      <c r="G581" s="136" t="n">
        <v>-988900000</v>
      </c>
      <c r="H581" s="136" t="n">
        <v>-1131200000</v>
      </c>
      <c r="I581" s="136" t="n">
        <v>-279800000</v>
      </c>
      <c r="J581" s="136" t="n">
        <v>-1288800000</v>
      </c>
      <c r="K581" s="136" t="n">
        <v>310600000</v>
      </c>
      <c r="L581" s="136" t="n">
        <v>125500000</v>
      </c>
    </row>
    <row r="582" customFormat="false" ht="15" hidden="false" customHeight="false" outlineLevel="0" collapsed="false">
      <c r="B582" s="142" t="s">
        <v>137</v>
      </c>
      <c r="C582" s="133" t="s">
        <v>639</v>
      </c>
      <c r="D582" s="134" t="n">
        <v>14201800000</v>
      </c>
      <c r="E582" s="134" t="n">
        <v>12673200000</v>
      </c>
      <c r="F582" s="134" t="n">
        <v>11473200000</v>
      </c>
      <c r="G582" s="134" t="n">
        <v>10484300000</v>
      </c>
      <c r="H582" s="134" t="n">
        <v>9353100000</v>
      </c>
      <c r="I582" s="134" t="n">
        <v>9073300000</v>
      </c>
      <c r="J582" s="134" t="n">
        <v>7784500000</v>
      </c>
      <c r="K582" s="134" t="n">
        <v>8095100000</v>
      </c>
      <c r="L582" s="134" t="n">
        <v>8220600000</v>
      </c>
    </row>
    <row r="585" customFormat="false" ht="15" hidden="false" customHeight="false" outlineLevel="0" collapsed="false">
      <c r="A585" s="0" t="s">
        <v>26</v>
      </c>
      <c r="B585" s="63" t="s">
        <v>1149</v>
      </c>
    </row>
    <row r="587" customFormat="false" ht="15" hidden="false" customHeight="false" outlineLevel="0" collapsed="false">
      <c r="C587" s="131" t="s">
        <v>568</v>
      </c>
      <c r="D587" s="13" t="s">
        <v>29</v>
      </c>
      <c r="E587" s="13" t="s">
        <v>30</v>
      </c>
      <c r="F587" s="13" t="s">
        <v>31</v>
      </c>
      <c r="G587" s="13" t="s">
        <v>32</v>
      </c>
      <c r="H587" s="13" t="s">
        <v>33</v>
      </c>
      <c r="I587" s="13" t="s">
        <v>34</v>
      </c>
      <c r="J587" s="13" t="s">
        <v>35</v>
      </c>
      <c r="K587" s="13" t="s">
        <v>36</v>
      </c>
      <c r="L587" s="13" t="s">
        <v>37</v>
      </c>
    </row>
    <row r="588" customFormat="false" ht="15" hidden="false" customHeight="false" outlineLevel="0" collapsed="false">
      <c r="B588" s="63" t="s">
        <v>1150</v>
      </c>
    </row>
    <row r="589" customFormat="false" ht="15" hidden="false" customHeight="false" outlineLevel="0" collapsed="false">
      <c r="B589" s="137" t="s">
        <v>1151</v>
      </c>
    </row>
    <row r="590" customFormat="false" ht="15" hidden="false" customHeight="false" outlineLevel="0" collapsed="false">
      <c r="B590" s="139" t="s">
        <v>1152</v>
      </c>
    </row>
    <row r="591" customFormat="false" ht="15" hidden="false" customHeight="false" outlineLevel="0" collapsed="false">
      <c r="B591" s="141" t="s">
        <v>1153</v>
      </c>
    </row>
    <row r="592" customFormat="false" ht="15" hidden="false" customHeight="false" outlineLevel="0" collapsed="false">
      <c r="B592" s="146" t="s">
        <v>1154</v>
      </c>
    </row>
    <row r="593" customFormat="false" ht="15" hidden="false" customHeight="false" outlineLevel="0" collapsed="false">
      <c r="B593" s="149" t="s">
        <v>1155</v>
      </c>
      <c r="C593" s="133" t="s">
        <v>1156</v>
      </c>
      <c r="D593" s="134" t="n">
        <v>38250000000</v>
      </c>
      <c r="E593" s="134" t="n">
        <v>31092000000</v>
      </c>
      <c r="F593" s="134" t="n">
        <v>19778900000</v>
      </c>
      <c r="G593" s="134" t="n">
        <v>15053700000</v>
      </c>
      <c r="H593" s="134" t="n">
        <v>14113900000</v>
      </c>
      <c r="I593" s="134" t="n">
        <v>16468000000</v>
      </c>
      <c r="J593" s="134" t="n">
        <v>13783500000</v>
      </c>
      <c r="K593" s="134" t="n">
        <v>20506500000</v>
      </c>
      <c r="L593" s="134" t="n">
        <v>40476000000</v>
      </c>
    </row>
    <row r="594" customFormat="false" ht="15" hidden="false" customHeight="false" outlineLevel="0" collapsed="false">
      <c r="B594" s="149" t="s">
        <v>1157</v>
      </c>
      <c r="C594" s="133" t="s">
        <v>1158</v>
      </c>
      <c r="D594" s="134" t="n">
        <v>1517000000</v>
      </c>
      <c r="E594" s="134" t="n">
        <v>1192100000</v>
      </c>
      <c r="F594" s="134" t="n">
        <v>973000000</v>
      </c>
      <c r="G594" s="134" t="n">
        <v>1408300000</v>
      </c>
      <c r="H594" s="134" t="n">
        <v>2216700000</v>
      </c>
      <c r="I594" s="134" t="n">
        <v>2698500000</v>
      </c>
      <c r="J594" s="134" t="n">
        <v>2079100000</v>
      </c>
      <c r="K594" s="134" t="n">
        <v>2210700000</v>
      </c>
      <c r="L594" s="134" t="n">
        <v>1812500000</v>
      </c>
    </row>
    <row r="595" customFormat="false" ht="15" hidden="false" customHeight="false" outlineLevel="0" collapsed="false">
      <c r="B595" s="147" t="s">
        <v>1159</v>
      </c>
      <c r="C595" s="133" t="s">
        <v>1160</v>
      </c>
      <c r="D595" s="136" t="n">
        <v>36733000000</v>
      </c>
      <c r="E595" s="136" t="n">
        <v>29899900000</v>
      </c>
      <c r="F595" s="136" t="n">
        <v>18805900000</v>
      </c>
      <c r="G595" s="136" t="n">
        <v>13645400000</v>
      </c>
      <c r="H595" s="136" t="n">
        <v>11897200000</v>
      </c>
      <c r="I595" s="136" t="n">
        <v>13769500000</v>
      </c>
      <c r="J595" s="136" t="n">
        <v>11704400000</v>
      </c>
      <c r="K595" s="136" t="n">
        <v>18295800000</v>
      </c>
      <c r="L595" s="136" t="n">
        <v>38663500000</v>
      </c>
    </row>
    <row r="596" customFormat="false" ht="15" hidden="false" customHeight="false" outlineLevel="0" collapsed="false">
      <c r="B596" s="139" t="s">
        <v>1161</v>
      </c>
    </row>
    <row r="597" customFormat="false" ht="15" hidden="false" customHeight="false" outlineLevel="0" collapsed="false">
      <c r="B597" s="141" t="s">
        <v>1162</v>
      </c>
    </row>
    <row r="598" customFormat="false" ht="15" hidden="false" customHeight="false" outlineLevel="0" collapsed="false">
      <c r="B598" s="144" t="s">
        <v>1159</v>
      </c>
      <c r="C598" s="133" t="s">
        <v>1160</v>
      </c>
      <c r="D598" s="136" t="n">
        <v>36733000000</v>
      </c>
      <c r="E598" s="136" t="n">
        <v>29899900000</v>
      </c>
      <c r="F598" s="136" t="n">
        <v>18805900000</v>
      </c>
      <c r="G598" s="136" t="n">
        <v>13645400000</v>
      </c>
      <c r="H598" s="136" t="n">
        <v>11897200000</v>
      </c>
      <c r="I598" s="136" t="n">
        <v>13769500000</v>
      </c>
      <c r="J598" s="136" t="n">
        <v>11704400000</v>
      </c>
      <c r="K598" s="136" t="n">
        <v>18295800000</v>
      </c>
      <c r="L598" s="136" t="n">
        <v>38663500000</v>
      </c>
    </row>
    <row r="599" customFormat="false" ht="15" hidden="false" customHeight="false" outlineLevel="0" collapsed="false">
      <c r="B599" s="137" t="s">
        <v>1163</v>
      </c>
    </row>
    <row r="600" customFormat="false" ht="15" hidden="false" customHeight="false" outlineLevel="0" collapsed="false">
      <c r="B600" s="139" t="s">
        <v>1164</v>
      </c>
    </row>
    <row r="601" customFormat="false" ht="15" hidden="false" customHeight="false" outlineLevel="0" collapsed="false">
      <c r="B601" s="140" t="s">
        <v>1165</v>
      </c>
      <c r="C601" s="133" t="s">
        <v>1166</v>
      </c>
      <c r="D601" s="134" t="n">
        <v>7118400000</v>
      </c>
      <c r="E601" s="134" t="n">
        <v>5811500000</v>
      </c>
      <c r="F601" s="134" t="n">
        <v>4838100000</v>
      </c>
      <c r="G601" s="134" t="n">
        <v>2844000000</v>
      </c>
      <c r="H601" s="134" t="n">
        <v>4026300000</v>
      </c>
      <c r="I601" s="134" t="n">
        <v>2643100000</v>
      </c>
      <c r="J601" s="134" t="n">
        <v>4331400000</v>
      </c>
      <c r="K601" s="134" t="n">
        <v>9029200000</v>
      </c>
      <c r="L601" s="134" t="n">
        <v>11035000000</v>
      </c>
    </row>
    <row r="602" customFormat="false" ht="15" hidden="false" customHeight="false" outlineLevel="0" collapsed="false">
      <c r="B602" s="143" t="s">
        <v>150</v>
      </c>
      <c r="C602" s="133" t="s">
        <v>650</v>
      </c>
      <c r="D602" s="136" t="n">
        <v>7118400000</v>
      </c>
      <c r="E602" s="136" t="n">
        <v>5811500000</v>
      </c>
      <c r="F602" s="136" t="n">
        <v>4838100000</v>
      </c>
      <c r="G602" s="136" t="n">
        <v>2844000000</v>
      </c>
      <c r="H602" s="136" t="n">
        <v>4026300000</v>
      </c>
      <c r="I602" s="136" t="n">
        <v>2643100000</v>
      </c>
      <c r="J602" s="136" t="n">
        <v>4331400000</v>
      </c>
      <c r="K602" s="136" t="n">
        <v>9029200000</v>
      </c>
      <c r="L602" s="136" t="n">
        <v>11035000000</v>
      </c>
    </row>
    <row r="603" customFormat="false" ht="15" hidden="false" customHeight="false" outlineLevel="0" collapsed="false">
      <c r="B603" s="141" t="s">
        <v>1167</v>
      </c>
    </row>
    <row r="604" customFormat="false" ht="15" hidden="false" customHeight="false" outlineLevel="0" collapsed="false">
      <c r="B604" s="146" t="s">
        <v>1168</v>
      </c>
    </row>
    <row r="605" customFormat="false" ht="15" hidden="false" customHeight="false" outlineLevel="0" collapsed="false">
      <c r="B605" s="149" t="s">
        <v>1165</v>
      </c>
      <c r="C605" s="133" t="s">
        <v>1166</v>
      </c>
      <c r="D605" s="134" t="n">
        <v>7118400000</v>
      </c>
      <c r="E605" s="134" t="n">
        <v>5811500000</v>
      </c>
      <c r="F605" s="134" t="n">
        <v>4838100000</v>
      </c>
      <c r="G605" s="134" t="n">
        <v>2844000000</v>
      </c>
      <c r="H605" s="134" t="n">
        <v>4026300000</v>
      </c>
      <c r="I605" s="134" t="n">
        <v>2643100000</v>
      </c>
      <c r="J605" s="134" t="n">
        <v>4331400000</v>
      </c>
      <c r="K605" s="134" t="n">
        <v>9029200000</v>
      </c>
      <c r="L605" s="134" t="n">
        <v>11035000000</v>
      </c>
    </row>
    <row r="606" customFormat="false" ht="15" hidden="false" customHeight="false" outlineLevel="0" collapsed="false">
      <c r="B606" s="137" t="s">
        <v>1169</v>
      </c>
    </row>
    <row r="607" customFormat="false" ht="15" hidden="false" customHeight="false" outlineLevel="0" collapsed="false">
      <c r="B607" s="139" t="s">
        <v>1170</v>
      </c>
    </row>
    <row r="608" customFormat="false" ht="15" hidden="false" customHeight="false" outlineLevel="0" collapsed="false">
      <c r="B608" s="140" t="s">
        <v>1171</v>
      </c>
      <c r="C608" s="133" t="s">
        <v>1172</v>
      </c>
      <c r="D608" s="134" t="n">
        <v>1661600000</v>
      </c>
      <c r="E608" s="134" t="n">
        <v>1393800000</v>
      </c>
      <c r="F608" s="134" t="n">
        <v>1038400000</v>
      </c>
      <c r="G608" s="134" t="n">
        <v>510500000</v>
      </c>
      <c r="H608" s="134" t="n">
        <v>544600000</v>
      </c>
      <c r="I608" s="134" t="n">
        <v>292400000</v>
      </c>
      <c r="J608" s="134" t="n">
        <v>402200000</v>
      </c>
      <c r="K608" s="134" t="n">
        <v>784300000</v>
      </c>
      <c r="L608" s="134" t="n">
        <v>751400000</v>
      </c>
    </row>
    <row r="609" customFormat="false" ht="15" hidden="false" customHeight="false" outlineLevel="0" collapsed="false">
      <c r="B609" s="143" t="s">
        <v>143</v>
      </c>
      <c r="C609" s="133" t="s">
        <v>653</v>
      </c>
      <c r="D609" s="136" t="n">
        <v>1661600000</v>
      </c>
      <c r="E609" s="136" t="n">
        <v>1393800000</v>
      </c>
      <c r="F609" s="136" t="n">
        <v>1038400000</v>
      </c>
      <c r="G609" s="136" t="n">
        <v>510500000</v>
      </c>
      <c r="H609" s="136" t="n">
        <v>544600000</v>
      </c>
      <c r="I609" s="136" t="n">
        <v>292400000</v>
      </c>
      <c r="J609" s="136" t="n">
        <v>402200000</v>
      </c>
      <c r="K609" s="136" t="n">
        <v>784300000</v>
      </c>
      <c r="L609" s="136" t="n">
        <v>751400000</v>
      </c>
    </row>
    <row r="610" customFormat="false" ht="15" hidden="false" customHeight="false" outlineLevel="0" collapsed="false">
      <c r="B610" s="137" t="s">
        <v>1173</v>
      </c>
    </row>
    <row r="611" customFormat="false" ht="15" hidden="false" customHeight="false" outlineLevel="0" collapsed="false">
      <c r="B611" s="139" t="s">
        <v>1174</v>
      </c>
    </row>
    <row r="612" customFormat="false" ht="15" hidden="false" customHeight="false" outlineLevel="0" collapsed="false">
      <c r="B612" s="141" t="s">
        <v>1175</v>
      </c>
    </row>
    <row r="613" customFormat="false" ht="15" hidden="false" customHeight="false" outlineLevel="0" collapsed="false">
      <c r="B613" s="142" t="s">
        <v>156</v>
      </c>
      <c r="C613" s="133" t="s">
        <v>156</v>
      </c>
      <c r="D613" s="134" t="n">
        <v>34688400000</v>
      </c>
      <c r="E613" s="134" t="n">
        <v>30263700000</v>
      </c>
      <c r="F613" s="134" t="n">
        <v>29139300000</v>
      </c>
      <c r="G613" s="134" t="n">
        <v>20555900000</v>
      </c>
      <c r="H613" s="134" t="n">
        <v>21727600000</v>
      </c>
      <c r="I613" s="134" t="n">
        <v>22079000000</v>
      </c>
      <c r="J613" s="134" t="n">
        <v>18271300000</v>
      </c>
      <c r="K613" s="134" t="n">
        <v>22922900000</v>
      </c>
      <c r="L613" s="134" t="n">
        <v>32335500000</v>
      </c>
    </row>
    <row r="614" customFormat="false" ht="15" hidden="false" customHeight="false" outlineLevel="0" collapsed="false">
      <c r="B614" s="137" t="s">
        <v>1176</v>
      </c>
    </row>
    <row r="615" customFormat="false" ht="15" hidden="false" customHeight="false" outlineLevel="0" collapsed="false">
      <c r="B615" s="141" t="s">
        <v>1177</v>
      </c>
    </row>
    <row r="616" customFormat="false" ht="15" hidden="false" customHeight="false" outlineLevel="0" collapsed="false">
      <c r="B616" s="146" t="s">
        <v>1178</v>
      </c>
    </row>
    <row r="617" customFormat="false" ht="15" hidden="false" customHeight="false" outlineLevel="0" collapsed="false">
      <c r="B617" s="150" t="s">
        <v>1179</v>
      </c>
    </row>
    <row r="618" customFormat="false" ht="15" hidden="false" customHeight="false" outlineLevel="0" collapsed="false">
      <c r="B618" s="153" t="s">
        <v>1180</v>
      </c>
    </row>
    <row r="619" customFormat="false" ht="15" hidden="false" customHeight="false" outlineLevel="0" collapsed="false">
      <c r="B619" s="154" t="s">
        <v>1181</v>
      </c>
      <c r="C619" s="133" t="s">
        <v>1182</v>
      </c>
      <c r="D619" s="134" t="n">
        <v>79100000</v>
      </c>
      <c r="E619" s="134" t="n">
        <v>0</v>
      </c>
      <c r="F619" s="134" t="n">
        <v>0</v>
      </c>
      <c r="G619" s="134" t="n">
        <v>0</v>
      </c>
      <c r="H619" s="134" t="n">
        <v>0</v>
      </c>
      <c r="I619" s="134" t="n">
        <v>0</v>
      </c>
      <c r="J619" s="134" t="n">
        <v>0</v>
      </c>
      <c r="K619" s="134" t="n">
        <v>0</v>
      </c>
      <c r="L619" s="134" t="n">
        <v>0</v>
      </c>
    </row>
    <row r="620" customFormat="false" ht="15" hidden="false" customHeight="false" outlineLevel="0" collapsed="false">
      <c r="B620" s="154" t="s">
        <v>1183</v>
      </c>
      <c r="C620" s="133" t="s">
        <v>1184</v>
      </c>
      <c r="D620" s="134" t="n">
        <v>3269200000</v>
      </c>
      <c r="E620" s="134" t="n">
        <v>3991200000</v>
      </c>
      <c r="F620" s="134" t="n">
        <v>733700000</v>
      </c>
      <c r="G620" s="134" t="n">
        <v>319100000</v>
      </c>
      <c r="H620" s="134" t="n">
        <v>0</v>
      </c>
      <c r="I620" s="134" t="n">
        <v>0</v>
      </c>
      <c r="J620" s="134" t="n">
        <v>0</v>
      </c>
      <c r="K620" s="134" t="n">
        <v>0</v>
      </c>
      <c r="L620" s="134" t="n">
        <v>0</v>
      </c>
    </row>
    <row r="621" customFormat="false" ht="15" hidden="false" customHeight="false" outlineLevel="0" collapsed="false">
      <c r="B621" s="154" t="s">
        <v>1185</v>
      </c>
      <c r="C621" s="133" t="s">
        <v>1186</v>
      </c>
      <c r="D621" s="134" t="n">
        <v>0</v>
      </c>
      <c r="E621" s="134" t="n">
        <v>0</v>
      </c>
      <c r="F621" s="134" t="n">
        <v>0</v>
      </c>
      <c r="G621" s="134" t="n">
        <v>247400000</v>
      </c>
      <c r="H621" s="134" t="n">
        <v>2609000000</v>
      </c>
      <c r="I621" s="134" t="n">
        <v>4365700000</v>
      </c>
      <c r="J621" s="134" t="n">
        <v>3667900000</v>
      </c>
      <c r="K621" s="134" t="n">
        <v>2488000000</v>
      </c>
      <c r="L621" s="134" t="n">
        <v>9002900000</v>
      </c>
    </row>
    <row r="622" customFormat="false" ht="15" hidden="false" customHeight="false" outlineLevel="0" collapsed="false">
      <c r="B622" s="155" t="s">
        <v>1187</v>
      </c>
      <c r="C622" s="133" t="s">
        <v>1188</v>
      </c>
      <c r="D622" s="136" t="n">
        <v>3348300000</v>
      </c>
      <c r="E622" s="136" t="n">
        <v>3991200000</v>
      </c>
      <c r="F622" s="136" t="n">
        <v>733700000</v>
      </c>
      <c r="G622" s="136" t="n">
        <v>566500000</v>
      </c>
      <c r="H622" s="136" t="n">
        <v>2609000000</v>
      </c>
      <c r="I622" s="136" t="n">
        <v>4365700000</v>
      </c>
      <c r="J622" s="136" t="n">
        <v>3667900000</v>
      </c>
      <c r="K622" s="136" t="n">
        <v>2488000000</v>
      </c>
      <c r="L622" s="136" t="n">
        <v>9002900000</v>
      </c>
    </row>
    <row r="623" customFormat="false" ht="15" hidden="false" customHeight="false" outlineLevel="0" collapsed="false">
      <c r="B623" s="151" t="s">
        <v>1189</v>
      </c>
      <c r="C623" s="133" t="s">
        <v>1190</v>
      </c>
      <c r="D623" s="134" t="n">
        <v>0</v>
      </c>
      <c r="E623" s="134" t="n">
        <v>1810000000</v>
      </c>
      <c r="F623" s="134" t="n">
        <v>1800000</v>
      </c>
      <c r="G623" s="134" t="n">
        <v>0</v>
      </c>
      <c r="H623" s="134" t="n">
        <v>0</v>
      </c>
      <c r="I623" s="134" t="n">
        <v>0</v>
      </c>
      <c r="J623" s="134" t="n">
        <v>0</v>
      </c>
      <c r="K623" s="134" t="n">
        <v>0</v>
      </c>
      <c r="L623" s="134" t="n">
        <v>0</v>
      </c>
    </row>
    <row r="624" customFormat="false" ht="15" hidden="false" customHeight="false" outlineLevel="0" collapsed="false">
      <c r="B624" s="151" t="s">
        <v>1191</v>
      </c>
      <c r="C624" s="133" t="s">
        <v>1192</v>
      </c>
      <c r="D624" s="134" t="n">
        <v>12900000</v>
      </c>
      <c r="E624" s="134" t="n">
        <v>9500000</v>
      </c>
      <c r="F624" s="134" t="n">
        <v>10700000</v>
      </c>
      <c r="G624" s="134" t="n">
        <v>9400000</v>
      </c>
      <c r="H624" s="134" t="n">
        <v>16000000</v>
      </c>
      <c r="I624" s="134" t="n">
        <v>8100000</v>
      </c>
      <c r="J624" s="134" t="n">
        <v>5200000</v>
      </c>
      <c r="K624" s="134" t="n">
        <v>7700000</v>
      </c>
      <c r="L624" s="134" t="n">
        <v>7800000</v>
      </c>
    </row>
    <row r="625" customFormat="false" ht="15" hidden="false" customHeight="false" outlineLevel="0" collapsed="false">
      <c r="B625" s="151" t="s">
        <v>1193</v>
      </c>
      <c r="C625" s="133" t="s">
        <v>1193</v>
      </c>
      <c r="D625" s="134" t="n">
        <v>0</v>
      </c>
      <c r="E625" s="134" t="n">
        <v>0</v>
      </c>
      <c r="F625" s="134" t="n">
        <v>0</v>
      </c>
      <c r="G625" s="134" t="n">
        <v>247400000</v>
      </c>
      <c r="H625" s="134" t="n">
        <v>0</v>
      </c>
      <c r="I625" s="134" t="n">
        <v>630500000</v>
      </c>
      <c r="J625" s="134" t="n">
        <v>0</v>
      </c>
      <c r="K625" s="134" t="n">
        <v>1772700000</v>
      </c>
      <c r="L625" s="134" t="n">
        <v>2117600000</v>
      </c>
    </row>
    <row r="626" customFormat="false" ht="15" hidden="false" customHeight="false" outlineLevel="0" collapsed="false">
      <c r="B626" s="152" t="s">
        <v>160</v>
      </c>
      <c r="C626" s="133" t="s">
        <v>660</v>
      </c>
      <c r="D626" s="136" t="n">
        <v>3361200000</v>
      </c>
      <c r="E626" s="136" t="n">
        <v>5810700000</v>
      </c>
      <c r="F626" s="136" t="n">
        <v>746200000</v>
      </c>
      <c r="G626" s="136" t="n">
        <v>823300000</v>
      </c>
      <c r="H626" s="136" t="n">
        <v>2625000000</v>
      </c>
      <c r="I626" s="136" t="n">
        <v>5004300000</v>
      </c>
      <c r="J626" s="136" t="n">
        <v>3673100000</v>
      </c>
      <c r="K626" s="136" t="n">
        <v>4268400000</v>
      </c>
      <c r="L626" s="136" t="n">
        <v>11128300000</v>
      </c>
    </row>
    <row r="627" customFormat="false" ht="15" hidden="false" customHeight="false" outlineLevel="0" collapsed="false">
      <c r="B627" s="147" t="s">
        <v>1194</v>
      </c>
      <c r="C627" s="133" t="s">
        <v>1195</v>
      </c>
      <c r="D627" s="136" t="n">
        <v>3361200000</v>
      </c>
      <c r="E627" s="136" t="n">
        <v>5810700000</v>
      </c>
      <c r="F627" s="136" t="n">
        <v>746200000</v>
      </c>
      <c r="G627" s="136" t="n">
        <v>823300000</v>
      </c>
      <c r="H627" s="136" t="n">
        <v>2625000000</v>
      </c>
      <c r="I627" s="136" t="n">
        <v>5004300000</v>
      </c>
      <c r="J627" s="136" t="n">
        <v>3673100000</v>
      </c>
      <c r="K627" s="136" t="n">
        <v>4268400000</v>
      </c>
      <c r="L627" s="136" t="n">
        <v>11128300000</v>
      </c>
    </row>
    <row r="628" customFormat="false" ht="15" hidden="false" customHeight="false" outlineLevel="0" collapsed="false">
      <c r="B628" s="137" t="s">
        <v>1196</v>
      </c>
    </row>
    <row r="629" customFormat="false" ht="15" hidden="false" customHeight="false" outlineLevel="0" collapsed="false">
      <c r="B629" s="138" t="s">
        <v>1197</v>
      </c>
      <c r="C629" s="133" t="s">
        <v>1198</v>
      </c>
      <c r="D629" s="134" t="n">
        <v>315700000</v>
      </c>
      <c r="E629" s="134" t="n">
        <v>200900000</v>
      </c>
      <c r="F629" s="134" t="n">
        <v>11100000</v>
      </c>
      <c r="G629" s="134" t="n">
        <v>5900000</v>
      </c>
      <c r="H629" s="134" t="n">
        <v>247300000</v>
      </c>
      <c r="I629" s="134" t="n">
        <v>69500000</v>
      </c>
      <c r="J629" s="134" t="n">
        <v>80100000</v>
      </c>
      <c r="K629" s="134" t="n">
        <v>99400000</v>
      </c>
      <c r="L629" s="134" t="n">
        <v>41000000</v>
      </c>
    </row>
    <row r="630" customFormat="false" ht="15" hidden="false" customHeight="false" outlineLevel="0" collapsed="false">
      <c r="B630" s="138" t="s">
        <v>1199</v>
      </c>
      <c r="C630" s="133" t="s">
        <v>1200</v>
      </c>
      <c r="D630" s="134" t="n">
        <v>1170300000</v>
      </c>
      <c r="E630" s="134" t="n">
        <v>2462700000</v>
      </c>
      <c r="F630" s="134" t="n">
        <v>3152000000</v>
      </c>
      <c r="G630" s="134" t="n">
        <v>1081200000</v>
      </c>
      <c r="H630" s="134" t="n">
        <v>1512400000</v>
      </c>
      <c r="I630" s="134" t="n">
        <v>1135500000</v>
      </c>
      <c r="J630" s="134" t="n">
        <v>1410400000</v>
      </c>
      <c r="K630" s="134" t="n">
        <v>1250400000</v>
      </c>
      <c r="L630" s="134" t="n">
        <v>1842800000</v>
      </c>
    </row>
    <row r="631" customFormat="false" ht="15" hidden="false" customHeight="false" outlineLevel="0" collapsed="false">
      <c r="B631" s="145" t="s">
        <v>162</v>
      </c>
      <c r="C631" s="133" t="s">
        <v>662</v>
      </c>
      <c r="D631" s="136" t="n">
        <v>1486000000</v>
      </c>
      <c r="E631" s="136" t="n">
        <v>2663600000</v>
      </c>
      <c r="F631" s="136" t="n">
        <v>3163100000</v>
      </c>
      <c r="G631" s="136" t="n">
        <v>1087100000</v>
      </c>
      <c r="H631" s="136" t="n">
        <v>1759700000</v>
      </c>
      <c r="I631" s="136" t="n">
        <v>1205000000</v>
      </c>
      <c r="J631" s="136" t="n">
        <v>1490500000</v>
      </c>
      <c r="K631" s="136" t="n">
        <v>1349800000</v>
      </c>
      <c r="L631" s="136" t="n">
        <v>1883800000</v>
      </c>
    </row>
    <row r="632" customFormat="false" ht="15" hidden="false" customHeight="false" outlineLevel="0" collapsed="false">
      <c r="B632" s="139" t="s">
        <v>1201</v>
      </c>
    </row>
    <row r="633" customFormat="false" ht="15" hidden="false" customHeight="false" outlineLevel="0" collapsed="false">
      <c r="B633" s="141" t="s">
        <v>1202</v>
      </c>
    </row>
    <row r="634" customFormat="false" ht="15" hidden="false" customHeight="false" outlineLevel="0" collapsed="false">
      <c r="B634" s="142" t="s">
        <v>1199</v>
      </c>
      <c r="C634" s="133" t="s">
        <v>1200</v>
      </c>
      <c r="D634" s="134" t="n">
        <v>1170300000</v>
      </c>
      <c r="E634" s="134" t="n">
        <v>2462700000</v>
      </c>
      <c r="F634" s="134" t="n">
        <v>3152000000</v>
      </c>
      <c r="G634" s="134" t="n">
        <v>1081200000</v>
      </c>
      <c r="H634" s="134" t="n">
        <v>1512400000</v>
      </c>
      <c r="I634" s="134" t="n">
        <v>1135500000</v>
      </c>
      <c r="J634" s="134" t="n">
        <v>1410400000</v>
      </c>
      <c r="K634" s="134" t="n">
        <v>1250400000</v>
      </c>
      <c r="L634" s="134" t="n">
        <v>1842800000</v>
      </c>
    </row>
    <row r="635" customFormat="false" ht="15" hidden="false" customHeight="false" outlineLevel="0" collapsed="false">
      <c r="B635" s="137" t="s">
        <v>1203</v>
      </c>
    </row>
    <row r="636" customFormat="false" ht="15" hidden="false" customHeight="false" outlineLevel="0" collapsed="false">
      <c r="B636" s="139" t="s">
        <v>1204</v>
      </c>
    </row>
    <row r="637" customFormat="false" ht="15" hidden="false" customHeight="false" outlineLevel="0" collapsed="false">
      <c r="B637" s="140" t="s">
        <v>1205</v>
      </c>
      <c r="C637" s="133" t="s">
        <v>1206</v>
      </c>
      <c r="D637" s="134" t="n">
        <v>10137600000</v>
      </c>
      <c r="E637" s="134" t="n">
        <v>9306100000</v>
      </c>
      <c r="F637" s="134" t="n">
        <v>12119300000</v>
      </c>
      <c r="G637" s="134" t="n">
        <v>9894700000</v>
      </c>
      <c r="H637" s="134" t="n">
        <v>9695800000</v>
      </c>
      <c r="I637" s="134" t="n">
        <v>8112600000</v>
      </c>
      <c r="J637" s="134" t="n">
        <v>6271000000</v>
      </c>
      <c r="K637" s="134" t="n">
        <v>5942400000</v>
      </c>
      <c r="L637" s="134" t="n">
        <v>7570400000</v>
      </c>
    </row>
    <row r="638" customFormat="false" ht="15" hidden="false" customHeight="false" outlineLevel="0" collapsed="false">
      <c r="B638" s="143" t="s">
        <v>158</v>
      </c>
      <c r="C638" s="133" t="s">
        <v>665</v>
      </c>
      <c r="D638" s="136" t="n">
        <v>10137600000</v>
      </c>
      <c r="E638" s="136" t="n">
        <v>9306100000</v>
      </c>
      <c r="F638" s="136" t="n">
        <v>12119300000</v>
      </c>
      <c r="G638" s="136" t="n">
        <v>9894700000</v>
      </c>
      <c r="H638" s="136" t="n">
        <v>9695800000</v>
      </c>
      <c r="I638" s="136" t="n">
        <v>8112600000</v>
      </c>
      <c r="J638" s="136" t="n">
        <v>6271000000</v>
      </c>
      <c r="K638" s="136" t="n">
        <v>5942400000</v>
      </c>
      <c r="L638" s="136" t="n">
        <v>7570400000</v>
      </c>
    </row>
    <row r="639" customFormat="false" ht="15" hidden="false" customHeight="false" outlineLevel="0" collapsed="false">
      <c r="B639" s="137" t="s">
        <v>1207</v>
      </c>
    </row>
    <row r="640" customFormat="false" ht="15" hidden="false" customHeight="false" outlineLevel="0" collapsed="false">
      <c r="B640" s="139" t="s">
        <v>1208</v>
      </c>
    </row>
    <row r="641" customFormat="false" ht="15" hidden="false" customHeight="false" outlineLevel="0" collapsed="false">
      <c r="B641" s="140" t="s">
        <v>1209</v>
      </c>
      <c r="C641" s="133" t="s">
        <v>1210</v>
      </c>
      <c r="D641" s="134" t="n">
        <v>2254600000</v>
      </c>
      <c r="E641" s="134" t="n">
        <v>553300000</v>
      </c>
      <c r="F641" s="134" t="n">
        <v>504900000</v>
      </c>
      <c r="G641" s="134" t="n">
        <v>910900000</v>
      </c>
      <c r="H641" s="134" t="n">
        <v>775400000</v>
      </c>
      <c r="I641" s="134" t="n">
        <v>792100000</v>
      </c>
      <c r="J641" s="134" t="n">
        <v>375200000</v>
      </c>
      <c r="K641" s="134" t="n">
        <v>341300000</v>
      </c>
      <c r="L641" s="134" t="n">
        <v>6546100000</v>
      </c>
    </row>
    <row r="642" customFormat="false" ht="15" hidden="false" customHeight="false" outlineLevel="0" collapsed="false">
      <c r="B642" s="143" t="s">
        <v>180</v>
      </c>
      <c r="C642" s="133" t="s">
        <v>682</v>
      </c>
      <c r="D642" s="136" t="n">
        <v>2254600000</v>
      </c>
      <c r="E642" s="136" t="n">
        <v>553300000</v>
      </c>
      <c r="F642" s="136" t="n">
        <v>504900000</v>
      </c>
      <c r="G642" s="136" t="n">
        <v>910900000</v>
      </c>
      <c r="H642" s="136" t="n">
        <v>775400000</v>
      </c>
      <c r="I642" s="136" t="n">
        <v>792100000</v>
      </c>
      <c r="J642" s="136" t="n">
        <v>375200000</v>
      </c>
      <c r="K642" s="136" t="n">
        <v>341300000</v>
      </c>
      <c r="L642" s="136" t="n">
        <v>6546100000</v>
      </c>
    </row>
    <row r="643" customFormat="false" ht="15" hidden="false" customHeight="false" outlineLevel="0" collapsed="false">
      <c r="B643" s="141" t="s">
        <v>1211</v>
      </c>
    </row>
    <row r="644" customFormat="false" ht="15" hidden="false" customHeight="false" outlineLevel="0" collapsed="false">
      <c r="B644" s="146" t="s">
        <v>1212</v>
      </c>
    </row>
    <row r="645" customFormat="false" ht="15" hidden="false" customHeight="false" outlineLevel="0" collapsed="false">
      <c r="B645" s="149" t="s">
        <v>1209</v>
      </c>
      <c r="C645" s="133" t="s">
        <v>1210</v>
      </c>
      <c r="D645" s="134" t="n">
        <v>2254600000</v>
      </c>
      <c r="E645" s="134" t="n">
        <v>553300000</v>
      </c>
      <c r="F645" s="134" t="n">
        <v>504900000</v>
      </c>
      <c r="G645" s="134" t="n">
        <v>910900000</v>
      </c>
      <c r="H645" s="134" t="n">
        <v>775400000</v>
      </c>
      <c r="I645" s="134" t="n">
        <v>792100000</v>
      </c>
      <c r="J645" s="134" t="n">
        <v>375200000</v>
      </c>
      <c r="K645" s="134" t="n">
        <v>341300000</v>
      </c>
      <c r="L645" s="134" t="n">
        <v>6546100000</v>
      </c>
    </row>
    <row r="646" customFormat="false" ht="15" hidden="false" customHeight="false" outlineLevel="0" collapsed="false">
      <c r="B646" s="137" t="s">
        <v>1213</v>
      </c>
    </row>
    <row r="647" customFormat="false" ht="15" hidden="false" customHeight="false" outlineLevel="0" collapsed="false">
      <c r="B647" s="138" t="s">
        <v>1214</v>
      </c>
      <c r="C647" s="133" t="s">
        <v>1215</v>
      </c>
      <c r="D647" s="134" t="n">
        <v>400200000</v>
      </c>
      <c r="E647" s="134" t="n">
        <v>299800000</v>
      </c>
      <c r="F647" s="134" t="n">
        <v>0</v>
      </c>
      <c r="G647" s="134" t="n">
        <v>0</v>
      </c>
      <c r="H647" s="134" t="n">
        <v>0</v>
      </c>
      <c r="I647" s="134" t="n">
        <v>0</v>
      </c>
      <c r="J647" s="134" t="n">
        <v>0</v>
      </c>
      <c r="K647" s="134" t="n">
        <v>0</v>
      </c>
      <c r="L647" s="134" t="n">
        <v>0</v>
      </c>
    </row>
    <row r="648" customFormat="false" ht="15" hidden="false" customHeight="false" outlineLevel="0" collapsed="false">
      <c r="B648" s="138" t="s">
        <v>1216</v>
      </c>
      <c r="C648" s="133" t="s">
        <v>1217</v>
      </c>
      <c r="D648" s="134" t="n">
        <v>0</v>
      </c>
      <c r="E648" s="134" t="n">
        <v>0</v>
      </c>
      <c r="F648" s="134" t="n">
        <v>117000000</v>
      </c>
      <c r="G648" s="134" t="n">
        <v>8900000</v>
      </c>
      <c r="H648" s="134" t="n">
        <v>7700000</v>
      </c>
      <c r="I648" s="134" t="n">
        <v>1900000</v>
      </c>
      <c r="J648" s="134" t="n">
        <v>4800000</v>
      </c>
      <c r="K648" s="134" t="n">
        <v>4800000</v>
      </c>
      <c r="L648" s="134" t="n">
        <v>4500000</v>
      </c>
    </row>
    <row r="649" customFormat="false" ht="15" hidden="false" customHeight="false" outlineLevel="0" collapsed="false">
      <c r="B649" s="145" t="s">
        <v>183</v>
      </c>
      <c r="C649" s="133" t="s">
        <v>685</v>
      </c>
      <c r="D649" s="136" t="n">
        <v>400200000</v>
      </c>
      <c r="E649" s="136" t="n">
        <v>299800000</v>
      </c>
      <c r="F649" s="136" t="n">
        <v>117000000</v>
      </c>
      <c r="G649" s="136" t="n">
        <v>8900000</v>
      </c>
      <c r="H649" s="136" t="n">
        <v>7700000</v>
      </c>
      <c r="I649" s="136" t="n">
        <v>1900000</v>
      </c>
      <c r="J649" s="136" t="n">
        <v>4800000</v>
      </c>
      <c r="K649" s="136" t="n">
        <v>4800000</v>
      </c>
      <c r="L649" s="136" t="n">
        <v>4500000</v>
      </c>
    </row>
    <row r="650" customFormat="false" ht="15" hidden="false" customHeight="false" outlineLevel="0" collapsed="false">
      <c r="B650" s="139" t="s">
        <v>1218</v>
      </c>
    </row>
    <row r="651" customFormat="false" ht="15" hidden="false" customHeight="false" outlineLevel="0" collapsed="false">
      <c r="B651" s="141" t="s">
        <v>1219</v>
      </c>
    </row>
    <row r="652" customFormat="false" ht="15" hidden="false" customHeight="false" outlineLevel="0" collapsed="false">
      <c r="B652" s="142" t="s">
        <v>1216</v>
      </c>
      <c r="C652" s="133" t="s">
        <v>1217</v>
      </c>
      <c r="D652" s="134" t="n">
        <v>0</v>
      </c>
      <c r="E652" s="134" t="n">
        <v>0</v>
      </c>
      <c r="F652" s="134" t="n">
        <v>117000000</v>
      </c>
      <c r="G652" s="134" t="n">
        <v>8900000</v>
      </c>
      <c r="H652" s="134" t="n">
        <v>7700000</v>
      </c>
      <c r="I652" s="134" t="n">
        <v>1900000</v>
      </c>
      <c r="J652" s="134" t="n">
        <v>4800000</v>
      </c>
      <c r="K652" s="134" t="n">
        <v>4800000</v>
      </c>
      <c r="L652" s="134" t="n">
        <v>4500000</v>
      </c>
    </row>
    <row r="653" customFormat="false" ht="15" hidden="false" customHeight="false" outlineLevel="0" collapsed="false">
      <c r="B653" s="137" t="s">
        <v>1220</v>
      </c>
    </row>
    <row r="654" customFormat="false" ht="15" hidden="false" customHeight="false" outlineLevel="0" collapsed="false">
      <c r="B654" s="139" t="s">
        <v>1221</v>
      </c>
    </row>
    <row r="655" customFormat="false" ht="15" hidden="false" customHeight="false" outlineLevel="0" collapsed="false">
      <c r="B655" s="140" t="s">
        <v>1222</v>
      </c>
      <c r="C655" s="133" t="s">
        <v>1223</v>
      </c>
      <c r="D655" s="134" t="n">
        <v>477300000</v>
      </c>
      <c r="E655" s="134" t="n">
        <v>315400000</v>
      </c>
      <c r="F655" s="134" t="n">
        <v>529400000</v>
      </c>
      <c r="G655" s="134" t="n">
        <v>7575200000</v>
      </c>
      <c r="H655" s="134" t="n">
        <v>373200000</v>
      </c>
      <c r="I655" s="134" t="n">
        <v>632700000</v>
      </c>
      <c r="J655" s="134" t="n">
        <v>100000</v>
      </c>
      <c r="K655" s="134" t="n">
        <v>0</v>
      </c>
      <c r="L655" s="134" t="n">
        <v>0</v>
      </c>
    </row>
    <row r="656" customFormat="false" ht="15" hidden="false" customHeight="false" outlineLevel="0" collapsed="false">
      <c r="B656" s="140" t="s">
        <v>1224</v>
      </c>
      <c r="C656" s="133" t="s">
        <v>1225</v>
      </c>
      <c r="D656" s="134" t="n">
        <v>6818800000</v>
      </c>
      <c r="E656" s="134" t="n">
        <v>11760300000</v>
      </c>
      <c r="F656" s="134" t="n">
        <v>10796100000</v>
      </c>
      <c r="G656" s="134" t="n">
        <v>11017900000</v>
      </c>
      <c r="H656" s="134" t="n">
        <v>3308900000</v>
      </c>
      <c r="I656" s="134" t="n">
        <v>3171100000</v>
      </c>
      <c r="J656" s="134" t="n">
        <v>2165200000</v>
      </c>
      <c r="K656" s="134" t="n">
        <v>1889300000</v>
      </c>
      <c r="L656" s="134" t="n">
        <v>4140400000</v>
      </c>
    </row>
    <row r="657" customFormat="false" ht="15" hidden="false" customHeight="false" outlineLevel="0" collapsed="false">
      <c r="B657" s="143" t="s">
        <v>190</v>
      </c>
      <c r="C657" s="133" t="s">
        <v>692</v>
      </c>
      <c r="D657" s="136" t="n">
        <v>49265400000</v>
      </c>
      <c r="E657" s="136" t="n">
        <v>15979300000</v>
      </c>
      <c r="F657" s="136" t="n">
        <v>30606500000</v>
      </c>
      <c r="G657" s="136" t="n">
        <v>53105400000</v>
      </c>
      <c r="H657" s="136" t="n">
        <v>10241800000</v>
      </c>
      <c r="I657" s="136" t="n">
        <v>3803800000</v>
      </c>
      <c r="J657" s="136" t="n">
        <v>2165300000</v>
      </c>
      <c r="K657" s="136" t="n">
        <v>1889300000</v>
      </c>
      <c r="L657" s="136" t="n">
        <v>4140400000</v>
      </c>
    </row>
    <row r="658" customFormat="false" ht="15" hidden="false" customHeight="false" outlineLevel="0" collapsed="false">
      <c r="B658" s="141" t="s">
        <v>1226</v>
      </c>
    </row>
    <row r="659" customFormat="false" ht="15" hidden="false" customHeight="false" outlineLevel="0" collapsed="false">
      <c r="B659" s="146" t="s">
        <v>1227</v>
      </c>
    </row>
    <row r="660" customFormat="false" ht="15" hidden="false" customHeight="false" outlineLevel="0" collapsed="false">
      <c r="B660" s="149" t="s">
        <v>1224</v>
      </c>
      <c r="C660" s="133" t="s">
        <v>1225</v>
      </c>
      <c r="D660" s="134" t="n">
        <v>6818800000</v>
      </c>
      <c r="E660" s="134" t="n">
        <v>11760300000</v>
      </c>
      <c r="F660" s="134" t="n">
        <v>10796100000</v>
      </c>
      <c r="G660" s="134" t="n">
        <v>11017900000</v>
      </c>
      <c r="H660" s="134" t="n">
        <v>3308900000</v>
      </c>
      <c r="I660" s="134" t="n">
        <v>3171100000</v>
      </c>
      <c r="J660" s="134" t="n">
        <v>2165200000</v>
      </c>
      <c r="K660" s="134" t="n">
        <v>1889300000</v>
      </c>
      <c r="L660" s="134" t="n">
        <v>4140400000</v>
      </c>
    </row>
    <row r="661" customFormat="false" ht="15" hidden="false" customHeight="false" outlineLevel="0" collapsed="false">
      <c r="B661" s="137" t="s">
        <v>1228</v>
      </c>
    </row>
    <row r="662" customFormat="false" ht="15" hidden="false" customHeight="false" outlineLevel="0" collapsed="false">
      <c r="B662" s="139" t="s">
        <v>1229</v>
      </c>
    </row>
    <row r="663" customFormat="false" ht="15" hidden="false" customHeight="false" outlineLevel="0" collapsed="false">
      <c r="B663" s="141" t="s">
        <v>1230</v>
      </c>
    </row>
    <row r="664" customFormat="false" ht="15" hidden="false" customHeight="false" outlineLevel="0" collapsed="false">
      <c r="B664" s="142" t="s">
        <v>1231</v>
      </c>
      <c r="C664" s="133" t="s">
        <v>1232</v>
      </c>
      <c r="D664" s="134" t="n">
        <v>7367900000</v>
      </c>
      <c r="E664" s="134" t="n">
        <v>8916100000</v>
      </c>
      <c r="F664" s="134" t="n">
        <v>0</v>
      </c>
      <c r="G664" s="134" t="n">
        <v>0</v>
      </c>
      <c r="H664" s="134" t="n">
        <v>0</v>
      </c>
      <c r="I664" s="134" t="n">
        <v>0</v>
      </c>
      <c r="J664" s="134" t="n">
        <v>0</v>
      </c>
      <c r="K664" s="134" t="n">
        <v>0</v>
      </c>
      <c r="L664" s="134" t="n">
        <v>0</v>
      </c>
    </row>
    <row r="665" customFormat="false" ht="15" hidden="false" customHeight="false" outlineLevel="0" collapsed="false">
      <c r="B665" s="144" t="s">
        <v>1233</v>
      </c>
      <c r="C665" s="133" t="s">
        <v>1234</v>
      </c>
      <c r="D665" s="136" t="n">
        <v>7367900000</v>
      </c>
      <c r="E665" s="136" t="n">
        <v>8916100000</v>
      </c>
      <c r="F665" s="136" t="n">
        <v>0</v>
      </c>
      <c r="G665" s="136" t="n">
        <v>0</v>
      </c>
      <c r="H665" s="136" t="n">
        <v>0</v>
      </c>
      <c r="I665" s="136" t="n">
        <v>0</v>
      </c>
      <c r="J665" s="136" t="n">
        <v>0</v>
      </c>
      <c r="K665" s="136" t="n">
        <v>0</v>
      </c>
      <c r="L665" s="136" t="n">
        <v>0</v>
      </c>
    </row>
    <row r="666" customFormat="false" ht="15" hidden="false" customHeight="false" outlineLevel="0" collapsed="false">
      <c r="B666" s="141" t="s">
        <v>1235</v>
      </c>
    </row>
    <row r="667" customFormat="false" ht="15" hidden="false" customHeight="false" outlineLevel="0" collapsed="false">
      <c r="B667" s="142" t="s">
        <v>1236</v>
      </c>
      <c r="C667" s="133" t="s">
        <v>1237</v>
      </c>
      <c r="D667" s="134" t="n">
        <v>166400000</v>
      </c>
      <c r="E667" s="134" t="n">
        <v>104100000</v>
      </c>
      <c r="F667" s="134" t="n">
        <v>14780800000</v>
      </c>
      <c r="G667" s="134" t="n">
        <v>2583600000</v>
      </c>
      <c r="H667" s="134" t="n">
        <v>4053300000</v>
      </c>
      <c r="I667" s="134" t="n">
        <v>4772500000</v>
      </c>
      <c r="J667" s="134" t="n">
        <v>5730400000</v>
      </c>
      <c r="K667" s="134" t="n">
        <v>3462500000</v>
      </c>
      <c r="L667" s="134" t="n">
        <v>17435100000</v>
      </c>
    </row>
    <row r="668" customFormat="false" ht="15" hidden="false" customHeight="false" outlineLevel="0" collapsed="false">
      <c r="B668" s="144" t="s">
        <v>1238</v>
      </c>
      <c r="C668" s="133" t="s">
        <v>1239</v>
      </c>
      <c r="D668" s="136" t="n">
        <v>166400000</v>
      </c>
      <c r="E668" s="136" t="n">
        <v>104100000</v>
      </c>
      <c r="F668" s="136" t="n">
        <v>14780800000</v>
      </c>
      <c r="G668" s="136" t="n">
        <v>2583600000</v>
      </c>
      <c r="H668" s="136" t="n">
        <v>4053300000</v>
      </c>
      <c r="I668" s="136" t="n">
        <v>4772500000</v>
      </c>
      <c r="J668" s="136" t="n">
        <v>5730400000</v>
      </c>
      <c r="K668" s="136" t="n">
        <v>3462500000</v>
      </c>
      <c r="L668" s="136" t="n">
        <v>17435100000</v>
      </c>
    </row>
    <row r="669" customFormat="false" ht="15" hidden="false" customHeight="false" outlineLevel="0" collapsed="false">
      <c r="B669" s="140" t="s">
        <v>1240</v>
      </c>
      <c r="C669" s="133" t="s">
        <v>1241</v>
      </c>
      <c r="D669" s="134" t="n">
        <v>3687000000</v>
      </c>
      <c r="E669" s="134" t="n">
        <v>1343600000</v>
      </c>
      <c r="F669" s="134" t="n">
        <v>1159800000</v>
      </c>
      <c r="G669" s="134" t="n">
        <v>1285800000</v>
      </c>
      <c r="H669" s="134" t="n">
        <v>878000000</v>
      </c>
      <c r="I669" s="134" t="n">
        <v>810400000</v>
      </c>
      <c r="J669" s="134" t="n">
        <v>581300000</v>
      </c>
      <c r="K669" s="134" t="n">
        <v>642700000</v>
      </c>
      <c r="L669" s="134" t="n">
        <v>956100000</v>
      </c>
    </row>
    <row r="670" customFormat="false" ht="15" hidden="false" customHeight="false" outlineLevel="0" collapsed="false">
      <c r="B670" s="143" t="s">
        <v>192</v>
      </c>
      <c r="C670" s="133" t="s">
        <v>694</v>
      </c>
      <c r="D670" s="136" t="n">
        <v>11221300000</v>
      </c>
      <c r="E670" s="136" t="n">
        <v>10363800000</v>
      </c>
      <c r="F670" s="136" t="n">
        <v>15940600000</v>
      </c>
      <c r="G670" s="136" t="n">
        <v>3869400000</v>
      </c>
      <c r="H670" s="136" t="n">
        <v>4931300000</v>
      </c>
      <c r="I670" s="136" t="n">
        <v>5582900000</v>
      </c>
      <c r="J670" s="136" t="n">
        <v>6311700000</v>
      </c>
      <c r="K670" s="136" t="n">
        <v>4105200000</v>
      </c>
      <c r="L670" s="136" t="n">
        <v>18391200000</v>
      </c>
    </row>
    <row r="671" customFormat="false" ht="15" hidden="false" customHeight="false" outlineLevel="0" collapsed="false">
      <c r="B671" s="141" t="s">
        <v>1242</v>
      </c>
    </row>
    <row r="672" customFormat="false" ht="15" hidden="false" customHeight="false" outlineLevel="0" collapsed="false">
      <c r="B672" s="146" t="s">
        <v>1243</v>
      </c>
    </row>
    <row r="673" customFormat="false" ht="15" hidden="false" customHeight="false" outlineLevel="0" collapsed="false">
      <c r="B673" s="149" t="s">
        <v>1240</v>
      </c>
      <c r="C673" s="133" t="s">
        <v>1241</v>
      </c>
      <c r="D673" s="134" t="n">
        <v>3687000000</v>
      </c>
      <c r="E673" s="134" t="n">
        <v>1343600000</v>
      </c>
      <c r="F673" s="134" t="n">
        <v>1159800000</v>
      </c>
      <c r="G673" s="134" t="n">
        <v>1285800000</v>
      </c>
      <c r="H673" s="134" t="n">
        <v>878000000</v>
      </c>
      <c r="I673" s="134" t="n">
        <v>810400000</v>
      </c>
      <c r="J673" s="134" t="n">
        <v>581300000</v>
      </c>
      <c r="K673" s="134" t="n">
        <v>642700000</v>
      </c>
      <c r="L673" s="134" t="n">
        <v>956100000</v>
      </c>
    </row>
    <row r="678" customFormat="false" ht="15" hidden="false" customHeight="false" outlineLevel="0" collapsed="false">
      <c r="A678" s="0" t="s">
        <v>26</v>
      </c>
      <c r="B678" s="63" t="s">
        <v>1244</v>
      </c>
    </row>
    <row r="680" customFormat="false" ht="15" hidden="false" customHeight="false" outlineLevel="0" collapsed="false">
      <c r="C680" s="131" t="s">
        <v>568</v>
      </c>
      <c r="D680" s="13" t="s">
        <v>29</v>
      </c>
      <c r="E680" s="13" t="s">
        <v>30</v>
      </c>
      <c r="F680" s="13" t="s">
        <v>31</v>
      </c>
      <c r="G680" s="13" t="s">
        <v>32</v>
      </c>
      <c r="H680" s="13" t="s">
        <v>33</v>
      </c>
      <c r="I680" s="13" t="s">
        <v>34</v>
      </c>
      <c r="J680" s="13" t="s">
        <v>35</v>
      </c>
      <c r="K680" s="13" t="s">
        <v>36</v>
      </c>
      <c r="L680" s="13" t="s">
        <v>37</v>
      </c>
    </row>
    <row r="682" customFormat="false" ht="15" hidden="false" customHeight="false" outlineLevel="0" collapsed="false">
      <c r="B682" s="63" t="s">
        <v>1245</v>
      </c>
    </row>
    <row r="683" customFormat="false" ht="15" hidden="false" customHeight="false" outlineLevel="0" collapsed="false">
      <c r="B683" s="132" t="s">
        <v>247</v>
      </c>
      <c r="C683" s="133" t="s">
        <v>1246</v>
      </c>
      <c r="D683" s="134" t="n">
        <v>3361200000</v>
      </c>
      <c r="E683" s="134" t="n">
        <v>5810700000</v>
      </c>
      <c r="F683" s="134" t="n">
        <v>746200000</v>
      </c>
      <c r="G683" s="134" t="n">
        <v>823300000</v>
      </c>
      <c r="H683" s="134" t="n">
        <v>2625000000</v>
      </c>
      <c r="I683" s="134" t="n">
        <v>5004300000</v>
      </c>
      <c r="J683" s="134" t="n">
        <v>3673100000</v>
      </c>
      <c r="K683" s="134" t="n">
        <v>4268400000</v>
      </c>
      <c r="L683" s="134" t="n">
        <v>11128300000</v>
      </c>
    </row>
    <row r="684" customFormat="false" ht="15" hidden="false" customHeight="false" outlineLevel="0" collapsed="false">
      <c r="B684" s="135" t="s">
        <v>160</v>
      </c>
      <c r="C684" s="133" t="s">
        <v>660</v>
      </c>
      <c r="D684" s="136" t="n">
        <v>3361200000</v>
      </c>
      <c r="E684" s="136" t="n">
        <v>5810700000</v>
      </c>
      <c r="F684" s="136" t="n">
        <v>746200000</v>
      </c>
      <c r="G684" s="136" t="n">
        <v>823300000</v>
      </c>
      <c r="H684" s="136" t="n">
        <v>2625000000</v>
      </c>
      <c r="I684" s="136" t="n">
        <v>5004300000</v>
      </c>
      <c r="J684" s="136" t="n">
        <v>3673100000</v>
      </c>
      <c r="K684" s="136" t="n">
        <v>4268400000</v>
      </c>
      <c r="L684" s="136" t="n">
        <v>11128300000</v>
      </c>
    </row>
    <row r="686" customFormat="false" ht="15" hidden="false" customHeight="false" outlineLevel="0" collapsed="false">
      <c r="B686" s="63" t="s">
        <v>1247</v>
      </c>
    </row>
    <row r="687" customFormat="false" ht="15" hidden="false" customHeight="false" outlineLevel="0" collapsed="false">
      <c r="B687" s="132" t="s">
        <v>220</v>
      </c>
      <c r="C687" s="133" t="s">
        <v>719</v>
      </c>
      <c r="D687" s="134" t="n">
        <v>615900000</v>
      </c>
      <c r="E687" s="134" t="n">
        <v>-593800000</v>
      </c>
      <c r="F687" s="134" t="n">
        <v>-97000000</v>
      </c>
      <c r="G687" s="134" t="n">
        <v>76000000</v>
      </c>
      <c r="H687" s="134" t="n">
        <v>-133900000</v>
      </c>
      <c r="I687" s="134" t="n">
        <v>-94300000</v>
      </c>
      <c r="J687" s="134" t="n">
        <v>149300000</v>
      </c>
      <c r="K687" s="134" t="n">
        <v>203100000</v>
      </c>
      <c r="L687" s="134" t="n">
        <v>15400000</v>
      </c>
    </row>
    <row r="688" customFormat="false" ht="15" hidden="false" customHeight="false" outlineLevel="0" collapsed="false">
      <c r="B688" s="135" t="s">
        <v>1248</v>
      </c>
      <c r="C688" s="133" t="s">
        <v>1249</v>
      </c>
      <c r="D688" s="136" t="n">
        <v>615900000</v>
      </c>
      <c r="E688" s="136" t="n">
        <v>-593800000</v>
      </c>
      <c r="F688" s="136" t="n">
        <v>-97000000</v>
      </c>
      <c r="G688" s="136" t="n">
        <v>76000000</v>
      </c>
      <c r="H688" s="136" t="n">
        <v>-133900000</v>
      </c>
      <c r="I688" s="136" t="n">
        <v>-94300000</v>
      </c>
      <c r="J688" s="136" t="n">
        <v>149300000</v>
      </c>
      <c r="K688" s="136" t="n">
        <v>203100000</v>
      </c>
      <c r="L688" s="136" t="n">
        <v>15400000</v>
      </c>
    </row>
    <row r="691" customFormat="false" ht="15" hidden="false" customHeight="false" outlineLevel="0" collapsed="false">
      <c r="A691" s="0" t="s">
        <v>26</v>
      </c>
      <c r="B691" s="63" t="s">
        <v>1250</v>
      </c>
    </row>
    <row r="693" customFormat="false" ht="15" hidden="false" customHeight="false" outlineLevel="0" collapsed="false">
      <c r="C693" s="131" t="s">
        <v>568</v>
      </c>
      <c r="D693" s="13" t="s">
        <v>29</v>
      </c>
      <c r="E693" s="13" t="s">
        <v>30</v>
      </c>
      <c r="F693" s="13" t="s">
        <v>31</v>
      </c>
      <c r="G693" s="13" t="s">
        <v>32</v>
      </c>
      <c r="H693" s="13" t="s">
        <v>33</v>
      </c>
      <c r="I693" s="13" t="s">
        <v>34</v>
      </c>
      <c r="J693" s="13" t="s">
        <v>35</v>
      </c>
      <c r="K693" s="13" t="s">
        <v>36</v>
      </c>
      <c r="L693" s="13" t="s">
        <v>37</v>
      </c>
    </row>
    <row r="694" customFormat="false" ht="15" hidden="false" customHeight="false" outlineLevel="0" collapsed="false">
      <c r="B694" s="6" t="s">
        <v>1251</v>
      </c>
      <c r="C694" s="133" t="s">
        <v>1252</v>
      </c>
      <c r="D694" s="134" t="n">
        <v>42300000</v>
      </c>
      <c r="E694" s="134" t="n">
        <v>499300000</v>
      </c>
      <c r="F694" s="134" t="n">
        <v>696000000</v>
      </c>
      <c r="G694" s="134" t="n">
        <v>1150000000</v>
      </c>
      <c r="H694" s="134" t="n">
        <v>0</v>
      </c>
      <c r="I694" s="134" t="n">
        <v>0</v>
      </c>
      <c r="J694" s="134" t="n">
        <v>0</v>
      </c>
      <c r="K694" s="134" t="n">
        <v>0</v>
      </c>
      <c r="L694" s="134" t="n">
        <v>0</v>
      </c>
    </row>
    <row r="695" customFormat="false" ht="15" hidden="false" customHeight="false" outlineLevel="0" collapsed="false">
      <c r="B695" s="6" t="s">
        <v>1253</v>
      </c>
      <c r="C695" s="133" t="s">
        <v>1254</v>
      </c>
      <c r="D695" s="134" t="n">
        <v>675100000</v>
      </c>
      <c r="E695" s="134" t="n">
        <v>23400000</v>
      </c>
      <c r="F695" s="134" t="n">
        <v>955600000</v>
      </c>
      <c r="G695" s="134" t="n">
        <v>1312100000</v>
      </c>
      <c r="H695" s="134" t="n">
        <v>0</v>
      </c>
      <c r="I695" s="134" t="n">
        <v>0</v>
      </c>
      <c r="J695" s="134" t="n">
        <v>0</v>
      </c>
      <c r="K695" s="134" t="n">
        <v>0</v>
      </c>
      <c r="L695" s="134" t="n">
        <v>0</v>
      </c>
    </row>
    <row r="699" customFormat="false" ht="17.35" hidden="false" customHeight="false" outlineLevel="0" collapsed="false">
      <c r="A699" s="0" t="s">
        <v>26</v>
      </c>
      <c r="B699" s="130" t="s">
        <v>1255</v>
      </c>
    </row>
    <row r="701" customFormat="false" ht="15" hidden="false" customHeight="false" outlineLevel="0" collapsed="false">
      <c r="A701" s="0" t="s">
        <v>26</v>
      </c>
      <c r="B701" s="63" t="s">
        <v>1256</v>
      </c>
    </row>
    <row r="703" customFormat="false" ht="15" hidden="false" customHeight="false" outlineLevel="0" collapsed="false">
      <c r="C703" s="131" t="s">
        <v>568</v>
      </c>
      <c r="D703" s="13" t="s">
        <v>29</v>
      </c>
      <c r="E703" s="13" t="s">
        <v>30</v>
      </c>
      <c r="F703" s="13" t="s">
        <v>31</v>
      </c>
      <c r="G703" s="13" t="s">
        <v>32</v>
      </c>
      <c r="H703" s="13" t="s">
        <v>33</v>
      </c>
      <c r="I703" s="13" t="s">
        <v>34</v>
      </c>
      <c r="J703" s="13" t="s">
        <v>35</v>
      </c>
      <c r="K703" s="13" t="s">
        <v>36</v>
      </c>
      <c r="L703" s="13" t="s">
        <v>37</v>
      </c>
    </row>
    <row r="704" customFormat="false" ht="15" hidden="false" customHeight="false" outlineLevel="0" collapsed="false">
      <c r="B704" s="137" t="s">
        <v>1257</v>
      </c>
    </row>
    <row r="705" customFormat="false" ht="15" hidden="false" customHeight="false" outlineLevel="0" collapsed="false">
      <c r="B705" s="138" t="s">
        <v>1258</v>
      </c>
      <c r="C705" s="133" t="s">
        <v>1259</v>
      </c>
      <c r="D705" s="134" t="n">
        <v>10224700000</v>
      </c>
      <c r="E705" s="134" t="n">
        <v>3536100000</v>
      </c>
      <c r="F705" s="134" t="n">
        <v>0</v>
      </c>
      <c r="G705" s="134" t="n">
        <v>0</v>
      </c>
      <c r="H705" s="134" t="n">
        <v>0</v>
      </c>
      <c r="I705" s="134" t="n">
        <v>0</v>
      </c>
      <c r="J705" s="134" t="n">
        <v>0</v>
      </c>
      <c r="K705" s="134" t="n">
        <v>0</v>
      </c>
      <c r="L705" s="134" t="n">
        <v>0</v>
      </c>
    </row>
    <row r="706" customFormat="false" ht="15" hidden="false" customHeight="false" outlineLevel="0" collapsed="false">
      <c r="B706" s="145" t="s">
        <v>1260</v>
      </c>
      <c r="C706" s="133" t="s">
        <v>1261</v>
      </c>
      <c r="D706" s="136" t="n">
        <v>10224700000</v>
      </c>
      <c r="E706" s="136" t="n">
        <v>3536100000</v>
      </c>
      <c r="F706" s="136" t="n">
        <v>0</v>
      </c>
      <c r="G706" s="136" t="n">
        <v>0</v>
      </c>
      <c r="H706" s="136" t="n">
        <v>0</v>
      </c>
      <c r="I706" s="136" t="n">
        <v>0</v>
      </c>
      <c r="J706" s="136" t="n">
        <v>0</v>
      </c>
      <c r="K706" s="136" t="n">
        <v>0</v>
      </c>
      <c r="L706" s="136" t="n">
        <v>0</v>
      </c>
    </row>
    <row r="707" customFormat="false" ht="15" hidden="false" customHeight="false" outlineLevel="0" collapsed="false">
      <c r="B707" s="137" t="s">
        <v>1262</v>
      </c>
    </row>
    <row r="708" customFormat="false" ht="15" hidden="false" customHeight="false" outlineLevel="0" collapsed="false">
      <c r="B708" s="138" t="s">
        <v>1263</v>
      </c>
      <c r="C708" s="133" t="s">
        <v>1264</v>
      </c>
      <c r="D708" s="134" t="n">
        <v>3457600000</v>
      </c>
      <c r="E708" s="134" t="n">
        <v>-11489700000</v>
      </c>
      <c r="F708" s="134" t="n">
        <v>0</v>
      </c>
      <c r="G708" s="134" t="n">
        <v>0</v>
      </c>
      <c r="H708" s="134" t="n">
        <v>0</v>
      </c>
      <c r="I708" s="134" t="n">
        <v>0</v>
      </c>
      <c r="J708" s="134" t="n">
        <v>0</v>
      </c>
      <c r="K708" s="134" t="n">
        <v>0</v>
      </c>
      <c r="L708" s="134" t="n">
        <v>0</v>
      </c>
    </row>
    <row r="709" customFormat="false" ht="15" hidden="false" customHeight="false" outlineLevel="0" collapsed="false">
      <c r="B709" s="145" t="s">
        <v>1265</v>
      </c>
      <c r="C709" s="133" t="s">
        <v>1266</v>
      </c>
      <c r="D709" s="136" t="n">
        <v>3457600000</v>
      </c>
      <c r="E709" s="136" t="n">
        <v>-11489700000</v>
      </c>
      <c r="F709" s="136" t="n">
        <v>0</v>
      </c>
      <c r="G709" s="136" t="n">
        <v>0</v>
      </c>
      <c r="H709" s="136" t="n">
        <v>0</v>
      </c>
      <c r="I709" s="136" t="n">
        <v>0</v>
      </c>
      <c r="J709" s="136" t="n">
        <v>0</v>
      </c>
      <c r="K709" s="136" t="n">
        <v>0</v>
      </c>
      <c r="L709" s="136" t="n">
        <v>0</v>
      </c>
    </row>
    <row r="710" customFormat="false" ht="15" hidden="false" customHeight="false" outlineLevel="0" collapsed="false">
      <c r="B710" s="137" t="s">
        <v>1267</v>
      </c>
    </row>
    <row r="711" customFormat="false" ht="15" hidden="false" customHeight="false" outlineLevel="0" collapsed="false">
      <c r="B711" s="138" t="s">
        <v>1268</v>
      </c>
      <c r="C711" s="133" t="s">
        <v>1269</v>
      </c>
      <c r="D711" s="134" t="n">
        <v>3557000000</v>
      </c>
      <c r="E711" s="134" t="n">
        <v>-11561400000</v>
      </c>
      <c r="F711" s="134" t="n">
        <v>0</v>
      </c>
      <c r="G711" s="134" t="n">
        <v>0</v>
      </c>
      <c r="H711" s="134" t="n">
        <v>0</v>
      </c>
      <c r="I711" s="134" t="n">
        <v>0</v>
      </c>
      <c r="J711" s="134" t="n">
        <v>0</v>
      </c>
      <c r="K711" s="134" t="n">
        <v>0</v>
      </c>
      <c r="L711" s="134" t="n">
        <v>0</v>
      </c>
    </row>
    <row r="712" customFormat="false" ht="15" hidden="false" customHeight="false" outlineLevel="0" collapsed="false">
      <c r="B712" s="145" t="s">
        <v>1270</v>
      </c>
      <c r="C712" s="133" t="s">
        <v>1271</v>
      </c>
      <c r="D712" s="136" t="n">
        <v>3557000000</v>
      </c>
      <c r="E712" s="136" t="n">
        <v>-11561400000</v>
      </c>
      <c r="F712" s="136" t="n">
        <v>0</v>
      </c>
      <c r="G712" s="136" t="n">
        <v>0</v>
      </c>
      <c r="H712" s="136" t="n">
        <v>0</v>
      </c>
      <c r="I712" s="136" t="n">
        <v>0</v>
      </c>
      <c r="J712" s="136" t="n">
        <v>0</v>
      </c>
      <c r="K712" s="136" t="n">
        <v>0</v>
      </c>
      <c r="L712" s="136" t="n">
        <v>0</v>
      </c>
    </row>
    <row r="717" customFormat="false" ht="15" hidden="false" customHeight="false" outlineLevel="0" collapsed="false">
      <c r="A717" s="0" t="s">
        <v>26</v>
      </c>
      <c r="B717" s="63" t="s">
        <v>1272</v>
      </c>
    </row>
    <row r="719" customFormat="false" ht="15" hidden="false" customHeight="false" outlineLevel="0" collapsed="false">
      <c r="C719" s="131" t="s">
        <v>568</v>
      </c>
      <c r="D719" s="13" t="s">
        <v>29</v>
      </c>
      <c r="E719" s="13" t="s">
        <v>30</v>
      </c>
      <c r="F719" s="13" t="s">
        <v>31</v>
      </c>
      <c r="G719" s="13" t="s">
        <v>32</v>
      </c>
      <c r="H719" s="13" t="s">
        <v>33</v>
      </c>
      <c r="I719" s="13" t="s">
        <v>34</v>
      </c>
      <c r="J719" s="13" t="s">
        <v>35</v>
      </c>
      <c r="K719" s="13" t="s">
        <v>36</v>
      </c>
      <c r="L719" s="13" t="s">
        <v>37</v>
      </c>
    </row>
    <row r="721" customFormat="false" ht="15" hidden="false" customHeight="false" outlineLevel="0" collapsed="false">
      <c r="B721" s="63" t="s">
        <v>1273</v>
      </c>
    </row>
    <row r="722" customFormat="false" ht="15" hidden="false" customHeight="false" outlineLevel="0" collapsed="false">
      <c r="B722" s="137" t="s">
        <v>1274</v>
      </c>
    </row>
    <row r="723" customFormat="false" ht="15" hidden="false" customHeight="false" outlineLevel="0" collapsed="false">
      <c r="B723" s="139" t="s">
        <v>1275</v>
      </c>
    </row>
    <row r="724" customFormat="false" ht="15" hidden="false" customHeight="false" outlineLevel="0" collapsed="false">
      <c r="B724" s="141" t="s">
        <v>1276</v>
      </c>
    </row>
    <row r="725" customFormat="false" ht="15" hidden="false" customHeight="false" outlineLevel="0" collapsed="false">
      <c r="B725" s="146" t="s">
        <v>1277</v>
      </c>
    </row>
    <row r="726" customFormat="false" ht="15" hidden="false" customHeight="false" outlineLevel="0" collapsed="false">
      <c r="B726" s="149" t="s">
        <v>1127</v>
      </c>
      <c r="C726" s="133" t="s">
        <v>1128</v>
      </c>
      <c r="D726" s="134" t="n">
        <v>-2316400000</v>
      </c>
      <c r="E726" s="134" t="n">
        <v>-2321800000</v>
      </c>
      <c r="F726" s="134" t="n">
        <v>-2420400000</v>
      </c>
      <c r="G726" s="134" t="n">
        <v>-1141300000</v>
      </c>
      <c r="H726" s="134" t="n">
        <v>-1163600000</v>
      </c>
      <c r="I726" s="134" t="n">
        <v>-1205800000</v>
      </c>
      <c r="J726" s="134" t="n">
        <v>-1401700000</v>
      </c>
      <c r="K726" s="134" t="n">
        <v>-1393900000</v>
      </c>
      <c r="L726" s="134" t="n">
        <v>-1903700000</v>
      </c>
    </row>
    <row r="734" customFormat="false" ht="15" hidden="false" customHeight="false" outlineLevel="0" collapsed="false">
      <c r="A734" s="0" t="s">
        <v>26</v>
      </c>
      <c r="B734" s="63" t="s">
        <v>1278</v>
      </c>
    </row>
    <row r="736" customFormat="false" ht="15" hidden="false" customHeight="false" outlineLevel="0" collapsed="false">
      <c r="C736" s="131" t="s">
        <v>568</v>
      </c>
      <c r="D736" s="13" t="s">
        <v>29</v>
      </c>
      <c r="E736" s="13" t="s">
        <v>30</v>
      </c>
      <c r="F736" s="13" t="s">
        <v>31</v>
      </c>
      <c r="G736" s="13" t="s">
        <v>32</v>
      </c>
      <c r="H736" s="13" t="s">
        <v>33</v>
      </c>
      <c r="I736" s="13" t="s">
        <v>34</v>
      </c>
      <c r="J736" s="13" t="s">
        <v>35</v>
      </c>
      <c r="K736" s="13" t="s">
        <v>36</v>
      </c>
      <c r="L736" s="13" t="s">
        <v>37</v>
      </c>
    </row>
    <row r="738" customFormat="false" ht="15" hidden="false" customHeight="false" outlineLevel="0" collapsed="false">
      <c r="B738" s="63" t="s">
        <v>1279</v>
      </c>
    </row>
    <row r="739" customFormat="false" ht="15" hidden="false" customHeight="false" outlineLevel="0" collapsed="false">
      <c r="B739" s="137" t="s">
        <v>700</v>
      </c>
    </row>
    <row r="740" customFormat="false" ht="15" hidden="false" customHeight="false" outlineLevel="0" collapsed="false">
      <c r="B740" s="138" t="s">
        <v>1280</v>
      </c>
      <c r="C740" s="133" t="s">
        <v>1281</v>
      </c>
      <c r="D740" s="134" t="n">
        <v>16088300000</v>
      </c>
      <c r="E740" s="134" t="n">
        <v>-1094400000</v>
      </c>
      <c r="F740" s="134" t="n">
        <v>12667400000</v>
      </c>
      <c r="G740" s="134" t="n">
        <v>-9290400000</v>
      </c>
      <c r="H740" s="134" t="n">
        <v>5305000000</v>
      </c>
      <c r="I740" s="134" t="n">
        <v>13019000000</v>
      </c>
      <c r="J740" s="134" t="n">
        <v>4666600000</v>
      </c>
      <c r="K740" s="134" t="n">
        <v>795300000</v>
      </c>
      <c r="L740" s="134" t="n">
        <v>10919600000</v>
      </c>
    </row>
    <row r="741" customFormat="false" ht="15" hidden="false" customHeight="false" outlineLevel="0" collapsed="false">
      <c r="B741" s="145" t="s">
        <v>221</v>
      </c>
      <c r="C741" s="133" t="s">
        <v>720</v>
      </c>
      <c r="D741" s="136" t="n">
        <v>16088300000</v>
      </c>
      <c r="E741" s="136" t="n">
        <v>-1094400000</v>
      </c>
      <c r="F741" s="136" t="n">
        <v>12667400000</v>
      </c>
      <c r="G741" s="136" t="n">
        <v>-9290400000</v>
      </c>
      <c r="H741" s="136" t="n">
        <v>5305000000</v>
      </c>
      <c r="I741" s="136" t="n">
        <v>13019000000</v>
      </c>
      <c r="J741" s="136" t="n">
        <v>4666600000</v>
      </c>
      <c r="K741" s="136" t="n">
        <v>795300000</v>
      </c>
      <c r="L741" s="136" t="n">
        <v>10919600000</v>
      </c>
    </row>
    <row r="742" customFormat="false" ht="15" hidden="false" customHeight="false" outlineLevel="0" collapsed="false">
      <c r="B742" s="137" t="s">
        <v>222</v>
      </c>
    </row>
    <row r="743" customFormat="false" ht="15" hidden="false" customHeight="false" outlineLevel="0" collapsed="false">
      <c r="B743" s="138" t="s">
        <v>1282</v>
      </c>
      <c r="C743" s="133" t="s">
        <v>1283</v>
      </c>
      <c r="D743" s="134" t="n">
        <v>-6502700000</v>
      </c>
      <c r="E743" s="134" t="n">
        <v>-1334600000</v>
      </c>
      <c r="F743" s="134" t="n">
        <v>1251500000</v>
      </c>
      <c r="G743" s="134" t="n">
        <v>-324600000</v>
      </c>
      <c r="H743" s="134" t="n">
        <v>-237300000</v>
      </c>
      <c r="I743" s="134" t="n">
        <v>-184300000</v>
      </c>
      <c r="J743" s="134" t="n">
        <v>849100000</v>
      </c>
      <c r="K743" s="134" t="n">
        <v>-1515500000</v>
      </c>
      <c r="L743" s="134" t="n">
        <v>-7517400000</v>
      </c>
    </row>
    <row r="744" customFormat="false" ht="15" hidden="false" customHeight="false" outlineLevel="0" collapsed="false">
      <c r="B744" s="145" t="s">
        <v>233</v>
      </c>
      <c r="C744" s="133" t="s">
        <v>731</v>
      </c>
      <c r="D744" s="136" t="n">
        <v>-6502700000</v>
      </c>
      <c r="E744" s="136" t="n">
        <v>-1334600000</v>
      </c>
      <c r="F744" s="136" t="n">
        <v>1251500000</v>
      </c>
      <c r="G744" s="136" t="n">
        <v>-324600000</v>
      </c>
      <c r="H744" s="136" t="n">
        <v>-237300000</v>
      </c>
      <c r="I744" s="136" t="n">
        <v>-184300000</v>
      </c>
      <c r="J744" s="136" t="n">
        <v>849100000</v>
      </c>
      <c r="K744" s="136" t="n">
        <v>-1515500000</v>
      </c>
      <c r="L744" s="136" t="n">
        <v>-7517400000</v>
      </c>
    </row>
    <row r="745" customFormat="false" ht="15" hidden="false" customHeight="false" outlineLevel="0" collapsed="false">
      <c r="B745" s="137" t="s">
        <v>234</v>
      </c>
    </row>
    <row r="746" customFormat="false" ht="15" hidden="false" customHeight="false" outlineLevel="0" collapsed="false">
      <c r="B746" s="138" t="s">
        <v>1284</v>
      </c>
      <c r="C746" s="133" t="s">
        <v>1285</v>
      </c>
      <c r="D746" s="134" t="n">
        <v>-12490200000</v>
      </c>
      <c r="E746" s="134" t="n">
        <v>4923800000</v>
      </c>
      <c r="F746" s="134" t="n">
        <v>-18983400000</v>
      </c>
      <c r="G746" s="134" t="n">
        <v>9692400000</v>
      </c>
      <c r="H746" s="134" t="n">
        <v>-3266000000</v>
      </c>
      <c r="I746" s="134" t="n">
        <v>-10449500000</v>
      </c>
      <c r="J746" s="134" t="n">
        <v>-6844900000</v>
      </c>
      <c r="K746" s="134" t="n">
        <v>1316300000</v>
      </c>
      <c r="L746" s="134" t="n">
        <v>3430100000</v>
      </c>
    </row>
    <row r="747" customFormat="false" ht="15" hidden="false" customHeight="false" outlineLevel="0" collapsed="false">
      <c r="B747" s="145" t="s">
        <v>242</v>
      </c>
      <c r="C747" s="133" t="s">
        <v>740</v>
      </c>
      <c r="D747" s="136" t="n">
        <v>-12490200000</v>
      </c>
      <c r="E747" s="136" t="n">
        <v>4923800000</v>
      </c>
      <c r="F747" s="136" t="n">
        <v>-18983400000</v>
      </c>
      <c r="G747" s="136" t="n">
        <v>9692400000</v>
      </c>
      <c r="H747" s="136" t="n">
        <v>-3266000000</v>
      </c>
      <c r="I747" s="136" t="n">
        <v>-10449500000</v>
      </c>
      <c r="J747" s="136" t="n">
        <v>-6844900000</v>
      </c>
      <c r="K747" s="136" t="n">
        <v>1316300000</v>
      </c>
      <c r="L747" s="136" t="n">
        <v>3430100000</v>
      </c>
    </row>
    <row r="750" customFormat="false" ht="15" hidden="false" customHeight="false" outlineLevel="0" collapsed="false">
      <c r="A750" s="0" t="s">
        <v>26</v>
      </c>
      <c r="B750" s="63" t="s">
        <v>1286</v>
      </c>
    </row>
    <row r="752" customFormat="false" ht="15" hidden="false" customHeight="false" outlineLevel="0" collapsed="false">
      <c r="C752" s="131" t="s">
        <v>568</v>
      </c>
      <c r="D752" s="13" t="s">
        <v>29</v>
      </c>
      <c r="E752" s="13" t="s">
        <v>30</v>
      </c>
      <c r="F752" s="13" t="s">
        <v>31</v>
      </c>
      <c r="G752" s="13" t="s">
        <v>32</v>
      </c>
      <c r="H752" s="13" t="s">
        <v>33</v>
      </c>
      <c r="I752" s="13" t="s">
        <v>34</v>
      </c>
      <c r="J752" s="13" t="s">
        <v>35</v>
      </c>
      <c r="K752" s="13" t="s">
        <v>36</v>
      </c>
      <c r="L752" s="13" t="s">
        <v>37</v>
      </c>
    </row>
    <row r="753" customFormat="false" ht="15" hidden="false" customHeight="false" outlineLevel="0" collapsed="false">
      <c r="B753" s="132" t="s">
        <v>1287</v>
      </c>
      <c r="C753" s="133" t="s">
        <v>1288</v>
      </c>
      <c r="D753" s="134" t="n">
        <v>37821800</v>
      </c>
      <c r="E753" s="134" t="n">
        <v>31041300</v>
      </c>
      <c r="F753" s="134" t="n">
        <v>62082600</v>
      </c>
      <c r="G753" s="134" t="n">
        <v>0</v>
      </c>
      <c r="H753" s="134" t="n">
        <v>0</v>
      </c>
      <c r="I753" s="134" t="n">
        <v>0</v>
      </c>
      <c r="J753" s="134" t="n">
        <v>0</v>
      </c>
      <c r="K753" s="134" t="n">
        <v>0</v>
      </c>
      <c r="L753" s="134" t="n">
        <v>238482850</v>
      </c>
    </row>
    <row r="754" customFormat="false" ht="15" hidden="false" customHeight="false" outlineLevel="0" collapsed="false">
      <c r="B754" s="137" t="s">
        <v>1289</v>
      </c>
    </row>
    <row r="755" customFormat="false" ht="15" hidden="false" customHeight="false" outlineLevel="0" collapsed="false">
      <c r="B755" s="138" t="s">
        <v>1290</v>
      </c>
      <c r="C755" s="133" t="s">
        <v>1291</v>
      </c>
      <c r="D755" s="134" t="n">
        <v>0</v>
      </c>
      <c r="E755" s="134" t="n">
        <v>0</v>
      </c>
      <c r="F755" s="134" t="n">
        <v>0</v>
      </c>
      <c r="G755" s="134" t="n">
        <v>0</v>
      </c>
      <c r="H755" s="134" t="n">
        <v>0</v>
      </c>
      <c r="I755" s="134" t="n">
        <v>0</v>
      </c>
      <c r="J755" s="134" t="n">
        <v>0</v>
      </c>
      <c r="K755" s="134" t="n">
        <v>0</v>
      </c>
      <c r="L755" s="134" t="n">
        <v>74540000</v>
      </c>
    </row>
    <row r="756" customFormat="false" ht="15" hidden="false" customHeight="false" outlineLevel="0" collapsed="false">
      <c r="B756" s="138" t="s">
        <v>1292</v>
      </c>
      <c r="C756" s="133" t="s">
        <v>1293</v>
      </c>
      <c r="D756" s="134" t="n">
        <v>-2519000</v>
      </c>
      <c r="E756" s="134" t="n">
        <v>-6780500</v>
      </c>
      <c r="F756" s="134" t="n">
        <v>1596300</v>
      </c>
      <c r="G756" s="134" t="n">
        <v>0</v>
      </c>
      <c r="H756" s="134" t="n">
        <v>0</v>
      </c>
      <c r="I756" s="134" t="n">
        <v>0</v>
      </c>
      <c r="J756" s="134" t="n">
        <v>0</v>
      </c>
      <c r="K756" s="134" t="n">
        <v>0</v>
      </c>
      <c r="L756" s="134" t="n">
        <v>13870500</v>
      </c>
    </row>
    <row r="757" customFormat="false" ht="15" hidden="false" customHeight="false" outlineLevel="0" collapsed="false">
      <c r="B757" s="138" t="s">
        <v>1294</v>
      </c>
      <c r="C757" s="133" t="s">
        <v>1295</v>
      </c>
      <c r="D757" s="134" t="n">
        <v>0</v>
      </c>
      <c r="E757" s="134" t="n">
        <v>0</v>
      </c>
      <c r="F757" s="134" t="n">
        <v>0</v>
      </c>
      <c r="G757" s="134" t="n">
        <v>0</v>
      </c>
      <c r="H757" s="134" t="n">
        <v>0</v>
      </c>
      <c r="I757" s="134" t="n">
        <v>0</v>
      </c>
      <c r="J757" s="134" t="n">
        <v>0</v>
      </c>
      <c r="K757" s="134" t="n">
        <v>0</v>
      </c>
      <c r="L757" s="134" t="n">
        <v>44232350</v>
      </c>
    </row>
    <row r="758" customFormat="false" ht="15" hidden="false" customHeight="false" outlineLevel="0" collapsed="false">
      <c r="B758" s="138" t="s">
        <v>1296</v>
      </c>
      <c r="C758" s="133" t="s">
        <v>1297</v>
      </c>
      <c r="D758" s="134" t="n">
        <v>0</v>
      </c>
      <c r="E758" s="134" t="n">
        <v>0</v>
      </c>
      <c r="F758" s="134" t="n">
        <v>29445000</v>
      </c>
      <c r="G758" s="134" t="n">
        <v>-62082600</v>
      </c>
      <c r="H758" s="134" t="n">
        <v>0</v>
      </c>
      <c r="I758" s="134" t="n">
        <v>0</v>
      </c>
      <c r="J758" s="134" t="n">
        <v>0</v>
      </c>
      <c r="K758" s="134" t="n">
        <v>0</v>
      </c>
      <c r="L758" s="134" t="n">
        <v>0</v>
      </c>
    </row>
    <row r="759" customFormat="false" ht="15" hidden="false" customHeight="false" outlineLevel="0" collapsed="false">
      <c r="B759" s="145" t="s">
        <v>1298</v>
      </c>
      <c r="C759" s="133" t="s">
        <v>1299</v>
      </c>
      <c r="D759" s="136" t="n">
        <v>-2519000</v>
      </c>
      <c r="E759" s="136" t="n">
        <v>-6780500</v>
      </c>
      <c r="F759" s="136" t="n">
        <v>31041300</v>
      </c>
      <c r="G759" s="136" t="n">
        <v>-62082600</v>
      </c>
      <c r="H759" s="136" t="n">
        <v>0</v>
      </c>
      <c r="I759" s="136" t="n">
        <v>0</v>
      </c>
      <c r="J759" s="136" t="n">
        <v>0</v>
      </c>
      <c r="K759" s="136" t="n">
        <v>0</v>
      </c>
      <c r="L759" s="136" t="n">
        <v>132642850</v>
      </c>
    </row>
    <row r="760" customFormat="false" ht="15" hidden="false" customHeight="false" outlineLevel="0" collapsed="false">
      <c r="B760" s="132" t="s">
        <v>1287</v>
      </c>
      <c r="C760" s="133" t="s">
        <v>1288</v>
      </c>
      <c r="D760" s="134" t="n">
        <v>37821800</v>
      </c>
      <c r="E760" s="134" t="n">
        <v>31041300</v>
      </c>
      <c r="F760" s="134" t="n">
        <v>62082600</v>
      </c>
      <c r="G760" s="134" t="n">
        <v>0</v>
      </c>
      <c r="H760" s="134" t="n">
        <v>0</v>
      </c>
      <c r="I760" s="134" t="n">
        <v>0</v>
      </c>
      <c r="J760" s="134" t="n">
        <v>0</v>
      </c>
      <c r="K760" s="134" t="n">
        <v>0</v>
      </c>
      <c r="L760" s="134" t="n">
        <v>238482850</v>
      </c>
    </row>
    <row r="761" customFormat="false" ht="15" hidden="false" customHeight="false" outlineLevel="0" collapsed="false">
      <c r="B761" s="132" t="s">
        <v>1300</v>
      </c>
      <c r="C761" s="133" t="s">
        <v>1301</v>
      </c>
      <c r="D761" s="134" t="n">
        <v>37821800</v>
      </c>
      <c r="E761" s="134" t="n">
        <v>31041300</v>
      </c>
      <c r="F761" s="134" t="n">
        <v>0</v>
      </c>
      <c r="G761" s="134" t="n">
        <v>0</v>
      </c>
      <c r="H761" s="134" t="n">
        <v>0</v>
      </c>
      <c r="I761" s="134" t="n">
        <v>0</v>
      </c>
      <c r="J761" s="134" t="n">
        <v>0</v>
      </c>
      <c r="K761" s="134" t="n">
        <v>0</v>
      </c>
      <c r="L761" s="134" t="n">
        <v>1312150</v>
      </c>
    </row>
    <row r="762" customFormat="false" ht="15" hidden="false" customHeight="false" outlineLevel="0" collapsed="false">
      <c r="B762" s="132" t="s">
        <v>1302</v>
      </c>
      <c r="C762" s="133" t="s">
        <v>1303</v>
      </c>
      <c r="D762" s="134" t="n">
        <v>0</v>
      </c>
      <c r="E762" s="134" t="n">
        <v>0</v>
      </c>
      <c r="F762" s="134" t="n">
        <v>0</v>
      </c>
      <c r="G762" s="134" t="n">
        <v>0</v>
      </c>
      <c r="H762" s="134" t="n">
        <v>0</v>
      </c>
      <c r="I762" s="134" t="n">
        <v>0</v>
      </c>
      <c r="J762" s="134" t="n">
        <v>0</v>
      </c>
      <c r="K762" s="134" t="n">
        <v>0</v>
      </c>
      <c r="L762" s="134" t="n">
        <v>598000000</v>
      </c>
    </row>
    <row r="763" customFormat="false" ht="15" hidden="false" customHeight="false" outlineLevel="0" collapsed="false">
      <c r="B763" s="137" t="s">
        <v>1304</v>
      </c>
    </row>
    <row r="764" customFormat="false" ht="15" hidden="false" customHeight="false" outlineLevel="0" collapsed="false">
      <c r="B764" s="138" t="s">
        <v>1305</v>
      </c>
      <c r="C764" s="133" t="s">
        <v>1306</v>
      </c>
      <c r="D764" s="134" t="n">
        <v>0</v>
      </c>
      <c r="E764" s="134" t="n">
        <v>0</v>
      </c>
      <c r="F764" s="134" t="n">
        <v>0</v>
      </c>
      <c r="G764" s="134" t="n">
        <v>0</v>
      </c>
      <c r="H764" s="134" t="n">
        <v>0</v>
      </c>
      <c r="I764" s="134" t="n">
        <v>0</v>
      </c>
      <c r="J764" s="134" t="n">
        <v>0</v>
      </c>
      <c r="K764" s="134" t="n">
        <v>0</v>
      </c>
      <c r="L764" s="134" t="n">
        <v>598000000</v>
      </c>
    </row>
    <row r="765" customFormat="false" ht="15" hidden="false" customHeight="false" outlineLevel="0" collapsed="false">
      <c r="B765" s="145" t="s">
        <v>1307</v>
      </c>
      <c r="C765" s="133" t="s">
        <v>1308</v>
      </c>
      <c r="D765" s="136" t="n">
        <v>0</v>
      </c>
      <c r="E765" s="136" t="n">
        <v>0</v>
      </c>
      <c r="F765" s="136" t="n">
        <v>0</v>
      </c>
      <c r="G765" s="136" t="n">
        <v>0</v>
      </c>
      <c r="H765" s="136" t="n">
        <v>0</v>
      </c>
      <c r="I765" s="136" t="n">
        <v>0</v>
      </c>
      <c r="J765" s="136" t="n">
        <v>0</v>
      </c>
      <c r="K765" s="136" t="n">
        <v>0</v>
      </c>
      <c r="L765" s="136" t="n">
        <v>598000000</v>
      </c>
    </row>
    <row r="766" customFormat="false" ht="15" hidden="false" customHeight="false" outlineLevel="0" collapsed="false">
      <c r="B766" s="132" t="s">
        <v>1302</v>
      </c>
      <c r="C766" s="133" t="s">
        <v>1303</v>
      </c>
      <c r="D766" s="134" t="n">
        <v>0</v>
      </c>
      <c r="E766" s="134" t="n">
        <v>0</v>
      </c>
      <c r="F766" s="134" t="n">
        <v>0</v>
      </c>
      <c r="G766" s="134" t="n">
        <v>0</v>
      </c>
      <c r="H766" s="134" t="n">
        <v>0</v>
      </c>
      <c r="I766" s="134" t="n">
        <v>0</v>
      </c>
      <c r="J766" s="134" t="n">
        <v>0</v>
      </c>
      <c r="K766" s="134" t="n">
        <v>0</v>
      </c>
      <c r="L766" s="134" t="n">
        <v>598000000</v>
      </c>
    </row>
    <row r="767" customFormat="false" ht="15" hidden="false" customHeight="false" outlineLevel="0" collapsed="false">
      <c r="B767" s="6" t="s">
        <v>1309</v>
      </c>
      <c r="C767" s="133" t="s">
        <v>1310</v>
      </c>
      <c r="D767" s="134" t="n">
        <v>0</v>
      </c>
      <c r="E767" s="134" t="n">
        <v>0</v>
      </c>
      <c r="F767" s="134" t="n">
        <v>0</v>
      </c>
      <c r="G767" s="134" t="n">
        <v>0</v>
      </c>
      <c r="H767" s="134" t="n">
        <v>0</v>
      </c>
      <c r="I767" s="134" t="n">
        <v>0</v>
      </c>
      <c r="J767" s="134" t="n">
        <v>0</v>
      </c>
      <c r="K767" s="134" t="n">
        <v>0</v>
      </c>
      <c r="L767" s="134" t="n">
        <v>598000000</v>
      </c>
    </row>
    <row r="768" customFormat="false" ht="15" hidden="false" customHeight="false" outlineLevel="0" collapsed="false">
      <c r="B768" s="140" t="s">
        <v>1311</v>
      </c>
      <c r="C768" s="133" t="s">
        <v>1312</v>
      </c>
      <c r="D768" s="134" t="n">
        <v>133700000</v>
      </c>
      <c r="E768" s="134" t="n">
        <v>145100000</v>
      </c>
      <c r="F768" s="134" t="n">
        <v>133700000</v>
      </c>
      <c r="G768" s="134" t="n">
        <v>0</v>
      </c>
      <c r="H768" s="134" t="n">
        <v>0</v>
      </c>
      <c r="I768" s="134" t="n">
        <v>0</v>
      </c>
      <c r="J768" s="134" t="n">
        <v>0</v>
      </c>
      <c r="K768" s="134" t="n">
        <v>0</v>
      </c>
      <c r="L768" s="134" t="n">
        <v>0</v>
      </c>
    </row>
    <row r="769" customFormat="false" ht="15" hidden="false" customHeight="false" outlineLevel="0" collapsed="false">
      <c r="B769" s="140" t="s">
        <v>1313</v>
      </c>
      <c r="C769" s="133" t="s">
        <v>1314</v>
      </c>
      <c r="D769" s="134" t="n">
        <v>0.6545</v>
      </c>
      <c r="E769" s="134" t="n">
        <v>0.6379</v>
      </c>
      <c r="F769" s="134" t="n">
        <v>0.6545</v>
      </c>
      <c r="G769" s="134" t="n">
        <v>0</v>
      </c>
      <c r="H769" s="134" t="n">
        <v>0</v>
      </c>
      <c r="I769" s="134" t="n">
        <v>0</v>
      </c>
      <c r="J769" s="134" t="n">
        <v>0</v>
      </c>
      <c r="K769" s="134" t="n">
        <v>0</v>
      </c>
      <c r="L769" s="134" t="n">
        <v>0</v>
      </c>
    </row>
    <row r="770" customFormat="false" ht="15" hidden="false" customHeight="false" outlineLevel="0" collapsed="false">
      <c r="B770" s="140" t="s">
        <v>1315</v>
      </c>
      <c r="C770" s="133" t="s">
        <v>1316</v>
      </c>
      <c r="D770" s="134" t="n">
        <v>2</v>
      </c>
      <c r="E770" s="134" t="n">
        <v>2.5</v>
      </c>
      <c r="F770" s="134" t="n">
        <v>2</v>
      </c>
      <c r="G770" s="134" t="n">
        <v>0</v>
      </c>
      <c r="H770" s="134" t="n">
        <v>0</v>
      </c>
      <c r="I770" s="134" t="n">
        <v>0</v>
      </c>
      <c r="J770" s="134" t="n">
        <v>0</v>
      </c>
      <c r="K770" s="134" t="n">
        <v>0</v>
      </c>
      <c r="L770" s="134" t="n">
        <v>0</v>
      </c>
    </row>
    <row r="771" customFormat="false" ht="15" hidden="false" customHeight="false" outlineLevel="0" collapsed="false">
      <c r="B771" s="140" t="s">
        <v>1317</v>
      </c>
      <c r="C771" s="133" t="s">
        <v>1318</v>
      </c>
      <c r="D771" s="134" t="n">
        <v>0.0863</v>
      </c>
      <c r="E771" s="134" t="n">
        <v>0.0864</v>
      </c>
      <c r="F771" s="134" t="n">
        <v>0.0863</v>
      </c>
      <c r="G771" s="134" t="n">
        <v>0</v>
      </c>
      <c r="H771" s="134" t="n">
        <v>0</v>
      </c>
      <c r="I771" s="134" t="n">
        <v>0</v>
      </c>
      <c r="J771" s="134" t="n">
        <v>0</v>
      </c>
      <c r="K771" s="134" t="n">
        <v>0</v>
      </c>
      <c r="L771" s="134" t="n">
        <v>0</v>
      </c>
    </row>
    <row r="773" customFormat="false" ht="15" hidden="false" customHeight="false" outlineLevel="0" collapsed="false">
      <c r="B773" s="63" t="s">
        <v>1319</v>
      </c>
    </row>
    <row r="774" customFormat="false" ht="15" hidden="false" customHeight="false" outlineLevel="0" collapsed="false">
      <c r="B774" s="132" t="s">
        <v>1320</v>
      </c>
      <c r="C774" s="133" t="s">
        <v>1321</v>
      </c>
      <c r="D774" s="134" t="n">
        <v>26000000</v>
      </c>
      <c r="E774" s="134" t="n">
        <v>0</v>
      </c>
      <c r="F774" s="134" t="n">
        <v>0</v>
      </c>
      <c r="G774" s="134" t="n">
        <v>0</v>
      </c>
      <c r="H774" s="134" t="n">
        <v>0</v>
      </c>
      <c r="I774" s="134" t="n">
        <v>0</v>
      </c>
      <c r="J774" s="134" t="n">
        <v>0</v>
      </c>
      <c r="K774" s="134" t="n">
        <v>0</v>
      </c>
      <c r="L774" s="134" t="n">
        <v>0</v>
      </c>
    </row>
    <row r="775" customFormat="false" ht="15" hidden="false" customHeight="false" outlineLevel="0" collapsed="false">
      <c r="B775" s="135" t="s">
        <v>1322</v>
      </c>
      <c r="C775" s="133" t="s">
        <v>1323</v>
      </c>
      <c r="D775" s="136" t="n">
        <v>26000000</v>
      </c>
      <c r="E775" s="136" t="n">
        <v>0</v>
      </c>
      <c r="F775" s="136" t="n">
        <v>0</v>
      </c>
      <c r="G775" s="136" t="n">
        <v>0</v>
      </c>
      <c r="H775" s="136" t="n">
        <v>0</v>
      </c>
      <c r="I775" s="136" t="n">
        <v>0</v>
      </c>
      <c r="J775" s="136" t="n">
        <v>0</v>
      </c>
      <c r="K775" s="136" t="n">
        <v>0</v>
      </c>
      <c r="L775" s="136" t="n">
        <v>0</v>
      </c>
    </row>
    <row r="777" customFormat="false" ht="15" hidden="false" customHeight="false" outlineLevel="0" collapsed="false">
      <c r="B777" s="63" t="s">
        <v>1324</v>
      </c>
    </row>
    <row r="778" customFormat="false" ht="15" hidden="false" customHeight="false" outlineLevel="0" collapsed="false">
      <c r="B778" s="135" t="s">
        <v>1322</v>
      </c>
      <c r="C778" s="133" t="s">
        <v>1323</v>
      </c>
      <c r="D778" s="136" t="n">
        <v>26000000</v>
      </c>
      <c r="E778" s="136" t="n">
        <v>0</v>
      </c>
      <c r="F778" s="136" t="n">
        <v>0</v>
      </c>
      <c r="G778" s="136" t="n">
        <v>0</v>
      </c>
      <c r="H778" s="136" t="n">
        <v>0</v>
      </c>
      <c r="I778" s="136" t="n">
        <v>0</v>
      </c>
      <c r="J778" s="136" t="n">
        <v>0</v>
      </c>
      <c r="K778" s="136" t="n">
        <v>0</v>
      </c>
      <c r="L778" s="136"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62"/>
    <col collapsed="false" customWidth="true" hidden="false" outlineLevel="0" max="3" min="3" style="0" width="42"/>
    <col collapsed="false" customWidth="true" hidden="false" outlineLevel="0" max="12" min="4" style="0" width="22"/>
  </cols>
  <sheetData>
    <row r="1" customFormat="false" ht="17.35" hidden="false" customHeight="false" outlineLevel="0" collapsed="false">
      <c r="B1" s="130" t="s">
        <v>0</v>
      </c>
    </row>
    <row r="3" customFormat="false" ht="15" hidden="false" customHeight="false" outlineLevel="0" collapsed="false">
      <c r="A3" s="0" t="s">
        <v>26</v>
      </c>
      <c r="B3" s="13" t="s">
        <v>111</v>
      </c>
    </row>
    <row r="4" customFormat="false" ht="15" hidden="false" customHeight="false" outlineLevel="0" collapsed="false">
      <c r="B4" s="0" t="s">
        <v>567</v>
      </c>
    </row>
    <row r="6" customFormat="false" ht="15" hidden="false" customHeight="false" outlineLevel="0" collapsed="false">
      <c r="C6" s="131" t="s">
        <v>568</v>
      </c>
      <c r="D6" s="13" t="s">
        <v>29</v>
      </c>
      <c r="E6" s="13" t="s">
        <v>30</v>
      </c>
      <c r="F6" s="13" t="s">
        <v>31</v>
      </c>
      <c r="G6" s="13" t="s">
        <v>32</v>
      </c>
      <c r="H6" s="13" t="s">
        <v>33</v>
      </c>
      <c r="I6" s="13" t="s">
        <v>34</v>
      </c>
      <c r="J6" s="13" t="s">
        <v>35</v>
      </c>
      <c r="K6" s="13" t="s">
        <v>36</v>
      </c>
      <c r="L6" s="13" t="s">
        <v>37</v>
      </c>
    </row>
    <row r="7" customFormat="false" ht="15" hidden="false" customHeight="false" outlineLevel="0" collapsed="false">
      <c r="B7" s="63" t="s">
        <v>112</v>
      </c>
    </row>
    <row r="8" customFormat="false" ht="15" hidden="false" customHeight="false" outlineLevel="0" collapsed="false">
      <c r="B8" s="132" t="s">
        <v>113</v>
      </c>
      <c r="C8" s="133" t="s">
        <v>569</v>
      </c>
      <c r="D8" s="134" t="n">
        <v>92456800000</v>
      </c>
      <c r="E8" s="134" t="n">
        <v>61664800000</v>
      </c>
      <c r="F8" s="134" t="n">
        <v>25435000000</v>
      </c>
      <c r="G8" s="134" t="n">
        <v>3759500000</v>
      </c>
      <c r="H8" s="134" t="n">
        <v>12473100000</v>
      </c>
      <c r="I8" s="134" t="n">
        <v>40400400000</v>
      </c>
      <c r="J8" s="134" t="n">
        <v>35904400000</v>
      </c>
      <c r="K8" s="134" t="n">
        <v>38602500000</v>
      </c>
      <c r="L8" s="134" t="n">
        <v>101977200000</v>
      </c>
    </row>
    <row r="9" customFormat="false" ht="15" hidden="false" customHeight="false" outlineLevel="0" collapsed="false">
      <c r="B9" s="132" t="s">
        <v>114</v>
      </c>
      <c r="C9" s="133" t="s">
        <v>570</v>
      </c>
      <c r="D9" s="134" t="n">
        <v>4009700000</v>
      </c>
      <c r="E9" s="134" t="n">
        <v>3691600000</v>
      </c>
      <c r="F9" s="134" t="n">
        <v>4359800000</v>
      </c>
      <c r="G9" s="134" t="n">
        <v>2361800000</v>
      </c>
      <c r="H9" s="134" t="n">
        <v>697500000</v>
      </c>
      <c r="I9" s="134" t="n">
        <v>630200000</v>
      </c>
      <c r="J9" s="134" t="n">
        <v>1922200000</v>
      </c>
      <c r="K9" s="134" t="n">
        <v>1928800000</v>
      </c>
      <c r="L9" s="134" t="n">
        <v>1023100000</v>
      </c>
    </row>
    <row r="10" customFormat="false" ht="15" hidden="false" customHeight="false" outlineLevel="0" collapsed="false">
      <c r="B10" s="135" t="s">
        <v>115</v>
      </c>
      <c r="C10" s="133" t="s">
        <v>571</v>
      </c>
      <c r="D10" s="136" t="n">
        <v>96466500000</v>
      </c>
      <c r="E10" s="136" t="n">
        <v>65356400000</v>
      </c>
      <c r="F10" s="136" t="n">
        <v>29794800000</v>
      </c>
      <c r="G10" s="136" t="n">
        <v>6121300000</v>
      </c>
      <c r="H10" s="136" t="n">
        <v>13170600000</v>
      </c>
      <c r="I10" s="136" t="n">
        <v>41030600000</v>
      </c>
      <c r="J10" s="136" t="n">
        <v>37826600000</v>
      </c>
      <c r="K10" s="136" t="n">
        <v>40531300000</v>
      </c>
      <c r="L10" s="136" t="n">
        <v>103000300000</v>
      </c>
    </row>
    <row r="11" customFormat="false" ht="15" hidden="false" customHeight="false" outlineLevel="0" collapsed="false">
      <c r="B11" s="63" t="s">
        <v>572</v>
      </c>
    </row>
    <row r="12" customFormat="false" ht="15" hidden="false" customHeight="false" outlineLevel="0" collapsed="false">
      <c r="B12" s="132" t="s">
        <v>117</v>
      </c>
      <c r="C12" s="133" t="s">
        <v>573</v>
      </c>
      <c r="D12" s="134" t="n">
        <v>58734400000</v>
      </c>
      <c r="E12" s="134" t="n">
        <v>27451000000</v>
      </c>
      <c r="F12" s="134" t="n">
        <v>15179200000</v>
      </c>
      <c r="G12" s="134" t="n">
        <v>2730600000</v>
      </c>
      <c r="H12" s="134" t="n">
        <v>6855100000</v>
      </c>
      <c r="I12" s="134" t="n">
        <v>30843300000</v>
      </c>
      <c r="J12" s="134" t="n">
        <v>26629700000</v>
      </c>
      <c r="K12" s="134" t="n">
        <v>28531300000</v>
      </c>
      <c r="L12" s="134" t="n">
        <v>69868900000</v>
      </c>
    </row>
    <row r="13" customFormat="false" ht="15" hidden="false" customHeight="false" outlineLevel="0" collapsed="false">
      <c r="B13" s="132" t="s">
        <v>118</v>
      </c>
      <c r="C13" s="133" t="s">
        <v>574</v>
      </c>
      <c r="D13" s="134" t="n">
        <v>4919900000</v>
      </c>
      <c r="E13" s="134" t="n">
        <v>9879500000</v>
      </c>
      <c r="F13" s="134" t="n">
        <v>58100000</v>
      </c>
      <c r="G13" s="134" t="n">
        <v>0</v>
      </c>
      <c r="H13" s="134" t="n">
        <v>0</v>
      </c>
      <c r="I13" s="134" t="n">
        <v>0</v>
      </c>
      <c r="J13" s="134" t="n">
        <v>0</v>
      </c>
      <c r="K13" s="134" t="n">
        <v>0</v>
      </c>
      <c r="L13" s="134" t="n">
        <v>0</v>
      </c>
    </row>
    <row r="14" customFormat="false" ht="15" hidden="false" customHeight="false" outlineLevel="0" collapsed="false">
      <c r="B14" s="132" t="s">
        <v>119</v>
      </c>
      <c r="C14" s="133" t="s">
        <v>575</v>
      </c>
      <c r="D14" s="134" t="n">
        <v>-8235700000</v>
      </c>
      <c r="E14" s="134" t="n">
        <v>3853000000</v>
      </c>
      <c r="F14" s="134" t="n">
        <v>1960000000</v>
      </c>
      <c r="G14" s="134" t="n">
        <v>1083100000</v>
      </c>
      <c r="H14" s="134" t="n">
        <v>630100000</v>
      </c>
      <c r="I14" s="134" t="n">
        <v>96700000</v>
      </c>
      <c r="J14" s="134" t="n">
        <v>775300000</v>
      </c>
      <c r="K14" s="134" t="n">
        <v>-452900000</v>
      </c>
      <c r="L14" s="134" t="n">
        <v>-2691700000</v>
      </c>
    </row>
    <row r="15" customFormat="false" ht="15" hidden="false" customHeight="false" outlineLevel="0" collapsed="false">
      <c r="B15" s="132" t="s">
        <v>576</v>
      </c>
      <c r="C15" s="133" t="s">
        <v>577</v>
      </c>
      <c r="D15" s="134" t="n">
        <v>4151900000</v>
      </c>
      <c r="E15" s="134" t="n">
        <v>2784800000</v>
      </c>
      <c r="F15" s="134" t="n">
        <v>3265400000</v>
      </c>
      <c r="G15" s="134" t="n">
        <v>2714800000</v>
      </c>
      <c r="H15" s="134" t="n">
        <v>1829700000</v>
      </c>
      <c r="I15" s="134" t="n">
        <v>2256200000</v>
      </c>
      <c r="J15" s="134" t="n">
        <v>2525100000</v>
      </c>
      <c r="K15" s="134" t="n">
        <v>3123600000</v>
      </c>
      <c r="L15" s="134" t="n">
        <v>7917500000</v>
      </c>
    </row>
    <row r="16" customFormat="false" ht="15" hidden="false" customHeight="false" outlineLevel="0" collapsed="false">
      <c r="B16" s="132" t="s">
        <v>126</v>
      </c>
      <c r="C16" s="133" t="s">
        <v>578</v>
      </c>
      <c r="D16" s="134" t="n">
        <v>9307100000</v>
      </c>
      <c r="E16" s="134" t="n">
        <v>12228400000</v>
      </c>
      <c r="F16" s="134" t="n">
        <v>9436500000</v>
      </c>
      <c r="G16" s="134" t="n">
        <v>11405700000</v>
      </c>
      <c r="H16" s="134" t="n">
        <v>9830700000</v>
      </c>
      <c r="I16" s="134" t="n">
        <v>7770800000</v>
      </c>
      <c r="J16" s="134" t="n">
        <v>4415600000</v>
      </c>
      <c r="K16" s="134" t="n">
        <v>2256700000</v>
      </c>
      <c r="L16" s="134" t="n">
        <v>2288600000</v>
      </c>
    </row>
    <row r="17" customFormat="false" ht="15" hidden="false" customHeight="false" outlineLevel="0" collapsed="false">
      <c r="B17" s="132" t="s">
        <v>579</v>
      </c>
      <c r="C17" s="133" t="s">
        <v>580</v>
      </c>
      <c r="D17" s="134" t="n">
        <v>4139900000</v>
      </c>
      <c r="E17" s="134" t="n">
        <v>4192800000</v>
      </c>
      <c r="F17" s="134" t="n">
        <v>4389100000</v>
      </c>
      <c r="G17" s="134" t="n">
        <v>6821500000</v>
      </c>
      <c r="H17" s="134" t="n">
        <v>1865000000</v>
      </c>
      <c r="I17" s="134" t="n">
        <v>1851300000</v>
      </c>
      <c r="J17" s="134" t="n">
        <v>1900400000</v>
      </c>
      <c r="K17" s="134" t="n">
        <v>1195700000</v>
      </c>
      <c r="L17" s="134" t="n">
        <v>1668500000</v>
      </c>
    </row>
    <row r="18" customFormat="false" ht="15" hidden="false" customHeight="false" outlineLevel="0" collapsed="false">
      <c r="B18" s="132" t="s">
        <v>122</v>
      </c>
      <c r="C18" s="133" t="s">
        <v>581</v>
      </c>
      <c r="D18" s="134" t="n">
        <v>14534700000</v>
      </c>
      <c r="E18" s="134" t="n">
        <v>11054300000</v>
      </c>
      <c r="F18" s="134" t="n">
        <v>6812500000</v>
      </c>
      <c r="G18" s="134" t="n">
        <v>6204900000</v>
      </c>
      <c r="H18" s="134" t="n">
        <v>4159900000</v>
      </c>
      <c r="I18" s="134" t="n">
        <v>6510200000</v>
      </c>
      <c r="J18" s="134" t="n">
        <v>5373700000</v>
      </c>
      <c r="K18" s="134" t="n">
        <v>5194000000</v>
      </c>
      <c r="L18" s="134" t="n">
        <v>10239900000</v>
      </c>
    </row>
    <row r="19" customFormat="false" ht="15" hidden="false" customHeight="false" outlineLevel="0" collapsed="false">
      <c r="B19" s="135" t="s">
        <v>582</v>
      </c>
      <c r="C19" s="133" t="s">
        <v>583</v>
      </c>
      <c r="D19" s="136" t="n">
        <v>87552200000</v>
      </c>
      <c r="E19" s="136" t="n">
        <v>71443800000</v>
      </c>
      <c r="F19" s="136" t="n">
        <v>41100800000</v>
      </c>
      <c r="G19" s="136" t="n">
        <v>30960600000</v>
      </c>
      <c r="H19" s="136" t="n">
        <v>25170500000</v>
      </c>
      <c r="I19" s="136" t="n">
        <v>49328500000</v>
      </c>
      <c r="J19" s="136" t="n">
        <v>41619800000</v>
      </c>
      <c r="K19" s="136" t="n">
        <v>39848400000</v>
      </c>
      <c r="L19" s="136" t="n">
        <v>89291700000</v>
      </c>
    </row>
    <row r="20" customFormat="false" ht="15" hidden="false" customHeight="false" outlineLevel="0" collapsed="false">
      <c r="B20" s="32" t="s">
        <v>584</v>
      </c>
      <c r="C20" s="133" t="s">
        <v>585</v>
      </c>
      <c r="D20" s="136" t="n">
        <v>8914300000</v>
      </c>
      <c r="E20" s="136" t="n">
        <v>-6087400000</v>
      </c>
      <c r="F20" s="136" t="n">
        <v>-11306000000</v>
      </c>
      <c r="G20" s="136" t="n">
        <v>-24839300000</v>
      </c>
      <c r="H20" s="136" t="n">
        <v>-11999900000</v>
      </c>
      <c r="I20" s="136" t="n">
        <v>-8297900000</v>
      </c>
      <c r="J20" s="136" t="n">
        <v>-3793200000</v>
      </c>
      <c r="K20" s="136" t="n">
        <v>682900000</v>
      </c>
      <c r="L20" s="136" t="n">
        <v>13708600000</v>
      </c>
    </row>
    <row r="21" customFormat="false" ht="15" hidden="false" customHeight="false" outlineLevel="0" collapsed="false">
      <c r="B21" s="6" t="s">
        <v>127</v>
      </c>
      <c r="C21" s="133" t="s">
        <v>586</v>
      </c>
      <c r="D21" s="134" t="n">
        <v>-5357800000</v>
      </c>
      <c r="E21" s="134" t="n">
        <v>-5460000000</v>
      </c>
      <c r="F21" s="134" t="n">
        <v>-62813800000</v>
      </c>
      <c r="G21" s="134" t="n">
        <v>-7920500000</v>
      </c>
      <c r="H21" s="134" t="n">
        <v>8015900000</v>
      </c>
      <c r="I21" s="134" t="n">
        <v>-828700000</v>
      </c>
      <c r="J21" s="134" t="n">
        <v>25420800000</v>
      </c>
      <c r="K21" s="134" t="n">
        <v>251400000</v>
      </c>
      <c r="L21" s="134" t="n">
        <v>1028600000</v>
      </c>
    </row>
    <row r="22" customFormat="false" ht="15" hidden="false" customHeight="false" outlineLevel="0" collapsed="false">
      <c r="B22" s="32" t="s">
        <v>201</v>
      </c>
      <c r="C22" s="133" t="s">
        <v>587</v>
      </c>
      <c r="D22" s="136" t="n">
        <v>3556500000</v>
      </c>
      <c r="E22" s="136" t="n">
        <v>-11547400000</v>
      </c>
      <c r="F22" s="136" t="n">
        <v>-74119800000</v>
      </c>
      <c r="G22" s="136" t="n">
        <v>-32759800000</v>
      </c>
      <c r="H22" s="136" t="n">
        <v>-3984000000</v>
      </c>
      <c r="I22" s="136" t="n">
        <v>-9126600000</v>
      </c>
      <c r="J22" s="136" t="n">
        <v>21627600000</v>
      </c>
      <c r="K22" s="136" t="n">
        <v>934300000</v>
      </c>
      <c r="L22" s="136" t="n">
        <v>14737200000</v>
      </c>
    </row>
    <row r="23" customFormat="false" ht="15" hidden="false" customHeight="false" outlineLevel="0" collapsed="false">
      <c r="B23" s="63" t="s">
        <v>588</v>
      </c>
    </row>
    <row r="24" customFormat="false" ht="15" hidden="false" customHeight="false" outlineLevel="0" collapsed="false">
      <c r="B24" s="132" t="s">
        <v>129</v>
      </c>
      <c r="C24" s="133" t="s">
        <v>589</v>
      </c>
      <c r="D24" s="134" t="n">
        <v>-500000</v>
      </c>
      <c r="E24" s="134" t="n">
        <v>14000000</v>
      </c>
      <c r="F24" s="134" t="n">
        <v>13500000</v>
      </c>
      <c r="G24" s="134" t="n">
        <v>6500000</v>
      </c>
      <c r="H24" s="134" t="n">
        <v>0</v>
      </c>
      <c r="I24" s="134" t="n">
        <v>0</v>
      </c>
      <c r="J24" s="134" t="n">
        <v>0</v>
      </c>
      <c r="K24" s="134" t="n">
        <v>0</v>
      </c>
      <c r="L24" s="134" t="n">
        <v>70500000</v>
      </c>
    </row>
    <row r="25" customFormat="false" ht="15" hidden="false" customHeight="false" outlineLevel="0" collapsed="false">
      <c r="B25" s="132" t="s">
        <v>130</v>
      </c>
      <c r="C25" s="133" t="s">
        <v>590</v>
      </c>
      <c r="D25" s="134" t="n">
        <v>0</v>
      </c>
      <c r="E25" s="134" t="n">
        <v>0</v>
      </c>
      <c r="F25" s="134" t="n">
        <v>0</v>
      </c>
      <c r="G25" s="134" t="n">
        <v>0</v>
      </c>
      <c r="H25" s="134" t="n">
        <v>0</v>
      </c>
      <c r="I25" s="134" t="n">
        <v>0</v>
      </c>
      <c r="J25" s="134" t="n">
        <v>0</v>
      </c>
      <c r="K25" s="134" t="n">
        <v>0</v>
      </c>
      <c r="L25" s="134" t="n">
        <v>-6380500000</v>
      </c>
    </row>
    <row r="26" customFormat="false" ht="15" hidden="false" customHeight="false" outlineLevel="0" collapsed="false">
      <c r="B26" s="135" t="s">
        <v>131</v>
      </c>
      <c r="C26" s="133" t="s">
        <v>591</v>
      </c>
      <c r="D26" s="136" t="n">
        <v>-500000</v>
      </c>
      <c r="E26" s="136" t="n">
        <v>14000000</v>
      </c>
      <c r="F26" s="136" t="n">
        <v>13500000</v>
      </c>
      <c r="G26" s="136" t="n">
        <v>6500000</v>
      </c>
      <c r="H26" s="136" t="n">
        <v>0</v>
      </c>
      <c r="I26" s="136" t="n">
        <v>0</v>
      </c>
      <c r="J26" s="136" t="n">
        <v>0</v>
      </c>
      <c r="K26" s="136" t="n">
        <v>0</v>
      </c>
      <c r="L26" s="136" t="n">
        <v>-6310000000</v>
      </c>
    </row>
    <row r="27" customFormat="false" ht="15" hidden="false" customHeight="false" outlineLevel="0" collapsed="false">
      <c r="B27" s="32" t="s">
        <v>592</v>
      </c>
      <c r="C27" s="133" t="s">
        <v>593</v>
      </c>
      <c r="D27" s="136" t="n">
        <v>3557000000</v>
      </c>
      <c r="E27" s="136" t="n">
        <v>-11561400000</v>
      </c>
      <c r="F27" s="136" t="n">
        <v>-74133300000</v>
      </c>
      <c r="G27" s="136" t="n">
        <v>-32766300000</v>
      </c>
      <c r="H27" s="136" t="n">
        <v>-3984000000</v>
      </c>
      <c r="I27" s="136" t="n">
        <v>-9126600000</v>
      </c>
      <c r="J27" s="136" t="n">
        <v>21627600000</v>
      </c>
      <c r="K27" s="136" t="n">
        <v>934300000</v>
      </c>
      <c r="L27" s="136" t="n">
        <v>21047200000</v>
      </c>
    </row>
    <row r="28" customFormat="false" ht="15" hidden="false" customHeight="false" outlineLevel="0" collapsed="false">
      <c r="B28" s="32" t="s">
        <v>596</v>
      </c>
      <c r="C28" s="133" t="s">
        <v>597</v>
      </c>
      <c r="D28" s="136" t="n">
        <v>3557000000</v>
      </c>
      <c r="E28" s="136" t="n">
        <v>-11561400000</v>
      </c>
      <c r="F28" s="136" t="n">
        <v>-74133300000</v>
      </c>
      <c r="G28" s="136" t="n">
        <v>-32766300000</v>
      </c>
      <c r="H28" s="136" t="n">
        <v>-3984000000</v>
      </c>
      <c r="I28" s="136" t="n">
        <v>-9126600000</v>
      </c>
      <c r="J28" s="136" t="n">
        <v>21627600000</v>
      </c>
      <c r="K28" s="136" t="n">
        <v>934300000</v>
      </c>
      <c r="L28" s="136" t="n">
        <v>21047200000</v>
      </c>
    </row>
    <row r="29" customFormat="false" ht="15" hidden="false" customHeight="false" outlineLevel="0" collapsed="false">
      <c r="B29" s="63" t="s">
        <v>602</v>
      </c>
    </row>
    <row r="30" customFormat="false" ht="15" hidden="false" customHeight="false" outlineLevel="0" collapsed="false">
      <c r="B30" s="137" t="s">
        <v>603</v>
      </c>
    </row>
    <row r="31" customFormat="false" ht="15" hidden="false" customHeight="false" outlineLevel="0" collapsed="false">
      <c r="B31" s="138" t="s">
        <v>604</v>
      </c>
      <c r="C31" s="133" t="s">
        <v>605</v>
      </c>
      <c r="D31" s="134" t="n">
        <v>-99400000</v>
      </c>
      <c r="E31" s="134" t="n">
        <v>71700000</v>
      </c>
      <c r="F31" s="134" t="n">
        <v>5400000</v>
      </c>
      <c r="G31" s="134" t="n">
        <v>51100000</v>
      </c>
      <c r="H31" s="134" t="n">
        <v>-1100000</v>
      </c>
      <c r="I31" s="134" t="n">
        <v>16700000</v>
      </c>
      <c r="J31" s="134" t="n">
        <v>-57100000</v>
      </c>
      <c r="K31" s="134" t="n">
        <v>-3200000</v>
      </c>
      <c r="L31" s="134" t="n">
        <v>59800000</v>
      </c>
    </row>
    <row r="32" customFormat="false" ht="15" hidden="false" customHeight="false" outlineLevel="0" collapsed="false">
      <c r="B32" s="138" t="s">
        <v>606</v>
      </c>
      <c r="C32" s="133" t="s">
        <v>607</v>
      </c>
      <c r="D32" s="134" t="n">
        <v>-99400000</v>
      </c>
      <c r="E32" s="134" t="n">
        <v>71700000</v>
      </c>
      <c r="F32" s="134" t="n">
        <v>5400000</v>
      </c>
      <c r="G32" s="134" t="n">
        <v>51100000</v>
      </c>
      <c r="H32" s="134" t="n">
        <v>-1100000</v>
      </c>
      <c r="I32" s="134" t="n">
        <v>16700000</v>
      </c>
      <c r="J32" s="134" t="n">
        <v>-57100000</v>
      </c>
      <c r="K32" s="134" t="n">
        <v>-3200000</v>
      </c>
      <c r="L32" s="134" t="n">
        <v>59800000</v>
      </c>
    </row>
    <row r="33" customFormat="false" ht="15" hidden="false" customHeight="false" outlineLevel="0" collapsed="false">
      <c r="B33" s="138" t="s">
        <v>612</v>
      </c>
      <c r="C33" s="133" t="s">
        <v>613</v>
      </c>
      <c r="D33" s="134" t="n">
        <v>-99400000</v>
      </c>
      <c r="E33" s="134" t="n">
        <v>71700000</v>
      </c>
      <c r="F33" s="134" t="n">
        <v>5400000</v>
      </c>
      <c r="G33" s="134" t="n">
        <v>51100000</v>
      </c>
      <c r="H33" s="134" t="n">
        <v>-1100000</v>
      </c>
      <c r="I33" s="134" t="n">
        <v>16700000</v>
      </c>
      <c r="J33" s="134" t="n">
        <v>-57100000</v>
      </c>
      <c r="K33" s="134" t="n">
        <v>-3200000</v>
      </c>
      <c r="L33" s="134" t="n">
        <v>59800000</v>
      </c>
    </row>
    <row r="34" customFormat="false" ht="15" hidden="false" customHeight="false" outlineLevel="0" collapsed="false">
      <c r="B34" s="139" t="s">
        <v>614</v>
      </c>
    </row>
    <row r="35" customFormat="false" ht="15" hidden="false" customHeight="false" outlineLevel="0" collapsed="false">
      <c r="B35" s="140" t="s">
        <v>1325</v>
      </c>
      <c r="C35" s="133" t="s">
        <v>1326</v>
      </c>
      <c r="D35" s="134" t="n">
        <v>-99400000</v>
      </c>
      <c r="E35" s="134" t="n">
        <v>0</v>
      </c>
      <c r="F35" s="134" t="n">
        <v>0</v>
      </c>
      <c r="G35" s="134" t="n">
        <v>0</v>
      </c>
      <c r="H35" s="134" t="n">
        <v>0</v>
      </c>
      <c r="I35" s="134" t="n">
        <v>0</v>
      </c>
      <c r="J35" s="134" t="n">
        <v>0</v>
      </c>
      <c r="K35" s="134" t="n">
        <v>0</v>
      </c>
      <c r="L35" s="134" t="n">
        <v>0</v>
      </c>
    </row>
    <row r="36" customFormat="false" ht="15" hidden="false" customHeight="false" outlineLevel="0" collapsed="false">
      <c r="B36" s="140" t="s">
        <v>615</v>
      </c>
      <c r="C36" s="133" t="s">
        <v>616</v>
      </c>
      <c r="D36" s="134" t="n">
        <v>3457600000</v>
      </c>
      <c r="E36" s="134" t="n">
        <v>-11489700000</v>
      </c>
      <c r="F36" s="134" t="n">
        <v>-74127900000</v>
      </c>
      <c r="G36" s="134" t="n">
        <v>-32715200000</v>
      </c>
      <c r="H36" s="134" t="n">
        <v>-3985100000</v>
      </c>
      <c r="I36" s="134" t="n">
        <v>-9109900000</v>
      </c>
      <c r="J36" s="134" t="n">
        <v>21570500000</v>
      </c>
      <c r="K36" s="134" t="n">
        <v>931100000</v>
      </c>
      <c r="L36" s="134" t="n">
        <v>21107000000</v>
      </c>
    </row>
    <row r="37" customFormat="false" ht="15" hidden="false" customHeight="false" outlineLevel="0" collapsed="false">
      <c r="B37" s="141" t="s">
        <v>617</v>
      </c>
    </row>
    <row r="38" customFormat="false" ht="15" hidden="false" customHeight="false" outlineLevel="0" collapsed="false">
      <c r="B38" s="142" t="s">
        <v>618</v>
      </c>
      <c r="C38" s="133" t="s">
        <v>619</v>
      </c>
      <c r="D38" s="134" t="n">
        <v>3358200000</v>
      </c>
      <c r="E38" s="134" t="n">
        <v>0</v>
      </c>
      <c r="F38" s="134" t="n">
        <v>0</v>
      </c>
      <c r="G38" s="134" t="n">
        <v>0</v>
      </c>
      <c r="H38" s="134" t="n">
        <v>0</v>
      </c>
      <c r="I38" s="134" t="n">
        <v>0</v>
      </c>
      <c r="J38" s="134" t="n">
        <v>0</v>
      </c>
      <c r="K38" s="134" t="n">
        <v>0</v>
      </c>
      <c r="L38" s="134" t="n">
        <v>0</v>
      </c>
    </row>
    <row r="39" customFormat="false" ht="15" hidden="false" customHeight="false" outlineLevel="0" collapsed="false">
      <c r="B39" s="132" t="s">
        <v>615</v>
      </c>
      <c r="C39" s="133" t="s">
        <v>616</v>
      </c>
      <c r="D39" s="134" t="n">
        <v>3457600000</v>
      </c>
      <c r="E39" s="134" t="n">
        <v>-11489700000</v>
      </c>
      <c r="F39" s="134" t="n">
        <v>-74127900000</v>
      </c>
      <c r="G39" s="134" t="n">
        <v>-32715200000</v>
      </c>
      <c r="H39" s="134" t="n">
        <v>-3985100000</v>
      </c>
      <c r="I39" s="134" t="n">
        <v>-9109900000</v>
      </c>
      <c r="J39" s="134" t="n">
        <v>21570500000</v>
      </c>
      <c r="K39" s="134" t="n">
        <v>931100000</v>
      </c>
      <c r="L39" s="134" t="n">
        <v>21107000000</v>
      </c>
    </row>
    <row r="40" customFormat="false" ht="15" hidden="false" customHeight="false" outlineLevel="0" collapsed="false">
      <c r="B40" s="137" t="s">
        <v>617</v>
      </c>
    </row>
    <row r="41" customFormat="false" ht="15" hidden="false" customHeight="false" outlineLevel="0" collapsed="false">
      <c r="B41" s="138" t="s">
        <v>618</v>
      </c>
      <c r="C41" s="133" t="s">
        <v>619</v>
      </c>
      <c r="D41" s="134" t="n">
        <v>3358200000</v>
      </c>
      <c r="E41" s="134" t="n">
        <v>0</v>
      </c>
      <c r="F41" s="134" t="n">
        <v>0</v>
      </c>
      <c r="G41" s="134" t="n">
        <v>0</v>
      </c>
      <c r="H41" s="134" t="n">
        <v>0</v>
      </c>
      <c r="I41" s="134" t="n">
        <v>0</v>
      </c>
      <c r="J41" s="134" t="n">
        <v>0</v>
      </c>
      <c r="K41" s="134" t="n">
        <v>0</v>
      </c>
      <c r="L41" s="134" t="n">
        <v>0</v>
      </c>
    </row>
    <row r="42" customFormat="false" ht="15" hidden="false" customHeight="false" outlineLevel="0" collapsed="false">
      <c r="B42" s="63" t="s">
        <v>622</v>
      </c>
    </row>
    <row r="43" customFormat="false" ht="15" hidden="false" customHeight="false" outlineLevel="0" collapsed="false">
      <c r="B43" s="137" t="s">
        <v>623</v>
      </c>
    </row>
    <row r="44" customFormat="false" ht="15" hidden="false" customHeight="false" outlineLevel="0" collapsed="false">
      <c r="B44" s="138" t="s">
        <v>612</v>
      </c>
      <c r="C44" s="133" t="s">
        <v>613</v>
      </c>
      <c r="D44" s="134" t="n">
        <v>-99400000</v>
      </c>
      <c r="E44" s="134" t="n">
        <v>71700000</v>
      </c>
      <c r="F44" s="134" t="n">
        <v>5400000</v>
      </c>
      <c r="G44" s="134" t="n">
        <v>51100000</v>
      </c>
      <c r="H44" s="134" t="n">
        <v>-1100000</v>
      </c>
      <c r="I44" s="134" t="n">
        <v>16700000</v>
      </c>
      <c r="J44" s="134" t="n">
        <v>-57100000</v>
      </c>
      <c r="K44" s="134" t="n">
        <v>-3200000</v>
      </c>
      <c r="L44" s="134" t="n">
        <v>59800000</v>
      </c>
    </row>
    <row r="45" customFormat="false" ht="15" hidden="false" customHeight="false" outlineLevel="0" collapsed="false">
      <c r="B45" s="139" t="s">
        <v>624</v>
      </c>
    </row>
    <row r="46" customFormat="false" ht="15" hidden="false" customHeight="false" outlineLevel="0" collapsed="false">
      <c r="B46" s="140" t="s">
        <v>1325</v>
      </c>
      <c r="C46" s="133" t="s">
        <v>1326</v>
      </c>
      <c r="D46" s="134" t="n">
        <v>-99400000</v>
      </c>
      <c r="E46" s="134" t="n">
        <v>0</v>
      </c>
      <c r="F46" s="134" t="n">
        <v>0</v>
      </c>
      <c r="G46" s="134" t="n">
        <v>0</v>
      </c>
      <c r="H46" s="134" t="n">
        <v>0</v>
      </c>
      <c r="I46" s="134" t="n">
        <v>0</v>
      </c>
      <c r="J46" s="134" t="n">
        <v>0</v>
      </c>
      <c r="K46" s="134" t="n">
        <v>0</v>
      </c>
      <c r="L46" s="134" t="n">
        <v>0</v>
      </c>
    </row>
    <row r="47" customFormat="false" ht="15" hidden="false" customHeight="false" outlineLevel="0" collapsed="false">
      <c r="B47" s="140" t="s">
        <v>615</v>
      </c>
      <c r="C47" s="133" t="s">
        <v>616</v>
      </c>
      <c r="D47" s="134" t="n">
        <v>3457600000</v>
      </c>
      <c r="E47" s="134" t="n">
        <v>-11489700000</v>
      </c>
      <c r="F47" s="134" t="n">
        <v>-74127900000</v>
      </c>
      <c r="G47" s="134" t="n">
        <v>-32715200000</v>
      </c>
      <c r="H47" s="134" t="n">
        <v>-3985100000</v>
      </c>
      <c r="I47" s="134" t="n">
        <v>-9109900000</v>
      </c>
      <c r="J47" s="134" t="n">
        <v>21570500000</v>
      </c>
      <c r="K47" s="134" t="n">
        <v>931100000</v>
      </c>
      <c r="L47" s="134" t="n">
        <v>21107000000</v>
      </c>
    </row>
    <row r="48" customFormat="false" ht="15" hidden="false" customHeight="false" outlineLevel="0" collapsed="false">
      <c r="B48" s="141" t="s">
        <v>625</v>
      </c>
    </row>
    <row r="49" customFormat="false" ht="15" hidden="false" customHeight="false" outlineLevel="0" collapsed="false">
      <c r="B49" s="142" t="s">
        <v>618</v>
      </c>
      <c r="C49" s="133" t="s">
        <v>619</v>
      </c>
      <c r="D49" s="134" t="n">
        <v>3358200000</v>
      </c>
      <c r="E49" s="134" t="n">
        <v>0</v>
      </c>
      <c r="F49" s="134" t="n">
        <v>0</v>
      </c>
      <c r="G49" s="134" t="n">
        <v>0</v>
      </c>
      <c r="H49" s="134" t="n">
        <v>0</v>
      </c>
      <c r="I49" s="134" t="n">
        <v>0</v>
      </c>
      <c r="J49" s="134" t="n">
        <v>0</v>
      </c>
      <c r="K49" s="134" t="n">
        <v>0</v>
      </c>
      <c r="L49" s="134" t="n">
        <v>0</v>
      </c>
    </row>
    <row r="50" customFormat="false" ht="15" hidden="false" customHeight="false" outlineLevel="0" collapsed="false">
      <c r="B50" s="139" t="s">
        <v>626</v>
      </c>
    </row>
    <row r="51" customFormat="false" ht="15" hidden="false" customHeight="false" outlineLevel="0" collapsed="false">
      <c r="B51" s="140" t="s">
        <v>627</v>
      </c>
      <c r="C51" s="133" t="s">
        <v>628</v>
      </c>
      <c r="D51" s="134" t="n">
        <v>0.71</v>
      </c>
      <c r="E51" s="134" t="n">
        <v>-2.2</v>
      </c>
      <c r="F51" s="134" t="n">
        <v>-13.94</v>
      </c>
      <c r="G51" s="134" t="n">
        <v>-6.16</v>
      </c>
      <c r="H51" s="134" t="n">
        <v>-0.53</v>
      </c>
      <c r="I51" s="134" t="n">
        <v>-1.02</v>
      </c>
      <c r="J51" s="134" t="n">
        <v>2.01</v>
      </c>
      <c r="K51" s="134" t="n">
        <v>0.07</v>
      </c>
      <c r="L51" s="134" t="n">
        <v>1.54</v>
      </c>
    </row>
    <row r="52" customFormat="false" ht="15" hidden="false" customHeight="false" outlineLevel="0" collapsed="false">
      <c r="B52" s="143" t="s">
        <v>629</v>
      </c>
      <c r="C52" s="133" t="s">
        <v>630</v>
      </c>
      <c r="D52" s="136" t="n">
        <v>0.71</v>
      </c>
      <c r="E52" s="136" t="n">
        <v>-2.2</v>
      </c>
      <c r="F52" s="136" t="n">
        <v>-13.94</v>
      </c>
      <c r="G52" s="136" t="n">
        <v>-6.16</v>
      </c>
      <c r="H52" s="136" t="n">
        <v>-0.53</v>
      </c>
      <c r="I52" s="136" t="n">
        <v>-1.02</v>
      </c>
      <c r="J52" s="136" t="n">
        <v>2.01</v>
      </c>
      <c r="K52" s="136" t="n">
        <v>0.07</v>
      </c>
      <c r="L52" s="136" t="n">
        <v>1.54</v>
      </c>
    </row>
    <row r="53" customFormat="false" ht="15" hidden="false" customHeight="false" outlineLevel="0" collapsed="false">
      <c r="B53" s="139" t="s">
        <v>631</v>
      </c>
    </row>
    <row r="54" customFormat="false" ht="15" hidden="false" customHeight="false" outlineLevel="0" collapsed="false">
      <c r="B54" s="140" t="s">
        <v>632</v>
      </c>
      <c r="C54" s="133" t="s">
        <v>633</v>
      </c>
      <c r="D54" s="134" t="n">
        <v>0.71</v>
      </c>
      <c r="E54" s="134" t="n">
        <v>-2.2</v>
      </c>
      <c r="F54" s="134" t="n">
        <v>-13.94</v>
      </c>
      <c r="G54" s="134" t="n">
        <v>-6.16</v>
      </c>
      <c r="H54" s="134" t="n">
        <v>-0.53</v>
      </c>
      <c r="I54" s="134" t="n">
        <v>-1.02</v>
      </c>
      <c r="J54" s="134" t="n">
        <v>2.01</v>
      </c>
      <c r="K54" s="134" t="n">
        <v>0.07</v>
      </c>
      <c r="L54" s="134" t="n">
        <v>1.54</v>
      </c>
    </row>
    <row r="55" customFormat="false" ht="15" hidden="false" customHeight="false" outlineLevel="0" collapsed="false">
      <c r="B55" s="143" t="s">
        <v>634</v>
      </c>
      <c r="C55" s="133" t="s">
        <v>635</v>
      </c>
      <c r="D55" s="136" t="n">
        <v>0.71</v>
      </c>
      <c r="E55" s="136" t="n">
        <v>-2.2</v>
      </c>
      <c r="F55" s="136" t="n">
        <v>-13.94</v>
      </c>
      <c r="G55" s="136" t="n">
        <v>-6.16</v>
      </c>
      <c r="H55" s="136" t="n">
        <v>-0.53</v>
      </c>
      <c r="I55" s="136" t="n">
        <v>-1.02</v>
      </c>
      <c r="J55" s="136" t="n">
        <v>2.01</v>
      </c>
      <c r="K55" s="136" t="n">
        <v>0.07</v>
      </c>
      <c r="L55" s="136" t="n">
        <v>1.54</v>
      </c>
    </row>
    <row r="56" customFormat="false" ht="15" hidden="false" customHeight="false" outlineLevel="0" collapsed="false">
      <c r="B56" s="132" t="s">
        <v>615</v>
      </c>
      <c r="C56" s="133" t="s">
        <v>616</v>
      </c>
      <c r="D56" s="134" t="n">
        <v>3457600000</v>
      </c>
      <c r="E56" s="134" t="n">
        <v>-11489700000</v>
      </c>
      <c r="F56" s="134" t="n">
        <v>-74127900000</v>
      </c>
      <c r="G56" s="134" t="n">
        <v>-32715200000</v>
      </c>
      <c r="H56" s="134" t="n">
        <v>-3985100000</v>
      </c>
      <c r="I56" s="134" t="n">
        <v>-9109900000</v>
      </c>
      <c r="J56" s="134" t="n">
        <v>21570500000</v>
      </c>
      <c r="K56" s="134" t="n">
        <v>931100000</v>
      </c>
      <c r="L56" s="134" t="n">
        <v>21107000000</v>
      </c>
    </row>
    <row r="57" customFormat="false" ht="15" hidden="false" customHeight="false" outlineLevel="0" collapsed="false">
      <c r="B57" s="137" t="s">
        <v>625</v>
      </c>
    </row>
    <row r="58" customFormat="false" ht="15" hidden="false" customHeight="false" outlineLevel="0" collapsed="false">
      <c r="B58" s="138" t="s">
        <v>618</v>
      </c>
      <c r="C58" s="133" t="s">
        <v>619</v>
      </c>
      <c r="D58" s="134" t="n">
        <v>3358200000</v>
      </c>
      <c r="E58" s="134" t="n">
        <v>0</v>
      </c>
      <c r="F58" s="134" t="n">
        <v>0</v>
      </c>
      <c r="G58" s="134" t="n">
        <v>0</v>
      </c>
      <c r="H58" s="134" t="n">
        <v>0</v>
      </c>
      <c r="I58" s="134" t="n">
        <v>0</v>
      </c>
      <c r="J58" s="134" t="n">
        <v>0</v>
      </c>
      <c r="K58" s="134" t="n">
        <v>0</v>
      </c>
      <c r="L58" s="134" t="n">
        <v>0</v>
      </c>
    </row>
    <row r="59" customFormat="false" ht="15" hidden="false" customHeight="false" outlineLevel="0" collapsed="false">
      <c r="B59" s="63" t="s">
        <v>636</v>
      </c>
    </row>
    <row r="60" customFormat="false" ht="15" hidden="false" customHeight="false" outlineLevel="0" collapsed="false">
      <c r="B60" s="137" t="s">
        <v>637</v>
      </c>
    </row>
    <row r="61" customFormat="false" ht="15" hidden="false" customHeight="false" outlineLevel="0" collapsed="false">
      <c r="B61" s="139" t="s">
        <v>638</v>
      </c>
    </row>
    <row r="62" customFormat="false" ht="15" hidden="false" customHeight="false" outlineLevel="0" collapsed="false">
      <c r="B62" s="141" t="s">
        <v>626</v>
      </c>
    </row>
    <row r="63" customFormat="false" ht="15" hidden="false" customHeight="false" outlineLevel="0" collapsed="false">
      <c r="B63" s="142" t="s">
        <v>627</v>
      </c>
      <c r="C63" s="133" t="s">
        <v>628</v>
      </c>
      <c r="D63" s="134" t="n">
        <v>0.71</v>
      </c>
      <c r="E63" s="134" t="n">
        <v>-2.2</v>
      </c>
      <c r="F63" s="134" t="n">
        <v>-13.94</v>
      </c>
      <c r="G63" s="134" t="n">
        <v>-6.16</v>
      </c>
      <c r="H63" s="134" t="n">
        <v>-0.53</v>
      </c>
      <c r="I63" s="134" t="n">
        <v>-1.02</v>
      </c>
      <c r="J63" s="134" t="n">
        <v>2.01</v>
      </c>
      <c r="K63" s="134" t="n">
        <v>0.07</v>
      </c>
      <c r="L63" s="134" t="n">
        <v>1.54</v>
      </c>
    </row>
    <row r="64" customFormat="false" ht="15" hidden="false" customHeight="false" outlineLevel="0" collapsed="false">
      <c r="B64" s="144" t="s">
        <v>629</v>
      </c>
      <c r="C64" s="133" t="s">
        <v>630</v>
      </c>
      <c r="D64" s="136" t="n">
        <v>0.71</v>
      </c>
      <c r="E64" s="136" t="n">
        <v>-2.2</v>
      </c>
      <c r="F64" s="136" t="n">
        <v>-13.94</v>
      </c>
      <c r="G64" s="136" t="n">
        <v>-6.16</v>
      </c>
      <c r="H64" s="136" t="n">
        <v>-0.53</v>
      </c>
      <c r="I64" s="136" t="n">
        <v>-1.02</v>
      </c>
      <c r="J64" s="136" t="n">
        <v>2.01</v>
      </c>
      <c r="K64" s="136" t="n">
        <v>0.07</v>
      </c>
      <c r="L64" s="136" t="n">
        <v>1.54</v>
      </c>
    </row>
    <row r="65" customFormat="false" ht="15" hidden="false" customHeight="false" outlineLevel="0" collapsed="false">
      <c r="B65" s="141" t="s">
        <v>631</v>
      </c>
    </row>
    <row r="66" customFormat="false" ht="15" hidden="false" customHeight="false" outlineLevel="0" collapsed="false">
      <c r="B66" s="142" t="s">
        <v>632</v>
      </c>
      <c r="C66" s="133" t="s">
        <v>633</v>
      </c>
      <c r="D66" s="134" t="n">
        <v>0.71</v>
      </c>
      <c r="E66" s="134" t="n">
        <v>-2.2</v>
      </c>
      <c r="F66" s="134" t="n">
        <v>-13.94</v>
      </c>
      <c r="G66" s="134" t="n">
        <v>-6.16</v>
      </c>
      <c r="H66" s="134" t="n">
        <v>-0.53</v>
      </c>
      <c r="I66" s="134" t="n">
        <v>-1.02</v>
      </c>
      <c r="J66" s="134" t="n">
        <v>2.01</v>
      </c>
      <c r="K66" s="134" t="n">
        <v>0.07</v>
      </c>
      <c r="L66" s="134" t="n">
        <v>1.54</v>
      </c>
    </row>
    <row r="67" customFormat="false" ht="15" hidden="false" customHeight="false" outlineLevel="0" collapsed="false">
      <c r="B67" s="144" t="s">
        <v>634</v>
      </c>
      <c r="C67" s="133" t="s">
        <v>635</v>
      </c>
      <c r="D67" s="136" t="n">
        <v>0.71</v>
      </c>
      <c r="E67" s="136" t="n">
        <v>-2.2</v>
      </c>
      <c r="F67" s="136" t="n">
        <v>-13.94</v>
      </c>
      <c r="G67" s="136" t="n">
        <v>-6.16</v>
      </c>
      <c r="H67" s="136" t="n">
        <v>-0.53</v>
      </c>
      <c r="I67" s="136" t="n">
        <v>-1.02</v>
      </c>
      <c r="J67" s="136" t="n">
        <v>2.01</v>
      </c>
      <c r="K67" s="136" t="n">
        <v>0.07</v>
      </c>
      <c r="L67" s="136" t="n">
        <v>1.54</v>
      </c>
    </row>
    <row r="70" customFormat="false" ht="15" hidden="false" customHeight="false" outlineLevel="0" collapsed="false">
      <c r="A70" s="0" t="s">
        <v>26</v>
      </c>
      <c r="B70" s="13" t="s">
        <v>133</v>
      </c>
    </row>
    <row r="71" customFormat="false" ht="15" hidden="false" customHeight="false" outlineLevel="0" collapsed="false">
      <c r="B71" s="0" t="s">
        <v>567</v>
      </c>
    </row>
    <row r="73" customFormat="false" ht="15" hidden="false" customHeight="false" outlineLevel="0" collapsed="false">
      <c r="C73" s="131" t="s">
        <v>568</v>
      </c>
      <c r="D73" s="13" t="s">
        <v>29</v>
      </c>
      <c r="E73" s="13" t="s">
        <v>30</v>
      </c>
      <c r="F73" s="13" t="s">
        <v>31</v>
      </c>
      <c r="G73" s="13" t="s">
        <v>32</v>
      </c>
      <c r="H73" s="13" t="s">
        <v>33</v>
      </c>
      <c r="I73" s="13" t="s">
        <v>34</v>
      </c>
      <c r="J73" s="13" t="s">
        <v>35</v>
      </c>
      <c r="K73" s="13" t="s">
        <v>36</v>
      </c>
      <c r="L73" s="13" t="s">
        <v>37</v>
      </c>
    </row>
    <row r="74" customFormat="false" ht="15" hidden="false" customHeight="false" outlineLevel="0" collapsed="false">
      <c r="B74" s="63" t="s">
        <v>134</v>
      </c>
    </row>
    <row r="75" customFormat="false" ht="15" hidden="false" customHeight="false" outlineLevel="0" collapsed="false">
      <c r="B75" s="137" t="s">
        <v>135</v>
      </c>
    </row>
    <row r="76" customFormat="false" ht="15" hidden="false" customHeight="false" outlineLevel="0" collapsed="false">
      <c r="B76" s="138" t="s">
        <v>137</v>
      </c>
      <c r="C76" s="133" t="s">
        <v>639</v>
      </c>
      <c r="D76" s="134" t="n">
        <v>9261500000</v>
      </c>
      <c r="E76" s="134" t="n">
        <v>8097900000</v>
      </c>
      <c r="F76" s="134" t="n">
        <v>7369100000</v>
      </c>
      <c r="G76" s="134" t="n">
        <v>5872900000</v>
      </c>
      <c r="H76" s="134" t="n">
        <v>5309000000</v>
      </c>
      <c r="I76" s="134" t="n">
        <v>5257400000</v>
      </c>
      <c r="J76" s="134" t="n">
        <v>4342600000</v>
      </c>
      <c r="K76" s="134" t="n">
        <v>5079500000</v>
      </c>
      <c r="L76" s="134" t="n">
        <v>6153700000</v>
      </c>
    </row>
    <row r="77" customFormat="false" ht="15" hidden="false" customHeight="false" outlineLevel="0" collapsed="false">
      <c r="B77" s="138" t="s">
        <v>138</v>
      </c>
      <c r="C77" s="133" t="s">
        <v>640</v>
      </c>
      <c r="D77" s="134" t="n">
        <v>727300000</v>
      </c>
      <c r="E77" s="134" t="n">
        <v>1120600000</v>
      </c>
      <c r="F77" s="134" t="n">
        <v>1297400000</v>
      </c>
      <c r="G77" s="134" t="n">
        <v>1046000000</v>
      </c>
      <c r="H77" s="134" t="n">
        <v>963400000</v>
      </c>
      <c r="I77" s="134" t="n">
        <v>76300000</v>
      </c>
      <c r="J77" s="134" t="n">
        <v>8700000</v>
      </c>
      <c r="K77" s="134" t="n">
        <v>33700000</v>
      </c>
      <c r="L77" s="134" t="n">
        <v>596000000</v>
      </c>
    </row>
    <row r="78" customFormat="false" ht="15" hidden="false" customHeight="false" outlineLevel="0" collapsed="false">
      <c r="B78" s="138" t="s">
        <v>146</v>
      </c>
      <c r="C78" s="133" t="s">
        <v>641</v>
      </c>
      <c r="D78" s="134" t="n">
        <v>341400000</v>
      </c>
      <c r="E78" s="134" t="n">
        <v>407900000</v>
      </c>
      <c r="F78" s="134" t="n">
        <v>373600000</v>
      </c>
      <c r="G78" s="134" t="n">
        <v>346700000</v>
      </c>
      <c r="H78" s="134" t="n">
        <v>326400000</v>
      </c>
      <c r="I78" s="134" t="n">
        <v>308600000</v>
      </c>
      <c r="J78" s="134" t="n">
        <v>292100000</v>
      </c>
      <c r="K78" s="134" t="n">
        <v>270100000</v>
      </c>
      <c r="L78" s="134" t="n">
        <v>257500000</v>
      </c>
    </row>
    <row r="79" customFormat="false" ht="15" hidden="false" customHeight="false" outlineLevel="0" collapsed="false">
      <c r="B79" s="138" t="s">
        <v>139</v>
      </c>
      <c r="C79" s="133" t="s">
        <v>642</v>
      </c>
      <c r="D79" s="134" t="n">
        <v>6433600000</v>
      </c>
      <c r="E79" s="134" t="n">
        <v>4718000000</v>
      </c>
      <c r="F79" s="134" t="n">
        <v>3002400000</v>
      </c>
      <c r="G79" s="134" t="n">
        <v>0</v>
      </c>
      <c r="H79" s="134" t="n">
        <v>0</v>
      </c>
      <c r="I79" s="134" t="n">
        <v>0</v>
      </c>
      <c r="J79" s="134" t="n">
        <v>0</v>
      </c>
      <c r="K79" s="134" t="n">
        <v>0</v>
      </c>
      <c r="L79" s="134" t="n">
        <v>0</v>
      </c>
    </row>
    <row r="80" customFormat="false" ht="15" hidden="false" customHeight="false" outlineLevel="0" collapsed="false">
      <c r="B80" s="138" t="s">
        <v>140</v>
      </c>
      <c r="C80" s="133" t="s">
        <v>643</v>
      </c>
      <c r="D80" s="134" t="n">
        <v>1858800000</v>
      </c>
      <c r="E80" s="134" t="n">
        <v>1476100000</v>
      </c>
      <c r="F80" s="134" t="n">
        <v>3297700000</v>
      </c>
      <c r="G80" s="134" t="n">
        <v>2705900000</v>
      </c>
      <c r="H80" s="134" t="n">
        <v>1942400000</v>
      </c>
      <c r="I80" s="134" t="n">
        <v>1247000000</v>
      </c>
      <c r="J80" s="134" t="n">
        <v>629000000</v>
      </c>
      <c r="K80" s="134" t="n">
        <v>536400000</v>
      </c>
      <c r="L80" s="134" t="n">
        <v>913500000</v>
      </c>
    </row>
    <row r="81" customFormat="false" ht="15" hidden="false" customHeight="false" outlineLevel="0" collapsed="false">
      <c r="B81" s="138" t="s">
        <v>141</v>
      </c>
      <c r="C81" s="133" t="s">
        <v>644</v>
      </c>
      <c r="D81" s="134" t="n">
        <v>555300000</v>
      </c>
      <c r="E81" s="134" t="n">
        <v>1798200000</v>
      </c>
      <c r="F81" s="134" t="n">
        <v>104100000</v>
      </c>
      <c r="G81" s="134" t="n">
        <v>123000000</v>
      </c>
      <c r="H81" s="134" t="n">
        <v>35200000</v>
      </c>
      <c r="I81" s="134" t="n">
        <v>44200000</v>
      </c>
      <c r="J81" s="134" t="n">
        <v>34300000</v>
      </c>
      <c r="K81" s="134" t="n">
        <v>35100000</v>
      </c>
      <c r="L81" s="134" t="n">
        <v>163500000</v>
      </c>
    </row>
    <row r="82" customFormat="false" ht="15" hidden="false" customHeight="false" outlineLevel="0" collapsed="false">
      <c r="B82" s="138" t="s">
        <v>147</v>
      </c>
      <c r="C82" s="133" t="s">
        <v>645</v>
      </c>
      <c r="D82" s="134" t="n">
        <v>0</v>
      </c>
      <c r="E82" s="134" t="n">
        <v>1155400000</v>
      </c>
      <c r="F82" s="134" t="n">
        <v>0</v>
      </c>
      <c r="G82" s="134" t="n">
        <v>298000000</v>
      </c>
      <c r="H82" s="134" t="n">
        <v>298000000</v>
      </c>
      <c r="I82" s="134" t="n">
        <v>0</v>
      </c>
      <c r="J82" s="134" t="n">
        <v>0</v>
      </c>
      <c r="K82" s="134" t="n">
        <v>0</v>
      </c>
      <c r="L82" s="134" t="n">
        <v>0</v>
      </c>
    </row>
    <row r="83" customFormat="false" ht="15" hidden="false" customHeight="false" outlineLevel="0" collapsed="false">
      <c r="B83" s="139" t="s">
        <v>646</v>
      </c>
    </row>
    <row r="84" customFormat="false" ht="15" hidden="false" customHeight="false" outlineLevel="0" collapsed="false">
      <c r="B84" s="140" t="s">
        <v>148</v>
      </c>
      <c r="C84" s="133" t="s">
        <v>647</v>
      </c>
      <c r="D84" s="134" t="n">
        <v>31667700000</v>
      </c>
      <c r="E84" s="134" t="n">
        <v>27629200000</v>
      </c>
      <c r="F84" s="134" t="n">
        <v>20085800000</v>
      </c>
      <c r="G84" s="134" t="n">
        <v>17521500000</v>
      </c>
      <c r="H84" s="134" t="n">
        <v>17508400000</v>
      </c>
      <c r="I84" s="134" t="n">
        <v>17519800000</v>
      </c>
      <c r="J84" s="134" t="n">
        <v>17539000000</v>
      </c>
      <c r="K84" s="134" t="n">
        <v>17564600000</v>
      </c>
      <c r="L84" s="134" t="n">
        <v>12776900000</v>
      </c>
    </row>
    <row r="85" customFormat="false" ht="15" hidden="false" customHeight="false" outlineLevel="0" collapsed="false">
      <c r="B85" s="140" t="s">
        <v>142</v>
      </c>
      <c r="C85" s="133" t="s">
        <v>648</v>
      </c>
      <c r="D85" s="134" t="n">
        <v>346400000</v>
      </c>
      <c r="E85" s="134" t="n">
        <v>48400000</v>
      </c>
      <c r="F85" s="134" t="n">
        <v>0</v>
      </c>
      <c r="G85" s="134" t="n">
        <v>0</v>
      </c>
      <c r="H85" s="134" t="n">
        <v>0</v>
      </c>
      <c r="I85" s="134" t="n">
        <v>0</v>
      </c>
      <c r="J85" s="134" t="n">
        <v>0</v>
      </c>
      <c r="K85" s="134" t="n">
        <v>0</v>
      </c>
      <c r="L85" s="134" t="n">
        <v>0</v>
      </c>
    </row>
    <row r="86" customFormat="false" ht="15" hidden="false" customHeight="false" outlineLevel="0" collapsed="false">
      <c r="B86" s="140" t="s">
        <v>149</v>
      </c>
      <c r="C86" s="133" t="s">
        <v>649</v>
      </c>
      <c r="D86" s="134" t="n">
        <v>11292400000</v>
      </c>
      <c r="E86" s="134" t="n">
        <v>9975300000</v>
      </c>
      <c r="F86" s="134" t="n">
        <v>6599200000</v>
      </c>
      <c r="G86" s="134" t="n">
        <v>4191600000</v>
      </c>
      <c r="H86" s="134" t="n">
        <v>2899700000</v>
      </c>
      <c r="I86" s="134" t="n">
        <v>525100000</v>
      </c>
      <c r="J86" s="134" t="n">
        <v>12444200000</v>
      </c>
      <c r="K86" s="134" t="n">
        <v>9790700000</v>
      </c>
      <c r="L86" s="134" t="n">
        <v>1390600000</v>
      </c>
    </row>
    <row r="87" customFormat="false" ht="15" hidden="false" customHeight="false" outlineLevel="0" collapsed="false">
      <c r="B87" s="140" t="s">
        <v>150</v>
      </c>
      <c r="C87" s="133" t="s">
        <v>650</v>
      </c>
      <c r="D87" s="134" t="n">
        <v>6204600000</v>
      </c>
      <c r="E87" s="134" t="n">
        <v>4882200000</v>
      </c>
      <c r="F87" s="134" t="n">
        <v>4176900000</v>
      </c>
      <c r="G87" s="134" t="n">
        <v>2288300000</v>
      </c>
      <c r="H87" s="134" t="n">
        <v>3453000000</v>
      </c>
      <c r="I87" s="134" t="n">
        <v>2286700000</v>
      </c>
      <c r="J87" s="134" t="n">
        <v>3833900000</v>
      </c>
      <c r="K87" s="134" t="n">
        <v>8416700000</v>
      </c>
      <c r="L87" s="134" t="n">
        <v>10626700000</v>
      </c>
    </row>
    <row r="88" customFormat="false" ht="15" hidden="false" customHeight="false" outlineLevel="0" collapsed="false">
      <c r="B88" s="143" t="s">
        <v>153</v>
      </c>
      <c r="C88" s="133" t="s">
        <v>651</v>
      </c>
      <c r="D88" s="136" t="n">
        <v>49511100000</v>
      </c>
      <c r="E88" s="136" t="n">
        <v>42535100000</v>
      </c>
      <c r="F88" s="136" t="n">
        <v>30861900000</v>
      </c>
      <c r="G88" s="136" t="n">
        <v>24001400000</v>
      </c>
      <c r="H88" s="136" t="n">
        <v>23861100000</v>
      </c>
      <c r="I88" s="136" t="n">
        <v>20331600000</v>
      </c>
      <c r="J88" s="136" t="n">
        <v>33817100000</v>
      </c>
      <c r="K88" s="136" t="n">
        <v>35772000000</v>
      </c>
      <c r="L88" s="136" t="n">
        <v>24794200000</v>
      </c>
    </row>
    <row r="89" customFormat="false" ht="15" hidden="false" customHeight="false" outlineLevel="0" collapsed="false">
      <c r="B89" s="138" t="s">
        <v>151</v>
      </c>
      <c r="C89" s="133" t="s">
        <v>652</v>
      </c>
      <c r="D89" s="134" t="n">
        <v>0</v>
      </c>
      <c r="E89" s="134" t="n">
        <v>0</v>
      </c>
      <c r="F89" s="134" t="n">
        <v>0</v>
      </c>
      <c r="G89" s="134" t="n">
        <v>0</v>
      </c>
      <c r="H89" s="134" t="n">
        <v>0</v>
      </c>
      <c r="I89" s="134" t="n">
        <v>0</v>
      </c>
      <c r="J89" s="134" t="n">
        <v>0</v>
      </c>
      <c r="K89" s="134" t="n">
        <v>0</v>
      </c>
      <c r="L89" s="134" t="n">
        <v>6380500000</v>
      </c>
    </row>
    <row r="90" customFormat="false" ht="15" hidden="false" customHeight="false" outlineLevel="0" collapsed="false">
      <c r="B90" s="138" t="s">
        <v>143</v>
      </c>
      <c r="C90" s="133" t="s">
        <v>653</v>
      </c>
      <c r="D90" s="134" t="n">
        <v>317100000</v>
      </c>
      <c r="E90" s="134" t="n">
        <v>269600000</v>
      </c>
      <c r="F90" s="134" t="n">
        <v>186700000</v>
      </c>
      <c r="G90" s="134" t="n">
        <v>725800000</v>
      </c>
      <c r="H90" s="134" t="n">
        <v>652200000</v>
      </c>
      <c r="I90" s="134" t="n">
        <v>692900000</v>
      </c>
      <c r="J90" s="134" t="n">
        <v>713100000</v>
      </c>
      <c r="K90" s="134" t="n">
        <v>421200000</v>
      </c>
      <c r="L90" s="134" t="n">
        <v>625400000</v>
      </c>
    </row>
    <row r="91" customFormat="false" ht="15" hidden="false" customHeight="false" outlineLevel="0" collapsed="false">
      <c r="B91" s="145" t="s">
        <v>654</v>
      </c>
      <c r="C91" s="133" t="s">
        <v>655</v>
      </c>
      <c r="D91" s="136" t="n">
        <v>69006100000</v>
      </c>
      <c r="E91" s="136" t="n">
        <v>61578800000</v>
      </c>
      <c r="F91" s="136" t="n">
        <v>46492900000</v>
      </c>
      <c r="G91" s="136" t="n">
        <v>35119700000</v>
      </c>
      <c r="H91" s="136" t="n">
        <v>33387700000</v>
      </c>
      <c r="I91" s="136" t="n">
        <v>27958000000</v>
      </c>
      <c r="J91" s="136" t="n">
        <v>39836900000</v>
      </c>
      <c r="K91" s="136" t="n">
        <v>42148000000</v>
      </c>
      <c r="L91" s="136" t="n">
        <v>39884300000</v>
      </c>
    </row>
    <row r="92" customFormat="false" ht="15" hidden="false" customHeight="false" outlineLevel="0" collapsed="false">
      <c r="B92" s="137" t="s">
        <v>656</v>
      </c>
    </row>
    <row r="93" customFormat="false" ht="15" hidden="false" customHeight="false" outlineLevel="0" collapsed="false">
      <c r="B93" s="138" t="s">
        <v>156</v>
      </c>
      <c r="C93" s="133" t="s">
        <v>156</v>
      </c>
      <c r="D93" s="134" t="n">
        <v>22758700000</v>
      </c>
      <c r="E93" s="134" t="n">
        <v>15518100000</v>
      </c>
      <c r="F93" s="134" t="n">
        <v>11803400000</v>
      </c>
      <c r="G93" s="134" t="n">
        <v>8971400000</v>
      </c>
      <c r="H93" s="134" t="n">
        <v>8619300000</v>
      </c>
      <c r="I93" s="134" t="n">
        <v>11674700000</v>
      </c>
      <c r="J93" s="134" t="n">
        <v>7604200000</v>
      </c>
      <c r="K93" s="134" t="n">
        <v>11884500000</v>
      </c>
      <c r="L93" s="134" t="n">
        <v>28571100000</v>
      </c>
    </row>
    <row r="94" customFormat="false" ht="15" hidden="false" customHeight="false" outlineLevel="0" collapsed="false">
      <c r="B94" s="139" t="s">
        <v>657</v>
      </c>
    </row>
    <row r="95" customFormat="false" ht="15" hidden="false" customHeight="false" outlineLevel="0" collapsed="false">
      <c r="B95" s="140" t="s">
        <v>159</v>
      </c>
      <c r="C95" s="133" t="s">
        <v>658</v>
      </c>
      <c r="D95" s="134" t="n">
        <v>4811000000</v>
      </c>
      <c r="E95" s="134" t="n">
        <v>0</v>
      </c>
      <c r="F95" s="134" t="n">
        <v>0</v>
      </c>
      <c r="G95" s="134" t="n">
        <v>0</v>
      </c>
      <c r="H95" s="134" t="n">
        <v>0</v>
      </c>
      <c r="I95" s="134" t="n">
        <v>0</v>
      </c>
      <c r="J95" s="134" t="n">
        <v>0</v>
      </c>
      <c r="K95" s="134" t="n">
        <v>0</v>
      </c>
      <c r="L95" s="134" t="n">
        <v>0</v>
      </c>
    </row>
    <row r="96" customFormat="false" ht="15" hidden="false" customHeight="false" outlineLevel="0" collapsed="false">
      <c r="B96" s="140" t="s">
        <v>157</v>
      </c>
      <c r="C96" s="133" t="s">
        <v>659</v>
      </c>
      <c r="D96" s="134" t="n">
        <v>23068800000</v>
      </c>
      <c r="E96" s="134" t="n">
        <v>18919300000</v>
      </c>
      <c r="F96" s="134" t="n">
        <v>10906100000</v>
      </c>
      <c r="G96" s="134" t="n">
        <v>4254000000</v>
      </c>
      <c r="H96" s="134" t="n">
        <v>3793000000</v>
      </c>
      <c r="I96" s="134" t="n">
        <v>6676300000</v>
      </c>
      <c r="J96" s="134" t="n">
        <v>5463200000</v>
      </c>
      <c r="K96" s="134" t="n">
        <v>11156300000</v>
      </c>
      <c r="L96" s="134" t="n">
        <v>36829000000</v>
      </c>
    </row>
    <row r="97" customFormat="false" ht="15" hidden="false" customHeight="false" outlineLevel="0" collapsed="false">
      <c r="B97" s="140" t="s">
        <v>160</v>
      </c>
      <c r="C97" s="133" t="s">
        <v>660</v>
      </c>
      <c r="D97" s="134" t="n">
        <v>1533800000</v>
      </c>
      <c r="E97" s="134" t="n">
        <v>4467000000</v>
      </c>
      <c r="F97" s="134" t="n">
        <v>162000000</v>
      </c>
      <c r="G97" s="134" t="n">
        <v>362800000</v>
      </c>
      <c r="H97" s="134" t="n">
        <v>1936500000</v>
      </c>
      <c r="I97" s="134" t="n">
        <v>4100200000</v>
      </c>
      <c r="J97" s="134" t="n">
        <v>2906300000</v>
      </c>
      <c r="K97" s="134" t="n">
        <v>2631300000</v>
      </c>
      <c r="L97" s="134" t="n">
        <v>9968000000</v>
      </c>
    </row>
    <row r="98" customFormat="false" ht="15" hidden="false" customHeight="false" outlineLevel="0" collapsed="false">
      <c r="B98" s="140" t="s">
        <v>161</v>
      </c>
      <c r="C98" s="133" t="s">
        <v>661</v>
      </c>
      <c r="D98" s="134" t="n">
        <v>17866300000</v>
      </c>
      <c r="E98" s="134" t="n">
        <v>19507300000</v>
      </c>
      <c r="F98" s="134" t="n">
        <v>7328600000</v>
      </c>
      <c r="G98" s="134" t="n">
        <v>3781400000</v>
      </c>
      <c r="H98" s="134" t="n">
        <v>212800000</v>
      </c>
      <c r="I98" s="134" t="n">
        <v>523500000</v>
      </c>
      <c r="J98" s="134" t="n">
        <v>6100000</v>
      </c>
      <c r="K98" s="134" t="n">
        <v>2500000</v>
      </c>
      <c r="L98" s="134" t="n">
        <v>2700000</v>
      </c>
    </row>
    <row r="99" customFormat="false" ht="15" hidden="false" customHeight="false" outlineLevel="0" collapsed="false">
      <c r="B99" s="140" t="s">
        <v>162</v>
      </c>
      <c r="C99" s="133" t="s">
        <v>662</v>
      </c>
      <c r="D99" s="134" t="n">
        <v>1032300000</v>
      </c>
      <c r="E99" s="134" t="n">
        <v>1955400000</v>
      </c>
      <c r="F99" s="134" t="n">
        <v>2758100000</v>
      </c>
      <c r="G99" s="134" t="n">
        <v>708300000</v>
      </c>
      <c r="H99" s="134" t="n">
        <v>838800000</v>
      </c>
      <c r="I99" s="134" t="n">
        <v>763600000</v>
      </c>
      <c r="J99" s="134" t="n">
        <v>755000000</v>
      </c>
      <c r="K99" s="134" t="n">
        <v>761500000</v>
      </c>
      <c r="L99" s="134" t="n">
        <v>1856300000</v>
      </c>
    </row>
    <row r="100" customFormat="false" ht="15" hidden="false" customHeight="false" outlineLevel="0" collapsed="false">
      <c r="B100" s="143" t="s">
        <v>164</v>
      </c>
      <c r="C100" s="133" t="s">
        <v>663</v>
      </c>
      <c r="D100" s="136" t="n">
        <v>48312200000</v>
      </c>
      <c r="E100" s="136" t="n">
        <v>44849000000</v>
      </c>
      <c r="F100" s="136" t="n">
        <v>21154800000</v>
      </c>
      <c r="G100" s="136" t="n">
        <v>9106500000</v>
      </c>
      <c r="H100" s="136" t="n">
        <v>6781100000</v>
      </c>
      <c r="I100" s="136" t="n">
        <v>12063600000</v>
      </c>
      <c r="J100" s="136" t="n">
        <v>9130600000</v>
      </c>
      <c r="K100" s="136" t="n">
        <v>14551600000</v>
      </c>
      <c r="L100" s="136" t="n">
        <v>48656000000</v>
      </c>
    </row>
    <row r="101" customFormat="false" ht="15" hidden="false" customHeight="false" outlineLevel="0" collapsed="false">
      <c r="B101" s="138" t="s">
        <v>163</v>
      </c>
      <c r="C101" s="133" t="s">
        <v>664</v>
      </c>
      <c r="D101" s="134" t="n">
        <v>153900000</v>
      </c>
      <c r="E101" s="134" t="n">
        <v>62700000</v>
      </c>
      <c r="F101" s="134" t="n">
        <v>42700000</v>
      </c>
      <c r="G101" s="134" t="n">
        <v>44800000</v>
      </c>
      <c r="H101" s="134" t="n">
        <v>44800000</v>
      </c>
      <c r="I101" s="134" t="n">
        <v>600000</v>
      </c>
      <c r="J101" s="134" t="n">
        <v>0</v>
      </c>
      <c r="K101" s="134" t="n">
        <v>0</v>
      </c>
      <c r="L101" s="134" t="n">
        <v>496800000</v>
      </c>
    </row>
    <row r="102" customFormat="false" ht="15" hidden="false" customHeight="false" outlineLevel="0" collapsed="false">
      <c r="B102" s="138" t="s">
        <v>158</v>
      </c>
      <c r="C102" s="133" t="s">
        <v>665</v>
      </c>
      <c r="D102" s="134" t="n">
        <v>2029400000</v>
      </c>
      <c r="E102" s="134" t="n">
        <v>2817600000</v>
      </c>
      <c r="F102" s="134" t="n">
        <v>4995600000</v>
      </c>
      <c r="G102" s="134" t="n">
        <v>3557200000</v>
      </c>
      <c r="H102" s="134" t="n">
        <v>4367200000</v>
      </c>
      <c r="I102" s="134" t="n">
        <v>4100300000</v>
      </c>
      <c r="J102" s="134" t="n">
        <v>3630100000</v>
      </c>
      <c r="K102" s="134" t="n">
        <v>3062500000</v>
      </c>
      <c r="L102" s="134" t="n">
        <v>5836400000</v>
      </c>
    </row>
    <row r="103" customFormat="false" ht="15" hidden="false" customHeight="false" outlineLevel="0" collapsed="false">
      <c r="B103" s="145" t="s">
        <v>666</v>
      </c>
      <c r="C103" s="133" t="s">
        <v>667</v>
      </c>
      <c r="D103" s="136" t="n">
        <v>73254200000</v>
      </c>
      <c r="E103" s="136" t="n">
        <v>63247400000</v>
      </c>
      <c r="F103" s="136" t="n">
        <v>37996500000</v>
      </c>
      <c r="G103" s="136" t="n">
        <v>21679900000</v>
      </c>
      <c r="H103" s="136" t="n">
        <v>19812400000</v>
      </c>
      <c r="I103" s="136" t="n">
        <v>27839200000</v>
      </c>
      <c r="J103" s="136" t="n">
        <v>20364900000</v>
      </c>
      <c r="K103" s="136" t="n">
        <v>29498600000</v>
      </c>
      <c r="L103" s="136" t="n">
        <v>83560300000</v>
      </c>
    </row>
    <row r="104" customFormat="false" ht="15" hidden="false" customHeight="false" outlineLevel="0" collapsed="false">
      <c r="B104" s="132" t="s">
        <v>166</v>
      </c>
      <c r="C104" s="133" t="s">
        <v>668</v>
      </c>
      <c r="D104" s="134" t="n">
        <v>0</v>
      </c>
      <c r="E104" s="134" t="n">
        <v>3584000000</v>
      </c>
      <c r="F104" s="134" t="n">
        <v>738300000</v>
      </c>
      <c r="G104" s="134" t="n">
        <v>434400000</v>
      </c>
      <c r="H104" s="134" t="n">
        <v>420300000</v>
      </c>
      <c r="I104" s="134" t="n">
        <v>955400000</v>
      </c>
      <c r="J104" s="134" t="n">
        <v>278100000</v>
      </c>
      <c r="K104" s="134" t="n">
        <v>0</v>
      </c>
      <c r="L104" s="134" t="n">
        <v>0</v>
      </c>
    </row>
    <row r="105" customFormat="false" ht="15" hidden="false" customHeight="false" outlineLevel="0" collapsed="false">
      <c r="B105" s="135" t="s">
        <v>669</v>
      </c>
      <c r="C105" s="133" t="s">
        <v>670</v>
      </c>
      <c r="D105" s="136" t="n">
        <v>142260300000</v>
      </c>
      <c r="E105" s="136" t="n">
        <v>128410200000</v>
      </c>
      <c r="F105" s="136" t="n">
        <v>85227700000</v>
      </c>
      <c r="G105" s="136" t="n">
        <v>57234000000</v>
      </c>
      <c r="H105" s="136" t="n">
        <v>53620400000</v>
      </c>
      <c r="I105" s="136" t="n">
        <v>56752600000</v>
      </c>
      <c r="J105" s="136" t="n">
        <v>60479900000</v>
      </c>
      <c r="K105" s="136" t="n">
        <v>71646600000</v>
      </c>
      <c r="L105" s="136" t="n">
        <v>123444600000</v>
      </c>
    </row>
    <row r="106" customFormat="false" ht="15" hidden="false" customHeight="false" outlineLevel="0" collapsed="false">
      <c r="B106" s="63" t="s">
        <v>671</v>
      </c>
    </row>
    <row r="107" customFormat="false" ht="15" hidden="false" customHeight="false" outlineLevel="0" collapsed="false">
      <c r="B107" s="137" t="s">
        <v>672</v>
      </c>
    </row>
    <row r="108" customFormat="false" ht="15" hidden="false" customHeight="false" outlineLevel="0" collapsed="false">
      <c r="B108" s="139" t="s">
        <v>673</v>
      </c>
    </row>
    <row r="109" customFormat="false" ht="15" hidden="false" customHeight="false" outlineLevel="0" collapsed="false">
      <c r="B109" s="140" t="s">
        <v>170</v>
      </c>
      <c r="C109" s="133" t="s">
        <v>674</v>
      </c>
      <c r="D109" s="134" t="n">
        <v>10048800000</v>
      </c>
      <c r="E109" s="134" t="n">
        <v>10639500000</v>
      </c>
      <c r="F109" s="134" t="n">
        <v>10639500000</v>
      </c>
      <c r="G109" s="134" t="n">
        <v>10639500000</v>
      </c>
      <c r="H109" s="134" t="n">
        <v>17016000000</v>
      </c>
      <c r="I109" s="134" t="n">
        <v>18434900000</v>
      </c>
      <c r="J109" s="134" t="n">
        <v>24544000000</v>
      </c>
      <c r="K109" s="134" t="n">
        <v>27217200000</v>
      </c>
      <c r="L109" s="134" t="n">
        <v>27317900000</v>
      </c>
    </row>
    <row r="110" customFormat="false" ht="15" hidden="false" customHeight="false" outlineLevel="0" collapsed="false">
      <c r="B110" s="140" t="s">
        <v>171</v>
      </c>
      <c r="C110" s="133" t="s">
        <v>675</v>
      </c>
      <c r="D110" s="134" t="n">
        <v>175900000</v>
      </c>
      <c r="E110" s="134" t="n">
        <v>-7103400000</v>
      </c>
      <c r="F110" s="134" t="n">
        <v>-80869300000</v>
      </c>
      <c r="G110" s="134" t="n">
        <v>-113422400000</v>
      </c>
      <c r="H110" s="134" t="n">
        <v>-56804300000</v>
      </c>
      <c r="I110" s="134" t="n">
        <v>-57355800000</v>
      </c>
      <c r="J110" s="134" t="n">
        <v>-10350100000</v>
      </c>
      <c r="K110" s="134" t="n">
        <v>8851300000</v>
      </c>
      <c r="L110" s="134" t="n">
        <v>27972100000</v>
      </c>
    </row>
    <row r="111" customFormat="false" ht="15" hidden="false" customHeight="false" outlineLevel="0" collapsed="false">
      <c r="B111" s="143" t="s">
        <v>172</v>
      </c>
      <c r="C111" s="133" t="s">
        <v>676</v>
      </c>
      <c r="D111" s="136" t="n">
        <v>10224700000</v>
      </c>
      <c r="E111" s="136" t="n">
        <v>3536100000</v>
      </c>
      <c r="F111" s="136" t="n">
        <v>-70229800000</v>
      </c>
      <c r="G111" s="136" t="n">
        <v>-102782900000</v>
      </c>
      <c r="H111" s="136" t="n">
        <v>-39788300000</v>
      </c>
      <c r="I111" s="136" t="n">
        <v>-38920900000</v>
      </c>
      <c r="J111" s="136" t="n">
        <v>14193900000</v>
      </c>
      <c r="K111" s="136" t="n">
        <v>36068500000</v>
      </c>
      <c r="L111" s="136" t="n">
        <v>55290000000</v>
      </c>
    </row>
    <row r="112" customFormat="false" ht="15" hidden="false" customHeight="false" outlineLevel="0" collapsed="false">
      <c r="B112" s="145" t="s">
        <v>174</v>
      </c>
      <c r="C112" s="133" t="s">
        <v>260</v>
      </c>
      <c r="D112" s="136" t="n">
        <v>10224700000</v>
      </c>
      <c r="E112" s="136" t="n">
        <v>3536100000</v>
      </c>
      <c r="F112" s="136" t="n">
        <v>-70229800000</v>
      </c>
      <c r="G112" s="136" t="n">
        <v>-102782900000</v>
      </c>
      <c r="H112" s="136" t="n">
        <v>-39788300000</v>
      </c>
      <c r="I112" s="136" t="n">
        <v>-38920900000</v>
      </c>
      <c r="J112" s="136" t="n">
        <v>14193900000</v>
      </c>
      <c r="K112" s="136" t="n">
        <v>36068500000</v>
      </c>
      <c r="L112" s="136" t="n">
        <v>55290000000</v>
      </c>
    </row>
    <row r="113" customFormat="false" ht="15" hidden="false" customHeight="false" outlineLevel="0" collapsed="false">
      <c r="B113" s="137" t="s">
        <v>678</v>
      </c>
    </row>
    <row r="114" customFormat="false" ht="15" hidden="false" customHeight="false" outlineLevel="0" collapsed="false">
      <c r="B114" s="139" t="s">
        <v>679</v>
      </c>
    </row>
    <row r="115" customFormat="false" ht="15" hidden="false" customHeight="false" outlineLevel="0" collapsed="false">
      <c r="B115" s="141" t="s">
        <v>680</v>
      </c>
    </row>
    <row r="116" customFormat="false" ht="15" hidden="false" customHeight="false" outlineLevel="0" collapsed="false">
      <c r="B116" s="142" t="s">
        <v>178</v>
      </c>
      <c r="C116" s="133" t="s">
        <v>681</v>
      </c>
      <c r="D116" s="134" t="n">
        <v>40385400000</v>
      </c>
      <c r="E116" s="134" t="n">
        <v>33629500000</v>
      </c>
      <c r="F116" s="134" t="n">
        <v>18425300000</v>
      </c>
      <c r="G116" s="134" t="n">
        <v>6536600000</v>
      </c>
      <c r="H116" s="134" t="n">
        <v>42928800000</v>
      </c>
      <c r="I116" s="134" t="n">
        <v>37746900000</v>
      </c>
      <c r="J116" s="134" t="n">
        <v>20089800000</v>
      </c>
      <c r="K116" s="134" t="n">
        <v>6361800000</v>
      </c>
      <c r="L116" s="134" t="n">
        <v>0</v>
      </c>
    </row>
    <row r="117" customFormat="false" ht="15" hidden="false" customHeight="false" outlineLevel="0" collapsed="false">
      <c r="B117" s="142" t="s">
        <v>180</v>
      </c>
      <c r="C117" s="133" t="s">
        <v>682</v>
      </c>
      <c r="D117" s="134" t="n">
        <v>2015900000</v>
      </c>
      <c r="E117" s="134" t="n">
        <v>94800000</v>
      </c>
      <c r="F117" s="134" t="n">
        <v>64900000</v>
      </c>
      <c r="G117" s="134" t="n">
        <v>678500000</v>
      </c>
      <c r="H117" s="134" t="n">
        <v>21200300000</v>
      </c>
      <c r="I117" s="134" t="n">
        <v>23948700000</v>
      </c>
      <c r="J117" s="134" t="n">
        <v>83800000</v>
      </c>
      <c r="K117" s="134" t="n">
        <v>190500000</v>
      </c>
      <c r="L117" s="134" t="n">
        <v>6409100000</v>
      </c>
    </row>
    <row r="118" customFormat="false" ht="15" hidden="false" customHeight="false" outlineLevel="0" collapsed="false">
      <c r="B118" s="144" t="s">
        <v>181</v>
      </c>
      <c r="C118" s="133" t="s">
        <v>683</v>
      </c>
      <c r="D118" s="136" t="n">
        <v>42401300000</v>
      </c>
      <c r="E118" s="136" t="n">
        <v>33724300000</v>
      </c>
      <c r="F118" s="136" t="n">
        <v>18490200000</v>
      </c>
      <c r="G118" s="136" t="n">
        <v>7215100000</v>
      </c>
      <c r="H118" s="136" t="n">
        <v>64129100000</v>
      </c>
      <c r="I118" s="136" t="n">
        <v>61695600000</v>
      </c>
      <c r="J118" s="136" t="n">
        <v>20173600000</v>
      </c>
      <c r="K118" s="136" t="n">
        <v>6552300000</v>
      </c>
      <c r="L118" s="136" t="n">
        <v>6409100000</v>
      </c>
    </row>
    <row r="119" customFormat="false" ht="15" hidden="false" customHeight="false" outlineLevel="0" collapsed="false">
      <c r="B119" s="140" t="s">
        <v>182</v>
      </c>
      <c r="C119" s="133" t="s">
        <v>684</v>
      </c>
      <c r="D119" s="134" t="n">
        <v>582700000</v>
      </c>
      <c r="E119" s="134" t="n">
        <v>876200000</v>
      </c>
      <c r="F119" s="134" t="n">
        <v>40340600000</v>
      </c>
      <c r="G119" s="134" t="n">
        <v>798800000</v>
      </c>
      <c r="H119" s="134" t="n">
        <v>651700000</v>
      </c>
      <c r="I119" s="134" t="n">
        <v>1129600000</v>
      </c>
      <c r="J119" s="134" t="n">
        <v>1448300000</v>
      </c>
      <c r="K119" s="134" t="n">
        <v>1441400000</v>
      </c>
      <c r="L119" s="134" t="n">
        <v>1479600000</v>
      </c>
    </row>
    <row r="120" customFormat="false" ht="15" hidden="false" customHeight="false" outlineLevel="0" collapsed="false">
      <c r="B120" s="140" t="s">
        <v>183</v>
      </c>
      <c r="C120" s="133" t="s">
        <v>685</v>
      </c>
      <c r="D120" s="134" t="n">
        <v>400200000</v>
      </c>
      <c r="E120" s="134" t="n">
        <v>299900000</v>
      </c>
      <c r="F120" s="134" t="n">
        <v>117000000</v>
      </c>
      <c r="G120" s="134" t="n">
        <v>8900000</v>
      </c>
      <c r="H120" s="134" t="n">
        <v>7700000</v>
      </c>
      <c r="I120" s="134" t="n">
        <v>1900000</v>
      </c>
      <c r="J120" s="134" t="n">
        <v>4800000</v>
      </c>
      <c r="K120" s="134" t="n">
        <v>4800000</v>
      </c>
      <c r="L120" s="134" t="n">
        <v>4500000</v>
      </c>
    </row>
    <row r="121" customFormat="false" ht="15" hidden="false" customHeight="false" outlineLevel="0" collapsed="false">
      <c r="B121" s="143" t="s">
        <v>184</v>
      </c>
      <c r="C121" s="133" t="s">
        <v>686</v>
      </c>
      <c r="D121" s="136" t="n">
        <v>43384200000</v>
      </c>
      <c r="E121" s="136" t="n">
        <v>34900400000</v>
      </c>
      <c r="F121" s="136" t="n">
        <v>58947800000</v>
      </c>
      <c r="G121" s="136" t="n">
        <v>8022800000</v>
      </c>
      <c r="H121" s="136" t="n">
        <v>64788500000</v>
      </c>
      <c r="I121" s="136" t="n">
        <v>62827100000</v>
      </c>
      <c r="J121" s="136" t="n">
        <v>21626700000</v>
      </c>
      <c r="K121" s="136" t="n">
        <v>7998500000</v>
      </c>
      <c r="L121" s="136" t="n">
        <v>7893200000</v>
      </c>
    </row>
    <row r="122" customFormat="false" ht="15" hidden="false" customHeight="false" outlineLevel="0" collapsed="false">
      <c r="B122" s="139" t="s">
        <v>687</v>
      </c>
    </row>
    <row r="123" customFormat="false" ht="15" hidden="false" customHeight="false" outlineLevel="0" collapsed="false">
      <c r="B123" s="141" t="s">
        <v>688</v>
      </c>
    </row>
    <row r="124" customFormat="false" ht="15" hidden="false" customHeight="false" outlineLevel="0" collapsed="false">
      <c r="B124" s="142" t="s">
        <v>187</v>
      </c>
      <c r="C124" s="133" t="s">
        <v>689</v>
      </c>
      <c r="D124" s="134" t="n">
        <v>19757000000</v>
      </c>
      <c r="E124" s="134" t="n">
        <v>37667400000</v>
      </c>
      <c r="F124" s="134" t="n">
        <v>32579800000</v>
      </c>
      <c r="G124" s="134" t="n">
        <v>82606900000</v>
      </c>
      <c r="H124" s="134" t="n">
        <v>2000000000</v>
      </c>
      <c r="I124" s="134" t="n">
        <v>0</v>
      </c>
      <c r="J124" s="134" t="n">
        <v>3230200000</v>
      </c>
      <c r="K124" s="134" t="n">
        <v>0</v>
      </c>
      <c r="L124" s="134" t="n">
        <v>0</v>
      </c>
    </row>
    <row r="125" customFormat="false" ht="15" hidden="false" customHeight="false" outlineLevel="0" collapsed="false">
      <c r="B125" s="146" t="s">
        <v>690</v>
      </c>
    </row>
    <row r="126" customFormat="false" ht="15" hidden="false" customHeight="false" outlineLevel="0" collapsed="false">
      <c r="B126" s="147" t="s">
        <v>189</v>
      </c>
      <c r="C126" s="133" t="s">
        <v>691</v>
      </c>
      <c r="D126" s="136" t="n">
        <v>46546400000</v>
      </c>
      <c r="E126" s="136" t="n">
        <v>24340800000</v>
      </c>
      <c r="F126" s="136" t="n">
        <v>17933400000</v>
      </c>
      <c r="G126" s="136" t="n">
        <v>11578600000</v>
      </c>
      <c r="H126" s="136" t="n">
        <v>13724500000</v>
      </c>
      <c r="I126" s="136" t="n">
        <v>18159400000</v>
      </c>
      <c r="J126" s="136" t="n">
        <v>10620900000</v>
      </c>
      <c r="K126" s="136" t="n">
        <v>19388100000</v>
      </c>
      <c r="L126" s="136" t="n">
        <v>33332000000</v>
      </c>
    </row>
    <row r="127" customFormat="false" ht="15" hidden="false" customHeight="false" outlineLevel="0" collapsed="false">
      <c r="B127" s="142" t="s">
        <v>190</v>
      </c>
      <c r="C127" s="133" t="s">
        <v>692</v>
      </c>
      <c r="D127" s="134" t="n">
        <v>6787600000</v>
      </c>
      <c r="E127" s="134" t="n">
        <v>13378300000</v>
      </c>
      <c r="F127" s="134" t="n">
        <v>26912000000</v>
      </c>
      <c r="G127" s="134" t="n">
        <v>49280000000</v>
      </c>
      <c r="H127" s="134" t="n">
        <v>5282000000</v>
      </c>
      <c r="I127" s="134" t="n">
        <v>7075000000</v>
      </c>
      <c r="J127" s="134" t="n">
        <v>2262000000</v>
      </c>
      <c r="K127" s="134" t="n">
        <v>1985300000</v>
      </c>
      <c r="L127" s="134" t="n">
        <v>3819400000</v>
      </c>
    </row>
    <row r="128" customFormat="false" ht="15" hidden="false" customHeight="false" outlineLevel="0" collapsed="false">
      <c r="B128" s="144" t="s">
        <v>191</v>
      </c>
      <c r="C128" s="133" t="s">
        <v>693</v>
      </c>
      <c r="D128" s="136" t="n">
        <v>73091000000</v>
      </c>
      <c r="E128" s="136" t="n">
        <v>75386500000</v>
      </c>
      <c r="F128" s="136" t="n">
        <v>77425200000</v>
      </c>
      <c r="G128" s="136" t="n">
        <v>143465500000</v>
      </c>
      <c r="H128" s="136" t="n">
        <v>21006500000</v>
      </c>
      <c r="I128" s="136" t="n">
        <v>25234400000</v>
      </c>
      <c r="J128" s="136" t="n">
        <v>16113100000</v>
      </c>
      <c r="K128" s="136" t="n">
        <v>21373400000</v>
      </c>
      <c r="L128" s="136" t="n">
        <v>37151400000</v>
      </c>
    </row>
    <row r="129" customFormat="false" ht="15" hidden="false" customHeight="false" outlineLevel="0" collapsed="false">
      <c r="B129" s="140" t="s">
        <v>192</v>
      </c>
      <c r="C129" s="133" t="s">
        <v>694</v>
      </c>
      <c r="D129" s="134" t="n">
        <v>8691200000</v>
      </c>
      <c r="E129" s="134" t="n">
        <v>7627900000</v>
      </c>
      <c r="F129" s="134" t="n">
        <v>12749300000</v>
      </c>
      <c r="G129" s="134" t="n">
        <v>2747000000</v>
      </c>
      <c r="H129" s="134" t="n">
        <v>3222400000</v>
      </c>
      <c r="I129" s="134" t="n">
        <v>3659400000</v>
      </c>
      <c r="J129" s="134" t="n">
        <v>4034200000</v>
      </c>
      <c r="K129" s="134" t="n">
        <v>1927900000</v>
      </c>
      <c r="L129" s="134" t="n">
        <v>17537500000</v>
      </c>
    </row>
    <row r="130" customFormat="false" ht="15" hidden="false" customHeight="false" outlineLevel="0" collapsed="false">
      <c r="B130" s="140" t="s">
        <v>193</v>
      </c>
      <c r="C130" s="133" t="s">
        <v>695</v>
      </c>
      <c r="D130" s="134" t="n">
        <v>6869200000</v>
      </c>
      <c r="E130" s="134" t="n">
        <v>6959300000</v>
      </c>
      <c r="F130" s="134" t="n">
        <v>6335200000</v>
      </c>
      <c r="G130" s="134" t="n">
        <v>5781600000</v>
      </c>
      <c r="H130" s="134" t="n">
        <v>4391300000</v>
      </c>
      <c r="I130" s="134" t="n">
        <v>3952600000</v>
      </c>
      <c r="J130" s="134" t="n">
        <v>4512000000</v>
      </c>
      <c r="K130" s="134" t="n">
        <v>4278300000</v>
      </c>
      <c r="L130" s="134" t="n">
        <v>5502000000</v>
      </c>
    </row>
    <row r="131" customFormat="false" ht="15" hidden="false" customHeight="false" outlineLevel="0" collapsed="false">
      <c r="B131" s="140" t="s">
        <v>194</v>
      </c>
      <c r="C131" s="133" t="s">
        <v>696</v>
      </c>
      <c r="D131" s="134" t="n">
        <v>0</v>
      </c>
      <c r="E131" s="134" t="n">
        <v>0</v>
      </c>
      <c r="F131" s="134" t="n">
        <v>0</v>
      </c>
      <c r="G131" s="134" t="n">
        <v>0</v>
      </c>
      <c r="H131" s="134" t="n">
        <v>0</v>
      </c>
      <c r="I131" s="134" t="n">
        <v>0</v>
      </c>
      <c r="J131" s="134" t="n">
        <v>0</v>
      </c>
      <c r="K131" s="134" t="n">
        <v>0</v>
      </c>
      <c r="L131" s="134" t="n">
        <v>70500000</v>
      </c>
    </row>
    <row r="132" customFormat="false" ht="15" hidden="false" customHeight="false" outlineLevel="0" collapsed="false">
      <c r="B132" s="143" t="s">
        <v>195</v>
      </c>
      <c r="C132" s="133" t="s">
        <v>697</v>
      </c>
      <c r="D132" s="136" t="n">
        <v>88651400000</v>
      </c>
      <c r="E132" s="136" t="n">
        <v>89973700000</v>
      </c>
      <c r="F132" s="136" t="n">
        <v>96509700000</v>
      </c>
      <c r="G132" s="136" t="n">
        <v>151994100000</v>
      </c>
      <c r="H132" s="136" t="n">
        <v>28620200000</v>
      </c>
      <c r="I132" s="136" t="n">
        <v>32846400000</v>
      </c>
      <c r="J132" s="136" t="n">
        <v>24659300000</v>
      </c>
      <c r="K132" s="136" t="n">
        <v>27579600000</v>
      </c>
      <c r="L132" s="136" t="n">
        <v>60261400000</v>
      </c>
    </row>
    <row r="133" customFormat="false" ht="15" hidden="false" customHeight="false" outlineLevel="0" collapsed="false">
      <c r="B133" s="145" t="s">
        <v>175</v>
      </c>
      <c r="C133" s="133" t="s">
        <v>175</v>
      </c>
      <c r="D133" s="136" t="n">
        <v>132035600000</v>
      </c>
      <c r="E133" s="136" t="n">
        <v>124874100000</v>
      </c>
      <c r="F133" s="136" t="n">
        <v>155457500000</v>
      </c>
      <c r="G133" s="136" t="n">
        <v>160016900000</v>
      </c>
      <c r="H133" s="136" t="n">
        <v>93408700000</v>
      </c>
      <c r="I133" s="136" t="n">
        <v>95673500000</v>
      </c>
      <c r="J133" s="136" t="n">
        <v>46286000000</v>
      </c>
      <c r="K133" s="136" t="n">
        <v>35578100000</v>
      </c>
      <c r="L133" s="136" t="n">
        <v>68154600000</v>
      </c>
    </row>
    <row r="134" customFormat="false" ht="15" hidden="false" customHeight="false" outlineLevel="0" collapsed="false">
      <c r="B134" s="135" t="s">
        <v>197</v>
      </c>
      <c r="C134" s="133" t="s">
        <v>699</v>
      </c>
      <c r="D134" s="136" t="n">
        <v>142260300000</v>
      </c>
      <c r="E134" s="136" t="n">
        <v>128410200000</v>
      </c>
      <c r="F134" s="136" t="n">
        <v>85227700000</v>
      </c>
      <c r="G134" s="136" t="n">
        <v>57234000000</v>
      </c>
      <c r="H134" s="136" t="n">
        <v>53620400000</v>
      </c>
      <c r="I134" s="136" t="n">
        <v>56752600000</v>
      </c>
      <c r="J134" s="136" t="n">
        <v>60479900000</v>
      </c>
      <c r="K134" s="136" t="n">
        <v>71646600000</v>
      </c>
      <c r="L134" s="136" t="n">
        <v>123444600000</v>
      </c>
    </row>
    <row r="137" customFormat="false" ht="15" hidden="false" customHeight="false" outlineLevel="0" collapsed="false">
      <c r="A137" s="0" t="s">
        <v>26</v>
      </c>
      <c r="B137" s="13" t="s">
        <v>199</v>
      </c>
    </row>
    <row r="138" customFormat="false" ht="15" hidden="false" customHeight="false" outlineLevel="0" collapsed="false">
      <c r="B138" s="0" t="s">
        <v>567</v>
      </c>
    </row>
    <row r="140" customFormat="false" ht="15" hidden="false" customHeight="false" outlineLevel="0" collapsed="false">
      <c r="C140" s="131" t="s">
        <v>568</v>
      </c>
      <c r="D140" s="13" t="s">
        <v>29</v>
      </c>
      <c r="E140" s="13" t="s">
        <v>30</v>
      </c>
      <c r="F140" s="13" t="s">
        <v>31</v>
      </c>
      <c r="G140" s="13" t="s">
        <v>32</v>
      </c>
      <c r="H140" s="13" t="s">
        <v>33</v>
      </c>
      <c r="I140" s="13" t="s">
        <v>34</v>
      </c>
      <c r="J140" s="13" t="s">
        <v>35</v>
      </c>
      <c r="K140" s="13" t="s">
        <v>36</v>
      </c>
      <c r="L140" s="13" t="s">
        <v>37</v>
      </c>
    </row>
    <row r="141" customFormat="false" ht="15" hidden="false" customHeight="false" outlineLevel="0" collapsed="false">
      <c r="B141" s="63" t="s">
        <v>700</v>
      </c>
    </row>
    <row r="142" customFormat="false" ht="15" hidden="false" customHeight="false" outlineLevel="0" collapsed="false">
      <c r="B142" s="132" t="s">
        <v>201</v>
      </c>
      <c r="C142" s="133" t="s">
        <v>587</v>
      </c>
      <c r="D142" s="134" t="n">
        <v>3556500000</v>
      </c>
      <c r="E142" s="134" t="n">
        <v>-11547400000</v>
      </c>
      <c r="F142" s="134" t="n">
        <v>-74119800000</v>
      </c>
      <c r="G142" s="134" t="n">
        <v>-32759800000</v>
      </c>
      <c r="H142" s="134" t="n">
        <v>-3984000000</v>
      </c>
      <c r="I142" s="134" t="n">
        <v>-9126600000</v>
      </c>
      <c r="J142" s="134" t="n">
        <v>21627600000</v>
      </c>
      <c r="K142" s="134" t="n">
        <v>934300000</v>
      </c>
      <c r="L142" s="134" t="n">
        <v>14737200000</v>
      </c>
    </row>
    <row r="143" customFormat="false" ht="15" hidden="false" customHeight="false" outlineLevel="0" collapsed="false">
      <c r="B143" s="137" t="s">
        <v>701</v>
      </c>
    </row>
    <row r="144" customFormat="false" ht="15" hidden="false" customHeight="false" outlineLevel="0" collapsed="false">
      <c r="B144" s="138" t="s">
        <v>203</v>
      </c>
      <c r="C144" s="133" t="s">
        <v>702</v>
      </c>
      <c r="D144" s="134" t="n">
        <v>8057100000</v>
      </c>
      <c r="E144" s="134" t="n">
        <v>0</v>
      </c>
      <c r="F144" s="134" t="n">
        <v>0</v>
      </c>
      <c r="G144" s="134" t="n">
        <v>0</v>
      </c>
      <c r="H144" s="134" t="n">
        <v>0</v>
      </c>
      <c r="I144" s="134" t="n">
        <v>0</v>
      </c>
      <c r="J144" s="134" t="n">
        <v>0</v>
      </c>
      <c r="K144" s="134" t="n">
        <v>0</v>
      </c>
      <c r="L144" s="134" t="n">
        <v>840100000</v>
      </c>
    </row>
    <row r="145" customFormat="false" ht="15" hidden="false" customHeight="false" outlineLevel="0" collapsed="false">
      <c r="B145" s="138" t="s">
        <v>204</v>
      </c>
      <c r="C145" s="133" t="s">
        <v>703</v>
      </c>
      <c r="D145" s="134" t="n">
        <v>-8747100000</v>
      </c>
      <c r="E145" s="134" t="n">
        <v>7240600000</v>
      </c>
      <c r="F145" s="134" t="n">
        <v>3714600000</v>
      </c>
      <c r="G145" s="134" t="n">
        <v>2832000000</v>
      </c>
      <c r="H145" s="134" t="n">
        <v>352000000</v>
      </c>
      <c r="I145" s="134" t="n">
        <v>-3055300000</v>
      </c>
      <c r="J145" s="134" t="n">
        <v>4070500000</v>
      </c>
      <c r="K145" s="134" t="n">
        <v>-4280300000</v>
      </c>
      <c r="L145" s="134" t="n">
        <v>-7910200000</v>
      </c>
    </row>
    <row r="146" customFormat="false" ht="15" hidden="false" customHeight="false" outlineLevel="0" collapsed="false">
      <c r="B146" s="138" t="s">
        <v>205</v>
      </c>
      <c r="C146" s="133" t="s">
        <v>704</v>
      </c>
      <c r="D146" s="134" t="n">
        <v>-4388400000</v>
      </c>
      <c r="E146" s="134" t="n">
        <v>4566500000</v>
      </c>
      <c r="F146" s="134" t="n">
        <v>8188900000</v>
      </c>
      <c r="G146" s="134" t="n">
        <v>4936500000</v>
      </c>
      <c r="H146" s="134" t="n">
        <v>220000000</v>
      </c>
      <c r="I146" s="134" t="n">
        <v>-3001900000</v>
      </c>
      <c r="J146" s="134" t="n">
        <v>1249900000</v>
      </c>
      <c r="K146" s="134" t="n">
        <v>-5686800000</v>
      </c>
      <c r="L146" s="134" t="n">
        <v>-20523900000</v>
      </c>
    </row>
    <row r="147" customFormat="false" ht="15" hidden="false" customHeight="false" outlineLevel="0" collapsed="false">
      <c r="B147" s="138" t="s">
        <v>206</v>
      </c>
      <c r="C147" s="133" t="s">
        <v>705</v>
      </c>
      <c r="D147" s="134" t="n">
        <v>7542700000</v>
      </c>
      <c r="E147" s="134" t="n">
        <v>0</v>
      </c>
      <c r="F147" s="134" t="n">
        <v>0</v>
      </c>
      <c r="G147" s="134" t="n">
        <v>0</v>
      </c>
      <c r="H147" s="134" t="n">
        <v>0</v>
      </c>
      <c r="I147" s="134" t="n">
        <v>0</v>
      </c>
      <c r="J147" s="134" t="n">
        <v>0</v>
      </c>
      <c r="K147" s="134" t="n">
        <v>0</v>
      </c>
      <c r="L147" s="134" t="n">
        <v>0</v>
      </c>
    </row>
    <row r="148" customFormat="false" ht="15" hidden="false" customHeight="false" outlineLevel="0" collapsed="false">
      <c r="B148" s="138" t="s">
        <v>248</v>
      </c>
      <c r="C148" s="133" t="s">
        <v>1327</v>
      </c>
      <c r="D148" s="134" t="n">
        <v>0</v>
      </c>
      <c r="E148" s="134" t="n">
        <v>-1097400000</v>
      </c>
      <c r="F148" s="134" t="n">
        <v>-1777800000</v>
      </c>
      <c r="G148" s="134" t="n">
        <v>-36325700000</v>
      </c>
      <c r="H148" s="134" t="n">
        <v>-1555200000</v>
      </c>
      <c r="I148" s="134" t="n">
        <v>-149100000</v>
      </c>
      <c r="J148" s="134" t="n">
        <v>738700000</v>
      </c>
      <c r="K148" s="134" t="n">
        <v>-3893400000</v>
      </c>
      <c r="L148" s="134" t="n">
        <v>-3586600000</v>
      </c>
    </row>
    <row r="149" customFormat="false" ht="15" hidden="false" customHeight="false" outlineLevel="0" collapsed="false">
      <c r="B149" s="138" t="s">
        <v>208</v>
      </c>
      <c r="C149" s="133" t="s">
        <v>707</v>
      </c>
      <c r="D149" s="134" t="n">
        <v>11900400000</v>
      </c>
      <c r="E149" s="134" t="n">
        <v>-25580000000</v>
      </c>
      <c r="F149" s="134" t="n">
        <v>-5023600000</v>
      </c>
      <c r="G149" s="134" t="n">
        <v>23153000000</v>
      </c>
      <c r="H149" s="134" t="n">
        <v>110700000</v>
      </c>
      <c r="I149" s="134" t="n">
        <v>2615300000</v>
      </c>
      <c r="J149" s="134" t="n">
        <v>-7925600000</v>
      </c>
      <c r="K149" s="134" t="n">
        <v>5122400000</v>
      </c>
      <c r="L149" s="134" t="n">
        <v>22914200000</v>
      </c>
    </row>
    <row r="150" customFormat="false" ht="15" hidden="false" customHeight="false" outlineLevel="0" collapsed="false">
      <c r="B150" s="138" t="s">
        <v>209</v>
      </c>
      <c r="C150" s="133" t="s">
        <v>708</v>
      </c>
      <c r="D150" s="134" t="n">
        <v>4139900000</v>
      </c>
      <c r="E150" s="134" t="n">
        <v>4192800000</v>
      </c>
      <c r="F150" s="134" t="n">
        <v>4389100000</v>
      </c>
      <c r="G150" s="134" t="n">
        <v>6821500000</v>
      </c>
      <c r="H150" s="134" t="n">
        <v>1864900000</v>
      </c>
      <c r="I150" s="134" t="n">
        <v>1851300000</v>
      </c>
      <c r="J150" s="134" t="n">
        <v>1900400000</v>
      </c>
      <c r="K150" s="134" t="n">
        <v>1195700000</v>
      </c>
      <c r="L150" s="134" t="n">
        <v>1668500000</v>
      </c>
    </row>
    <row r="151" customFormat="false" ht="15" hidden="false" customHeight="false" outlineLevel="0" collapsed="false">
      <c r="B151" s="138" t="s">
        <v>210</v>
      </c>
      <c r="C151" s="133" t="s">
        <v>709</v>
      </c>
      <c r="D151" s="134" t="n">
        <v>0</v>
      </c>
      <c r="E151" s="134" t="n">
        <v>-44900000</v>
      </c>
      <c r="F151" s="134" t="n">
        <v>-81400000</v>
      </c>
      <c r="G151" s="134" t="n">
        <v>-67200000</v>
      </c>
      <c r="H151" s="134" t="n">
        <v>178900000</v>
      </c>
      <c r="I151" s="134" t="n">
        <v>-11100000</v>
      </c>
      <c r="J151" s="134" t="n">
        <v>-58900000</v>
      </c>
      <c r="K151" s="134" t="n">
        <v>57500000</v>
      </c>
      <c r="L151" s="134" t="n">
        <v>196200000</v>
      </c>
    </row>
    <row r="152" customFormat="false" ht="15" hidden="false" customHeight="false" outlineLevel="0" collapsed="false">
      <c r="B152" s="138" t="s">
        <v>212</v>
      </c>
      <c r="C152" s="133" t="s">
        <v>711</v>
      </c>
      <c r="D152" s="134" t="n">
        <v>458600000</v>
      </c>
      <c r="E152" s="134" t="n">
        <v>-221300000</v>
      </c>
      <c r="F152" s="134" t="n">
        <v>931600000</v>
      </c>
      <c r="G152" s="134" t="n">
        <v>1307400000</v>
      </c>
      <c r="H152" s="134" t="n">
        <v>-52000000</v>
      </c>
      <c r="I152" s="134" t="n">
        <v>38800000</v>
      </c>
      <c r="J152" s="134" t="n">
        <v>-8200000</v>
      </c>
      <c r="K152" s="134" t="n">
        <v>-400000</v>
      </c>
      <c r="L152" s="134" t="n">
        <v>-1000000</v>
      </c>
    </row>
    <row r="153" customFormat="false" ht="15" hidden="false" customHeight="false" outlineLevel="0" collapsed="false">
      <c r="B153" s="138" t="s">
        <v>213</v>
      </c>
      <c r="C153" s="133" t="s">
        <v>712</v>
      </c>
      <c r="D153" s="134" t="n">
        <v>3793100000</v>
      </c>
      <c r="E153" s="134" t="n">
        <v>0</v>
      </c>
      <c r="F153" s="134" t="n">
        <v>0</v>
      </c>
      <c r="G153" s="134" t="n">
        <v>0</v>
      </c>
      <c r="H153" s="134" t="n">
        <v>0</v>
      </c>
      <c r="I153" s="134" t="n">
        <v>0</v>
      </c>
      <c r="J153" s="134" t="n">
        <v>0</v>
      </c>
      <c r="K153" s="134" t="n">
        <v>0</v>
      </c>
      <c r="L153" s="134" t="n">
        <v>0</v>
      </c>
    </row>
    <row r="154" customFormat="false" ht="15" hidden="false" customHeight="false" outlineLevel="0" collapsed="false">
      <c r="B154" s="138" t="s">
        <v>214</v>
      </c>
      <c r="C154" s="133" t="s">
        <v>713</v>
      </c>
      <c r="D154" s="134" t="n">
        <v>22400000</v>
      </c>
      <c r="E154" s="134" t="n">
        <v>0</v>
      </c>
      <c r="F154" s="134" t="n">
        <v>0</v>
      </c>
      <c r="G154" s="134" t="n">
        <v>0</v>
      </c>
      <c r="H154" s="134" t="n">
        <v>0</v>
      </c>
      <c r="I154" s="134" t="n">
        <v>0</v>
      </c>
      <c r="J154" s="134" t="n">
        <v>0</v>
      </c>
      <c r="K154" s="134" t="n">
        <v>220800000</v>
      </c>
      <c r="L154" s="134" t="n">
        <v>1111900000</v>
      </c>
    </row>
    <row r="155" customFormat="false" ht="15" hidden="false" customHeight="false" outlineLevel="0" collapsed="false">
      <c r="B155" s="138" t="s">
        <v>215</v>
      </c>
      <c r="C155" s="133" t="s">
        <v>714</v>
      </c>
      <c r="D155" s="134" t="n">
        <v>-208700000</v>
      </c>
      <c r="E155" s="134" t="n">
        <v>-308300000</v>
      </c>
      <c r="F155" s="134" t="n">
        <v>-149900000</v>
      </c>
      <c r="G155" s="134" t="n">
        <v>33000000</v>
      </c>
      <c r="H155" s="134" t="n">
        <v>16800000</v>
      </c>
      <c r="I155" s="134" t="n">
        <v>66300000</v>
      </c>
      <c r="J155" s="134" t="n">
        <v>10500000</v>
      </c>
      <c r="K155" s="134" t="n">
        <v>74000000</v>
      </c>
      <c r="L155" s="134" t="n">
        <v>-1044400000</v>
      </c>
    </row>
    <row r="156" customFormat="false" ht="15" hidden="false" customHeight="false" outlineLevel="0" collapsed="false">
      <c r="B156" s="138" t="s">
        <v>216</v>
      </c>
      <c r="C156" s="133" t="s">
        <v>715</v>
      </c>
      <c r="D156" s="134" t="n">
        <v>4087000000</v>
      </c>
      <c r="E156" s="134" t="n">
        <v>4354000000</v>
      </c>
      <c r="F156" s="134" t="n">
        <v>60551700000</v>
      </c>
      <c r="G156" s="134" t="n">
        <v>6050600000</v>
      </c>
      <c r="H156" s="134" t="n">
        <v>-8600900000</v>
      </c>
      <c r="I156" s="134" t="n">
        <v>2131100000</v>
      </c>
      <c r="J156" s="134" t="n">
        <v>-25921300000</v>
      </c>
      <c r="K156" s="134" t="n">
        <v>-1285200000</v>
      </c>
      <c r="L156" s="134" t="n">
        <v>626400000</v>
      </c>
    </row>
    <row r="157" customFormat="false" ht="15" hidden="false" customHeight="false" outlineLevel="0" collapsed="false">
      <c r="B157" s="138" t="s">
        <v>217</v>
      </c>
      <c r="C157" s="133" t="s">
        <v>716</v>
      </c>
      <c r="D157" s="134" t="n">
        <v>5498600000</v>
      </c>
      <c r="E157" s="134" t="n">
        <v>-174500000</v>
      </c>
      <c r="F157" s="134" t="n">
        <v>-388800000</v>
      </c>
      <c r="G157" s="134" t="n">
        <v>724200000</v>
      </c>
      <c r="H157" s="134" t="n">
        <v>274500000</v>
      </c>
      <c r="I157" s="134" t="n">
        <v>382600000</v>
      </c>
      <c r="J157" s="134" t="n">
        <v>-55000000</v>
      </c>
      <c r="K157" s="134" t="n">
        <v>-65900000</v>
      </c>
      <c r="L157" s="134" t="n">
        <v>62100000</v>
      </c>
    </row>
    <row r="158" customFormat="false" ht="15" hidden="false" customHeight="false" outlineLevel="0" collapsed="false">
      <c r="B158" s="145" t="s">
        <v>218</v>
      </c>
      <c r="C158" s="133" t="s">
        <v>717</v>
      </c>
      <c r="D158" s="136" t="n">
        <v>24569400000</v>
      </c>
      <c r="E158" s="136" t="n">
        <v>-7072500000</v>
      </c>
      <c r="F158" s="136" t="n">
        <v>70354400000</v>
      </c>
      <c r="G158" s="136" t="n">
        <v>9465300000</v>
      </c>
      <c r="H158" s="136" t="n">
        <v>-7190300000</v>
      </c>
      <c r="I158" s="136" t="n">
        <v>868000000</v>
      </c>
      <c r="J158" s="136" t="n">
        <v>-25999000000</v>
      </c>
      <c r="K158" s="136" t="n">
        <v>-8541600000</v>
      </c>
      <c r="L158" s="136" t="n">
        <v>-5646700000</v>
      </c>
    </row>
    <row r="159" customFormat="false" ht="15" hidden="false" customHeight="false" outlineLevel="0" collapsed="false">
      <c r="B159" s="135" t="s">
        <v>219</v>
      </c>
      <c r="C159" s="133" t="s">
        <v>718</v>
      </c>
      <c r="D159" s="136" t="n">
        <v>28125900000</v>
      </c>
      <c r="E159" s="136" t="n">
        <v>-18619900000</v>
      </c>
      <c r="F159" s="136" t="n">
        <v>-3765400000</v>
      </c>
      <c r="G159" s="136" t="n">
        <v>-23294500000</v>
      </c>
      <c r="H159" s="136" t="n">
        <v>-11174300000</v>
      </c>
      <c r="I159" s="136" t="n">
        <v>-8258600000</v>
      </c>
      <c r="J159" s="136" t="n">
        <v>-4371400000</v>
      </c>
      <c r="K159" s="136" t="n">
        <v>-7607300000</v>
      </c>
      <c r="L159" s="136" t="n">
        <v>9090500000</v>
      </c>
    </row>
    <row r="160" customFormat="false" ht="15" hidden="false" customHeight="false" outlineLevel="0" collapsed="false">
      <c r="B160" s="132" t="s">
        <v>241</v>
      </c>
      <c r="C160" s="133" t="s">
        <v>1328</v>
      </c>
      <c r="D160" s="134" t="n">
        <v>0</v>
      </c>
      <c r="E160" s="134" t="n">
        <v>-10598800000</v>
      </c>
      <c r="F160" s="134" t="n">
        <v>-8250500000</v>
      </c>
      <c r="G160" s="134" t="n">
        <v>-10743500000</v>
      </c>
      <c r="H160" s="134" t="n">
        <v>-9526700000</v>
      </c>
      <c r="I160" s="134" t="n">
        <v>-7509000000</v>
      </c>
      <c r="J160" s="134" t="n">
        <v>-4081100000</v>
      </c>
      <c r="K160" s="134" t="n">
        <v>-1654700000</v>
      </c>
      <c r="L160" s="134" t="n">
        <v>0</v>
      </c>
    </row>
    <row r="161" customFormat="false" ht="15" hidden="false" customHeight="false" outlineLevel="0" collapsed="false">
      <c r="B161" s="132" t="s">
        <v>220</v>
      </c>
      <c r="C161" s="133" t="s">
        <v>719</v>
      </c>
      <c r="D161" s="134" t="n">
        <v>43200000</v>
      </c>
      <c r="E161" s="134" t="n">
        <v>-59400000</v>
      </c>
      <c r="F161" s="134" t="n">
        <v>-13500000</v>
      </c>
      <c r="G161" s="134" t="n">
        <v>19500000</v>
      </c>
      <c r="H161" s="134" t="n">
        <v>-33900000</v>
      </c>
      <c r="I161" s="134" t="n">
        <v>-5000000</v>
      </c>
      <c r="J161" s="134" t="n">
        <v>21200000</v>
      </c>
      <c r="K161" s="134" t="n">
        <v>9300000</v>
      </c>
      <c r="L161" s="134" t="n">
        <v>-64600000</v>
      </c>
    </row>
    <row r="162" customFormat="false" ht="15" hidden="false" customHeight="false" outlineLevel="0" collapsed="false">
      <c r="B162" s="135" t="s">
        <v>221</v>
      </c>
      <c r="C162" s="133" t="s">
        <v>720</v>
      </c>
      <c r="D162" s="136" t="n">
        <v>28082700000</v>
      </c>
      <c r="E162" s="136" t="n">
        <v>-7961700000</v>
      </c>
      <c r="F162" s="136" t="n">
        <v>4498600000</v>
      </c>
      <c r="G162" s="136" t="n">
        <v>-12570500000</v>
      </c>
      <c r="H162" s="136" t="n">
        <v>-1613700000</v>
      </c>
      <c r="I162" s="136" t="n">
        <v>-744600000</v>
      </c>
      <c r="J162" s="136" t="n">
        <v>-311500000</v>
      </c>
      <c r="K162" s="136" t="n">
        <v>-5961900000</v>
      </c>
      <c r="L162" s="136" t="n">
        <v>9155100000</v>
      </c>
    </row>
    <row r="163" customFormat="false" ht="15" hidden="false" customHeight="false" outlineLevel="0" collapsed="false">
      <c r="B163" s="63" t="s">
        <v>222</v>
      </c>
    </row>
    <row r="164" customFormat="false" ht="15" hidden="false" customHeight="false" outlineLevel="0" collapsed="false">
      <c r="B164" s="132" t="s">
        <v>249</v>
      </c>
      <c r="C164" s="133" t="s">
        <v>1329</v>
      </c>
      <c r="D164" s="134" t="n">
        <v>85500000</v>
      </c>
      <c r="E164" s="134" t="n">
        <v>800000</v>
      </c>
      <c r="F164" s="134" t="n">
        <v>2855300000</v>
      </c>
      <c r="G164" s="134" t="n">
        <v>303800000</v>
      </c>
      <c r="H164" s="134" t="n">
        <v>0</v>
      </c>
      <c r="I164" s="134" t="n">
        <v>0</v>
      </c>
      <c r="J164" s="134" t="n">
        <v>0</v>
      </c>
      <c r="K164" s="134" t="n">
        <v>0</v>
      </c>
      <c r="L164" s="134" t="n">
        <v>0</v>
      </c>
    </row>
    <row r="165" customFormat="false" ht="15" hidden="false" customHeight="false" outlineLevel="0" collapsed="false">
      <c r="B165" s="132" t="s">
        <v>223</v>
      </c>
      <c r="C165" s="133" t="s">
        <v>721</v>
      </c>
      <c r="D165" s="134" t="n">
        <v>7200300000</v>
      </c>
      <c r="E165" s="134" t="n">
        <v>5049800000</v>
      </c>
      <c r="F165" s="134" t="n">
        <v>403300000</v>
      </c>
      <c r="G165" s="134" t="n">
        <v>0</v>
      </c>
      <c r="H165" s="134" t="n">
        <v>0</v>
      </c>
      <c r="I165" s="134" t="n">
        <v>0</v>
      </c>
      <c r="J165" s="134" t="n">
        <v>0</v>
      </c>
      <c r="K165" s="134" t="n">
        <v>0</v>
      </c>
      <c r="L165" s="134" t="n">
        <v>6413800000</v>
      </c>
    </row>
    <row r="166" customFormat="false" ht="15" hidden="false" customHeight="false" outlineLevel="0" collapsed="false">
      <c r="B166" s="132" t="s">
        <v>226</v>
      </c>
      <c r="C166" s="133" t="s">
        <v>724</v>
      </c>
      <c r="D166" s="134" t="n">
        <v>0</v>
      </c>
      <c r="E166" s="134" t="n">
        <v>0</v>
      </c>
      <c r="F166" s="134" t="n">
        <v>0</v>
      </c>
      <c r="G166" s="134" t="n">
        <v>0</v>
      </c>
      <c r="H166" s="134" t="n">
        <v>0</v>
      </c>
      <c r="I166" s="134" t="n">
        <v>0</v>
      </c>
      <c r="J166" s="134" t="n">
        <v>0</v>
      </c>
      <c r="K166" s="134" t="n">
        <v>0</v>
      </c>
      <c r="L166" s="134" t="n">
        <v>350000000</v>
      </c>
    </row>
    <row r="167" customFormat="false" ht="15" hidden="false" customHeight="false" outlineLevel="0" collapsed="false">
      <c r="B167" s="132" t="s">
        <v>227</v>
      </c>
      <c r="C167" s="133" t="s">
        <v>725</v>
      </c>
      <c r="D167" s="134" t="n">
        <v>13600000</v>
      </c>
      <c r="E167" s="134" t="n">
        <v>612300000</v>
      </c>
      <c r="F167" s="134" t="n">
        <v>338300000</v>
      </c>
      <c r="G167" s="134" t="n">
        <v>3500000</v>
      </c>
      <c r="H167" s="134" t="n">
        <v>17700000</v>
      </c>
      <c r="I167" s="134" t="n">
        <v>6300000</v>
      </c>
      <c r="J167" s="134" t="n">
        <v>855200000</v>
      </c>
      <c r="K167" s="134" t="n">
        <v>9800000</v>
      </c>
      <c r="L167" s="134" t="n">
        <v>4500000</v>
      </c>
    </row>
    <row r="168" customFormat="false" ht="15" hidden="false" customHeight="false" outlineLevel="0" collapsed="false">
      <c r="B168" s="132" t="s">
        <v>228</v>
      </c>
      <c r="C168" s="133" t="s">
        <v>726</v>
      </c>
      <c r="D168" s="134" t="n">
        <v>3573600000</v>
      </c>
      <c r="E168" s="134" t="n">
        <v>2922000000</v>
      </c>
      <c r="F168" s="134" t="n">
        <v>2304700000</v>
      </c>
      <c r="G168" s="134" t="n">
        <v>975900000</v>
      </c>
      <c r="H168" s="134" t="n">
        <v>387300000</v>
      </c>
      <c r="I168" s="134" t="n">
        <v>521600000</v>
      </c>
      <c r="J168" s="134" t="n">
        <v>819800000</v>
      </c>
      <c r="K168" s="134" t="n">
        <v>1836500000</v>
      </c>
      <c r="L168" s="134" t="n">
        <v>3284600000</v>
      </c>
    </row>
    <row r="169" customFormat="false" ht="15" hidden="false" customHeight="false" outlineLevel="0" collapsed="false">
      <c r="B169" s="132" t="s">
        <v>250</v>
      </c>
      <c r="C169" s="133" t="s">
        <v>1330</v>
      </c>
      <c r="D169" s="134" t="n">
        <v>0</v>
      </c>
      <c r="E169" s="134" t="n">
        <v>0</v>
      </c>
      <c r="F169" s="134" t="n">
        <v>0</v>
      </c>
      <c r="G169" s="134" t="n">
        <v>0</v>
      </c>
      <c r="H169" s="134" t="n">
        <v>0</v>
      </c>
      <c r="I169" s="134" t="n">
        <v>0</v>
      </c>
      <c r="J169" s="134" t="n">
        <v>642300000</v>
      </c>
      <c r="K169" s="134" t="n">
        <v>445300000</v>
      </c>
      <c r="L169" s="134" t="n">
        <v>0</v>
      </c>
    </row>
    <row r="170" customFormat="false" ht="15" hidden="false" customHeight="false" outlineLevel="0" collapsed="false">
      <c r="B170" s="132" t="s">
        <v>251</v>
      </c>
      <c r="C170" s="133" t="s">
        <v>1331</v>
      </c>
      <c r="D170" s="134" t="n">
        <v>10592600000</v>
      </c>
      <c r="E170" s="134" t="n">
        <v>0</v>
      </c>
      <c r="F170" s="134" t="n">
        <v>0</v>
      </c>
      <c r="G170" s="134" t="n">
        <v>0</v>
      </c>
      <c r="H170" s="134" t="n">
        <v>0</v>
      </c>
      <c r="I170" s="134" t="n">
        <v>0</v>
      </c>
      <c r="J170" s="134" t="n">
        <v>0</v>
      </c>
      <c r="K170" s="134" t="n">
        <v>0</v>
      </c>
      <c r="L170" s="134" t="n">
        <v>575500000</v>
      </c>
    </row>
    <row r="171" customFormat="false" ht="15" hidden="false" customHeight="false" outlineLevel="0" collapsed="false">
      <c r="B171" s="132" t="s">
        <v>252</v>
      </c>
      <c r="C171" s="133" t="s">
        <v>1332</v>
      </c>
      <c r="D171" s="134" t="n">
        <v>0</v>
      </c>
      <c r="E171" s="134" t="n">
        <v>2378400000</v>
      </c>
      <c r="F171" s="134" t="n">
        <v>4002800000</v>
      </c>
      <c r="G171" s="134" t="n">
        <v>-35152900000</v>
      </c>
      <c r="H171" s="134" t="n">
        <v>4880600000</v>
      </c>
      <c r="I171" s="134" t="n">
        <v>11709500000</v>
      </c>
      <c r="J171" s="134" t="n">
        <v>2848400000</v>
      </c>
      <c r="K171" s="134" t="n">
        <v>4403200000</v>
      </c>
      <c r="L171" s="134" t="n">
        <v>2919000000</v>
      </c>
    </row>
    <row r="172" customFormat="false" ht="15" hidden="false" customHeight="false" outlineLevel="0" collapsed="false">
      <c r="B172" s="132" t="s">
        <v>231</v>
      </c>
      <c r="C172" s="133" t="s">
        <v>729</v>
      </c>
      <c r="D172" s="134" t="n">
        <v>4650500000</v>
      </c>
      <c r="E172" s="134" t="n">
        <v>195500000</v>
      </c>
      <c r="F172" s="134" t="n">
        <v>0</v>
      </c>
      <c r="G172" s="134" t="n">
        <v>0</v>
      </c>
      <c r="H172" s="134" t="n">
        <v>0</v>
      </c>
      <c r="I172" s="134" t="n">
        <v>0</v>
      </c>
      <c r="J172" s="134" t="n">
        <v>0</v>
      </c>
      <c r="K172" s="134" t="n">
        <v>0</v>
      </c>
      <c r="L172" s="134" t="n">
        <v>647900000</v>
      </c>
    </row>
    <row r="173" customFormat="false" ht="15" hidden="false" customHeight="false" outlineLevel="0" collapsed="false">
      <c r="B173" s="132" t="s">
        <v>232</v>
      </c>
      <c r="C173" s="133" t="s">
        <v>730</v>
      </c>
      <c r="D173" s="134" t="n">
        <v>-1897000000</v>
      </c>
      <c r="E173" s="134" t="n">
        <v>5104200000</v>
      </c>
      <c r="F173" s="134" t="n">
        <v>850500000</v>
      </c>
      <c r="G173" s="134" t="n">
        <v>793300000</v>
      </c>
      <c r="H173" s="134" t="n">
        <v>664800000</v>
      </c>
      <c r="I173" s="134" t="n">
        <v>602900000</v>
      </c>
      <c r="J173" s="134" t="n">
        <v>550600000</v>
      </c>
      <c r="K173" s="134" t="n">
        <v>743800000</v>
      </c>
      <c r="L173" s="134" t="n">
        <v>233500000</v>
      </c>
    </row>
    <row r="174" customFormat="false" ht="15" hidden="false" customHeight="false" outlineLevel="0" collapsed="false">
      <c r="B174" s="135" t="s">
        <v>233</v>
      </c>
      <c r="C174" s="133" t="s">
        <v>731</v>
      </c>
      <c r="D174" s="136" t="n">
        <v>-18513900000</v>
      </c>
      <c r="E174" s="136" t="n">
        <v>319400000</v>
      </c>
      <c r="F174" s="136" t="n">
        <v>5338900000</v>
      </c>
      <c r="G174" s="136" t="n">
        <v>-35028200000</v>
      </c>
      <c r="H174" s="136" t="n">
        <v>5175800000</v>
      </c>
      <c r="I174" s="136" t="n">
        <v>11797100000</v>
      </c>
      <c r="J174" s="136" t="n">
        <v>4076700000</v>
      </c>
      <c r="K174" s="136" t="n">
        <v>3765600000</v>
      </c>
      <c r="L174" s="136" t="n">
        <v>-6119000000</v>
      </c>
    </row>
    <row r="175" customFormat="false" ht="15" hidden="false" customHeight="false" outlineLevel="0" collapsed="false">
      <c r="B175" s="63" t="s">
        <v>234</v>
      </c>
    </row>
    <row r="176" customFormat="false" ht="15" hidden="false" customHeight="false" outlineLevel="0" collapsed="false">
      <c r="B176" s="132" t="s">
        <v>235</v>
      </c>
      <c r="C176" s="133" t="s">
        <v>732</v>
      </c>
      <c r="D176" s="134" t="n">
        <v>0</v>
      </c>
      <c r="E176" s="134" t="n">
        <v>0</v>
      </c>
      <c r="F176" s="134" t="n">
        <v>0</v>
      </c>
      <c r="G176" s="134" t="n">
        <v>0</v>
      </c>
      <c r="H176" s="134" t="n">
        <v>3421600000</v>
      </c>
      <c r="I176" s="134" t="n">
        <v>0</v>
      </c>
      <c r="J176" s="134" t="n">
        <v>10796700000</v>
      </c>
      <c r="K176" s="134" t="n">
        <v>20652100000</v>
      </c>
      <c r="L176" s="134" t="n">
        <v>221600000</v>
      </c>
    </row>
    <row r="177" customFormat="false" ht="15" hidden="false" customHeight="false" outlineLevel="0" collapsed="false">
      <c r="B177" s="132" t="s">
        <v>236</v>
      </c>
      <c r="C177" s="133" t="s">
        <v>733</v>
      </c>
      <c r="D177" s="134" t="n">
        <v>0</v>
      </c>
      <c r="E177" s="134" t="n">
        <v>0</v>
      </c>
      <c r="F177" s="134" t="n">
        <v>0</v>
      </c>
      <c r="G177" s="134" t="n">
        <v>0</v>
      </c>
      <c r="H177" s="134" t="n">
        <v>499800000</v>
      </c>
      <c r="I177" s="134" t="n">
        <v>0</v>
      </c>
      <c r="J177" s="134" t="n">
        <v>0</v>
      </c>
      <c r="K177" s="134" t="n">
        <v>0</v>
      </c>
      <c r="L177" s="134" t="n">
        <v>0</v>
      </c>
    </row>
    <row r="178" customFormat="false" ht="15" hidden="false" customHeight="false" outlineLevel="0" collapsed="false">
      <c r="B178" s="132" t="s">
        <v>253</v>
      </c>
      <c r="C178" s="133" t="s">
        <v>1333</v>
      </c>
      <c r="D178" s="134" t="n">
        <v>0</v>
      </c>
      <c r="E178" s="134" t="n">
        <v>0</v>
      </c>
      <c r="F178" s="134" t="n">
        <v>0</v>
      </c>
      <c r="G178" s="134" t="n">
        <v>0</v>
      </c>
      <c r="H178" s="134" t="n">
        <v>0</v>
      </c>
      <c r="I178" s="134" t="n">
        <v>0</v>
      </c>
      <c r="J178" s="134" t="n">
        <v>0</v>
      </c>
      <c r="K178" s="134" t="n">
        <v>0</v>
      </c>
      <c r="L178" s="134" t="n">
        <v>37600000</v>
      </c>
    </row>
    <row r="179" customFormat="false" ht="15" hidden="false" customHeight="false" outlineLevel="0" collapsed="false">
      <c r="B179" s="132" t="s">
        <v>238</v>
      </c>
      <c r="C179" s="133" t="s">
        <v>735</v>
      </c>
      <c r="D179" s="134" t="n">
        <v>1994200000</v>
      </c>
      <c r="E179" s="134" t="n">
        <v>17910400000</v>
      </c>
      <c r="F179" s="134" t="n">
        <v>-5087600000</v>
      </c>
      <c r="G179" s="134" t="n">
        <v>51258700000</v>
      </c>
      <c r="H179" s="134" t="n">
        <v>0</v>
      </c>
      <c r="I179" s="134" t="n">
        <v>0</v>
      </c>
      <c r="J179" s="134" t="n">
        <v>29609600000</v>
      </c>
      <c r="K179" s="134" t="n">
        <v>0</v>
      </c>
      <c r="L179" s="134" t="n">
        <v>4112100000</v>
      </c>
    </row>
    <row r="180" customFormat="false" ht="15" hidden="false" customHeight="false" outlineLevel="0" collapsed="false">
      <c r="B180" s="132" t="s">
        <v>239</v>
      </c>
      <c r="C180" s="133" t="s">
        <v>736</v>
      </c>
      <c r="D180" s="134" t="n">
        <v>4375600000</v>
      </c>
      <c r="E180" s="134" t="n">
        <v>568300000</v>
      </c>
      <c r="F180" s="134" t="n">
        <v>1689800000</v>
      </c>
      <c r="G180" s="134" t="n">
        <v>262200000</v>
      </c>
      <c r="H180" s="134" t="n">
        <v>2222500000</v>
      </c>
      <c r="I180" s="134" t="n">
        <v>5764000000</v>
      </c>
      <c r="J180" s="134" t="n">
        <v>41353300000</v>
      </c>
      <c r="K180" s="134" t="n">
        <v>17773800000</v>
      </c>
      <c r="L180" s="134" t="n">
        <v>0</v>
      </c>
    </row>
    <row r="181" customFormat="false" ht="15" hidden="false" customHeight="false" outlineLevel="0" collapsed="false">
      <c r="B181" s="132" t="s">
        <v>240</v>
      </c>
      <c r="C181" s="133" t="s">
        <v>737</v>
      </c>
      <c r="D181" s="134" t="n">
        <v>0</v>
      </c>
      <c r="E181" s="134" t="n">
        <v>0</v>
      </c>
      <c r="F181" s="134" t="n">
        <v>0</v>
      </c>
      <c r="G181" s="134" t="n">
        <v>0</v>
      </c>
      <c r="H181" s="134" t="n">
        <v>0</v>
      </c>
      <c r="I181" s="134" t="n">
        <v>0</v>
      </c>
      <c r="J181" s="134" t="n">
        <v>0</v>
      </c>
      <c r="K181" s="134" t="n">
        <v>128100000</v>
      </c>
      <c r="L181" s="134" t="n">
        <v>258000000</v>
      </c>
    </row>
    <row r="182" customFormat="false" ht="15" hidden="false" customHeight="false" outlineLevel="0" collapsed="false">
      <c r="B182" s="132" t="s">
        <v>241</v>
      </c>
      <c r="C182" s="133" t="s">
        <v>738</v>
      </c>
      <c r="D182" s="134" t="n">
        <v>6595700000</v>
      </c>
      <c r="E182" s="134" t="n">
        <v>6766600000</v>
      </c>
      <c r="F182" s="134" t="n">
        <v>7365100000</v>
      </c>
      <c r="G182" s="134" t="n">
        <v>3197000000</v>
      </c>
      <c r="H182" s="134" t="n">
        <v>3687300000</v>
      </c>
      <c r="I182" s="134" t="n">
        <v>3124800000</v>
      </c>
      <c r="J182" s="134" t="n">
        <v>4012100000</v>
      </c>
      <c r="K182" s="134" t="n">
        <v>899500000</v>
      </c>
      <c r="L182" s="134" t="n">
        <v>503500000</v>
      </c>
    </row>
    <row r="183" customFormat="false" ht="15" hidden="false" customHeight="false" outlineLevel="0" collapsed="false">
      <c r="B183" s="132" t="s">
        <v>232</v>
      </c>
      <c r="C183" s="133" t="s">
        <v>739</v>
      </c>
      <c r="D183" s="134" t="n">
        <v>0</v>
      </c>
      <c r="E183" s="134" t="n">
        <v>0</v>
      </c>
      <c r="F183" s="134" t="n">
        <v>0</v>
      </c>
      <c r="G183" s="134" t="n">
        <v>0</v>
      </c>
      <c r="H183" s="134" t="n">
        <v>0</v>
      </c>
      <c r="I183" s="134" t="n">
        <v>0</v>
      </c>
      <c r="J183" s="134" t="n">
        <v>0</v>
      </c>
      <c r="K183" s="134" t="n">
        <v>70600000</v>
      </c>
      <c r="L183" s="134" t="n">
        <v>-299500000</v>
      </c>
    </row>
    <row r="184" customFormat="false" ht="15" hidden="false" customHeight="false" outlineLevel="0" collapsed="false">
      <c r="B184" s="135" t="s">
        <v>242</v>
      </c>
      <c r="C184" s="133" t="s">
        <v>740</v>
      </c>
      <c r="D184" s="136" t="n">
        <v>-8977100000</v>
      </c>
      <c r="E184" s="136" t="n">
        <v>10575500000</v>
      </c>
      <c r="F184" s="136" t="n">
        <v>-14142500000</v>
      </c>
      <c r="G184" s="136" t="n">
        <v>47799500000</v>
      </c>
      <c r="H184" s="136" t="n">
        <v>-1988400000</v>
      </c>
      <c r="I184" s="136" t="n">
        <v>-8888800000</v>
      </c>
      <c r="J184" s="136" t="n">
        <v>-4959100000</v>
      </c>
      <c r="K184" s="136" t="n">
        <v>1921300000</v>
      </c>
      <c r="L184" s="136" t="n">
        <v>3310300000</v>
      </c>
    </row>
    <row r="185" customFormat="false" ht="15" hidden="false" customHeight="false" outlineLevel="0" collapsed="false">
      <c r="B185" s="32" t="s">
        <v>243</v>
      </c>
      <c r="C185" s="133" t="s">
        <v>741</v>
      </c>
      <c r="D185" s="136" t="n">
        <v>591700000</v>
      </c>
      <c r="E185" s="136" t="n">
        <v>2933200000</v>
      </c>
      <c r="F185" s="136" t="n">
        <v>-4305000000</v>
      </c>
      <c r="G185" s="136" t="n">
        <v>200800000</v>
      </c>
      <c r="H185" s="136" t="n">
        <v>1573700000</v>
      </c>
      <c r="I185" s="136" t="n">
        <v>2163700000</v>
      </c>
      <c r="J185" s="136" t="n">
        <v>-1193900000</v>
      </c>
      <c r="K185" s="136" t="n">
        <v>-275000000</v>
      </c>
      <c r="L185" s="136" t="n">
        <v>6346400000</v>
      </c>
    </row>
    <row r="186" customFormat="false" ht="15" hidden="false" customHeight="false" outlineLevel="0" collapsed="false">
      <c r="B186" s="32" t="s">
        <v>245</v>
      </c>
      <c r="C186" s="133" t="s">
        <v>744</v>
      </c>
      <c r="D186" s="136" t="n">
        <v>591700000</v>
      </c>
      <c r="E186" s="136" t="n">
        <v>2933200000</v>
      </c>
      <c r="F186" s="136" t="n">
        <v>-4305000000</v>
      </c>
      <c r="G186" s="136" t="n">
        <v>200800000</v>
      </c>
      <c r="H186" s="136" t="n">
        <v>1573700000</v>
      </c>
      <c r="I186" s="136" t="n">
        <v>2163700000</v>
      </c>
      <c r="J186" s="136" t="n">
        <v>-1193900000</v>
      </c>
      <c r="K186" s="136" t="n">
        <v>-275000000</v>
      </c>
      <c r="L186" s="136" t="n">
        <v>6346400000</v>
      </c>
    </row>
    <row r="189" customFormat="false" ht="19.7" hidden="false" customHeight="false" outlineLevel="0" collapsed="false">
      <c r="A189" s="0" t="s">
        <v>26</v>
      </c>
      <c r="B189" s="148" t="s">
        <v>745</v>
      </c>
    </row>
    <row r="191" customFormat="false" ht="15" hidden="false" customHeight="false" outlineLevel="0" collapsed="false">
      <c r="A191" s="0" t="s">
        <v>26</v>
      </c>
      <c r="B191" s="63" t="s">
        <v>746</v>
      </c>
    </row>
    <row r="193" customFormat="false" ht="15" hidden="false" customHeight="false" outlineLevel="0" collapsed="false">
      <c r="C193" s="131" t="s">
        <v>568</v>
      </c>
      <c r="D193" s="13" t="s">
        <v>29</v>
      </c>
      <c r="E193" s="13" t="s">
        <v>30</v>
      </c>
      <c r="F193" s="13" t="s">
        <v>31</v>
      </c>
      <c r="G193" s="13" t="s">
        <v>32</v>
      </c>
      <c r="H193" s="13" t="s">
        <v>33</v>
      </c>
      <c r="I193" s="13" t="s">
        <v>34</v>
      </c>
      <c r="J193" s="13" t="s">
        <v>35</v>
      </c>
      <c r="K193" s="13" t="s">
        <v>36</v>
      </c>
      <c r="L193" s="13" t="s">
        <v>37</v>
      </c>
    </row>
    <row r="194" customFormat="false" ht="15" hidden="false" customHeight="false" outlineLevel="0" collapsed="false">
      <c r="B194" s="63" t="s">
        <v>747</v>
      </c>
    </row>
    <row r="195" customFormat="false" ht="15" hidden="false" customHeight="false" outlineLevel="0" collapsed="false">
      <c r="B195" s="137" t="s">
        <v>748</v>
      </c>
    </row>
    <row r="196" customFormat="false" ht="15" hidden="false" customHeight="false" outlineLevel="0" collapsed="false">
      <c r="B196" s="139" t="s">
        <v>749</v>
      </c>
    </row>
    <row r="197" customFormat="false" ht="15" hidden="false" customHeight="false" outlineLevel="0" collapsed="false">
      <c r="B197" s="140" t="s">
        <v>750</v>
      </c>
      <c r="C197" s="133" t="s">
        <v>751</v>
      </c>
      <c r="D197" s="134" t="n">
        <v>0</v>
      </c>
      <c r="E197" s="134" t="n">
        <v>0</v>
      </c>
      <c r="F197" s="134" t="n">
        <v>0</v>
      </c>
      <c r="G197" s="134" t="n">
        <v>-1370300000</v>
      </c>
      <c r="H197" s="134" t="n">
        <v>0</v>
      </c>
      <c r="I197" s="134" t="n">
        <v>0</v>
      </c>
      <c r="J197" s="134" t="n">
        <v>0</v>
      </c>
      <c r="K197" s="134" t="n">
        <v>0</v>
      </c>
      <c r="L197" s="134" t="n">
        <v>0</v>
      </c>
    </row>
    <row r="198" customFormat="false" ht="15" hidden="false" customHeight="false" outlineLevel="0" collapsed="false">
      <c r="B198" s="143" t="s">
        <v>754</v>
      </c>
      <c r="C198" s="133" t="s">
        <v>755</v>
      </c>
      <c r="D198" s="136" t="n">
        <v>0</v>
      </c>
      <c r="E198" s="136" t="n">
        <v>0</v>
      </c>
      <c r="F198" s="136" t="n">
        <v>0</v>
      </c>
      <c r="G198" s="136" t="n">
        <v>-1370300000</v>
      </c>
      <c r="H198" s="136" t="n">
        <v>0</v>
      </c>
      <c r="I198" s="136" t="n">
        <v>0</v>
      </c>
      <c r="J198" s="136" t="n">
        <v>0</v>
      </c>
      <c r="K198" s="136" t="n">
        <v>0</v>
      </c>
      <c r="L198" s="136" t="n">
        <v>0</v>
      </c>
    </row>
    <row r="199" customFormat="false" ht="15" hidden="false" customHeight="false" outlineLevel="0" collapsed="false">
      <c r="B199" s="137" t="s">
        <v>1334</v>
      </c>
    </row>
    <row r="200" customFormat="false" ht="15" hidden="false" customHeight="false" outlineLevel="0" collapsed="false">
      <c r="B200" s="138" t="s">
        <v>1325</v>
      </c>
      <c r="C200" s="133" t="s">
        <v>1326</v>
      </c>
      <c r="D200" s="134" t="n">
        <v>-99400000</v>
      </c>
      <c r="E200" s="134" t="n">
        <v>0</v>
      </c>
      <c r="F200" s="134" t="n">
        <v>0</v>
      </c>
      <c r="G200" s="134" t="n">
        <v>0</v>
      </c>
      <c r="H200" s="134" t="n">
        <v>0</v>
      </c>
      <c r="I200" s="134" t="n">
        <v>0</v>
      </c>
      <c r="J200" s="134" t="n">
        <v>0</v>
      </c>
      <c r="K200" s="134" t="n">
        <v>0</v>
      </c>
      <c r="L200" s="134" t="n">
        <v>0</v>
      </c>
    </row>
    <row r="201" customFormat="false" ht="15" hidden="false" customHeight="false" outlineLevel="0" collapsed="false">
      <c r="B201" s="137" t="s">
        <v>761</v>
      </c>
    </row>
    <row r="202" customFormat="false" ht="15" hidden="false" customHeight="false" outlineLevel="0" collapsed="false">
      <c r="B202" s="138" t="s">
        <v>762</v>
      </c>
      <c r="C202" s="133" t="s">
        <v>763</v>
      </c>
      <c r="D202" s="134" t="n">
        <v>-8235700000</v>
      </c>
      <c r="E202" s="134" t="n">
        <v>3853000000</v>
      </c>
      <c r="F202" s="134" t="n">
        <v>1960000000</v>
      </c>
      <c r="G202" s="134" t="n">
        <v>1083100000</v>
      </c>
      <c r="H202" s="134" t="n">
        <v>630100000</v>
      </c>
      <c r="I202" s="134" t="n">
        <v>96700000</v>
      </c>
      <c r="J202" s="134" t="n">
        <v>775300000</v>
      </c>
      <c r="K202" s="134" t="n">
        <v>-452900000</v>
      </c>
      <c r="L202" s="134" t="n">
        <v>-2691700000</v>
      </c>
    </row>
    <row r="203" customFormat="false" ht="15" hidden="false" customHeight="false" outlineLevel="0" collapsed="false">
      <c r="B203" s="145" t="s">
        <v>119</v>
      </c>
      <c r="C203" s="133" t="s">
        <v>575</v>
      </c>
      <c r="D203" s="136" t="n">
        <v>-8235700000</v>
      </c>
      <c r="E203" s="136" t="n">
        <v>3853000000</v>
      </c>
      <c r="F203" s="136" t="n">
        <v>1960000000</v>
      </c>
      <c r="G203" s="136" t="n">
        <v>1083100000</v>
      </c>
      <c r="H203" s="136" t="n">
        <v>630100000</v>
      </c>
      <c r="I203" s="136" t="n">
        <v>96700000</v>
      </c>
      <c r="J203" s="136" t="n">
        <v>775300000</v>
      </c>
      <c r="K203" s="136" t="n">
        <v>-452900000</v>
      </c>
      <c r="L203" s="136" t="n">
        <v>-2691700000</v>
      </c>
    </row>
    <row r="204" customFormat="false" ht="15" hidden="false" customHeight="false" outlineLevel="0" collapsed="false">
      <c r="B204" s="137" t="s">
        <v>764</v>
      </c>
    </row>
    <row r="205" customFormat="false" ht="15" hidden="false" customHeight="false" outlineLevel="0" collapsed="false">
      <c r="B205" s="139" t="s">
        <v>765</v>
      </c>
    </row>
    <row r="206" customFormat="false" ht="15" hidden="false" customHeight="false" outlineLevel="0" collapsed="false">
      <c r="B206" s="140" t="s">
        <v>127</v>
      </c>
      <c r="C206" s="133" t="s">
        <v>586</v>
      </c>
      <c r="D206" s="134" t="n">
        <v>-5357800000</v>
      </c>
      <c r="E206" s="134" t="n">
        <v>-5460000000</v>
      </c>
      <c r="F206" s="134" t="n">
        <v>-62813800000</v>
      </c>
      <c r="G206" s="134" t="n">
        <v>-7920500000</v>
      </c>
      <c r="H206" s="134" t="n">
        <v>8015900000</v>
      </c>
      <c r="I206" s="134" t="n">
        <v>-828700000</v>
      </c>
      <c r="J206" s="134" t="n">
        <v>25420800000</v>
      </c>
      <c r="K206" s="134" t="n">
        <v>251400000</v>
      </c>
      <c r="L206" s="134" t="n">
        <v>1028600000</v>
      </c>
    </row>
    <row r="207" customFormat="false" ht="15" hidden="false" customHeight="false" outlineLevel="0" collapsed="false">
      <c r="B207" s="143" t="s">
        <v>766</v>
      </c>
      <c r="C207" s="133" t="s">
        <v>767</v>
      </c>
      <c r="D207" s="136" t="n">
        <v>-5357800000</v>
      </c>
      <c r="E207" s="136" t="n">
        <v>-5460000000</v>
      </c>
      <c r="F207" s="136" t="n">
        <v>-62813800000</v>
      </c>
      <c r="G207" s="136" t="n">
        <v>-7920500000</v>
      </c>
      <c r="H207" s="136" t="n">
        <v>8015900000</v>
      </c>
      <c r="I207" s="136" t="n">
        <v>-828700000</v>
      </c>
      <c r="J207" s="136" t="n">
        <v>25420800000</v>
      </c>
      <c r="K207" s="136" t="n">
        <v>251400000</v>
      </c>
      <c r="L207" s="136" t="n">
        <v>1028600000</v>
      </c>
    </row>
    <row r="208" customFormat="false" ht="15" hidden="false" customHeight="false" outlineLevel="0" collapsed="false">
      <c r="B208" s="137" t="s">
        <v>768</v>
      </c>
    </row>
    <row r="209" customFormat="false" ht="15" hidden="false" customHeight="false" outlineLevel="0" collapsed="false">
      <c r="B209" s="139" t="s">
        <v>769</v>
      </c>
    </row>
    <row r="210" customFormat="false" ht="15" hidden="false" customHeight="false" outlineLevel="0" collapsed="false">
      <c r="B210" s="143" t="s">
        <v>770</v>
      </c>
      <c r="C210" s="133" t="s">
        <v>771</v>
      </c>
      <c r="D210" s="136" t="n">
        <v>90949400000</v>
      </c>
      <c r="E210" s="136" t="n">
        <v>60248800000</v>
      </c>
      <c r="F210" s="136" t="n">
        <v>23386900000</v>
      </c>
      <c r="G210" s="136" t="n">
        <v>1509300000</v>
      </c>
      <c r="H210" s="136" t="n">
        <v>10143900000</v>
      </c>
      <c r="I210" s="136" t="n">
        <v>37942100000</v>
      </c>
      <c r="J210" s="136" t="n">
        <v>33946300000</v>
      </c>
      <c r="K210" s="136" t="n">
        <v>36509800000</v>
      </c>
      <c r="L210" s="136" t="n">
        <v>80696900000</v>
      </c>
    </row>
    <row r="211" customFormat="false" ht="15" hidden="false" customHeight="false" outlineLevel="0" collapsed="false">
      <c r="B211" s="139" t="s">
        <v>772</v>
      </c>
    </row>
    <row r="212" customFormat="false" ht="15" hidden="false" customHeight="false" outlineLevel="0" collapsed="false">
      <c r="B212" s="143" t="s">
        <v>773</v>
      </c>
      <c r="C212" s="133" t="s">
        <v>774</v>
      </c>
      <c r="D212" s="136" t="n">
        <v>1342700000</v>
      </c>
      <c r="E212" s="136" t="n">
        <v>1177400000</v>
      </c>
      <c r="F212" s="136" t="n">
        <v>1323900000</v>
      </c>
      <c r="G212" s="136" t="n">
        <v>1493600000</v>
      </c>
      <c r="H212" s="136" t="n">
        <v>1547500000</v>
      </c>
      <c r="I212" s="136" t="n">
        <v>1812000000</v>
      </c>
      <c r="J212" s="136" t="n">
        <v>1435100000</v>
      </c>
      <c r="K212" s="136" t="n">
        <v>1482000000</v>
      </c>
      <c r="L212" s="136" t="n">
        <v>20919100000</v>
      </c>
    </row>
    <row r="217" customFormat="false" ht="15" hidden="false" customHeight="false" outlineLevel="0" collapsed="false">
      <c r="A217" s="0" t="s">
        <v>26</v>
      </c>
      <c r="B217" s="63" t="s">
        <v>775</v>
      </c>
    </row>
    <row r="219" customFormat="false" ht="15" hidden="false" customHeight="false" outlineLevel="0" collapsed="false">
      <c r="C219" s="131" t="s">
        <v>568</v>
      </c>
      <c r="D219" s="13" t="s">
        <v>29</v>
      </c>
      <c r="E219" s="13" t="s">
        <v>30</v>
      </c>
      <c r="F219" s="13" t="s">
        <v>31</v>
      </c>
      <c r="G219" s="13" t="s">
        <v>32</v>
      </c>
      <c r="H219" s="13" t="s">
        <v>33</v>
      </c>
      <c r="I219" s="13" t="s">
        <v>34</v>
      </c>
      <c r="J219" s="13" t="s">
        <v>35</v>
      </c>
      <c r="K219" s="13" t="s">
        <v>36</v>
      </c>
      <c r="L219" s="13" t="s">
        <v>37</v>
      </c>
    </row>
    <row r="220" customFormat="false" ht="15" hidden="false" customHeight="false" outlineLevel="0" collapsed="false">
      <c r="B220" s="137" t="s">
        <v>637</v>
      </c>
    </row>
    <row r="221" customFormat="false" ht="15" hidden="false" customHeight="false" outlineLevel="0" collapsed="false">
      <c r="B221" s="139" t="s">
        <v>638</v>
      </c>
    </row>
    <row r="222" customFormat="false" ht="15" hidden="false" customHeight="false" outlineLevel="0" collapsed="false">
      <c r="B222" s="141" t="s">
        <v>626</v>
      </c>
    </row>
    <row r="223" customFormat="false" ht="15" hidden="false" customHeight="false" outlineLevel="0" collapsed="false">
      <c r="B223" s="142" t="s">
        <v>627</v>
      </c>
      <c r="C223" s="133" t="s">
        <v>628</v>
      </c>
      <c r="D223" s="134" t="n">
        <v>0.71</v>
      </c>
      <c r="E223" s="134" t="n">
        <v>-2.2</v>
      </c>
      <c r="F223" s="134" t="n">
        <v>-13.94</v>
      </c>
      <c r="G223" s="134" t="n">
        <v>-6.16</v>
      </c>
      <c r="H223" s="134" t="n">
        <v>-0.53</v>
      </c>
      <c r="I223" s="134" t="n">
        <v>-1.02</v>
      </c>
      <c r="J223" s="134" t="n">
        <v>2.01</v>
      </c>
      <c r="K223" s="134" t="n">
        <v>0.07</v>
      </c>
      <c r="L223" s="134" t="n">
        <v>1.54</v>
      </c>
    </row>
    <row r="224" customFormat="false" ht="15" hidden="false" customHeight="false" outlineLevel="0" collapsed="false">
      <c r="B224" s="144" t="s">
        <v>629</v>
      </c>
      <c r="C224" s="133" t="s">
        <v>630</v>
      </c>
      <c r="D224" s="136" t="n">
        <v>0.71</v>
      </c>
      <c r="E224" s="136" t="n">
        <v>-2.2</v>
      </c>
      <c r="F224" s="136" t="n">
        <v>-13.94</v>
      </c>
      <c r="G224" s="136" t="n">
        <v>-6.16</v>
      </c>
      <c r="H224" s="136" t="n">
        <v>-0.53</v>
      </c>
      <c r="I224" s="136" t="n">
        <v>-1.02</v>
      </c>
      <c r="J224" s="136" t="n">
        <v>2.01</v>
      </c>
      <c r="K224" s="136" t="n">
        <v>0.07</v>
      </c>
      <c r="L224" s="136" t="n">
        <v>1.54</v>
      </c>
    </row>
    <row r="225" customFormat="false" ht="15" hidden="false" customHeight="false" outlineLevel="0" collapsed="false">
      <c r="B225" s="141" t="s">
        <v>631</v>
      </c>
    </row>
    <row r="226" customFormat="false" ht="15" hidden="false" customHeight="false" outlineLevel="0" collapsed="false">
      <c r="B226" s="142" t="s">
        <v>632</v>
      </c>
      <c r="C226" s="133" t="s">
        <v>633</v>
      </c>
      <c r="D226" s="134" t="n">
        <v>0.71</v>
      </c>
      <c r="E226" s="134" t="n">
        <v>-2.2</v>
      </c>
      <c r="F226" s="134" t="n">
        <v>-13.94</v>
      </c>
      <c r="G226" s="134" t="n">
        <v>-6.16</v>
      </c>
      <c r="H226" s="134" t="n">
        <v>-0.53</v>
      </c>
      <c r="I226" s="134" t="n">
        <v>-1.02</v>
      </c>
      <c r="J226" s="134" t="n">
        <v>2.01</v>
      </c>
      <c r="K226" s="134" t="n">
        <v>0.07</v>
      </c>
      <c r="L226" s="134" t="n">
        <v>1.54</v>
      </c>
    </row>
    <row r="227" customFormat="false" ht="15" hidden="false" customHeight="false" outlineLevel="0" collapsed="false">
      <c r="B227" s="144" t="s">
        <v>634</v>
      </c>
      <c r="C227" s="133" t="s">
        <v>635</v>
      </c>
      <c r="D227" s="136" t="n">
        <v>0.71</v>
      </c>
      <c r="E227" s="136" t="n">
        <v>-2.2</v>
      </c>
      <c r="F227" s="136" t="n">
        <v>-13.94</v>
      </c>
      <c r="G227" s="136" t="n">
        <v>-6.16</v>
      </c>
      <c r="H227" s="136" t="n">
        <v>-0.53</v>
      </c>
      <c r="I227" s="136" t="n">
        <v>-1.02</v>
      </c>
      <c r="J227" s="136" t="n">
        <v>2.01</v>
      </c>
      <c r="K227" s="136" t="n">
        <v>0.07</v>
      </c>
      <c r="L227" s="136" t="n">
        <v>1.54</v>
      </c>
    </row>
    <row r="228" customFormat="false" ht="15" hidden="false" customHeight="false" outlineLevel="0" collapsed="false">
      <c r="B228" s="141" t="s">
        <v>776</v>
      </c>
    </row>
    <row r="229" customFormat="false" ht="15" hidden="false" customHeight="false" outlineLevel="0" collapsed="false">
      <c r="B229" s="142" t="s">
        <v>777</v>
      </c>
      <c r="C229" s="133" t="s">
        <v>778</v>
      </c>
      <c r="D229" s="134" t="n">
        <v>0</v>
      </c>
      <c r="E229" s="134" t="n">
        <v>-11561400000</v>
      </c>
      <c r="F229" s="134" t="n">
        <v>-74133300000</v>
      </c>
      <c r="G229" s="134" t="n">
        <v>-32766300000</v>
      </c>
      <c r="H229" s="134" t="n">
        <v>-3985100000</v>
      </c>
      <c r="I229" s="134" t="n">
        <v>-9126600000</v>
      </c>
      <c r="J229" s="134" t="n">
        <v>21627600000</v>
      </c>
      <c r="K229" s="134" t="n">
        <v>934300000</v>
      </c>
      <c r="L229" s="134" t="n">
        <v>21107000000</v>
      </c>
    </row>
    <row r="230" customFormat="false" ht="15" hidden="false" customHeight="false" outlineLevel="0" collapsed="false">
      <c r="B230" s="142" t="s">
        <v>779</v>
      </c>
      <c r="C230" s="133" t="s">
        <v>780</v>
      </c>
      <c r="D230" s="134" t="n">
        <v>0</v>
      </c>
      <c r="E230" s="134" t="n">
        <v>-11053000000</v>
      </c>
      <c r="F230" s="134" t="n">
        <v>-73092400000</v>
      </c>
      <c r="G230" s="134" t="n">
        <v>-31457000000</v>
      </c>
      <c r="H230" s="134" t="n">
        <v>-3985100000</v>
      </c>
      <c r="I230" s="134" t="n">
        <v>-9126600000</v>
      </c>
      <c r="J230" s="134" t="n">
        <v>21627600000</v>
      </c>
      <c r="K230" s="134" t="n">
        <v>934300000</v>
      </c>
      <c r="L230" s="134" t="n">
        <v>21107000000</v>
      </c>
    </row>
    <row r="231" customFormat="false" ht="15" hidden="false" customHeight="false" outlineLevel="0" collapsed="false">
      <c r="B231" s="141" t="s">
        <v>781</v>
      </c>
    </row>
    <row r="232" customFormat="false" ht="15" hidden="false" customHeight="false" outlineLevel="0" collapsed="false">
      <c r="B232" s="142" t="s">
        <v>782</v>
      </c>
      <c r="C232" s="133" t="s">
        <v>783</v>
      </c>
      <c r="D232" s="134" t="n">
        <v>5022862081</v>
      </c>
      <c r="E232" s="134" t="n">
        <v>5257378830</v>
      </c>
      <c r="F232" s="134" t="n">
        <v>5319774121</v>
      </c>
      <c r="G232" s="134" t="n">
        <v>5319774121</v>
      </c>
      <c r="H232" s="134" t="n">
        <v>7581705498</v>
      </c>
      <c r="I232" s="134" t="n">
        <v>8926947969</v>
      </c>
      <c r="J232" s="134" t="n">
        <v>10775250532</v>
      </c>
      <c r="K232" s="134" t="n">
        <v>13149093386</v>
      </c>
      <c r="L232" s="134" t="n">
        <v>13696887892</v>
      </c>
    </row>
    <row r="233" customFormat="false" ht="15" hidden="false" customHeight="false" outlineLevel="0" collapsed="false">
      <c r="B233" s="142" t="s">
        <v>784</v>
      </c>
      <c r="C233" s="133" t="s">
        <v>785</v>
      </c>
      <c r="D233" s="134" t="n">
        <v>0</v>
      </c>
      <c r="E233" s="134" t="n">
        <v>5993732816</v>
      </c>
      <c r="F233" s="134" t="n">
        <v>5989814254</v>
      </c>
      <c r="G233" s="134" t="n">
        <v>5989814254</v>
      </c>
      <c r="H233" s="134" t="n">
        <v>8760692965</v>
      </c>
      <c r="I233" s="134" t="n">
        <v>9811893086</v>
      </c>
      <c r="J233" s="134" t="n">
        <v>10775250532</v>
      </c>
      <c r="K233" s="134" t="n">
        <v>13149093386</v>
      </c>
      <c r="L233" s="134" t="n">
        <v>13696887892</v>
      </c>
    </row>
    <row r="235" customFormat="false" ht="15" hidden="false" customHeight="false" outlineLevel="0" collapsed="false">
      <c r="B235" s="63" t="s">
        <v>786</v>
      </c>
    </row>
    <row r="236" customFormat="false" ht="15" hidden="false" customHeight="false" outlineLevel="0" collapsed="false">
      <c r="B236" s="132" t="s">
        <v>777</v>
      </c>
      <c r="C236" s="133" t="s">
        <v>778</v>
      </c>
      <c r="D236" s="134" t="n">
        <v>0</v>
      </c>
      <c r="E236" s="134" t="n">
        <v>-11561400000</v>
      </c>
      <c r="F236" s="134" t="n">
        <v>-74133300000</v>
      </c>
      <c r="G236" s="134" t="n">
        <v>-32766300000</v>
      </c>
      <c r="H236" s="134" t="n">
        <v>-3985100000</v>
      </c>
      <c r="I236" s="134" t="n">
        <v>-9126600000</v>
      </c>
      <c r="J236" s="134" t="n">
        <v>21627600000</v>
      </c>
      <c r="K236" s="134" t="n">
        <v>934300000</v>
      </c>
      <c r="L236" s="134" t="n">
        <v>21107000000</v>
      </c>
    </row>
    <row r="237" customFormat="false" ht="15" hidden="false" customHeight="false" outlineLevel="0" collapsed="false">
      <c r="B237" s="132" t="s">
        <v>779</v>
      </c>
      <c r="C237" s="133" t="s">
        <v>780</v>
      </c>
      <c r="D237" s="134" t="n">
        <v>0</v>
      </c>
      <c r="E237" s="134" t="n">
        <v>-11053000000</v>
      </c>
      <c r="F237" s="134" t="n">
        <v>-73092400000</v>
      </c>
      <c r="G237" s="134" t="n">
        <v>-31457000000</v>
      </c>
      <c r="H237" s="134" t="n">
        <v>-3985100000</v>
      </c>
      <c r="I237" s="134" t="n">
        <v>-9126600000</v>
      </c>
      <c r="J237" s="134" t="n">
        <v>21627600000</v>
      </c>
      <c r="K237" s="134" t="n">
        <v>934300000</v>
      </c>
      <c r="L237" s="134" t="n">
        <v>21107000000</v>
      </c>
    </row>
    <row r="238" customFormat="false" ht="15" hidden="false" customHeight="false" outlineLevel="0" collapsed="false">
      <c r="B238" s="132" t="s">
        <v>1335</v>
      </c>
      <c r="C238" s="133" t="s">
        <v>1336</v>
      </c>
      <c r="D238" s="134" t="n">
        <v>966952190</v>
      </c>
      <c r="E238" s="134" t="n">
        <v>733244674</v>
      </c>
      <c r="F238" s="134" t="n">
        <v>670040133</v>
      </c>
      <c r="G238" s="134" t="n">
        <v>670040133</v>
      </c>
      <c r="H238" s="134" t="n">
        <v>1178987467</v>
      </c>
      <c r="I238" s="134" t="n">
        <v>0</v>
      </c>
      <c r="J238" s="134" t="n">
        <v>0</v>
      </c>
      <c r="K238" s="134" t="n">
        <v>0</v>
      </c>
      <c r="L238" s="134" t="n">
        <v>0</v>
      </c>
    </row>
    <row r="239" customFormat="false" ht="15" hidden="false" customHeight="false" outlineLevel="0" collapsed="false">
      <c r="B239" s="132" t="s">
        <v>1337</v>
      </c>
      <c r="C239" s="133" t="s">
        <v>1338</v>
      </c>
      <c r="D239" s="134" t="n">
        <v>3788494</v>
      </c>
      <c r="E239" s="134" t="n">
        <v>3109312</v>
      </c>
      <c r="F239" s="134" t="n">
        <v>0</v>
      </c>
      <c r="G239" s="134" t="n">
        <v>0</v>
      </c>
      <c r="H239" s="134" t="n">
        <v>0</v>
      </c>
      <c r="I239" s="134" t="n">
        <v>0</v>
      </c>
      <c r="J239" s="134" t="n">
        <v>0</v>
      </c>
      <c r="K239" s="134" t="n">
        <v>0</v>
      </c>
      <c r="L239" s="134" t="n">
        <v>0</v>
      </c>
    </row>
    <row r="241" customFormat="false" ht="15" hidden="false" customHeight="false" outlineLevel="0" collapsed="false">
      <c r="B241" s="63" t="s">
        <v>787</v>
      </c>
    </row>
    <row r="242" customFormat="false" ht="15" hidden="false" customHeight="false" outlineLevel="0" collapsed="false">
      <c r="B242" s="137" t="s">
        <v>788</v>
      </c>
    </row>
    <row r="243" customFormat="false" ht="15" hidden="false" customHeight="false" outlineLevel="0" collapsed="false">
      <c r="B243" s="139" t="s">
        <v>789</v>
      </c>
    </row>
    <row r="244" customFormat="false" ht="15" hidden="false" customHeight="false" outlineLevel="0" collapsed="false">
      <c r="B244" s="141" t="s">
        <v>626</v>
      </c>
    </row>
    <row r="245" customFormat="false" ht="15" hidden="false" customHeight="false" outlineLevel="0" collapsed="false">
      <c r="B245" s="142" t="s">
        <v>627</v>
      </c>
      <c r="C245" s="133" t="s">
        <v>628</v>
      </c>
      <c r="D245" s="134" t="n">
        <v>0.71</v>
      </c>
      <c r="E245" s="134" t="n">
        <v>-2.2</v>
      </c>
      <c r="F245" s="134" t="n">
        <v>-13.94</v>
      </c>
      <c r="G245" s="134" t="n">
        <v>-6.16</v>
      </c>
      <c r="H245" s="134" t="n">
        <v>-0.53</v>
      </c>
      <c r="I245" s="134" t="n">
        <v>-1.02</v>
      </c>
      <c r="J245" s="134" t="n">
        <v>2.01</v>
      </c>
      <c r="K245" s="134" t="n">
        <v>0.07</v>
      </c>
      <c r="L245" s="134" t="n">
        <v>1.54</v>
      </c>
    </row>
    <row r="246" customFormat="false" ht="15" hidden="false" customHeight="false" outlineLevel="0" collapsed="false">
      <c r="B246" s="144" t="s">
        <v>629</v>
      </c>
      <c r="C246" s="133" t="s">
        <v>630</v>
      </c>
      <c r="D246" s="136" t="n">
        <v>0.71</v>
      </c>
      <c r="E246" s="136" t="n">
        <v>-2.2</v>
      </c>
      <c r="F246" s="136" t="n">
        <v>-13.94</v>
      </c>
      <c r="G246" s="136" t="n">
        <v>-6.16</v>
      </c>
      <c r="H246" s="136" t="n">
        <v>-0.53</v>
      </c>
      <c r="I246" s="136" t="n">
        <v>-1.02</v>
      </c>
      <c r="J246" s="136" t="n">
        <v>2.01</v>
      </c>
      <c r="K246" s="136" t="n">
        <v>0.07</v>
      </c>
      <c r="L246" s="136" t="n">
        <v>1.54</v>
      </c>
    </row>
    <row r="247" customFormat="false" ht="15" hidden="false" customHeight="false" outlineLevel="0" collapsed="false">
      <c r="B247" s="141" t="s">
        <v>631</v>
      </c>
    </row>
    <row r="248" customFormat="false" ht="15" hidden="false" customHeight="false" outlineLevel="0" collapsed="false">
      <c r="B248" s="142" t="s">
        <v>632</v>
      </c>
      <c r="C248" s="133" t="s">
        <v>633</v>
      </c>
      <c r="D248" s="134" t="n">
        <v>0.71</v>
      </c>
      <c r="E248" s="134" t="n">
        <v>-2.2</v>
      </c>
      <c r="F248" s="134" t="n">
        <v>-13.94</v>
      </c>
      <c r="G248" s="134" t="n">
        <v>-6.16</v>
      </c>
      <c r="H248" s="134" t="n">
        <v>-0.53</v>
      </c>
      <c r="I248" s="134" t="n">
        <v>-1.02</v>
      </c>
      <c r="J248" s="134" t="n">
        <v>2.01</v>
      </c>
      <c r="K248" s="134" t="n">
        <v>0.07</v>
      </c>
      <c r="L248" s="134" t="n">
        <v>1.54</v>
      </c>
    </row>
    <row r="249" customFormat="false" ht="15" hidden="false" customHeight="false" outlineLevel="0" collapsed="false">
      <c r="B249" s="144" t="s">
        <v>634</v>
      </c>
      <c r="C249" s="133" t="s">
        <v>635</v>
      </c>
      <c r="D249" s="136" t="n">
        <v>0.71</v>
      </c>
      <c r="E249" s="136" t="n">
        <v>-2.2</v>
      </c>
      <c r="F249" s="136" t="n">
        <v>-13.94</v>
      </c>
      <c r="G249" s="136" t="n">
        <v>-6.16</v>
      </c>
      <c r="H249" s="136" t="n">
        <v>-0.53</v>
      </c>
      <c r="I249" s="136" t="n">
        <v>-1.02</v>
      </c>
      <c r="J249" s="136" t="n">
        <v>2.01</v>
      </c>
      <c r="K249" s="136" t="n">
        <v>0.07</v>
      </c>
      <c r="L249" s="136" t="n">
        <v>1.54</v>
      </c>
    </row>
    <row r="250" customFormat="false" ht="15" hidden="false" customHeight="false" outlineLevel="0" collapsed="false">
      <c r="B250" s="141" t="s">
        <v>781</v>
      </c>
    </row>
    <row r="251" customFormat="false" ht="15" hidden="false" customHeight="false" outlineLevel="0" collapsed="false">
      <c r="B251" s="142" t="s">
        <v>782</v>
      </c>
      <c r="C251" s="133" t="s">
        <v>783</v>
      </c>
      <c r="D251" s="134" t="n">
        <v>5022862081</v>
      </c>
      <c r="E251" s="134" t="n">
        <v>5257378830</v>
      </c>
      <c r="F251" s="134" t="n">
        <v>5319774121</v>
      </c>
      <c r="G251" s="134" t="n">
        <v>5319774121</v>
      </c>
      <c r="H251" s="134" t="n">
        <v>7581705498</v>
      </c>
      <c r="I251" s="134" t="n">
        <v>8926947969</v>
      </c>
      <c r="J251" s="134" t="n">
        <v>10775250532</v>
      </c>
      <c r="K251" s="134" t="n">
        <v>13149093386</v>
      </c>
      <c r="L251" s="134" t="n">
        <v>13696887892</v>
      </c>
    </row>
    <row r="252" customFormat="false" ht="15" hidden="false" customHeight="false" outlineLevel="0" collapsed="false">
      <c r="B252" s="142" t="s">
        <v>784</v>
      </c>
      <c r="C252" s="133" t="s">
        <v>785</v>
      </c>
      <c r="D252" s="134" t="n">
        <v>0</v>
      </c>
      <c r="E252" s="134" t="n">
        <v>5993732816</v>
      </c>
      <c r="F252" s="134" t="n">
        <v>5989814254</v>
      </c>
      <c r="G252" s="134" t="n">
        <v>5989814254</v>
      </c>
      <c r="H252" s="134" t="n">
        <v>8760692965</v>
      </c>
      <c r="I252" s="134" t="n">
        <v>9811893086</v>
      </c>
      <c r="J252" s="134" t="n">
        <v>10775250532</v>
      </c>
      <c r="K252" s="134" t="n">
        <v>13149093386</v>
      </c>
      <c r="L252" s="134" t="n">
        <v>13696887892</v>
      </c>
    </row>
    <row r="255" customFormat="false" ht="15" hidden="false" customHeight="false" outlineLevel="0" collapsed="false">
      <c r="A255" s="0" t="s">
        <v>26</v>
      </c>
      <c r="B255" s="63" t="s">
        <v>790</v>
      </c>
    </row>
    <row r="257" customFormat="false" ht="15" hidden="false" customHeight="false" outlineLevel="0" collapsed="false">
      <c r="C257" s="131" t="s">
        <v>568</v>
      </c>
      <c r="D257" s="13" t="s">
        <v>29</v>
      </c>
      <c r="E257" s="13" t="s">
        <v>30</v>
      </c>
      <c r="F257" s="13" t="s">
        <v>31</v>
      </c>
      <c r="G257" s="13" t="s">
        <v>32</v>
      </c>
      <c r="H257" s="13" t="s">
        <v>33</v>
      </c>
      <c r="I257" s="13" t="s">
        <v>34</v>
      </c>
      <c r="J257" s="13" t="s">
        <v>35</v>
      </c>
      <c r="K257" s="13" t="s">
        <v>36</v>
      </c>
      <c r="L257" s="13" t="s">
        <v>37</v>
      </c>
    </row>
    <row r="258" customFormat="false" ht="15" hidden="false" customHeight="false" outlineLevel="0" collapsed="false">
      <c r="B258" s="63" t="s">
        <v>791</v>
      </c>
    </row>
    <row r="259" customFormat="false" ht="15" hidden="false" customHeight="false" outlineLevel="0" collapsed="false">
      <c r="B259" s="137" t="s">
        <v>792</v>
      </c>
    </row>
    <row r="260" customFormat="false" ht="15" hidden="false" customHeight="false" outlineLevel="0" collapsed="false">
      <c r="B260" s="138" t="s">
        <v>795</v>
      </c>
      <c r="C260" s="133" t="s">
        <v>796</v>
      </c>
      <c r="D260" s="134" t="n">
        <v>-500000</v>
      </c>
      <c r="E260" s="134" t="n">
        <v>14000000</v>
      </c>
      <c r="F260" s="134" t="n">
        <v>13500000</v>
      </c>
      <c r="G260" s="134" t="n">
        <v>6500000</v>
      </c>
      <c r="H260" s="134" t="n">
        <v>0</v>
      </c>
      <c r="I260" s="134" t="n">
        <v>0</v>
      </c>
      <c r="J260" s="134" t="n">
        <v>0</v>
      </c>
      <c r="K260" s="134" t="n">
        <v>0</v>
      </c>
      <c r="L260" s="134" t="n">
        <v>0</v>
      </c>
    </row>
    <row r="261" customFormat="false" ht="15" hidden="false" customHeight="false" outlineLevel="0" collapsed="false">
      <c r="B261" s="145" t="s">
        <v>797</v>
      </c>
      <c r="C261" s="133" t="s">
        <v>798</v>
      </c>
      <c r="D261" s="136" t="n">
        <v>-500000</v>
      </c>
      <c r="E261" s="136" t="n">
        <v>14000000</v>
      </c>
      <c r="F261" s="136" t="n">
        <v>13500000</v>
      </c>
      <c r="G261" s="136" t="n">
        <v>6500000</v>
      </c>
      <c r="H261" s="136" t="n">
        <v>0</v>
      </c>
      <c r="I261" s="136" t="n">
        <v>0</v>
      </c>
      <c r="J261" s="136" t="n">
        <v>0</v>
      </c>
      <c r="K261" s="136" t="n">
        <v>0</v>
      </c>
      <c r="L261" s="136" t="n">
        <v>0</v>
      </c>
    </row>
    <row r="262" customFormat="false" ht="15" hidden="false" customHeight="false" outlineLevel="0" collapsed="false">
      <c r="B262" s="135" t="s">
        <v>803</v>
      </c>
      <c r="C262" s="133" t="s">
        <v>804</v>
      </c>
      <c r="D262" s="136" t="n">
        <v>-500000</v>
      </c>
      <c r="E262" s="136" t="n">
        <v>14000000</v>
      </c>
      <c r="F262" s="136" t="n">
        <v>13500000</v>
      </c>
      <c r="G262" s="136" t="n">
        <v>6500000</v>
      </c>
      <c r="H262" s="136" t="n">
        <v>0</v>
      </c>
      <c r="I262" s="136" t="n">
        <v>0</v>
      </c>
      <c r="J262" s="136" t="n">
        <v>0</v>
      </c>
      <c r="K262" s="136" t="n">
        <v>0</v>
      </c>
      <c r="L262" s="136" t="n">
        <v>0</v>
      </c>
    </row>
    <row r="266" customFormat="false" ht="15" hidden="false" customHeight="false" outlineLevel="0" collapsed="false">
      <c r="B266" s="137" t="s">
        <v>805</v>
      </c>
    </row>
    <row r="267" customFormat="false" ht="15" hidden="false" customHeight="false" outlineLevel="0" collapsed="false">
      <c r="B267" s="139" t="s">
        <v>806</v>
      </c>
    </row>
    <row r="268" customFormat="false" ht="15" hidden="false" customHeight="false" outlineLevel="0" collapsed="false">
      <c r="B268" s="141" t="s">
        <v>807</v>
      </c>
    </row>
    <row r="269" customFormat="false" ht="15" hidden="false" customHeight="false" outlineLevel="0" collapsed="false">
      <c r="B269" s="142" t="s">
        <v>808</v>
      </c>
      <c r="C269" s="133" t="s">
        <v>809</v>
      </c>
      <c r="D269" s="134" t="n">
        <v>0</v>
      </c>
      <c r="E269" s="134" t="n">
        <v>0</v>
      </c>
      <c r="F269" s="134" t="n">
        <v>0</v>
      </c>
      <c r="G269" s="134" t="n">
        <v>0</v>
      </c>
      <c r="H269" s="134" t="n">
        <v>0</v>
      </c>
      <c r="I269" s="134" t="n">
        <v>0</v>
      </c>
      <c r="J269" s="134" t="n">
        <v>0</v>
      </c>
      <c r="K269" s="134" t="n">
        <v>0</v>
      </c>
      <c r="L269" s="134" t="n">
        <v>6380500000</v>
      </c>
    </row>
    <row r="270" customFormat="false" ht="15" hidden="false" customHeight="false" outlineLevel="0" collapsed="false">
      <c r="B270" s="144" t="s">
        <v>810</v>
      </c>
      <c r="C270" s="133" t="s">
        <v>811</v>
      </c>
      <c r="D270" s="136" t="n">
        <v>0</v>
      </c>
      <c r="E270" s="136" t="n">
        <v>0</v>
      </c>
      <c r="F270" s="136" t="n">
        <v>0</v>
      </c>
      <c r="G270" s="136" t="n">
        <v>0</v>
      </c>
      <c r="H270" s="136" t="n">
        <v>0</v>
      </c>
      <c r="I270" s="136" t="n">
        <v>0</v>
      </c>
      <c r="J270" s="136" t="n">
        <v>0</v>
      </c>
      <c r="K270" s="136" t="n">
        <v>0</v>
      </c>
      <c r="L270" s="136" t="n">
        <v>-6380500000</v>
      </c>
    </row>
    <row r="271" customFormat="false" ht="15" hidden="false" customHeight="false" outlineLevel="0" collapsed="false">
      <c r="B271" s="141" t="s">
        <v>812</v>
      </c>
    </row>
    <row r="272" customFormat="false" ht="15" hidden="false" customHeight="false" outlineLevel="0" collapsed="false">
      <c r="B272" s="142" t="s">
        <v>813</v>
      </c>
      <c r="C272" s="133" t="s">
        <v>814</v>
      </c>
      <c r="D272" s="134" t="n">
        <v>0</v>
      </c>
      <c r="E272" s="134" t="n">
        <v>0</v>
      </c>
      <c r="F272" s="134" t="n">
        <v>0</v>
      </c>
      <c r="G272" s="134" t="n">
        <v>0</v>
      </c>
      <c r="H272" s="134" t="n">
        <v>0</v>
      </c>
      <c r="I272" s="134" t="n">
        <v>0</v>
      </c>
      <c r="J272" s="134" t="n">
        <v>0</v>
      </c>
      <c r="K272" s="134" t="n">
        <v>0</v>
      </c>
      <c r="L272" s="134" t="n">
        <v>6380500000</v>
      </c>
    </row>
    <row r="273" customFormat="false" ht="15" hidden="false" customHeight="false" outlineLevel="0" collapsed="false">
      <c r="B273" s="141" t="s">
        <v>815</v>
      </c>
    </row>
    <row r="274" customFormat="false" ht="15" hidden="false" customHeight="false" outlineLevel="0" collapsed="false">
      <c r="B274" s="149" t="s">
        <v>816</v>
      </c>
      <c r="C274" s="133" t="s">
        <v>817</v>
      </c>
      <c r="D274" s="134" t="n">
        <v>0</v>
      </c>
      <c r="E274" s="134" t="n">
        <v>0</v>
      </c>
      <c r="F274" s="134" t="n">
        <v>0</v>
      </c>
      <c r="G274" s="134" t="n">
        <v>0</v>
      </c>
      <c r="H274" s="134" t="n">
        <v>0</v>
      </c>
      <c r="I274" s="134" t="n">
        <v>0</v>
      </c>
      <c r="J274" s="134" t="n">
        <v>0</v>
      </c>
      <c r="K274" s="134" t="n">
        <v>0</v>
      </c>
      <c r="L274" s="134" t="n">
        <v>-6380500000</v>
      </c>
    </row>
    <row r="275" customFormat="false" ht="15" hidden="false" customHeight="false" outlineLevel="0" collapsed="false">
      <c r="B275" s="141" t="s">
        <v>818</v>
      </c>
    </row>
    <row r="276" customFormat="false" ht="15" hidden="false" customHeight="false" outlineLevel="0" collapsed="false">
      <c r="B276" s="144" t="s">
        <v>810</v>
      </c>
      <c r="C276" s="133" t="s">
        <v>811</v>
      </c>
      <c r="D276" s="136" t="n">
        <v>0</v>
      </c>
      <c r="E276" s="136" t="n">
        <v>0</v>
      </c>
      <c r="F276" s="136" t="n">
        <v>0</v>
      </c>
      <c r="G276" s="136" t="n">
        <v>0</v>
      </c>
      <c r="H276" s="136" t="n">
        <v>0</v>
      </c>
      <c r="I276" s="136" t="n">
        <v>0</v>
      </c>
      <c r="J276" s="136" t="n">
        <v>0</v>
      </c>
      <c r="K276" s="136" t="n">
        <v>0</v>
      </c>
      <c r="L276" s="136" t="n">
        <v>-6380500000</v>
      </c>
    </row>
    <row r="277" customFormat="false" ht="15" hidden="false" customHeight="false" outlineLevel="0" collapsed="false">
      <c r="B277" s="146" t="s">
        <v>819</v>
      </c>
    </row>
    <row r="278" customFormat="false" ht="15" hidden="false" customHeight="false" outlineLevel="0" collapsed="false">
      <c r="B278" s="149" t="s">
        <v>816</v>
      </c>
      <c r="C278" s="133" t="s">
        <v>817</v>
      </c>
      <c r="D278" s="134" t="n">
        <v>0</v>
      </c>
      <c r="E278" s="134" t="n">
        <v>0</v>
      </c>
      <c r="F278" s="134" t="n">
        <v>0</v>
      </c>
      <c r="G278" s="134" t="n">
        <v>0</v>
      </c>
      <c r="H278" s="134" t="n">
        <v>0</v>
      </c>
      <c r="I278" s="134" t="n">
        <v>0</v>
      </c>
      <c r="J278" s="134" t="n">
        <v>0</v>
      </c>
      <c r="K278" s="134" t="n">
        <v>0</v>
      </c>
      <c r="L278" s="134" t="n">
        <v>-6380500000</v>
      </c>
    </row>
    <row r="279" customFormat="false" ht="15" hidden="false" customHeight="false" outlineLevel="0" collapsed="false">
      <c r="B279" s="147" t="s">
        <v>822</v>
      </c>
      <c r="C279" s="133" t="s">
        <v>823</v>
      </c>
      <c r="D279" s="136" t="n">
        <v>0</v>
      </c>
      <c r="E279" s="136" t="n">
        <v>0</v>
      </c>
      <c r="F279" s="136" t="n">
        <v>0</v>
      </c>
      <c r="G279" s="136" t="n">
        <v>0</v>
      </c>
      <c r="H279" s="136" t="n">
        <v>0</v>
      </c>
      <c r="I279" s="136" t="n">
        <v>0</v>
      </c>
      <c r="J279" s="136" t="n">
        <v>0</v>
      </c>
      <c r="K279" s="136" t="n">
        <v>0</v>
      </c>
      <c r="L279" s="136" t="n">
        <v>-6380500000</v>
      </c>
    </row>
    <row r="280" customFormat="false" ht="15" hidden="false" customHeight="false" outlineLevel="0" collapsed="false">
      <c r="B280" s="144" t="s">
        <v>810</v>
      </c>
      <c r="C280" s="133" t="s">
        <v>811</v>
      </c>
      <c r="D280" s="136" t="n">
        <v>0</v>
      </c>
      <c r="E280" s="136" t="n">
        <v>0</v>
      </c>
      <c r="F280" s="136" t="n">
        <v>0</v>
      </c>
      <c r="G280" s="136" t="n">
        <v>0</v>
      </c>
      <c r="H280" s="136" t="n">
        <v>0</v>
      </c>
      <c r="I280" s="136" t="n">
        <v>0</v>
      </c>
      <c r="J280" s="136" t="n">
        <v>0</v>
      </c>
      <c r="K280" s="136" t="n">
        <v>0</v>
      </c>
      <c r="L280" s="136" t="n">
        <v>-6380500000</v>
      </c>
    </row>
    <row r="282" customFormat="false" ht="15" hidden="false" customHeight="false" outlineLevel="0" collapsed="false">
      <c r="B282" s="63" t="s">
        <v>824</v>
      </c>
    </row>
    <row r="283" customFormat="false" ht="15" hidden="false" customHeight="false" outlineLevel="0" collapsed="false">
      <c r="B283" s="132" t="s">
        <v>825</v>
      </c>
      <c r="C283" s="133" t="s">
        <v>826</v>
      </c>
      <c r="D283" s="134" t="n">
        <v>3556400000</v>
      </c>
      <c r="E283" s="134" t="n">
        <v>-11547400000</v>
      </c>
      <c r="F283" s="134" t="n">
        <v>-74119800000</v>
      </c>
      <c r="G283" s="134" t="n">
        <v>-32759800000</v>
      </c>
      <c r="H283" s="134" t="n">
        <v>-3984000000</v>
      </c>
      <c r="I283" s="134" t="n">
        <v>-9126600000</v>
      </c>
      <c r="J283" s="134" t="n">
        <v>0</v>
      </c>
      <c r="K283" s="134" t="n">
        <v>0</v>
      </c>
      <c r="L283" s="134" t="n">
        <v>0</v>
      </c>
    </row>
    <row r="284" customFormat="false" ht="15" hidden="false" customHeight="false" outlineLevel="0" collapsed="false">
      <c r="B284" s="132" t="s">
        <v>827</v>
      </c>
      <c r="C284" s="133" t="s">
        <v>828</v>
      </c>
      <c r="D284" s="134" t="n">
        <v>1230800000</v>
      </c>
      <c r="E284" s="134" t="n">
        <v>-3996300000</v>
      </c>
      <c r="F284" s="134" t="n">
        <v>-25900400000</v>
      </c>
      <c r="G284" s="134" t="n">
        <v>-11447500000</v>
      </c>
      <c r="H284" s="134" t="n">
        <v>-1392200000</v>
      </c>
      <c r="I284" s="134" t="n">
        <v>-2297000000</v>
      </c>
      <c r="J284" s="134" t="n">
        <v>0</v>
      </c>
      <c r="K284" s="134" t="n">
        <v>0</v>
      </c>
      <c r="L284" s="134" t="n">
        <v>0</v>
      </c>
    </row>
    <row r="285" customFormat="false" ht="15" hidden="false" customHeight="false" outlineLevel="0" collapsed="false">
      <c r="B285" s="132" t="s">
        <v>829</v>
      </c>
      <c r="C285" s="133" t="s">
        <v>830</v>
      </c>
      <c r="D285" s="134" t="n">
        <v>23600000</v>
      </c>
      <c r="E285" s="134" t="n">
        <v>0</v>
      </c>
      <c r="F285" s="134" t="n">
        <v>0</v>
      </c>
      <c r="G285" s="134" t="n">
        <v>0</v>
      </c>
      <c r="H285" s="134" t="n">
        <v>0</v>
      </c>
      <c r="I285" s="134" t="n">
        <v>0</v>
      </c>
      <c r="J285" s="134" t="n">
        <v>0</v>
      </c>
      <c r="K285" s="134" t="n">
        <v>0</v>
      </c>
      <c r="L285" s="134" t="n">
        <v>0</v>
      </c>
    </row>
    <row r="286" customFormat="false" ht="15" hidden="false" customHeight="false" outlineLevel="0" collapsed="false">
      <c r="B286" s="132" t="s">
        <v>831</v>
      </c>
      <c r="C286" s="133" t="s">
        <v>832</v>
      </c>
      <c r="D286" s="134" t="n">
        <v>20700000</v>
      </c>
      <c r="E286" s="134" t="n">
        <v>53300000</v>
      </c>
      <c r="F286" s="134" t="n">
        <v>15300000</v>
      </c>
      <c r="G286" s="134" t="n">
        <v>2000000</v>
      </c>
      <c r="H286" s="134" t="n">
        <v>4500000</v>
      </c>
      <c r="I286" s="134" t="n">
        <v>1094100000</v>
      </c>
      <c r="J286" s="134" t="n">
        <v>0</v>
      </c>
      <c r="K286" s="134" t="n">
        <v>0</v>
      </c>
      <c r="L286" s="134" t="n">
        <v>0</v>
      </c>
    </row>
    <row r="287" customFormat="false" ht="15" hidden="false" customHeight="false" outlineLevel="0" collapsed="false">
      <c r="B287" s="132" t="s">
        <v>833</v>
      </c>
      <c r="C287" s="133" t="s">
        <v>834</v>
      </c>
      <c r="D287" s="134" t="n">
        <v>-1867000000</v>
      </c>
      <c r="E287" s="134" t="n">
        <v>4066900000</v>
      </c>
      <c r="F287" s="134" t="n">
        <v>25951000000</v>
      </c>
      <c r="G287" s="134" t="n">
        <v>11440500000</v>
      </c>
      <c r="H287" s="134" t="n">
        <v>1381800000</v>
      </c>
      <c r="I287" s="134" t="n">
        <v>1186200000</v>
      </c>
      <c r="J287" s="134" t="n">
        <v>0</v>
      </c>
      <c r="K287" s="134" t="n">
        <v>0</v>
      </c>
      <c r="L287" s="134" t="n">
        <v>0</v>
      </c>
    </row>
    <row r="288" customFormat="false" ht="15" hidden="false" customHeight="false" outlineLevel="0" collapsed="false">
      <c r="B288" s="132" t="s">
        <v>835</v>
      </c>
      <c r="C288" s="133" t="s">
        <v>836</v>
      </c>
      <c r="D288" s="134" t="n">
        <v>-500000</v>
      </c>
      <c r="E288" s="134" t="n">
        <v>0</v>
      </c>
      <c r="F288" s="134" t="n">
        <v>0</v>
      </c>
      <c r="G288" s="134" t="n">
        <v>0</v>
      </c>
      <c r="H288" s="134" t="n">
        <v>0</v>
      </c>
      <c r="I288" s="134" t="n">
        <v>0</v>
      </c>
      <c r="J288" s="134" t="n">
        <v>0</v>
      </c>
      <c r="K288" s="134" t="n">
        <v>0</v>
      </c>
      <c r="L288" s="134" t="n">
        <v>0</v>
      </c>
    </row>
    <row r="289" customFormat="false" ht="15" hidden="false" customHeight="false" outlineLevel="0" collapsed="false">
      <c r="B289" s="132" t="s">
        <v>837</v>
      </c>
      <c r="C289" s="133" t="s">
        <v>838</v>
      </c>
      <c r="D289" s="134" t="n">
        <v>639100000</v>
      </c>
      <c r="E289" s="134" t="n">
        <v>-109900000</v>
      </c>
      <c r="F289" s="134" t="n">
        <v>-52400000</v>
      </c>
      <c r="G289" s="134" t="n">
        <v>11500000</v>
      </c>
      <c r="H289" s="134" t="n">
        <v>5900000</v>
      </c>
      <c r="I289" s="134" t="n">
        <v>16700000</v>
      </c>
      <c r="J289" s="134" t="n">
        <v>0</v>
      </c>
      <c r="K289" s="134" t="n">
        <v>0</v>
      </c>
      <c r="L289" s="134" t="n">
        <v>0</v>
      </c>
    </row>
    <row r="290" customFormat="false" ht="15" hidden="false" customHeight="false" outlineLevel="0" collapsed="false">
      <c r="B290" s="135" t="s">
        <v>803</v>
      </c>
      <c r="C290" s="133" t="s">
        <v>804</v>
      </c>
      <c r="D290" s="136" t="n">
        <v>-500000</v>
      </c>
      <c r="E290" s="136" t="n">
        <v>14000000</v>
      </c>
      <c r="F290" s="136" t="n">
        <v>13500000</v>
      </c>
      <c r="G290" s="136" t="n">
        <v>6500000</v>
      </c>
      <c r="H290" s="136" t="n">
        <v>0</v>
      </c>
      <c r="I290" s="136" t="n">
        <v>0</v>
      </c>
      <c r="J290" s="136" t="n">
        <v>0</v>
      </c>
      <c r="K290" s="136" t="n">
        <v>0</v>
      </c>
      <c r="L290" s="136" t="n">
        <v>0</v>
      </c>
    </row>
    <row r="292" customFormat="false" ht="15" hidden="false" customHeight="false" outlineLevel="0" collapsed="false">
      <c r="B292" s="63" t="s">
        <v>839</v>
      </c>
    </row>
    <row r="293" customFormat="false" ht="15" hidden="false" customHeight="false" outlineLevel="0" collapsed="false">
      <c r="B293" s="132" t="s">
        <v>825</v>
      </c>
      <c r="C293" s="133" t="s">
        <v>826</v>
      </c>
      <c r="D293" s="134" t="n">
        <v>3556400000</v>
      </c>
      <c r="E293" s="134" t="n">
        <v>-11547400000</v>
      </c>
      <c r="F293" s="134" t="n">
        <v>-74119800000</v>
      </c>
      <c r="G293" s="134" t="n">
        <v>-32759800000</v>
      </c>
      <c r="H293" s="134" t="n">
        <v>-3984000000</v>
      </c>
      <c r="I293" s="134" t="n">
        <v>-9126600000</v>
      </c>
      <c r="J293" s="134" t="n">
        <v>0</v>
      </c>
      <c r="K293" s="134" t="n">
        <v>0</v>
      </c>
      <c r="L293" s="134" t="n">
        <v>0</v>
      </c>
    </row>
    <row r="296" customFormat="false" ht="15" hidden="false" customHeight="false" outlineLevel="0" collapsed="false">
      <c r="A296" s="0" t="s">
        <v>26</v>
      </c>
      <c r="B296" s="63" t="s">
        <v>844</v>
      </c>
    </row>
    <row r="298" customFormat="false" ht="15" hidden="false" customHeight="false" outlineLevel="0" collapsed="false">
      <c r="C298" s="131" t="s">
        <v>568</v>
      </c>
      <c r="D298" s="13" t="s">
        <v>29</v>
      </c>
      <c r="E298" s="13" t="s">
        <v>30</v>
      </c>
      <c r="F298" s="13" t="s">
        <v>31</v>
      </c>
      <c r="G298" s="13" t="s">
        <v>32</v>
      </c>
      <c r="H298" s="13" t="s">
        <v>33</v>
      </c>
      <c r="I298" s="13" t="s">
        <v>34</v>
      </c>
      <c r="J298" s="13" t="s">
        <v>35</v>
      </c>
      <c r="K298" s="13" t="s">
        <v>36</v>
      </c>
      <c r="L298" s="13" t="s">
        <v>37</v>
      </c>
    </row>
    <row r="299" customFormat="false" ht="15" hidden="false" customHeight="false" outlineLevel="0" collapsed="false">
      <c r="B299" s="63" t="s">
        <v>845</v>
      </c>
    </row>
    <row r="300" customFormat="false" ht="15" hidden="false" customHeight="false" outlineLevel="0" collapsed="false">
      <c r="B300" s="137" t="s">
        <v>846</v>
      </c>
    </row>
    <row r="301" customFormat="false" ht="15" hidden="false" customHeight="false" outlineLevel="0" collapsed="false">
      <c r="B301" s="138" t="s">
        <v>770</v>
      </c>
      <c r="C301" s="133" t="s">
        <v>771</v>
      </c>
      <c r="D301" s="134" t="n">
        <v>90949400000</v>
      </c>
      <c r="E301" s="134" t="n">
        <v>60248800000</v>
      </c>
      <c r="F301" s="134" t="n">
        <v>23386900000</v>
      </c>
      <c r="G301" s="134" t="n">
        <v>1509300000</v>
      </c>
      <c r="H301" s="134" t="n">
        <v>10143900000</v>
      </c>
      <c r="I301" s="134" t="n">
        <v>37942100000</v>
      </c>
      <c r="J301" s="134" t="n">
        <v>33946300000</v>
      </c>
      <c r="K301" s="134" t="n">
        <v>36509800000</v>
      </c>
      <c r="L301" s="134" t="n">
        <v>80696900000</v>
      </c>
    </row>
    <row r="302" customFormat="false" ht="15" hidden="false" customHeight="false" outlineLevel="0" collapsed="false">
      <c r="B302" s="138" t="s">
        <v>773</v>
      </c>
      <c r="C302" s="133" t="s">
        <v>774</v>
      </c>
      <c r="D302" s="134" t="n">
        <v>1342700000</v>
      </c>
      <c r="E302" s="134" t="n">
        <v>1177400000</v>
      </c>
      <c r="F302" s="134" t="n">
        <v>1323900000</v>
      </c>
      <c r="G302" s="134" t="n">
        <v>1493600000</v>
      </c>
      <c r="H302" s="134" t="n">
        <v>1547500000</v>
      </c>
      <c r="I302" s="134" t="n">
        <v>1812000000</v>
      </c>
      <c r="J302" s="134" t="n">
        <v>1435100000</v>
      </c>
      <c r="K302" s="134" t="n">
        <v>1482000000</v>
      </c>
      <c r="L302" s="134" t="n">
        <v>20919100000</v>
      </c>
    </row>
    <row r="303" customFormat="false" ht="15" hidden="false" customHeight="false" outlineLevel="0" collapsed="false">
      <c r="B303" s="145" t="s">
        <v>847</v>
      </c>
      <c r="C303" s="133" t="s">
        <v>848</v>
      </c>
      <c r="D303" s="136" t="n">
        <v>164700000</v>
      </c>
      <c r="E303" s="136" t="n">
        <v>238600000</v>
      </c>
      <c r="F303" s="136" t="n">
        <v>724200000</v>
      </c>
      <c r="G303" s="136" t="n">
        <v>756600000</v>
      </c>
      <c r="H303" s="136" t="n">
        <v>781700000</v>
      </c>
      <c r="I303" s="136" t="n">
        <v>646300000</v>
      </c>
      <c r="J303" s="136" t="n">
        <v>523000000</v>
      </c>
      <c r="K303" s="136" t="n">
        <v>610700000</v>
      </c>
      <c r="L303" s="136" t="n">
        <v>361200000</v>
      </c>
    </row>
    <row r="304" customFormat="false" ht="15" hidden="false" customHeight="false" outlineLevel="0" collapsed="false">
      <c r="B304" s="145" t="s">
        <v>849</v>
      </c>
      <c r="C304" s="133" t="s">
        <v>850</v>
      </c>
      <c r="D304" s="136" t="n">
        <v>92456800000</v>
      </c>
      <c r="E304" s="136" t="n">
        <v>61664800000</v>
      </c>
      <c r="F304" s="136" t="n">
        <v>25435000000</v>
      </c>
      <c r="G304" s="136" t="n">
        <v>3759500000</v>
      </c>
      <c r="H304" s="136" t="n">
        <v>12473100000</v>
      </c>
      <c r="I304" s="136" t="n">
        <v>40400400000</v>
      </c>
      <c r="J304" s="136" t="n">
        <v>35904400000</v>
      </c>
      <c r="K304" s="136" t="n">
        <v>38602500000</v>
      </c>
      <c r="L304" s="136" t="n">
        <v>101977200000</v>
      </c>
    </row>
    <row r="305" customFormat="false" ht="15" hidden="false" customHeight="false" outlineLevel="0" collapsed="false">
      <c r="B305" s="135" t="s">
        <v>113</v>
      </c>
      <c r="C305" s="133" t="s">
        <v>569</v>
      </c>
      <c r="D305" s="136" t="n">
        <v>92456800000</v>
      </c>
      <c r="E305" s="136" t="n">
        <v>61664800000</v>
      </c>
      <c r="F305" s="136" t="n">
        <v>25435000000</v>
      </c>
      <c r="G305" s="136" t="n">
        <v>3759500000</v>
      </c>
      <c r="H305" s="136" t="n">
        <v>12473100000</v>
      </c>
      <c r="I305" s="136" t="n">
        <v>40400400000</v>
      </c>
      <c r="J305" s="136" t="n">
        <v>35904400000</v>
      </c>
      <c r="K305" s="136" t="n">
        <v>38602500000</v>
      </c>
      <c r="L305" s="136" t="n">
        <v>101977200000</v>
      </c>
    </row>
    <row r="307" customFormat="false" ht="15" hidden="false" customHeight="false" outlineLevel="0" collapsed="false">
      <c r="B307" s="63" t="s">
        <v>851</v>
      </c>
    </row>
    <row r="308" customFormat="false" ht="15" hidden="false" customHeight="false" outlineLevel="0" collapsed="false">
      <c r="B308" s="137" t="s">
        <v>852</v>
      </c>
    </row>
    <row r="309" customFormat="false" ht="15" hidden="false" customHeight="false" outlineLevel="0" collapsed="false">
      <c r="B309" s="138" t="s">
        <v>853</v>
      </c>
      <c r="C309" s="133" t="s">
        <v>854</v>
      </c>
      <c r="D309" s="134" t="n">
        <v>164700000</v>
      </c>
      <c r="E309" s="134" t="n">
        <v>238600000</v>
      </c>
      <c r="F309" s="134" t="n">
        <v>724200000</v>
      </c>
      <c r="G309" s="134" t="n">
        <v>756600000</v>
      </c>
      <c r="H309" s="134" t="n">
        <v>781700000</v>
      </c>
      <c r="I309" s="134" t="n">
        <v>646300000</v>
      </c>
      <c r="J309" s="134" t="n">
        <v>523000000</v>
      </c>
      <c r="K309" s="134" t="n">
        <v>610700000</v>
      </c>
      <c r="L309" s="134" t="n">
        <v>361200000</v>
      </c>
    </row>
    <row r="310" customFormat="false" ht="15" hidden="false" customHeight="false" outlineLevel="0" collapsed="false">
      <c r="B310" s="145" t="s">
        <v>847</v>
      </c>
      <c r="C310" s="133" t="s">
        <v>848</v>
      </c>
      <c r="D310" s="136" t="n">
        <v>164700000</v>
      </c>
      <c r="E310" s="136" t="n">
        <v>238600000</v>
      </c>
      <c r="F310" s="136" t="n">
        <v>724200000</v>
      </c>
      <c r="G310" s="136" t="n">
        <v>756600000</v>
      </c>
      <c r="H310" s="136" t="n">
        <v>781700000</v>
      </c>
      <c r="I310" s="136" t="n">
        <v>646300000</v>
      </c>
      <c r="J310" s="136" t="n">
        <v>523000000</v>
      </c>
      <c r="K310" s="136" t="n">
        <v>610700000</v>
      </c>
      <c r="L310" s="136" t="n">
        <v>361200000</v>
      </c>
    </row>
    <row r="311" customFormat="false" ht="15" hidden="false" customHeight="false" outlineLevel="0" collapsed="false">
      <c r="B311" s="139" t="s">
        <v>855</v>
      </c>
    </row>
    <row r="312" customFormat="false" ht="15" hidden="false" customHeight="false" outlineLevel="0" collapsed="false">
      <c r="B312" s="141" t="s">
        <v>856</v>
      </c>
    </row>
    <row r="313" customFormat="false" ht="15" hidden="false" customHeight="false" outlineLevel="0" collapsed="false">
      <c r="B313" s="142" t="s">
        <v>853</v>
      </c>
      <c r="C313" s="133" t="s">
        <v>854</v>
      </c>
      <c r="D313" s="134" t="n">
        <v>164700000</v>
      </c>
      <c r="E313" s="134" t="n">
        <v>238600000</v>
      </c>
      <c r="F313" s="134" t="n">
        <v>724200000</v>
      </c>
      <c r="G313" s="134" t="n">
        <v>756600000</v>
      </c>
      <c r="H313" s="134" t="n">
        <v>781700000</v>
      </c>
      <c r="I313" s="134" t="n">
        <v>646300000</v>
      </c>
      <c r="J313" s="134" t="n">
        <v>523000000</v>
      </c>
      <c r="K313" s="134" t="n">
        <v>610700000</v>
      </c>
      <c r="L313" s="134" t="n">
        <v>361200000</v>
      </c>
    </row>
    <row r="315" customFormat="false" ht="15" hidden="false" customHeight="false" outlineLevel="0" collapsed="false">
      <c r="B315" s="63" t="s">
        <v>857</v>
      </c>
    </row>
    <row r="316" customFormat="false" ht="15" hidden="false" customHeight="false" outlineLevel="0" collapsed="false">
      <c r="B316" s="137" t="s">
        <v>858</v>
      </c>
    </row>
    <row r="317" customFormat="false" ht="15" hidden="false" customHeight="false" outlineLevel="0" collapsed="false">
      <c r="B317" s="139" t="s">
        <v>859</v>
      </c>
    </row>
    <row r="318" customFormat="false" ht="15" hidden="false" customHeight="false" outlineLevel="0" collapsed="false">
      <c r="B318" s="140" t="s">
        <v>860</v>
      </c>
      <c r="C318" s="133" t="s">
        <v>861</v>
      </c>
      <c r="D318" s="134" t="n">
        <v>190800000</v>
      </c>
      <c r="E318" s="134" t="n">
        <v>216700000</v>
      </c>
      <c r="F318" s="134" t="n">
        <v>226000000</v>
      </c>
      <c r="G318" s="134" t="n">
        <v>95100000</v>
      </c>
      <c r="H318" s="134" t="n">
        <v>55200000</v>
      </c>
      <c r="I318" s="134" t="n">
        <v>94200000</v>
      </c>
      <c r="J318" s="134" t="n">
        <v>99500000</v>
      </c>
      <c r="K318" s="134" t="n">
        <v>307800000</v>
      </c>
      <c r="L318" s="134" t="n">
        <v>694100000</v>
      </c>
    </row>
    <row r="319" customFormat="false" ht="15" hidden="false" customHeight="false" outlineLevel="0" collapsed="false">
      <c r="B319" s="140" t="s">
        <v>862</v>
      </c>
      <c r="C319" s="133" t="s">
        <v>863</v>
      </c>
      <c r="D319" s="134" t="n">
        <v>1895800000</v>
      </c>
      <c r="E319" s="134" t="n">
        <v>3007700000</v>
      </c>
      <c r="F319" s="134" t="n">
        <v>2983600000</v>
      </c>
      <c r="G319" s="134" t="n">
        <v>1756600000</v>
      </c>
      <c r="H319" s="134" t="n">
        <v>132800000</v>
      </c>
      <c r="I319" s="134" t="n">
        <v>35800000</v>
      </c>
      <c r="J319" s="134" t="n">
        <v>1283000000</v>
      </c>
      <c r="K319" s="134" t="n">
        <v>1068000000</v>
      </c>
      <c r="L319" s="134" t="n">
        <v>200400000</v>
      </c>
    </row>
    <row r="320" customFormat="false" ht="15" hidden="false" customHeight="false" outlineLevel="0" collapsed="false">
      <c r="B320" s="140" t="s">
        <v>864</v>
      </c>
      <c r="C320" s="133" t="s">
        <v>865</v>
      </c>
      <c r="D320" s="134" t="n">
        <v>1689600000</v>
      </c>
      <c r="E320" s="134" t="n">
        <v>310200000</v>
      </c>
      <c r="F320" s="134" t="n">
        <v>614100000</v>
      </c>
      <c r="G320" s="134" t="n">
        <v>491100000</v>
      </c>
      <c r="H320" s="134" t="n">
        <v>505200000</v>
      </c>
      <c r="I320" s="134" t="n">
        <v>496000000</v>
      </c>
      <c r="J320" s="134" t="n">
        <v>536400000</v>
      </c>
      <c r="K320" s="134" t="n">
        <v>540600000</v>
      </c>
      <c r="L320" s="134" t="n">
        <v>19300000</v>
      </c>
    </row>
    <row r="321" customFormat="false" ht="15" hidden="false" customHeight="false" outlineLevel="0" collapsed="false">
      <c r="B321" s="143" t="s">
        <v>866</v>
      </c>
      <c r="C321" s="133" t="s">
        <v>867</v>
      </c>
      <c r="D321" s="136" t="n">
        <v>3776200000</v>
      </c>
      <c r="E321" s="136" t="n">
        <v>3534600000</v>
      </c>
      <c r="F321" s="136" t="n">
        <v>3823700000</v>
      </c>
      <c r="G321" s="136" t="n">
        <v>2342800000</v>
      </c>
      <c r="H321" s="136" t="n">
        <v>693200000</v>
      </c>
      <c r="I321" s="136" t="n">
        <v>626000000</v>
      </c>
      <c r="J321" s="136" t="n">
        <v>1918900000</v>
      </c>
      <c r="K321" s="136" t="n">
        <v>1916400000</v>
      </c>
      <c r="L321" s="136" t="n">
        <v>913800000</v>
      </c>
    </row>
    <row r="322" customFormat="false" ht="15" hidden="false" customHeight="false" outlineLevel="0" collapsed="false">
      <c r="B322" s="145" t="s">
        <v>868</v>
      </c>
      <c r="C322" s="133" t="s">
        <v>869</v>
      </c>
      <c r="D322" s="136" t="n">
        <v>3776200000</v>
      </c>
      <c r="E322" s="136" t="n">
        <v>3534600000</v>
      </c>
      <c r="F322" s="136" t="n">
        <v>3823700000</v>
      </c>
      <c r="G322" s="136" t="n">
        <v>2342800000</v>
      </c>
      <c r="H322" s="136" t="n">
        <v>693200000</v>
      </c>
      <c r="I322" s="136" t="n">
        <v>626000000</v>
      </c>
      <c r="J322" s="136" t="n">
        <v>1918900000</v>
      </c>
      <c r="K322" s="136" t="n">
        <v>1916400000</v>
      </c>
      <c r="L322" s="136" t="n">
        <v>913800000</v>
      </c>
    </row>
    <row r="323" customFormat="false" ht="15" hidden="false" customHeight="false" outlineLevel="0" collapsed="false">
      <c r="B323" s="137" t="s">
        <v>870</v>
      </c>
    </row>
    <row r="324" customFormat="false" ht="15" hidden="false" customHeight="false" outlineLevel="0" collapsed="false">
      <c r="B324" s="138" t="s">
        <v>871</v>
      </c>
      <c r="C324" s="133" t="s">
        <v>872</v>
      </c>
      <c r="D324" s="134" t="n">
        <v>216600000</v>
      </c>
      <c r="E324" s="134" t="n">
        <v>141900000</v>
      </c>
      <c r="F324" s="134" t="n">
        <v>2800000</v>
      </c>
      <c r="G324" s="134" t="n">
        <v>0</v>
      </c>
      <c r="H324" s="134" t="n">
        <v>0</v>
      </c>
      <c r="I324" s="134" t="n">
        <v>0</v>
      </c>
      <c r="J324" s="134" t="n">
        <v>0</v>
      </c>
      <c r="K324" s="134" t="n">
        <v>0</v>
      </c>
      <c r="L324" s="134" t="n">
        <v>200000</v>
      </c>
    </row>
    <row r="325" customFormat="false" ht="15" hidden="false" customHeight="false" outlineLevel="0" collapsed="false">
      <c r="B325" s="145" t="s">
        <v>873</v>
      </c>
      <c r="C325" s="133" t="s">
        <v>874</v>
      </c>
      <c r="D325" s="136" t="n">
        <v>216600000</v>
      </c>
      <c r="E325" s="136" t="n">
        <v>141900000</v>
      </c>
      <c r="F325" s="136" t="n">
        <v>2800000</v>
      </c>
      <c r="G325" s="136" t="n">
        <v>0</v>
      </c>
      <c r="H325" s="136" t="n">
        <v>0</v>
      </c>
      <c r="I325" s="136" t="n">
        <v>0</v>
      </c>
      <c r="J325" s="136" t="n">
        <v>0</v>
      </c>
      <c r="K325" s="136" t="n">
        <v>0</v>
      </c>
      <c r="L325" s="136" t="n">
        <v>200000</v>
      </c>
    </row>
    <row r="326" customFormat="false" ht="15" hidden="false" customHeight="false" outlineLevel="0" collapsed="false">
      <c r="B326" s="137" t="s">
        <v>875</v>
      </c>
    </row>
    <row r="327" customFormat="false" ht="15" hidden="false" customHeight="false" outlineLevel="0" collapsed="false">
      <c r="B327" s="138" t="s">
        <v>1339</v>
      </c>
      <c r="C327" s="133" t="s">
        <v>1340</v>
      </c>
      <c r="D327" s="134" t="n">
        <v>0</v>
      </c>
      <c r="E327" s="134" t="n">
        <v>0</v>
      </c>
      <c r="F327" s="134" t="n">
        <v>0</v>
      </c>
      <c r="G327" s="134" t="n">
        <v>0</v>
      </c>
      <c r="H327" s="134" t="n">
        <v>0</v>
      </c>
      <c r="I327" s="134" t="n">
        <v>0</v>
      </c>
      <c r="J327" s="134" t="n">
        <v>0</v>
      </c>
      <c r="K327" s="134" t="n">
        <v>0</v>
      </c>
      <c r="L327" s="134" t="n">
        <v>70600000</v>
      </c>
    </row>
    <row r="328" customFormat="false" ht="15" hidden="false" customHeight="false" outlineLevel="0" collapsed="false">
      <c r="B328" s="138" t="s">
        <v>878</v>
      </c>
      <c r="C328" s="133" t="s">
        <v>879</v>
      </c>
      <c r="D328" s="134" t="n">
        <v>16900000</v>
      </c>
      <c r="E328" s="134" t="n">
        <v>15100000</v>
      </c>
      <c r="F328" s="134" t="n">
        <v>533300000</v>
      </c>
      <c r="G328" s="134" t="n">
        <v>19000000</v>
      </c>
      <c r="H328" s="134" t="n">
        <v>4300000</v>
      </c>
      <c r="I328" s="134" t="n">
        <v>4200000</v>
      </c>
      <c r="J328" s="134" t="n">
        <v>3300000</v>
      </c>
      <c r="K328" s="134" t="n">
        <v>12400000</v>
      </c>
      <c r="L328" s="134" t="n">
        <v>38500000</v>
      </c>
    </row>
    <row r="329" customFormat="false" ht="15" hidden="false" customHeight="false" outlineLevel="0" collapsed="false">
      <c r="B329" s="145" t="s">
        <v>880</v>
      </c>
      <c r="C329" s="133" t="s">
        <v>881</v>
      </c>
      <c r="D329" s="136" t="n">
        <v>16900000</v>
      </c>
      <c r="E329" s="136" t="n">
        <v>15100000</v>
      </c>
      <c r="F329" s="136" t="n">
        <v>533300000</v>
      </c>
      <c r="G329" s="136" t="n">
        <v>19000000</v>
      </c>
      <c r="H329" s="136" t="n">
        <v>4300000</v>
      </c>
      <c r="I329" s="136" t="n">
        <v>4200000</v>
      </c>
      <c r="J329" s="136" t="n">
        <v>3300000</v>
      </c>
      <c r="K329" s="136" t="n">
        <v>12400000</v>
      </c>
      <c r="L329" s="136" t="n">
        <v>109100000</v>
      </c>
    </row>
    <row r="330" customFormat="false" ht="15" hidden="false" customHeight="false" outlineLevel="0" collapsed="false">
      <c r="B330" s="135" t="s">
        <v>114</v>
      </c>
      <c r="C330" s="133" t="s">
        <v>570</v>
      </c>
      <c r="D330" s="136" t="n">
        <v>4009700000</v>
      </c>
      <c r="E330" s="136" t="n">
        <v>3691600000</v>
      </c>
      <c r="F330" s="136" t="n">
        <v>4359800000</v>
      </c>
      <c r="G330" s="136" t="n">
        <v>2361800000</v>
      </c>
      <c r="H330" s="136" t="n">
        <v>697500000</v>
      </c>
      <c r="I330" s="136" t="n">
        <v>630200000</v>
      </c>
      <c r="J330" s="136" t="n">
        <v>1922200000</v>
      </c>
      <c r="K330" s="136" t="n">
        <v>1928800000</v>
      </c>
      <c r="L330" s="136" t="n">
        <v>1023100000</v>
      </c>
    </row>
    <row r="332" customFormat="false" ht="15" hidden="false" customHeight="false" outlineLevel="0" collapsed="false">
      <c r="B332" s="63" t="s">
        <v>882</v>
      </c>
    </row>
    <row r="333" customFormat="false" ht="15" hidden="false" customHeight="false" outlineLevel="0" collapsed="false">
      <c r="B333" s="137" t="s">
        <v>883</v>
      </c>
    </row>
    <row r="334" customFormat="false" ht="15" hidden="false" customHeight="false" outlineLevel="0" collapsed="false">
      <c r="B334" s="138" t="s">
        <v>1341</v>
      </c>
      <c r="C334" s="133" t="s">
        <v>1342</v>
      </c>
      <c r="D334" s="134" t="n">
        <v>1115400000</v>
      </c>
      <c r="E334" s="134" t="n">
        <v>0</v>
      </c>
      <c r="F334" s="134" t="n">
        <v>0</v>
      </c>
      <c r="G334" s="134" t="n">
        <v>0</v>
      </c>
      <c r="H334" s="134" t="n">
        <v>0</v>
      </c>
      <c r="I334" s="134" t="n">
        <v>0</v>
      </c>
      <c r="J334" s="134" t="n">
        <v>0</v>
      </c>
      <c r="K334" s="134" t="n">
        <v>0</v>
      </c>
      <c r="L334" s="134" t="n">
        <v>0</v>
      </c>
    </row>
    <row r="335" customFormat="false" ht="15" hidden="false" customHeight="false" outlineLevel="0" collapsed="false">
      <c r="B335" s="138" t="s">
        <v>884</v>
      </c>
      <c r="C335" s="133" t="s">
        <v>885</v>
      </c>
      <c r="D335" s="134" t="n">
        <v>7741600000</v>
      </c>
      <c r="E335" s="134" t="n">
        <v>9148000000</v>
      </c>
      <c r="F335" s="134" t="n">
        <v>9386700000</v>
      </c>
      <c r="G335" s="134" t="n">
        <v>11405700000</v>
      </c>
      <c r="H335" s="134" t="n">
        <v>9830700000</v>
      </c>
      <c r="I335" s="134" t="n">
        <v>7770800000</v>
      </c>
      <c r="J335" s="134" t="n">
        <v>4415600000</v>
      </c>
      <c r="K335" s="134" t="n">
        <v>2256700000</v>
      </c>
      <c r="L335" s="134" t="n">
        <v>2288600000</v>
      </c>
    </row>
    <row r="336" customFormat="false" ht="15" hidden="false" customHeight="false" outlineLevel="0" collapsed="false">
      <c r="B336" s="145" t="s">
        <v>886</v>
      </c>
      <c r="C336" s="133" t="s">
        <v>887</v>
      </c>
      <c r="D336" s="136" t="n">
        <v>8857000000</v>
      </c>
      <c r="E336" s="136" t="n">
        <v>9148000000</v>
      </c>
      <c r="F336" s="136" t="n">
        <v>9386700000</v>
      </c>
      <c r="G336" s="136" t="n">
        <v>11405700000</v>
      </c>
      <c r="H336" s="136" t="n">
        <v>9830700000</v>
      </c>
      <c r="I336" s="136" t="n">
        <v>7770800000</v>
      </c>
      <c r="J336" s="136" t="n">
        <v>4415600000</v>
      </c>
      <c r="K336" s="136" t="n">
        <v>2256700000</v>
      </c>
      <c r="L336" s="136" t="n">
        <v>2288600000</v>
      </c>
    </row>
    <row r="337" customFormat="false" ht="15" hidden="false" customHeight="false" outlineLevel="0" collapsed="false">
      <c r="B337" s="132" t="s">
        <v>888</v>
      </c>
      <c r="C337" s="133" t="s">
        <v>889</v>
      </c>
      <c r="D337" s="134" t="n">
        <v>385100000</v>
      </c>
      <c r="E337" s="134" t="n">
        <v>2929300000</v>
      </c>
      <c r="F337" s="134" t="n">
        <v>0</v>
      </c>
      <c r="G337" s="134" t="n">
        <v>0</v>
      </c>
      <c r="H337" s="134" t="n">
        <v>0</v>
      </c>
      <c r="I337" s="134" t="n">
        <v>0</v>
      </c>
      <c r="J337" s="134" t="n">
        <v>0</v>
      </c>
      <c r="K337" s="134" t="n">
        <v>0</v>
      </c>
      <c r="L337" s="134" t="n">
        <v>0</v>
      </c>
    </row>
    <row r="338" customFormat="false" ht="15" hidden="false" customHeight="false" outlineLevel="0" collapsed="false">
      <c r="B338" s="132" t="s">
        <v>890</v>
      </c>
      <c r="C338" s="133" t="s">
        <v>891</v>
      </c>
      <c r="D338" s="134" t="n">
        <v>65000000</v>
      </c>
      <c r="E338" s="134" t="n">
        <v>151100000</v>
      </c>
      <c r="F338" s="134" t="n">
        <v>49800000</v>
      </c>
      <c r="G338" s="134" t="n">
        <v>0</v>
      </c>
      <c r="H338" s="134" t="n">
        <v>0</v>
      </c>
      <c r="I338" s="134" t="n">
        <v>0</v>
      </c>
      <c r="J338" s="134" t="n">
        <v>0</v>
      </c>
      <c r="K338" s="134" t="n">
        <v>0</v>
      </c>
      <c r="L338" s="134" t="n">
        <v>0</v>
      </c>
    </row>
    <row r="339" customFormat="false" ht="15" hidden="false" customHeight="false" outlineLevel="0" collapsed="false">
      <c r="B339" s="135" t="s">
        <v>126</v>
      </c>
      <c r="C339" s="133" t="s">
        <v>578</v>
      </c>
      <c r="D339" s="136" t="n">
        <v>9307100000</v>
      </c>
      <c r="E339" s="136" t="n">
        <v>12228400000</v>
      </c>
      <c r="F339" s="136" t="n">
        <v>9436500000</v>
      </c>
      <c r="G339" s="136" t="n">
        <v>11405700000</v>
      </c>
      <c r="H339" s="136" t="n">
        <v>9830700000</v>
      </c>
      <c r="I339" s="136" t="n">
        <v>7770800000</v>
      </c>
      <c r="J339" s="136" t="n">
        <v>4415600000</v>
      </c>
      <c r="K339" s="136" t="n">
        <v>2256700000</v>
      </c>
      <c r="L339" s="136" t="n">
        <v>2288600000</v>
      </c>
    </row>
    <row r="341" customFormat="false" ht="15" hidden="false" customHeight="false" outlineLevel="0" collapsed="false">
      <c r="B341" s="63" t="s">
        <v>892</v>
      </c>
    </row>
    <row r="342" customFormat="false" ht="15" hidden="false" customHeight="false" outlineLevel="0" collapsed="false">
      <c r="B342" s="132" t="s">
        <v>893</v>
      </c>
      <c r="C342" s="133" t="s">
        <v>894</v>
      </c>
      <c r="D342" s="134" t="n">
        <v>3731600000</v>
      </c>
      <c r="E342" s="134" t="n">
        <v>2461800000</v>
      </c>
      <c r="F342" s="134" t="n">
        <v>2975400000</v>
      </c>
      <c r="G342" s="134" t="n">
        <v>2511900000</v>
      </c>
      <c r="H342" s="134" t="n">
        <v>1689000000</v>
      </c>
      <c r="I342" s="134" t="n">
        <v>2073500000</v>
      </c>
      <c r="J342" s="134" t="n">
        <v>2328800000</v>
      </c>
      <c r="K342" s="134" t="n">
        <v>2617300000</v>
      </c>
      <c r="L342" s="134" t="n">
        <v>5955500000</v>
      </c>
    </row>
    <row r="343" customFormat="false" ht="15" hidden="false" customHeight="false" outlineLevel="0" collapsed="false">
      <c r="B343" s="137" t="s">
        <v>895</v>
      </c>
    </row>
    <row r="344" customFormat="false" ht="15" hidden="false" customHeight="false" outlineLevel="0" collapsed="false">
      <c r="B344" s="138" t="s">
        <v>896</v>
      </c>
      <c r="C344" s="133" t="s">
        <v>897</v>
      </c>
      <c r="D344" s="134" t="n">
        <v>163700000</v>
      </c>
      <c r="E344" s="134" t="n">
        <v>139000000</v>
      </c>
      <c r="F344" s="134" t="n">
        <v>129200000</v>
      </c>
      <c r="G344" s="134" t="n">
        <v>163600000</v>
      </c>
      <c r="H344" s="134" t="n">
        <v>127000000</v>
      </c>
      <c r="I344" s="134" t="n">
        <v>134900000</v>
      </c>
      <c r="J344" s="134" t="n">
        <v>136800000</v>
      </c>
      <c r="K344" s="134" t="n">
        <v>163300000</v>
      </c>
      <c r="L344" s="134" t="n">
        <v>384000000</v>
      </c>
    </row>
    <row r="345" customFormat="false" ht="15" hidden="false" customHeight="false" outlineLevel="0" collapsed="false">
      <c r="B345" s="145" t="s">
        <v>898</v>
      </c>
      <c r="C345" s="133" t="s">
        <v>899</v>
      </c>
      <c r="D345" s="136" t="n">
        <v>163700000</v>
      </c>
      <c r="E345" s="136" t="n">
        <v>139000000</v>
      </c>
      <c r="F345" s="136" t="n">
        <v>129200000</v>
      </c>
      <c r="G345" s="136" t="n">
        <v>163600000</v>
      </c>
      <c r="H345" s="136" t="n">
        <v>127000000</v>
      </c>
      <c r="I345" s="136" t="n">
        <v>134900000</v>
      </c>
      <c r="J345" s="136" t="n">
        <v>136800000</v>
      </c>
      <c r="K345" s="136" t="n">
        <v>163300000</v>
      </c>
      <c r="L345" s="136" t="n">
        <v>384000000</v>
      </c>
    </row>
    <row r="346" customFormat="false" ht="15" hidden="false" customHeight="false" outlineLevel="0" collapsed="false">
      <c r="B346" s="137" t="s">
        <v>900</v>
      </c>
    </row>
    <row r="347" customFormat="false" ht="15" hidden="false" customHeight="false" outlineLevel="0" collapsed="false">
      <c r="B347" s="138" t="s">
        <v>901</v>
      </c>
      <c r="C347" s="133" t="s">
        <v>902</v>
      </c>
      <c r="D347" s="134" t="n">
        <v>22400000</v>
      </c>
      <c r="E347" s="134" t="n">
        <v>0</v>
      </c>
      <c r="F347" s="134" t="n">
        <v>0</v>
      </c>
      <c r="G347" s="134" t="n">
        <v>0</v>
      </c>
      <c r="H347" s="134" t="n">
        <v>0</v>
      </c>
      <c r="I347" s="134" t="n">
        <v>0</v>
      </c>
      <c r="J347" s="134" t="n">
        <v>0</v>
      </c>
      <c r="K347" s="134" t="n">
        <v>122200000</v>
      </c>
      <c r="L347" s="134" t="n">
        <v>1111900000</v>
      </c>
    </row>
    <row r="348" customFormat="false" ht="15" hidden="false" customHeight="false" outlineLevel="0" collapsed="false">
      <c r="B348" s="145" t="s">
        <v>903</v>
      </c>
      <c r="C348" s="133" t="s">
        <v>904</v>
      </c>
      <c r="D348" s="136" t="n">
        <v>22400000</v>
      </c>
      <c r="E348" s="136" t="n">
        <v>0</v>
      </c>
      <c r="F348" s="136" t="n">
        <v>0</v>
      </c>
      <c r="G348" s="136" t="n">
        <v>0</v>
      </c>
      <c r="H348" s="136" t="n">
        <v>0</v>
      </c>
      <c r="I348" s="136" t="n">
        <v>0</v>
      </c>
      <c r="J348" s="136" t="n">
        <v>0</v>
      </c>
      <c r="K348" s="136" t="n">
        <v>122200000</v>
      </c>
      <c r="L348" s="136" t="n">
        <v>1111900000</v>
      </c>
    </row>
    <row r="349" customFormat="false" ht="15" hidden="false" customHeight="false" outlineLevel="0" collapsed="false">
      <c r="B349" s="132" t="s">
        <v>905</v>
      </c>
      <c r="C349" s="133" t="s">
        <v>905</v>
      </c>
      <c r="D349" s="134" t="n">
        <v>45400000</v>
      </c>
      <c r="E349" s="134" t="n">
        <v>67600000</v>
      </c>
      <c r="F349" s="134" t="n">
        <v>60900000</v>
      </c>
      <c r="G349" s="134" t="n">
        <v>0</v>
      </c>
      <c r="H349" s="134" t="n">
        <v>0</v>
      </c>
      <c r="I349" s="134" t="n">
        <v>0</v>
      </c>
      <c r="J349" s="134" t="n">
        <v>0</v>
      </c>
      <c r="K349" s="134" t="n">
        <v>0</v>
      </c>
      <c r="L349" s="134" t="n">
        <v>0</v>
      </c>
    </row>
    <row r="350" customFormat="false" ht="15" hidden="false" customHeight="false" outlineLevel="0" collapsed="false">
      <c r="B350" s="132" t="s">
        <v>906</v>
      </c>
      <c r="C350" s="133" t="s">
        <v>907</v>
      </c>
      <c r="D350" s="134" t="n">
        <v>188800000</v>
      </c>
      <c r="E350" s="134" t="n">
        <v>116400000</v>
      </c>
      <c r="F350" s="134" t="n">
        <v>99900000</v>
      </c>
      <c r="G350" s="134" t="n">
        <v>39300000</v>
      </c>
      <c r="H350" s="134" t="n">
        <v>13700000</v>
      </c>
      <c r="I350" s="134" t="n">
        <v>47800000</v>
      </c>
      <c r="J350" s="134" t="n">
        <v>59500000</v>
      </c>
      <c r="K350" s="134" t="n">
        <v>220800000</v>
      </c>
      <c r="L350" s="134" t="n">
        <v>466100000</v>
      </c>
    </row>
    <row r="351" customFormat="false" ht="15" hidden="false" customHeight="false" outlineLevel="0" collapsed="false">
      <c r="B351" s="135" t="s">
        <v>576</v>
      </c>
      <c r="C351" s="133" t="s">
        <v>577</v>
      </c>
      <c r="D351" s="136" t="n">
        <v>4151900000</v>
      </c>
      <c r="E351" s="136" t="n">
        <v>2784800000</v>
      </c>
      <c r="F351" s="136" t="n">
        <v>3265400000</v>
      </c>
      <c r="G351" s="136" t="n">
        <v>2714800000</v>
      </c>
      <c r="H351" s="136" t="n">
        <v>1829700000</v>
      </c>
      <c r="I351" s="136" t="n">
        <v>2256200000</v>
      </c>
      <c r="J351" s="136" t="n">
        <v>2525100000</v>
      </c>
      <c r="K351" s="136" t="n">
        <v>3123600000</v>
      </c>
      <c r="L351" s="136" t="n">
        <v>7917500000</v>
      </c>
    </row>
    <row r="353" customFormat="false" ht="15" hidden="false" customHeight="false" outlineLevel="0" collapsed="false">
      <c r="B353" s="63" t="s">
        <v>908</v>
      </c>
    </row>
    <row r="354" customFormat="false" ht="15" hidden="false" customHeight="false" outlineLevel="0" collapsed="false">
      <c r="B354" s="132" t="s">
        <v>909</v>
      </c>
      <c r="C354" s="133" t="s">
        <v>910</v>
      </c>
      <c r="D354" s="134" t="n">
        <v>1520100000</v>
      </c>
      <c r="E354" s="134" t="n">
        <v>1559900000</v>
      </c>
      <c r="F354" s="134" t="n">
        <v>1751700000</v>
      </c>
      <c r="G354" s="134" t="n">
        <v>2464900000</v>
      </c>
      <c r="H354" s="134" t="n">
        <v>639000000</v>
      </c>
      <c r="I354" s="134" t="n">
        <v>769500000</v>
      </c>
      <c r="J354" s="134" t="n">
        <v>947400000</v>
      </c>
      <c r="K354" s="134" t="n">
        <v>715200000</v>
      </c>
      <c r="L354" s="134" t="n">
        <v>1255500000</v>
      </c>
    </row>
    <row r="355" customFormat="false" ht="15" hidden="false" customHeight="false" outlineLevel="0" collapsed="false">
      <c r="B355" s="132" t="s">
        <v>911</v>
      </c>
      <c r="C355" s="133" t="s">
        <v>912</v>
      </c>
      <c r="D355" s="134" t="n">
        <v>2619800000</v>
      </c>
      <c r="E355" s="134" t="n">
        <v>2632900000</v>
      </c>
      <c r="F355" s="134" t="n">
        <v>2637400000</v>
      </c>
      <c r="G355" s="134" t="n">
        <v>4356600000</v>
      </c>
      <c r="H355" s="134" t="n">
        <v>1226000000</v>
      </c>
      <c r="I355" s="134" t="n">
        <v>1081800000</v>
      </c>
      <c r="J355" s="134" t="n">
        <v>953000000</v>
      </c>
      <c r="K355" s="134" t="n">
        <v>480500000</v>
      </c>
      <c r="L355" s="134" t="n">
        <v>413000000</v>
      </c>
    </row>
    <row r="356" customFormat="false" ht="15" hidden="false" customHeight="false" outlineLevel="0" collapsed="false">
      <c r="B356" s="135" t="s">
        <v>579</v>
      </c>
      <c r="C356" s="133" t="s">
        <v>580</v>
      </c>
      <c r="D356" s="136" t="n">
        <v>4139900000</v>
      </c>
      <c r="E356" s="136" t="n">
        <v>4192800000</v>
      </c>
      <c r="F356" s="136" t="n">
        <v>4389100000</v>
      </c>
      <c r="G356" s="136" t="n">
        <v>6821500000</v>
      </c>
      <c r="H356" s="136" t="n">
        <v>1865000000</v>
      </c>
      <c r="I356" s="136" t="n">
        <v>1851300000</v>
      </c>
      <c r="J356" s="136" t="n">
        <v>1900400000</v>
      </c>
      <c r="K356" s="136" t="n">
        <v>1195700000</v>
      </c>
      <c r="L356" s="136" t="n">
        <v>1668500000</v>
      </c>
    </row>
    <row r="358" customFormat="false" ht="15" hidden="false" customHeight="false" outlineLevel="0" collapsed="false">
      <c r="B358" s="63" t="s">
        <v>913</v>
      </c>
    </row>
    <row r="359" customFormat="false" ht="15" hidden="false" customHeight="false" outlineLevel="0" collapsed="false">
      <c r="B359" s="132" t="s">
        <v>914</v>
      </c>
      <c r="C359" s="133" t="s">
        <v>915</v>
      </c>
      <c r="D359" s="134" t="n">
        <v>1435300000</v>
      </c>
      <c r="E359" s="134" t="n">
        <v>900800000</v>
      </c>
      <c r="F359" s="134" t="n">
        <v>466100000</v>
      </c>
      <c r="G359" s="134" t="n">
        <v>52700000</v>
      </c>
      <c r="H359" s="134" t="n">
        <v>94500000</v>
      </c>
      <c r="I359" s="134" t="n">
        <v>565100000</v>
      </c>
      <c r="J359" s="134" t="n">
        <v>476400000</v>
      </c>
      <c r="K359" s="134" t="n">
        <v>536600000</v>
      </c>
      <c r="L359" s="134" t="n">
        <v>1051100000</v>
      </c>
    </row>
    <row r="360" customFormat="false" ht="15" hidden="false" customHeight="false" outlineLevel="0" collapsed="false">
      <c r="B360" s="132" t="s">
        <v>916</v>
      </c>
      <c r="C360" s="133" t="s">
        <v>917</v>
      </c>
      <c r="D360" s="134" t="n">
        <v>270100000</v>
      </c>
      <c r="E360" s="134" t="n">
        <v>168400000</v>
      </c>
      <c r="F360" s="134" t="n">
        <v>129400000</v>
      </c>
      <c r="G360" s="134" t="n">
        <v>82200000</v>
      </c>
      <c r="H360" s="134" t="n">
        <v>70300000</v>
      </c>
      <c r="I360" s="134" t="n">
        <v>147200000</v>
      </c>
      <c r="J360" s="134" t="n">
        <v>147000000</v>
      </c>
      <c r="K360" s="134" t="n">
        <v>132800000</v>
      </c>
      <c r="L360" s="134" t="n">
        <v>169900000</v>
      </c>
    </row>
    <row r="361" customFormat="false" ht="15" hidden="false" customHeight="false" outlineLevel="0" collapsed="false">
      <c r="B361" s="132" t="s">
        <v>918</v>
      </c>
      <c r="C361" s="133" t="s">
        <v>918</v>
      </c>
      <c r="D361" s="134" t="n">
        <v>441200000</v>
      </c>
      <c r="E361" s="134" t="n">
        <v>374500000</v>
      </c>
      <c r="F361" s="134" t="n">
        <v>315400000</v>
      </c>
      <c r="G361" s="134" t="n">
        <v>182800000</v>
      </c>
      <c r="H361" s="134" t="n">
        <v>129000000</v>
      </c>
      <c r="I361" s="134" t="n">
        <v>112100000</v>
      </c>
      <c r="J361" s="134" t="n">
        <v>117800000</v>
      </c>
      <c r="K361" s="134" t="n">
        <v>91800000</v>
      </c>
      <c r="L361" s="134" t="n">
        <v>273100000</v>
      </c>
    </row>
    <row r="362" customFormat="false" ht="15" hidden="false" customHeight="false" outlineLevel="0" collapsed="false">
      <c r="B362" s="132" t="s">
        <v>919</v>
      </c>
      <c r="C362" s="133" t="s">
        <v>920</v>
      </c>
      <c r="D362" s="134" t="n">
        <v>75600000</v>
      </c>
      <c r="E362" s="134" t="n">
        <v>30200000</v>
      </c>
      <c r="F362" s="134" t="n">
        <v>36300000</v>
      </c>
      <c r="G362" s="134" t="n">
        <v>18500000</v>
      </c>
      <c r="H362" s="134" t="n">
        <v>47900000</v>
      </c>
      <c r="I362" s="134" t="n">
        <v>51200000</v>
      </c>
      <c r="J362" s="134" t="n">
        <v>54200000</v>
      </c>
      <c r="K362" s="134" t="n">
        <v>63300000</v>
      </c>
      <c r="L362" s="134" t="n">
        <v>100500000</v>
      </c>
    </row>
    <row r="363" customFormat="false" ht="15" hidden="false" customHeight="false" outlineLevel="0" collapsed="false">
      <c r="B363" s="132" t="s">
        <v>921</v>
      </c>
      <c r="C363" s="133" t="s">
        <v>922</v>
      </c>
      <c r="D363" s="134" t="n">
        <v>67900000</v>
      </c>
      <c r="E363" s="134" t="n">
        <v>42200000</v>
      </c>
      <c r="F363" s="134" t="n">
        <v>42100000</v>
      </c>
      <c r="G363" s="134" t="n">
        <v>19900000</v>
      </c>
      <c r="H363" s="134" t="n">
        <v>27000000</v>
      </c>
      <c r="I363" s="134" t="n">
        <v>50700000</v>
      </c>
      <c r="J363" s="134" t="n">
        <v>62700000</v>
      </c>
      <c r="K363" s="134" t="n">
        <v>61500000</v>
      </c>
      <c r="L363" s="134" t="n">
        <v>81800000</v>
      </c>
    </row>
    <row r="364" customFormat="false" ht="15" hidden="false" customHeight="false" outlineLevel="0" collapsed="false">
      <c r="B364" s="132" t="s">
        <v>923</v>
      </c>
      <c r="C364" s="133" t="s">
        <v>923</v>
      </c>
      <c r="D364" s="134" t="n">
        <v>141100000</v>
      </c>
      <c r="E364" s="134" t="n">
        <v>120700000</v>
      </c>
      <c r="F364" s="134" t="n">
        <v>118700000</v>
      </c>
      <c r="G364" s="134" t="n">
        <v>113900000</v>
      </c>
      <c r="H364" s="134" t="n">
        <v>62100000</v>
      </c>
      <c r="I364" s="134" t="n">
        <v>82500000</v>
      </c>
      <c r="J364" s="134" t="n">
        <v>87400000</v>
      </c>
      <c r="K364" s="134" t="n">
        <v>102200000</v>
      </c>
      <c r="L364" s="134" t="n">
        <v>241000000</v>
      </c>
    </row>
    <row r="365" customFormat="false" ht="15" hidden="false" customHeight="false" outlineLevel="0" collapsed="false">
      <c r="B365" s="137" t="s">
        <v>924</v>
      </c>
    </row>
    <row r="366" customFormat="false" ht="15" hidden="false" customHeight="false" outlineLevel="0" collapsed="false">
      <c r="B366" s="138" t="s">
        <v>925</v>
      </c>
      <c r="C366" s="133" t="s">
        <v>926</v>
      </c>
      <c r="D366" s="134" t="n">
        <v>139000000</v>
      </c>
      <c r="E366" s="134" t="n">
        <v>73500000</v>
      </c>
      <c r="F366" s="134" t="n">
        <v>43800000</v>
      </c>
      <c r="G366" s="134" t="n">
        <v>43200000</v>
      </c>
      <c r="H366" s="134" t="n">
        <v>102400000</v>
      </c>
      <c r="I366" s="134" t="n">
        <v>38600000</v>
      </c>
      <c r="J366" s="134" t="n">
        <v>79900000</v>
      </c>
      <c r="K366" s="134" t="n">
        <v>80600000</v>
      </c>
      <c r="L366" s="134" t="n">
        <v>79600000</v>
      </c>
    </row>
    <row r="367" customFormat="false" ht="15" hidden="false" customHeight="false" outlineLevel="0" collapsed="false">
      <c r="B367" s="145" t="s">
        <v>927</v>
      </c>
      <c r="C367" s="133" t="s">
        <v>928</v>
      </c>
      <c r="D367" s="136" t="n">
        <v>139000000</v>
      </c>
      <c r="E367" s="136" t="n">
        <v>73500000</v>
      </c>
      <c r="F367" s="136" t="n">
        <v>43800000</v>
      </c>
      <c r="G367" s="136" t="n">
        <v>43200000</v>
      </c>
      <c r="H367" s="136" t="n">
        <v>102400000</v>
      </c>
      <c r="I367" s="136" t="n">
        <v>38600000</v>
      </c>
      <c r="J367" s="136" t="n">
        <v>79900000</v>
      </c>
      <c r="K367" s="136" t="n">
        <v>80600000</v>
      </c>
      <c r="L367" s="136" t="n">
        <v>79600000</v>
      </c>
    </row>
    <row r="368" customFormat="false" ht="15" hidden="false" customHeight="false" outlineLevel="0" collapsed="false">
      <c r="B368" s="132" t="s">
        <v>929</v>
      </c>
      <c r="C368" s="133" t="s">
        <v>930</v>
      </c>
      <c r="D368" s="134" t="n">
        <v>173800000</v>
      </c>
      <c r="E368" s="134" t="n">
        <v>104800000</v>
      </c>
      <c r="F368" s="134" t="n">
        <v>268800000</v>
      </c>
      <c r="G368" s="134" t="n">
        <v>26600000</v>
      </c>
      <c r="H368" s="134" t="n">
        <v>37800000</v>
      </c>
      <c r="I368" s="134" t="n">
        <v>30300000</v>
      </c>
      <c r="J368" s="134" t="n">
        <v>68000000</v>
      </c>
      <c r="K368" s="134" t="n">
        <v>88200000</v>
      </c>
      <c r="L368" s="134" t="n">
        <v>30400000</v>
      </c>
    </row>
    <row r="369" customFormat="false" ht="15" hidden="false" customHeight="false" outlineLevel="0" collapsed="false">
      <c r="B369" s="132" t="s">
        <v>931</v>
      </c>
      <c r="C369" s="133" t="s">
        <v>932</v>
      </c>
      <c r="D369" s="134" t="n">
        <v>69200000</v>
      </c>
      <c r="E369" s="134" t="n">
        <v>66700000</v>
      </c>
      <c r="F369" s="134" t="n">
        <v>50400000</v>
      </c>
      <c r="G369" s="134" t="n">
        <v>41500000</v>
      </c>
      <c r="H369" s="134" t="n">
        <v>22400000</v>
      </c>
      <c r="I369" s="134" t="n">
        <v>30000000</v>
      </c>
      <c r="J369" s="134" t="n">
        <v>29100000</v>
      </c>
      <c r="K369" s="134" t="n">
        <v>29000000</v>
      </c>
      <c r="L369" s="134" t="n">
        <v>76300000</v>
      </c>
    </row>
    <row r="370" customFormat="false" ht="15" hidden="false" customHeight="false" outlineLevel="0" collapsed="false">
      <c r="B370" s="132" t="s">
        <v>933</v>
      </c>
      <c r="C370" s="133" t="s">
        <v>934</v>
      </c>
      <c r="D370" s="134" t="n">
        <v>505700000</v>
      </c>
      <c r="E370" s="134" t="n">
        <v>400100000</v>
      </c>
      <c r="F370" s="134" t="n">
        <v>360100000</v>
      </c>
      <c r="G370" s="134" t="n">
        <v>157000000</v>
      </c>
      <c r="H370" s="134" t="n">
        <v>73700000</v>
      </c>
      <c r="I370" s="134" t="n">
        <v>105000000</v>
      </c>
      <c r="J370" s="134" t="n">
        <v>167400000</v>
      </c>
      <c r="K370" s="134" t="n">
        <v>208900000</v>
      </c>
      <c r="L370" s="134" t="n">
        <v>956200000</v>
      </c>
    </row>
    <row r="371" customFormat="false" ht="15" hidden="false" customHeight="false" outlineLevel="0" collapsed="false">
      <c r="B371" s="132" t="s">
        <v>1343</v>
      </c>
      <c r="C371" s="133" t="s">
        <v>1344</v>
      </c>
      <c r="D371" s="134" t="n">
        <v>74500000</v>
      </c>
      <c r="E371" s="134" t="n">
        <v>76100000</v>
      </c>
      <c r="F371" s="134" t="n">
        <v>69000000</v>
      </c>
      <c r="G371" s="134" t="n">
        <v>44100000</v>
      </c>
      <c r="H371" s="134" t="n">
        <v>32600000</v>
      </c>
      <c r="I371" s="134" t="n">
        <v>36000000</v>
      </c>
      <c r="J371" s="134" t="n">
        <v>40900000</v>
      </c>
      <c r="K371" s="134" t="n">
        <v>43300000</v>
      </c>
      <c r="L371" s="134" t="n">
        <v>535900000</v>
      </c>
    </row>
    <row r="372" customFormat="false" ht="15" hidden="false" customHeight="false" outlineLevel="0" collapsed="false">
      <c r="B372" s="132" t="s">
        <v>935</v>
      </c>
      <c r="C372" s="133" t="s">
        <v>936</v>
      </c>
      <c r="D372" s="134" t="n">
        <v>59800000</v>
      </c>
      <c r="E372" s="134" t="n">
        <v>44900000</v>
      </c>
      <c r="F372" s="134" t="n">
        <v>42900000</v>
      </c>
      <c r="G372" s="134" t="n">
        <v>5100000</v>
      </c>
      <c r="H372" s="134" t="n">
        <v>12900000</v>
      </c>
      <c r="I372" s="134" t="n">
        <v>14100000</v>
      </c>
      <c r="J372" s="134" t="n">
        <v>13200000</v>
      </c>
      <c r="K372" s="134" t="n">
        <v>9200000</v>
      </c>
      <c r="L372" s="134" t="n">
        <v>88100000</v>
      </c>
    </row>
    <row r="373" customFormat="false" ht="15" hidden="false" customHeight="false" outlineLevel="0" collapsed="false">
      <c r="B373" s="132" t="s">
        <v>937</v>
      </c>
      <c r="C373" s="133" t="s">
        <v>938</v>
      </c>
      <c r="D373" s="134" t="n">
        <v>181400000</v>
      </c>
      <c r="E373" s="134" t="n">
        <v>65700000</v>
      </c>
      <c r="F373" s="134" t="n">
        <v>50700000</v>
      </c>
      <c r="G373" s="134" t="n">
        <v>2000000</v>
      </c>
      <c r="H373" s="134" t="n">
        <v>8000000</v>
      </c>
      <c r="I373" s="134" t="n">
        <v>9600000</v>
      </c>
      <c r="J373" s="134" t="n">
        <v>26300000</v>
      </c>
      <c r="K373" s="134" t="n">
        <v>84700000</v>
      </c>
      <c r="L373" s="134" t="n">
        <v>225300000</v>
      </c>
    </row>
    <row r="374" customFormat="false" ht="15" hidden="false" customHeight="false" outlineLevel="0" collapsed="false">
      <c r="B374" s="132" t="s">
        <v>939</v>
      </c>
      <c r="C374" s="133" t="s">
        <v>940</v>
      </c>
      <c r="D374" s="134" t="n">
        <v>66500000</v>
      </c>
      <c r="E374" s="134" t="n">
        <v>127100000</v>
      </c>
      <c r="F374" s="134" t="n">
        <v>0</v>
      </c>
      <c r="G374" s="134" t="n">
        <v>0</v>
      </c>
      <c r="H374" s="134" t="n">
        <v>0</v>
      </c>
      <c r="I374" s="134" t="n">
        <v>0</v>
      </c>
      <c r="J374" s="134" t="n">
        <v>0</v>
      </c>
      <c r="K374" s="134" t="n">
        <v>0</v>
      </c>
      <c r="L374" s="134" t="n">
        <v>0</v>
      </c>
    </row>
    <row r="375" customFormat="false" ht="15" hidden="false" customHeight="false" outlineLevel="0" collapsed="false">
      <c r="B375" s="132" t="s">
        <v>1345</v>
      </c>
      <c r="C375" s="133" t="s">
        <v>1346</v>
      </c>
      <c r="D375" s="134" t="n">
        <v>3268800000</v>
      </c>
      <c r="E375" s="134" t="n">
        <v>0</v>
      </c>
      <c r="F375" s="134" t="n">
        <v>0</v>
      </c>
      <c r="G375" s="134" t="n">
        <v>0</v>
      </c>
      <c r="H375" s="134" t="n">
        <v>0</v>
      </c>
      <c r="I375" s="134" t="n">
        <v>0</v>
      </c>
      <c r="J375" s="134" t="n">
        <v>0</v>
      </c>
      <c r="K375" s="134" t="n">
        <v>0</v>
      </c>
      <c r="L375" s="134" t="n">
        <v>0</v>
      </c>
    </row>
    <row r="376" customFormat="false" ht="15" hidden="false" customHeight="false" outlineLevel="0" collapsed="false">
      <c r="B376" s="132" t="s">
        <v>1347</v>
      </c>
      <c r="C376" s="133" t="s">
        <v>1348</v>
      </c>
      <c r="D376" s="134" t="n">
        <v>228100000</v>
      </c>
      <c r="E376" s="134" t="n">
        <v>236300000</v>
      </c>
      <c r="F376" s="134" t="n">
        <v>239700000</v>
      </c>
      <c r="G376" s="134" t="n">
        <v>177700000</v>
      </c>
      <c r="H376" s="134" t="n">
        <v>69200000</v>
      </c>
      <c r="I376" s="134" t="n">
        <v>106200000</v>
      </c>
      <c r="J376" s="134" t="n">
        <v>129800000</v>
      </c>
      <c r="K376" s="134" t="n">
        <v>162000000</v>
      </c>
      <c r="L376" s="134" t="n">
        <v>353200000</v>
      </c>
    </row>
    <row r="377" customFormat="false" ht="15" hidden="false" customHeight="false" outlineLevel="0" collapsed="false">
      <c r="B377" s="137" t="s">
        <v>1349</v>
      </c>
    </row>
    <row r="378" customFormat="false" ht="15" hidden="false" customHeight="false" outlineLevel="0" collapsed="false">
      <c r="B378" s="138" t="s">
        <v>1350</v>
      </c>
      <c r="C378" s="133" t="s">
        <v>1351</v>
      </c>
      <c r="D378" s="134" t="n">
        <v>0</v>
      </c>
      <c r="E378" s="134" t="n">
        <v>1563600000</v>
      </c>
      <c r="F378" s="134" t="n">
        <v>671900000</v>
      </c>
      <c r="G378" s="134" t="n">
        <v>60600000</v>
      </c>
      <c r="H378" s="134" t="n">
        <v>198300000</v>
      </c>
      <c r="I378" s="134" t="n">
        <v>530400000</v>
      </c>
      <c r="J378" s="134" t="n">
        <v>14500000</v>
      </c>
      <c r="K378" s="134" t="n">
        <v>900000</v>
      </c>
      <c r="L378" s="134" t="n">
        <v>465000000</v>
      </c>
    </row>
    <row r="379" customFormat="false" ht="15" hidden="false" customHeight="false" outlineLevel="0" collapsed="false">
      <c r="B379" s="145" t="s">
        <v>1352</v>
      </c>
      <c r="C379" s="133" t="s">
        <v>1353</v>
      </c>
      <c r="D379" s="136" t="n">
        <v>0</v>
      </c>
      <c r="E379" s="136" t="n">
        <v>1563600000</v>
      </c>
      <c r="F379" s="136" t="n">
        <v>671900000</v>
      </c>
      <c r="G379" s="136" t="n">
        <v>60600000</v>
      </c>
      <c r="H379" s="136" t="n">
        <v>198300000</v>
      </c>
      <c r="I379" s="136" t="n">
        <v>530400000</v>
      </c>
      <c r="J379" s="136" t="n">
        <v>14500000</v>
      </c>
      <c r="K379" s="136" t="n">
        <v>900000</v>
      </c>
      <c r="L379" s="136" t="n">
        <v>465000000</v>
      </c>
    </row>
    <row r="380" customFormat="false" ht="15" hidden="false" customHeight="false" outlineLevel="0" collapsed="false">
      <c r="B380" s="137" t="s">
        <v>1354</v>
      </c>
    </row>
    <row r="381" customFormat="false" ht="15" hidden="false" customHeight="false" outlineLevel="0" collapsed="false">
      <c r="B381" s="138" t="s">
        <v>1355</v>
      </c>
      <c r="C381" s="133" t="s">
        <v>1356</v>
      </c>
      <c r="D381" s="134" t="n">
        <v>0</v>
      </c>
      <c r="E381" s="134" t="n">
        <v>-44900000</v>
      </c>
      <c r="F381" s="134" t="n">
        <v>-81400000</v>
      </c>
      <c r="G381" s="134" t="n">
        <v>-67200000</v>
      </c>
      <c r="H381" s="134" t="n">
        <v>0</v>
      </c>
      <c r="I381" s="134" t="n">
        <v>0</v>
      </c>
      <c r="J381" s="134" t="n">
        <v>0</v>
      </c>
      <c r="K381" s="134" t="n">
        <v>0</v>
      </c>
      <c r="L381" s="134" t="n">
        <v>0</v>
      </c>
    </row>
    <row r="382" customFormat="false" ht="15" hidden="false" customHeight="false" outlineLevel="0" collapsed="false">
      <c r="B382" s="145" t="s">
        <v>1357</v>
      </c>
      <c r="C382" s="133" t="s">
        <v>1358</v>
      </c>
      <c r="D382" s="136" t="n">
        <v>0</v>
      </c>
      <c r="E382" s="136" t="n">
        <v>-44900000</v>
      </c>
      <c r="F382" s="136" t="n">
        <v>-81400000</v>
      </c>
      <c r="G382" s="136" t="n">
        <v>-67200000</v>
      </c>
      <c r="H382" s="136" t="n">
        <v>0</v>
      </c>
      <c r="I382" s="136" t="n">
        <v>0</v>
      </c>
      <c r="J382" s="136" t="n">
        <v>0</v>
      </c>
      <c r="K382" s="136" t="n">
        <v>0</v>
      </c>
      <c r="L382" s="136" t="n">
        <v>0</v>
      </c>
    </row>
    <row r="383" customFormat="false" ht="15" hidden="false" customHeight="false" outlineLevel="0" collapsed="false">
      <c r="B383" s="137" t="s">
        <v>1359</v>
      </c>
    </row>
    <row r="384" customFormat="false" ht="15" hidden="false" customHeight="false" outlineLevel="0" collapsed="false">
      <c r="B384" s="138" t="s">
        <v>1360</v>
      </c>
      <c r="C384" s="133" t="s">
        <v>1361</v>
      </c>
      <c r="D384" s="134" t="n">
        <v>0</v>
      </c>
      <c r="E384" s="134" t="n">
        <v>1763400000</v>
      </c>
      <c r="F384" s="134" t="n">
        <v>0</v>
      </c>
      <c r="G384" s="134" t="n">
        <v>0</v>
      </c>
      <c r="H384" s="134" t="n">
        <v>0</v>
      </c>
      <c r="I384" s="134" t="n">
        <v>0</v>
      </c>
      <c r="J384" s="134" t="n">
        <v>0</v>
      </c>
      <c r="K384" s="134" t="n">
        <v>0</v>
      </c>
      <c r="L384" s="134" t="n">
        <v>0</v>
      </c>
    </row>
    <row r="385" customFormat="false" ht="15" hidden="false" customHeight="false" outlineLevel="0" collapsed="false">
      <c r="B385" s="145" t="s">
        <v>1362</v>
      </c>
      <c r="C385" s="133" t="s">
        <v>1363</v>
      </c>
      <c r="D385" s="136" t="n">
        <v>0</v>
      </c>
      <c r="E385" s="136" t="n">
        <v>1763400000</v>
      </c>
      <c r="F385" s="136" t="n">
        <v>0</v>
      </c>
      <c r="G385" s="136" t="n">
        <v>0</v>
      </c>
      <c r="H385" s="136" t="n">
        <v>0</v>
      </c>
      <c r="I385" s="136" t="n">
        <v>0</v>
      </c>
      <c r="J385" s="136" t="n">
        <v>0</v>
      </c>
      <c r="K385" s="136" t="n">
        <v>0</v>
      </c>
      <c r="L385" s="136" t="n">
        <v>0</v>
      </c>
    </row>
    <row r="386" customFormat="false" ht="15" hidden="false" customHeight="false" outlineLevel="0" collapsed="false">
      <c r="B386" s="132" t="s">
        <v>943</v>
      </c>
      <c r="C386" s="133" t="s">
        <v>944</v>
      </c>
      <c r="D386" s="134" t="n">
        <v>7900000</v>
      </c>
      <c r="E386" s="134" t="n">
        <v>-308300000</v>
      </c>
      <c r="F386" s="134" t="n">
        <v>-149900000</v>
      </c>
      <c r="G386" s="134" t="n">
        <v>33000000</v>
      </c>
      <c r="H386" s="134" t="n">
        <v>16800000</v>
      </c>
      <c r="I386" s="134" t="n">
        <v>66300000</v>
      </c>
      <c r="J386" s="134" t="n">
        <v>10500000</v>
      </c>
      <c r="K386" s="134" t="n">
        <v>74000000</v>
      </c>
      <c r="L386" s="134" t="n">
        <v>62100000</v>
      </c>
    </row>
    <row r="387" customFormat="false" ht="15" hidden="false" customHeight="false" outlineLevel="0" collapsed="false">
      <c r="B387" s="137" t="s">
        <v>945</v>
      </c>
    </row>
    <row r="388" customFormat="false" ht="15" hidden="false" customHeight="false" outlineLevel="0" collapsed="false">
      <c r="B388" s="138" t="s">
        <v>946</v>
      </c>
      <c r="C388" s="133" t="s">
        <v>947</v>
      </c>
      <c r="D388" s="134" t="n">
        <v>13600000</v>
      </c>
      <c r="E388" s="134" t="n">
        <v>7500000</v>
      </c>
      <c r="F388" s="134" t="n">
        <v>7000000</v>
      </c>
      <c r="G388" s="134" t="n">
        <v>7000000</v>
      </c>
      <c r="H388" s="134" t="n">
        <v>12300000</v>
      </c>
      <c r="I388" s="134" t="n">
        <v>11400000</v>
      </c>
      <c r="J388" s="134" t="n">
        <v>9100000</v>
      </c>
      <c r="K388" s="134" t="n">
        <v>7600000</v>
      </c>
      <c r="L388" s="134" t="n">
        <v>11100000</v>
      </c>
    </row>
    <row r="389" customFormat="false" ht="15" hidden="false" customHeight="false" outlineLevel="0" collapsed="false">
      <c r="B389" s="138" t="s">
        <v>1364</v>
      </c>
      <c r="C389" s="133" t="s">
        <v>1365</v>
      </c>
      <c r="D389" s="134" t="n">
        <v>500000</v>
      </c>
      <c r="E389" s="134" t="n">
        <v>0</v>
      </c>
      <c r="F389" s="134" t="n">
        <v>0</v>
      </c>
      <c r="G389" s="134" t="n">
        <v>0</v>
      </c>
      <c r="H389" s="134" t="n">
        <v>0</v>
      </c>
      <c r="I389" s="134" t="n">
        <v>0</v>
      </c>
      <c r="J389" s="134" t="n">
        <v>0</v>
      </c>
      <c r="K389" s="134" t="n">
        <v>0</v>
      </c>
      <c r="L389" s="134" t="n">
        <v>0</v>
      </c>
    </row>
    <row r="390" customFormat="false" ht="15" hidden="false" customHeight="false" outlineLevel="0" collapsed="false">
      <c r="B390" s="138" t="s">
        <v>1366</v>
      </c>
      <c r="C390" s="133" t="s">
        <v>1367</v>
      </c>
      <c r="D390" s="134" t="n">
        <v>600000</v>
      </c>
      <c r="E390" s="134" t="n">
        <v>400000</v>
      </c>
      <c r="F390" s="134" t="n">
        <v>0</v>
      </c>
      <c r="G390" s="134" t="n">
        <v>0</v>
      </c>
      <c r="H390" s="134" t="n">
        <v>0</v>
      </c>
      <c r="I390" s="134" t="n">
        <v>0</v>
      </c>
      <c r="J390" s="134" t="n">
        <v>0</v>
      </c>
      <c r="K390" s="134" t="n">
        <v>0</v>
      </c>
      <c r="L390" s="134" t="n">
        <v>0</v>
      </c>
    </row>
    <row r="391" customFormat="false" ht="15" hidden="false" customHeight="false" outlineLevel="0" collapsed="false">
      <c r="B391" s="138" t="s">
        <v>1368</v>
      </c>
      <c r="C391" s="133" t="s">
        <v>1369</v>
      </c>
      <c r="D391" s="134" t="n">
        <v>1000000</v>
      </c>
      <c r="E391" s="134" t="n">
        <v>500000</v>
      </c>
      <c r="F391" s="134" t="n">
        <v>400000</v>
      </c>
      <c r="G391" s="134" t="n">
        <v>200000</v>
      </c>
      <c r="H391" s="134" t="n">
        <v>0</v>
      </c>
      <c r="I391" s="134" t="n">
        <v>0</v>
      </c>
      <c r="J391" s="134" t="n">
        <v>0</v>
      </c>
      <c r="K391" s="134" t="n">
        <v>0</v>
      </c>
      <c r="L391" s="134" t="n">
        <v>0</v>
      </c>
    </row>
    <row r="392" customFormat="false" ht="15" hidden="false" customHeight="false" outlineLevel="0" collapsed="false">
      <c r="B392" s="145" t="s">
        <v>948</v>
      </c>
      <c r="C392" s="133" t="s">
        <v>949</v>
      </c>
      <c r="D392" s="136" t="n">
        <v>15700000</v>
      </c>
      <c r="E392" s="136" t="n">
        <v>8400000</v>
      </c>
      <c r="F392" s="136" t="n">
        <v>7400000</v>
      </c>
      <c r="G392" s="136" t="n">
        <v>7200000</v>
      </c>
      <c r="H392" s="136" t="n">
        <v>12300000</v>
      </c>
      <c r="I392" s="136" t="n">
        <v>11400000</v>
      </c>
      <c r="J392" s="136" t="n">
        <v>9100000</v>
      </c>
      <c r="K392" s="136" t="n">
        <v>7600000</v>
      </c>
      <c r="L392" s="136" t="n">
        <v>11100000</v>
      </c>
    </row>
    <row r="393" customFormat="false" ht="15" hidden="false" customHeight="false" outlineLevel="0" collapsed="false">
      <c r="B393" s="132" t="s">
        <v>950</v>
      </c>
      <c r="C393" s="133" t="s">
        <v>951</v>
      </c>
      <c r="D393" s="134" t="n">
        <v>6167500000</v>
      </c>
      <c r="E393" s="134" t="n">
        <v>4766100000</v>
      </c>
      <c r="F393" s="134" t="n">
        <v>3836300000</v>
      </c>
      <c r="G393" s="134" t="n">
        <v>5021600000</v>
      </c>
      <c r="H393" s="134" t="n">
        <v>3002400000</v>
      </c>
      <c r="I393" s="134" t="n">
        <v>4268300000</v>
      </c>
      <c r="J393" s="134" t="n">
        <v>3592200000</v>
      </c>
      <c r="K393" s="134" t="n">
        <v>3263100000</v>
      </c>
      <c r="L393" s="134" t="n">
        <v>4918800000</v>
      </c>
    </row>
    <row r="394" customFormat="false" ht="15" hidden="false" customHeight="false" outlineLevel="0" collapsed="false">
      <c r="B394" s="135" t="s">
        <v>122</v>
      </c>
      <c r="C394" s="133" t="s">
        <v>581</v>
      </c>
      <c r="D394" s="136" t="n">
        <v>14534700000</v>
      </c>
      <c r="E394" s="136" t="n">
        <v>11054300000</v>
      </c>
      <c r="F394" s="136" t="n">
        <v>6812500000</v>
      </c>
      <c r="G394" s="136" t="n">
        <v>6204900000</v>
      </c>
      <c r="H394" s="136" t="n">
        <v>4159900000</v>
      </c>
      <c r="I394" s="136" t="n">
        <v>6510200000</v>
      </c>
      <c r="J394" s="136" t="n">
        <v>5373700000</v>
      </c>
      <c r="K394" s="136" t="n">
        <v>5194000000</v>
      </c>
      <c r="L394" s="136" t="n">
        <v>10239900000</v>
      </c>
    </row>
    <row r="397" customFormat="false" ht="15" hidden="false" customHeight="false" outlineLevel="0" collapsed="false">
      <c r="B397" s="63" t="s">
        <v>952</v>
      </c>
    </row>
    <row r="398" customFormat="false" ht="15" hidden="false" customHeight="false" outlineLevel="0" collapsed="false">
      <c r="B398" s="132" t="s">
        <v>953</v>
      </c>
      <c r="C398" s="133" t="s">
        <v>954</v>
      </c>
      <c r="D398" s="134" t="n">
        <v>-500000</v>
      </c>
      <c r="E398" s="134" t="n">
        <v>0</v>
      </c>
      <c r="F398" s="134" t="n">
        <v>0</v>
      </c>
      <c r="G398" s="134" t="n">
        <v>0</v>
      </c>
      <c r="H398" s="134" t="n">
        <v>0</v>
      </c>
      <c r="I398" s="134" t="n">
        <v>0</v>
      </c>
      <c r="J398" s="134" t="n">
        <v>0</v>
      </c>
      <c r="K398" s="134" t="n">
        <v>0</v>
      </c>
      <c r="L398" s="134" t="n">
        <v>70500000</v>
      </c>
    </row>
    <row r="399" customFormat="false" ht="15" hidden="false" customHeight="false" outlineLevel="0" collapsed="false">
      <c r="B399" s="132" t="s">
        <v>955</v>
      </c>
      <c r="C399" s="133" t="s">
        <v>956</v>
      </c>
      <c r="D399" s="134" t="n">
        <v>0</v>
      </c>
      <c r="E399" s="134" t="n">
        <v>14000000</v>
      </c>
      <c r="F399" s="134" t="n">
        <v>13500000</v>
      </c>
      <c r="G399" s="134" t="n">
        <v>6500000</v>
      </c>
      <c r="H399" s="134" t="n">
        <v>0</v>
      </c>
      <c r="I399" s="134" t="n">
        <v>0</v>
      </c>
      <c r="J399" s="134" t="n">
        <v>0</v>
      </c>
      <c r="K399" s="134" t="n">
        <v>0</v>
      </c>
      <c r="L399" s="134" t="n">
        <v>0</v>
      </c>
    </row>
    <row r="400" customFormat="false" ht="15" hidden="false" customHeight="false" outlineLevel="0" collapsed="false">
      <c r="B400" s="135" t="s">
        <v>129</v>
      </c>
      <c r="C400" s="133" t="s">
        <v>589</v>
      </c>
      <c r="D400" s="136" t="n">
        <v>-500000</v>
      </c>
      <c r="E400" s="136" t="n">
        <v>14000000</v>
      </c>
      <c r="F400" s="136" t="n">
        <v>13500000</v>
      </c>
      <c r="G400" s="136" t="n">
        <v>6500000</v>
      </c>
      <c r="H400" s="136" t="n">
        <v>0</v>
      </c>
      <c r="I400" s="136" t="n">
        <v>0</v>
      </c>
      <c r="J400" s="136" t="n">
        <v>0</v>
      </c>
      <c r="K400" s="136" t="n">
        <v>0</v>
      </c>
      <c r="L400" s="136" t="n">
        <v>70500000</v>
      </c>
    </row>
    <row r="403" customFormat="false" ht="15" hidden="false" customHeight="false" outlineLevel="0" collapsed="false">
      <c r="B403" s="63" t="s">
        <v>957</v>
      </c>
    </row>
    <row r="404" customFormat="false" ht="15" hidden="false" customHeight="false" outlineLevel="0" collapsed="false">
      <c r="B404" s="132" t="s">
        <v>958</v>
      </c>
      <c r="C404" s="133" t="s">
        <v>959</v>
      </c>
      <c r="D404" s="134" t="n">
        <v>386700000</v>
      </c>
      <c r="E404" s="134" t="n">
        <v>474000000</v>
      </c>
      <c r="F404" s="134" t="n">
        <v>294800000</v>
      </c>
      <c r="G404" s="134" t="n">
        <v>182500000</v>
      </c>
      <c r="H404" s="134" t="n">
        <v>140300000</v>
      </c>
      <c r="I404" s="134" t="n">
        <v>255200000</v>
      </c>
      <c r="J404" s="134" t="n">
        <v>247300000</v>
      </c>
      <c r="K404" s="134" t="n">
        <v>154300000</v>
      </c>
      <c r="L404" s="134" t="n">
        <v>520500000</v>
      </c>
    </row>
    <row r="405" customFormat="false" ht="15" hidden="false" customHeight="false" outlineLevel="0" collapsed="false">
      <c r="B405" s="132" t="s">
        <v>1370</v>
      </c>
      <c r="C405" s="133" t="s">
        <v>1371</v>
      </c>
      <c r="D405" s="134" t="n">
        <v>31500000</v>
      </c>
      <c r="E405" s="134" t="n">
        <v>0</v>
      </c>
      <c r="F405" s="134" t="n">
        <v>0</v>
      </c>
      <c r="G405" s="134" t="n">
        <v>0</v>
      </c>
      <c r="H405" s="134" t="n">
        <v>0</v>
      </c>
      <c r="I405" s="134" t="n">
        <v>0</v>
      </c>
      <c r="J405" s="134" t="n">
        <v>0</v>
      </c>
      <c r="K405" s="134" t="n">
        <v>0</v>
      </c>
      <c r="L405" s="134" t="n">
        <v>0</v>
      </c>
    </row>
    <row r="406" customFormat="false" ht="15" hidden="false" customHeight="false" outlineLevel="0" collapsed="false">
      <c r="B406" s="132" t="s">
        <v>1372</v>
      </c>
      <c r="C406" s="133" t="s">
        <v>1373</v>
      </c>
      <c r="D406" s="134" t="n">
        <v>727400000</v>
      </c>
      <c r="E406" s="134" t="n">
        <v>0</v>
      </c>
      <c r="F406" s="134" t="n">
        <v>0</v>
      </c>
      <c r="G406" s="134" t="n">
        <v>0</v>
      </c>
      <c r="H406" s="134" t="n">
        <v>0</v>
      </c>
      <c r="I406" s="134" t="n">
        <v>0</v>
      </c>
      <c r="J406" s="134" t="n">
        <v>0</v>
      </c>
      <c r="K406" s="134" t="n">
        <v>0</v>
      </c>
      <c r="L406" s="134" t="n">
        <v>0</v>
      </c>
    </row>
    <row r="407" customFormat="false" ht="15" hidden="false" customHeight="false" outlineLevel="0" collapsed="false">
      <c r="B407" s="135" t="s">
        <v>1374</v>
      </c>
      <c r="C407" s="133" t="s">
        <v>1375</v>
      </c>
      <c r="D407" s="136" t="n">
        <v>758900000</v>
      </c>
      <c r="E407" s="136" t="n">
        <v>0</v>
      </c>
      <c r="F407" s="136" t="n">
        <v>0</v>
      </c>
      <c r="G407" s="136" t="n">
        <v>0</v>
      </c>
      <c r="H407" s="136" t="n">
        <v>0</v>
      </c>
      <c r="I407" s="136" t="n">
        <v>0</v>
      </c>
      <c r="J407" s="136" t="n">
        <v>0</v>
      </c>
      <c r="K407" s="136" t="n">
        <v>0</v>
      </c>
      <c r="L407" s="136" t="n">
        <v>0</v>
      </c>
    </row>
    <row r="408" customFormat="false" ht="15" hidden="false" customHeight="false" outlineLevel="0" collapsed="false">
      <c r="B408" s="135" t="s">
        <v>960</v>
      </c>
      <c r="C408" s="133" t="s">
        <v>961</v>
      </c>
      <c r="D408" s="136" t="n">
        <v>1145600000</v>
      </c>
      <c r="E408" s="136" t="n">
        <v>474000000</v>
      </c>
      <c r="F408" s="136" t="n">
        <v>294800000</v>
      </c>
      <c r="G408" s="136" t="n">
        <v>182500000</v>
      </c>
      <c r="H408" s="136" t="n">
        <v>140300000</v>
      </c>
      <c r="I408" s="136" t="n">
        <v>255200000</v>
      </c>
      <c r="J408" s="136" t="n">
        <v>247300000</v>
      </c>
      <c r="K408" s="136" t="n">
        <v>154300000</v>
      </c>
      <c r="L408" s="136" t="n">
        <v>520500000</v>
      </c>
    </row>
    <row r="411" customFormat="false" ht="15" hidden="false" customHeight="false" outlineLevel="0" collapsed="false">
      <c r="A411" s="0" t="s">
        <v>26</v>
      </c>
      <c r="B411" s="63" t="s">
        <v>962</v>
      </c>
    </row>
    <row r="413" customFormat="false" ht="15" hidden="false" customHeight="false" outlineLevel="0" collapsed="false">
      <c r="C413" s="131" t="s">
        <v>568</v>
      </c>
      <c r="D413" s="13" t="s">
        <v>29</v>
      </c>
      <c r="E413" s="13" t="s">
        <v>30</v>
      </c>
      <c r="F413" s="13" t="s">
        <v>31</v>
      </c>
      <c r="G413" s="13" t="s">
        <v>32</v>
      </c>
      <c r="H413" s="13" t="s">
        <v>33</v>
      </c>
      <c r="I413" s="13" t="s">
        <v>34</v>
      </c>
      <c r="J413" s="13" t="s">
        <v>35</v>
      </c>
      <c r="K413" s="13" t="s">
        <v>36</v>
      </c>
      <c r="L413" s="13" t="s">
        <v>37</v>
      </c>
    </row>
    <row r="414" customFormat="false" ht="15" hidden="false" customHeight="false" outlineLevel="0" collapsed="false">
      <c r="B414" s="63" t="s">
        <v>963</v>
      </c>
    </row>
    <row r="415" customFormat="false" ht="15" hidden="false" customHeight="false" outlineLevel="0" collapsed="false">
      <c r="B415" s="137" t="s">
        <v>964</v>
      </c>
    </row>
    <row r="416" customFormat="false" ht="15" hidden="false" customHeight="false" outlineLevel="0" collapsed="false">
      <c r="B416" s="139" t="s">
        <v>965</v>
      </c>
    </row>
    <row r="417" customFormat="false" ht="15" hidden="false" customHeight="false" outlineLevel="0" collapsed="false">
      <c r="B417" s="140" t="s">
        <v>966</v>
      </c>
      <c r="C417" s="133" t="s">
        <v>967</v>
      </c>
      <c r="D417" s="134" t="n">
        <v>41878600000</v>
      </c>
      <c r="E417" s="134" t="n">
        <v>0</v>
      </c>
      <c r="F417" s="134" t="n">
        <v>0</v>
      </c>
      <c r="G417" s="134" t="n">
        <v>0</v>
      </c>
      <c r="H417" s="134" t="n">
        <v>0</v>
      </c>
      <c r="I417" s="134" t="n">
        <v>0</v>
      </c>
      <c r="J417" s="134" t="n">
        <v>0</v>
      </c>
      <c r="K417" s="134" t="n">
        <v>0</v>
      </c>
      <c r="L417" s="134" t="n">
        <v>2006500000</v>
      </c>
    </row>
    <row r="418" customFormat="false" ht="15" hidden="false" customHeight="false" outlineLevel="0" collapsed="false">
      <c r="B418" s="140" t="s">
        <v>968</v>
      </c>
      <c r="C418" s="133" t="s">
        <v>968</v>
      </c>
      <c r="D418" s="134" t="n">
        <v>535400000</v>
      </c>
      <c r="E418" s="134" t="n">
        <v>535500000</v>
      </c>
      <c r="F418" s="134" t="n">
        <v>1254500000</v>
      </c>
      <c r="G418" s="134" t="n">
        <v>882500000</v>
      </c>
      <c r="H418" s="134" t="n">
        <v>790400000</v>
      </c>
      <c r="I418" s="134" t="n">
        <v>334000000</v>
      </c>
      <c r="J418" s="134" t="n">
        <v>266500000</v>
      </c>
      <c r="K418" s="134" t="n">
        <v>68400000</v>
      </c>
      <c r="L418" s="134" t="n">
        <v>1466500000</v>
      </c>
    </row>
    <row r="419" customFormat="false" ht="15" hidden="false" customHeight="false" outlineLevel="0" collapsed="false">
      <c r="B419" s="140" t="s">
        <v>969</v>
      </c>
      <c r="C419" s="133" t="s">
        <v>970</v>
      </c>
      <c r="D419" s="134" t="n">
        <v>0</v>
      </c>
      <c r="E419" s="134" t="n">
        <v>1472600000</v>
      </c>
      <c r="F419" s="134" t="n">
        <v>903600000</v>
      </c>
      <c r="G419" s="134" t="n">
        <v>1335000000</v>
      </c>
      <c r="H419" s="134" t="n">
        <v>1394500000</v>
      </c>
      <c r="I419" s="134" t="n">
        <v>1280100000</v>
      </c>
      <c r="J419" s="134" t="n">
        <v>1567400000</v>
      </c>
      <c r="K419" s="134" t="n">
        <v>1486000000</v>
      </c>
      <c r="L419" s="134" t="n">
        <v>57700000</v>
      </c>
    </row>
    <row r="420" customFormat="false" ht="15" hidden="false" customHeight="false" outlineLevel="0" collapsed="false">
      <c r="B420" s="143" t="s">
        <v>971</v>
      </c>
      <c r="C420" s="133" t="s">
        <v>972</v>
      </c>
      <c r="D420" s="136" t="n">
        <v>42414000000</v>
      </c>
      <c r="E420" s="136" t="n">
        <v>2008100000</v>
      </c>
      <c r="F420" s="136" t="n">
        <v>2158100000</v>
      </c>
      <c r="G420" s="136" t="n">
        <v>2217500000</v>
      </c>
      <c r="H420" s="136" t="n">
        <v>2184900000</v>
      </c>
      <c r="I420" s="136" t="n">
        <v>1614100000</v>
      </c>
      <c r="J420" s="136" t="n">
        <v>1833900000</v>
      </c>
      <c r="K420" s="136" t="n">
        <v>1554400000</v>
      </c>
      <c r="L420" s="136" t="n">
        <v>3530700000</v>
      </c>
    </row>
    <row r="421" customFormat="false" ht="15" hidden="false" customHeight="false" outlineLevel="0" collapsed="false">
      <c r="B421" s="139" t="s">
        <v>973</v>
      </c>
    </row>
    <row r="422" customFormat="false" ht="15" hidden="false" customHeight="false" outlineLevel="0" collapsed="false">
      <c r="B422" s="140" t="s">
        <v>974</v>
      </c>
      <c r="C422" s="133" t="s">
        <v>975</v>
      </c>
      <c r="D422" s="134" t="n">
        <v>665000000</v>
      </c>
      <c r="E422" s="134" t="n">
        <v>427100000</v>
      </c>
      <c r="F422" s="134" t="n">
        <v>226600000</v>
      </c>
      <c r="G422" s="134" t="n">
        <v>145800000</v>
      </c>
      <c r="H422" s="134" t="n">
        <v>74600000</v>
      </c>
      <c r="I422" s="134" t="n">
        <v>190200000</v>
      </c>
      <c r="J422" s="134" t="n">
        <v>85800000</v>
      </c>
      <c r="K422" s="134" t="n">
        <v>193900000</v>
      </c>
      <c r="L422" s="134" t="n">
        <v>1255400000</v>
      </c>
    </row>
    <row r="423" customFormat="false" ht="15" hidden="false" customHeight="false" outlineLevel="0" collapsed="false">
      <c r="B423" s="140" t="s">
        <v>1376</v>
      </c>
      <c r="C423" s="133" t="s">
        <v>1377</v>
      </c>
      <c r="D423" s="134" t="n">
        <v>5163000000</v>
      </c>
      <c r="E423" s="134" t="n">
        <v>4050000000</v>
      </c>
      <c r="F423" s="134" t="n">
        <v>4050000000</v>
      </c>
      <c r="G423" s="134" t="n">
        <v>0</v>
      </c>
      <c r="H423" s="134" t="n">
        <v>0</v>
      </c>
      <c r="I423" s="134" t="n">
        <v>0</v>
      </c>
      <c r="J423" s="134" t="n">
        <v>0</v>
      </c>
      <c r="K423" s="134" t="n">
        <v>0</v>
      </c>
      <c r="L423" s="134" t="n">
        <v>0</v>
      </c>
    </row>
    <row r="424" customFormat="false" ht="15" hidden="false" customHeight="false" outlineLevel="0" collapsed="false">
      <c r="B424" s="143" t="s">
        <v>978</v>
      </c>
      <c r="C424" s="133" t="s">
        <v>979</v>
      </c>
      <c r="D424" s="136" t="n">
        <v>5828000000</v>
      </c>
      <c r="E424" s="136" t="n">
        <v>4477100000</v>
      </c>
      <c r="F424" s="136" t="n">
        <v>4276600000</v>
      </c>
      <c r="G424" s="136" t="n">
        <v>145800000</v>
      </c>
      <c r="H424" s="136" t="n">
        <v>74600000</v>
      </c>
      <c r="I424" s="136" t="n">
        <v>190200000</v>
      </c>
      <c r="J424" s="136" t="n">
        <v>85800000</v>
      </c>
      <c r="K424" s="136" t="n">
        <v>193900000</v>
      </c>
      <c r="L424" s="136" t="n">
        <v>1255400000</v>
      </c>
    </row>
    <row r="425" customFormat="false" ht="15" hidden="false" customHeight="false" outlineLevel="0" collapsed="false">
      <c r="B425" s="145" t="s">
        <v>980</v>
      </c>
      <c r="C425" s="133" t="s">
        <v>981</v>
      </c>
      <c r="D425" s="136" t="n">
        <v>48242000000</v>
      </c>
      <c r="E425" s="136" t="n">
        <v>6485200000</v>
      </c>
      <c r="F425" s="136" t="n">
        <v>6434700000</v>
      </c>
      <c r="G425" s="136" t="n">
        <v>2363300000</v>
      </c>
      <c r="H425" s="136" t="n">
        <v>2259500000</v>
      </c>
      <c r="I425" s="136" t="n">
        <v>1804300000</v>
      </c>
      <c r="J425" s="136" t="n">
        <v>1919700000</v>
      </c>
      <c r="K425" s="136" t="n">
        <v>1748300000</v>
      </c>
      <c r="L425" s="136" t="n">
        <v>4786100000</v>
      </c>
    </row>
    <row r="426" customFormat="false" ht="15" hidden="false" customHeight="false" outlineLevel="0" collapsed="false">
      <c r="B426" s="137" t="s">
        <v>982</v>
      </c>
    </row>
    <row r="427" customFormat="false" ht="15" hidden="false" customHeight="false" outlineLevel="0" collapsed="false">
      <c r="B427" s="149" t="s">
        <v>138</v>
      </c>
      <c r="C427" s="133" t="s">
        <v>640</v>
      </c>
      <c r="D427" s="134" t="n">
        <v>727300000</v>
      </c>
      <c r="E427" s="134" t="n">
        <v>1120600000</v>
      </c>
      <c r="F427" s="134" t="n">
        <v>1297400000</v>
      </c>
      <c r="G427" s="134" t="n">
        <v>1046000000</v>
      </c>
      <c r="H427" s="134" t="n">
        <v>963400000</v>
      </c>
      <c r="I427" s="134" t="n">
        <v>76300000</v>
      </c>
      <c r="J427" s="134" t="n">
        <v>8700000</v>
      </c>
      <c r="K427" s="134" t="n">
        <v>33700000</v>
      </c>
      <c r="L427" s="134" t="n">
        <v>596000000</v>
      </c>
    </row>
    <row r="428" customFormat="false" ht="15" hidden="false" customHeight="false" outlineLevel="0" collapsed="false">
      <c r="B428" s="149" t="s">
        <v>141</v>
      </c>
      <c r="C428" s="133" t="s">
        <v>644</v>
      </c>
      <c r="D428" s="134" t="n">
        <v>555300000</v>
      </c>
      <c r="E428" s="134" t="n">
        <v>1798200000</v>
      </c>
      <c r="F428" s="134" t="n">
        <v>104100000</v>
      </c>
      <c r="G428" s="134" t="n">
        <v>123000000</v>
      </c>
      <c r="H428" s="134" t="n">
        <v>35200000</v>
      </c>
      <c r="I428" s="134" t="n">
        <v>44200000</v>
      </c>
      <c r="J428" s="134" t="n">
        <v>34300000</v>
      </c>
      <c r="K428" s="134" t="n">
        <v>35100000</v>
      </c>
      <c r="L428" s="134" t="n">
        <v>163500000</v>
      </c>
    </row>
    <row r="433" customFormat="false" ht="15" hidden="false" customHeight="false" outlineLevel="0" collapsed="false">
      <c r="A433" s="0" t="s">
        <v>26</v>
      </c>
      <c r="B433" s="63" t="s">
        <v>983</v>
      </c>
    </row>
    <row r="435" customFormat="false" ht="15" hidden="false" customHeight="false" outlineLevel="0" collapsed="false">
      <c r="C435" s="131" t="s">
        <v>568</v>
      </c>
      <c r="D435" s="13" t="s">
        <v>29</v>
      </c>
      <c r="E435" s="13" t="s">
        <v>30</v>
      </c>
      <c r="F435" s="13" t="s">
        <v>31</v>
      </c>
      <c r="G435" s="13" t="s">
        <v>32</v>
      </c>
      <c r="H435" s="13" t="s">
        <v>33</v>
      </c>
      <c r="I435" s="13" t="s">
        <v>34</v>
      </c>
      <c r="J435" s="13" t="s">
        <v>35</v>
      </c>
      <c r="K435" s="13" t="s">
        <v>36</v>
      </c>
      <c r="L435" s="13" t="s">
        <v>37</v>
      </c>
    </row>
    <row r="436" customFormat="false" ht="15" hidden="false" customHeight="false" outlineLevel="0" collapsed="false">
      <c r="B436" s="63" t="s">
        <v>984</v>
      </c>
    </row>
    <row r="437" customFormat="false" ht="15" hidden="false" customHeight="false" outlineLevel="0" collapsed="false">
      <c r="B437" s="137" t="s">
        <v>985</v>
      </c>
    </row>
    <row r="438" customFormat="false" ht="15" hidden="false" customHeight="false" outlineLevel="0" collapsed="false">
      <c r="B438" s="139" t="s">
        <v>986</v>
      </c>
    </row>
    <row r="439" customFormat="false" ht="15" hidden="false" customHeight="false" outlineLevel="0" collapsed="false">
      <c r="B439" s="140" t="s">
        <v>159</v>
      </c>
      <c r="C439" s="133" t="s">
        <v>658</v>
      </c>
      <c r="D439" s="134" t="n">
        <v>4811000000</v>
      </c>
      <c r="E439" s="134" t="n">
        <v>0</v>
      </c>
      <c r="F439" s="134" t="n">
        <v>0</v>
      </c>
      <c r="G439" s="134" t="n">
        <v>0</v>
      </c>
      <c r="H439" s="134" t="n">
        <v>0</v>
      </c>
      <c r="I439" s="134" t="n">
        <v>0</v>
      </c>
      <c r="J439" s="134" t="n">
        <v>0</v>
      </c>
      <c r="K439" s="134" t="n">
        <v>0</v>
      </c>
      <c r="L439" s="134" t="n">
        <v>0</v>
      </c>
    </row>
    <row r="440" customFormat="false" ht="15" hidden="false" customHeight="false" outlineLevel="0" collapsed="false">
      <c r="B440" s="132" t="s">
        <v>987</v>
      </c>
      <c r="C440" s="133" t="s">
        <v>988</v>
      </c>
      <c r="D440" s="134" t="n">
        <v>4811000000</v>
      </c>
      <c r="E440" s="134" t="n">
        <v>0</v>
      </c>
      <c r="F440" s="134" t="n">
        <v>0</v>
      </c>
      <c r="G440" s="134" t="n">
        <v>0</v>
      </c>
      <c r="H440" s="134" t="n">
        <v>0</v>
      </c>
      <c r="I440" s="134" t="n">
        <v>0</v>
      </c>
      <c r="J440" s="134" t="n">
        <v>0</v>
      </c>
      <c r="K440" s="134" t="n">
        <v>0</v>
      </c>
      <c r="L440" s="134" t="n">
        <v>0</v>
      </c>
    </row>
    <row r="441" customFormat="false" ht="15" hidden="false" customHeight="false" outlineLevel="0" collapsed="false">
      <c r="B441" s="132" t="s">
        <v>989</v>
      </c>
      <c r="C441" s="133" t="s">
        <v>990</v>
      </c>
      <c r="D441" s="134" t="n">
        <v>4811000000</v>
      </c>
      <c r="E441" s="134" t="n">
        <v>0</v>
      </c>
      <c r="F441" s="134" t="n">
        <v>0</v>
      </c>
      <c r="G441" s="134" t="n">
        <v>0</v>
      </c>
      <c r="H441" s="134" t="n">
        <v>0</v>
      </c>
      <c r="I441" s="134" t="n">
        <v>0</v>
      </c>
      <c r="J441" s="134" t="n">
        <v>0</v>
      </c>
      <c r="K441" s="134" t="n">
        <v>0</v>
      </c>
      <c r="L441" s="134" t="n">
        <v>0</v>
      </c>
    </row>
    <row r="444" customFormat="false" ht="15" hidden="false" customHeight="false" outlineLevel="0" collapsed="false">
      <c r="A444" s="0" t="s">
        <v>26</v>
      </c>
      <c r="B444" s="63" t="s">
        <v>993</v>
      </c>
    </row>
    <row r="446" customFormat="false" ht="15" hidden="false" customHeight="false" outlineLevel="0" collapsed="false">
      <c r="C446" s="131" t="s">
        <v>568</v>
      </c>
      <c r="D446" s="13" t="s">
        <v>29</v>
      </c>
      <c r="E446" s="13" t="s">
        <v>30</v>
      </c>
      <c r="F446" s="13" t="s">
        <v>31</v>
      </c>
      <c r="G446" s="13" t="s">
        <v>32</v>
      </c>
      <c r="H446" s="13" t="s">
        <v>33</v>
      </c>
      <c r="I446" s="13" t="s">
        <v>34</v>
      </c>
      <c r="J446" s="13" t="s">
        <v>35</v>
      </c>
      <c r="K446" s="13" t="s">
        <v>36</v>
      </c>
      <c r="L446" s="13" t="s">
        <v>37</v>
      </c>
    </row>
    <row r="447" customFormat="false" ht="15" hidden="false" customHeight="false" outlineLevel="0" collapsed="false">
      <c r="B447" s="63" t="s">
        <v>994</v>
      </c>
    </row>
    <row r="448" customFormat="false" ht="15" hidden="false" customHeight="false" outlineLevel="0" collapsed="false">
      <c r="B448" s="137" t="s">
        <v>995</v>
      </c>
    </row>
    <row r="449" customFormat="false" ht="15" hidden="false" customHeight="false" outlineLevel="0" collapsed="false">
      <c r="B449" s="138" t="s">
        <v>996</v>
      </c>
      <c r="C449" s="133" t="s">
        <v>997</v>
      </c>
      <c r="D449" s="134" t="n">
        <v>12490000000</v>
      </c>
      <c r="E449" s="134" t="n">
        <v>12490000000</v>
      </c>
      <c r="F449" s="134" t="n">
        <v>12490000000</v>
      </c>
      <c r="G449" s="134" t="n">
        <v>12490000000</v>
      </c>
      <c r="H449" s="134" t="n">
        <v>46000000000</v>
      </c>
      <c r="I449" s="134" t="n">
        <v>55000000000</v>
      </c>
      <c r="J449" s="134" t="n">
        <v>55000000000</v>
      </c>
      <c r="K449" s="134" t="n">
        <v>55000000000</v>
      </c>
      <c r="L449" s="134" t="n">
        <v>105265000000</v>
      </c>
    </row>
    <row r="450" customFormat="false" ht="15" hidden="false" customHeight="false" outlineLevel="0" collapsed="false">
      <c r="B450" s="138" t="s">
        <v>998</v>
      </c>
      <c r="C450" s="133" t="s">
        <v>999</v>
      </c>
      <c r="D450" s="134" t="n">
        <v>24980000000</v>
      </c>
      <c r="E450" s="134" t="n">
        <v>24980000000</v>
      </c>
      <c r="F450" s="134" t="n">
        <v>24980000000</v>
      </c>
      <c r="G450" s="134" t="n">
        <v>24980000000</v>
      </c>
      <c r="H450" s="134" t="n">
        <v>92000000000</v>
      </c>
      <c r="I450" s="134" t="n">
        <v>110000000000</v>
      </c>
      <c r="J450" s="134" t="n">
        <v>110000000000</v>
      </c>
      <c r="K450" s="134" t="n">
        <v>110000000000</v>
      </c>
      <c r="L450" s="134" t="n">
        <v>210530000000</v>
      </c>
    </row>
    <row r="451" customFormat="false" ht="15" hidden="false" customHeight="false" outlineLevel="0" collapsed="false">
      <c r="B451" s="138" t="s">
        <v>1000</v>
      </c>
      <c r="C451" s="133" t="s">
        <v>1001</v>
      </c>
      <c r="D451" s="134" t="n">
        <v>5043330927</v>
      </c>
      <c r="E451" s="134" t="n">
        <v>5338706098</v>
      </c>
      <c r="F451" s="134" t="n">
        <v>5338706098</v>
      </c>
      <c r="G451" s="134" t="n">
        <v>5338706098</v>
      </c>
      <c r="H451" s="134" t="n">
        <v>8526944750</v>
      </c>
      <c r="I451" s="134" t="n">
        <v>9236376014</v>
      </c>
      <c r="J451" s="134" t="n">
        <v>12492019060</v>
      </c>
      <c r="K451" s="134" t="n">
        <v>13631620199</v>
      </c>
      <c r="L451" s="134" t="n">
        <v>13675852549</v>
      </c>
    </row>
    <row r="452" customFormat="false" ht="15" hidden="false" customHeight="false" outlineLevel="0" collapsed="false">
      <c r="B452" s="138" t="s">
        <v>1002</v>
      </c>
      <c r="C452" s="133" t="s">
        <v>1003</v>
      </c>
      <c r="D452" s="134" t="n">
        <v>10086700000</v>
      </c>
      <c r="E452" s="134" t="n">
        <v>10677400000</v>
      </c>
      <c r="F452" s="134" t="n">
        <v>10677400000</v>
      </c>
      <c r="G452" s="134" t="n">
        <v>10677400000</v>
      </c>
      <c r="H452" s="134" t="n">
        <v>17053900000</v>
      </c>
      <c r="I452" s="134" t="n">
        <v>18472800000</v>
      </c>
      <c r="J452" s="134" t="n">
        <v>24984000000</v>
      </c>
      <c r="K452" s="134" t="n">
        <v>27263240398</v>
      </c>
      <c r="L452" s="134" t="n">
        <v>27351705098</v>
      </c>
    </row>
    <row r="453" customFormat="false" ht="15" hidden="false" customHeight="false" outlineLevel="0" collapsed="false">
      <c r="B453" s="138" t="s">
        <v>1004</v>
      </c>
      <c r="C453" s="133" t="s">
        <v>1005</v>
      </c>
      <c r="D453" s="134" t="n">
        <v>5024398950</v>
      </c>
      <c r="E453" s="134" t="n">
        <v>5319774121</v>
      </c>
      <c r="F453" s="134" t="n">
        <v>5319774121</v>
      </c>
      <c r="G453" s="134" t="n">
        <v>5319774121</v>
      </c>
      <c r="H453" s="134" t="n">
        <v>8508012773</v>
      </c>
      <c r="I453" s="134" t="n">
        <v>9217444037</v>
      </c>
      <c r="J453" s="134" t="n">
        <v>12070909026</v>
      </c>
      <c r="K453" s="134" t="n">
        <v>13604494159</v>
      </c>
      <c r="L453" s="134" t="n">
        <v>13656920572</v>
      </c>
    </row>
    <row r="454" customFormat="false" ht="15" hidden="false" customHeight="false" outlineLevel="0" collapsed="false">
      <c r="B454" s="138" t="s">
        <v>1006</v>
      </c>
      <c r="C454" s="133" t="s">
        <v>1007</v>
      </c>
      <c r="D454" s="134" t="n">
        <v>10048800000</v>
      </c>
      <c r="E454" s="134" t="n">
        <v>10639500000</v>
      </c>
      <c r="F454" s="134" t="n">
        <v>10639500000</v>
      </c>
      <c r="G454" s="134" t="n">
        <v>10639500000</v>
      </c>
      <c r="H454" s="134" t="n">
        <v>17016000000</v>
      </c>
      <c r="I454" s="134" t="n">
        <v>18434900000</v>
      </c>
      <c r="J454" s="134" t="n">
        <v>24141800000</v>
      </c>
      <c r="K454" s="134" t="n">
        <v>27209000000</v>
      </c>
      <c r="L454" s="134" t="n">
        <v>27313800000</v>
      </c>
    </row>
    <row r="455" customFormat="false" ht="15" hidden="false" customHeight="false" outlineLevel="0" collapsed="false">
      <c r="B455" s="138" t="s">
        <v>1008</v>
      </c>
      <c r="C455" s="133" t="s">
        <v>1009</v>
      </c>
      <c r="D455" s="134" t="n">
        <v>0</v>
      </c>
      <c r="E455" s="134" t="n">
        <v>0</v>
      </c>
      <c r="F455" s="134" t="n">
        <v>0</v>
      </c>
      <c r="G455" s="134" t="n">
        <v>0</v>
      </c>
      <c r="H455" s="134" t="n">
        <v>0</v>
      </c>
      <c r="I455" s="134" t="n">
        <v>0</v>
      </c>
      <c r="J455" s="134" t="n">
        <v>402178057</v>
      </c>
      <c r="K455" s="134" t="n">
        <v>8194063</v>
      </c>
      <c r="L455" s="134" t="n">
        <v>0</v>
      </c>
    </row>
    <row r="456" customFormat="false" ht="15" hidden="false" customHeight="false" outlineLevel="0" collapsed="false">
      <c r="B456" s="138" t="s">
        <v>1010</v>
      </c>
      <c r="C456" s="133" t="s">
        <v>1011</v>
      </c>
      <c r="D456" s="134" t="n">
        <v>0</v>
      </c>
      <c r="E456" s="134" t="n">
        <v>0</v>
      </c>
      <c r="F456" s="134" t="n">
        <v>0</v>
      </c>
      <c r="G456" s="134" t="n">
        <v>0</v>
      </c>
      <c r="H456" s="134" t="n">
        <v>0</v>
      </c>
      <c r="I456" s="134" t="n">
        <v>0</v>
      </c>
      <c r="J456" s="134" t="n">
        <v>402200000</v>
      </c>
      <c r="K456" s="134" t="n">
        <v>16400000</v>
      </c>
      <c r="L456" s="134" t="n">
        <v>0</v>
      </c>
    </row>
    <row r="457" customFormat="false" ht="15" hidden="false" customHeight="false" outlineLevel="0" collapsed="false">
      <c r="B457" s="145" t="s">
        <v>1012</v>
      </c>
      <c r="C457" s="133" t="s">
        <v>1013</v>
      </c>
      <c r="D457" s="136" t="n">
        <v>5024398950</v>
      </c>
      <c r="E457" s="136" t="n">
        <v>5319774121</v>
      </c>
      <c r="F457" s="136" t="n">
        <v>5319774121</v>
      </c>
      <c r="G457" s="136" t="n">
        <v>5319774121</v>
      </c>
      <c r="H457" s="136" t="n">
        <v>8508012773</v>
      </c>
      <c r="I457" s="136" t="n">
        <v>9217444037</v>
      </c>
      <c r="J457" s="136" t="n">
        <v>12473087083</v>
      </c>
      <c r="K457" s="136" t="n">
        <v>13612688222</v>
      </c>
      <c r="L457" s="136" t="n">
        <v>13656920572</v>
      </c>
    </row>
    <row r="458" customFormat="false" ht="15" hidden="false" customHeight="false" outlineLevel="0" collapsed="false">
      <c r="B458" s="145" t="s">
        <v>1014</v>
      </c>
      <c r="C458" s="133" t="s">
        <v>1015</v>
      </c>
      <c r="D458" s="136" t="n">
        <v>10048800000</v>
      </c>
      <c r="E458" s="136" t="n">
        <v>10639500000</v>
      </c>
      <c r="F458" s="136" t="n">
        <v>10639500000</v>
      </c>
      <c r="G458" s="136" t="n">
        <v>10639500000</v>
      </c>
      <c r="H458" s="136" t="n">
        <v>17016000000</v>
      </c>
      <c r="I458" s="136" t="n">
        <v>18434900000</v>
      </c>
      <c r="J458" s="136" t="n">
        <v>24544000000</v>
      </c>
      <c r="K458" s="136" t="n">
        <v>27225400000</v>
      </c>
      <c r="L458" s="136" t="n">
        <v>27313800000</v>
      </c>
    </row>
    <row r="459" customFormat="false" ht="15" hidden="false" customHeight="false" outlineLevel="0" collapsed="false">
      <c r="B459" s="139" t="s">
        <v>1016</v>
      </c>
    </row>
    <row r="460" customFormat="false" ht="15" hidden="false" customHeight="false" outlineLevel="0" collapsed="false">
      <c r="B460" s="140" t="s">
        <v>1017</v>
      </c>
      <c r="C460" s="133" t="s">
        <v>1018</v>
      </c>
      <c r="D460" s="134" t="n">
        <v>5024398950</v>
      </c>
      <c r="E460" s="134" t="n">
        <v>5319774121</v>
      </c>
      <c r="F460" s="134" t="n">
        <v>5319774121</v>
      </c>
      <c r="G460" s="134" t="n">
        <v>5319774121</v>
      </c>
      <c r="H460" s="134" t="n">
        <v>8508012773</v>
      </c>
      <c r="I460" s="134" t="n">
        <v>9217444037</v>
      </c>
      <c r="J460" s="134" t="n">
        <v>12473087083</v>
      </c>
      <c r="K460" s="134" t="n">
        <v>13612688222</v>
      </c>
      <c r="L460" s="134" t="n">
        <v>13648726509</v>
      </c>
    </row>
    <row r="461" customFormat="false" ht="15" hidden="false" customHeight="false" outlineLevel="0" collapsed="false">
      <c r="B461" s="140" t="s">
        <v>1019</v>
      </c>
      <c r="C461" s="133" t="s">
        <v>1020</v>
      </c>
      <c r="D461" s="134" t="n">
        <v>10048800000</v>
      </c>
      <c r="E461" s="134" t="n">
        <v>10639500000</v>
      </c>
      <c r="F461" s="134" t="n">
        <v>10639500000</v>
      </c>
      <c r="G461" s="134" t="n">
        <v>10639500000</v>
      </c>
      <c r="H461" s="134" t="n">
        <v>17016000000</v>
      </c>
      <c r="I461" s="134" t="n">
        <v>18434900000</v>
      </c>
      <c r="J461" s="134" t="n">
        <v>24544000000</v>
      </c>
      <c r="K461" s="134" t="n">
        <v>27217200000</v>
      </c>
      <c r="L461" s="134" t="n">
        <v>27297500000</v>
      </c>
    </row>
    <row r="462" customFormat="false" ht="15" hidden="false" customHeight="false" outlineLevel="0" collapsed="false">
      <c r="B462" s="140" t="s">
        <v>1021</v>
      </c>
      <c r="C462" s="133" t="s">
        <v>1022</v>
      </c>
      <c r="D462" s="134" t="n">
        <v>0</v>
      </c>
      <c r="E462" s="134" t="n">
        <v>0</v>
      </c>
      <c r="F462" s="134" t="n">
        <v>0</v>
      </c>
      <c r="G462" s="134" t="n">
        <v>0</v>
      </c>
      <c r="H462" s="134" t="n">
        <v>0</v>
      </c>
      <c r="I462" s="134" t="n">
        <v>0</v>
      </c>
      <c r="J462" s="134" t="n">
        <v>0</v>
      </c>
      <c r="K462" s="134" t="n">
        <v>0</v>
      </c>
      <c r="L462" s="134" t="n">
        <v>20400000</v>
      </c>
    </row>
    <row r="463" customFormat="false" ht="15" hidden="false" customHeight="false" outlineLevel="0" collapsed="false">
      <c r="B463" s="143" t="s">
        <v>1023</v>
      </c>
      <c r="C463" s="133" t="s">
        <v>1024</v>
      </c>
      <c r="D463" s="136" t="n">
        <v>10048800000</v>
      </c>
      <c r="E463" s="136" t="n">
        <v>10639500000</v>
      </c>
      <c r="F463" s="136" t="n">
        <v>10639500000</v>
      </c>
      <c r="G463" s="136" t="n">
        <v>10639500000</v>
      </c>
      <c r="H463" s="136" t="n">
        <v>17016000000</v>
      </c>
      <c r="I463" s="136" t="n">
        <v>18434900000</v>
      </c>
      <c r="J463" s="136" t="n">
        <v>24544000000</v>
      </c>
      <c r="K463" s="136" t="n">
        <v>27217200000</v>
      </c>
      <c r="L463" s="136" t="n">
        <v>27317900000</v>
      </c>
    </row>
    <row r="464" customFormat="false" ht="15" hidden="false" customHeight="false" outlineLevel="0" collapsed="false">
      <c r="B464" s="139" t="s">
        <v>1025</v>
      </c>
    </row>
    <row r="465" customFormat="false" ht="15" hidden="false" customHeight="false" outlineLevel="0" collapsed="false">
      <c r="B465" s="140" t="s">
        <v>1026</v>
      </c>
      <c r="C465" s="133" t="s">
        <v>1027</v>
      </c>
      <c r="D465" s="134" t="n">
        <v>5024398950</v>
      </c>
      <c r="E465" s="134" t="n">
        <v>5319774121</v>
      </c>
      <c r="F465" s="134" t="n">
        <v>5319774121</v>
      </c>
      <c r="G465" s="134" t="n">
        <v>5319774121</v>
      </c>
      <c r="H465" s="134" t="n">
        <v>8508012773</v>
      </c>
      <c r="I465" s="134" t="n">
        <v>9217444037</v>
      </c>
      <c r="J465" s="134" t="n">
        <v>12473087083</v>
      </c>
      <c r="K465" s="134" t="n">
        <v>13612688222</v>
      </c>
      <c r="L465" s="134" t="n">
        <v>13648726509</v>
      </c>
    </row>
    <row r="466" customFormat="false" ht="15" hidden="false" customHeight="false" outlineLevel="0" collapsed="false">
      <c r="B466" s="141" t="s">
        <v>1028</v>
      </c>
    </row>
    <row r="467" customFormat="false" ht="15" hidden="false" customHeight="false" outlineLevel="0" collapsed="false">
      <c r="B467" s="146" t="s">
        <v>1029</v>
      </c>
    </row>
    <row r="468" customFormat="false" ht="15" hidden="false" customHeight="false" outlineLevel="0" collapsed="false">
      <c r="B468" s="147" t="s">
        <v>1030</v>
      </c>
      <c r="C468" s="133" t="s">
        <v>1031</v>
      </c>
      <c r="D468" s="136" t="n">
        <v>3895536</v>
      </c>
      <c r="E468" s="136" t="n">
        <v>295375171</v>
      </c>
      <c r="F468" s="136" t="n">
        <v>0</v>
      </c>
      <c r="G468" s="136" t="n">
        <v>0</v>
      </c>
      <c r="H468" s="136" t="n">
        <v>3188238652</v>
      </c>
      <c r="I468" s="136" t="n">
        <v>709431264</v>
      </c>
      <c r="J468" s="136" t="n">
        <v>3255643046</v>
      </c>
      <c r="K468" s="136" t="n">
        <v>1139601139</v>
      </c>
      <c r="L468" s="136" t="n">
        <v>44232350</v>
      </c>
    </row>
    <row r="469" customFormat="false" ht="15" hidden="false" customHeight="false" outlineLevel="0" collapsed="false">
      <c r="B469" s="146" t="s">
        <v>1032</v>
      </c>
    </row>
    <row r="470" customFormat="false" ht="15" hidden="false" customHeight="false" outlineLevel="0" collapsed="false">
      <c r="B470" s="147" t="s">
        <v>1033</v>
      </c>
      <c r="C470" s="133" t="s">
        <v>1034</v>
      </c>
      <c r="D470" s="136" t="n">
        <v>0</v>
      </c>
      <c r="E470" s="136" t="n">
        <v>0</v>
      </c>
      <c r="F470" s="136" t="n">
        <v>0</v>
      </c>
      <c r="G470" s="136" t="n">
        <v>0</v>
      </c>
      <c r="H470" s="136" t="n">
        <v>0</v>
      </c>
      <c r="I470" s="136" t="n">
        <v>0</v>
      </c>
      <c r="J470" s="136" t="n">
        <v>0</v>
      </c>
      <c r="K470" s="136" t="n">
        <v>0</v>
      </c>
      <c r="L470" s="136" t="n">
        <v>8194063</v>
      </c>
    </row>
    <row r="471" customFormat="false" ht="15" hidden="false" customHeight="false" outlineLevel="0" collapsed="false">
      <c r="B471" s="144" t="s">
        <v>1035</v>
      </c>
      <c r="C471" s="133" t="s">
        <v>1036</v>
      </c>
      <c r="D471" s="136" t="n">
        <v>3895536</v>
      </c>
      <c r="E471" s="136" t="n">
        <v>295375171</v>
      </c>
      <c r="F471" s="136" t="n">
        <v>0</v>
      </c>
      <c r="G471" s="136" t="n">
        <v>0</v>
      </c>
      <c r="H471" s="136" t="n">
        <v>3188238652</v>
      </c>
      <c r="I471" s="136" t="n">
        <v>709431264</v>
      </c>
      <c r="J471" s="136" t="n">
        <v>3255643046</v>
      </c>
      <c r="K471" s="136" t="n">
        <v>1139601139</v>
      </c>
      <c r="L471" s="136" t="n">
        <v>36038287</v>
      </c>
    </row>
    <row r="472" customFormat="false" ht="15" hidden="false" customHeight="false" outlineLevel="0" collapsed="false">
      <c r="B472" s="140" t="s">
        <v>1026</v>
      </c>
      <c r="C472" s="133" t="s">
        <v>1027</v>
      </c>
      <c r="D472" s="134" t="n">
        <v>5024398950</v>
      </c>
      <c r="E472" s="134" t="n">
        <v>5319774121</v>
      </c>
      <c r="F472" s="134" t="n">
        <v>5319774121</v>
      </c>
      <c r="G472" s="134" t="n">
        <v>5319774121</v>
      </c>
      <c r="H472" s="134" t="n">
        <v>8508012773</v>
      </c>
      <c r="I472" s="134" t="n">
        <v>9217444037</v>
      </c>
      <c r="J472" s="134" t="n">
        <v>12473087083</v>
      </c>
      <c r="K472" s="134" t="n">
        <v>13612688222</v>
      </c>
      <c r="L472" s="134" t="n">
        <v>13648726509</v>
      </c>
    </row>
    <row r="473" customFormat="false" ht="15" hidden="false" customHeight="false" outlineLevel="0" collapsed="false">
      <c r="B473" s="139" t="s">
        <v>1037</v>
      </c>
    </row>
    <row r="474" customFormat="false" ht="15" hidden="false" customHeight="false" outlineLevel="0" collapsed="false">
      <c r="B474" s="140" t="s">
        <v>170</v>
      </c>
      <c r="C474" s="133" t="s">
        <v>674</v>
      </c>
      <c r="D474" s="134" t="n">
        <v>10048800000</v>
      </c>
      <c r="E474" s="134" t="n">
        <v>10639500000</v>
      </c>
      <c r="F474" s="134" t="n">
        <v>10639500000</v>
      </c>
      <c r="G474" s="134" t="n">
        <v>10639500000</v>
      </c>
      <c r="H474" s="134" t="n">
        <v>17016000000</v>
      </c>
      <c r="I474" s="134" t="n">
        <v>18434900000</v>
      </c>
      <c r="J474" s="134" t="n">
        <v>24544000000</v>
      </c>
      <c r="K474" s="134" t="n">
        <v>27217200000</v>
      </c>
      <c r="L474" s="134" t="n">
        <v>27317900000</v>
      </c>
    </row>
    <row r="475" customFormat="false" ht="15" hidden="false" customHeight="false" outlineLevel="0" collapsed="false">
      <c r="B475" s="141" t="s">
        <v>1038</v>
      </c>
    </row>
    <row r="476" customFormat="false" ht="15" hidden="false" customHeight="false" outlineLevel="0" collapsed="false">
      <c r="B476" s="146" t="s">
        <v>1039</v>
      </c>
    </row>
    <row r="477" customFormat="false" ht="15" hidden="false" customHeight="false" outlineLevel="0" collapsed="false">
      <c r="B477" s="149" t="s">
        <v>1040</v>
      </c>
      <c r="C477" s="133" t="s">
        <v>1041</v>
      </c>
      <c r="D477" s="134" t="n">
        <v>0</v>
      </c>
      <c r="E477" s="134" t="n">
        <v>0</v>
      </c>
      <c r="F477" s="134" t="n">
        <v>0</v>
      </c>
      <c r="G477" s="134" t="n">
        <v>0</v>
      </c>
      <c r="H477" s="134" t="n">
        <v>0</v>
      </c>
      <c r="I477" s="134" t="n">
        <v>0</v>
      </c>
      <c r="J477" s="134" t="n">
        <v>4397800000</v>
      </c>
      <c r="K477" s="134" t="n">
        <v>394000000</v>
      </c>
      <c r="L477" s="134" t="n">
        <v>0</v>
      </c>
    </row>
    <row r="478" customFormat="false" ht="15" hidden="false" customHeight="false" outlineLevel="0" collapsed="false">
      <c r="B478" s="149" t="s">
        <v>1042</v>
      </c>
      <c r="C478" s="133" t="s">
        <v>1043</v>
      </c>
      <c r="D478" s="134" t="n">
        <v>0</v>
      </c>
      <c r="E478" s="134" t="n">
        <v>0</v>
      </c>
      <c r="F478" s="134" t="n">
        <v>0</v>
      </c>
      <c r="G478" s="134" t="n">
        <v>0</v>
      </c>
      <c r="H478" s="134" t="n">
        <v>0</v>
      </c>
      <c r="I478" s="134" t="n">
        <v>408000000</v>
      </c>
      <c r="J478" s="134" t="n">
        <v>1142900000</v>
      </c>
      <c r="K478" s="134" t="n">
        <v>0</v>
      </c>
      <c r="L478" s="134" t="n">
        <v>0</v>
      </c>
    </row>
    <row r="479" customFormat="false" ht="15" hidden="false" customHeight="false" outlineLevel="0" collapsed="false">
      <c r="B479" s="149" t="s">
        <v>1044</v>
      </c>
      <c r="C479" s="133" t="s">
        <v>1045</v>
      </c>
      <c r="D479" s="134" t="n">
        <v>0</v>
      </c>
      <c r="E479" s="134" t="n">
        <v>0</v>
      </c>
      <c r="F479" s="134" t="n">
        <v>0</v>
      </c>
      <c r="G479" s="134" t="n">
        <v>0</v>
      </c>
      <c r="H479" s="134" t="n">
        <v>4787500000</v>
      </c>
      <c r="I479" s="134" t="n">
        <v>0</v>
      </c>
      <c r="J479" s="134" t="n">
        <v>0</v>
      </c>
      <c r="K479" s="134" t="n">
        <v>0</v>
      </c>
      <c r="L479" s="134" t="n">
        <v>0</v>
      </c>
    </row>
    <row r="480" customFormat="false" ht="15" hidden="false" customHeight="false" outlineLevel="0" collapsed="false">
      <c r="B480" s="149" t="s">
        <v>1046</v>
      </c>
      <c r="C480" s="133" t="s">
        <v>1047</v>
      </c>
      <c r="D480" s="134" t="n">
        <v>0</v>
      </c>
      <c r="E480" s="134" t="n">
        <v>0</v>
      </c>
      <c r="F480" s="134" t="n">
        <v>0</v>
      </c>
      <c r="G480" s="134" t="n">
        <v>0</v>
      </c>
      <c r="H480" s="134" t="n">
        <v>0</v>
      </c>
      <c r="I480" s="134" t="n">
        <v>0</v>
      </c>
      <c r="J480" s="134" t="n">
        <v>0</v>
      </c>
      <c r="K480" s="134" t="n">
        <v>2279200000</v>
      </c>
      <c r="L480" s="134" t="n">
        <v>20500000</v>
      </c>
    </row>
    <row r="481" customFormat="false" ht="15" hidden="false" customHeight="false" outlineLevel="0" collapsed="false">
      <c r="B481" s="149" t="s">
        <v>1048</v>
      </c>
      <c r="C481" s="133" t="s">
        <v>1049</v>
      </c>
      <c r="D481" s="134" t="n">
        <v>0</v>
      </c>
      <c r="E481" s="134" t="n">
        <v>0</v>
      </c>
      <c r="F481" s="134" t="n">
        <v>0</v>
      </c>
      <c r="G481" s="134" t="n">
        <v>0</v>
      </c>
      <c r="H481" s="134" t="n">
        <v>0</v>
      </c>
      <c r="I481" s="134" t="n">
        <v>0</v>
      </c>
      <c r="J481" s="134" t="n">
        <v>0</v>
      </c>
      <c r="K481" s="134" t="n">
        <v>0</v>
      </c>
      <c r="L481" s="134" t="n">
        <v>88500000</v>
      </c>
    </row>
    <row r="482" customFormat="false" ht="15" hidden="false" customHeight="false" outlineLevel="0" collapsed="false">
      <c r="B482" s="149" t="s">
        <v>1050</v>
      </c>
      <c r="C482" s="133" t="s">
        <v>1051</v>
      </c>
      <c r="D482" s="134" t="n">
        <v>7800000</v>
      </c>
      <c r="E482" s="134" t="n">
        <v>590700000</v>
      </c>
      <c r="F482" s="134" t="n">
        <v>0</v>
      </c>
      <c r="G482" s="134" t="n">
        <v>0</v>
      </c>
      <c r="H482" s="134" t="n">
        <v>1589000000</v>
      </c>
      <c r="I482" s="134" t="n">
        <v>1010900000</v>
      </c>
      <c r="J482" s="134" t="n">
        <v>568400000</v>
      </c>
      <c r="K482" s="134" t="n">
        <v>0</v>
      </c>
      <c r="L482" s="134" t="n">
        <v>0</v>
      </c>
    </row>
    <row r="483" customFormat="false" ht="15" hidden="false" customHeight="false" outlineLevel="0" collapsed="false">
      <c r="B483" s="147" t="s">
        <v>1052</v>
      </c>
      <c r="C483" s="133" t="s">
        <v>1053</v>
      </c>
      <c r="D483" s="136" t="n">
        <v>7800000</v>
      </c>
      <c r="E483" s="136" t="n">
        <v>590700000</v>
      </c>
      <c r="F483" s="136" t="n">
        <v>0</v>
      </c>
      <c r="G483" s="136" t="n">
        <v>0</v>
      </c>
      <c r="H483" s="136" t="n">
        <v>6376500000</v>
      </c>
      <c r="I483" s="136" t="n">
        <v>1418900000</v>
      </c>
      <c r="J483" s="136" t="n">
        <v>6109100000</v>
      </c>
      <c r="K483" s="136" t="n">
        <v>2673200000</v>
      </c>
      <c r="L483" s="136" t="n">
        <v>109000000</v>
      </c>
    </row>
    <row r="484" customFormat="false" ht="15" hidden="false" customHeight="false" outlineLevel="0" collapsed="false">
      <c r="B484" s="146" t="s">
        <v>1054</v>
      </c>
    </row>
    <row r="485" customFormat="false" ht="15" hidden="false" customHeight="false" outlineLevel="0" collapsed="false">
      <c r="B485" s="149" t="s">
        <v>1055</v>
      </c>
      <c r="C485" s="133" t="s">
        <v>1056</v>
      </c>
      <c r="D485" s="134" t="n">
        <v>0</v>
      </c>
      <c r="E485" s="134" t="n">
        <v>0</v>
      </c>
      <c r="F485" s="134" t="n">
        <v>0</v>
      </c>
      <c r="G485" s="134" t="n">
        <v>0</v>
      </c>
      <c r="H485" s="134" t="n">
        <v>0</v>
      </c>
      <c r="I485" s="134" t="n">
        <v>0</v>
      </c>
      <c r="J485" s="134" t="n">
        <v>0</v>
      </c>
      <c r="K485" s="134" t="n">
        <v>0</v>
      </c>
      <c r="L485" s="134" t="n">
        <v>8300000</v>
      </c>
    </row>
    <row r="486" customFormat="false" ht="15" hidden="false" customHeight="false" outlineLevel="0" collapsed="false">
      <c r="B486" s="147" t="s">
        <v>1057</v>
      </c>
      <c r="C486" s="133" t="s">
        <v>1058</v>
      </c>
      <c r="D486" s="136" t="n">
        <v>0</v>
      </c>
      <c r="E486" s="136" t="n">
        <v>0</v>
      </c>
      <c r="F486" s="136" t="n">
        <v>0</v>
      </c>
      <c r="G486" s="136" t="n">
        <v>0</v>
      </c>
      <c r="H486" s="136" t="n">
        <v>0</v>
      </c>
      <c r="I486" s="136" t="n">
        <v>0</v>
      </c>
      <c r="J486" s="136" t="n">
        <v>0</v>
      </c>
      <c r="K486" s="136" t="n">
        <v>0</v>
      </c>
      <c r="L486" s="136" t="n">
        <v>8300000</v>
      </c>
    </row>
    <row r="487" customFormat="false" ht="15" hidden="false" customHeight="false" outlineLevel="0" collapsed="false">
      <c r="B487" s="144" t="s">
        <v>1059</v>
      </c>
      <c r="C487" s="133" t="s">
        <v>1060</v>
      </c>
      <c r="D487" s="136" t="n">
        <v>7800000</v>
      </c>
      <c r="E487" s="136" t="n">
        <v>590700000</v>
      </c>
      <c r="F487" s="136" t="n">
        <v>0</v>
      </c>
      <c r="G487" s="136" t="n">
        <v>0</v>
      </c>
      <c r="H487" s="136" t="n">
        <v>6376500000</v>
      </c>
      <c r="I487" s="136" t="n">
        <v>1418900000</v>
      </c>
      <c r="J487" s="136" t="n">
        <v>6109100000</v>
      </c>
      <c r="K487" s="136" t="n">
        <v>2673200000</v>
      </c>
      <c r="L487" s="136" t="n">
        <v>100700000</v>
      </c>
    </row>
    <row r="488" customFormat="false" ht="15" hidden="false" customHeight="false" outlineLevel="0" collapsed="false">
      <c r="B488" s="140" t="s">
        <v>170</v>
      </c>
      <c r="C488" s="133" t="s">
        <v>674</v>
      </c>
      <c r="D488" s="134" t="n">
        <v>10048800000</v>
      </c>
      <c r="E488" s="134" t="n">
        <v>10639500000</v>
      </c>
      <c r="F488" s="134" t="n">
        <v>10639500000</v>
      </c>
      <c r="G488" s="134" t="n">
        <v>10639500000</v>
      </c>
      <c r="H488" s="134" t="n">
        <v>17016000000</v>
      </c>
      <c r="I488" s="134" t="n">
        <v>18434900000</v>
      </c>
      <c r="J488" s="134" t="n">
        <v>24544000000</v>
      </c>
      <c r="K488" s="134" t="n">
        <v>27217200000</v>
      </c>
      <c r="L488" s="134" t="n">
        <v>27317900000</v>
      </c>
    </row>
    <row r="492" customFormat="false" ht="15" hidden="false" customHeight="false" outlineLevel="0" collapsed="false">
      <c r="A492" s="0" t="s">
        <v>26</v>
      </c>
      <c r="B492" s="63" t="s">
        <v>1061</v>
      </c>
    </row>
    <row r="494" customFormat="false" ht="15" hidden="false" customHeight="false" outlineLevel="0" collapsed="false">
      <c r="C494" s="131" t="s">
        <v>568</v>
      </c>
      <c r="D494" s="13" t="s">
        <v>29</v>
      </c>
      <c r="E494" s="13" t="s">
        <v>30</v>
      </c>
      <c r="F494" s="13" t="s">
        <v>31</v>
      </c>
      <c r="G494" s="13" t="s">
        <v>32</v>
      </c>
      <c r="H494" s="13" t="s">
        <v>33</v>
      </c>
      <c r="I494" s="13" t="s">
        <v>34</v>
      </c>
      <c r="J494" s="13" t="s">
        <v>35</v>
      </c>
      <c r="K494" s="13" t="s">
        <v>36</v>
      </c>
      <c r="L494" s="13" t="s">
        <v>37</v>
      </c>
    </row>
    <row r="495" customFormat="false" ht="15" hidden="false" customHeight="false" outlineLevel="0" collapsed="false">
      <c r="B495" s="63" t="s">
        <v>1062</v>
      </c>
    </row>
    <row r="496" customFormat="false" ht="15" hidden="false" customHeight="false" outlineLevel="0" collapsed="false">
      <c r="B496" s="137" t="s">
        <v>1063</v>
      </c>
    </row>
    <row r="497" customFormat="false" ht="15" hidden="false" customHeight="false" outlineLevel="0" collapsed="false">
      <c r="B497" s="138" t="s">
        <v>139</v>
      </c>
      <c r="C497" s="133" t="s">
        <v>642</v>
      </c>
      <c r="D497" s="134" t="n">
        <v>6433600000</v>
      </c>
      <c r="E497" s="134" t="n">
        <v>4718000000</v>
      </c>
      <c r="F497" s="134" t="n">
        <v>3002400000</v>
      </c>
      <c r="G497" s="134" t="n">
        <v>0</v>
      </c>
      <c r="H497" s="134" t="n">
        <v>0</v>
      </c>
      <c r="I497" s="134" t="n">
        <v>0</v>
      </c>
      <c r="J497" s="134" t="n">
        <v>0</v>
      </c>
      <c r="K497" s="134" t="n">
        <v>0</v>
      </c>
      <c r="L497" s="134" t="n">
        <v>0</v>
      </c>
    </row>
    <row r="498" customFormat="false" ht="15" hidden="false" customHeight="false" outlineLevel="0" collapsed="false">
      <c r="B498" s="138" t="s">
        <v>139</v>
      </c>
      <c r="C498" s="133" t="s">
        <v>642</v>
      </c>
      <c r="D498" s="134" t="n">
        <v>6433600000</v>
      </c>
      <c r="E498" s="134" t="n">
        <v>4718000000</v>
      </c>
      <c r="F498" s="134" t="n">
        <v>3002400000</v>
      </c>
      <c r="G498" s="134" t="n">
        <v>0</v>
      </c>
      <c r="H498" s="134" t="n">
        <v>0</v>
      </c>
      <c r="I498" s="134" t="n">
        <v>0</v>
      </c>
      <c r="J498" s="134" t="n">
        <v>0</v>
      </c>
      <c r="K498" s="134" t="n">
        <v>0</v>
      </c>
      <c r="L498" s="134" t="n">
        <v>0</v>
      </c>
    </row>
    <row r="501" customFormat="false" ht="15" hidden="false" customHeight="false" outlineLevel="0" collapsed="false">
      <c r="A501" s="0" t="s">
        <v>26</v>
      </c>
      <c r="B501" s="63" t="s">
        <v>1064</v>
      </c>
    </row>
    <row r="503" customFormat="false" ht="15" hidden="false" customHeight="false" outlineLevel="0" collapsed="false">
      <c r="C503" s="131" t="s">
        <v>568</v>
      </c>
      <c r="D503" s="13" t="s">
        <v>29</v>
      </c>
      <c r="E503" s="13" t="s">
        <v>30</v>
      </c>
      <c r="F503" s="13" t="s">
        <v>31</v>
      </c>
      <c r="G503" s="13" t="s">
        <v>32</v>
      </c>
      <c r="H503" s="13" t="s">
        <v>33</v>
      </c>
      <c r="I503" s="13" t="s">
        <v>34</v>
      </c>
      <c r="J503" s="13" t="s">
        <v>35</v>
      </c>
      <c r="K503" s="13" t="s">
        <v>36</v>
      </c>
      <c r="L503" s="13" t="s">
        <v>37</v>
      </c>
    </row>
    <row r="504" customFormat="false" ht="15" hidden="false" customHeight="false" outlineLevel="0" collapsed="false">
      <c r="B504" s="137" t="s">
        <v>1065</v>
      </c>
    </row>
    <row r="505" customFormat="false" ht="15" hidden="false" customHeight="false" outlineLevel="0" collapsed="false">
      <c r="B505" s="139" t="s">
        <v>1066</v>
      </c>
    </row>
    <row r="506" customFormat="false" ht="15" hidden="false" customHeight="false" outlineLevel="0" collapsed="false">
      <c r="B506" s="141" t="s">
        <v>1067</v>
      </c>
    </row>
    <row r="507" customFormat="false" ht="15" hidden="false" customHeight="false" outlineLevel="0" collapsed="false">
      <c r="B507" s="142" t="s">
        <v>146</v>
      </c>
      <c r="C507" s="133" t="s">
        <v>641</v>
      </c>
      <c r="D507" s="134" t="n">
        <v>341400000</v>
      </c>
      <c r="E507" s="134" t="n">
        <v>407900000</v>
      </c>
      <c r="F507" s="134" t="n">
        <v>373600000</v>
      </c>
      <c r="G507" s="134" t="n">
        <v>346700000</v>
      </c>
      <c r="H507" s="134" t="n">
        <v>326400000</v>
      </c>
      <c r="I507" s="134" t="n">
        <v>308600000</v>
      </c>
      <c r="J507" s="134" t="n">
        <v>292100000</v>
      </c>
      <c r="K507" s="134" t="n">
        <v>270100000</v>
      </c>
      <c r="L507" s="134" t="n">
        <v>257500000</v>
      </c>
    </row>
    <row r="508" customFormat="false" ht="15" hidden="false" customHeight="false" outlineLevel="0" collapsed="false">
      <c r="B508" s="142" t="s">
        <v>146</v>
      </c>
      <c r="C508" s="133" t="s">
        <v>641</v>
      </c>
      <c r="D508" s="134" t="n">
        <v>341400000</v>
      </c>
      <c r="E508" s="134" t="n">
        <v>407900000</v>
      </c>
      <c r="F508" s="134" t="n">
        <v>373600000</v>
      </c>
      <c r="G508" s="134" t="n">
        <v>346700000</v>
      </c>
      <c r="H508" s="134" t="n">
        <v>326400000</v>
      </c>
      <c r="I508" s="134" t="n">
        <v>308600000</v>
      </c>
      <c r="J508" s="134" t="n">
        <v>292100000</v>
      </c>
      <c r="K508" s="134" t="n">
        <v>270100000</v>
      </c>
      <c r="L508" s="134" t="n">
        <v>257500000</v>
      </c>
    </row>
    <row r="510" customFormat="false" ht="15" hidden="false" customHeight="false" outlineLevel="0" collapsed="false">
      <c r="B510" s="63" t="s">
        <v>1068</v>
      </c>
    </row>
    <row r="511" customFormat="false" ht="15" hidden="false" customHeight="false" outlineLevel="0" collapsed="false">
      <c r="B511" s="132" t="s">
        <v>1069</v>
      </c>
      <c r="C511" s="133" t="s">
        <v>1070</v>
      </c>
      <c r="D511" s="134" t="n">
        <v>69200000</v>
      </c>
      <c r="E511" s="134" t="n">
        <v>151300000</v>
      </c>
      <c r="F511" s="134" t="n">
        <v>188300000</v>
      </c>
      <c r="G511" s="134" t="n">
        <v>195200000</v>
      </c>
      <c r="H511" s="134" t="n">
        <v>126800000</v>
      </c>
      <c r="I511" s="134" t="n">
        <v>92200000</v>
      </c>
      <c r="J511" s="134" t="n">
        <v>88800000</v>
      </c>
      <c r="K511" s="134" t="n">
        <v>116700000</v>
      </c>
      <c r="L511" s="134" t="n">
        <v>115700000</v>
      </c>
    </row>
    <row r="512" customFormat="false" ht="15" hidden="false" customHeight="false" outlineLevel="0" collapsed="false">
      <c r="B512" s="137" t="s">
        <v>1071</v>
      </c>
    </row>
    <row r="513" customFormat="false" ht="15" hidden="false" customHeight="false" outlineLevel="0" collapsed="false">
      <c r="B513" s="138" t="s">
        <v>1072</v>
      </c>
      <c r="C513" s="133" t="s">
        <v>1073</v>
      </c>
      <c r="D513" s="134" t="n">
        <v>0</v>
      </c>
      <c r="E513" s="134" t="n">
        <v>0</v>
      </c>
      <c r="F513" s="134" t="n">
        <v>0</v>
      </c>
      <c r="G513" s="134" t="n">
        <v>44000000</v>
      </c>
      <c r="H513" s="134" t="n">
        <v>37800000</v>
      </c>
      <c r="I513" s="134" t="n">
        <v>35300000</v>
      </c>
      <c r="J513" s="134" t="n">
        <v>31600000</v>
      </c>
      <c r="K513" s="134" t="n">
        <v>32100000</v>
      </c>
      <c r="L513" s="134" t="n">
        <v>31000000</v>
      </c>
    </row>
    <row r="514" customFormat="false" ht="15" hidden="false" customHeight="false" outlineLevel="0" collapsed="false">
      <c r="B514" s="138" t="s">
        <v>1074</v>
      </c>
      <c r="C514" s="133" t="s">
        <v>1075</v>
      </c>
      <c r="D514" s="134" t="n">
        <v>6700000</v>
      </c>
      <c r="E514" s="134" t="n">
        <v>11600000</v>
      </c>
      <c r="F514" s="134" t="n">
        <v>18100000</v>
      </c>
      <c r="G514" s="134" t="n">
        <v>0</v>
      </c>
      <c r="H514" s="134" t="n">
        <v>0</v>
      </c>
      <c r="I514" s="134" t="n">
        <v>0</v>
      </c>
      <c r="J514" s="134" t="n">
        <v>0</v>
      </c>
      <c r="K514" s="134" t="n">
        <v>0</v>
      </c>
      <c r="L514" s="134" t="n">
        <v>0</v>
      </c>
    </row>
    <row r="515" customFormat="false" ht="15" hidden="false" customHeight="false" outlineLevel="0" collapsed="false">
      <c r="B515" s="145" t="s">
        <v>1076</v>
      </c>
      <c r="C515" s="133" t="s">
        <v>1077</v>
      </c>
      <c r="D515" s="136" t="n">
        <v>6700000</v>
      </c>
      <c r="E515" s="136" t="n">
        <v>11600000</v>
      </c>
      <c r="F515" s="136" t="n">
        <v>18100000</v>
      </c>
      <c r="G515" s="136" t="n">
        <v>44000000</v>
      </c>
      <c r="H515" s="136" t="n">
        <v>37800000</v>
      </c>
      <c r="I515" s="136" t="n">
        <v>35300000</v>
      </c>
      <c r="J515" s="136" t="n">
        <v>31600000</v>
      </c>
      <c r="K515" s="136" t="n">
        <v>32100000</v>
      </c>
      <c r="L515" s="136" t="n">
        <v>31000000</v>
      </c>
    </row>
    <row r="516" customFormat="false" ht="15" hidden="false" customHeight="false" outlineLevel="0" collapsed="false">
      <c r="B516" s="135" t="s">
        <v>1078</v>
      </c>
      <c r="C516" s="133" t="s">
        <v>1079</v>
      </c>
      <c r="D516" s="136" t="n">
        <v>62500000</v>
      </c>
      <c r="E516" s="136" t="n">
        <v>139700000</v>
      </c>
      <c r="F516" s="136" t="n">
        <v>170200000</v>
      </c>
      <c r="G516" s="136" t="n">
        <v>151200000</v>
      </c>
      <c r="H516" s="136" t="n">
        <v>89000000</v>
      </c>
      <c r="I516" s="136" t="n">
        <v>56900000</v>
      </c>
      <c r="J516" s="136" t="n">
        <v>57200000</v>
      </c>
      <c r="K516" s="136" t="n">
        <v>84600000</v>
      </c>
      <c r="L516" s="136" t="n">
        <v>84700000</v>
      </c>
    </row>
    <row r="519" customFormat="false" ht="15" hidden="false" customHeight="false" outlineLevel="0" collapsed="false">
      <c r="A519" s="0" t="s">
        <v>26</v>
      </c>
      <c r="B519" s="63" t="s">
        <v>1080</v>
      </c>
    </row>
    <row r="521" customFormat="false" ht="15" hidden="false" customHeight="false" outlineLevel="0" collapsed="false">
      <c r="C521" s="131" t="s">
        <v>568</v>
      </c>
      <c r="D521" s="13" t="s">
        <v>29</v>
      </c>
      <c r="E521" s="13" t="s">
        <v>30</v>
      </c>
      <c r="F521" s="13" t="s">
        <v>31</v>
      </c>
      <c r="G521" s="13" t="s">
        <v>32</v>
      </c>
      <c r="H521" s="13" t="s">
        <v>33</v>
      </c>
      <c r="I521" s="13" t="s">
        <v>34</v>
      </c>
      <c r="J521" s="13" t="s">
        <v>35</v>
      </c>
      <c r="K521" s="13" t="s">
        <v>36</v>
      </c>
      <c r="L521" s="13" t="s">
        <v>37</v>
      </c>
    </row>
    <row r="522" customFormat="false" ht="15" hidden="false" customHeight="false" outlineLevel="0" collapsed="false">
      <c r="B522" s="63" t="s">
        <v>1081</v>
      </c>
    </row>
    <row r="523" customFormat="false" ht="15" hidden="false" customHeight="false" outlineLevel="0" collapsed="false">
      <c r="B523" s="137" t="s">
        <v>1082</v>
      </c>
    </row>
    <row r="524" customFormat="false" ht="15" hidden="false" customHeight="false" outlineLevel="0" collapsed="false">
      <c r="B524" s="139" t="s">
        <v>1083</v>
      </c>
    </row>
    <row r="525" customFormat="false" ht="15" hidden="false" customHeight="false" outlineLevel="0" collapsed="false">
      <c r="B525" s="140" t="s">
        <v>148</v>
      </c>
      <c r="C525" s="133" t="s">
        <v>647</v>
      </c>
      <c r="D525" s="134" t="n">
        <v>31667700000</v>
      </c>
      <c r="E525" s="134" t="n">
        <v>27629200000</v>
      </c>
      <c r="F525" s="134" t="n">
        <v>20085800000</v>
      </c>
      <c r="G525" s="134" t="n">
        <v>17521500000</v>
      </c>
      <c r="H525" s="134" t="n">
        <v>17508400000</v>
      </c>
      <c r="I525" s="134" t="n">
        <v>17519800000</v>
      </c>
      <c r="J525" s="134" t="n">
        <v>17539000000</v>
      </c>
      <c r="K525" s="134" t="n">
        <v>17564600000</v>
      </c>
      <c r="L525" s="134" t="n">
        <v>12776900000</v>
      </c>
    </row>
    <row r="526" customFormat="false" ht="15" hidden="false" customHeight="false" outlineLevel="0" collapsed="false">
      <c r="B526" s="132" t="s">
        <v>1086</v>
      </c>
      <c r="C526" s="133" t="s">
        <v>1087</v>
      </c>
      <c r="D526" s="134" t="n">
        <v>31667700000</v>
      </c>
      <c r="E526" s="134" t="n">
        <v>27629200000</v>
      </c>
      <c r="F526" s="134" t="n">
        <v>20085800000</v>
      </c>
      <c r="G526" s="134" t="n">
        <v>17521500000</v>
      </c>
      <c r="H526" s="134" t="n">
        <v>17508400000</v>
      </c>
      <c r="I526" s="134" t="n">
        <v>17519800000</v>
      </c>
      <c r="J526" s="134" t="n">
        <v>17539000000</v>
      </c>
      <c r="K526" s="134" t="n">
        <v>17564600000</v>
      </c>
      <c r="L526" s="134" t="n">
        <v>12776900000</v>
      </c>
    </row>
    <row r="527" customFormat="false" ht="15" hidden="false" customHeight="false" outlineLevel="0" collapsed="false">
      <c r="B527" s="132" t="s">
        <v>1378</v>
      </c>
      <c r="C527" s="133" t="s">
        <v>1379</v>
      </c>
      <c r="D527" s="134" t="n">
        <v>-63691800000</v>
      </c>
      <c r="E527" s="134" t="n">
        <v>-68141300000</v>
      </c>
      <c r="F527" s="134" t="n">
        <v>-76635300000</v>
      </c>
      <c r="G527" s="134" t="n">
        <v>-78578000000</v>
      </c>
      <c r="H527" s="134" t="n">
        <v>-78596600000</v>
      </c>
      <c r="I527" s="134" t="n">
        <v>-78596600000</v>
      </c>
      <c r="J527" s="134" t="n">
        <v>-75805000000</v>
      </c>
      <c r="K527" s="134" t="n">
        <v>-13412700000</v>
      </c>
      <c r="L527" s="134" t="n">
        <v>17562000000</v>
      </c>
    </row>
    <row r="530" customFormat="false" ht="15" hidden="false" customHeight="false" outlineLevel="0" collapsed="false">
      <c r="A530" s="0" t="s">
        <v>26</v>
      </c>
      <c r="B530" s="63" t="s">
        <v>1088</v>
      </c>
    </row>
    <row r="532" customFormat="false" ht="15" hidden="false" customHeight="false" outlineLevel="0" collapsed="false">
      <c r="C532" s="131" t="s">
        <v>568</v>
      </c>
      <c r="D532" s="13" t="s">
        <v>29</v>
      </c>
      <c r="E532" s="13" t="s">
        <v>30</v>
      </c>
      <c r="F532" s="13" t="s">
        <v>31</v>
      </c>
      <c r="G532" s="13" t="s">
        <v>32</v>
      </c>
      <c r="H532" s="13" t="s">
        <v>33</v>
      </c>
      <c r="I532" s="13" t="s">
        <v>34</v>
      </c>
      <c r="J532" s="13" t="s">
        <v>35</v>
      </c>
      <c r="K532" s="13" t="s">
        <v>36</v>
      </c>
      <c r="L532" s="13" t="s">
        <v>37</v>
      </c>
    </row>
    <row r="533" customFormat="false" ht="15" hidden="false" customHeight="false" outlineLevel="0" collapsed="false">
      <c r="B533" s="137" t="s">
        <v>1089</v>
      </c>
    </row>
    <row r="534" customFormat="false" ht="15" hidden="false" customHeight="false" outlineLevel="0" collapsed="false">
      <c r="B534" s="139" t="s">
        <v>1090</v>
      </c>
    </row>
    <row r="535" customFormat="false" ht="15" hidden="false" customHeight="false" outlineLevel="0" collapsed="false">
      <c r="B535" s="141" t="s">
        <v>1091</v>
      </c>
    </row>
    <row r="536" customFormat="false" ht="15" hidden="false" customHeight="false" outlineLevel="0" collapsed="false">
      <c r="B536" s="142" t="s">
        <v>140</v>
      </c>
      <c r="C536" s="133" t="s">
        <v>643</v>
      </c>
      <c r="D536" s="134" t="n">
        <v>1858800000</v>
      </c>
      <c r="E536" s="134" t="n">
        <v>1476100000</v>
      </c>
      <c r="F536" s="134" t="n">
        <v>3297700000</v>
      </c>
      <c r="G536" s="134" t="n">
        <v>2705900000</v>
      </c>
      <c r="H536" s="134" t="n">
        <v>1942400000</v>
      </c>
      <c r="I536" s="134" t="n">
        <v>1247000000</v>
      </c>
      <c r="J536" s="134" t="n">
        <v>629000000</v>
      </c>
      <c r="K536" s="134" t="n">
        <v>536400000</v>
      </c>
      <c r="L536" s="134" t="n">
        <v>913500000</v>
      </c>
    </row>
    <row r="537" customFormat="false" ht="15" hidden="false" customHeight="false" outlineLevel="0" collapsed="false">
      <c r="B537" s="146" t="s">
        <v>1092</v>
      </c>
    </row>
    <row r="538" customFormat="false" ht="15" hidden="false" customHeight="false" outlineLevel="0" collapsed="false">
      <c r="B538" s="149" t="s">
        <v>1093</v>
      </c>
      <c r="C538" s="133" t="s">
        <v>1094</v>
      </c>
      <c r="D538" s="134" t="n">
        <v>254400000</v>
      </c>
      <c r="E538" s="134" t="n">
        <v>534600000</v>
      </c>
      <c r="F538" s="134" t="n">
        <v>2739200000</v>
      </c>
      <c r="G538" s="134" t="n">
        <v>760900000</v>
      </c>
      <c r="H538" s="134" t="n">
        <v>461400000</v>
      </c>
      <c r="I538" s="134" t="n">
        <v>386400000</v>
      </c>
      <c r="J538" s="134" t="n">
        <v>334600000</v>
      </c>
      <c r="K538" s="134" t="n">
        <v>387800000</v>
      </c>
      <c r="L538" s="134" t="n">
        <v>563000000</v>
      </c>
    </row>
    <row r="539" customFormat="false" ht="15" hidden="false" customHeight="false" outlineLevel="0" collapsed="false">
      <c r="B539" s="149" t="s">
        <v>1097</v>
      </c>
      <c r="C539" s="133" t="s">
        <v>1098</v>
      </c>
      <c r="D539" s="134" t="n">
        <v>-904200000</v>
      </c>
      <c r="E539" s="134" t="n">
        <v>-917300000</v>
      </c>
      <c r="F539" s="134" t="n">
        <v>-921800000</v>
      </c>
      <c r="G539" s="134" t="n">
        <v>-1353900000</v>
      </c>
      <c r="H539" s="134" t="n">
        <v>-1226000000</v>
      </c>
      <c r="I539" s="134" t="n">
        <v>-1081800000</v>
      </c>
      <c r="J539" s="134" t="n">
        <v>-953000000</v>
      </c>
      <c r="K539" s="134" t="n">
        <v>-480500000</v>
      </c>
      <c r="L539" s="134" t="n">
        <v>-203300000</v>
      </c>
    </row>
    <row r="540" customFormat="false" ht="15" hidden="false" customHeight="false" outlineLevel="0" collapsed="false">
      <c r="B540" s="149" t="s">
        <v>1099</v>
      </c>
      <c r="C540" s="133" t="s">
        <v>1100</v>
      </c>
      <c r="D540" s="134" t="n">
        <v>0</v>
      </c>
      <c r="E540" s="134" t="n">
        <v>0</v>
      </c>
      <c r="F540" s="134" t="n">
        <v>0</v>
      </c>
      <c r="G540" s="134" t="n">
        <v>-300000</v>
      </c>
      <c r="H540" s="134" t="n">
        <v>0</v>
      </c>
      <c r="I540" s="134" t="n">
        <v>0</v>
      </c>
      <c r="J540" s="134" t="n">
        <v>0</v>
      </c>
      <c r="K540" s="134" t="n">
        <v>0</v>
      </c>
      <c r="L540" s="134" t="n">
        <v>0</v>
      </c>
    </row>
    <row r="541" customFormat="false" ht="15" hidden="false" customHeight="false" outlineLevel="0" collapsed="false">
      <c r="B541" s="149" t="s">
        <v>1101</v>
      </c>
      <c r="C541" s="133" t="s">
        <v>1102</v>
      </c>
      <c r="D541" s="134" t="n">
        <v>0</v>
      </c>
      <c r="E541" s="134" t="n">
        <v>0</v>
      </c>
      <c r="F541" s="134" t="n">
        <v>5700000</v>
      </c>
      <c r="G541" s="134" t="n">
        <v>5300000</v>
      </c>
      <c r="H541" s="134" t="n">
        <v>3500000</v>
      </c>
      <c r="I541" s="134" t="n">
        <v>-2100000</v>
      </c>
      <c r="J541" s="134" t="n">
        <v>6100000</v>
      </c>
      <c r="K541" s="134" t="n">
        <v>800000</v>
      </c>
      <c r="L541" s="134" t="n">
        <v>1900000</v>
      </c>
    </row>
    <row r="542" customFormat="false" ht="15" hidden="false" customHeight="false" outlineLevel="0" collapsed="false">
      <c r="B542" s="150" t="s">
        <v>1103</v>
      </c>
    </row>
    <row r="543" customFormat="false" ht="15" hidden="false" customHeight="false" outlineLevel="0" collapsed="false">
      <c r="B543" s="151" t="s">
        <v>1104</v>
      </c>
      <c r="C543" s="133" t="s">
        <v>1105</v>
      </c>
      <c r="D543" s="134" t="n">
        <v>0</v>
      </c>
      <c r="E543" s="134" t="n">
        <v>0</v>
      </c>
      <c r="F543" s="134" t="n">
        <v>-1500000</v>
      </c>
      <c r="G543" s="134" t="n">
        <v>-3800000</v>
      </c>
      <c r="H543" s="134" t="n">
        <v>-2400000</v>
      </c>
      <c r="I543" s="134" t="n">
        <v>3000000</v>
      </c>
      <c r="J543" s="134" t="n">
        <v>-1433400000</v>
      </c>
      <c r="K543" s="134" t="n">
        <v>-6000000</v>
      </c>
      <c r="L543" s="134" t="n">
        <v>-1700000</v>
      </c>
    </row>
    <row r="544" customFormat="false" ht="15" hidden="false" customHeight="false" outlineLevel="0" collapsed="false">
      <c r="B544" s="152" t="s">
        <v>1106</v>
      </c>
      <c r="C544" s="133" t="s">
        <v>1107</v>
      </c>
      <c r="D544" s="136" t="n">
        <v>0</v>
      </c>
      <c r="E544" s="136" t="n">
        <v>0</v>
      </c>
      <c r="F544" s="136" t="n">
        <v>-1500000</v>
      </c>
      <c r="G544" s="136" t="n">
        <v>-3800000</v>
      </c>
      <c r="H544" s="136" t="n">
        <v>-2400000</v>
      </c>
      <c r="I544" s="136" t="n">
        <v>3000000</v>
      </c>
      <c r="J544" s="136" t="n">
        <v>-1433400000</v>
      </c>
      <c r="K544" s="136" t="n">
        <v>-6000000</v>
      </c>
      <c r="L544" s="136" t="n">
        <v>-1700000</v>
      </c>
    </row>
    <row r="545" customFormat="false" ht="15" hidden="false" customHeight="false" outlineLevel="0" collapsed="false">
      <c r="B545" s="150" t="s">
        <v>1108</v>
      </c>
    </row>
    <row r="546" customFormat="false" ht="15" hidden="false" customHeight="false" outlineLevel="0" collapsed="false">
      <c r="B546" s="151" t="s">
        <v>1109</v>
      </c>
      <c r="C546" s="133" t="s">
        <v>1110</v>
      </c>
      <c r="D546" s="134" t="n">
        <v>0</v>
      </c>
      <c r="E546" s="134" t="n">
        <v>0</v>
      </c>
      <c r="F546" s="134" t="n">
        <v>0</v>
      </c>
      <c r="G546" s="134" t="n">
        <v>0</v>
      </c>
      <c r="H546" s="134" t="n">
        <v>0</v>
      </c>
      <c r="I546" s="134" t="n">
        <v>900000</v>
      </c>
      <c r="J546" s="134" t="n">
        <v>-1427700000</v>
      </c>
      <c r="K546" s="134" t="n">
        <v>-5300000</v>
      </c>
      <c r="L546" s="134" t="n">
        <v>-100000</v>
      </c>
    </row>
    <row r="547" customFormat="false" ht="15" hidden="false" customHeight="false" outlineLevel="0" collapsed="false">
      <c r="B547" s="152" t="s">
        <v>1111</v>
      </c>
      <c r="C547" s="133" t="s">
        <v>1112</v>
      </c>
      <c r="D547" s="136" t="n">
        <v>0</v>
      </c>
      <c r="E547" s="136" t="n">
        <v>0</v>
      </c>
      <c r="F547" s="136" t="n">
        <v>0</v>
      </c>
      <c r="G547" s="136" t="n">
        <v>0</v>
      </c>
      <c r="H547" s="136" t="n">
        <v>0</v>
      </c>
      <c r="I547" s="136" t="n">
        <v>900000</v>
      </c>
      <c r="J547" s="136" t="n">
        <v>-1427700000</v>
      </c>
      <c r="K547" s="136" t="n">
        <v>-5300000</v>
      </c>
      <c r="L547" s="136" t="n">
        <v>-100000</v>
      </c>
    </row>
    <row r="548" customFormat="false" ht="15" hidden="false" customHeight="false" outlineLevel="0" collapsed="false">
      <c r="B548" s="147" t="s">
        <v>1113</v>
      </c>
      <c r="C548" s="133" t="s">
        <v>1114</v>
      </c>
      <c r="D548" s="136" t="n">
        <v>-649800000</v>
      </c>
      <c r="E548" s="136" t="n">
        <v>-382700000</v>
      </c>
      <c r="F548" s="136" t="n">
        <v>1821600000</v>
      </c>
      <c r="G548" s="136" t="n">
        <v>-591800000</v>
      </c>
      <c r="H548" s="136" t="n">
        <v>-763500000</v>
      </c>
      <c r="I548" s="136" t="n">
        <v>-695400000</v>
      </c>
      <c r="J548" s="136" t="n">
        <v>-618000000</v>
      </c>
      <c r="K548" s="136" t="n">
        <v>-92600000</v>
      </c>
      <c r="L548" s="136" t="n">
        <v>360000000</v>
      </c>
    </row>
    <row r="549" customFormat="false" ht="15" hidden="false" customHeight="false" outlineLevel="0" collapsed="false">
      <c r="B549" s="142" t="s">
        <v>140</v>
      </c>
      <c r="C549" s="133" t="s">
        <v>643</v>
      </c>
      <c r="D549" s="134" t="n">
        <v>1858800000</v>
      </c>
      <c r="E549" s="134" t="n">
        <v>1476100000</v>
      </c>
      <c r="F549" s="134" t="n">
        <v>3297700000</v>
      </c>
      <c r="G549" s="134" t="n">
        <v>2705900000</v>
      </c>
      <c r="H549" s="134" t="n">
        <v>1942400000</v>
      </c>
      <c r="I549" s="134" t="n">
        <v>1247000000</v>
      </c>
      <c r="J549" s="134" t="n">
        <v>629000000</v>
      </c>
      <c r="K549" s="134" t="n">
        <v>536400000</v>
      </c>
      <c r="L549" s="134" t="n">
        <v>913500000</v>
      </c>
    </row>
    <row r="552" customFormat="false" ht="15" hidden="false" customHeight="false" outlineLevel="0" collapsed="false">
      <c r="A552" s="0" t="s">
        <v>26</v>
      </c>
      <c r="B552" s="63" t="s">
        <v>1115</v>
      </c>
    </row>
    <row r="554" customFormat="false" ht="15" hidden="false" customHeight="false" outlineLevel="0" collapsed="false">
      <c r="C554" s="131" t="s">
        <v>568</v>
      </c>
      <c r="D554" s="13" t="s">
        <v>29</v>
      </c>
      <c r="E554" s="13" t="s">
        <v>30</v>
      </c>
      <c r="F554" s="13" t="s">
        <v>31</v>
      </c>
      <c r="G554" s="13" t="s">
        <v>32</v>
      </c>
      <c r="H554" s="13" t="s">
        <v>33</v>
      </c>
      <c r="I554" s="13" t="s">
        <v>34</v>
      </c>
      <c r="J554" s="13" t="s">
        <v>35</v>
      </c>
      <c r="K554" s="13" t="s">
        <v>36</v>
      </c>
      <c r="L554" s="13" t="s">
        <v>37</v>
      </c>
    </row>
    <row r="555" customFormat="false" ht="15" hidden="false" customHeight="false" outlineLevel="0" collapsed="false">
      <c r="B555" s="137" t="s">
        <v>1116</v>
      </c>
    </row>
    <row r="556" customFormat="false" ht="15" hidden="false" customHeight="false" outlineLevel="0" collapsed="false">
      <c r="B556" s="139" t="s">
        <v>1117</v>
      </c>
    </row>
    <row r="557" customFormat="false" ht="15" hidden="false" customHeight="false" outlineLevel="0" collapsed="false">
      <c r="B557" s="141" t="s">
        <v>1118</v>
      </c>
    </row>
    <row r="558" customFormat="false" ht="15" hidden="false" customHeight="false" outlineLevel="0" collapsed="false">
      <c r="B558" s="142" t="s">
        <v>137</v>
      </c>
      <c r="C558" s="133" t="s">
        <v>639</v>
      </c>
      <c r="D558" s="134" t="n">
        <v>9261500000</v>
      </c>
      <c r="E558" s="134" t="n">
        <v>8097900000</v>
      </c>
      <c r="F558" s="134" t="n">
        <v>7369100000</v>
      </c>
      <c r="G558" s="134" t="n">
        <v>5872900000</v>
      </c>
      <c r="H558" s="134" t="n">
        <v>5309000000</v>
      </c>
      <c r="I558" s="134" t="n">
        <v>5257400000</v>
      </c>
      <c r="J558" s="134" t="n">
        <v>4342600000</v>
      </c>
      <c r="K558" s="134" t="n">
        <v>5079500000</v>
      </c>
      <c r="L558" s="134" t="n">
        <v>6153700000</v>
      </c>
    </row>
    <row r="559" customFormat="false" ht="15" hidden="false" customHeight="false" outlineLevel="0" collapsed="false">
      <c r="B559" s="146" t="s">
        <v>1119</v>
      </c>
    </row>
    <row r="560" customFormat="false" ht="15" hidden="false" customHeight="false" outlineLevel="0" collapsed="false">
      <c r="B560" s="149" t="s">
        <v>1120</v>
      </c>
      <c r="C560" s="133" t="s">
        <v>1121</v>
      </c>
      <c r="D560" s="134" t="n">
        <v>3785500000</v>
      </c>
      <c r="E560" s="134" t="n">
        <v>783800000</v>
      </c>
      <c r="F560" s="134" t="n">
        <v>1130800000</v>
      </c>
      <c r="G560" s="134" t="n">
        <v>975200000</v>
      </c>
      <c r="H560" s="134" t="n">
        <v>87400000</v>
      </c>
      <c r="I560" s="134" t="n">
        <v>808100000</v>
      </c>
      <c r="J560" s="134" t="n">
        <v>578900000</v>
      </c>
      <c r="K560" s="134" t="n">
        <v>1513500000</v>
      </c>
      <c r="L560" s="134" t="n">
        <v>1909400000</v>
      </c>
    </row>
    <row r="561" customFormat="false" ht="15" hidden="false" customHeight="false" outlineLevel="0" collapsed="false">
      <c r="B561" s="149" t="s">
        <v>1122</v>
      </c>
      <c r="C561" s="133" t="s">
        <v>1123</v>
      </c>
      <c r="D561" s="134" t="n">
        <v>181300000</v>
      </c>
      <c r="E561" s="134" t="n">
        <v>0</v>
      </c>
      <c r="F561" s="134" t="n">
        <v>0</v>
      </c>
      <c r="G561" s="134" t="n">
        <v>0</v>
      </c>
      <c r="H561" s="134" t="n">
        <v>0</v>
      </c>
      <c r="I561" s="134" t="n">
        <v>0</v>
      </c>
      <c r="J561" s="134" t="n">
        <v>0</v>
      </c>
      <c r="K561" s="134" t="n">
        <v>1700000</v>
      </c>
      <c r="L561" s="134" t="n">
        <v>0</v>
      </c>
    </row>
    <row r="562" customFormat="false" ht="15" hidden="false" customHeight="false" outlineLevel="0" collapsed="false">
      <c r="B562" s="150" t="s">
        <v>1126</v>
      </c>
    </row>
    <row r="563" customFormat="false" ht="15" hidden="false" customHeight="false" outlineLevel="0" collapsed="false">
      <c r="B563" s="151" t="s">
        <v>1127</v>
      </c>
      <c r="C563" s="133" t="s">
        <v>1128</v>
      </c>
      <c r="D563" s="134" t="n">
        <v>-1488000000</v>
      </c>
      <c r="E563" s="134" t="n">
        <v>-1518600000</v>
      </c>
      <c r="F563" s="134" t="n">
        <v>-1718400000</v>
      </c>
      <c r="G563" s="134" t="n">
        <v>-1067800000</v>
      </c>
      <c r="H563" s="134" t="n">
        <v>-618700000</v>
      </c>
      <c r="I563" s="134" t="n">
        <v>-753200000</v>
      </c>
      <c r="J563" s="134" t="n">
        <v>-930800000</v>
      </c>
      <c r="K563" s="134" t="n">
        <v>-700000000</v>
      </c>
      <c r="L563" s="134" t="n">
        <v>-1446200000</v>
      </c>
    </row>
    <row r="564" customFormat="false" ht="15" hidden="false" customHeight="false" outlineLevel="0" collapsed="false">
      <c r="B564" s="152" t="s">
        <v>1129</v>
      </c>
      <c r="C564" s="133" t="s">
        <v>1130</v>
      </c>
      <c r="D564" s="136" t="n">
        <v>-1488000000</v>
      </c>
      <c r="E564" s="136" t="n">
        <v>-1518600000</v>
      </c>
      <c r="F564" s="136" t="n">
        <v>-1718400000</v>
      </c>
      <c r="G564" s="136" t="n">
        <v>-1067800000</v>
      </c>
      <c r="H564" s="136" t="n">
        <v>-618700000</v>
      </c>
      <c r="I564" s="136" t="n">
        <v>-753200000</v>
      </c>
      <c r="J564" s="136" t="n">
        <v>-930800000</v>
      </c>
      <c r="K564" s="136" t="n">
        <v>-700000000</v>
      </c>
      <c r="L564" s="136" t="n">
        <v>-1446200000</v>
      </c>
    </row>
    <row r="565" customFormat="false" ht="15" hidden="false" customHeight="false" outlineLevel="0" collapsed="false">
      <c r="B565" s="149" t="s">
        <v>750</v>
      </c>
      <c r="C565" s="133" t="s">
        <v>751</v>
      </c>
      <c r="D565" s="134" t="n">
        <v>0</v>
      </c>
      <c r="E565" s="134" t="n">
        <v>0</v>
      </c>
      <c r="F565" s="134" t="n">
        <v>0</v>
      </c>
      <c r="G565" s="134" t="n">
        <v>-1370300000</v>
      </c>
      <c r="H565" s="134" t="n">
        <v>0</v>
      </c>
      <c r="I565" s="134" t="n">
        <v>0</v>
      </c>
      <c r="J565" s="134" t="n">
        <v>0</v>
      </c>
      <c r="K565" s="134" t="n">
        <v>0</v>
      </c>
      <c r="L565" s="134" t="n">
        <v>0</v>
      </c>
    </row>
    <row r="566" customFormat="false" ht="15" hidden="false" customHeight="false" outlineLevel="0" collapsed="false">
      <c r="B566" s="149" t="s">
        <v>1131</v>
      </c>
      <c r="C566" s="133" t="s">
        <v>1132</v>
      </c>
      <c r="D566" s="134" t="n">
        <v>0</v>
      </c>
      <c r="E566" s="134" t="n">
        <v>0</v>
      </c>
      <c r="F566" s="134" t="n">
        <v>11800000</v>
      </c>
      <c r="G566" s="134" t="n">
        <v>286600000</v>
      </c>
      <c r="H566" s="134" t="n">
        <v>6700000</v>
      </c>
      <c r="I566" s="134" t="n">
        <v>-4100000</v>
      </c>
      <c r="J566" s="134" t="n">
        <v>12500000</v>
      </c>
      <c r="K566" s="134" t="n">
        <v>0</v>
      </c>
      <c r="L566" s="134" t="n">
        <v>4800000</v>
      </c>
    </row>
    <row r="567" customFormat="false" ht="15" hidden="false" customHeight="false" outlineLevel="0" collapsed="false">
      <c r="B567" s="150" t="s">
        <v>1133</v>
      </c>
    </row>
    <row r="568" customFormat="false" ht="15" hidden="false" customHeight="false" outlineLevel="0" collapsed="false">
      <c r="B568" s="151" t="s">
        <v>1134</v>
      </c>
      <c r="C568" s="133" t="s">
        <v>1135</v>
      </c>
      <c r="D568" s="134" t="n">
        <v>0</v>
      </c>
      <c r="E568" s="134" t="n">
        <v>0</v>
      </c>
      <c r="F568" s="134" t="n">
        <v>-291900000</v>
      </c>
      <c r="G568" s="134" t="n">
        <v>-597600000</v>
      </c>
      <c r="H568" s="134" t="n">
        <v>-254900000</v>
      </c>
      <c r="I568" s="134" t="n">
        <v>-1130600000</v>
      </c>
      <c r="J568" s="134" t="n">
        <v>-2566300000</v>
      </c>
      <c r="K568" s="134" t="n">
        <v>-1098700000</v>
      </c>
      <c r="L568" s="134" t="n">
        <v>-1045300000</v>
      </c>
    </row>
    <row r="569" customFormat="false" ht="15" hidden="false" customHeight="false" outlineLevel="0" collapsed="false">
      <c r="B569" s="152" t="s">
        <v>1136</v>
      </c>
      <c r="C569" s="133" t="s">
        <v>1137</v>
      </c>
      <c r="D569" s="136" t="n">
        <v>0</v>
      </c>
      <c r="E569" s="136" t="n">
        <v>0</v>
      </c>
      <c r="F569" s="136" t="n">
        <v>-291900000</v>
      </c>
      <c r="G569" s="136" t="n">
        <v>-597600000</v>
      </c>
      <c r="H569" s="136" t="n">
        <v>-254900000</v>
      </c>
      <c r="I569" s="136" t="n">
        <v>-1130600000</v>
      </c>
      <c r="J569" s="136" t="n">
        <v>-2566300000</v>
      </c>
      <c r="K569" s="136" t="n">
        <v>-1098700000</v>
      </c>
      <c r="L569" s="136" t="n">
        <v>-1045300000</v>
      </c>
    </row>
    <row r="570" customFormat="false" ht="15" hidden="false" customHeight="false" outlineLevel="0" collapsed="false">
      <c r="B570" s="150" t="s">
        <v>1138</v>
      </c>
    </row>
    <row r="571" customFormat="false" ht="15" hidden="false" customHeight="false" outlineLevel="0" collapsed="false">
      <c r="B571" s="151" t="s">
        <v>1139</v>
      </c>
      <c r="C571" s="133" t="s">
        <v>1140</v>
      </c>
      <c r="D571" s="134" t="n">
        <v>21600000</v>
      </c>
      <c r="E571" s="134" t="n">
        <v>428800000</v>
      </c>
      <c r="F571" s="134" t="n">
        <v>-138900000</v>
      </c>
      <c r="G571" s="134" t="n">
        <v>-277700000</v>
      </c>
      <c r="H571" s="134" t="n">
        <v>-215600000</v>
      </c>
      <c r="I571" s="134" t="n">
        <v>-1028200000</v>
      </c>
      <c r="J571" s="134" t="n">
        <v>-1990900000</v>
      </c>
      <c r="K571" s="134" t="n">
        <v>-1020300000</v>
      </c>
      <c r="L571" s="134" t="n">
        <v>-826100000</v>
      </c>
    </row>
    <row r="572" customFormat="false" ht="15" hidden="false" customHeight="false" outlineLevel="0" collapsed="false">
      <c r="B572" s="152" t="s">
        <v>1141</v>
      </c>
      <c r="C572" s="133" t="s">
        <v>1142</v>
      </c>
      <c r="D572" s="136" t="n">
        <v>21600000</v>
      </c>
      <c r="E572" s="136" t="n">
        <v>428800000</v>
      </c>
      <c r="F572" s="136" t="n">
        <v>-138900000</v>
      </c>
      <c r="G572" s="136" t="n">
        <v>-277700000</v>
      </c>
      <c r="H572" s="136" t="n">
        <v>-215600000</v>
      </c>
      <c r="I572" s="136" t="n">
        <v>-1028200000</v>
      </c>
      <c r="J572" s="136" t="n">
        <v>-1990900000</v>
      </c>
      <c r="K572" s="136" t="n">
        <v>-1020300000</v>
      </c>
      <c r="L572" s="136" t="n">
        <v>-826100000</v>
      </c>
    </row>
    <row r="573" customFormat="false" ht="15" hidden="false" customHeight="false" outlineLevel="0" collapsed="false">
      <c r="B573" s="147" t="s">
        <v>1147</v>
      </c>
      <c r="C573" s="133" t="s">
        <v>1148</v>
      </c>
      <c r="D573" s="136" t="n">
        <v>2457200000</v>
      </c>
      <c r="E573" s="136" t="n">
        <v>-1163600000</v>
      </c>
      <c r="F573" s="136" t="n">
        <v>-728800000</v>
      </c>
      <c r="G573" s="136" t="n">
        <v>-1496200000</v>
      </c>
      <c r="H573" s="136" t="n">
        <v>-563900000</v>
      </c>
      <c r="I573" s="136" t="n">
        <v>-51600000</v>
      </c>
      <c r="J573" s="136" t="n">
        <v>-914800000</v>
      </c>
      <c r="K573" s="136" t="n">
        <v>736800000</v>
      </c>
      <c r="L573" s="136" t="n">
        <v>248800000</v>
      </c>
    </row>
    <row r="574" customFormat="false" ht="15" hidden="false" customHeight="false" outlineLevel="0" collapsed="false">
      <c r="B574" s="142" t="s">
        <v>137</v>
      </c>
      <c r="C574" s="133" t="s">
        <v>639</v>
      </c>
      <c r="D574" s="134" t="n">
        <v>9261500000</v>
      </c>
      <c r="E574" s="134" t="n">
        <v>8097900000</v>
      </c>
      <c r="F574" s="134" t="n">
        <v>7369100000</v>
      </c>
      <c r="G574" s="134" t="n">
        <v>5872900000</v>
      </c>
      <c r="H574" s="134" t="n">
        <v>5309000000</v>
      </c>
      <c r="I574" s="134" t="n">
        <v>5257400000</v>
      </c>
      <c r="J574" s="134" t="n">
        <v>4342600000</v>
      </c>
      <c r="K574" s="134" t="n">
        <v>5079500000</v>
      </c>
      <c r="L574" s="134" t="n">
        <v>6153700000</v>
      </c>
    </row>
    <row r="577" customFormat="false" ht="15" hidden="false" customHeight="false" outlineLevel="0" collapsed="false">
      <c r="A577" s="0" t="s">
        <v>26</v>
      </c>
      <c r="B577" s="63" t="s">
        <v>1149</v>
      </c>
    </row>
    <row r="579" customFormat="false" ht="15" hidden="false" customHeight="false" outlineLevel="0" collapsed="false">
      <c r="C579" s="131" t="s">
        <v>568</v>
      </c>
      <c r="D579" s="13" t="s">
        <v>29</v>
      </c>
      <c r="E579" s="13" t="s">
        <v>30</v>
      </c>
      <c r="F579" s="13" t="s">
        <v>31</v>
      </c>
      <c r="G579" s="13" t="s">
        <v>32</v>
      </c>
      <c r="H579" s="13" t="s">
        <v>33</v>
      </c>
      <c r="I579" s="13" t="s">
        <v>34</v>
      </c>
      <c r="J579" s="13" t="s">
        <v>35</v>
      </c>
      <c r="K579" s="13" t="s">
        <v>36</v>
      </c>
      <c r="L579" s="13" t="s">
        <v>37</v>
      </c>
    </row>
    <row r="580" customFormat="false" ht="15" hidden="false" customHeight="false" outlineLevel="0" collapsed="false">
      <c r="B580" s="63" t="s">
        <v>1150</v>
      </c>
    </row>
    <row r="581" customFormat="false" ht="15" hidden="false" customHeight="false" outlineLevel="0" collapsed="false">
      <c r="B581" s="137" t="s">
        <v>1151</v>
      </c>
    </row>
    <row r="582" customFormat="false" ht="15" hidden="false" customHeight="false" outlineLevel="0" collapsed="false">
      <c r="B582" s="139" t="s">
        <v>1152</v>
      </c>
    </row>
    <row r="583" customFormat="false" ht="15" hidden="false" customHeight="false" outlineLevel="0" collapsed="false">
      <c r="B583" s="141" t="s">
        <v>1153</v>
      </c>
    </row>
    <row r="584" customFormat="false" ht="15" hidden="false" customHeight="false" outlineLevel="0" collapsed="false">
      <c r="B584" s="146" t="s">
        <v>1154</v>
      </c>
    </row>
    <row r="585" customFormat="false" ht="15" hidden="false" customHeight="false" outlineLevel="0" collapsed="false">
      <c r="B585" s="149" t="s">
        <v>1155</v>
      </c>
      <c r="C585" s="133" t="s">
        <v>1156</v>
      </c>
      <c r="D585" s="134" t="n">
        <v>24314300000</v>
      </c>
      <c r="E585" s="134" t="n">
        <v>19702600000</v>
      </c>
      <c r="F585" s="134" t="n">
        <v>11016300000</v>
      </c>
      <c r="G585" s="134" t="n">
        <v>5173100000</v>
      </c>
      <c r="H585" s="134" t="n">
        <v>4919900000</v>
      </c>
      <c r="I585" s="134" t="n">
        <v>8159100000</v>
      </c>
      <c r="J585" s="134" t="n">
        <v>6302300000</v>
      </c>
      <c r="K585" s="134" t="n">
        <v>11994900000</v>
      </c>
      <c r="L585" s="134" t="n">
        <v>38575200000</v>
      </c>
    </row>
    <row r="586" customFormat="false" ht="15" hidden="false" customHeight="false" outlineLevel="0" collapsed="false">
      <c r="B586" s="149" t="s">
        <v>1157</v>
      </c>
      <c r="C586" s="133" t="s">
        <v>1158</v>
      </c>
      <c r="D586" s="134" t="n">
        <v>899100000</v>
      </c>
      <c r="E586" s="134" t="n">
        <v>734900000</v>
      </c>
      <c r="F586" s="134" t="n">
        <v>110200000</v>
      </c>
      <c r="G586" s="134" t="n">
        <v>919100000</v>
      </c>
      <c r="H586" s="134" t="n">
        <v>1126900000</v>
      </c>
      <c r="I586" s="134" t="n">
        <v>1482800000</v>
      </c>
      <c r="J586" s="134" t="n">
        <v>839100000</v>
      </c>
      <c r="K586" s="134" t="n">
        <v>838600000</v>
      </c>
      <c r="L586" s="134" t="n">
        <v>1746200000</v>
      </c>
    </row>
    <row r="587" customFormat="false" ht="15" hidden="false" customHeight="false" outlineLevel="0" collapsed="false">
      <c r="B587" s="147" t="s">
        <v>1159</v>
      </c>
      <c r="C587" s="133" t="s">
        <v>1160</v>
      </c>
      <c r="D587" s="136" t="n">
        <v>23415200000</v>
      </c>
      <c r="E587" s="136" t="n">
        <v>18967700000</v>
      </c>
      <c r="F587" s="136" t="n">
        <v>10906100000</v>
      </c>
      <c r="G587" s="136" t="n">
        <v>4254000000</v>
      </c>
      <c r="H587" s="136" t="n">
        <v>3793000000</v>
      </c>
      <c r="I587" s="136" t="n">
        <v>6676300000</v>
      </c>
      <c r="J587" s="136" t="n">
        <v>5463200000</v>
      </c>
      <c r="K587" s="136" t="n">
        <v>11156300000</v>
      </c>
      <c r="L587" s="136" t="n">
        <v>36829000000</v>
      </c>
    </row>
    <row r="588" customFormat="false" ht="15" hidden="false" customHeight="false" outlineLevel="0" collapsed="false">
      <c r="B588" s="139" t="s">
        <v>1161</v>
      </c>
    </row>
    <row r="589" customFormat="false" ht="15" hidden="false" customHeight="false" outlineLevel="0" collapsed="false">
      <c r="B589" s="141" t="s">
        <v>1162</v>
      </c>
    </row>
    <row r="590" customFormat="false" ht="15" hidden="false" customHeight="false" outlineLevel="0" collapsed="false">
      <c r="B590" s="144" t="s">
        <v>1159</v>
      </c>
      <c r="C590" s="133" t="s">
        <v>1160</v>
      </c>
      <c r="D590" s="136" t="n">
        <v>23415200000</v>
      </c>
      <c r="E590" s="136" t="n">
        <v>18967700000</v>
      </c>
      <c r="F590" s="136" t="n">
        <v>10906100000</v>
      </c>
      <c r="G590" s="136" t="n">
        <v>4254000000</v>
      </c>
      <c r="H590" s="136" t="n">
        <v>3793000000</v>
      </c>
      <c r="I590" s="136" t="n">
        <v>6676300000</v>
      </c>
      <c r="J590" s="136" t="n">
        <v>5463200000</v>
      </c>
      <c r="K590" s="136" t="n">
        <v>11156300000</v>
      </c>
      <c r="L590" s="136" t="n">
        <v>36829000000</v>
      </c>
    </row>
    <row r="591" customFormat="false" ht="15" hidden="false" customHeight="false" outlineLevel="0" collapsed="false">
      <c r="B591" s="137" t="s">
        <v>1163</v>
      </c>
    </row>
    <row r="592" customFormat="false" ht="15" hidden="false" customHeight="false" outlineLevel="0" collapsed="false">
      <c r="B592" s="139" t="s">
        <v>1164</v>
      </c>
    </row>
    <row r="593" customFormat="false" ht="15" hidden="false" customHeight="false" outlineLevel="0" collapsed="false">
      <c r="B593" s="140" t="s">
        <v>1165</v>
      </c>
      <c r="C593" s="133" t="s">
        <v>1166</v>
      </c>
      <c r="D593" s="134" t="n">
        <v>6204600000</v>
      </c>
      <c r="E593" s="134" t="n">
        <v>4882200000</v>
      </c>
      <c r="F593" s="134" t="n">
        <v>4176900000</v>
      </c>
      <c r="G593" s="134" t="n">
        <v>2288300000</v>
      </c>
      <c r="H593" s="134" t="n">
        <v>3453000000</v>
      </c>
      <c r="I593" s="134" t="n">
        <v>2286700000</v>
      </c>
      <c r="J593" s="134" t="n">
        <v>3833900000</v>
      </c>
      <c r="K593" s="134" t="n">
        <v>8416700000</v>
      </c>
      <c r="L593" s="134" t="n">
        <v>10626700000</v>
      </c>
    </row>
    <row r="594" customFormat="false" ht="15" hidden="false" customHeight="false" outlineLevel="0" collapsed="false">
      <c r="B594" s="143" t="s">
        <v>150</v>
      </c>
      <c r="C594" s="133" t="s">
        <v>650</v>
      </c>
      <c r="D594" s="136" t="n">
        <v>6204600000</v>
      </c>
      <c r="E594" s="136" t="n">
        <v>4882200000</v>
      </c>
      <c r="F594" s="136" t="n">
        <v>4176900000</v>
      </c>
      <c r="G594" s="136" t="n">
        <v>2288300000</v>
      </c>
      <c r="H594" s="136" t="n">
        <v>3453000000</v>
      </c>
      <c r="I594" s="136" t="n">
        <v>2286700000</v>
      </c>
      <c r="J594" s="136" t="n">
        <v>3833900000</v>
      </c>
      <c r="K594" s="136" t="n">
        <v>8416700000</v>
      </c>
      <c r="L594" s="136" t="n">
        <v>10626700000</v>
      </c>
    </row>
    <row r="595" customFormat="false" ht="15" hidden="false" customHeight="false" outlineLevel="0" collapsed="false">
      <c r="B595" s="141" t="s">
        <v>1167</v>
      </c>
    </row>
    <row r="596" customFormat="false" ht="15" hidden="false" customHeight="false" outlineLevel="0" collapsed="false">
      <c r="B596" s="146" t="s">
        <v>1168</v>
      </c>
    </row>
    <row r="597" customFormat="false" ht="15" hidden="false" customHeight="false" outlineLevel="0" collapsed="false">
      <c r="B597" s="149" t="s">
        <v>1165</v>
      </c>
      <c r="C597" s="133" t="s">
        <v>1166</v>
      </c>
      <c r="D597" s="134" t="n">
        <v>6204600000</v>
      </c>
      <c r="E597" s="134" t="n">
        <v>4882200000</v>
      </c>
      <c r="F597" s="134" t="n">
        <v>4176900000</v>
      </c>
      <c r="G597" s="134" t="n">
        <v>2288300000</v>
      </c>
      <c r="H597" s="134" t="n">
        <v>3453000000</v>
      </c>
      <c r="I597" s="134" t="n">
        <v>2286700000</v>
      </c>
      <c r="J597" s="134" t="n">
        <v>3833900000</v>
      </c>
      <c r="K597" s="134" t="n">
        <v>8416700000</v>
      </c>
      <c r="L597" s="134" t="n">
        <v>10626700000</v>
      </c>
    </row>
    <row r="598" customFormat="false" ht="15" hidden="false" customHeight="false" outlineLevel="0" collapsed="false">
      <c r="B598" s="137" t="s">
        <v>1169</v>
      </c>
    </row>
    <row r="599" customFormat="false" ht="15" hidden="false" customHeight="false" outlineLevel="0" collapsed="false">
      <c r="B599" s="139" t="s">
        <v>1170</v>
      </c>
    </row>
    <row r="600" customFormat="false" ht="15" hidden="false" customHeight="false" outlineLevel="0" collapsed="false">
      <c r="B600" s="140" t="s">
        <v>1171</v>
      </c>
      <c r="C600" s="133" t="s">
        <v>1172</v>
      </c>
      <c r="D600" s="134" t="n">
        <v>317100000</v>
      </c>
      <c r="E600" s="134" t="n">
        <v>269600000</v>
      </c>
      <c r="F600" s="134" t="n">
        <v>186700000</v>
      </c>
      <c r="G600" s="134" t="n">
        <v>725800000</v>
      </c>
      <c r="H600" s="134" t="n">
        <v>652200000</v>
      </c>
      <c r="I600" s="134" t="n">
        <v>692900000</v>
      </c>
      <c r="J600" s="134" t="n">
        <v>713100000</v>
      </c>
      <c r="K600" s="134" t="n">
        <v>421200000</v>
      </c>
      <c r="L600" s="134" t="n">
        <v>625400000</v>
      </c>
    </row>
    <row r="601" customFormat="false" ht="15" hidden="false" customHeight="false" outlineLevel="0" collapsed="false">
      <c r="B601" s="143" t="s">
        <v>143</v>
      </c>
      <c r="C601" s="133" t="s">
        <v>653</v>
      </c>
      <c r="D601" s="136" t="n">
        <v>317100000</v>
      </c>
      <c r="E601" s="136" t="n">
        <v>269600000</v>
      </c>
      <c r="F601" s="136" t="n">
        <v>186700000</v>
      </c>
      <c r="G601" s="136" t="n">
        <v>725800000</v>
      </c>
      <c r="H601" s="136" t="n">
        <v>652200000</v>
      </c>
      <c r="I601" s="136" t="n">
        <v>692900000</v>
      </c>
      <c r="J601" s="136" t="n">
        <v>713100000</v>
      </c>
      <c r="K601" s="136" t="n">
        <v>421200000</v>
      </c>
      <c r="L601" s="136" t="n">
        <v>625400000</v>
      </c>
    </row>
    <row r="602" customFormat="false" ht="15" hidden="false" customHeight="false" outlineLevel="0" collapsed="false">
      <c r="B602" s="137" t="s">
        <v>1173</v>
      </c>
    </row>
    <row r="603" customFormat="false" ht="15" hidden="false" customHeight="false" outlineLevel="0" collapsed="false">
      <c r="B603" s="139" t="s">
        <v>1174</v>
      </c>
    </row>
    <row r="604" customFormat="false" ht="15" hidden="false" customHeight="false" outlineLevel="0" collapsed="false">
      <c r="B604" s="141" t="s">
        <v>1175</v>
      </c>
    </row>
    <row r="605" customFormat="false" ht="15" hidden="false" customHeight="false" outlineLevel="0" collapsed="false">
      <c r="B605" s="142" t="s">
        <v>156</v>
      </c>
      <c r="C605" s="133" t="s">
        <v>156</v>
      </c>
      <c r="D605" s="134" t="n">
        <v>22758700000</v>
      </c>
      <c r="E605" s="134" t="n">
        <v>15518100000</v>
      </c>
      <c r="F605" s="134" t="n">
        <v>11803400000</v>
      </c>
      <c r="G605" s="134" t="n">
        <v>8971400000</v>
      </c>
      <c r="H605" s="134" t="n">
        <v>8619300000</v>
      </c>
      <c r="I605" s="134" t="n">
        <v>11674700000</v>
      </c>
      <c r="J605" s="134" t="n">
        <v>7604200000</v>
      </c>
      <c r="K605" s="134" t="n">
        <v>11884500000</v>
      </c>
      <c r="L605" s="134" t="n">
        <v>28571100000</v>
      </c>
    </row>
    <row r="606" customFormat="false" ht="15" hidden="false" customHeight="false" outlineLevel="0" collapsed="false">
      <c r="B606" s="142" t="s">
        <v>1380</v>
      </c>
      <c r="C606" s="133" t="s">
        <v>1381</v>
      </c>
      <c r="D606" s="134" t="n">
        <v>835600000</v>
      </c>
      <c r="E606" s="134" t="n">
        <v>714500000</v>
      </c>
      <c r="F606" s="134" t="n">
        <v>378900000</v>
      </c>
      <c r="G606" s="134" t="n">
        <v>0</v>
      </c>
      <c r="H606" s="134" t="n">
        <v>635300000</v>
      </c>
      <c r="I606" s="134" t="n">
        <v>1117000000</v>
      </c>
      <c r="J606" s="134" t="n">
        <v>568400000</v>
      </c>
      <c r="K606" s="134" t="n">
        <v>0</v>
      </c>
      <c r="L606" s="134" t="n">
        <v>0</v>
      </c>
    </row>
    <row r="607" customFormat="false" ht="15" hidden="false" customHeight="false" outlineLevel="0" collapsed="false">
      <c r="B607" s="137" t="s">
        <v>1176</v>
      </c>
    </row>
    <row r="608" customFormat="false" ht="15" hidden="false" customHeight="false" outlineLevel="0" collapsed="false">
      <c r="B608" s="141" t="s">
        <v>1177</v>
      </c>
    </row>
    <row r="609" customFormat="false" ht="15" hidden="false" customHeight="false" outlineLevel="0" collapsed="false">
      <c r="B609" s="146" t="s">
        <v>1178</v>
      </c>
    </row>
    <row r="610" customFormat="false" ht="15" hidden="false" customHeight="false" outlineLevel="0" collapsed="false">
      <c r="B610" s="150" t="s">
        <v>1179</v>
      </c>
    </row>
    <row r="611" customFormat="false" ht="15" hidden="false" customHeight="false" outlineLevel="0" collapsed="false">
      <c r="B611" s="153" t="s">
        <v>1180</v>
      </c>
    </row>
    <row r="612" customFormat="false" ht="15" hidden="false" customHeight="false" outlineLevel="0" collapsed="false">
      <c r="B612" s="154" t="s">
        <v>1183</v>
      </c>
      <c r="C612" s="133" t="s">
        <v>1184</v>
      </c>
      <c r="D612" s="134" t="n">
        <v>1531500000</v>
      </c>
      <c r="E612" s="134" t="n">
        <v>2655400000</v>
      </c>
      <c r="F612" s="134" t="n">
        <v>160300000</v>
      </c>
      <c r="G612" s="134" t="n">
        <v>132700000</v>
      </c>
      <c r="H612" s="134" t="n">
        <v>1935700000</v>
      </c>
      <c r="I612" s="134" t="n">
        <v>3505800000</v>
      </c>
      <c r="J612" s="134" t="n">
        <v>2905800000</v>
      </c>
      <c r="K612" s="134" t="n">
        <v>858100000</v>
      </c>
      <c r="L612" s="134" t="n">
        <v>8078600000</v>
      </c>
    </row>
    <row r="613" customFormat="false" ht="15" hidden="false" customHeight="false" outlineLevel="0" collapsed="false">
      <c r="B613" s="154" t="s">
        <v>1185</v>
      </c>
      <c r="C613" s="133" t="s">
        <v>1186</v>
      </c>
      <c r="D613" s="134" t="n">
        <v>0</v>
      </c>
      <c r="E613" s="134" t="n">
        <v>0</v>
      </c>
      <c r="F613" s="134" t="n">
        <v>0</v>
      </c>
      <c r="G613" s="134" t="n">
        <v>0</v>
      </c>
      <c r="H613" s="134" t="n">
        <v>0</v>
      </c>
      <c r="I613" s="134" t="n">
        <v>592700000</v>
      </c>
      <c r="J613" s="134" t="n">
        <v>0</v>
      </c>
      <c r="K613" s="134" t="n">
        <v>0</v>
      </c>
      <c r="L613" s="134" t="n">
        <v>0</v>
      </c>
    </row>
    <row r="614" customFormat="false" ht="15" hidden="false" customHeight="false" outlineLevel="0" collapsed="false">
      <c r="B614" s="155" t="s">
        <v>1187</v>
      </c>
      <c r="C614" s="133" t="s">
        <v>1188</v>
      </c>
      <c r="D614" s="136" t="n">
        <v>1531500000</v>
      </c>
      <c r="E614" s="136" t="n">
        <v>2655400000</v>
      </c>
      <c r="F614" s="136" t="n">
        <v>160300000</v>
      </c>
      <c r="G614" s="136" t="n">
        <v>132700000</v>
      </c>
      <c r="H614" s="136" t="n">
        <v>1935700000</v>
      </c>
      <c r="I614" s="136" t="n">
        <v>4098500000</v>
      </c>
      <c r="J614" s="136" t="n">
        <v>2905800000</v>
      </c>
      <c r="K614" s="136" t="n">
        <v>858100000</v>
      </c>
      <c r="L614" s="136" t="n">
        <v>8078600000</v>
      </c>
    </row>
    <row r="615" customFormat="false" ht="15" hidden="false" customHeight="false" outlineLevel="0" collapsed="false">
      <c r="B615" s="151" t="s">
        <v>1189</v>
      </c>
      <c r="C615" s="133" t="s">
        <v>1190</v>
      </c>
      <c r="D615" s="134" t="n">
        <v>0</v>
      </c>
      <c r="E615" s="134" t="n">
        <v>1810000000</v>
      </c>
      <c r="F615" s="134" t="n">
        <v>0</v>
      </c>
      <c r="G615" s="134" t="n">
        <v>0</v>
      </c>
      <c r="H615" s="134" t="n">
        <v>0</v>
      </c>
      <c r="I615" s="134" t="n">
        <v>0</v>
      </c>
      <c r="J615" s="134" t="n">
        <v>0</v>
      </c>
      <c r="K615" s="134" t="n">
        <v>0</v>
      </c>
      <c r="L615" s="134" t="n">
        <v>0</v>
      </c>
    </row>
    <row r="616" customFormat="false" ht="15" hidden="false" customHeight="false" outlineLevel="0" collapsed="false">
      <c r="B616" s="151" t="s">
        <v>1191</v>
      </c>
      <c r="C616" s="133" t="s">
        <v>1192</v>
      </c>
      <c r="D616" s="134" t="n">
        <v>2300000</v>
      </c>
      <c r="E616" s="134" t="n">
        <v>1600000</v>
      </c>
      <c r="F616" s="134" t="n">
        <v>1700000</v>
      </c>
      <c r="G616" s="134" t="n">
        <v>1500000</v>
      </c>
      <c r="H616" s="134" t="n">
        <v>800000</v>
      </c>
      <c r="I616" s="134" t="n">
        <v>1700000</v>
      </c>
      <c r="J616" s="134" t="n">
        <v>500000</v>
      </c>
      <c r="K616" s="134" t="n">
        <v>500000</v>
      </c>
      <c r="L616" s="134" t="n">
        <v>1600000</v>
      </c>
    </row>
    <row r="617" customFormat="false" ht="15" hidden="false" customHeight="false" outlineLevel="0" collapsed="false">
      <c r="B617" s="151" t="s">
        <v>1193</v>
      </c>
      <c r="C617" s="133" t="s">
        <v>1193</v>
      </c>
      <c r="D617" s="134" t="n">
        <v>0</v>
      </c>
      <c r="E617" s="134" t="n">
        <v>0</v>
      </c>
      <c r="F617" s="134" t="n">
        <v>0</v>
      </c>
      <c r="G617" s="134" t="n">
        <v>228600000</v>
      </c>
      <c r="H617" s="134" t="n">
        <v>0</v>
      </c>
      <c r="I617" s="134" t="n">
        <v>0</v>
      </c>
      <c r="J617" s="134" t="n">
        <v>0</v>
      </c>
      <c r="K617" s="134" t="n">
        <v>1772700000</v>
      </c>
      <c r="L617" s="134" t="n">
        <v>1887800000</v>
      </c>
    </row>
    <row r="618" customFormat="false" ht="15" hidden="false" customHeight="false" outlineLevel="0" collapsed="false">
      <c r="B618" s="152" t="s">
        <v>160</v>
      </c>
      <c r="C618" s="133" t="s">
        <v>660</v>
      </c>
      <c r="D618" s="136" t="n">
        <v>1533800000</v>
      </c>
      <c r="E618" s="136" t="n">
        <v>4467000000</v>
      </c>
      <c r="F618" s="136" t="n">
        <v>162000000</v>
      </c>
      <c r="G618" s="136" t="n">
        <v>362800000</v>
      </c>
      <c r="H618" s="136" t="n">
        <v>1936500000</v>
      </c>
      <c r="I618" s="136" t="n">
        <v>4100200000</v>
      </c>
      <c r="J618" s="136" t="n">
        <v>2906300000</v>
      </c>
      <c r="K618" s="136" t="n">
        <v>2631300000</v>
      </c>
      <c r="L618" s="136" t="n">
        <v>9968000000</v>
      </c>
    </row>
    <row r="619" customFormat="false" ht="15" hidden="false" customHeight="false" outlineLevel="0" collapsed="false">
      <c r="B619" s="147" t="s">
        <v>1194</v>
      </c>
      <c r="C619" s="133" t="s">
        <v>1195</v>
      </c>
      <c r="D619" s="136" t="n">
        <v>1533800000</v>
      </c>
      <c r="E619" s="136" t="n">
        <v>4467000000</v>
      </c>
      <c r="F619" s="136" t="n">
        <v>162000000</v>
      </c>
      <c r="G619" s="136" t="n">
        <v>362800000</v>
      </c>
      <c r="H619" s="136" t="n">
        <v>1936500000</v>
      </c>
      <c r="I619" s="136" t="n">
        <v>4100200000</v>
      </c>
      <c r="J619" s="136" t="n">
        <v>2906300000</v>
      </c>
      <c r="K619" s="136" t="n">
        <v>2631300000</v>
      </c>
      <c r="L619" s="136" t="n">
        <v>9968000000</v>
      </c>
    </row>
    <row r="620" customFormat="false" ht="15" hidden="false" customHeight="false" outlineLevel="0" collapsed="false">
      <c r="B620" s="137" t="s">
        <v>1196</v>
      </c>
    </row>
    <row r="621" customFormat="false" ht="15" hidden="false" customHeight="false" outlineLevel="0" collapsed="false">
      <c r="B621" s="138" t="s">
        <v>1197</v>
      </c>
      <c r="C621" s="133" t="s">
        <v>1198</v>
      </c>
      <c r="D621" s="134" t="n">
        <v>256100000</v>
      </c>
      <c r="E621" s="134" t="n">
        <v>139400000</v>
      </c>
      <c r="F621" s="134" t="n">
        <v>6100000</v>
      </c>
      <c r="G621" s="134" t="n">
        <v>600000</v>
      </c>
      <c r="H621" s="134" t="n">
        <v>101900000</v>
      </c>
      <c r="I621" s="134" t="n">
        <v>0</v>
      </c>
      <c r="J621" s="134" t="n">
        <v>0</v>
      </c>
      <c r="K621" s="134" t="n">
        <v>0</v>
      </c>
      <c r="L621" s="134" t="n">
        <v>0</v>
      </c>
    </row>
    <row r="622" customFormat="false" ht="15" hidden="false" customHeight="false" outlineLevel="0" collapsed="false">
      <c r="B622" s="138" t="s">
        <v>1199</v>
      </c>
      <c r="C622" s="133" t="s">
        <v>1200</v>
      </c>
      <c r="D622" s="134" t="n">
        <v>776200000</v>
      </c>
      <c r="E622" s="134" t="n">
        <v>1816000000</v>
      </c>
      <c r="F622" s="134" t="n">
        <v>2752000000</v>
      </c>
      <c r="G622" s="134" t="n">
        <v>707700000</v>
      </c>
      <c r="H622" s="134" t="n">
        <v>736900000</v>
      </c>
      <c r="I622" s="134" t="n">
        <v>763600000</v>
      </c>
      <c r="J622" s="134" t="n">
        <v>755000000</v>
      </c>
      <c r="K622" s="134" t="n">
        <v>761500000</v>
      </c>
      <c r="L622" s="134" t="n">
        <v>1856300000</v>
      </c>
    </row>
    <row r="623" customFormat="false" ht="15" hidden="false" customHeight="false" outlineLevel="0" collapsed="false">
      <c r="B623" s="145" t="s">
        <v>162</v>
      </c>
      <c r="C623" s="133" t="s">
        <v>662</v>
      </c>
      <c r="D623" s="136" t="n">
        <v>1032300000</v>
      </c>
      <c r="E623" s="136" t="n">
        <v>1955400000</v>
      </c>
      <c r="F623" s="136" t="n">
        <v>2758100000</v>
      </c>
      <c r="G623" s="136" t="n">
        <v>708300000</v>
      </c>
      <c r="H623" s="136" t="n">
        <v>838800000</v>
      </c>
      <c r="I623" s="136" t="n">
        <v>763600000</v>
      </c>
      <c r="J623" s="136" t="n">
        <v>755000000</v>
      </c>
      <c r="K623" s="136" t="n">
        <v>761500000</v>
      </c>
      <c r="L623" s="136" t="n">
        <v>1856300000</v>
      </c>
    </row>
    <row r="624" customFormat="false" ht="15" hidden="false" customHeight="false" outlineLevel="0" collapsed="false">
      <c r="B624" s="139" t="s">
        <v>1201</v>
      </c>
    </row>
    <row r="625" customFormat="false" ht="15" hidden="false" customHeight="false" outlineLevel="0" collapsed="false">
      <c r="B625" s="141" t="s">
        <v>1202</v>
      </c>
    </row>
    <row r="626" customFormat="false" ht="15" hidden="false" customHeight="false" outlineLevel="0" collapsed="false">
      <c r="B626" s="142" t="s">
        <v>1199</v>
      </c>
      <c r="C626" s="133" t="s">
        <v>1200</v>
      </c>
      <c r="D626" s="134" t="n">
        <v>776200000</v>
      </c>
      <c r="E626" s="134" t="n">
        <v>1816000000</v>
      </c>
      <c r="F626" s="134" t="n">
        <v>2752000000</v>
      </c>
      <c r="G626" s="134" t="n">
        <v>707700000</v>
      </c>
      <c r="H626" s="134" t="n">
        <v>736900000</v>
      </c>
      <c r="I626" s="134" t="n">
        <v>763600000</v>
      </c>
      <c r="J626" s="134" t="n">
        <v>755000000</v>
      </c>
      <c r="K626" s="134" t="n">
        <v>761500000</v>
      </c>
      <c r="L626" s="134" t="n">
        <v>1856300000</v>
      </c>
    </row>
    <row r="627" customFormat="false" ht="15" hidden="false" customHeight="false" outlineLevel="0" collapsed="false">
      <c r="B627" s="137" t="s">
        <v>1203</v>
      </c>
    </row>
    <row r="628" customFormat="false" ht="15" hidden="false" customHeight="false" outlineLevel="0" collapsed="false">
      <c r="B628" s="139" t="s">
        <v>1204</v>
      </c>
    </row>
    <row r="629" customFormat="false" ht="15" hidden="false" customHeight="false" outlineLevel="0" collapsed="false">
      <c r="B629" s="140" t="s">
        <v>1205</v>
      </c>
      <c r="C629" s="133" t="s">
        <v>1206</v>
      </c>
      <c r="D629" s="134" t="n">
        <v>2029400000</v>
      </c>
      <c r="E629" s="134" t="n">
        <v>2817600000</v>
      </c>
      <c r="F629" s="134" t="n">
        <v>4995600000</v>
      </c>
      <c r="G629" s="134" t="n">
        <v>3557200000</v>
      </c>
      <c r="H629" s="134" t="n">
        <v>4367200000</v>
      </c>
      <c r="I629" s="134" t="n">
        <v>4100300000</v>
      </c>
      <c r="J629" s="134" t="n">
        <v>3630100000</v>
      </c>
      <c r="K629" s="134" t="n">
        <v>3062500000</v>
      </c>
      <c r="L629" s="134" t="n">
        <v>5836400000</v>
      </c>
    </row>
    <row r="630" customFormat="false" ht="15" hidden="false" customHeight="false" outlineLevel="0" collapsed="false">
      <c r="B630" s="143" t="s">
        <v>158</v>
      </c>
      <c r="C630" s="133" t="s">
        <v>665</v>
      </c>
      <c r="D630" s="136" t="n">
        <v>2029400000</v>
      </c>
      <c r="E630" s="136" t="n">
        <v>2817600000</v>
      </c>
      <c r="F630" s="136" t="n">
        <v>4995600000</v>
      </c>
      <c r="G630" s="136" t="n">
        <v>3557200000</v>
      </c>
      <c r="H630" s="136" t="n">
        <v>4367200000</v>
      </c>
      <c r="I630" s="136" t="n">
        <v>4100300000</v>
      </c>
      <c r="J630" s="136" t="n">
        <v>3630100000</v>
      </c>
      <c r="K630" s="136" t="n">
        <v>3062500000</v>
      </c>
      <c r="L630" s="136" t="n">
        <v>5836400000</v>
      </c>
    </row>
    <row r="631" customFormat="false" ht="15" hidden="false" customHeight="false" outlineLevel="0" collapsed="false">
      <c r="B631" s="137" t="s">
        <v>1207</v>
      </c>
    </row>
    <row r="632" customFormat="false" ht="15" hidden="false" customHeight="false" outlineLevel="0" collapsed="false">
      <c r="B632" s="139" t="s">
        <v>1208</v>
      </c>
    </row>
    <row r="633" customFormat="false" ht="15" hidden="false" customHeight="false" outlineLevel="0" collapsed="false">
      <c r="B633" s="140" t="s">
        <v>1209</v>
      </c>
      <c r="C633" s="133" t="s">
        <v>1210</v>
      </c>
      <c r="D633" s="134" t="n">
        <v>2015900000</v>
      </c>
      <c r="E633" s="134" t="n">
        <v>94800000</v>
      </c>
      <c r="F633" s="134" t="n">
        <v>64900000</v>
      </c>
      <c r="G633" s="134" t="n">
        <v>678500000</v>
      </c>
      <c r="H633" s="134" t="n">
        <v>21200300000</v>
      </c>
      <c r="I633" s="134" t="n">
        <v>23948700000</v>
      </c>
      <c r="J633" s="134" t="n">
        <v>83800000</v>
      </c>
      <c r="K633" s="134" t="n">
        <v>190500000</v>
      </c>
      <c r="L633" s="134" t="n">
        <v>6409100000</v>
      </c>
    </row>
    <row r="634" customFormat="false" ht="15" hidden="false" customHeight="false" outlineLevel="0" collapsed="false">
      <c r="B634" s="143" t="s">
        <v>180</v>
      </c>
      <c r="C634" s="133" t="s">
        <v>682</v>
      </c>
      <c r="D634" s="136" t="n">
        <v>2015900000</v>
      </c>
      <c r="E634" s="136" t="n">
        <v>94800000</v>
      </c>
      <c r="F634" s="136" t="n">
        <v>64900000</v>
      </c>
      <c r="G634" s="136" t="n">
        <v>678500000</v>
      </c>
      <c r="H634" s="136" t="n">
        <v>21200300000</v>
      </c>
      <c r="I634" s="136" t="n">
        <v>23948700000</v>
      </c>
      <c r="J634" s="136" t="n">
        <v>83800000</v>
      </c>
      <c r="K634" s="136" t="n">
        <v>190500000</v>
      </c>
      <c r="L634" s="136" t="n">
        <v>6409100000</v>
      </c>
    </row>
    <row r="635" customFormat="false" ht="15" hidden="false" customHeight="false" outlineLevel="0" collapsed="false">
      <c r="B635" s="141" t="s">
        <v>1211</v>
      </c>
    </row>
    <row r="636" customFormat="false" ht="15" hidden="false" customHeight="false" outlineLevel="0" collapsed="false">
      <c r="B636" s="146" t="s">
        <v>1212</v>
      </c>
    </row>
    <row r="637" customFormat="false" ht="15" hidden="false" customHeight="false" outlineLevel="0" collapsed="false">
      <c r="B637" s="149" t="s">
        <v>1209</v>
      </c>
      <c r="C637" s="133" t="s">
        <v>1210</v>
      </c>
      <c r="D637" s="134" t="n">
        <v>2015900000</v>
      </c>
      <c r="E637" s="134" t="n">
        <v>94800000</v>
      </c>
      <c r="F637" s="134" t="n">
        <v>64900000</v>
      </c>
      <c r="G637" s="134" t="n">
        <v>678500000</v>
      </c>
      <c r="H637" s="134" t="n">
        <v>21200300000</v>
      </c>
      <c r="I637" s="134" t="n">
        <v>23948700000</v>
      </c>
      <c r="J637" s="134" t="n">
        <v>83800000</v>
      </c>
      <c r="K637" s="134" t="n">
        <v>190500000</v>
      </c>
      <c r="L637" s="134" t="n">
        <v>6409100000</v>
      </c>
    </row>
    <row r="638" customFormat="false" ht="15" hidden="false" customHeight="false" outlineLevel="0" collapsed="false">
      <c r="B638" s="137" t="s">
        <v>1213</v>
      </c>
    </row>
    <row r="639" customFormat="false" ht="15" hidden="false" customHeight="false" outlineLevel="0" collapsed="false">
      <c r="B639" s="138" t="s">
        <v>1216</v>
      </c>
      <c r="C639" s="133" t="s">
        <v>1217</v>
      </c>
      <c r="D639" s="134" t="n">
        <v>400200000</v>
      </c>
      <c r="E639" s="134" t="n">
        <v>299900000</v>
      </c>
      <c r="F639" s="134" t="n">
        <v>117000000</v>
      </c>
      <c r="G639" s="134" t="n">
        <v>8900000</v>
      </c>
      <c r="H639" s="134" t="n">
        <v>7700000</v>
      </c>
      <c r="I639" s="134" t="n">
        <v>1900000</v>
      </c>
      <c r="J639" s="134" t="n">
        <v>4800000</v>
      </c>
      <c r="K639" s="134" t="n">
        <v>4800000</v>
      </c>
      <c r="L639" s="134" t="n">
        <v>4500000</v>
      </c>
    </row>
    <row r="640" customFormat="false" ht="15" hidden="false" customHeight="false" outlineLevel="0" collapsed="false">
      <c r="B640" s="145" t="s">
        <v>183</v>
      </c>
      <c r="C640" s="133" t="s">
        <v>685</v>
      </c>
      <c r="D640" s="136" t="n">
        <v>400200000</v>
      </c>
      <c r="E640" s="136" t="n">
        <v>299900000</v>
      </c>
      <c r="F640" s="136" t="n">
        <v>117000000</v>
      </c>
      <c r="G640" s="136" t="n">
        <v>8900000</v>
      </c>
      <c r="H640" s="136" t="n">
        <v>7700000</v>
      </c>
      <c r="I640" s="136" t="n">
        <v>1900000</v>
      </c>
      <c r="J640" s="136" t="n">
        <v>4800000</v>
      </c>
      <c r="K640" s="136" t="n">
        <v>4800000</v>
      </c>
      <c r="L640" s="136" t="n">
        <v>4500000</v>
      </c>
    </row>
    <row r="641" customFormat="false" ht="15" hidden="false" customHeight="false" outlineLevel="0" collapsed="false">
      <c r="B641" s="139" t="s">
        <v>1218</v>
      </c>
    </row>
    <row r="642" customFormat="false" ht="15" hidden="false" customHeight="false" outlineLevel="0" collapsed="false">
      <c r="B642" s="141" t="s">
        <v>1219</v>
      </c>
    </row>
    <row r="643" customFormat="false" ht="15" hidden="false" customHeight="false" outlineLevel="0" collapsed="false">
      <c r="B643" s="142" t="s">
        <v>1216</v>
      </c>
      <c r="C643" s="133" t="s">
        <v>1217</v>
      </c>
      <c r="D643" s="134" t="n">
        <v>400200000</v>
      </c>
      <c r="E643" s="134" t="n">
        <v>299900000</v>
      </c>
      <c r="F643" s="134" t="n">
        <v>117000000</v>
      </c>
      <c r="G643" s="134" t="n">
        <v>8900000</v>
      </c>
      <c r="H643" s="134" t="n">
        <v>7700000</v>
      </c>
      <c r="I643" s="134" t="n">
        <v>1900000</v>
      </c>
      <c r="J643" s="134" t="n">
        <v>4800000</v>
      </c>
      <c r="K643" s="134" t="n">
        <v>4800000</v>
      </c>
      <c r="L643" s="134" t="n">
        <v>4500000</v>
      </c>
    </row>
    <row r="644" customFormat="false" ht="15" hidden="false" customHeight="false" outlineLevel="0" collapsed="false">
      <c r="B644" s="137" t="s">
        <v>1220</v>
      </c>
    </row>
    <row r="645" customFormat="false" ht="15" hidden="false" customHeight="false" outlineLevel="0" collapsed="false">
      <c r="B645" s="139" t="s">
        <v>1221</v>
      </c>
    </row>
    <row r="646" customFormat="false" ht="15" hidden="false" customHeight="false" outlineLevel="0" collapsed="false">
      <c r="B646" s="140" t="s">
        <v>1222</v>
      </c>
      <c r="C646" s="133" t="s">
        <v>1223</v>
      </c>
      <c r="D646" s="134" t="n">
        <v>210200000</v>
      </c>
      <c r="E646" s="134" t="n">
        <v>110200000</v>
      </c>
      <c r="F646" s="134" t="n">
        <v>441900000</v>
      </c>
      <c r="G646" s="134" t="n">
        <v>7053600000</v>
      </c>
      <c r="H646" s="134" t="n">
        <v>0</v>
      </c>
      <c r="I646" s="134" t="n">
        <v>0</v>
      </c>
      <c r="J646" s="134" t="n">
        <v>0</v>
      </c>
      <c r="K646" s="134" t="n">
        <v>0</v>
      </c>
      <c r="L646" s="134" t="n">
        <v>0</v>
      </c>
    </row>
    <row r="647" customFormat="false" ht="15" hidden="false" customHeight="false" outlineLevel="0" collapsed="false">
      <c r="B647" s="140" t="s">
        <v>1224</v>
      </c>
      <c r="C647" s="133" t="s">
        <v>1225</v>
      </c>
      <c r="D647" s="134" t="n">
        <v>5965800000</v>
      </c>
      <c r="E647" s="134" t="n">
        <v>10993900000</v>
      </c>
      <c r="F647" s="134" t="n">
        <v>9643700000</v>
      </c>
      <c r="G647" s="134" t="n">
        <v>12435500000</v>
      </c>
      <c r="H647" s="134" t="n">
        <v>2309700000</v>
      </c>
      <c r="I647" s="134" t="n">
        <v>2209600000</v>
      </c>
      <c r="J647" s="134" t="n">
        <v>2262000000</v>
      </c>
      <c r="K647" s="134" t="n">
        <v>1985300000</v>
      </c>
      <c r="L647" s="134" t="n">
        <v>3819400000</v>
      </c>
    </row>
    <row r="648" customFormat="false" ht="15" hidden="false" customHeight="false" outlineLevel="0" collapsed="false">
      <c r="B648" s="143" t="s">
        <v>190</v>
      </c>
      <c r="C648" s="133" t="s">
        <v>692</v>
      </c>
      <c r="D648" s="136" t="n">
        <v>6787600000</v>
      </c>
      <c r="E648" s="136" t="n">
        <v>13378300000</v>
      </c>
      <c r="F648" s="136" t="n">
        <v>26912000000</v>
      </c>
      <c r="G648" s="136" t="n">
        <v>49280000000</v>
      </c>
      <c r="H648" s="136" t="n">
        <v>5282000000</v>
      </c>
      <c r="I648" s="136" t="n">
        <v>7075000000</v>
      </c>
      <c r="J648" s="136" t="n">
        <v>2262000000</v>
      </c>
      <c r="K648" s="136" t="n">
        <v>1985300000</v>
      </c>
      <c r="L648" s="136" t="n">
        <v>3819400000</v>
      </c>
    </row>
    <row r="649" customFormat="false" ht="15" hidden="false" customHeight="false" outlineLevel="0" collapsed="false">
      <c r="B649" s="141" t="s">
        <v>1226</v>
      </c>
    </row>
    <row r="650" customFormat="false" ht="15" hidden="false" customHeight="false" outlineLevel="0" collapsed="false">
      <c r="B650" s="146" t="s">
        <v>1227</v>
      </c>
    </row>
    <row r="651" customFormat="false" ht="15" hidden="false" customHeight="false" outlineLevel="0" collapsed="false">
      <c r="B651" s="149" t="s">
        <v>1224</v>
      </c>
      <c r="C651" s="133" t="s">
        <v>1225</v>
      </c>
      <c r="D651" s="134" t="n">
        <v>5965800000</v>
      </c>
      <c r="E651" s="134" t="n">
        <v>10993900000</v>
      </c>
      <c r="F651" s="134" t="n">
        <v>9643700000</v>
      </c>
      <c r="G651" s="134" t="n">
        <v>12435500000</v>
      </c>
      <c r="H651" s="134" t="n">
        <v>2309700000</v>
      </c>
      <c r="I651" s="134" t="n">
        <v>2209600000</v>
      </c>
      <c r="J651" s="134" t="n">
        <v>2262000000</v>
      </c>
      <c r="K651" s="134" t="n">
        <v>1985300000</v>
      </c>
      <c r="L651" s="134" t="n">
        <v>3819400000</v>
      </c>
    </row>
    <row r="652" customFormat="false" ht="15" hidden="false" customHeight="false" outlineLevel="0" collapsed="false">
      <c r="B652" s="137" t="s">
        <v>1228</v>
      </c>
    </row>
    <row r="653" customFormat="false" ht="15" hidden="false" customHeight="false" outlineLevel="0" collapsed="false">
      <c r="B653" s="139" t="s">
        <v>1229</v>
      </c>
    </row>
    <row r="654" customFormat="false" ht="15" hidden="false" customHeight="false" outlineLevel="0" collapsed="false">
      <c r="B654" s="140" t="s">
        <v>1382</v>
      </c>
      <c r="C654" s="133" t="s">
        <v>1383</v>
      </c>
      <c r="D654" s="134" t="n">
        <v>44700000</v>
      </c>
      <c r="E654" s="134" t="n">
        <v>93200000</v>
      </c>
      <c r="F654" s="134" t="n">
        <v>182900000</v>
      </c>
      <c r="G654" s="134" t="n">
        <v>110000000</v>
      </c>
      <c r="H654" s="134" t="n">
        <v>500000</v>
      </c>
      <c r="I654" s="134" t="n">
        <v>6500000</v>
      </c>
      <c r="J654" s="134" t="n">
        <v>0</v>
      </c>
      <c r="K654" s="134" t="n">
        <v>0</v>
      </c>
      <c r="L654" s="134" t="n">
        <v>0</v>
      </c>
    </row>
    <row r="655" customFormat="false" ht="15" hidden="false" customHeight="false" outlineLevel="0" collapsed="false">
      <c r="B655" s="141" t="s">
        <v>1230</v>
      </c>
    </row>
    <row r="656" customFormat="false" ht="15" hidden="false" customHeight="false" outlineLevel="0" collapsed="false">
      <c r="B656" s="142" t="s">
        <v>1231</v>
      </c>
      <c r="C656" s="133" t="s">
        <v>1232</v>
      </c>
      <c r="D656" s="134" t="n">
        <v>7826400000</v>
      </c>
      <c r="E656" s="134" t="n">
        <v>7099900000</v>
      </c>
      <c r="F656" s="134" t="n">
        <v>12114100000</v>
      </c>
      <c r="G656" s="134" t="n">
        <v>2279200000</v>
      </c>
      <c r="H656" s="134" t="n">
        <v>3109000000</v>
      </c>
      <c r="I656" s="134" t="n">
        <v>3539900000</v>
      </c>
      <c r="J656" s="134" t="n">
        <v>3866600000</v>
      </c>
      <c r="K656" s="134" t="n">
        <v>1732700000</v>
      </c>
      <c r="L656" s="134" t="n">
        <v>0</v>
      </c>
    </row>
    <row r="657" customFormat="false" ht="15" hidden="false" customHeight="false" outlineLevel="0" collapsed="false">
      <c r="B657" s="144" t="s">
        <v>1233</v>
      </c>
      <c r="C657" s="133" t="s">
        <v>1234</v>
      </c>
      <c r="D657" s="136" t="n">
        <v>7826400000</v>
      </c>
      <c r="E657" s="136" t="n">
        <v>7099900000</v>
      </c>
      <c r="F657" s="136" t="n">
        <v>12114100000</v>
      </c>
      <c r="G657" s="136" t="n">
        <v>2279200000</v>
      </c>
      <c r="H657" s="136" t="n">
        <v>3109000000</v>
      </c>
      <c r="I657" s="136" t="n">
        <v>3539900000</v>
      </c>
      <c r="J657" s="136" t="n">
        <v>3866600000</v>
      </c>
      <c r="K657" s="136" t="n">
        <v>1732700000</v>
      </c>
      <c r="L657" s="136" t="n">
        <v>0</v>
      </c>
    </row>
    <row r="658" customFormat="false" ht="15" hidden="false" customHeight="false" outlineLevel="0" collapsed="false">
      <c r="B658" s="141" t="s">
        <v>1235</v>
      </c>
    </row>
    <row r="659" customFormat="false" ht="15" hidden="false" customHeight="false" outlineLevel="0" collapsed="false">
      <c r="B659" s="142" t="s">
        <v>1384</v>
      </c>
      <c r="C659" s="133" t="s">
        <v>1385</v>
      </c>
      <c r="D659" s="134" t="n">
        <v>494300000</v>
      </c>
      <c r="E659" s="134" t="n">
        <v>167500000</v>
      </c>
      <c r="F659" s="134" t="n">
        <v>452100000</v>
      </c>
      <c r="G659" s="134" t="n">
        <v>357600000</v>
      </c>
      <c r="H659" s="134" t="n">
        <v>112700000</v>
      </c>
      <c r="I659" s="134" t="n">
        <v>112800000</v>
      </c>
      <c r="J659" s="134" t="n">
        <v>167300000</v>
      </c>
      <c r="K659" s="134" t="n">
        <v>194000000</v>
      </c>
      <c r="L659" s="134" t="n">
        <v>0</v>
      </c>
    </row>
    <row r="660" customFormat="false" ht="15" hidden="false" customHeight="false" outlineLevel="0" collapsed="false">
      <c r="B660" s="142" t="s">
        <v>1386</v>
      </c>
      <c r="C660" s="133" t="s">
        <v>1387</v>
      </c>
      <c r="D660" s="134" t="n">
        <v>0</v>
      </c>
      <c r="E660" s="134" t="n">
        <v>104100000</v>
      </c>
      <c r="F660" s="134" t="n">
        <v>0</v>
      </c>
      <c r="G660" s="134" t="n">
        <v>0</v>
      </c>
      <c r="H660" s="134" t="n">
        <v>0</v>
      </c>
      <c r="I660" s="134" t="n">
        <v>0</v>
      </c>
      <c r="J660" s="134" t="n">
        <v>0</v>
      </c>
      <c r="K660" s="134" t="n">
        <v>0</v>
      </c>
      <c r="L660" s="134" t="n">
        <v>0</v>
      </c>
    </row>
    <row r="661" customFormat="false" ht="15" hidden="false" customHeight="false" outlineLevel="0" collapsed="false">
      <c r="B661" s="142" t="s">
        <v>1236</v>
      </c>
      <c r="C661" s="133" t="s">
        <v>1237</v>
      </c>
      <c r="D661" s="134" t="n">
        <v>166400000</v>
      </c>
      <c r="E661" s="134" t="n">
        <v>0</v>
      </c>
      <c r="F661" s="134" t="n">
        <v>0</v>
      </c>
      <c r="G661" s="134" t="n">
        <v>0</v>
      </c>
      <c r="H661" s="134" t="n">
        <v>0</v>
      </c>
      <c r="I661" s="134" t="n">
        <v>0</v>
      </c>
      <c r="J661" s="134" t="n">
        <v>0</v>
      </c>
      <c r="K661" s="134" t="n">
        <v>0</v>
      </c>
      <c r="L661" s="134" t="n">
        <v>0</v>
      </c>
    </row>
    <row r="662" customFormat="false" ht="15" hidden="false" customHeight="false" outlineLevel="0" collapsed="false">
      <c r="B662" s="144" t="s">
        <v>1238</v>
      </c>
      <c r="C662" s="133" t="s">
        <v>1239</v>
      </c>
      <c r="D662" s="136" t="n">
        <v>660700000</v>
      </c>
      <c r="E662" s="136" t="n">
        <v>271600000</v>
      </c>
      <c r="F662" s="136" t="n">
        <v>452100000</v>
      </c>
      <c r="G662" s="136" t="n">
        <v>357600000</v>
      </c>
      <c r="H662" s="136" t="n">
        <v>112700000</v>
      </c>
      <c r="I662" s="136" t="n">
        <v>112800000</v>
      </c>
      <c r="J662" s="136" t="n">
        <v>167300000</v>
      </c>
      <c r="K662" s="136" t="n">
        <v>194000000</v>
      </c>
      <c r="L662" s="136" t="n">
        <v>0</v>
      </c>
    </row>
    <row r="663" customFormat="false" ht="15" hidden="false" customHeight="false" outlineLevel="0" collapsed="false">
      <c r="B663" s="140" t="s">
        <v>1240</v>
      </c>
      <c r="C663" s="133" t="s">
        <v>1241</v>
      </c>
      <c r="D663" s="134" t="n">
        <v>159400000</v>
      </c>
      <c r="E663" s="134" t="n">
        <v>163200000</v>
      </c>
      <c r="F663" s="134" t="n">
        <v>200000</v>
      </c>
      <c r="G663" s="134" t="n">
        <v>200000</v>
      </c>
      <c r="H663" s="134" t="n">
        <v>200000</v>
      </c>
      <c r="I663" s="134" t="n">
        <v>200000</v>
      </c>
      <c r="J663" s="134" t="n">
        <v>300000</v>
      </c>
      <c r="K663" s="134" t="n">
        <v>1200000</v>
      </c>
      <c r="L663" s="134" t="n">
        <v>17537500000</v>
      </c>
    </row>
    <row r="664" customFormat="false" ht="15" hidden="false" customHeight="false" outlineLevel="0" collapsed="false">
      <c r="B664" s="143" t="s">
        <v>192</v>
      </c>
      <c r="C664" s="133" t="s">
        <v>694</v>
      </c>
      <c r="D664" s="136" t="n">
        <v>8691200000</v>
      </c>
      <c r="E664" s="136" t="n">
        <v>7627900000</v>
      </c>
      <c r="F664" s="136" t="n">
        <v>12749300000</v>
      </c>
      <c r="G664" s="136" t="n">
        <v>2747000000</v>
      </c>
      <c r="H664" s="136" t="n">
        <v>3222400000</v>
      </c>
      <c r="I664" s="136" t="n">
        <v>3659400000</v>
      </c>
      <c r="J664" s="136" t="n">
        <v>4034200000</v>
      </c>
      <c r="K664" s="136" t="n">
        <v>1927900000</v>
      </c>
      <c r="L664" s="136" t="n">
        <v>17537500000</v>
      </c>
    </row>
    <row r="665" customFormat="false" ht="15" hidden="false" customHeight="false" outlineLevel="0" collapsed="false">
      <c r="B665" s="141" t="s">
        <v>1242</v>
      </c>
    </row>
    <row r="666" customFormat="false" ht="15" hidden="false" customHeight="false" outlineLevel="0" collapsed="false">
      <c r="B666" s="146" t="s">
        <v>1243</v>
      </c>
    </row>
    <row r="667" customFormat="false" ht="15" hidden="false" customHeight="false" outlineLevel="0" collapsed="false">
      <c r="B667" s="149" t="s">
        <v>1240</v>
      </c>
      <c r="C667" s="133" t="s">
        <v>1241</v>
      </c>
      <c r="D667" s="134" t="n">
        <v>159400000</v>
      </c>
      <c r="E667" s="134" t="n">
        <v>163200000</v>
      </c>
      <c r="F667" s="134" t="n">
        <v>200000</v>
      </c>
      <c r="G667" s="134" t="n">
        <v>200000</v>
      </c>
      <c r="H667" s="134" t="n">
        <v>200000</v>
      </c>
      <c r="I667" s="134" t="n">
        <v>200000</v>
      </c>
      <c r="J667" s="134" t="n">
        <v>300000</v>
      </c>
      <c r="K667" s="134" t="n">
        <v>1200000</v>
      </c>
      <c r="L667" s="134" t="n">
        <v>17537500000</v>
      </c>
    </row>
    <row r="672" customFormat="false" ht="15" hidden="false" customHeight="false" outlineLevel="0" collapsed="false">
      <c r="A672" s="0" t="s">
        <v>26</v>
      </c>
      <c r="B672" s="63" t="s">
        <v>1244</v>
      </c>
    </row>
    <row r="674" customFormat="false" ht="15" hidden="false" customHeight="false" outlineLevel="0" collapsed="false">
      <c r="C674" s="131" t="s">
        <v>568</v>
      </c>
      <c r="D674" s="13" t="s">
        <v>29</v>
      </c>
      <c r="E674" s="13" t="s">
        <v>30</v>
      </c>
      <c r="F674" s="13" t="s">
        <v>31</v>
      </c>
      <c r="G674" s="13" t="s">
        <v>32</v>
      </c>
      <c r="H674" s="13" t="s">
        <v>33</v>
      </c>
      <c r="I674" s="13" t="s">
        <v>34</v>
      </c>
      <c r="J674" s="13" t="s">
        <v>35</v>
      </c>
      <c r="K674" s="13" t="s">
        <v>36</v>
      </c>
      <c r="L674" s="13" t="s">
        <v>37</v>
      </c>
    </row>
    <row r="676" customFormat="false" ht="15" hidden="false" customHeight="false" outlineLevel="0" collapsed="false">
      <c r="B676" s="63" t="s">
        <v>1245</v>
      </c>
    </row>
    <row r="677" customFormat="false" ht="15" hidden="false" customHeight="false" outlineLevel="0" collapsed="false">
      <c r="B677" s="132" t="s">
        <v>247</v>
      </c>
      <c r="C677" s="133" t="s">
        <v>1246</v>
      </c>
      <c r="D677" s="134" t="n">
        <v>1533800000</v>
      </c>
      <c r="E677" s="134" t="n">
        <v>4467000000</v>
      </c>
      <c r="F677" s="134" t="n">
        <v>162000000</v>
      </c>
      <c r="G677" s="134" t="n">
        <v>362800000</v>
      </c>
      <c r="H677" s="134" t="n">
        <v>1936500000</v>
      </c>
      <c r="I677" s="134" t="n">
        <v>4100200000</v>
      </c>
      <c r="J677" s="134" t="n">
        <v>2906300000</v>
      </c>
      <c r="K677" s="134" t="n">
        <v>2631300000</v>
      </c>
      <c r="L677" s="134" t="n">
        <v>9968000000</v>
      </c>
    </row>
    <row r="678" customFormat="false" ht="15" hidden="false" customHeight="false" outlineLevel="0" collapsed="false">
      <c r="B678" s="135" t="s">
        <v>160</v>
      </c>
      <c r="C678" s="133" t="s">
        <v>660</v>
      </c>
      <c r="D678" s="136" t="n">
        <v>1533800000</v>
      </c>
      <c r="E678" s="136" t="n">
        <v>4467000000</v>
      </c>
      <c r="F678" s="136" t="n">
        <v>162000000</v>
      </c>
      <c r="G678" s="136" t="n">
        <v>362800000</v>
      </c>
      <c r="H678" s="136" t="n">
        <v>1936500000</v>
      </c>
      <c r="I678" s="136" t="n">
        <v>4100200000</v>
      </c>
      <c r="J678" s="136" t="n">
        <v>2906300000</v>
      </c>
      <c r="K678" s="136" t="n">
        <v>2631300000</v>
      </c>
      <c r="L678" s="136" t="n">
        <v>9968000000</v>
      </c>
    </row>
    <row r="680" customFormat="false" ht="15" hidden="false" customHeight="false" outlineLevel="0" collapsed="false">
      <c r="B680" s="63" t="s">
        <v>1247</v>
      </c>
    </row>
    <row r="681" customFormat="false" ht="15" hidden="false" customHeight="false" outlineLevel="0" collapsed="false">
      <c r="B681" s="132" t="s">
        <v>220</v>
      </c>
      <c r="C681" s="133" t="s">
        <v>719</v>
      </c>
      <c r="D681" s="134" t="n">
        <v>43200000</v>
      </c>
      <c r="E681" s="134" t="n">
        <v>-59400000</v>
      </c>
      <c r="F681" s="134" t="n">
        <v>-13500000</v>
      </c>
      <c r="G681" s="134" t="n">
        <v>19500000</v>
      </c>
      <c r="H681" s="134" t="n">
        <v>-33900000</v>
      </c>
      <c r="I681" s="134" t="n">
        <v>-5000000</v>
      </c>
      <c r="J681" s="134" t="n">
        <v>21200000</v>
      </c>
      <c r="K681" s="134" t="n">
        <v>9300000</v>
      </c>
      <c r="L681" s="134" t="n">
        <v>-64600000</v>
      </c>
    </row>
    <row r="682" customFormat="false" ht="15" hidden="false" customHeight="false" outlineLevel="0" collapsed="false">
      <c r="B682" s="135" t="s">
        <v>1248</v>
      </c>
      <c r="C682" s="133" t="s">
        <v>1249</v>
      </c>
      <c r="D682" s="136" t="n">
        <v>43200000</v>
      </c>
      <c r="E682" s="136" t="n">
        <v>-59400000</v>
      </c>
      <c r="F682" s="136" t="n">
        <v>-13500000</v>
      </c>
      <c r="G682" s="136" t="n">
        <v>19500000</v>
      </c>
      <c r="H682" s="136" t="n">
        <v>-33900000</v>
      </c>
      <c r="I682" s="136" t="n">
        <v>-5000000</v>
      </c>
      <c r="J682" s="136" t="n">
        <v>21200000</v>
      </c>
      <c r="K682" s="136" t="n">
        <v>9300000</v>
      </c>
      <c r="L682" s="136" t="n">
        <v>-64600000</v>
      </c>
    </row>
    <row r="685" customFormat="false" ht="17.35" hidden="false" customHeight="false" outlineLevel="0" collapsed="false">
      <c r="A685" s="0" t="s">
        <v>26</v>
      </c>
      <c r="B685" s="130" t="s">
        <v>1255</v>
      </c>
    </row>
    <row r="687" customFormat="false" ht="15" hidden="false" customHeight="false" outlineLevel="0" collapsed="false">
      <c r="A687" s="0" t="s">
        <v>26</v>
      </c>
      <c r="B687" s="63" t="s">
        <v>1256</v>
      </c>
    </row>
    <row r="689" customFormat="false" ht="15" hidden="false" customHeight="false" outlineLevel="0" collapsed="false">
      <c r="C689" s="131" t="s">
        <v>568</v>
      </c>
      <c r="D689" s="13" t="s">
        <v>29</v>
      </c>
      <c r="E689" s="13" t="s">
        <v>30</v>
      </c>
      <c r="F689" s="13" t="s">
        <v>31</v>
      </c>
      <c r="G689" s="13" t="s">
        <v>32</v>
      </c>
      <c r="H689" s="13" t="s">
        <v>33</v>
      </c>
      <c r="I689" s="13" t="s">
        <v>34</v>
      </c>
      <c r="J689" s="13" t="s">
        <v>35</v>
      </c>
      <c r="K689" s="13" t="s">
        <v>36</v>
      </c>
      <c r="L689" s="13" t="s">
        <v>37</v>
      </c>
    </row>
    <row r="690" customFormat="false" ht="15" hidden="false" customHeight="false" outlineLevel="0" collapsed="false">
      <c r="B690" s="137" t="s">
        <v>1257</v>
      </c>
    </row>
    <row r="691" customFormat="false" ht="15" hidden="false" customHeight="false" outlineLevel="0" collapsed="false">
      <c r="B691" s="138" t="s">
        <v>1258</v>
      </c>
      <c r="C691" s="133" t="s">
        <v>1259</v>
      </c>
      <c r="D691" s="134" t="n">
        <v>10224700000</v>
      </c>
      <c r="E691" s="134" t="n">
        <v>0</v>
      </c>
      <c r="F691" s="134" t="n">
        <v>0</v>
      </c>
      <c r="G691" s="134" t="n">
        <v>0</v>
      </c>
      <c r="H691" s="134" t="n">
        <v>0</v>
      </c>
      <c r="I691" s="134" t="n">
        <v>0</v>
      </c>
      <c r="J691" s="134" t="n">
        <v>0</v>
      </c>
      <c r="K691" s="134" t="n">
        <v>0</v>
      </c>
      <c r="L691" s="134" t="n">
        <v>0</v>
      </c>
    </row>
    <row r="692" customFormat="false" ht="15" hidden="false" customHeight="false" outlineLevel="0" collapsed="false">
      <c r="B692" s="145" t="s">
        <v>1260</v>
      </c>
      <c r="C692" s="133" t="s">
        <v>1261</v>
      </c>
      <c r="D692" s="136" t="n">
        <v>10224700000</v>
      </c>
      <c r="E692" s="136" t="n">
        <v>0</v>
      </c>
      <c r="F692" s="136" t="n">
        <v>0</v>
      </c>
      <c r="G692" s="136" t="n">
        <v>0</v>
      </c>
      <c r="H692" s="136" t="n">
        <v>0</v>
      </c>
      <c r="I692" s="136" t="n">
        <v>0</v>
      </c>
      <c r="J692" s="136" t="n">
        <v>0</v>
      </c>
      <c r="K692" s="136" t="n">
        <v>0</v>
      </c>
      <c r="L692" s="136" t="n">
        <v>0</v>
      </c>
    </row>
    <row r="693" customFormat="false" ht="15" hidden="false" customHeight="false" outlineLevel="0" collapsed="false">
      <c r="B693" s="137" t="s">
        <v>1262</v>
      </c>
    </row>
    <row r="694" customFormat="false" ht="15" hidden="false" customHeight="false" outlineLevel="0" collapsed="false">
      <c r="B694" s="138" t="s">
        <v>1263</v>
      </c>
      <c r="C694" s="133" t="s">
        <v>1264</v>
      </c>
      <c r="D694" s="134" t="n">
        <v>3457600000</v>
      </c>
      <c r="E694" s="134" t="n">
        <v>0</v>
      </c>
      <c r="F694" s="134" t="n">
        <v>0</v>
      </c>
      <c r="G694" s="134" t="n">
        <v>0</v>
      </c>
      <c r="H694" s="134" t="n">
        <v>0</v>
      </c>
      <c r="I694" s="134" t="n">
        <v>0</v>
      </c>
      <c r="J694" s="134" t="n">
        <v>0</v>
      </c>
      <c r="K694" s="134" t="n">
        <v>0</v>
      </c>
      <c r="L694" s="134" t="n">
        <v>0</v>
      </c>
    </row>
    <row r="695" customFormat="false" ht="15" hidden="false" customHeight="false" outlineLevel="0" collapsed="false">
      <c r="B695" s="145" t="s">
        <v>1265</v>
      </c>
      <c r="C695" s="133" t="s">
        <v>1266</v>
      </c>
      <c r="D695" s="136" t="n">
        <v>3457600000</v>
      </c>
      <c r="E695" s="136" t="n">
        <v>0</v>
      </c>
      <c r="F695" s="136" t="n">
        <v>0</v>
      </c>
      <c r="G695" s="136" t="n">
        <v>0</v>
      </c>
      <c r="H695" s="136" t="n">
        <v>0</v>
      </c>
      <c r="I695" s="136" t="n">
        <v>0</v>
      </c>
      <c r="J695" s="136" t="n">
        <v>0</v>
      </c>
      <c r="K695" s="136" t="n">
        <v>0</v>
      </c>
      <c r="L695" s="136" t="n">
        <v>0</v>
      </c>
    </row>
    <row r="696" customFormat="false" ht="15" hidden="false" customHeight="false" outlineLevel="0" collapsed="false">
      <c r="B696" s="137" t="s">
        <v>1267</v>
      </c>
    </row>
    <row r="697" customFormat="false" ht="15" hidden="false" customHeight="false" outlineLevel="0" collapsed="false">
      <c r="B697" s="138" t="s">
        <v>1268</v>
      </c>
      <c r="C697" s="133" t="s">
        <v>1269</v>
      </c>
      <c r="D697" s="134" t="n">
        <v>3557000000</v>
      </c>
      <c r="E697" s="134" t="n">
        <v>0</v>
      </c>
      <c r="F697" s="134" t="n">
        <v>0</v>
      </c>
      <c r="G697" s="134" t="n">
        <v>0</v>
      </c>
      <c r="H697" s="134" t="n">
        <v>0</v>
      </c>
      <c r="I697" s="134" t="n">
        <v>0</v>
      </c>
      <c r="J697" s="134" t="n">
        <v>0</v>
      </c>
      <c r="K697" s="134" t="n">
        <v>0</v>
      </c>
      <c r="L697" s="134" t="n">
        <v>0</v>
      </c>
    </row>
    <row r="698" customFormat="false" ht="15" hidden="false" customHeight="false" outlineLevel="0" collapsed="false">
      <c r="B698" s="145" t="s">
        <v>1270</v>
      </c>
      <c r="C698" s="133" t="s">
        <v>1271</v>
      </c>
      <c r="D698" s="136" t="n">
        <v>3557000000</v>
      </c>
      <c r="E698" s="136" t="n">
        <v>0</v>
      </c>
      <c r="F698" s="136" t="n">
        <v>0</v>
      </c>
      <c r="G698" s="136" t="n">
        <v>0</v>
      </c>
      <c r="H698" s="136" t="n">
        <v>0</v>
      </c>
      <c r="I698" s="136" t="n">
        <v>0</v>
      </c>
      <c r="J698" s="136" t="n">
        <v>0</v>
      </c>
      <c r="K698" s="136" t="n">
        <v>0</v>
      </c>
      <c r="L698" s="136" t="n">
        <v>0</v>
      </c>
    </row>
    <row r="703" customFormat="false" ht="15" hidden="false" customHeight="false" outlineLevel="0" collapsed="false">
      <c r="A703" s="0" t="s">
        <v>26</v>
      </c>
      <c r="B703" s="63" t="s">
        <v>1272</v>
      </c>
    </row>
    <row r="705" customFormat="false" ht="15" hidden="false" customHeight="false" outlineLevel="0" collapsed="false">
      <c r="C705" s="131" t="s">
        <v>568</v>
      </c>
      <c r="D705" s="13" t="s">
        <v>29</v>
      </c>
      <c r="E705" s="13" t="s">
        <v>30</v>
      </c>
      <c r="F705" s="13" t="s">
        <v>31</v>
      </c>
      <c r="G705" s="13" t="s">
        <v>32</v>
      </c>
      <c r="H705" s="13" t="s">
        <v>33</v>
      </c>
      <c r="I705" s="13" t="s">
        <v>34</v>
      </c>
      <c r="J705" s="13" t="s">
        <v>35</v>
      </c>
      <c r="K705" s="13" t="s">
        <v>36</v>
      </c>
      <c r="L705" s="13" t="s">
        <v>37</v>
      </c>
    </row>
    <row r="707" customFormat="false" ht="15" hidden="false" customHeight="false" outlineLevel="0" collapsed="false">
      <c r="B707" s="63" t="s">
        <v>1273</v>
      </c>
    </row>
    <row r="708" customFormat="false" ht="15" hidden="false" customHeight="false" outlineLevel="0" collapsed="false">
      <c r="B708" s="137" t="s">
        <v>1274</v>
      </c>
    </row>
    <row r="709" customFormat="false" ht="15" hidden="false" customHeight="false" outlineLevel="0" collapsed="false">
      <c r="B709" s="139" t="s">
        <v>1275</v>
      </c>
    </row>
    <row r="710" customFormat="false" ht="15" hidden="false" customHeight="false" outlineLevel="0" collapsed="false">
      <c r="B710" s="141" t="s">
        <v>1276</v>
      </c>
    </row>
    <row r="711" customFormat="false" ht="15" hidden="false" customHeight="false" outlineLevel="0" collapsed="false">
      <c r="B711" s="146" t="s">
        <v>1277</v>
      </c>
    </row>
    <row r="712" customFormat="false" ht="15" hidden="false" customHeight="false" outlineLevel="0" collapsed="false">
      <c r="B712" s="149" t="s">
        <v>1127</v>
      </c>
      <c r="C712" s="133" t="s">
        <v>1128</v>
      </c>
      <c r="D712" s="134" t="n">
        <v>-1488000000</v>
      </c>
      <c r="E712" s="134" t="n">
        <v>-1518600000</v>
      </c>
      <c r="F712" s="134" t="n">
        <v>-1718400000</v>
      </c>
      <c r="G712" s="134" t="n">
        <v>-1067800000</v>
      </c>
      <c r="H712" s="134" t="n">
        <v>-618700000</v>
      </c>
      <c r="I712" s="134" t="n">
        <v>-753200000</v>
      </c>
      <c r="J712" s="134" t="n">
        <v>-930800000</v>
      </c>
      <c r="K712" s="134" t="n">
        <v>-700000000</v>
      </c>
      <c r="L712" s="134" t="n">
        <v>-1446200000</v>
      </c>
    </row>
    <row r="720" customFormat="false" ht="15" hidden="false" customHeight="false" outlineLevel="0" collapsed="false">
      <c r="A720" s="0" t="s">
        <v>26</v>
      </c>
      <c r="B720" s="63" t="s">
        <v>1278</v>
      </c>
    </row>
    <row r="722" customFormat="false" ht="15" hidden="false" customHeight="false" outlineLevel="0" collapsed="false">
      <c r="C722" s="131" t="s">
        <v>568</v>
      </c>
      <c r="D722" s="13" t="s">
        <v>29</v>
      </c>
      <c r="E722" s="13" t="s">
        <v>30</v>
      </c>
      <c r="F722" s="13" t="s">
        <v>31</v>
      </c>
      <c r="G722" s="13" t="s">
        <v>32</v>
      </c>
      <c r="H722" s="13" t="s">
        <v>33</v>
      </c>
      <c r="I722" s="13" t="s">
        <v>34</v>
      </c>
      <c r="J722" s="13" t="s">
        <v>35</v>
      </c>
      <c r="K722" s="13" t="s">
        <v>36</v>
      </c>
      <c r="L722" s="13" t="s">
        <v>37</v>
      </c>
    </row>
    <row r="724" customFormat="false" ht="15" hidden="false" customHeight="false" outlineLevel="0" collapsed="false">
      <c r="B724" s="63" t="s">
        <v>1279</v>
      </c>
    </row>
    <row r="725" customFormat="false" ht="15" hidden="false" customHeight="false" outlineLevel="0" collapsed="false">
      <c r="B725" s="137" t="s">
        <v>700</v>
      </c>
    </row>
    <row r="726" customFormat="false" ht="15" hidden="false" customHeight="false" outlineLevel="0" collapsed="false">
      <c r="B726" s="138" t="s">
        <v>1280</v>
      </c>
      <c r="C726" s="133" t="s">
        <v>1281</v>
      </c>
      <c r="D726" s="134" t="n">
        <v>28082700000</v>
      </c>
      <c r="E726" s="134" t="n">
        <v>-7961700000</v>
      </c>
      <c r="F726" s="134" t="n">
        <v>4498600000</v>
      </c>
      <c r="G726" s="134" t="n">
        <v>-12570500000</v>
      </c>
      <c r="H726" s="134" t="n">
        <v>-1613700000</v>
      </c>
      <c r="I726" s="134" t="n">
        <v>-744600000</v>
      </c>
      <c r="J726" s="134" t="n">
        <v>-311500000</v>
      </c>
      <c r="K726" s="134" t="n">
        <v>-5961900000</v>
      </c>
      <c r="L726" s="134" t="n">
        <v>9155100000</v>
      </c>
    </row>
    <row r="727" customFormat="false" ht="15" hidden="false" customHeight="false" outlineLevel="0" collapsed="false">
      <c r="B727" s="145" t="s">
        <v>221</v>
      </c>
      <c r="C727" s="133" t="s">
        <v>720</v>
      </c>
      <c r="D727" s="136" t="n">
        <v>28082700000</v>
      </c>
      <c r="E727" s="136" t="n">
        <v>-7961700000</v>
      </c>
      <c r="F727" s="136" t="n">
        <v>4498600000</v>
      </c>
      <c r="G727" s="136" t="n">
        <v>-12570500000</v>
      </c>
      <c r="H727" s="136" t="n">
        <v>-1613700000</v>
      </c>
      <c r="I727" s="136" t="n">
        <v>-744600000</v>
      </c>
      <c r="J727" s="136" t="n">
        <v>-311500000</v>
      </c>
      <c r="K727" s="136" t="n">
        <v>-5961900000</v>
      </c>
      <c r="L727" s="136" t="n">
        <v>9155100000</v>
      </c>
    </row>
    <row r="728" customFormat="false" ht="15" hidden="false" customHeight="false" outlineLevel="0" collapsed="false">
      <c r="B728" s="137" t="s">
        <v>222</v>
      </c>
    </row>
    <row r="729" customFormat="false" ht="15" hidden="false" customHeight="false" outlineLevel="0" collapsed="false">
      <c r="B729" s="138" t="s">
        <v>1282</v>
      </c>
      <c r="C729" s="133" t="s">
        <v>1283</v>
      </c>
      <c r="D729" s="134" t="n">
        <v>-18513900000</v>
      </c>
      <c r="E729" s="134" t="n">
        <v>319400000</v>
      </c>
      <c r="F729" s="134" t="n">
        <v>5338900000</v>
      </c>
      <c r="G729" s="134" t="n">
        <v>-35028200000</v>
      </c>
      <c r="H729" s="134" t="n">
        <v>5175800000</v>
      </c>
      <c r="I729" s="134" t="n">
        <v>11797100000</v>
      </c>
      <c r="J729" s="134" t="n">
        <v>4076700000</v>
      </c>
      <c r="K729" s="134" t="n">
        <v>3765600000</v>
      </c>
      <c r="L729" s="134" t="n">
        <v>-6119000000</v>
      </c>
    </row>
    <row r="730" customFormat="false" ht="15" hidden="false" customHeight="false" outlineLevel="0" collapsed="false">
      <c r="B730" s="145" t="s">
        <v>233</v>
      </c>
      <c r="C730" s="133" t="s">
        <v>731</v>
      </c>
      <c r="D730" s="136" t="n">
        <v>-18513900000</v>
      </c>
      <c r="E730" s="136" t="n">
        <v>319400000</v>
      </c>
      <c r="F730" s="136" t="n">
        <v>5338900000</v>
      </c>
      <c r="G730" s="136" t="n">
        <v>-35028200000</v>
      </c>
      <c r="H730" s="136" t="n">
        <v>5175800000</v>
      </c>
      <c r="I730" s="136" t="n">
        <v>11797100000</v>
      </c>
      <c r="J730" s="136" t="n">
        <v>4076700000</v>
      </c>
      <c r="K730" s="136" t="n">
        <v>3765600000</v>
      </c>
      <c r="L730" s="136" t="n">
        <v>-6119000000</v>
      </c>
    </row>
    <row r="731" customFormat="false" ht="15" hidden="false" customHeight="false" outlineLevel="0" collapsed="false">
      <c r="B731" s="137" t="s">
        <v>234</v>
      </c>
    </row>
    <row r="732" customFormat="false" ht="15" hidden="false" customHeight="false" outlineLevel="0" collapsed="false">
      <c r="B732" s="138" t="s">
        <v>1284</v>
      </c>
      <c r="C732" s="133" t="s">
        <v>1285</v>
      </c>
      <c r="D732" s="134" t="n">
        <v>-8977100000</v>
      </c>
      <c r="E732" s="134" t="n">
        <v>10575500000</v>
      </c>
      <c r="F732" s="134" t="n">
        <v>-14142500000</v>
      </c>
      <c r="G732" s="134" t="n">
        <v>47799500000</v>
      </c>
      <c r="H732" s="134" t="n">
        <v>-1988400000</v>
      </c>
      <c r="I732" s="134" t="n">
        <v>-8888800000</v>
      </c>
      <c r="J732" s="134" t="n">
        <v>-4959100000</v>
      </c>
      <c r="K732" s="134" t="n">
        <v>1921300000</v>
      </c>
      <c r="L732" s="134" t="n">
        <v>3310300000</v>
      </c>
    </row>
    <row r="733" customFormat="false" ht="15" hidden="false" customHeight="false" outlineLevel="0" collapsed="false">
      <c r="B733" s="145" t="s">
        <v>242</v>
      </c>
      <c r="C733" s="133" t="s">
        <v>740</v>
      </c>
      <c r="D733" s="136" t="n">
        <v>-8977100000</v>
      </c>
      <c r="E733" s="136" t="n">
        <v>10575500000</v>
      </c>
      <c r="F733" s="136" t="n">
        <v>-14142500000</v>
      </c>
      <c r="G733" s="136" t="n">
        <v>47799500000</v>
      </c>
      <c r="H733" s="136" t="n">
        <v>-1988400000</v>
      </c>
      <c r="I733" s="136" t="n">
        <v>-8888800000</v>
      </c>
      <c r="J733" s="136" t="n">
        <v>-4959100000</v>
      </c>
      <c r="K733" s="136" t="n">
        <v>1921300000</v>
      </c>
      <c r="L733" s="136" t="n">
        <v>3310300000</v>
      </c>
    </row>
    <row r="736" customFormat="false" ht="15" hidden="false" customHeight="false" outlineLevel="0" collapsed="false">
      <c r="A736" s="0" t="s">
        <v>26</v>
      </c>
      <c r="B736" s="63" t="s">
        <v>1286</v>
      </c>
    </row>
    <row r="738" customFormat="false" ht="15" hidden="false" customHeight="false" outlineLevel="0" collapsed="false">
      <c r="C738" s="131" t="s">
        <v>568</v>
      </c>
      <c r="D738" s="13" t="s">
        <v>29</v>
      </c>
      <c r="E738" s="13" t="s">
        <v>30</v>
      </c>
      <c r="F738" s="13" t="s">
        <v>31</v>
      </c>
      <c r="G738" s="13" t="s">
        <v>32</v>
      </c>
      <c r="H738" s="13" t="s">
        <v>33</v>
      </c>
      <c r="I738" s="13" t="s">
        <v>34</v>
      </c>
      <c r="J738" s="13" t="s">
        <v>35</v>
      </c>
      <c r="K738" s="13" t="s">
        <v>36</v>
      </c>
      <c r="L738" s="13" t="s">
        <v>37</v>
      </c>
    </row>
    <row r="739" customFormat="false" ht="15" hidden="false" customHeight="false" outlineLevel="0" collapsed="false">
      <c r="B739" s="132" t="s">
        <v>1287</v>
      </c>
      <c r="C739" s="133" t="s">
        <v>1288</v>
      </c>
      <c r="D739" s="134" t="n">
        <v>37821800</v>
      </c>
      <c r="E739" s="134" t="n">
        <v>31041300</v>
      </c>
      <c r="F739" s="134" t="n">
        <v>29445000</v>
      </c>
      <c r="G739" s="134" t="n">
        <v>0</v>
      </c>
      <c r="H739" s="134" t="n">
        <v>0</v>
      </c>
      <c r="I739" s="134" t="n">
        <v>0</v>
      </c>
      <c r="J739" s="134" t="n">
        <v>0</v>
      </c>
      <c r="K739" s="134" t="n">
        <v>104490000</v>
      </c>
      <c r="L739" s="134" t="n">
        <v>238482850</v>
      </c>
    </row>
    <row r="740" customFormat="false" ht="15" hidden="false" customHeight="false" outlineLevel="0" collapsed="false">
      <c r="B740" s="137" t="s">
        <v>1289</v>
      </c>
    </row>
    <row r="741" customFormat="false" ht="15" hidden="false" customHeight="false" outlineLevel="0" collapsed="false">
      <c r="B741" s="138" t="s">
        <v>1290</v>
      </c>
      <c r="C741" s="133" t="s">
        <v>1291</v>
      </c>
      <c r="D741" s="134" t="n">
        <v>0</v>
      </c>
      <c r="E741" s="134" t="n">
        <v>0</v>
      </c>
      <c r="F741" s="134" t="n">
        <v>0</v>
      </c>
      <c r="G741" s="134" t="n">
        <v>0</v>
      </c>
      <c r="H741" s="134" t="n">
        <v>0</v>
      </c>
      <c r="I741" s="134" t="n">
        <v>0</v>
      </c>
      <c r="J741" s="134" t="n">
        <v>0</v>
      </c>
      <c r="K741" s="134" t="n">
        <v>109290000</v>
      </c>
      <c r="L741" s="134" t="n">
        <v>74540000</v>
      </c>
    </row>
    <row r="742" customFormat="false" ht="15" hidden="false" customHeight="false" outlineLevel="0" collapsed="false">
      <c r="B742" s="138" t="s">
        <v>1292</v>
      </c>
      <c r="C742" s="133" t="s">
        <v>1293</v>
      </c>
      <c r="D742" s="134" t="n">
        <v>-2519000</v>
      </c>
      <c r="E742" s="134" t="n">
        <v>-6780500</v>
      </c>
      <c r="F742" s="134" t="n">
        <v>-1596300</v>
      </c>
      <c r="G742" s="134" t="n">
        <v>0</v>
      </c>
      <c r="H742" s="134" t="n">
        <v>0</v>
      </c>
      <c r="I742" s="134" t="n">
        <v>0</v>
      </c>
      <c r="J742" s="134" t="n">
        <v>0</v>
      </c>
      <c r="K742" s="134" t="n">
        <v>0</v>
      </c>
      <c r="L742" s="134" t="n">
        <v>13870500</v>
      </c>
    </row>
    <row r="743" customFormat="false" ht="15" hidden="false" customHeight="false" outlineLevel="0" collapsed="false">
      <c r="B743" s="138" t="s">
        <v>1294</v>
      </c>
      <c r="C743" s="133" t="s">
        <v>1295</v>
      </c>
      <c r="D743" s="134" t="n">
        <v>0</v>
      </c>
      <c r="E743" s="134" t="n">
        <v>0</v>
      </c>
      <c r="F743" s="134" t="n">
        <v>0</v>
      </c>
      <c r="G743" s="134" t="n">
        <v>0</v>
      </c>
      <c r="H743" s="134" t="n">
        <v>0</v>
      </c>
      <c r="I743" s="134" t="n">
        <v>0</v>
      </c>
      <c r="J743" s="134" t="n">
        <v>0</v>
      </c>
      <c r="K743" s="134" t="n">
        <v>0</v>
      </c>
      <c r="L743" s="134" t="n">
        <v>44232350</v>
      </c>
    </row>
    <row r="744" customFormat="false" ht="15" hidden="false" customHeight="false" outlineLevel="0" collapsed="false">
      <c r="B744" s="138" t="s">
        <v>1296</v>
      </c>
      <c r="C744" s="133" t="s">
        <v>1297</v>
      </c>
      <c r="D744" s="134" t="n">
        <v>0</v>
      </c>
      <c r="E744" s="134" t="n">
        <v>0</v>
      </c>
      <c r="F744" s="134" t="n">
        <v>0</v>
      </c>
      <c r="G744" s="134" t="n">
        <v>-29445000</v>
      </c>
      <c r="H744" s="134" t="n">
        <v>0</v>
      </c>
      <c r="I744" s="134" t="n">
        <v>0</v>
      </c>
      <c r="J744" s="134" t="n">
        <v>0</v>
      </c>
      <c r="K744" s="134" t="n">
        <v>-4800000</v>
      </c>
      <c r="L744" s="134" t="n">
        <v>0</v>
      </c>
    </row>
    <row r="745" customFormat="false" ht="15" hidden="false" customHeight="false" outlineLevel="0" collapsed="false">
      <c r="B745" s="145" t="s">
        <v>1298</v>
      </c>
      <c r="C745" s="133" t="s">
        <v>1299</v>
      </c>
      <c r="D745" s="136" t="n">
        <v>-2519000</v>
      </c>
      <c r="E745" s="136" t="n">
        <v>-6780500</v>
      </c>
      <c r="F745" s="136" t="n">
        <v>-1596300</v>
      </c>
      <c r="G745" s="136" t="n">
        <v>-29445000</v>
      </c>
      <c r="H745" s="136" t="n">
        <v>0</v>
      </c>
      <c r="I745" s="136" t="n">
        <v>0</v>
      </c>
      <c r="J745" s="136" t="n">
        <v>0</v>
      </c>
      <c r="K745" s="136" t="n">
        <v>104490000</v>
      </c>
      <c r="L745" s="136" t="n">
        <v>132642850</v>
      </c>
    </row>
    <row r="746" customFormat="false" ht="15" hidden="false" customHeight="false" outlineLevel="0" collapsed="false">
      <c r="B746" s="132" t="s">
        <v>1287</v>
      </c>
      <c r="C746" s="133" t="s">
        <v>1288</v>
      </c>
      <c r="D746" s="134" t="n">
        <v>37821800</v>
      </c>
      <c r="E746" s="134" t="n">
        <v>31041300</v>
      </c>
      <c r="F746" s="134" t="n">
        <v>29445000</v>
      </c>
      <c r="G746" s="134" t="n">
        <v>0</v>
      </c>
      <c r="H746" s="134" t="n">
        <v>0</v>
      </c>
      <c r="I746" s="134" t="n">
        <v>0</v>
      </c>
      <c r="J746" s="134" t="n">
        <v>0</v>
      </c>
      <c r="K746" s="134" t="n">
        <v>104490000</v>
      </c>
      <c r="L746" s="134" t="n">
        <v>238482850</v>
      </c>
    </row>
    <row r="747" customFormat="false" ht="15" hidden="false" customHeight="false" outlineLevel="0" collapsed="false">
      <c r="B747" s="132" t="s">
        <v>1300</v>
      </c>
      <c r="C747" s="133" t="s">
        <v>1301</v>
      </c>
      <c r="D747" s="134" t="n">
        <v>37821800</v>
      </c>
      <c r="E747" s="134" t="n">
        <v>31041300</v>
      </c>
      <c r="F747" s="134" t="n">
        <v>0</v>
      </c>
      <c r="G747" s="134" t="n">
        <v>0</v>
      </c>
      <c r="H747" s="134" t="n">
        <v>0</v>
      </c>
      <c r="I747" s="134" t="n">
        <v>0</v>
      </c>
      <c r="J747" s="134" t="n">
        <v>0</v>
      </c>
      <c r="K747" s="134" t="n">
        <v>104490000</v>
      </c>
      <c r="L747" s="134" t="n">
        <v>1312150</v>
      </c>
    </row>
    <row r="748" customFormat="false" ht="15" hidden="false" customHeight="false" outlineLevel="0" collapsed="false">
      <c r="B748" s="132" t="s">
        <v>1302</v>
      </c>
      <c r="C748" s="133" t="s">
        <v>1303</v>
      </c>
      <c r="D748" s="134" t="n">
        <v>0</v>
      </c>
      <c r="E748" s="134" t="n">
        <v>0</v>
      </c>
      <c r="F748" s="134" t="n">
        <v>0</v>
      </c>
      <c r="G748" s="134" t="n">
        <v>0</v>
      </c>
      <c r="H748" s="134" t="n">
        <v>0</v>
      </c>
      <c r="I748" s="134" t="n">
        <v>0</v>
      </c>
      <c r="J748" s="134" t="n">
        <v>0</v>
      </c>
      <c r="K748" s="134" t="n">
        <v>50000000</v>
      </c>
      <c r="L748" s="134" t="n">
        <v>598000000</v>
      </c>
    </row>
    <row r="749" customFormat="false" ht="15" hidden="false" customHeight="false" outlineLevel="0" collapsed="false">
      <c r="B749" s="137" t="s">
        <v>1304</v>
      </c>
    </row>
    <row r="750" customFormat="false" ht="15" hidden="false" customHeight="false" outlineLevel="0" collapsed="false">
      <c r="B750" s="138" t="s">
        <v>1305</v>
      </c>
      <c r="C750" s="133" t="s">
        <v>1306</v>
      </c>
      <c r="D750" s="134" t="n">
        <v>0</v>
      </c>
      <c r="E750" s="134" t="n">
        <v>0</v>
      </c>
      <c r="F750" s="134" t="n">
        <v>0</v>
      </c>
      <c r="G750" s="134" t="n">
        <v>0</v>
      </c>
      <c r="H750" s="134" t="n">
        <v>0</v>
      </c>
      <c r="I750" s="134" t="n">
        <v>0</v>
      </c>
      <c r="J750" s="134" t="n">
        <v>0</v>
      </c>
      <c r="K750" s="134" t="n">
        <v>50000000</v>
      </c>
      <c r="L750" s="134" t="n">
        <v>598000000</v>
      </c>
    </row>
    <row r="751" customFormat="false" ht="15" hidden="false" customHeight="false" outlineLevel="0" collapsed="false">
      <c r="B751" s="145" t="s">
        <v>1307</v>
      </c>
      <c r="C751" s="133" t="s">
        <v>1308</v>
      </c>
      <c r="D751" s="136" t="n">
        <v>0</v>
      </c>
      <c r="E751" s="136" t="n">
        <v>0</v>
      </c>
      <c r="F751" s="136" t="n">
        <v>0</v>
      </c>
      <c r="G751" s="136" t="n">
        <v>0</v>
      </c>
      <c r="H751" s="136" t="n">
        <v>0</v>
      </c>
      <c r="I751" s="136" t="n">
        <v>0</v>
      </c>
      <c r="J751" s="136" t="n">
        <v>0</v>
      </c>
      <c r="K751" s="136" t="n">
        <v>50000000</v>
      </c>
      <c r="L751" s="136" t="n">
        <v>598000000</v>
      </c>
    </row>
    <row r="752" customFormat="false" ht="15" hidden="false" customHeight="false" outlineLevel="0" collapsed="false">
      <c r="B752" s="132" t="s">
        <v>1302</v>
      </c>
      <c r="C752" s="133" t="s">
        <v>1303</v>
      </c>
      <c r="D752" s="134" t="n">
        <v>0</v>
      </c>
      <c r="E752" s="134" t="n">
        <v>0</v>
      </c>
      <c r="F752" s="134" t="n">
        <v>0</v>
      </c>
      <c r="G752" s="134" t="n">
        <v>0</v>
      </c>
      <c r="H752" s="134" t="n">
        <v>0</v>
      </c>
      <c r="I752" s="134" t="n">
        <v>0</v>
      </c>
      <c r="J752" s="134" t="n">
        <v>0</v>
      </c>
      <c r="K752" s="134" t="n">
        <v>50000000</v>
      </c>
      <c r="L752" s="134" t="n">
        <v>598000000</v>
      </c>
    </row>
    <row r="753" customFormat="false" ht="15" hidden="false" customHeight="false" outlineLevel="0" collapsed="false">
      <c r="B753" s="6" t="s">
        <v>1309</v>
      </c>
      <c r="C753" s="133" t="s">
        <v>1310</v>
      </c>
      <c r="D753" s="134" t="n">
        <v>133700000</v>
      </c>
      <c r="E753" s="134" t="n">
        <v>133700000</v>
      </c>
      <c r="F753" s="134" t="n">
        <v>133700000</v>
      </c>
      <c r="G753" s="134" t="n">
        <v>0</v>
      </c>
      <c r="H753" s="134" t="n">
        <v>0</v>
      </c>
      <c r="I753" s="134" t="n">
        <v>0</v>
      </c>
      <c r="J753" s="134" t="n">
        <v>0</v>
      </c>
      <c r="K753" s="134" t="n">
        <v>50000000</v>
      </c>
      <c r="L753" s="134" t="n">
        <v>598000000</v>
      </c>
    </row>
    <row r="754" customFormat="false" ht="15" hidden="false" customHeight="false" outlineLevel="0" collapsed="false">
      <c r="B754" s="140" t="s">
        <v>1311</v>
      </c>
      <c r="C754" s="133" t="s">
        <v>1312</v>
      </c>
      <c r="D754" s="134" t="n">
        <v>133700000</v>
      </c>
      <c r="E754" s="134" t="n">
        <v>133700000</v>
      </c>
      <c r="F754" s="134" t="n">
        <v>133700000</v>
      </c>
      <c r="G754" s="134" t="n">
        <v>0</v>
      </c>
      <c r="H754" s="134" t="n">
        <v>0</v>
      </c>
      <c r="I754" s="134" t="n">
        <v>0</v>
      </c>
      <c r="J754" s="134" t="n">
        <v>0</v>
      </c>
      <c r="K754" s="134" t="n">
        <v>0</v>
      </c>
      <c r="L754" s="134" t="n">
        <v>0</v>
      </c>
    </row>
    <row r="755" customFormat="false" ht="15" hidden="false" customHeight="false" outlineLevel="0" collapsed="false">
      <c r="B755" s="140" t="s">
        <v>1315</v>
      </c>
      <c r="C755" s="133" t="s">
        <v>1316</v>
      </c>
      <c r="D755" s="134" t="n">
        <v>2</v>
      </c>
      <c r="E755" s="134" t="n">
        <v>2</v>
      </c>
      <c r="F755" s="134" t="n">
        <v>2</v>
      </c>
      <c r="G755" s="134" t="n">
        <v>0</v>
      </c>
      <c r="H755" s="134" t="n">
        <v>0</v>
      </c>
      <c r="I755" s="134" t="n">
        <v>0</v>
      </c>
      <c r="J755" s="134" t="n">
        <v>0</v>
      </c>
      <c r="K755" s="134" t="n">
        <v>0</v>
      </c>
      <c r="L755" s="134" t="n">
        <v>0</v>
      </c>
    </row>
    <row r="757" customFormat="false" ht="15" hidden="false" customHeight="false" outlineLevel="0" collapsed="false">
      <c r="B757" s="63" t="s">
        <v>1319</v>
      </c>
    </row>
    <row r="758" customFormat="false" ht="15" hidden="false" customHeight="false" outlineLevel="0" collapsed="false">
      <c r="B758" s="132" t="s">
        <v>1320</v>
      </c>
      <c r="C758" s="133" t="s">
        <v>1321</v>
      </c>
      <c r="D758" s="134" t="n">
        <v>22400000</v>
      </c>
      <c r="E758" s="134" t="n">
        <v>0</v>
      </c>
      <c r="F758" s="134" t="n">
        <v>0</v>
      </c>
      <c r="G758" s="134" t="n">
        <v>0</v>
      </c>
      <c r="H758" s="134" t="n">
        <v>0</v>
      </c>
      <c r="I758" s="134" t="n">
        <v>0</v>
      </c>
      <c r="J758" s="134" t="n">
        <v>0</v>
      </c>
      <c r="K758" s="134" t="n">
        <v>0</v>
      </c>
      <c r="L758" s="134" t="n">
        <v>0</v>
      </c>
    </row>
    <row r="759" customFormat="false" ht="15" hidden="false" customHeight="false" outlineLevel="0" collapsed="false">
      <c r="B759" s="135" t="s">
        <v>1322</v>
      </c>
      <c r="C759" s="133" t="s">
        <v>1323</v>
      </c>
      <c r="D759" s="136" t="n">
        <v>22400000</v>
      </c>
      <c r="E759" s="136" t="n">
        <v>0</v>
      </c>
      <c r="F759" s="136" t="n">
        <v>0</v>
      </c>
      <c r="G759" s="136" t="n">
        <v>0</v>
      </c>
      <c r="H759" s="136" t="n">
        <v>0</v>
      </c>
      <c r="I759" s="136" t="n">
        <v>0</v>
      </c>
      <c r="J759" s="136" t="n">
        <v>0</v>
      </c>
      <c r="K759" s="136" t="n">
        <v>0</v>
      </c>
      <c r="L759" s="136" t="n">
        <v>0</v>
      </c>
    </row>
    <row r="761" customFormat="false" ht="15" hidden="false" customHeight="false" outlineLevel="0" collapsed="false">
      <c r="B761" s="63" t="s">
        <v>1324</v>
      </c>
    </row>
    <row r="762" customFormat="false" ht="15" hidden="false" customHeight="false" outlineLevel="0" collapsed="false">
      <c r="B762" s="135" t="s">
        <v>1322</v>
      </c>
      <c r="C762" s="133" t="s">
        <v>1323</v>
      </c>
      <c r="D762" s="136" t="n">
        <v>22400000</v>
      </c>
      <c r="E762" s="136" t="n">
        <v>0</v>
      </c>
      <c r="F762" s="136" t="n">
        <v>0</v>
      </c>
      <c r="G762" s="136" t="n">
        <v>0</v>
      </c>
      <c r="H762" s="136" t="n">
        <v>0</v>
      </c>
      <c r="I762" s="136" t="n">
        <v>0</v>
      </c>
      <c r="J762" s="136" t="n">
        <v>0</v>
      </c>
      <c r="K762" s="136" t="n">
        <v>0</v>
      </c>
      <c r="L762" s="136"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0"/>
    <col collapsed="false" customWidth="true" hidden="false" outlineLevel="0" max="8" min="2" style="0" width="16"/>
  </cols>
  <sheetData>
    <row r="1" customFormat="false" ht="17.35" hidden="false" customHeight="false" outlineLevel="0" collapsed="false">
      <c r="A1" s="81" t="s">
        <v>1388</v>
      </c>
    </row>
    <row r="5" customFormat="false" ht="15" hidden="false" customHeight="false" outlineLevel="0" collapsed="false">
      <c r="A5" s="9" t="s">
        <v>1389</v>
      </c>
    </row>
    <row r="7" customFormat="false" ht="15" hidden="false" customHeight="false" outlineLevel="0" collapsed="false">
      <c r="A7" s="12" t="s">
        <v>467</v>
      </c>
      <c r="B7" s="12" t="s">
        <v>1390</v>
      </c>
      <c r="C7" s="12" t="s">
        <v>1391</v>
      </c>
      <c r="D7" s="12" t="s">
        <v>1392</v>
      </c>
      <c r="E7" s="12" t="s">
        <v>1393</v>
      </c>
      <c r="F7" s="12" t="s">
        <v>1394</v>
      </c>
    </row>
    <row r="8" customFormat="false" ht="15" hidden="false" customHeight="false" outlineLevel="0" collapsed="false">
      <c r="A8" s="0" t="s">
        <v>1395</v>
      </c>
      <c r="B8" s="0" t="s">
        <v>1396</v>
      </c>
      <c r="C8" s="0" t="s">
        <v>1397</v>
      </c>
      <c r="D8" s="0" t="n">
        <v>0.00419504851160823</v>
      </c>
      <c r="E8" s="0" t="n">
        <v>0.0486906451636496</v>
      </c>
      <c r="F8" s="0" t="n">
        <v>0.0063906451636496</v>
      </c>
    </row>
    <row r="9" customFormat="false" ht="15" hidden="false" customHeight="false" outlineLevel="0" collapsed="false">
      <c r="A9" s="0" t="s">
        <v>1398</v>
      </c>
      <c r="B9" s="0" t="s">
        <v>1399</v>
      </c>
      <c r="C9" s="0" t="s">
        <v>1400</v>
      </c>
      <c r="D9" s="0" t="n">
        <v>0.0305639248702886</v>
      </c>
      <c r="E9" s="0" t="n">
        <v>0.0888604147637328</v>
      </c>
      <c r="F9" s="0" t="n">
        <v>0.0465604147637328</v>
      </c>
    </row>
    <row r="10" customFormat="false" ht="15" hidden="false" customHeight="false" outlineLevel="0" collapsed="false">
      <c r="A10" s="0" t="s">
        <v>1401</v>
      </c>
      <c r="B10" s="0" t="s">
        <v>1402</v>
      </c>
      <c r="C10" s="0" t="s">
        <v>1403</v>
      </c>
      <c r="D10" s="0" t="n">
        <v>0.0135839666090171</v>
      </c>
      <c r="E10" s="0" t="n">
        <v>0.0629935176727701</v>
      </c>
      <c r="F10" s="0" t="n">
        <v>0.0206935176727701</v>
      </c>
    </row>
    <row r="11" customFormat="false" ht="15" hidden="false" customHeight="false" outlineLevel="0" collapsed="false">
      <c r="A11" s="0" t="s">
        <v>1404</v>
      </c>
      <c r="B11" s="0" t="s">
        <v>1405</v>
      </c>
      <c r="C11" s="0" t="s">
        <v>1406</v>
      </c>
      <c r="D11" s="0" t="n">
        <v>0.0552348054028417</v>
      </c>
      <c r="E11" s="0" t="n">
        <v>0.12644349465472</v>
      </c>
      <c r="F11" s="0" t="n">
        <v>0.0841434946547197</v>
      </c>
    </row>
    <row r="12" customFormat="false" ht="15" hidden="false" customHeight="false" outlineLevel="0" collapsed="false">
      <c r="A12" s="0" t="s">
        <v>1407</v>
      </c>
      <c r="B12" s="0" t="s">
        <v>1408</v>
      </c>
      <c r="C12" s="0" t="s">
        <v>1409</v>
      </c>
      <c r="D12" s="0" t="n">
        <v>0.0637247845334774</v>
      </c>
      <c r="E12" s="0" t="n">
        <v>0.139376943200201</v>
      </c>
      <c r="F12" s="0" t="n">
        <v>0.097076943200201</v>
      </c>
    </row>
    <row r="13" customFormat="false" ht="15" hidden="false" customHeight="false" outlineLevel="0" collapsed="false">
      <c r="A13" s="0" t="s">
        <v>1410</v>
      </c>
      <c r="B13" s="0" t="s">
        <v>1399</v>
      </c>
      <c r="C13" s="0" t="s">
        <v>1400</v>
      </c>
      <c r="D13" s="0" t="n">
        <v>0.0305639248702886</v>
      </c>
      <c r="E13" s="0" t="n">
        <v>0.0888604147637328</v>
      </c>
      <c r="F13" s="0" t="n">
        <v>0.0465604147637328</v>
      </c>
    </row>
    <row r="14" customFormat="false" ht="15" hidden="false" customHeight="false" outlineLevel="0" collapsed="false">
      <c r="A14" s="0" t="s">
        <v>1411</v>
      </c>
      <c r="B14" s="0" t="s">
        <v>1412</v>
      </c>
      <c r="C14" s="0" t="s">
        <v>1413</v>
      </c>
      <c r="D14" s="0" t="n">
        <v>0.0186779540873986</v>
      </c>
      <c r="E14" s="0" t="n">
        <v>0.0707535868000589</v>
      </c>
      <c r="F14" s="0" t="n">
        <v>0.0284535868000589</v>
      </c>
    </row>
    <row r="15" customFormat="false" ht="15" hidden="false" customHeight="false" outlineLevel="0" collapsed="false">
      <c r="A15" s="0" t="s">
        <v>1414</v>
      </c>
      <c r="B15" s="0" t="s">
        <v>1415</v>
      </c>
      <c r="C15" s="0" t="s">
        <v>1416</v>
      </c>
      <c r="D15" s="0" t="n">
        <v>0</v>
      </c>
      <c r="E15" s="0" t="n">
        <v>0.0423</v>
      </c>
      <c r="F15" s="0" t="n">
        <v>0</v>
      </c>
    </row>
    <row r="16" customFormat="false" ht="15" hidden="false" customHeight="false" outlineLevel="0" collapsed="false">
      <c r="A16" s="0" t="s">
        <v>1417</v>
      </c>
      <c r="B16" s="0" t="s">
        <v>1402</v>
      </c>
      <c r="C16" s="0" t="s">
        <v>1418</v>
      </c>
      <c r="D16" s="0" t="n">
        <v>0.00233367916999202</v>
      </c>
      <c r="E16" s="0" t="n">
        <v>0.0458550758137722</v>
      </c>
      <c r="F16" s="0" t="n">
        <v>0.00355507581377216</v>
      </c>
    </row>
    <row r="17" customFormat="false" ht="15" hidden="false" customHeight="false" outlineLevel="0" collapsed="false">
      <c r="A17" s="0" t="s">
        <v>1419</v>
      </c>
      <c r="B17" s="0" t="s">
        <v>1399</v>
      </c>
      <c r="C17" s="0" t="s">
        <v>1413</v>
      </c>
      <c r="D17" s="0" t="n">
        <v>0.0186779540873986</v>
      </c>
      <c r="E17" s="0" t="n">
        <v>0.0707535868000589</v>
      </c>
      <c r="F17" s="0" t="n">
        <v>0.0284535868000589</v>
      </c>
    </row>
    <row r="18" customFormat="false" ht="15" hidden="false" customHeight="false" outlineLevel="0" collapsed="false">
      <c r="A18" s="0" t="s">
        <v>1420</v>
      </c>
      <c r="B18" s="0" t="s">
        <v>1412</v>
      </c>
      <c r="C18" s="0" t="s">
        <v>1421</v>
      </c>
      <c r="D18" s="0" t="n">
        <v>0.0382548471415703</v>
      </c>
      <c r="E18" s="0" t="n">
        <v>0.100576597563757</v>
      </c>
      <c r="F18" s="0" t="n">
        <v>0.058276597563757</v>
      </c>
    </row>
    <row r="19" customFormat="false" ht="15" hidden="false" customHeight="false" outlineLevel="0" collapsed="false">
      <c r="A19" s="0" t="s">
        <v>1422</v>
      </c>
      <c r="B19" s="0" t="s">
        <v>1396</v>
      </c>
      <c r="C19" s="0" t="s">
        <v>1423</v>
      </c>
      <c r="D19" s="0" t="n">
        <v>0.046744826272206</v>
      </c>
      <c r="E19" s="0" t="n">
        <v>0.113510046109238</v>
      </c>
      <c r="F19" s="0" t="n">
        <v>0.0712100461092384</v>
      </c>
    </row>
    <row r="20" customFormat="false" ht="15" hidden="false" customHeight="false" outlineLevel="0" collapsed="false">
      <c r="A20" s="0" t="s">
        <v>1424</v>
      </c>
      <c r="B20" s="0" t="s">
        <v>1425</v>
      </c>
      <c r="C20" s="0" t="s">
        <v>1423</v>
      </c>
      <c r="D20" s="0" t="n">
        <v>0.046744826272206</v>
      </c>
      <c r="E20" s="0" t="n">
        <v>0.113510046109238</v>
      </c>
      <c r="F20" s="0" t="n">
        <v>0.0712100461092384</v>
      </c>
    </row>
    <row r="21" customFormat="false" ht="15" hidden="false" customHeight="false" outlineLevel="0" collapsed="false">
      <c r="A21" s="0" t="s">
        <v>1426</v>
      </c>
      <c r="B21" s="0" t="s">
        <v>1412</v>
      </c>
      <c r="C21" s="0" t="s">
        <v>1423</v>
      </c>
      <c r="D21" s="0" t="n">
        <v>0.046744826272206</v>
      </c>
      <c r="E21" s="0" t="n">
        <v>0.113510046109238</v>
      </c>
      <c r="F21" s="0" t="n">
        <v>0.0712100461092384</v>
      </c>
    </row>
    <row r="22" customFormat="false" ht="15" hidden="false" customHeight="false" outlineLevel="0" collapsed="false">
      <c r="A22" s="0" t="s">
        <v>1427</v>
      </c>
      <c r="B22" s="0" t="s">
        <v>1399</v>
      </c>
      <c r="C22" s="0" t="s">
        <v>1428</v>
      </c>
      <c r="D22" s="0" t="n">
        <v>0.175</v>
      </c>
      <c r="E22" s="0" t="n">
        <v>0.30889117303269</v>
      </c>
      <c r="F22" s="0" t="n">
        <v>0.26659117303269</v>
      </c>
    </row>
    <row r="23" customFormat="false" ht="15" hidden="false" customHeight="false" outlineLevel="0" collapsed="false">
      <c r="A23" s="0" t="s">
        <v>1429</v>
      </c>
      <c r="B23" s="0" t="s">
        <v>1402</v>
      </c>
      <c r="C23" s="0" t="s">
        <v>1430</v>
      </c>
      <c r="D23" s="0" t="n">
        <v>0.00509398747838143</v>
      </c>
      <c r="E23" s="0" t="n">
        <v>0.0500600691272888</v>
      </c>
      <c r="F23" s="0" t="n">
        <v>0.0077600691272888</v>
      </c>
    </row>
    <row r="24" customFormat="false" ht="15" hidden="false" customHeight="false" outlineLevel="0" collapsed="false">
      <c r="A24" s="0" t="s">
        <v>1431</v>
      </c>
      <c r="B24" s="0" t="s">
        <v>1408</v>
      </c>
      <c r="C24" s="0" t="s">
        <v>1409</v>
      </c>
      <c r="D24" s="0" t="n">
        <v>0.0637247845334774</v>
      </c>
      <c r="E24" s="0" t="n">
        <v>0.139376943200201</v>
      </c>
      <c r="F24" s="0" t="n">
        <v>0.097076943200201</v>
      </c>
    </row>
    <row r="25" customFormat="false" ht="15" hidden="false" customHeight="false" outlineLevel="0" collapsed="false">
      <c r="A25" s="0" t="s">
        <v>1432</v>
      </c>
      <c r="B25" s="0" t="s">
        <v>1405</v>
      </c>
      <c r="C25" s="0" t="s">
        <v>1421</v>
      </c>
      <c r="D25" s="0" t="n">
        <v>0.0382548471415703</v>
      </c>
      <c r="E25" s="0" t="n">
        <v>0.100576597563757</v>
      </c>
      <c r="F25" s="0" t="n">
        <v>0.058276597563757</v>
      </c>
    </row>
    <row r="26" customFormat="false" ht="15" hidden="false" customHeight="false" outlineLevel="0" collapsed="false">
      <c r="A26" s="0" t="s">
        <v>1433</v>
      </c>
      <c r="B26" s="0" t="s">
        <v>1412</v>
      </c>
      <c r="C26" s="0" t="s">
        <v>1434</v>
      </c>
      <c r="D26" s="0" t="n">
        <v>0.00719151173418554</v>
      </c>
      <c r="E26" s="0" t="n">
        <v>0.0532553917091136</v>
      </c>
      <c r="F26" s="0" t="n">
        <v>0.0109553917091136</v>
      </c>
    </row>
    <row r="27" customFormat="false" ht="15" hidden="false" customHeight="false" outlineLevel="0" collapsed="false">
      <c r="A27" s="0" t="s">
        <v>1435</v>
      </c>
      <c r="B27" s="0" t="s">
        <v>1408</v>
      </c>
      <c r="C27" s="0" t="s">
        <v>1436</v>
      </c>
      <c r="D27" s="0" t="n">
        <v>0.101979631675048</v>
      </c>
      <c r="E27" s="0" t="n">
        <v>0.197653540763958</v>
      </c>
      <c r="F27" s="0" t="n">
        <v>0.155353540763958</v>
      </c>
    </row>
    <row r="28" customFormat="false" ht="15" hidden="false" customHeight="false" outlineLevel="0" collapsed="false">
      <c r="A28" s="0" t="s">
        <v>1437</v>
      </c>
      <c r="B28" s="0" t="s">
        <v>1399</v>
      </c>
      <c r="C28" s="0" t="s">
        <v>1406</v>
      </c>
      <c r="D28" s="0" t="n">
        <v>0.0552348054028417</v>
      </c>
      <c r="E28" s="0" t="n">
        <v>0.12644349465472</v>
      </c>
      <c r="F28" s="0" t="n">
        <v>0.0841434946547197</v>
      </c>
    </row>
    <row r="29" customFormat="false" ht="15" hidden="false" customHeight="false" outlineLevel="0" collapsed="false">
      <c r="A29" s="0" t="s">
        <v>1438</v>
      </c>
      <c r="B29" s="0" t="s">
        <v>1405</v>
      </c>
      <c r="C29" s="0" t="s">
        <v>1403</v>
      </c>
      <c r="D29" s="0" t="n">
        <v>0.0135839666090171</v>
      </c>
      <c r="E29" s="0" t="n">
        <v>0.0629935176727701</v>
      </c>
      <c r="F29" s="0" t="n">
        <v>0.0206935176727701</v>
      </c>
    </row>
    <row r="30" customFormat="false" ht="15" hidden="false" customHeight="false" outlineLevel="0" collapsed="false">
      <c r="A30" s="0" t="s">
        <v>1439</v>
      </c>
      <c r="B30" s="0" t="s">
        <v>1408</v>
      </c>
      <c r="C30" s="0" t="s">
        <v>1440</v>
      </c>
      <c r="D30" s="0" t="n">
        <v>0.0212748888802989</v>
      </c>
      <c r="E30" s="0" t="n">
        <v>0.0747097004727944</v>
      </c>
      <c r="F30" s="0" t="n">
        <v>0.0324097004727944</v>
      </c>
    </row>
    <row r="31" customFormat="false" ht="15" hidden="false" customHeight="false" outlineLevel="0" collapsed="false">
      <c r="A31" s="0" t="s">
        <v>1441</v>
      </c>
      <c r="B31" s="0" t="s">
        <v>1399</v>
      </c>
      <c r="C31" s="0" t="s">
        <v>1403</v>
      </c>
      <c r="D31" s="0" t="n">
        <v>0.0135839666090171</v>
      </c>
      <c r="E31" s="0" t="n">
        <v>0.0629935176727701</v>
      </c>
      <c r="F31" s="0" t="n">
        <v>0.0206935176727701</v>
      </c>
    </row>
    <row r="32" customFormat="false" ht="15" hidden="false" customHeight="false" outlineLevel="0" collapsed="false">
      <c r="A32" s="0" t="s">
        <v>1442</v>
      </c>
      <c r="B32" s="0" t="s">
        <v>1405</v>
      </c>
      <c r="C32" s="0" t="s">
        <v>1409</v>
      </c>
      <c r="D32" s="0" t="n">
        <v>0.0637247845334774</v>
      </c>
      <c r="E32" s="0" t="n">
        <v>0.139376943200201</v>
      </c>
      <c r="F32" s="0" t="n">
        <v>0.097076943200201</v>
      </c>
    </row>
    <row r="33" customFormat="false" ht="15" hidden="false" customHeight="false" outlineLevel="0" collapsed="false">
      <c r="A33" s="0" t="s">
        <v>1443</v>
      </c>
      <c r="B33" s="0" t="s">
        <v>1425</v>
      </c>
      <c r="C33" s="0" t="s">
        <v>1423</v>
      </c>
      <c r="D33" s="0" t="n">
        <v>0.046744826272206</v>
      </c>
      <c r="E33" s="0" t="n">
        <v>0.113510046109238</v>
      </c>
      <c r="F33" s="0" t="n">
        <v>0.0712100461092384</v>
      </c>
    </row>
    <row r="34" customFormat="false" ht="15" hidden="false" customHeight="false" outlineLevel="0" collapsed="false">
      <c r="A34" s="0" t="s">
        <v>1444</v>
      </c>
      <c r="B34" s="0" t="s">
        <v>1405</v>
      </c>
      <c r="C34" s="0" t="s">
        <v>1409</v>
      </c>
      <c r="D34" s="0" t="n">
        <v>0.0637247845334774</v>
      </c>
      <c r="E34" s="0" t="n">
        <v>0.139376943200201</v>
      </c>
      <c r="F34" s="0" t="n">
        <v>0.097076943200201</v>
      </c>
    </row>
    <row r="35" customFormat="false" ht="15" hidden="false" customHeight="false" outlineLevel="0" collapsed="false">
      <c r="A35" s="0" t="s">
        <v>1445</v>
      </c>
      <c r="B35" s="0" t="s">
        <v>1446</v>
      </c>
      <c r="C35" s="0" t="s">
        <v>1416</v>
      </c>
      <c r="D35" s="0" t="n">
        <v>0</v>
      </c>
      <c r="E35" s="0" t="n">
        <v>0.0423</v>
      </c>
      <c r="F35" s="0" t="n">
        <v>0</v>
      </c>
    </row>
    <row r="36" customFormat="false" ht="15" hidden="false" customHeight="false" outlineLevel="0" collapsed="false">
      <c r="A36" s="0" t="s">
        <v>1447</v>
      </c>
      <c r="B36" s="0" t="s">
        <v>1405</v>
      </c>
      <c r="C36" s="0" t="s">
        <v>1423</v>
      </c>
      <c r="D36" s="0" t="n">
        <v>0.046744826272206</v>
      </c>
      <c r="E36" s="0" t="n">
        <v>0.113510046109238</v>
      </c>
      <c r="F36" s="0" t="n">
        <v>0.0712100461092384</v>
      </c>
    </row>
    <row r="37" customFormat="false" ht="15" hidden="false" customHeight="false" outlineLevel="0" collapsed="false">
      <c r="A37" s="0" t="s">
        <v>1448</v>
      </c>
      <c r="B37" s="0" t="s">
        <v>1412</v>
      </c>
      <c r="C37" s="0" t="s">
        <v>1430</v>
      </c>
      <c r="D37" s="0" t="n">
        <v>0.00509398747838143</v>
      </c>
      <c r="E37" s="0" t="n">
        <v>0.0500600691272888</v>
      </c>
      <c r="F37" s="0" t="n">
        <v>0.0077600691272888</v>
      </c>
    </row>
    <row r="38" customFormat="false" ht="15" hidden="false" customHeight="false" outlineLevel="0" collapsed="false">
      <c r="A38" s="0" t="s">
        <v>1449</v>
      </c>
      <c r="B38" s="0" t="s">
        <v>1408</v>
      </c>
      <c r="C38" s="0" t="s">
        <v>1434</v>
      </c>
      <c r="D38" s="0" t="n">
        <v>0.00719151173418554</v>
      </c>
      <c r="E38" s="0" t="n">
        <v>0.0532553917091136</v>
      </c>
      <c r="F38" s="0" t="n">
        <v>0.0109553917091136</v>
      </c>
    </row>
    <row r="39" customFormat="false" ht="15" hidden="false" customHeight="false" outlineLevel="0" collapsed="false">
      <c r="A39" s="0" t="s">
        <v>1450</v>
      </c>
      <c r="B39" s="0" t="s">
        <v>1425</v>
      </c>
      <c r="C39" s="0" t="s">
        <v>1451</v>
      </c>
      <c r="D39" s="0" t="n">
        <v>0.00599292644515462</v>
      </c>
      <c r="E39" s="0" t="n">
        <v>0.051429493090928</v>
      </c>
      <c r="F39" s="0" t="n">
        <v>0.009129493090928</v>
      </c>
    </row>
    <row r="40" customFormat="false" ht="15" hidden="false" customHeight="false" outlineLevel="0" collapsed="false">
      <c r="A40" s="0" t="s">
        <v>1452</v>
      </c>
      <c r="B40" s="0" t="s">
        <v>1408</v>
      </c>
      <c r="C40" s="0" t="s">
        <v>1413</v>
      </c>
      <c r="D40" s="0" t="n">
        <v>0.0186779540873986</v>
      </c>
      <c r="E40" s="0" t="n">
        <v>0.0707535868000589</v>
      </c>
      <c r="F40" s="0" t="n">
        <v>0.0284535868000589</v>
      </c>
    </row>
    <row r="41" customFormat="false" ht="15" hidden="false" customHeight="false" outlineLevel="0" collapsed="false">
      <c r="A41" s="0" t="s">
        <v>1453</v>
      </c>
      <c r="B41" s="0" t="s">
        <v>1405</v>
      </c>
      <c r="C41" s="0" t="s">
        <v>1406</v>
      </c>
      <c r="D41" s="0" t="n">
        <v>0.0552348054028417</v>
      </c>
      <c r="E41" s="0" t="n">
        <v>0.12644349465472</v>
      </c>
      <c r="F41" s="0" t="n">
        <v>0.0841434946547197</v>
      </c>
    </row>
    <row r="42" customFormat="false" ht="15" hidden="false" customHeight="false" outlineLevel="0" collapsed="false">
      <c r="A42" s="0" t="s">
        <v>1454</v>
      </c>
      <c r="B42" s="0" t="s">
        <v>1405</v>
      </c>
      <c r="C42" s="0" t="s">
        <v>1455</v>
      </c>
      <c r="D42" s="0" t="n">
        <v>0.0765096942831406</v>
      </c>
      <c r="E42" s="0" t="n">
        <v>0.158853195127514</v>
      </c>
      <c r="F42" s="0" t="n">
        <v>0.116553195127514</v>
      </c>
    </row>
    <row r="43" customFormat="false" ht="15" hidden="false" customHeight="false" outlineLevel="0" collapsed="false">
      <c r="A43" s="0" t="s">
        <v>1456</v>
      </c>
      <c r="B43" s="0" t="s">
        <v>1415</v>
      </c>
      <c r="C43" s="0" t="s">
        <v>1421</v>
      </c>
      <c r="D43" s="0" t="n">
        <v>0.0382548471415703</v>
      </c>
      <c r="E43" s="0" t="n">
        <v>0.100576597563757</v>
      </c>
      <c r="F43" s="0" t="n">
        <v>0.058276597563757</v>
      </c>
    </row>
    <row r="44" customFormat="false" ht="15" hidden="false" customHeight="false" outlineLevel="0" collapsed="false">
      <c r="A44" s="0" t="s">
        <v>1457</v>
      </c>
      <c r="B44" s="0" t="s">
        <v>1408</v>
      </c>
      <c r="C44" s="0" t="s">
        <v>1458</v>
      </c>
      <c r="D44" s="0" t="n">
        <v>0.0255698194993264</v>
      </c>
      <c r="E44" s="0" t="n">
        <v>0.0812525038546261</v>
      </c>
      <c r="F44" s="0" t="n">
        <v>0.0389525038546261</v>
      </c>
    </row>
    <row r="45" customFormat="false" ht="15" hidden="false" customHeight="false" outlineLevel="0" collapsed="false">
      <c r="A45" s="0" t="s">
        <v>1459</v>
      </c>
      <c r="B45" s="0" t="s">
        <v>1405</v>
      </c>
      <c r="C45" s="0" t="s">
        <v>1458</v>
      </c>
      <c r="D45" s="0" t="n">
        <v>0.0255698194993264</v>
      </c>
      <c r="E45" s="0" t="n">
        <v>0.0812525038546261</v>
      </c>
      <c r="F45" s="0" t="n">
        <v>0.0389525038546261</v>
      </c>
    </row>
    <row r="46" customFormat="false" ht="15" hidden="false" customHeight="false" outlineLevel="0" collapsed="false">
      <c r="A46" s="0" t="s">
        <v>1460</v>
      </c>
      <c r="B46" s="0" t="s">
        <v>1399</v>
      </c>
      <c r="C46" s="0" t="s">
        <v>1461</v>
      </c>
      <c r="D46" s="0" t="n">
        <v>0.0101879749567629</v>
      </c>
      <c r="E46" s="0" t="n">
        <v>0.0578201382545776</v>
      </c>
      <c r="F46" s="0" t="n">
        <v>0.0155201382545776</v>
      </c>
    </row>
    <row r="47" customFormat="false" ht="15" hidden="false" customHeight="false" outlineLevel="0" collapsed="false">
      <c r="A47" s="0" t="s">
        <v>1462</v>
      </c>
      <c r="B47" s="0" t="s">
        <v>1412</v>
      </c>
      <c r="C47" s="0" t="s">
        <v>1436</v>
      </c>
      <c r="D47" s="0" t="n">
        <v>0.101979631675048</v>
      </c>
      <c r="E47" s="0" t="n">
        <v>0.197653540763958</v>
      </c>
      <c r="F47" s="0" t="n">
        <v>0.155353540763958</v>
      </c>
    </row>
    <row r="48" customFormat="false" ht="15" hidden="false" customHeight="false" outlineLevel="0" collapsed="false">
      <c r="A48" s="0" t="s">
        <v>1463</v>
      </c>
      <c r="B48" s="0" t="s">
        <v>1412</v>
      </c>
      <c r="C48" s="0" t="s">
        <v>1413</v>
      </c>
      <c r="D48" s="0" t="n">
        <v>0.0186779540873986</v>
      </c>
      <c r="E48" s="0" t="n">
        <v>0.0707535868000589</v>
      </c>
      <c r="F48" s="0" t="n">
        <v>0.0284535868000589</v>
      </c>
    </row>
    <row r="49" customFormat="false" ht="15" hidden="false" customHeight="false" outlineLevel="0" collapsed="false">
      <c r="A49" s="0" t="s">
        <v>1464</v>
      </c>
      <c r="B49" s="0" t="s">
        <v>1402</v>
      </c>
      <c r="C49" s="0" t="s">
        <v>1461</v>
      </c>
      <c r="D49" s="0" t="n">
        <v>0.0101879749567629</v>
      </c>
      <c r="E49" s="0" t="n">
        <v>0.0578201382545776</v>
      </c>
      <c r="F49" s="0" t="n">
        <v>0.0155201382545776</v>
      </c>
    </row>
    <row r="50" customFormat="false" ht="15" hidden="false" customHeight="false" outlineLevel="0" collapsed="false">
      <c r="A50" s="0" t="s">
        <v>1465</v>
      </c>
      <c r="B50" s="0" t="s">
        <v>1399</v>
      </c>
      <c r="C50" s="0" t="s">
        <v>1430</v>
      </c>
      <c r="D50" s="0" t="n">
        <v>0.00509398747838143</v>
      </c>
      <c r="E50" s="0" t="n">
        <v>0.0500600691272888</v>
      </c>
      <c r="F50" s="0" t="n">
        <v>0.0077600691272888</v>
      </c>
    </row>
    <row r="51" customFormat="false" ht="15" hidden="false" customHeight="false" outlineLevel="0" collapsed="false">
      <c r="A51" s="0" t="s">
        <v>1466</v>
      </c>
      <c r="B51" s="0" t="s">
        <v>1402</v>
      </c>
      <c r="C51" s="0" t="s">
        <v>1416</v>
      </c>
      <c r="D51" s="0" t="n">
        <v>0</v>
      </c>
      <c r="E51" s="0" t="n">
        <v>0.0423</v>
      </c>
      <c r="F51" s="0" t="n">
        <v>0</v>
      </c>
    </row>
    <row r="52" customFormat="false" ht="15" hidden="false" customHeight="false" outlineLevel="0" collapsed="false">
      <c r="A52" s="0" t="s">
        <v>1467</v>
      </c>
      <c r="B52" s="0" t="s">
        <v>1412</v>
      </c>
      <c r="C52" s="0" t="s">
        <v>1458</v>
      </c>
      <c r="D52" s="0" t="n">
        <v>0.0255698194993264</v>
      </c>
      <c r="E52" s="0" t="n">
        <v>0.0812525038546261</v>
      </c>
      <c r="F52" s="0" t="n">
        <v>0.0389525038546261</v>
      </c>
    </row>
    <row r="53" customFormat="false" ht="15" hidden="false" customHeight="false" outlineLevel="0" collapsed="false">
      <c r="A53" s="0" t="s">
        <v>1468</v>
      </c>
      <c r="B53" s="0" t="s">
        <v>1408</v>
      </c>
      <c r="C53" s="0" t="s">
        <v>1469</v>
      </c>
      <c r="D53" s="0" t="n">
        <v>0.0849996734137763</v>
      </c>
      <c r="E53" s="0" t="n">
        <v>0.171786643672996</v>
      </c>
      <c r="F53" s="0" t="n">
        <v>0.129486643672995</v>
      </c>
    </row>
    <row r="54" customFormat="false" ht="15" hidden="false" customHeight="false" outlineLevel="0" collapsed="false">
      <c r="A54" s="0" t="s">
        <v>1470</v>
      </c>
      <c r="B54" s="0" t="s">
        <v>1405</v>
      </c>
      <c r="C54" s="0" t="s">
        <v>1409</v>
      </c>
      <c r="D54" s="0" t="n">
        <v>0.0637247845334774</v>
      </c>
      <c r="E54" s="0" t="n">
        <v>0.139376943200201</v>
      </c>
      <c r="F54" s="0" t="n">
        <v>0.097076943200201</v>
      </c>
    </row>
    <row r="55" customFormat="false" ht="15" hidden="false" customHeight="false" outlineLevel="0" collapsed="false">
      <c r="A55" s="0" t="s">
        <v>1471</v>
      </c>
      <c r="B55" s="0" t="s">
        <v>1408</v>
      </c>
      <c r="C55" s="0" t="s">
        <v>1406</v>
      </c>
      <c r="D55" s="0" t="n">
        <v>0.0552348054028417</v>
      </c>
      <c r="E55" s="0" t="n">
        <v>0.12644349465472</v>
      </c>
      <c r="F55" s="0" t="n">
        <v>0.0841434946547197</v>
      </c>
    </row>
    <row r="56" customFormat="false" ht="15" hidden="false" customHeight="false" outlineLevel="0" collapsed="false">
      <c r="A56" s="0" t="s">
        <v>1472</v>
      </c>
      <c r="B56" s="0" t="s">
        <v>1399</v>
      </c>
      <c r="C56" s="0" t="s">
        <v>1451</v>
      </c>
      <c r="D56" s="0" t="n">
        <v>0.00599292644515462</v>
      </c>
      <c r="E56" s="0" t="n">
        <v>0.051429493090928</v>
      </c>
      <c r="F56" s="0" t="n">
        <v>0.009129493090928</v>
      </c>
    </row>
    <row r="57" customFormat="false" ht="15" hidden="false" customHeight="false" outlineLevel="0" collapsed="false">
      <c r="A57" s="0" t="s">
        <v>1473</v>
      </c>
      <c r="B57" s="0" t="s">
        <v>1405</v>
      </c>
      <c r="C57" s="0" t="s">
        <v>1455</v>
      </c>
      <c r="D57" s="0" t="n">
        <v>0.0765096942831406</v>
      </c>
      <c r="E57" s="0" t="n">
        <v>0.158853195127514</v>
      </c>
      <c r="F57" s="0" t="n">
        <v>0.116553195127514</v>
      </c>
    </row>
    <row r="58" customFormat="false" ht="15" hidden="false" customHeight="false" outlineLevel="0" collapsed="false">
      <c r="A58" s="0" t="s">
        <v>1474</v>
      </c>
      <c r="B58" s="0" t="s">
        <v>1425</v>
      </c>
      <c r="C58" s="0" t="s">
        <v>1421</v>
      </c>
      <c r="D58" s="0" t="n">
        <v>0.0382548471415703</v>
      </c>
      <c r="E58" s="0" t="n">
        <v>0.100576597563757</v>
      </c>
      <c r="F58" s="0" t="n">
        <v>0.058276597563757</v>
      </c>
    </row>
    <row r="59" customFormat="false" ht="15" hidden="false" customHeight="false" outlineLevel="0" collapsed="false">
      <c r="A59" s="0" t="s">
        <v>1475</v>
      </c>
      <c r="B59" s="0" t="s">
        <v>1402</v>
      </c>
      <c r="C59" s="0" t="s">
        <v>1418</v>
      </c>
      <c r="D59" s="0" t="n">
        <v>0.00233367916999202</v>
      </c>
      <c r="E59" s="0" t="n">
        <v>0.0458550758137722</v>
      </c>
      <c r="F59" s="0" t="n">
        <v>0.00355507581377216</v>
      </c>
    </row>
    <row r="60" customFormat="false" ht="15" hidden="false" customHeight="false" outlineLevel="0" collapsed="false">
      <c r="A60" s="0" t="s">
        <v>1476</v>
      </c>
      <c r="B60" s="0" t="s">
        <v>1402</v>
      </c>
      <c r="C60" s="0" t="s">
        <v>1430</v>
      </c>
      <c r="D60" s="0" t="n">
        <v>0.00509398747838143</v>
      </c>
      <c r="E60" s="0" t="n">
        <v>0.0500600691272888</v>
      </c>
      <c r="F60" s="0" t="n">
        <v>0.0077600691272888</v>
      </c>
    </row>
    <row r="61" customFormat="false" ht="15" hidden="false" customHeight="false" outlineLevel="0" collapsed="false">
      <c r="A61" s="0" t="s">
        <v>1477</v>
      </c>
      <c r="B61" s="0" t="s">
        <v>1405</v>
      </c>
      <c r="C61" s="0" t="s">
        <v>1455</v>
      </c>
      <c r="D61" s="0" t="n">
        <v>0.0765096942831406</v>
      </c>
      <c r="E61" s="0" t="n">
        <v>0.158853195127514</v>
      </c>
      <c r="F61" s="0" t="n">
        <v>0.116553195127514</v>
      </c>
    </row>
    <row r="62" customFormat="false" ht="15" hidden="false" customHeight="false" outlineLevel="0" collapsed="false">
      <c r="A62" s="0" t="s">
        <v>1478</v>
      </c>
      <c r="B62" s="0" t="s">
        <v>1399</v>
      </c>
      <c r="C62" s="0" t="s">
        <v>1458</v>
      </c>
      <c r="D62" s="0" t="n">
        <v>0.0255698194993264</v>
      </c>
      <c r="E62" s="0" t="n">
        <v>0.0812525038546261</v>
      </c>
      <c r="F62" s="0" t="n">
        <v>0.0389525038546261</v>
      </c>
    </row>
    <row r="63" customFormat="false" ht="15" hidden="false" customHeight="false" outlineLevel="0" collapsed="false">
      <c r="A63" s="0" t="s">
        <v>1479</v>
      </c>
      <c r="B63" s="0" t="s">
        <v>1402</v>
      </c>
      <c r="C63" s="0" t="s">
        <v>1416</v>
      </c>
      <c r="D63" s="0" t="n">
        <v>0</v>
      </c>
      <c r="E63" s="0" t="n">
        <v>0.0423</v>
      </c>
      <c r="F63" s="0" t="n">
        <v>0</v>
      </c>
    </row>
    <row r="64" customFormat="false" ht="15" hidden="false" customHeight="false" outlineLevel="0" collapsed="false">
      <c r="A64" s="0" t="s">
        <v>1480</v>
      </c>
      <c r="B64" s="0" t="s">
        <v>1405</v>
      </c>
      <c r="C64" s="0" t="s">
        <v>1409</v>
      </c>
      <c r="D64" s="0" t="n">
        <v>0.0637247845334774</v>
      </c>
      <c r="E64" s="0" t="n">
        <v>0.139376943200201</v>
      </c>
      <c r="F64" s="0" t="n">
        <v>0.097076943200201</v>
      </c>
    </row>
    <row r="65" customFormat="false" ht="15" hidden="false" customHeight="false" outlineLevel="0" collapsed="false">
      <c r="A65" s="0" t="s">
        <v>1481</v>
      </c>
      <c r="B65" s="0" t="s">
        <v>1402</v>
      </c>
      <c r="C65" s="0" t="s">
        <v>1413</v>
      </c>
      <c r="D65" s="0" t="n">
        <v>0.0186779540873986</v>
      </c>
      <c r="E65" s="0" t="n">
        <v>0.0707535868000589</v>
      </c>
      <c r="F65" s="0" t="n">
        <v>0.0284535868000589</v>
      </c>
    </row>
    <row r="66" customFormat="false" ht="15" hidden="false" customHeight="false" outlineLevel="0" collapsed="false">
      <c r="A66" s="0" t="s">
        <v>1482</v>
      </c>
      <c r="B66" s="0" t="s">
        <v>1408</v>
      </c>
      <c r="C66" s="0" t="s">
        <v>1440</v>
      </c>
      <c r="D66" s="0" t="n">
        <v>0.0212748888802989</v>
      </c>
      <c r="E66" s="0" t="n">
        <v>0.0747097004727944</v>
      </c>
      <c r="F66" s="0" t="n">
        <v>0.0324097004727944</v>
      </c>
    </row>
    <row r="67" customFormat="false" ht="15" hidden="false" customHeight="false" outlineLevel="0" collapsed="false">
      <c r="A67" s="0" t="s">
        <v>1483</v>
      </c>
      <c r="B67" s="0" t="s">
        <v>1402</v>
      </c>
      <c r="C67" s="0" t="s">
        <v>1451</v>
      </c>
      <c r="D67" s="0" t="n">
        <v>0.00599292644515462</v>
      </c>
      <c r="E67" s="0" t="n">
        <v>0.051429493090928</v>
      </c>
      <c r="F67" s="0" t="n">
        <v>0.009129493090928</v>
      </c>
    </row>
    <row r="68" customFormat="false" ht="15" hidden="false" customHeight="false" outlineLevel="0" collapsed="false">
      <c r="A68" s="0" t="s">
        <v>1484</v>
      </c>
      <c r="B68" s="0" t="s">
        <v>1408</v>
      </c>
      <c r="C68" s="0" t="s">
        <v>1421</v>
      </c>
      <c r="D68" s="0" t="n">
        <v>0.0382548471415703</v>
      </c>
      <c r="E68" s="0" t="n">
        <v>0.100576597563757</v>
      </c>
      <c r="F68" s="0" t="n">
        <v>0.058276597563757</v>
      </c>
    </row>
    <row r="69" customFormat="false" ht="15" hidden="false" customHeight="false" outlineLevel="0" collapsed="false">
      <c r="A69" s="0" t="s">
        <v>1485</v>
      </c>
      <c r="B69" s="0" t="s">
        <v>1425</v>
      </c>
      <c r="C69" s="0" t="s">
        <v>1430</v>
      </c>
      <c r="D69" s="0" t="n">
        <v>0.00509398747838143</v>
      </c>
      <c r="E69" s="0" t="n">
        <v>0.0500600691272888</v>
      </c>
      <c r="F69" s="0" t="n">
        <v>0.0077600691272888</v>
      </c>
    </row>
    <row r="70" customFormat="false" ht="15" hidden="false" customHeight="false" outlineLevel="0" collapsed="false">
      <c r="A70" s="0" t="s">
        <v>1486</v>
      </c>
      <c r="B70" s="0" t="s">
        <v>1399</v>
      </c>
      <c r="C70" s="0" t="s">
        <v>1487</v>
      </c>
      <c r="D70" s="0" t="n">
        <v>0.0161809014019175</v>
      </c>
      <c r="E70" s="0" t="n">
        <v>0.0669496313455056</v>
      </c>
      <c r="F70" s="0" t="n">
        <v>0.0246496313455056</v>
      </c>
    </row>
    <row r="71" customFormat="false" ht="15" hidden="false" customHeight="false" outlineLevel="0" collapsed="false">
      <c r="A71" s="0" t="s">
        <v>1488</v>
      </c>
      <c r="B71" s="0" t="s">
        <v>1402</v>
      </c>
      <c r="C71" s="0" t="s">
        <v>1451</v>
      </c>
      <c r="D71" s="0" t="n">
        <v>0.00599292644515462</v>
      </c>
      <c r="E71" s="0" t="n">
        <v>0.051429493090928</v>
      </c>
      <c r="F71" s="0" t="n">
        <v>0.009129493090928</v>
      </c>
    </row>
    <row r="72" customFormat="false" ht="15" hidden="false" customHeight="false" outlineLevel="0" collapsed="false">
      <c r="A72" s="0" t="s">
        <v>468</v>
      </c>
      <c r="B72" s="0" t="s">
        <v>1425</v>
      </c>
      <c r="C72" s="0" t="s">
        <v>1413</v>
      </c>
      <c r="D72" s="0" t="n">
        <v>0.0186779540873986</v>
      </c>
      <c r="E72" s="0" t="n">
        <v>0.0707535868000589</v>
      </c>
      <c r="F72" s="0" t="n">
        <v>0.0284535868000589</v>
      </c>
    </row>
    <row r="73" customFormat="false" ht="15" hidden="false" customHeight="false" outlineLevel="0" collapsed="false">
      <c r="A73" s="0" t="s">
        <v>1489</v>
      </c>
      <c r="B73" s="0" t="s">
        <v>1425</v>
      </c>
      <c r="C73" s="0" t="s">
        <v>1487</v>
      </c>
      <c r="D73" s="0" t="n">
        <v>0.0161809014019175</v>
      </c>
      <c r="E73" s="0" t="n">
        <v>0.0669496313455056</v>
      </c>
      <c r="F73" s="0" t="n">
        <v>0.0246496313455056</v>
      </c>
    </row>
    <row r="74" customFormat="false" ht="15" hidden="false" customHeight="false" outlineLevel="0" collapsed="false">
      <c r="A74" s="0" t="s">
        <v>1490</v>
      </c>
      <c r="B74" s="0" t="s">
        <v>1396</v>
      </c>
      <c r="C74" s="0" t="s">
        <v>1409</v>
      </c>
      <c r="D74" s="0" t="n">
        <v>0.0637247845334774</v>
      </c>
      <c r="E74" s="0" t="n">
        <v>0.139376943200201</v>
      </c>
      <c r="F74" s="0" t="n">
        <v>0.097076943200201</v>
      </c>
    </row>
    <row r="75" customFormat="false" ht="15" hidden="false" customHeight="false" outlineLevel="0" collapsed="false">
      <c r="A75" s="0" t="s">
        <v>1491</v>
      </c>
      <c r="B75" s="0" t="s">
        <v>1402</v>
      </c>
      <c r="C75" s="0" t="s">
        <v>1430</v>
      </c>
      <c r="D75" s="0" t="n">
        <v>0.00509398747838143</v>
      </c>
      <c r="E75" s="0" t="n">
        <v>0.0500600691272888</v>
      </c>
      <c r="F75" s="0" t="n">
        <v>0.0077600691272888</v>
      </c>
    </row>
    <row r="76" customFormat="false" ht="15" hidden="false" customHeight="false" outlineLevel="0" collapsed="false">
      <c r="A76" s="0" t="s">
        <v>1492</v>
      </c>
      <c r="B76" s="0" t="s">
        <v>1402</v>
      </c>
      <c r="C76" s="0" t="s">
        <v>1430</v>
      </c>
      <c r="D76" s="0" t="n">
        <v>0.00509398747838143</v>
      </c>
      <c r="E76" s="0" t="n">
        <v>0.0500600691272888</v>
      </c>
      <c r="F76" s="0" t="n">
        <v>0.0077600691272888</v>
      </c>
    </row>
    <row r="77" customFormat="false" ht="15" hidden="false" customHeight="false" outlineLevel="0" collapsed="false">
      <c r="A77" s="0" t="s">
        <v>1493</v>
      </c>
      <c r="B77" s="0" t="s">
        <v>1396</v>
      </c>
      <c r="C77" s="0" t="s">
        <v>1403</v>
      </c>
      <c r="D77" s="0" t="n">
        <v>0.0135839666090171</v>
      </c>
      <c r="E77" s="0" t="n">
        <v>0.0629935176727701</v>
      </c>
      <c r="F77" s="0" t="n">
        <v>0.0206935176727701</v>
      </c>
    </row>
    <row r="78" customFormat="false" ht="15" hidden="false" customHeight="false" outlineLevel="0" collapsed="false">
      <c r="A78" s="0" t="s">
        <v>1494</v>
      </c>
      <c r="B78" s="0" t="s">
        <v>1402</v>
      </c>
      <c r="C78" s="0" t="s">
        <v>1487</v>
      </c>
      <c r="D78" s="0" t="n">
        <v>0.0161809014019175</v>
      </c>
      <c r="E78" s="0" t="n">
        <v>0.0669496313455056</v>
      </c>
      <c r="F78" s="0" t="n">
        <v>0.0246496313455056</v>
      </c>
    </row>
    <row r="79" customFormat="false" ht="15" hidden="false" customHeight="false" outlineLevel="0" collapsed="false">
      <c r="A79" s="0" t="s">
        <v>1495</v>
      </c>
      <c r="B79" s="0" t="s">
        <v>1412</v>
      </c>
      <c r="C79" s="0" t="s">
        <v>1400</v>
      </c>
      <c r="D79" s="0" t="n">
        <v>0.0305639248702886</v>
      </c>
      <c r="E79" s="0" t="n">
        <v>0.0888604147637328</v>
      </c>
      <c r="F79" s="0" t="n">
        <v>0.0465604147637328</v>
      </c>
    </row>
    <row r="80" customFormat="false" ht="15" hidden="false" customHeight="false" outlineLevel="0" collapsed="false">
      <c r="A80" s="0" t="s">
        <v>1496</v>
      </c>
      <c r="B80" s="0" t="s">
        <v>1425</v>
      </c>
      <c r="C80" s="0" t="s">
        <v>1451</v>
      </c>
      <c r="D80" s="0" t="n">
        <v>0.00599292644515462</v>
      </c>
      <c r="E80" s="0" t="n">
        <v>0.051429493090928</v>
      </c>
      <c r="F80" s="0" t="n">
        <v>0.009129493090928</v>
      </c>
    </row>
    <row r="81" customFormat="false" ht="15" hidden="false" customHeight="false" outlineLevel="0" collapsed="false">
      <c r="A81" s="0" t="s">
        <v>1497</v>
      </c>
      <c r="B81" s="0" t="s">
        <v>1402</v>
      </c>
      <c r="C81" s="0" t="s">
        <v>1430</v>
      </c>
      <c r="D81" s="0" t="n">
        <v>0.00509398747838143</v>
      </c>
      <c r="E81" s="0" t="n">
        <v>0.0500600691272888</v>
      </c>
      <c r="F81" s="0" t="n">
        <v>0.0077600691272888</v>
      </c>
    </row>
    <row r="82" customFormat="false" ht="15" hidden="false" customHeight="false" outlineLevel="0" collapsed="false">
      <c r="A82" s="0" t="s">
        <v>1498</v>
      </c>
      <c r="B82" s="0" t="s">
        <v>1396</v>
      </c>
      <c r="C82" s="0" t="s">
        <v>1400</v>
      </c>
      <c r="D82" s="0" t="n">
        <v>0.0305639248702886</v>
      </c>
      <c r="E82" s="0" t="n">
        <v>0.0888604147637328</v>
      </c>
      <c r="F82" s="0" t="n">
        <v>0.0465604147637328</v>
      </c>
    </row>
    <row r="83" customFormat="false" ht="15" hidden="false" customHeight="false" outlineLevel="0" collapsed="false">
      <c r="A83" s="0" t="s">
        <v>1499</v>
      </c>
      <c r="B83" s="0" t="s">
        <v>1399</v>
      </c>
      <c r="C83" s="0" t="s">
        <v>1403</v>
      </c>
      <c r="D83" s="0" t="n">
        <v>0.0135839666090171</v>
      </c>
      <c r="E83" s="0" t="n">
        <v>0.0629935176727701</v>
      </c>
      <c r="F83" s="0" t="n">
        <v>0.0206935176727701</v>
      </c>
    </row>
    <row r="84" customFormat="false" ht="15" hidden="false" customHeight="false" outlineLevel="0" collapsed="false">
      <c r="A84" s="0" t="s">
        <v>1500</v>
      </c>
      <c r="B84" s="0" t="s">
        <v>1405</v>
      </c>
      <c r="C84" s="0" t="s">
        <v>1406</v>
      </c>
      <c r="D84" s="0" t="n">
        <v>0.0552348054028417</v>
      </c>
      <c r="E84" s="0" t="n">
        <v>0.12644349465472</v>
      </c>
      <c r="F84" s="0" t="n">
        <v>0.0841434946547197</v>
      </c>
    </row>
    <row r="85" customFormat="false" ht="15" hidden="false" customHeight="false" outlineLevel="0" collapsed="false">
      <c r="A85" s="0" t="s">
        <v>1501</v>
      </c>
      <c r="B85" s="0" t="s">
        <v>1425</v>
      </c>
      <c r="C85" s="0" t="s">
        <v>1397</v>
      </c>
      <c r="D85" s="0" t="n">
        <v>0.00419504851160823</v>
      </c>
      <c r="E85" s="0" t="n">
        <v>0.0486906451636496</v>
      </c>
      <c r="F85" s="0" t="n">
        <v>0.0063906451636496</v>
      </c>
    </row>
    <row r="86" customFormat="false" ht="15" hidden="false" customHeight="false" outlineLevel="0" collapsed="false">
      <c r="A86" s="0" t="s">
        <v>1502</v>
      </c>
      <c r="B86" s="0" t="s">
        <v>1396</v>
      </c>
      <c r="C86" s="0" t="s">
        <v>1451</v>
      </c>
      <c r="D86" s="0" t="n">
        <v>0.00599292644515462</v>
      </c>
      <c r="E86" s="0" t="n">
        <v>0.051429493090928</v>
      </c>
      <c r="F86" s="0" t="n">
        <v>0.009129493090928</v>
      </c>
    </row>
    <row r="87" customFormat="false" ht="15" hidden="false" customHeight="false" outlineLevel="0" collapsed="false">
      <c r="A87" s="0" t="s">
        <v>1503</v>
      </c>
      <c r="B87" s="0" t="s">
        <v>1399</v>
      </c>
      <c r="C87" s="0" t="s">
        <v>1406</v>
      </c>
      <c r="D87" s="0" t="n">
        <v>0.0552348054028417</v>
      </c>
      <c r="E87" s="0" t="n">
        <v>0.12644349465472</v>
      </c>
      <c r="F87" s="0" t="n">
        <v>0.0841434946547197</v>
      </c>
    </row>
    <row r="88" customFormat="false" ht="15" hidden="false" customHeight="false" outlineLevel="0" collapsed="false">
      <c r="A88" s="0" t="s">
        <v>1504</v>
      </c>
      <c r="B88" s="0" t="s">
        <v>1425</v>
      </c>
      <c r="C88" s="0" t="s">
        <v>1455</v>
      </c>
      <c r="D88" s="0" t="n">
        <v>0.0765096942831406</v>
      </c>
      <c r="E88" s="0" t="n">
        <v>0.158853195127514</v>
      </c>
      <c r="F88" s="0" t="n">
        <v>0.116553195127514</v>
      </c>
    </row>
    <row r="89" customFormat="false" ht="15" hidden="false" customHeight="false" outlineLevel="0" collapsed="false">
      <c r="A89" s="0" t="s">
        <v>1505</v>
      </c>
      <c r="B89" s="0" t="s">
        <v>1399</v>
      </c>
      <c r="C89" s="0" t="s">
        <v>1461</v>
      </c>
      <c r="D89" s="0" t="n">
        <v>0.0101879749567629</v>
      </c>
      <c r="E89" s="0" t="n">
        <v>0.0578201382545776</v>
      </c>
      <c r="F89" s="0" t="n">
        <v>0.0155201382545776</v>
      </c>
    </row>
    <row r="90" customFormat="false" ht="15" hidden="false" customHeight="false" outlineLevel="0" collapsed="false">
      <c r="A90" s="0" t="s">
        <v>1506</v>
      </c>
      <c r="B90" s="0" t="s">
        <v>1396</v>
      </c>
      <c r="C90" s="0" t="s">
        <v>1428</v>
      </c>
      <c r="D90" s="0" t="n">
        <v>0.175</v>
      </c>
      <c r="E90" s="0" t="n">
        <v>0.30889117303269</v>
      </c>
      <c r="F90" s="0" t="n">
        <v>0.26659117303269</v>
      </c>
    </row>
    <row r="91" customFormat="false" ht="15" hidden="false" customHeight="false" outlineLevel="0" collapsed="false">
      <c r="A91" s="0" t="s">
        <v>1507</v>
      </c>
      <c r="B91" s="0" t="s">
        <v>1402</v>
      </c>
      <c r="C91" s="0" t="s">
        <v>1416</v>
      </c>
      <c r="D91" s="0" t="n">
        <v>0</v>
      </c>
      <c r="E91" s="0" t="n">
        <v>0.0423</v>
      </c>
      <c r="F91" s="0" t="n">
        <v>0</v>
      </c>
    </row>
    <row r="92" customFormat="false" ht="15" hidden="false" customHeight="false" outlineLevel="0" collapsed="false">
      <c r="A92" s="0" t="s">
        <v>1508</v>
      </c>
      <c r="B92" s="0" t="s">
        <v>1399</v>
      </c>
      <c r="C92" s="0" t="s">
        <v>1434</v>
      </c>
      <c r="D92" s="0" t="n">
        <v>0.00719151173418554</v>
      </c>
      <c r="E92" s="0" t="n">
        <v>0.0532553917091136</v>
      </c>
      <c r="F92" s="0" t="n">
        <v>0.0109553917091136</v>
      </c>
    </row>
    <row r="93" customFormat="false" ht="15" hidden="false" customHeight="false" outlineLevel="0" collapsed="false">
      <c r="A93" s="0" t="s">
        <v>1509</v>
      </c>
      <c r="B93" s="0" t="s">
        <v>1402</v>
      </c>
      <c r="C93" s="0" t="s">
        <v>1416</v>
      </c>
      <c r="D93" s="0" t="n">
        <v>0</v>
      </c>
      <c r="E93" s="0" t="n">
        <v>0.0423</v>
      </c>
      <c r="F93" s="0" t="n">
        <v>0</v>
      </c>
    </row>
    <row r="94" customFormat="false" ht="15" hidden="false" customHeight="false" outlineLevel="0" collapsed="false">
      <c r="A94" s="0" t="s">
        <v>1510</v>
      </c>
      <c r="B94" s="0" t="s">
        <v>1425</v>
      </c>
      <c r="C94" s="0" t="s">
        <v>1430</v>
      </c>
      <c r="D94" s="0" t="n">
        <v>0.00509398747838143</v>
      </c>
      <c r="E94" s="0" t="n">
        <v>0.0500600691272888</v>
      </c>
      <c r="F94" s="0" t="n">
        <v>0.0077600691272888</v>
      </c>
    </row>
    <row r="95" customFormat="false" ht="15" hidden="false" customHeight="false" outlineLevel="0" collapsed="false">
      <c r="A95" s="0" t="s">
        <v>1511</v>
      </c>
      <c r="B95" s="0" t="s">
        <v>1399</v>
      </c>
      <c r="C95" s="0" t="s">
        <v>1400</v>
      </c>
      <c r="D95" s="0" t="n">
        <v>0.0305639248702886</v>
      </c>
      <c r="E95" s="0" t="n">
        <v>0.0888604147637328</v>
      </c>
      <c r="F95" s="0" t="n">
        <v>0.0465604147637328</v>
      </c>
    </row>
    <row r="96" customFormat="false" ht="15" hidden="false" customHeight="false" outlineLevel="0" collapsed="false">
      <c r="A96" s="0" t="s">
        <v>1512</v>
      </c>
      <c r="B96" s="0" t="s">
        <v>1425</v>
      </c>
      <c r="C96" s="0" t="s">
        <v>1461</v>
      </c>
      <c r="D96" s="0" t="n">
        <v>0.0101879749567629</v>
      </c>
      <c r="E96" s="0" t="n">
        <v>0.0578201382545776</v>
      </c>
      <c r="F96" s="0" t="n">
        <v>0.0155201382545776</v>
      </c>
    </row>
    <row r="97" customFormat="false" ht="15" hidden="false" customHeight="false" outlineLevel="0" collapsed="false">
      <c r="A97" s="0" t="s">
        <v>1513</v>
      </c>
      <c r="B97" s="0" t="s">
        <v>1425</v>
      </c>
      <c r="C97" s="0" t="s">
        <v>1455</v>
      </c>
      <c r="D97" s="0" t="n">
        <v>0.0765096942831406</v>
      </c>
      <c r="E97" s="0" t="n">
        <v>0.158853195127514</v>
      </c>
      <c r="F97" s="0" t="n">
        <v>0.116553195127514</v>
      </c>
    </row>
    <row r="98" customFormat="false" ht="15" hidden="false" customHeight="false" outlineLevel="0" collapsed="false">
      <c r="A98" s="0" t="s">
        <v>1514</v>
      </c>
      <c r="B98" s="0" t="s">
        <v>1405</v>
      </c>
      <c r="C98" s="0" t="s">
        <v>1455</v>
      </c>
      <c r="D98" s="0" t="n">
        <v>0.0765096942831406</v>
      </c>
      <c r="E98" s="0" t="n">
        <v>0.158853195127514</v>
      </c>
      <c r="F98" s="0" t="n">
        <v>0.116553195127514</v>
      </c>
    </row>
    <row r="99" customFormat="false" ht="15" hidden="false" customHeight="false" outlineLevel="0" collapsed="false">
      <c r="A99" s="0" t="s">
        <v>1515</v>
      </c>
      <c r="B99" s="0" t="s">
        <v>1402</v>
      </c>
      <c r="C99" s="0" t="s">
        <v>1434</v>
      </c>
      <c r="D99" s="0" t="n">
        <v>0.00719151173418554</v>
      </c>
      <c r="E99" s="0" t="n">
        <v>0.0532553917091136</v>
      </c>
      <c r="F99" s="0" t="n">
        <v>0.0109553917091136</v>
      </c>
    </row>
    <row r="100" customFormat="false" ht="15" hidden="false" customHeight="false" outlineLevel="0" collapsed="false">
      <c r="A100" s="0" t="s">
        <v>1516</v>
      </c>
      <c r="B100" s="0" t="s">
        <v>1405</v>
      </c>
      <c r="C100" s="0" t="s">
        <v>1413</v>
      </c>
      <c r="D100" s="0" t="n">
        <v>0.0186779540873986</v>
      </c>
      <c r="E100" s="0" t="n">
        <v>0.0707535868000589</v>
      </c>
      <c r="F100" s="0" t="n">
        <v>0.0284535868000589</v>
      </c>
    </row>
    <row r="101" customFormat="false" ht="15" hidden="false" customHeight="false" outlineLevel="0" collapsed="false">
      <c r="A101" s="0" t="s">
        <v>1517</v>
      </c>
      <c r="B101" s="0" t="s">
        <v>1408</v>
      </c>
      <c r="C101" s="0" t="s">
        <v>1487</v>
      </c>
      <c r="D101" s="0" t="n">
        <v>0.0161809014019175</v>
      </c>
      <c r="E101" s="0" t="n">
        <v>0.0669496313455056</v>
      </c>
      <c r="F101" s="0" t="n">
        <v>0.0246496313455056</v>
      </c>
    </row>
    <row r="102" customFormat="false" ht="15" hidden="false" customHeight="false" outlineLevel="0" collapsed="false">
      <c r="A102" s="0" t="s">
        <v>1518</v>
      </c>
      <c r="B102" s="0" t="s">
        <v>1399</v>
      </c>
      <c r="C102" s="0" t="s">
        <v>1406</v>
      </c>
      <c r="D102" s="0" t="n">
        <v>0.0552348054028417</v>
      </c>
      <c r="E102" s="0" t="n">
        <v>0.12644349465472</v>
      </c>
      <c r="F102" s="0" t="n">
        <v>0.0841434946547197</v>
      </c>
    </row>
    <row r="103" customFormat="false" ht="15" hidden="false" customHeight="false" outlineLevel="0" collapsed="false">
      <c r="A103" s="0" t="s">
        <v>1519</v>
      </c>
      <c r="B103" s="0" t="s">
        <v>1425</v>
      </c>
      <c r="C103" s="0" t="s">
        <v>1421</v>
      </c>
      <c r="D103" s="0" t="n">
        <v>0.0382548471415703</v>
      </c>
      <c r="E103" s="0" t="n">
        <v>0.100576597563757</v>
      </c>
      <c r="F103" s="0" t="n">
        <v>0.058276597563757</v>
      </c>
    </row>
    <row r="104" customFormat="false" ht="15" hidden="false" customHeight="false" outlineLevel="0" collapsed="false">
      <c r="A104" s="0" t="s">
        <v>1520</v>
      </c>
      <c r="B104" s="0" t="s">
        <v>1399</v>
      </c>
      <c r="C104" s="0" t="s">
        <v>1421</v>
      </c>
      <c r="D104" s="0" t="n">
        <v>0.0382548471415703</v>
      </c>
      <c r="E104" s="0" t="n">
        <v>0.100576597563757</v>
      </c>
      <c r="F104" s="0" t="n">
        <v>0.058276597563757</v>
      </c>
    </row>
    <row r="105" customFormat="false" ht="15" hidden="false" customHeight="false" outlineLevel="0" collapsed="false">
      <c r="A105" s="0" t="s">
        <v>1521</v>
      </c>
      <c r="B105" s="0" t="s">
        <v>1412</v>
      </c>
      <c r="C105" s="0" t="s">
        <v>1413</v>
      </c>
      <c r="D105" s="0" t="n">
        <v>0.0186779540873986</v>
      </c>
      <c r="E105" s="0" t="n">
        <v>0.0707535868000589</v>
      </c>
      <c r="F105" s="0" t="n">
        <v>0.0284535868000589</v>
      </c>
    </row>
    <row r="106" customFormat="false" ht="15" hidden="false" customHeight="false" outlineLevel="0" collapsed="false">
      <c r="A106" s="0" t="s">
        <v>1522</v>
      </c>
      <c r="B106" s="0" t="s">
        <v>1405</v>
      </c>
      <c r="C106" s="0" t="s">
        <v>1440</v>
      </c>
      <c r="D106" s="0" t="n">
        <v>0.0212748888802989</v>
      </c>
      <c r="E106" s="0" t="n">
        <v>0.0747097004727944</v>
      </c>
      <c r="F106" s="0" t="n">
        <v>0.0324097004727944</v>
      </c>
    </row>
    <row r="107" customFormat="false" ht="15" hidden="false" customHeight="false" outlineLevel="0" collapsed="false">
      <c r="A107" s="0" t="s">
        <v>1523</v>
      </c>
      <c r="B107" s="0" t="s">
        <v>1405</v>
      </c>
      <c r="C107" s="0" t="s">
        <v>1469</v>
      </c>
      <c r="D107" s="0" t="n">
        <v>0.0849996734137763</v>
      </c>
      <c r="E107" s="0" t="n">
        <v>0.171786643672996</v>
      </c>
      <c r="F107" s="0" t="n">
        <v>0.129486643672995</v>
      </c>
    </row>
    <row r="108" customFormat="false" ht="15" hidden="false" customHeight="false" outlineLevel="0" collapsed="false">
      <c r="A108" s="0" t="s">
        <v>1524</v>
      </c>
      <c r="B108" s="0" t="s">
        <v>1405</v>
      </c>
      <c r="C108" s="0" t="s">
        <v>1421</v>
      </c>
      <c r="D108" s="0" t="n">
        <v>0.0382548471415703</v>
      </c>
      <c r="E108" s="0" t="n">
        <v>0.100576597563757</v>
      </c>
      <c r="F108" s="0" t="n">
        <v>0.058276597563757</v>
      </c>
    </row>
    <row r="109" customFormat="false" ht="15" hidden="false" customHeight="false" outlineLevel="0" collapsed="false">
      <c r="A109" s="0" t="s">
        <v>1525</v>
      </c>
      <c r="B109" s="0" t="s">
        <v>1425</v>
      </c>
      <c r="C109" s="0" t="s">
        <v>1400</v>
      </c>
      <c r="D109" s="0" t="n">
        <v>0.0305639248702886</v>
      </c>
      <c r="E109" s="0" t="n">
        <v>0.0888604147637328</v>
      </c>
      <c r="F109" s="0" t="n">
        <v>0.0465604147637328</v>
      </c>
    </row>
    <row r="110" customFormat="false" ht="15" hidden="false" customHeight="false" outlineLevel="0" collapsed="false">
      <c r="A110" s="0" t="s">
        <v>1526</v>
      </c>
      <c r="B110" s="0" t="s">
        <v>1402</v>
      </c>
      <c r="C110" s="0" t="s">
        <v>1416</v>
      </c>
      <c r="D110" s="0" t="n">
        <v>0</v>
      </c>
      <c r="E110" s="0" t="n">
        <v>0.0423</v>
      </c>
      <c r="F110" s="0" t="n">
        <v>0</v>
      </c>
    </row>
    <row r="111" customFormat="false" ht="15" hidden="false" customHeight="false" outlineLevel="0" collapsed="false">
      <c r="A111" s="0" t="s">
        <v>1527</v>
      </c>
      <c r="B111" s="0" t="s">
        <v>1415</v>
      </c>
      <c r="C111" s="0" t="s">
        <v>1416</v>
      </c>
      <c r="D111" s="0" t="n">
        <v>0</v>
      </c>
      <c r="E111" s="0" t="n">
        <v>0.0423</v>
      </c>
      <c r="F111" s="0" t="n">
        <v>0</v>
      </c>
    </row>
    <row r="112" customFormat="false" ht="15" hidden="false" customHeight="false" outlineLevel="0" collapsed="false">
      <c r="A112" s="0" t="s">
        <v>1528</v>
      </c>
      <c r="B112" s="0" t="s">
        <v>1408</v>
      </c>
      <c r="C112" s="0" t="s">
        <v>1423</v>
      </c>
      <c r="D112" s="0" t="n">
        <v>0.046744826272206</v>
      </c>
      <c r="E112" s="0" t="n">
        <v>0.113510046109238</v>
      </c>
      <c r="F112" s="0" t="n">
        <v>0.0712100461092384</v>
      </c>
    </row>
    <row r="113" customFormat="false" ht="15" hidden="false" customHeight="false" outlineLevel="0" collapsed="false">
      <c r="A113" s="0" t="s">
        <v>1529</v>
      </c>
      <c r="B113" s="0" t="s">
        <v>1405</v>
      </c>
      <c r="C113" s="0" t="s">
        <v>1469</v>
      </c>
      <c r="D113" s="0" t="n">
        <v>0.0849996734137763</v>
      </c>
      <c r="E113" s="0" t="n">
        <v>0.171786643672996</v>
      </c>
      <c r="F113" s="0" t="n">
        <v>0.129486643672995</v>
      </c>
    </row>
    <row r="114" customFormat="false" ht="15" hidden="false" customHeight="false" outlineLevel="0" collapsed="false">
      <c r="A114" s="0" t="s">
        <v>1530</v>
      </c>
      <c r="B114" s="0" t="s">
        <v>1405</v>
      </c>
      <c r="C114" s="0" t="s">
        <v>1406</v>
      </c>
      <c r="D114" s="0" t="n">
        <v>0.0552348054028417</v>
      </c>
      <c r="E114" s="0" t="n">
        <v>0.12644349465472</v>
      </c>
      <c r="F114" s="0" t="n">
        <v>0.0841434946547197</v>
      </c>
    </row>
    <row r="115" customFormat="false" ht="15" hidden="false" customHeight="false" outlineLevel="0" collapsed="false">
      <c r="A115" s="0" t="s">
        <v>1531</v>
      </c>
      <c r="B115" s="0" t="s">
        <v>1402</v>
      </c>
      <c r="C115" s="0" t="s">
        <v>1416</v>
      </c>
      <c r="D115" s="0" t="n">
        <v>0</v>
      </c>
      <c r="E115" s="0" t="n">
        <v>0.0423</v>
      </c>
      <c r="F115" s="0" t="n">
        <v>0</v>
      </c>
    </row>
    <row r="116" customFormat="false" ht="15" hidden="false" customHeight="false" outlineLevel="0" collapsed="false">
      <c r="A116" s="0" t="s">
        <v>1532</v>
      </c>
      <c r="B116" s="0" t="s">
        <v>1396</v>
      </c>
      <c r="C116" s="0" t="s">
        <v>1413</v>
      </c>
      <c r="D116" s="0" t="n">
        <v>0.0186779540873986</v>
      </c>
      <c r="E116" s="0" t="n">
        <v>0.0707535868000589</v>
      </c>
      <c r="F116" s="0" t="n">
        <v>0.0284535868000589</v>
      </c>
    </row>
    <row r="117" customFormat="false" ht="15" hidden="false" customHeight="false" outlineLevel="0" collapsed="false">
      <c r="A117" s="0" t="s">
        <v>1533</v>
      </c>
      <c r="B117" s="0" t="s">
        <v>1425</v>
      </c>
      <c r="C117" s="0" t="s">
        <v>1409</v>
      </c>
      <c r="D117" s="0" t="n">
        <v>0.0637247845334774</v>
      </c>
      <c r="E117" s="0" t="n">
        <v>0.139376943200201</v>
      </c>
      <c r="F117" s="0" t="n">
        <v>0.097076943200201</v>
      </c>
    </row>
    <row r="118" customFormat="false" ht="15" hidden="false" customHeight="false" outlineLevel="0" collapsed="false">
      <c r="A118" s="0" t="s">
        <v>1534</v>
      </c>
      <c r="B118" s="0" t="s">
        <v>1408</v>
      </c>
      <c r="C118" s="0" t="s">
        <v>1413</v>
      </c>
      <c r="D118" s="0" t="n">
        <v>0.0186779540873986</v>
      </c>
      <c r="E118" s="0" t="n">
        <v>0.0707535868000589</v>
      </c>
      <c r="F118" s="0" t="n">
        <v>0.0284535868000589</v>
      </c>
    </row>
    <row r="119" customFormat="false" ht="15" hidden="false" customHeight="false" outlineLevel="0" collapsed="false">
      <c r="A119" s="0" t="s">
        <v>1535</v>
      </c>
      <c r="B119" s="0" t="s">
        <v>1425</v>
      </c>
      <c r="C119" s="0" t="s">
        <v>1423</v>
      </c>
      <c r="D119" s="0" t="n">
        <v>0.046744826272206</v>
      </c>
      <c r="E119" s="0" t="n">
        <v>0.113510046109238</v>
      </c>
      <c r="F119" s="0" t="n">
        <v>0.0712100461092384</v>
      </c>
    </row>
    <row r="120" customFormat="false" ht="15" hidden="false" customHeight="false" outlineLevel="0" collapsed="false">
      <c r="A120" s="0" t="s">
        <v>1536</v>
      </c>
      <c r="B120" s="0" t="s">
        <v>1408</v>
      </c>
      <c r="C120" s="0" t="s">
        <v>1413</v>
      </c>
      <c r="D120" s="0" t="n">
        <v>0.0186779540873986</v>
      </c>
      <c r="E120" s="0" t="n">
        <v>0.0707535868000589</v>
      </c>
      <c r="F120" s="0" t="n">
        <v>0.0284535868000589</v>
      </c>
    </row>
    <row r="121" customFormat="false" ht="15" hidden="false" customHeight="false" outlineLevel="0" collapsed="false">
      <c r="A121" s="0" t="s">
        <v>1537</v>
      </c>
      <c r="B121" s="0" t="s">
        <v>1408</v>
      </c>
      <c r="C121" s="0" t="s">
        <v>1403</v>
      </c>
      <c r="D121" s="0" t="n">
        <v>0.0135839666090171</v>
      </c>
      <c r="E121" s="0" t="n">
        <v>0.0629935176727701</v>
      </c>
      <c r="F121" s="0" t="n">
        <v>0.0206935176727701</v>
      </c>
    </row>
    <row r="122" customFormat="false" ht="15" hidden="false" customHeight="false" outlineLevel="0" collapsed="false">
      <c r="A122" s="0" t="s">
        <v>1538</v>
      </c>
      <c r="B122" s="0" t="s">
        <v>1425</v>
      </c>
      <c r="C122" s="0" t="s">
        <v>1487</v>
      </c>
      <c r="D122" s="0" t="n">
        <v>0.0161809014019175</v>
      </c>
      <c r="E122" s="0" t="n">
        <v>0.0669496313455056</v>
      </c>
      <c r="F122" s="0" t="n">
        <v>0.0246496313455056</v>
      </c>
    </row>
    <row r="123" customFormat="false" ht="15" hidden="false" customHeight="false" outlineLevel="0" collapsed="false">
      <c r="A123" s="0" t="s">
        <v>1539</v>
      </c>
      <c r="B123" s="0" t="s">
        <v>1399</v>
      </c>
      <c r="C123" s="0" t="s">
        <v>1434</v>
      </c>
      <c r="D123" s="0" t="n">
        <v>0.00719151173418554</v>
      </c>
      <c r="E123" s="0" t="n">
        <v>0.0532553917091136</v>
      </c>
      <c r="F123" s="0" t="n">
        <v>0.0109553917091136</v>
      </c>
    </row>
    <row r="124" customFormat="false" ht="15" hidden="false" customHeight="false" outlineLevel="0" collapsed="false">
      <c r="A124" s="0" t="s">
        <v>1540</v>
      </c>
      <c r="B124" s="0" t="s">
        <v>1402</v>
      </c>
      <c r="C124" s="0" t="s">
        <v>1461</v>
      </c>
      <c r="D124" s="0" t="n">
        <v>0.0101879749567629</v>
      </c>
      <c r="E124" s="0" t="n">
        <v>0.0578201382545776</v>
      </c>
      <c r="F124" s="0" t="n">
        <v>0.0155201382545776</v>
      </c>
    </row>
    <row r="125" customFormat="false" ht="15" hidden="false" customHeight="false" outlineLevel="0" collapsed="false">
      <c r="A125" s="0" t="s">
        <v>1541</v>
      </c>
      <c r="B125" s="0" t="s">
        <v>1396</v>
      </c>
      <c r="C125" s="0" t="s">
        <v>1397</v>
      </c>
      <c r="D125" s="0" t="n">
        <v>0.00419504851160823</v>
      </c>
      <c r="E125" s="0" t="n">
        <v>0.0486906451636496</v>
      </c>
      <c r="F125" s="0" t="n">
        <v>0.0063906451636496</v>
      </c>
    </row>
    <row r="126" customFormat="false" ht="15" hidden="false" customHeight="false" outlineLevel="0" collapsed="false">
      <c r="A126" s="0" t="s">
        <v>1542</v>
      </c>
      <c r="B126" s="0" t="s">
        <v>1396</v>
      </c>
      <c r="C126" s="0" t="s">
        <v>1461</v>
      </c>
      <c r="D126" s="0" t="n">
        <v>0.0101879749567629</v>
      </c>
      <c r="E126" s="0" t="n">
        <v>0.0578201382545776</v>
      </c>
      <c r="F126" s="0" t="n">
        <v>0.0155201382545776</v>
      </c>
    </row>
    <row r="127" customFormat="false" ht="15" hidden="false" customHeight="false" outlineLevel="0" collapsed="false">
      <c r="A127" s="0" t="s">
        <v>1543</v>
      </c>
      <c r="B127" s="0" t="s">
        <v>1399</v>
      </c>
      <c r="C127" s="0" t="s">
        <v>1413</v>
      </c>
      <c r="D127" s="0" t="n">
        <v>0.0186779540873986</v>
      </c>
      <c r="E127" s="0" t="n">
        <v>0.0707535868000589</v>
      </c>
      <c r="F127" s="0" t="n">
        <v>0.0284535868000589</v>
      </c>
    </row>
    <row r="128" customFormat="false" ht="15" hidden="false" customHeight="false" outlineLevel="0" collapsed="false">
      <c r="A128" s="0" t="s">
        <v>1544</v>
      </c>
      <c r="B128" s="0" t="s">
        <v>1405</v>
      </c>
      <c r="C128" s="0" t="s">
        <v>1423</v>
      </c>
      <c r="D128" s="0" t="n">
        <v>0.046744826272206</v>
      </c>
      <c r="E128" s="0" t="n">
        <v>0.113510046109238</v>
      </c>
      <c r="F128" s="0" t="n">
        <v>0.0712100461092384</v>
      </c>
    </row>
    <row r="129" customFormat="false" ht="15" hidden="false" customHeight="false" outlineLevel="0" collapsed="false">
      <c r="A129" s="0" t="s">
        <v>1545</v>
      </c>
      <c r="B129" s="0" t="s">
        <v>1396</v>
      </c>
      <c r="C129" s="0" t="s">
        <v>1430</v>
      </c>
      <c r="D129" s="0" t="n">
        <v>0.00509398747838143</v>
      </c>
      <c r="E129" s="0" t="n">
        <v>0.0500600691272888</v>
      </c>
      <c r="F129" s="0" t="n">
        <v>0.0077600691272888</v>
      </c>
    </row>
    <row r="130" customFormat="false" ht="15" hidden="false" customHeight="false" outlineLevel="0" collapsed="false">
      <c r="A130" s="0" t="s">
        <v>1546</v>
      </c>
      <c r="B130" s="0" t="s">
        <v>1405</v>
      </c>
      <c r="C130" s="0" t="s">
        <v>1409</v>
      </c>
      <c r="D130" s="0" t="n">
        <v>0.0637247845334774</v>
      </c>
      <c r="E130" s="0" t="n">
        <v>0.139376943200201</v>
      </c>
      <c r="F130" s="0" t="n">
        <v>0.097076943200201</v>
      </c>
    </row>
    <row r="131" customFormat="false" ht="15" hidden="false" customHeight="false" outlineLevel="0" collapsed="false">
      <c r="A131" s="0" t="s">
        <v>1547</v>
      </c>
      <c r="B131" s="0" t="s">
        <v>1399</v>
      </c>
      <c r="C131" s="0" t="s">
        <v>1458</v>
      </c>
      <c r="D131" s="0" t="n">
        <v>0.0255698194993264</v>
      </c>
      <c r="E131" s="0" t="n">
        <v>0.0812525038546261</v>
      </c>
      <c r="F131" s="0" t="n">
        <v>0.0389525038546261</v>
      </c>
    </row>
    <row r="132" customFormat="false" ht="15" hidden="false" customHeight="false" outlineLevel="0" collapsed="false">
      <c r="A132" s="0" t="s">
        <v>1548</v>
      </c>
      <c r="B132" s="0" t="s">
        <v>1396</v>
      </c>
      <c r="C132" s="0" t="s">
        <v>1440</v>
      </c>
      <c r="D132" s="0" t="n">
        <v>0.0212748888802989</v>
      </c>
      <c r="E132" s="0" t="n">
        <v>0.0747097004727944</v>
      </c>
      <c r="F132" s="0" t="n">
        <v>0.0324097004727944</v>
      </c>
    </row>
    <row r="133" customFormat="false" ht="15" hidden="false" customHeight="false" outlineLevel="0" collapsed="false">
      <c r="A133" s="0" t="s">
        <v>1549</v>
      </c>
      <c r="B133" s="0" t="s">
        <v>1425</v>
      </c>
      <c r="C133" s="0" t="s">
        <v>1416</v>
      </c>
      <c r="D133" s="0" t="n">
        <v>0</v>
      </c>
      <c r="E133" s="0" t="n">
        <v>0.0423</v>
      </c>
      <c r="F133" s="0" t="n">
        <v>0</v>
      </c>
    </row>
    <row r="134" customFormat="false" ht="15" hidden="false" customHeight="false" outlineLevel="0" collapsed="false">
      <c r="A134" s="0" t="s">
        <v>1550</v>
      </c>
      <c r="B134" s="0" t="s">
        <v>1399</v>
      </c>
      <c r="C134" s="0" t="s">
        <v>1461</v>
      </c>
      <c r="D134" s="0" t="n">
        <v>0.0101879749567629</v>
      </c>
      <c r="E134" s="0" t="n">
        <v>0.0578201382545776</v>
      </c>
      <c r="F134" s="0" t="n">
        <v>0.0155201382545776</v>
      </c>
    </row>
    <row r="135" customFormat="false" ht="15" hidden="false" customHeight="false" outlineLevel="0" collapsed="false">
      <c r="A135" s="0" t="s">
        <v>1551</v>
      </c>
      <c r="B135" s="0" t="s">
        <v>1399</v>
      </c>
      <c r="C135" s="0" t="s">
        <v>1461</v>
      </c>
      <c r="D135" s="0" t="n">
        <v>0.0101879749567629</v>
      </c>
      <c r="E135" s="0" t="n">
        <v>0.0578201382545776</v>
      </c>
      <c r="F135" s="0" t="n">
        <v>0.0155201382545776</v>
      </c>
    </row>
    <row r="136" customFormat="false" ht="15" hidden="false" customHeight="false" outlineLevel="0" collapsed="false">
      <c r="A136" s="0" t="s">
        <v>1552</v>
      </c>
      <c r="B136" s="0" t="s">
        <v>1425</v>
      </c>
      <c r="C136" s="0" t="s">
        <v>1409</v>
      </c>
      <c r="D136" s="0" t="n">
        <v>0.0637247845334774</v>
      </c>
      <c r="E136" s="0" t="n">
        <v>0.139376943200201</v>
      </c>
      <c r="F136" s="0" t="n">
        <v>0.097076943200201</v>
      </c>
    </row>
    <row r="137" customFormat="false" ht="15" hidden="false" customHeight="false" outlineLevel="0" collapsed="false">
      <c r="A137" s="0" t="s">
        <v>1553</v>
      </c>
      <c r="B137" s="0" t="s">
        <v>1405</v>
      </c>
      <c r="C137" s="0" t="s">
        <v>1458</v>
      </c>
      <c r="D137" s="0" t="n">
        <v>0.0255698194993264</v>
      </c>
      <c r="E137" s="0" t="n">
        <v>0.0812525038546261</v>
      </c>
      <c r="F137" s="0" t="n">
        <v>0.0389525038546261</v>
      </c>
    </row>
    <row r="138" customFormat="false" ht="15" hidden="false" customHeight="false" outlineLevel="0" collapsed="false">
      <c r="A138" s="0" t="s">
        <v>1554</v>
      </c>
      <c r="B138" s="0" t="s">
        <v>1402</v>
      </c>
      <c r="C138" s="0" t="s">
        <v>1461</v>
      </c>
      <c r="D138" s="0" t="n">
        <v>0.0101879749567629</v>
      </c>
      <c r="E138" s="0" t="n">
        <v>0.0578201382545776</v>
      </c>
      <c r="F138" s="0" t="n">
        <v>0.0155201382545776</v>
      </c>
    </row>
    <row r="139" customFormat="false" ht="15" hidden="false" customHeight="false" outlineLevel="0" collapsed="false">
      <c r="A139" s="0" t="s">
        <v>1555</v>
      </c>
      <c r="B139" s="0" t="s">
        <v>1425</v>
      </c>
      <c r="C139" s="0" t="s">
        <v>1436</v>
      </c>
      <c r="D139" s="0" t="n">
        <v>0.101979631675048</v>
      </c>
      <c r="E139" s="0" t="n">
        <v>0.197653540763958</v>
      </c>
      <c r="F139" s="0" t="n">
        <v>0.155353540763958</v>
      </c>
    </row>
    <row r="140" customFormat="false" ht="15" hidden="false" customHeight="false" outlineLevel="0" collapsed="false">
      <c r="A140" s="0" t="s">
        <v>1556</v>
      </c>
      <c r="B140" s="0" t="s">
        <v>1412</v>
      </c>
      <c r="C140" s="0" t="s">
        <v>1458</v>
      </c>
      <c r="D140" s="0" t="n">
        <v>0.0255698194993264</v>
      </c>
      <c r="E140" s="0" t="n">
        <v>0.0812525038546261</v>
      </c>
      <c r="F140" s="0" t="n">
        <v>0.0389525038546261</v>
      </c>
    </row>
    <row r="141" customFormat="false" ht="15" hidden="false" customHeight="false" outlineLevel="0" collapsed="false">
      <c r="A141" s="0" t="s">
        <v>1557</v>
      </c>
      <c r="B141" s="0" t="s">
        <v>1412</v>
      </c>
      <c r="C141" s="0" t="s">
        <v>1406</v>
      </c>
      <c r="D141" s="0" t="n">
        <v>0.0552348054028417</v>
      </c>
      <c r="E141" s="0" t="n">
        <v>0.12644349465472</v>
      </c>
      <c r="F141" s="0" t="n">
        <v>0.0841434946547197</v>
      </c>
    </row>
    <row r="142" customFormat="false" ht="15" hidden="false" customHeight="false" outlineLevel="0" collapsed="false">
      <c r="A142" s="0" t="s">
        <v>1558</v>
      </c>
      <c r="B142" s="0" t="s">
        <v>1408</v>
      </c>
      <c r="C142" s="0" t="s">
        <v>1409</v>
      </c>
      <c r="D142" s="0" t="n">
        <v>0.0637247845334774</v>
      </c>
      <c r="E142" s="0" t="n">
        <v>0.139376943200201</v>
      </c>
      <c r="F142" s="0" t="n">
        <v>0.097076943200201</v>
      </c>
    </row>
    <row r="143" customFormat="false" ht="15" hidden="false" customHeight="false" outlineLevel="0" collapsed="false">
      <c r="A143" s="0" t="s">
        <v>1559</v>
      </c>
      <c r="B143" s="0" t="s">
        <v>1405</v>
      </c>
      <c r="C143" s="0" t="s">
        <v>1423</v>
      </c>
      <c r="D143" s="0" t="n">
        <v>0.046744826272206</v>
      </c>
      <c r="E143" s="0" t="n">
        <v>0.113510046109238</v>
      </c>
      <c r="F143" s="0" t="n">
        <v>0.0712100461092384</v>
      </c>
    </row>
    <row r="144" customFormat="false" ht="15" hidden="false" customHeight="false" outlineLevel="0" collapsed="false">
      <c r="A144" s="0" t="s">
        <v>1560</v>
      </c>
      <c r="B144" s="0" t="s">
        <v>1402</v>
      </c>
      <c r="C144" s="0" t="s">
        <v>1416</v>
      </c>
      <c r="D144" s="0" t="n">
        <v>0</v>
      </c>
      <c r="E144" s="0" t="n">
        <v>0.0423</v>
      </c>
      <c r="F144" s="0" t="n">
        <v>0</v>
      </c>
    </row>
    <row r="145" customFormat="false" ht="15" hidden="false" customHeight="false" outlineLevel="0" collapsed="false">
      <c r="A145" s="0" t="s">
        <v>1561</v>
      </c>
      <c r="B145" s="0" t="s">
        <v>1402</v>
      </c>
      <c r="C145" s="0" t="s">
        <v>1416</v>
      </c>
      <c r="D145" s="0" t="n">
        <v>0</v>
      </c>
      <c r="E145" s="0" t="n">
        <v>0.0423</v>
      </c>
      <c r="F145" s="0" t="n">
        <v>0</v>
      </c>
    </row>
    <row r="146" customFormat="false" ht="15" hidden="false" customHeight="false" outlineLevel="0" collapsed="false">
      <c r="A146" s="0" t="s">
        <v>1562</v>
      </c>
      <c r="B146" s="0" t="s">
        <v>1425</v>
      </c>
      <c r="C146" s="0" t="s">
        <v>1430</v>
      </c>
      <c r="D146" s="0" t="n">
        <v>0.00509398747838143</v>
      </c>
      <c r="E146" s="0" t="n">
        <v>0.0500600691272888</v>
      </c>
      <c r="F146" s="0" t="n">
        <v>0.0077600691272888</v>
      </c>
    </row>
    <row r="147" customFormat="false" ht="15" hidden="false" customHeight="false" outlineLevel="0" collapsed="false">
      <c r="A147" s="0" t="s">
        <v>1563</v>
      </c>
      <c r="B147" s="0" t="s">
        <v>1399</v>
      </c>
      <c r="C147" s="0" t="s">
        <v>1406</v>
      </c>
      <c r="D147" s="0" t="n">
        <v>0.0552348054028417</v>
      </c>
      <c r="E147" s="0" t="n">
        <v>0.12644349465472</v>
      </c>
      <c r="F147" s="0" t="n">
        <v>0.0841434946547197</v>
      </c>
    </row>
    <row r="148" customFormat="false" ht="15" hidden="false" customHeight="false" outlineLevel="0" collapsed="false">
      <c r="A148" s="0" t="s">
        <v>1564</v>
      </c>
      <c r="B148" s="0" t="s">
        <v>1405</v>
      </c>
      <c r="C148" s="0" t="s">
        <v>1421</v>
      </c>
      <c r="D148" s="0" t="n">
        <v>0.0382548471415703</v>
      </c>
      <c r="E148" s="0" t="n">
        <v>0.100576597563757</v>
      </c>
      <c r="F148" s="0" t="n">
        <v>0.058276597563757</v>
      </c>
    </row>
    <row r="149" customFormat="false" ht="15" hidden="false" customHeight="false" outlineLevel="0" collapsed="false">
      <c r="A149" s="0" t="s">
        <v>1565</v>
      </c>
      <c r="B149" s="0" t="s">
        <v>1425</v>
      </c>
      <c r="C149" s="0" t="s">
        <v>1403</v>
      </c>
      <c r="D149" s="0" t="n">
        <v>0.0135839666090171</v>
      </c>
      <c r="E149" s="0" t="n">
        <v>0.0629935176727701</v>
      </c>
      <c r="F149" s="0" t="n">
        <v>0.0206935176727701</v>
      </c>
    </row>
    <row r="150" customFormat="false" ht="15" hidden="false" customHeight="false" outlineLevel="0" collapsed="false">
      <c r="A150" s="0" t="s">
        <v>1566</v>
      </c>
      <c r="B150" s="0" t="s">
        <v>1405</v>
      </c>
      <c r="C150" s="0" t="s">
        <v>1406</v>
      </c>
      <c r="D150" s="0" t="n">
        <v>0.0552348054028417</v>
      </c>
      <c r="E150" s="0" t="n">
        <v>0.12644349465472</v>
      </c>
      <c r="F150" s="0" t="n">
        <v>0.0841434946547197</v>
      </c>
    </row>
    <row r="151" customFormat="false" ht="15" hidden="false" customHeight="false" outlineLevel="0" collapsed="false">
      <c r="A151" s="0" t="s">
        <v>1567</v>
      </c>
      <c r="B151" s="0" t="s">
        <v>1412</v>
      </c>
      <c r="C151" s="0" t="s">
        <v>1458</v>
      </c>
      <c r="D151" s="0" t="n">
        <v>0.0255698194993264</v>
      </c>
      <c r="E151" s="0" t="n">
        <v>0.0812525038546261</v>
      </c>
      <c r="F151" s="0" t="n">
        <v>0.0389525038546261</v>
      </c>
    </row>
    <row r="152" customFormat="false" ht="15" hidden="false" customHeight="false" outlineLevel="0" collapsed="false">
      <c r="A152" s="0" t="s">
        <v>1568</v>
      </c>
      <c r="B152" s="0" t="s">
        <v>1405</v>
      </c>
      <c r="C152" s="0" t="s">
        <v>1409</v>
      </c>
      <c r="D152" s="0" t="n">
        <v>0.0637247845334774</v>
      </c>
      <c r="E152" s="0" t="n">
        <v>0.139376943200201</v>
      </c>
      <c r="F152" s="0" t="n">
        <v>0.097076943200201</v>
      </c>
    </row>
    <row r="153" customFormat="false" ht="15" hidden="false" customHeight="false" outlineLevel="0" collapsed="false">
      <c r="A153" s="0" t="s">
        <v>1569</v>
      </c>
      <c r="B153" s="0" t="s">
        <v>1402</v>
      </c>
      <c r="C153" s="0" t="s">
        <v>1400</v>
      </c>
      <c r="D153" s="0" t="n">
        <v>0.0305639248702886</v>
      </c>
      <c r="E153" s="0" t="n">
        <v>0.0888604147637328</v>
      </c>
      <c r="F153" s="0" t="n">
        <v>0.0465604147637328</v>
      </c>
    </row>
    <row r="154" customFormat="false" ht="15" hidden="false" customHeight="false" outlineLevel="0" collapsed="false">
      <c r="A154" s="0" t="s">
        <v>1570</v>
      </c>
      <c r="B154" s="0" t="s">
        <v>1412</v>
      </c>
      <c r="C154" s="0" t="s">
        <v>1403</v>
      </c>
      <c r="D154" s="0" t="n">
        <v>0.0135839666090171</v>
      </c>
      <c r="E154" s="0" t="n">
        <v>0.0629935176727701</v>
      </c>
      <c r="F154" s="0" t="n">
        <v>0.0206935176727701</v>
      </c>
    </row>
    <row r="155" customFormat="false" ht="15" hidden="false" customHeight="false" outlineLevel="0" collapsed="false">
      <c r="A155" s="0" t="s">
        <v>1571</v>
      </c>
      <c r="B155" s="0" t="s">
        <v>1405</v>
      </c>
      <c r="C155" s="0" t="s">
        <v>1406</v>
      </c>
      <c r="D155" s="0" t="n">
        <v>0.0552348054028417</v>
      </c>
      <c r="E155" s="0" t="n">
        <v>0.12644349465472</v>
      </c>
      <c r="F155" s="0" t="n">
        <v>0.0841434946547197</v>
      </c>
    </row>
    <row r="156" customFormat="false" ht="15" hidden="false" customHeight="false" outlineLevel="0" collapsed="false">
      <c r="A156" s="0" t="s">
        <v>1572</v>
      </c>
      <c r="B156" s="0" t="s">
        <v>1399</v>
      </c>
      <c r="C156" s="0" t="s">
        <v>1436</v>
      </c>
      <c r="D156" s="0" t="n">
        <v>0.101979631675048</v>
      </c>
      <c r="E156" s="0" t="n">
        <v>0.197653540763958</v>
      </c>
      <c r="F156" s="0" t="n">
        <v>0.155353540763958</v>
      </c>
    </row>
    <row r="157" customFormat="false" ht="15" hidden="false" customHeight="false" outlineLevel="0" collapsed="false">
      <c r="A157" s="0" t="s">
        <v>1573</v>
      </c>
      <c r="B157" s="0" t="s">
        <v>1396</v>
      </c>
      <c r="C157" s="0" t="s">
        <v>1397</v>
      </c>
      <c r="D157" s="0" t="n">
        <v>0.00419504851160823</v>
      </c>
      <c r="E157" s="0" t="n">
        <v>0.0486906451636496</v>
      </c>
      <c r="F157" s="0" t="n">
        <v>0.0063906451636496</v>
      </c>
    </row>
    <row r="158" customFormat="false" ht="15" hidden="false" customHeight="false" outlineLevel="0" collapsed="false">
      <c r="A158" s="0" t="s">
        <v>1574</v>
      </c>
      <c r="B158" s="0" t="s">
        <v>1402</v>
      </c>
      <c r="C158" s="0" t="s">
        <v>1430</v>
      </c>
      <c r="D158" s="0" t="n">
        <v>0.00509398747838143</v>
      </c>
      <c r="E158" s="0" t="n">
        <v>0.0500600691272888</v>
      </c>
      <c r="F158" s="0" t="n">
        <v>0.0077600691272888</v>
      </c>
    </row>
    <row r="159" customFormat="false" ht="15" hidden="false" customHeight="false" outlineLevel="0" collapsed="false">
      <c r="A159" s="0" t="s">
        <v>1575</v>
      </c>
      <c r="B159" s="0" t="s">
        <v>1446</v>
      </c>
      <c r="C159" s="0" t="s">
        <v>1418</v>
      </c>
      <c r="D159" s="0" t="n">
        <v>0.00233367916999202</v>
      </c>
      <c r="E159" s="0" t="n">
        <v>0.0446</v>
      </c>
      <c r="F159" s="0" t="n">
        <v>0.00233367916999202</v>
      </c>
    </row>
    <row r="160" customFormat="false" ht="15" hidden="false" customHeight="false" outlineLevel="0" collapsed="false">
      <c r="A160" s="0" t="s">
        <v>1576</v>
      </c>
      <c r="B160" s="0" t="s">
        <v>1408</v>
      </c>
      <c r="C160" s="0" t="s">
        <v>1403</v>
      </c>
      <c r="D160" s="0" t="n">
        <v>0.0135839666090171</v>
      </c>
      <c r="E160" s="0" t="n">
        <v>0.0629935176727701</v>
      </c>
      <c r="F160" s="0" t="n">
        <v>0.0206935176727701</v>
      </c>
    </row>
    <row r="161" customFormat="false" ht="15" hidden="false" customHeight="false" outlineLevel="0" collapsed="false">
      <c r="A161" s="0" t="s">
        <v>1577</v>
      </c>
      <c r="B161" s="0" t="s">
        <v>1399</v>
      </c>
      <c r="C161" s="0" t="s">
        <v>1400</v>
      </c>
      <c r="D161" s="0" t="n">
        <v>0.0305639248702886</v>
      </c>
      <c r="E161" s="0" t="n">
        <v>0.0888604147637328</v>
      </c>
      <c r="F161" s="0" t="n">
        <v>0.0465604147637328</v>
      </c>
    </row>
    <row r="162" customFormat="false" ht="15" hidden="false" customHeight="false" outlineLevel="0" collapsed="false">
      <c r="A162" s="0" t="s">
        <v>1578</v>
      </c>
      <c r="B162" s="0" t="s">
        <v>1408</v>
      </c>
      <c r="C162" s="0" t="s">
        <v>1428</v>
      </c>
      <c r="D162" s="0" t="n">
        <v>0.175</v>
      </c>
      <c r="E162" s="0" t="n">
        <v>0.30889117303269</v>
      </c>
      <c r="F162" s="0" t="n">
        <v>0.26659117303269</v>
      </c>
    </row>
    <row r="163" customFormat="false" ht="15" hidden="false" customHeight="false" outlineLevel="0" collapsed="false">
      <c r="A163" s="0" t="s">
        <v>1579</v>
      </c>
      <c r="B163" s="0" t="s">
        <v>1425</v>
      </c>
      <c r="C163" s="0" t="s">
        <v>1458</v>
      </c>
      <c r="D163" s="0" t="n">
        <v>0.0255698194993264</v>
      </c>
      <c r="E163" s="0" t="n">
        <v>0.0812525038546261</v>
      </c>
      <c r="F163" s="0" t="n">
        <v>0.0389525038546261</v>
      </c>
    </row>
    <row r="164" customFormat="false" ht="15" hidden="false" customHeight="false" outlineLevel="0" collapsed="false">
      <c r="A164" s="0" t="s">
        <v>1580</v>
      </c>
      <c r="B164" s="0" t="s">
        <v>1405</v>
      </c>
      <c r="C164" s="0" t="s">
        <v>1455</v>
      </c>
      <c r="D164" s="0" t="n">
        <v>0.0765096942831406</v>
      </c>
      <c r="E164" s="0" t="n">
        <v>0.158853195127514</v>
      </c>
      <c r="F164" s="0" t="n">
        <v>0.116553195127514</v>
      </c>
    </row>
    <row r="165" customFormat="false" ht="15" hidden="false" customHeight="false" outlineLevel="0" collapsed="false">
      <c r="A165" s="0" t="s">
        <v>1581</v>
      </c>
    </row>
    <row r="166" customFormat="false" ht="15" hidden="false" customHeight="false" outlineLevel="0" collapsed="false">
      <c r="A166" s="0" t="s">
        <v>467</v>
      </c>
      <c r="B166" s="0" t="s">
        <v>1582</v>
      </c>
      <c r="C166" s="0" t="s">
        <v>1583</v>
      </c>
      <c r="D166" s="0" t="s">
        <v>1584</v>
      </c>
      <c r="E166" s="0" t="s">
        <v>1392</v>
      </c>
    </row>
    <row r="167" customFormat="false" ht="15" hidden="false" customHeight="false" outlineLevel="0" collapsed="false">
      <c r="A167" s="0" t="s">
        <v>1585</v>
      </c>
      <c r="B167" s="0" t="n">
        <v>67</v>
      </c>
      <c r="C167" s="0" t="n">
        <v>0.100576597563757</v>
      </c>
      <c r="D167" s="0" t="n">
        <v>0.058276597563757</v>
      </c>
      <c r="E167" s="0" t="n">
        <v>0.0382548471415703</v>
      </c>
    </row>
    <row r="168" customFormat="false" ht="15" hidden="false" customHeight="false" outlineLevel="0" collapsed="false">
      <c r="A168" s="0" t="s">
        <v>1586</v>
      </c>
      <c r="B168" s="0" t="n">
        <v>80.75</v>
      </c>
      <c r="C168" s="0" t="n">
        <v>0.0500600691272888</v>
      </c>
      <c r="D168" s="0" t="n">
        <v>0.0077600691272888</v>
      </c>
      <c r="E168" s="0" t="n">
        <v>0.00509398747838143</v>
      </c>
    </row>
    <row r="169" customFormat="false" ht="15" hidden="false" customHeight="false" outlineLevel="0" collapsed="false">
      <c r="A169" s="0" t="s">
        <v>1587</v>
      </c>
      <c r="B169" s="0" t="n">
        <v>65.5</v>
      </c>
      <c r="C169" s="0" t="n">
        <v>0.113510046109238</v>
      </c>
      <c r="D169" s="0" t="n">
        <v>0.0712100461092384</v>
      </c>
      <c r="E169" s="0" t="n">
        <v>0.046744826272206</v>
      </c>
    </row>
    <row r="170" customFormat="false" ht="15" hidden="false" customHeight="false" outlineLevel="0" collapsed="false">
      <c r="A170" s="0" t="s">
        <v>1588</v>
      </c>
      <c r="B170" s="0" t="n">
        <v>59.5</v>
      </c>
      <c r="C170" s="0" t="n">
        <v>0.158853195127514</v>
      </c>
      <c r="D170" s="0" t="n">
        <v>0.116553195127514</v>
      </c>
      <c r="E170" s="0" t="n">
        <v>0.0765096942831406</v>
      </c>
    </row>
    <row r="171" customFormat="false" ht="15" hidden="false" customHeight="false" outlineLevel="0" collapsed="false">
      <c r="A171" s="0" t="s">
        <v>1589</v>
      </c>
      <c r="B171" s="0" t="n">
        <v>60.75</v>
      </c>
      <c r="C171" s="0" t="n">
        <v>0.139376943200201</v>
      </c>
      <c r="D171" s="0" t="n">
        <v>0.097076943200201</v>
      </c>
      <c r="E171" s="0" t="n">
        <v>0.0637247845334774</v>
      </c>
    </row>
    <row r="172" customFormat="false" ht="15" hidden="false" customHeight="false" outlineLevel="0" collapsed="false">
      <c r="A172" s="0" t="s">
        <v>1590</v>
      </c>
      <c r="B172" s="0" t="n">
        <v>75.5</v>
      </c>
      <c r="C172" s="0" t="n">
        <v>0.0629935176727701</v>
      </c>
      <c r="D172" s="0" t="n">
        <v>0.0206935176727701</v>
      </c>
      <c r="E172" s="0" t="n">
        <v>0.0135839666090171</v>
      </c>
    </row>
    <row r="173" customFormat="false" ht="15" hidden="false" customHeight="false" outlineLevel="0" collapsed="false">
      <c r="A173" s="0" t="s">
        <v>1591</v>
      </c>
      <c r="B173" s="0" t="n">
        <v>56.75</v>
      </c>
      <c r="C173" s="0" t="n">
        <v>0.171786643672996</v>
      </c>
      <c r="D173" s="0" t="n">
        <v>0.129486643672995</v>
      </c>
      <c r="E173" s="0" t="n">
        <v>0.0849996734137763</v>
      </c>
    </row>
    <row r="174" customFormat="false" ht="15" hidden="false" customHeight="false" outlineLevel="0" collapsed="false">
      <c r="A174" s="0" t="s">
        <v>1592</v>
      </c>
      <c r="B174" s="0" t="n">
        <v>61.25</v>
      </c>
      <c r="C174" s="0" t="n">
        <v>0.139376943200201</v>
      </c>
      <c r="D174" s="0" t="n">
        <v>0.097076943200201</v>
      </c>
      <c r="E174" s="0" t="n">
        <v>0.0637247845334774</v>
      </c>
    </row>
    <row r="175" customFormat="false" ht="15" hidden="false" customHeight="false" outlineLevel="0" collapsed="false">
      <c r="A175" s="0" t="s">
        <v>1593</v>
      </c>
      <c r="B175" s="0" t="n">
        <v>51</v>
      </c>
      <c r="C175" s="0" t="n">
        <v>0.197653540763958</v>
      </c>
      <c r="D175" s="0" t="n">
        <v>0.155353540763958</v>
      </c>
      <c r="E175" s="0" t="n">
        <v>0.101979631675048</v>
      </c>
    </row>
    <row r="176" customFormat="false" ht="15" hidden="false" customHeight="false" outlineLevel="0" collapsed="false">
      <c r="A176" s="0" t="s">
        <v>1594</v>
      </c>
      <c r="B176" s="0" t="n">
        <v>57.75</v>
      </c>
      <c r="C176" s="0" t="n">
        <v>0.158853195127514</v>
      </c>
      <c r="D176" s="0" t="n">
        <v>0.116553195127514</v>
      </c>
      <c r="E176" s="0" t="n">
        <v>0.0765096942831406</v>
      </c>
    </row>
    <row r="177" customFormat="false" ht="15" hidden="false" customHeight="false" outlineLevel="0" collapsed="false">
      <c r="A177" s="0" t="s">
        <v>1595</v>
      </c>
      <c r="B177" s="0" t="n">
        <v>71.5</v>
      </c>
      <c r="C177" s="0" t="n">
        <v>0.0812525038546261</v>
      </c>
      <c r="D177" s="0" t="n">
        <v>0.0389525038546261</v>
      </c>
      <c r="E177" s="0" t="n">
        <v>0.0255698194993264</v>
      </c>
    </row>
    <row r="178" customFormat="false" ht="15" hidden="false" customHeight="false" outlineLevel="0" collapsed="false">
      <c r="A178" s="0" t="s">
        <v>1596</v>
      </c>
      <c r="B178" s="0" t="n">
        <v>62.5</v>
      </c>
      <c r="C178" s="0" t="n">
        <v>0.12644349465472</v>
      </c>
      <c r="D178" s="0" t="n">
        <v>0.0841434946547197</v>
      </c>
      <c r="E178" s="0" t="n">
        <v>0.0552348054028417</v>
      </c>
    </row>
    <row r="179" customFormat="false" ht="15" hidden="false" customHeight="false" outlineLevel="0" collapsed="false">
      <c r="A179" s="0" t="s">
        <v>1597</v>
      </c>
      <c r="B179" s="0" t="n">
        <v>56</v>
      </c>
      <c r="C179" s="0" t="n">
        <v>0.171786643672996</v>
      </c>
      <c r="D179" s="0" t="n">
        <v>0.129486643672995</v>
      </c>
      <c r="E179" s="0" t="n">
        <v>0.0849996734137763</v>
      </c>
    </row>
    <row r="180" customFormat="false" ht="15" hidden="false" customHeight="false" outlineLevel="0" collapsed="false">
      <c r="A180" s="0" t="s">
        <v>1598</v>
      </c>
      <c r="B180" s="0" t="n">
        <v>54.75</v>
      </c>
      <c r="C180" s="0" t="n">
        <v>0.197653540763958</v>
      </c>
      <c r="D180" s="0" t="n">
        <v>0.155353540763958</v>
      </c>
      <c r="E180" s="0" t="n">
        <v>0.101979631675048</v>
      </c>
    </row>
    <row r="181" customFormat="false" ht="15" hidden="false" customHeight="false" outlineLevel="0" collapsed="false">
      <c r="A181" s="0" t="s">
        <v>1599</v>
      </c>
      <c r="B181" s="0" t="n">
        <v>70.25</v>
      </c>
      <c r="C181" s="0" t="n">
        <v>0.0812525038546261</v>
      </c>
      <c r="D181" s="0" t="n">
        <v>0.0389525038546261</v>
      </c>
      <c r="E181" s="0" t="n">
        <v>0.0255698194993264</v>
      </c>
    </row>
    <row r="182" customFormat="false" ht="15" hidden="false" customHeight="false" outlineLevel="0" collapsed="false">
      <c r="A182" s="0" t="s">
        <v>1600</v>
      </c>
      <c r="B182" s="0" t="n">
        <v>62.75</v>
      </c>
      <c r="C182" s="0" t="n">
        <v>0.12644349465472</v>
      </c>
      <c r="D182" s="0" t="n">
        <v>0.0841434946547197</v>
      </c>
      <c r="E182" s="0" t="n">
        <v>0.0552348054028417</v>
      </c>
    </row>
    <row r="183" customFormat="false" ht="15" hidden="false" customHeight="false" outlineLevel="0" collapsed="false">
      <c r="A183" s="0" t="s">
        <v>1601</v>
      </c>
      <c r="B183" s="0" t="n">
        <v>55.5</v>
      </c>
      <c r="C183" s="0" t="n">
        <v>0.171786643672996</v>
      </c>
      <c r="D183" s="0" t="n">
        <v>0.129486643672995</v>
      </c>
      <c r="E183" s="0" t="n">
        <v>0.0849996734137763</v>
      </c>
    </row>
    <row r="184" customFormat="false" ht="15" hidden="false" customHeight="false" outlineLevel="0" collapsed="false">
      <c r="A184" s="0" t="s">
        <v>1602</v>
      </c>
      <c r="B184" s="0" t="n">
        <v>47.75</v>
      </c>
      <c r="C184" s="0" t="n">
        <v>0.30889117303269</v>
      </c>
      <c r="D184" s="0" t="n">
        <v>0.26659117303269</v>
      </c>
      <c r="E184" s="0" t="n">
        <v>0.175</v>
      </c>
    </row>
    <row r="185" customFormat="false" ht="15" hidden="false" customHeight="false" outlineLevel="0" collapsed="false">
      <c r="A185" s="0" t="s">
        <v>1603</v>
      </c>
      <c r="B185" s="0" t="n">
        <v>51.5</v>
      </c>
      <c r="C185" s="0" t="n">
        <v>0.197653540763958</v>
      </c>
      <c r="D185" s="0" t="n">
        <v>0.155353540763958</v>
      </c>
      <c r="E185" s="0" t="n">
        <v>0.101979631675048</v>
      </c>
    </row>
    <row r="186" customFormat="false" ht="15" hidden="false" customHeight="false" outlineLevel="0" collapsed="false">
      <c r="A186" s="0" t="s">
        <v>1604</v>
      </c>
      <c r="B186" s="0" t="n">
        <v>51.75</v>
      </c>
      <c r="C186" s="0" t="n">
        <v>0.197653540763958</v>
      </c>
      <c r="D186" s="0" t="n">
        <v>0.155353540763958</v>
      </c>
      <c r="E186" s="0" t="n">
        <v>0.101979631675048</v>
      </c>
    </row>
    <row r="187" customFormat="false" ht="15" hidden="false" customHeight="false" outlineLevel="0" collapsed="false">
      <c r="A187" s="0" t="s">
        <v>1605</v>
      </c>
      <c r="B187" s="0" t="n">
        <v>58.5</v>
      </c>
      <c r="C187" s="0" t="n">
        <v>0.158853195127514</v>
      </c>
      <c r="D187" s="0" t="n">
        <v>0.116553195127514</v>
      </c>
      <c r="E187" s="0" t="n">
        <v>0.0765096942831406</v>
      </c>
    </row>
    <row r="190" customFormat="false" ht="15" hidden="false" customHeight="false" outlineLevel="0" collapsed="false">
      <c r="A190" s="9" t="s">
        <v>1606</v>
      </c>
    </row>
    <row r="192" customFormat="false" ht="15" hidden="false" customHeight="false" outlineLevel="0" collapsed="false">
      <c r="A192" s="156" t="s">
        <v>1607</v>
      </c>
    </row>
    <row r="193" customFormat="false" ht="15" hidden="false" customHeight="false" outlineLevel="0" collapsed="false">
      <c r="A193" s="12" t="s">
        <v>1608</v>
      </c>
      <c r="B193" s="12" t="s">
        <v>1609</v>
      </c>
      <c r="C193" s="12" t="s">
        <v>1610</v>
      </c>
      <c r="D193" s="12" t="s">
        <v>1611</v>
      </c>
      <c r="E193" s="12" t="s">
        <v>1612</v>
      </c>
      <c r="F193" s="12" t="s">
        <v>1613</v>
      </c>
      <c r="G193" s="12" t="s">
        <v>1614</v>
      </c>
      <c r="H193" s="12" t="s">
        <v>1615</v>
      </c>
    </row>
    <row r="194" customFormat="false" ht="15" hidden="false" customHeight="false" outlineLevel="0" collapsed="false">
      <c r="A194" s="0" t="s">
        <v>1616</v>
      </c>
      <c r="B194" s="0" t="n">
        <v>419</v>
      </c>
      <c r="C194" s="0" t="n">
        <v>1.27283180333916</v>
      </c>
      <c r="D194" s="0" t="n">
        <v>0.405549170103385</v>
      </c>
      <c r="E194" s="0" t="n">
        <v>0.13471057671207</v>
      </c>
      <c r="F194" s="0" t="n">
        <v>0.977101076646934</v>
      </c>
      <c r="G194" s="0" t="n">
        <v>0.100371457450604</v>
      </c>
      <c r="H194" s="0" t="n">
        <v>1.08611613619772</v>
      </c>
    </row>
    <row r="195" customFormat="false" ht="15" hidden="false" customHeight="false" outlineLevel="0" collapsed="false">
      <c r="A195" s="0" t="s">
        <v>1617</v>
      </c>
      <c r="B195" s="0" t="n">
        <v>319</v>
      </c>
      <c r="C195" s="0" t="n">
        <v>1.23094463633045</v>
      </c>
      <c r="D195" s="0" t="n">
        <v>0.130004353576473</v>
      </c>
      <c r="E195" s="0" t="n">
        <v>0.109258111241527</v>
      </c>
      <c r="F195" s="0" t="n">
        <v>1.12207809583567</v>
      </c>
      <c r="G195" s="0" t="n">
        <v>0.0382333109422327</v>
      </c>
      <c r="H195" s="0" t="n">
        <v>1.16668429942708</v>
      </c>
    </row>
    <row r="196" customFormat="false" ht="15" hidden="false" customHeight="false" outlineLevel="0" collapsed="false">
      <c r="A196" s="0" t="s">
        <v>1618</v>
      </c>
      <c r="B196" s="0" t="n">
        <v>150</v>
      </c>
      <c r="C196" s="0" t="n">
        <v>0.990625140921233</v>
      </c>
      <c r="D196" s="0" t="n">
        <v>0.788853762612862</v>
      </c>
      <c r="E196" s="0" t="n">
        <v>0.146189610936909</v>
      </c>
      <c r="F196" s="0" t="n">
        <v>0.623536032976693</v>
      </c>
      <c r="G196" s="0" t="n">
        <v>0.088480442551723</v>
      </c>
      <c r="H196" s="0" t="n">
        <v>0.684062155201837</v>
      </c>
    </row>
    <row r="197" customFormat="false" ht="15" hidden="false" customHeight="false" outlineLevel="0" collapsed="false">
      <c r="A197" s="0" t="s">
        <v>1619</v>
      </c>
      <c r="B197" s="0" t="n">
        <v>1207</v>
      </c>
      <c r="C197" s="0" t="n">
        <v>0.762417415009888</v>
      </c>
      <c r="D197" s="0" t="n">
        <v>0.187046587593628</v>
      </c>
      <c r="E197" s="0" t="n">
        <v>0.152432963290058</v>
      </c>
      <c r="F197" s="0" t="n">
        <v>0.669026137495138</v>
      </c>
      <c r="G197" s="0" t="n">
        <v>0.0513855591629106</v>
      </c>
      <c r="H197" s="0" t="n">
        <v>0.70526665913368</v>
      </c>
    </row>
    <row r="198" customFormat="false" ht="15" hidden="false" customHeight="false" outlineLevel="0" collapsed="false">
      <c r="A198" s="0" t="s">
        <v>1620</v>
      </c>
      <c r="B198" s="0" t="n">
        <v>165</v>
      </c>
      <c r="C198" s="0" t="n">
        <v>1.40595783598273</v>
      </c>
      <c r="D198" s="0" t="n">
        <v>0.478107099186596</v>
      </c>
      <c r="E198" s="0" t="n">
        <v>0.115674273715723</v>
      </c>
      <c r="F198" s="0" t="n">
        <v>1.03622206480821</v>
      </c>
      <c r="G198" s="0" t="n">
        <v>0.0953046965367043</v>
      </c>
      <c r="H198" s="0" t="n">
        <v>1.14538238547432</v>
      </c>
    </row>
    <row r="199" customFormat="false" ht="15" hidden="false" customHeight="false" outlineLevel="0" collapsed="false">
      <c r="A199" s="0" t="s">
        <v>1621</v>
      </c>
      <c r="B199" s="0" t="n">
        <v>797</v>
      </c>
      <c r="C199" s="0" t="n">
        <v>1.44982128732895</v>
      </c>
      <c r="D199" s="0" t="n">
        <v>0.277999189764312</v>
      </c>
      <c r="E199" s="0" t="n">
        <v>0.172831128509092</v>
      </c>
      <c r="F199" s="0" t="n">
        <v>1.20070919557387</v>
      </c>
      <c r="G199" s="0" t="n">
        <v>0.112867275917486</v>
      </c>
      <c r="H199" s="0" t="n">
        <v>1.35347187966227</v>
      </c>
    </row>
    <row r="200" customFormat="false" ht="15" hidden="false" customHeight="false" outlineLevel="0" collapsed="false">
      <c r="A200" s="0" t="s">
        <v>1622</v>
      </c>
      <c r="B200" s="0" t="n">
        <v>604</v>
      </c>
      <c r="C200" s="0" t="n">
        <v>0.697493922652027</v>
      </c>
      <c r="D200" s="0" t="n">
        <v>2.11720568395411</v>
      </c>
      <c r="E200" s="0" t="n">
        <v>0.215895708820301</v>
      </c>
      <c r="F200" s="0" t="n">
        <v>0.270339083794426</v>
      </c>
      <c r="G200" s="0" t="n">
        <v>0.254781895139858</v>
      </c>
      <c r="H200" s="0" t="n">
        <v>0.362765050971435</v>
      </c>
    </row>
    <row r="201" customFormat="false" ht="15" hidden="false" customHeight="false" outlineLevel="0" collapsed="false">
      <c r="A201" s="0" t="s">
        <v>1623</v>
      </c>
      <c r="B201" s="0" t="n">
        <v>825</v>
      </c>
      <c r="C201" s="0" t="n">
        <v>0.513487221682297</v>
      </c>
      <c r="D201" s="0" t="n">
        <v>2.02275499845242</v>
      </c>
      <c r="E201" s="0" t="n">
        <v>0.183626318069101</v>
      </c>
      <c r="F201" s="0" t="n">
        <v>0.204610652434594</v>
      </c>
      <c r="G201" s="0" t="n">
        <v>0.318789625353476</v>
      </c>
      <c r="H201" s="0" t="n">
        <v>0.300363382663931</v>
      </c>
    </row>
    <row r="202" customFormat="false" ht="15" hidden="false" customHeight="false" outlineLevel="0" collapsed="false">
      <c r="A202" s="0" t="s">
        <v>1624</v>
      </c>
      <c r="B202" s="0" t="n">
        <v>217</v>
      </c>
      <c r="C202" s="0" t="n">
        <v>0.792670848621214</v>
      </c>
      <c r="D202" s="0" t="n">
        <v>0.202934307380475</v>
      </c>
      <c r="E202" s="0" t="n">
        <v>0.176197288187743</v>
      </c>
      <c r="F202" s="0" t="n">
        <v>0.688411077891109</v>
      </c>
      <c r="G202" s="0" t="n">
        <v>0.0505255525430858</v>
      </c>
      <c r="H202" s="0" t="n">
        <v>0.725044343989413</v>
      </c>
    </row>
    <row r="203" customFormat="false" ht="15" hidden="false" customHeight="false" outlineLevel="0" collapsed="false">
      <c r="A203" s="0" t="s">
        <v>1625</v>
      </c>
      <c r="B203" s="0" t="n">
        <v>94</v>
      </c>
      <c r="C203" s="0" t="n">
        <v>0.59284846615832</v>
      </c>
      <c r="D203" s="0" t="n">
        <v>0.187201934560889</v>
      </c>
      <c r="E203" s="0" t="n">
        <v>0.133046194001837</v>
      </c>
      <c r="F203" s="0" t="n">
        <v>0.520175385327383</v>
      </c>
      <c r="G203" s="0" t="n">
        <v>0.0403069351792427</v>
      </c>
      <c r="H203" s="0" t="n">
        <v>0.542022657446771</v>
      </c>
    </row>
    <row r="204" customFormat="false" ht="15" hidden="false" customHeight="false" outlineLevel="0" collapsed="false">
      <c r="A204" s="0" t="s">
        <v>1626</v>
      </c>
      <c r="B204" s="0" t="n">
        <v>127</v>
      </c>
      <c r="C204" s="0" t="n">
        <v>0.832172827138835</v>
      </c>
      <c r="D204" s="0" t="n">
        <v>0.567722530072867</v>
      </c>
      <c r="E204" s="0" t="n">
        <v>0.151988222130805</v>
      </c>
      <c r="F204" s="0" t="n">
        <v>0.584517734285076</v>
      </c>
      <c r="G204" s="0" t="n">
        <v>0.10865539064265</v>
      </c>
      <c r="H204" s="0" t="n">
        <v>0.655770762675625</v>
      </c>
    </row>
    <row r="205" customFormat="false" ht="15" hidden="false" customHeight="false" outlineLevel="0" collapsed="false">
      <c r="A205" s="0" t="s">
        <v>1627</v>
      </c>
      <c r="B205" s="0" t="n">
        <v>623</v>
      </c>
      <c r="C205" s="0" t="n">
        <v>0.98461362581209</v>
      </c>
      <c r="D205" s="0" t="n">
        <v>1.79136334458377</v>
      </c>
      <c r="E205" s="0" t="n">
        <v>0.153680164170371</v>
      </c>
      <c r="F205" s="0" t="n">
        <v>0.421334228376007</v>
      </c>
      <c r="G205" s="0" t="n">
        <v>0.139385601494066</v>
      </c>
      <c r="H205" s="0" t="n">
        <v>0.489573761614334</v>
      </c>
    </row>
    <row r="206" customFormat="false" ht="15" hidden="false" customHeight="false" outlineLevel="0" collapsed="false">
      <c r="A206" s="0" t="s">
        <v>1628</v>
      </c>
      <c r="B206" s="0" t="n">
        <v>469</v>
      </c>
      <c r="C206" s="0" t="n">
        <v>1.00483030675278</v>
      </c>
      <c r="D206" s="0" t="n">
        <v>0.227794654929151</v>
      </c>
      <c r="E206" s="0" t="n">
        <v>0.167167568423023</v>
      </c>
      <c r="F206" s="0" t="n">
        <v>0.858827009069677</v>
      </c>
      <c r="G206" s="0" t="n">
        <v>0.0486236656491669</v>
      </c>
      <c r="H206" s="0" t="n">
        <v>0.902720593376641</v>
      </c>
    </row>
    <row r="207" customFormat="false" ht="15" hidden="false" customHeight="false" outlineLevel="0" collapsed="false">
      <c r="A207" s="0" t="s">
        <v>1629</v>
      </c>
      <c r="B207" s="0" t="n">
        <v>994</v>
      </c>
      <c r="C207" s="0" t="n">
        <v>0.992145975908686</v>
      </c>
      <c r="D207" s="0" t="n">
        <v>0.206069253079181</v>
      </c>
      <c r="E207" s="0" t="n">
        <v>0.158173661255646</v>
      </c>
      <c r="F207" s="0" t="n">
        <v>0.859902079221819</v>
      </c>
      <c r="G207" s="0" t="n">
        <v>0.0533157351261134</v>
      </c>
      <c r="H207" s="0" t="n">
        <v>0.908330381234732</v>
      </c>
    </row>
    <row r="208" customFormat="false" ht="15" hidden="false" customHeight="false" outlineLevel="0" collapsed="false">
      <c r="A208" s="0" t="s">
        <v>1630</v>
      </c>
      <c r="B208" s="0" t="n">
        <v>42</v>
      </c>
      <c r="C208" s="0" t="n">
        <v>1.09699526436708</v>
      </c>
      <c r="D208" s="0" t="n">
        <v>1.24165921182802</v>
      </c>
      <c r="E208" s="0" t="n">
        <v>0.100169244792237</v>
      </c>
      <c r="F208" s="0" t="n">
        <v>0.569379550388359</v>
      </c>
      <c r="G208" s="0" t="n">
        <v>0.0363050212465582</v>
      </c>
      <c r="H208" s="0" t="n">
        <v>0.590829632758762</v>
      </c>
    </row>
    <row r="209" customFormat="false" ht="15" hidden="false" customHeight="false" outlineLevel="0" collapsed="false">
      <c r="A209" s="0" t="s">
        <v>1631</v>
      </c>
      <c r="B209" s="0" t="n">
        <v>909</v>
      </c>
      <c r="C209" s="0" t="n">
        <v>1.25602575586097</v>
      </c>
      <c r="D209" s="0" t="n">
        <v>0.504797211583988</v>
      </c>
      <c r="E209" s="0" t="n">
        <v>0.147181409788601</v>
      </c>
      <c r="F209" s="0" t="n">
        <v>0.912325300383201</v>
      </c>
      <c r="G209" s="0" t="n">
        <v>0.0896295029846323</v>
      </c>
      <c r="H209" s="0" t="n">
        <v>1.00214726133398</v>
      </c>
    </row>
    <row r="210" customFormat="false" ht="15" hidden="false" customHeight="false" outlineLevel="0" collapsed="false">
      <c r="A210" s="0" t="s">
        <v>1632</v>
      </c>
      <c r="B210" s="0" t="n">
        <v>63</v>
      </c>
      <c r="C210" s="0" t="n">
        <v>1.16920253953471</v>
      </c>
      <c r="D210" s="0" t="n">
        <v>0.525191502339295</v>
      </c>
      <c r="E210" s="0" t="n">
        <v>0.211292955749178</v>
      </c>
      <c r="F210" s="0" t="n">
        <v>0.839974272251864</v>
      </c>
      <c r="G210" s="0" t="n">
        <v>0.0770092918678775</v>
      </c>
      <c r="H210" s="0" t="n">
        <v>0.910057127174919</v>
      </c>
    </row>
    <row r="211" customFormat="false" ht="15" hidden="false" customHeight="false" outlineLevel="0" collapsed="false">
      <c r="A211" s="0" t="s">
        <v>1633</v>
      </c>
      <c r="B211" s="0" t="n">
        <v>952</v>
      </c>
      <c r="C211" s="0" t="n">
        <v>1.15362657054978</v>
      </c>
      <c r="D211" s="0" t="n">
        <v>0.235151368775619</v>
      </c>
      <c r="E211" s="0" t="n">
        <v>0.15726042292568</v>
      </c>
      <c r="F211" s="0" t="n">
        <v>0.981397688213229</v>
      </c>
      <c r="G211" s="0" t="n">
        <v>0.0588883611546447</v>
      </c>
      <c r="H211" s="0" t="n">
        <v>1.04280687615053</v>
      </c>
    </row>
    <row r="212" customFormat="false" ht="15" hidden="false" customHeight="false" outlineLevel="0" collapsed="false">
      <c r="A212" s="0" t="s">
        <v>1634</v>
      </c>
      <c r="B212" s="0" t="n">
        <v>212</v>
      </c>
      <c r="C212" s="0" t="n">
        <v>1.14293974579776</v>
      </c>
      <c r="D212" s="0" t="n">
        <v>0.199031279533569</v>
      </c>
      <c r="E212" s="0" t="n">
        <v>0.106606239022255</v>
      </c>
      <c r="F212" s="0" t="n">
        <v>0.995126584599254</v>
      </c>
      <c r="G212" s="0" t="n">
        <v>0.121692584588736</v>
      </c>
      <c r="H212" s="0" t="n">
        <v>1.13300487635447</v>
      </c>
    </row>
    <row r="213" customFormat="false" ht="15" hidden="false" customHeight="false" outlineLevel="0" collapsed="false">
      <c r="A213" s="0" t="s">
        <v>1635</v>
      </c>
      <c r="B213" s="0" t="n">
        <v>1225</v>
      </c>
      <c r="C213" s="0" t="n">
        <v>1.11669048230734</v>
      </c>
      <c r="D213" s="0" t="n">
        <v>0.15013413016659</v>
      </c>
      <c r="E213" s="0" t="n">
        <v>0.165808582681792</v>
      </c>
      <c r="F213" s="0" t="n">
        <v>1.00417733143953</v>
      </c>
      <c r="G213" s="0" t="n">
        <v>0.0628976107389634</v>
      </c>
      <c r="H213" s="0" t="n">
        <v>1.07157696207709</v>
      </c>
    </row>
    <row r="214" customFormat="false" ht="15" hidden="false" customHeight="false" outlineLevel="0" collapsed="false">
      <c r="A214" s="0" t="s">
        <v>1636</v>
      </c>
      <c r="B214" s="0" t="n">
        <v>343</v>
      </c>
      <c r="C214" s="0" t="n">
        <v>1.48610469895108</v>
      </c>
      <c r="D214" s="0" t="n">
        <v>0.0619026077984342</v>
      </c>
      <c r="E214" s="0" t="n">
        <v>0.129341109804057</v>
      </c>
      <c r="F214" s="0" t="n">
        <v>1.42048141746349</v>
      </c>
      <c r="G214" s="0" t="n">
        <v>0.0325002690564202</v>
      </c>
      <c r="H214" s="0" t="n">
        <v>1.46819825580533</v>
      </c>
    </row>
    <row r="215" customFormat="false" ht="15" hidden="false" customHeight="false" outlineLevel="0" collapsed="false">
      <c r="A215" s="0" t="s">
        <v>1637</v>
      </c>
      <c r="B215" s="0" t="n">
        <v>804</v>
      </c>
      <c r="C215" s="0" t="n">
        <v>1.03439557551706</v>
      </c>
      <c r="D215" s="0" t="n">
        <v>0.302718725387697</v>
      </c>
      <c r="E215" s="0" t="n">
        <v>0.167230436380808</v>
      </c>
      <c r="F215" s="0" t="n">
        <v>0.843771561072797</v>
      </c>
      <c r="G215" s="0" t="n">
        <v>0.0795315702677894</v>
      </c>
      <c r="H215" s="0" t="n">
        <v>0.916676263756567</v>
      </c>
    </row>
    <row r="216" customFormat="false" ht="15" hidden="false" customHeight="false" outlineLevel="0" collapsed="false">
      <c r="A216" s="0" t="s">
        <v>1638</v>
      </c>
      <c r="B216" s="0" t="n">
        <v>329</v>
      </c>
      <c r="C216" s="0" t="n">
        <v>0.797388174455074</v>
      </c>
      <c r="D216" s="0" t="n">
        <v>0.485030264490413</v>
      </c>
      <c r="E216" s="0" t="n">
        <v>0.151815592881826</v>
      </c>
      <c r="F216" s="0" t="n">
        <v>0.585463292268577</v>
      </c>
      <c r="G216" s="0" t="n">
        <v>0.102840543228732</v>
      </c>
      <c r="H216" s="0" t="n">
        <v>0.65257439783956</v>
      </c>
    </row>
    <row r="217" customFormat="false" ht="15" hidden="false" customHeight="false" outlineLevel="0" collapsed="false">
      <c r="A217" s="0" t="s">
        <v>1639</v>
      </c>
      <c r="B217" s="0" t="n">
        <v>1193</v>
      </c>
      <c r="C217" s="0" t="n">
        <v>1.23079009870406</v>
      </c>
      <c r="D217" s="0" t="n">
        <v>0.123498848590633</v>
      </c>
      <c r="E217" s="0" t="n">
        <v>0.0208116641761948</v>
      </c>
      <c r="F217" s="0" t="n">
        <v>1.12692462214656</v>
      </c>
      <c r="G217" s="0" t="n">
        <v>0.0456336237658262</v>
      </c>
      <c r="H217" s="0" t="n">
        <v>1.18080922611008</v>
      </c>
    </row>
    <row r="218" customFormat="false" ht="15" hidden="false" customHeight="false" outlineLevel="0" collapsed="false">
      <c r="A218" s="0" t="s">
        <v>1640</v>
      </c>
      <c r="B218" s="0" t="n">
        <v>1260</v>
      </c>
      <c r="C218" s="0" t="n">
        <v>1.06259030452223</v>
      </c>
      <c r="D218" s="0" t="n">
        <v>0.14939737515897</v>
      </c>
      <c r="E218" s="0" t="n">
        <v>0.103507601203015</v>
      </c>
      <c r="F218" s="0" t="n">
        <v>0.956000751176083</v>
      </c>
      <c r="G218" s="0" t="n">
        <v>0.042806876746127</v>
      </c>
      <c r="H218" s="0" t="n">
        <v>0.998754303547714</v>
      </c>
    </row>
    <row r="219" customFormat="false" ht="15" hidden="false" customHeight="false" outlineLevel="0" collapsed="false">
      <c r="A219" s="0" t="s">
        <v>1641</v>
      </c>
      <c r="B219" s="0" t="n">
        <v>281</v>
      </c>
      <c r="C219" s="0" t="n">
        <v>0.811740927910126</v>
      </c>
      <c r="D219" s="0" t="n">
        <v>0.286077711349016</v>
      </c>
      <c r="E219" s="0" t="n">
        <v>0.145495852658243</v>
      </c>
      <c r="F219" s="0" t="n">
        <v>0.66892547538892</v>
      </c>
      <c r="G219" s="0" t="n">
        <v>0.101603634835043</v>
      </c>
      <c r="H219" s="0" t="n">
        <v>0.744577228188247</v>
      </c>
    </row>
    <row r="220" customFormat="false" ht="15" hidden="false" customHeight="false" outlineLevel="0" collapsed="false">
      <c r="A220" s="0" t="s">
        <v>1642</v>
      </c>
      <c r="B220" s="0" t="n">
        <v>1158</v>
      </c>
      <c r="C220" s="0" t="n">
        <v>1.37347459397753</v>
      </c>
      <c r="D220" s="0" t="n">
        <v>0.137380258755348</v>
      </c>
      <c r="E220" s="0" t="n">
        <v>0.121977767438081</v>
      </c>
      <c r="F220" s="0" t="n">
        <v>1.24575156400843</v>
      </c>
      <c r="G220" s="0" t="n">
        <v>0.0707791737668292</v>
      </c>
      <c r="H220" s="0" t="n">
        <v>1.34064102831014</v>
      </c>
    </row>
    <row r="221" customFormat="false" ht="15" hidden="false" customHeight="false" outlineLevel="0" collapsed="false">
      <c r="A221" s="0" t="s">
        <v>1643</v>
      </c>
      <c r="B221" s="0" t="n">
        <v>122</v>
      </c>
      <c r="C221" s="0" t="n">
        <v>1.19705772657627</v>
      </c>
      <c r="D221" s="0" t="n">
        <v>0.163342318024327</v>
      </c>
      <c r="E221" s="0" t="n">
        <v>0.13277458911063</v>
      </c>
      <c r="F221" s="0" t="n">
        <v>1.06698921092809</v>
      </c>
      <c r="G221" s="0" t="n">
        <v>0.105315606161714</v>
      </c>
      <c r="H221" s="0" t="n">
        <v>1.19258726124706</v>
      </c>
    </row>
    <row r="222" customFormat="false" ht="15" hidden="false" customHeight="false" outlineLevel="0" collapsed="false">
      <c r="A222" s="0" t="s">
        <v>1644</v>
      </c>
      <c r="B222" s="0" t="n">
        <v>1481</v>
      </c>
      <c r="C222" s="0" t="n">
        <v>1.59818800996266</v>
      </c>
      <c r="D222" s="0" t="n">
        <v>0.14168471607894</v>
      </c>
      <c r="E222" s="0" t="n">
        <v>0.118861693644047</v>
      </c>
      <c r="F222" s="0" t="n">
        <v>1.44535697044081</v>
      </c>
      <c r="G222" s="0" t="n">
        <v>0.0785128807567931</v>
      </c>
      <c r="H222" s="0" t="n">
        <v>1.56850480083524</v>
      </c>
    </row>
    <row r="223" customFormat="false" ht="15" hidden="false" customHeight="false" outlineLevel="0" collapsed="false">
      <c r="A223" s="0" t="s">
        <v>1645</v>
      </c>
      <c r="B223" s="0" t="n">
        <v>1390</v>
      </c>
      <c r="C223" s="0" t="n">
        <v>1.00104919967825</v>
      </c>
      <c r="D223" s="0" t="n">
        <v>0.765518743477167</v>
      </c>
      <c r="E223" s="0" t="n">
        <v>0.176579048057505</v>
      </c>
      <c r="F223" s="0" t="n">
        <v>0.63708074242509</v>
      </c>
      <c r="G223" s="0" t="n">
        <v>0.160982288982341</v>
      </c>
      <c r="H223" s="0" t="n">
        <v>0.759317394685701</v>
      </c>
    </row>
    <row r="224" customFormat="false" ht="15" hidden="false" customHeight="false" outlineLevel="0" collapsed="false">
      <c r="A224" s="0" t="s">
        <v>1646</v>
      </c>
      <c r="B224" s="0" t="n">
        <v>733</v>
      </c>
      <c r="C224" s="0" t="n">
        <v>1.01273062606517</v>
      </c>
      <c r="D224" s="0" t="n">
        <v>0.127331705363779</v>
      </c>
      <c r="E224" s="0" t="n">
        <v>0.0802914183132733</v>
      </c>
      <c r="F224" s="0" t="n">
        <v>0.924844796824009</v>
      </c>
      <c r="G224" s="0" t="n">
        <v>0.0582770037353487</v>
      </c>
      <c r="H224" s="0" t="n">
        <v>0.982077320499138</v>
      </c>
    </row>
    <row r="225" customFormat="false" ht="15" hidden="false" customHeight="false" outlineLevel="0" collapsed="false">
      <c r="A225" s="0" t="s">
        <v>1647</v>
      </c>
      <c r="B225" s="0" t="n">
        <v>397</v>
      </c>
      <c r="C225" s="0" t="n">
        <v>1.10181489675495</v>
      </c>
      <c r="D225" s="0" t="n">
        <v>0.356988550754999</v>
      </c>
      <c r="E225" s="0" t="n">
        <v>0.128003871059393</v>
      </c>
      <c r="F225" s="0" t="n">
        <v>0.870022909871501</v>
      </c>
      <c r="G225" s="0" t="n">
        <v>0.0418220938430155</v>
      </c>
      <c r="H225" s="0" t="n">
        <v>0.90799725633515</v>
      </c>
    </row>
    <row r="226" customFormat="false" ht="15" hidden="false" customHeight="false" outlineLevel="0" collapsed="false">
      <c r="A226" s="0" t="s">
        <v>1648</v>
      </c>
      <c r="B226" s="0" t="n">
        <v>428</v>
      </c>
      <c r="C226" s="0" t="n">
        <v>0.669898344571882</v>
      </c>
      <c r="D226" s="0" t="n">
        <v>0.590406671172477</v>
      </c>
      <c r="E226" s="0" t="n">
        <v>0.156279574490728</v>
      </c>
      <c r="F226" s="0" t="n">
        <v>0.465006811424829</v>
      </c>
      <c r="G226" s="0" t="n">
        <v>0.0561523945679476</v>
      </c>
      <c r="H226" s="0" t="n">
        <v>0.49267149564041</v>
      </c>
    </row>
    <row r="227" customFormat="false" ht="15" hidden="false" customHeight="false" outlineLevel="0" collapsed="false">
      <c r="A227" s="0" t="s">
        <v>1649</v>
      </c>
      <c r="B227" s="0" t="n">
        <v>1138</v>
      </c>
      <c r="C227" s="0" t="n">
        <v>0.823487951269896</v>
      </c>
      <c r="D227" s="0" t="n">
        <v>2.64814477609208</v>
      </c>
      <c r="E227" s="0" t="n">
        <v>0.159055245939882</v>
      </c>
      <c r="F227" s="0" t="n">
        <v>0.276680798626579</v>
      </c>
      <c r="G227" s="0" t="n">
        <v>0.0624639307455022</v>
      </c>
      <c r="H227" s="0" t="n">
        <v>0.29511483099161</v>
      </c>
    </row>
    <row r="228" customFormat="false" ht="15" hidden="false" customHeight="false" outlineLevel="0" collapsed="false">
      <c r="A228" s="0" t="s">
        <v>1650</v>
      </c>
      <c r="B228" s="0" t="n">
        <v>1450</v>
      </c>
      <c r="C228" s="0" t="n">
        <v>0.673724451459606</v>
      </c>
      <c r="D228" s="0" t="n">
        <v>0.371025954148074</v>
      </c>
      <c r="E228" s="0" t="n">
        <v>0.163515703591188</v>
      </c>
      <c r="F228" s="0" t="n">
        <v>0.527626445827316</v>
      </c>
      <c r="G228" s="0" t="n">
        <v>0.0581889066938681</v>
      </c>
      <c r="H228" s="0" t="n">
        <v>0.560225346226425</v>
      </c>
    </row>
    <row r="229" customFormat="false" ht="15" hidden="false" customHeight="false" outlineLevel="0" collapsed="false">
      <c r="A229" s="0" t="s">
        <v>1651</v>
      </c>
      <c r="B229" s="0" t="n">
        <v>183</v>
      </c>
      <c r="C229" s="0" t="n">
        <v>0.68481758765958</v>
      </c>
      <c r="D229" s="0" t="n">
        <v>0.582435102421017</v>
      </c>
      <c r="E229" s="0" t="n">
        <v>0.174383480138795</v>
      </c>
      <c r="F229" s="0" t="n">
        <v>0.477334131919322</v>
      </c>
      <c r="G229" s="0" t="n">
        <v>0.0431835338913063</v>
      </c>
      <c r="H229" s="0" t="n">
        <v>0.498877421978958</v>
      </c>
    </row>
    <row r="230" customFormat="false" ht="15" hidden="false" customHeight="false" outlineLevel="0" collapsed="false">
      <c r="A230" s="0" t="s">
        <v>1652</v>
      </c>
      <c r="B230" s="0" t="n">
        <v>383</v>
      </c>
      <c r="C230" s="0" t="n">
        <v>0.967509667065973</v>
      </c>
      <c r="D230" s="0" t="n">
        <v>0.257275461992764</v>
      </c>
      <c r="E230" s="0" t="n">
        <v>0.153913964584434</v>
      </c>
      <c r="F230" s="0" t="n">
        <v>0.811665998886417</v>
      </c>
      <c r="G230" s="0" t="n">
        <v>0.135038929134352</v>
      </c>
      <c r="H230" s="0" t="n">
        <v>0.938384427028729</v>
      </c>
    </row>
    <row r="231" customFormat="false" ht="15" hidden="false" customHeight="false" outlineLevel="0" collapsed="false">
      <c r="A231" s="0" t="s">
        <v>1653</v>
      </c>
      <c r="B231" s="0" t="n">
        <v>258</v>
      </c>
      <c r="C231" s="0" t="n">
        <v>0.836652834315582</v>
      </c>
      <c r="D231" s="0" t="n">
        <v>0.714296022846501</v>
      </c>
      <c r="E231" s="0" t="n">
        <v>0.110033475075601</v>
      </c>
      <c r="F231" s="0" t="n">
        <v>0.5457336300463</v>
      </c>
      <c r="G231" s="0" t="n">
        <v>0.0371675643070953</v>
      </c>
      <c r="H231" s="0" t="n">
        <v>0.566800213428167</v>
      </c>
    </row>
    <row r="232" customFormat="false" ht="15" hidden="false" customHeight="false" outlineLevel="0" collapsed="false">
      <c r="A232" s="0" t="s">
        <v>1654</v>
      </c>
      <c r="B232" s="0" t="n">
        <v>842</v>
      </c>
      <c r="C232" s="0" t="n">
        <v>1.18195393003005</v>
      </c>
      <c r="D232" s="0" t="n">
        <v>0.138614236867453</v>
      </c>
      <c r="E232" s="0" t="n">
        <v>0.0845123862055015</v>
      </c>
      <c r="F232" s="0" t="n">
        <v>1.07114620619297</v>
      </c>
      <c r="G232" s="0" t="n">
        <v>0.0406302501025909</v>
      </c>
      <c r="H232" s="0" t="n">
        <v>1.11651029887852</v>
      </c>
    </row>
    <row r="233" customFormat="false" ht="15" hidden="false" customHeight="false" outlineLevel="0" collapsed="false">
      <c r="A233" s="0" t="s">
        <v>1655</v>
      </c>
      <c r="B233" s="0" t="n">
        <v>478</v>
      </c>
      <c r="C233" s="0" t="n">
        <v>0.916558867242304</v>
      </c>
      <c r="D233" s="0" t="n">
        <v>0.381262407653735</v>
      </c>
      <c r="E233" s="0" t="n">
        <v>0.146224705783529</v>
      </c>
      <c r="F233" s="0" t="n">
        <v>0.713532957453307</v>
      </c>
      <c r="G233" s="0" t="n">
        <v>0.083653516918981</v>
      </c>
      <c r="H233" s="0" t="n">
        <v>0.778671573065032</v>
      </c>
    </row>
    <row r="234" customFormat="false" ht="15" hidden="false" customHeight="false" outlineLevel="0" collapsed="false">
      <c r="A234" s="0" t="s">
        <v>1656</v>
      </c>
      <c r="B234" s="0" t="n">
        <v>430</v>
      </c>
      <c r="C234" s="0" t="n">
        <v>1.28992021299785</v>
      </c>
      <c r="D234" s="0" t="n">
        <v>0.139584391567068</v>
      </c>
      <c r="E234" s="0" t="n">
        <v>0.0785808400669145</v>
      </c>
      <c r="F234" s="0" t="n">
        <v>1.16822416247603</v>
      </c>
      <c r="G234" s="0" t="n">
        <v>0.0323257780181359</v>
      </c>
      <c r="H234" s="0" t="n">
        <v>1.20724943988218</v>
      </c>
    </row>
    <row r="235" customFormat="false" ht="15" hidden="false" customHeight="false" outlineLevel="0" collapsed="false">
      <c r="A235" s="0" t="s">
        <v>1657</v>
      </c>
      <c r="B235" s="0" t="n">
        <v>160</v>
      </c>
      <c r="C235" s="0" t="n">
        <v>0.960230951281192</v>
      </c>
      <c r="D235" s="0" t="n">
        <v>0.399008522662108</v>
      </c>
      <c r="E235" s="0" t="n">
        <v>0.197275471356642</v>
      </c>
      <c r="F235" s="0" t="n">
        <v>0.739902685004126</v>
      </c>
      <c r="G235" s="0" t="n">
        <v>0.100312448337853</v>
      </c>
      <c r="H235" s="0" t="n">
        <v>0.82239960265892</v>
      </c>
    </row>
    <row r="236" customFormat="false" ht="15" hidden="false" customHeight="false" outlineLevel="0" collapsed="false">
      <c r="A236" s="0" t="s">
        <v>1658</v>
      </c>
      <c r="B236" s="0" t="n">
        <v>249</v>
      </c>
      <c r="C236" s="0" t="n">
        <v>0.760179925312259</v>
      </c>
      <c r="D236" s="0" t="n">
        <v>0.465833646780649</v>
      </c>
      <c r="E236" s="0" t="n">
        <v>0.184602253686815</v>
      </c>
      <c r="F236" s="0" t="n">
        <v>0.564077463918885</v>
      </c>
      <c r="G236" s="0" t="n">
        <v>0.0338682392767835</v>
      </c>
      <c r="H236" s="0" t="n">
        <v>0.583851485740033</v>
      </c>
    </row>
    <row r="237" customFormat="false" ht="15" hidden="false" customHeight="false" outlineLevel="0" collapsed="false">
      <c r="A237" s="0" t="s">
        <v>1659</v>
      </c>
      <c r="B237" s="0" t="n">
        <v>656</v>
      </c>
      <c r="C237" s="0" t="n">
        <v>0.798430238126723</v>
      </c>
      <c r="D237" s="0" t="n">
        <v>0.402401914532506</v>
      </c>
      <c r="E237" s="0" t="n">
        <v>0.150647666634868</v>
      </c>
      <c r="F237" s="0" t="n">
        <v>0.614029479953857</v>
      </c>
      <c r="G237" s="0" t="n">
        <v>0.0642995987962928</v>
      </c>
      <c r="H237" s="0" t="n">
        <v>0.656224448727344</v>
      </c>
    </row>
    <row r="238" customFormat="false" ht="15" hidden="false" customHeight="false" outlineLevel="0" collapsed="false">
      <c r="A238" s="0" t="s">
        <v>1660</v>
      </c>
      <c r="B238" s="0" t="n">
        <v>588</v>
      </c>
      <c r="C238" s="0" t="n">
        <v>0.830105897840148</v>
      </c>
      <c r="D238" s="0" t="n">
        <v>0.156741690120733</v>
      </c>
      <c r="E238" s="0" t="n">
        <v>0.131147996044207</v>
      </c>
      <c r="F238" s="0" t="n">
        <v>0.743172330958731</v>
      </c>
      <c r="G238" s="0" t="n">
        <v>0.0400081587968372</v>
      </c>
      <c r="H238" s="0" t="n">
        <v>0.774144424006051</v>
      </c>
    </row>
    <row r="239" customFormat="false" ht="15" hidden="false" customHeight="false" outlineLevel="0" collapsed="false">
      <c r="A239" s="0" t="s">
        <v>1661</v>
      </c>
      <c r="B239" s="0" t="n">
        <v>86</v>
      </c>
      <c r="C239" s="0" t="n">
        <v>1.02372059331953</v>
      </c>
      <c r="D239" s="0" t="n">
        <v>0.319802750209393</v>
      </c>
      <c r="E239" s="0" t="n">
        <v>0.198179470260342</v>
      </c>
      <c r="F239" s="0" t="n">
        <v>0.826468382455036</v>
      </c>
      <c r="G239" s="0" t="n">
        <v>0.0540982249990836</v>
      </c>
      <c r="H239" s="0" t="n">
        <v>0.873735946265916</v>
      </c>
    </row>
    <row r="240" customFormat="false" ht="15" hidden="false" customHeight="false" outlineLevel="0" collapsed="false">
      <c r="A240" s="0" t="s">
        <v>1662</v>
      </c>
      <c r="B240" s="0" t="n">
        <v>204</v>
      </c>
      <c r="C240" s="0" t="n">
        <v>0.510235581844677</v>
      </c>
      <c r="D240" s="0" t="n">
        <v>0.30061467815217</v>
      </c>
      <c r="E240" s="0" t="n">
        <v>0.15381509699376</v>
      </c>
      <c r="F240" s="0" t="n">
        <v>0.416740400466315</v>
      </c>
      <c r="G240" s="0" t="n">
        <v>0.119087746591681</v>
      </c>
      <c r="H240" s="0" t="n">
        <v>0.473078219600095</v>
      </c>
    </row>
    <row r="241" customFormat="false" ht="15" hidden="false" customHeight="false" outlineLevel="0" collapsed="false">
      <c r="A241" s="0" t="s">
        <v>1663</v>
      </c>
      <c r="B241" s="0" t="n">
        <v>143</v>
      </c>
      <c r="C241" s="0" t="n">
        <v>0.803781339084474</v>
      </c>
      <c r="D241" s="0" t="n">
        <v>0.751348919523954</v>
      </c>
      <c r="E241" s="0" t="n">
        <v>0.172495275245315</v>
      </c>
      <c r="F241" s="0" t="n">
        <v>0.515002892415464</v>
      </c>
      <c r="G241" s="0" t="n">
        <v>0.352074092909861</v>
      </c>
      <c r="H241" s="0" t="n">
        <v>0.794848433717309</v>
      </c>
    </row>
    <row r="242" customFormat="false" ht="15" hidden="false" customHeight="false" outlineLevel="0" collapsed="false">
      <c r="A242" s="0" t="s">
        <v>1664</v>
      </c>
      <c r="B242" s="0" t="n">
        <v>248</v>
      </c>
      <c r="C242" s="0" t="n">
        <v>0.431826547963127</v>
      </c>
      <c r="D242" s="0" t="n">
        <v>0.163367581400532</v>
      </c>
      <c r="E242" s="0" t="n">
        <v>0.193768717970189</v>
      </c>
      <c r="F242" s="0" t="n">
        <v>0.384899169349906</v>
      </c>
      <c r="G242" s="0" t="n">
        <v>0.0666201750503527</v>
      </c>
      <c r="H242" s="0" t="n">
        <v>0.412371425931206</v>
      </c>
    </row>
    <row r="243" customFormat="false" ht="15" hidden="false" customHeight="false" outlineLevel="0" collapsed="false">
      <c r="A243" s="0" t="s">
        <v>1665</v>
      </c>
      <c r="B243" s="0" t="n">
        <v>1315</v>
      </c>
      <c r="C243" s="0" t="n">
        <v>0.74834020464177</v>
      </c>
      <c r="D243" s="0" t="n">
        <v>0.603388656192755</v>
      </c>
      <c r="E243" s="0" t="n">
        <v>0.072832480800928</v>
      </c>
      <c r="F243" s="0" t="n">
        <v>0.515986750628294</v>
      </c>
      <c r="G243" s="0" t="n">
        <v>0.0879002227645995</v>
      </c>
      <c r="H243" s="0" t="n">
        <v>0.565713054104962</v>
      </c>
    </row>
    <row r="244" customFormat="false" ht="15" hidden="false" customHeight="false" outlineLevel="0" collapsed="false">
      <c r="A244" s="0" t="s">
        <v>1666</v>
      </c>
      <c r="B244" s="0" t="n">
        <v>1553</v>
      </c>
      <c r="C244" s="0" t="n">
        <v>1.36947375800489</v>
      </c>
      <c r="D244" s="0" t="n">
        <v>0.135556933540955</v>
      </c>
      <c r="E244" s="0" t="n">
        <v>0.159921056019292</v>
      </c>
      <c r="F244" s="0" t="n">
        <v>1.2436577087493</v>
      </c>
      <c r="G244" s="0" t="n">
        <v>0.0646529808532859</v>
      </c>
      <c r="H244" s="0" t="n">
        <v>1.32962171610259</v>
      </c>
    </row>
    <row r="245" customFormat="false" ht="15" hidden="false" customHeight="false" outlineLevel="0" collapsed="false">
      <c r="A245" s="0" t="s">
        <v>1667</v>
      </c>
      <c r="B245" s="0" t="n">
        <v>1874</v>
      </c>
      <c r="C245" s="0" t="n">
        <v>1.23627124164994</v>
      </c>
      <c r="D245" s="0" t="n">
        <v>0.230423215714456</v>
      </c>
      <c r="E245" s="0" t="n">
        <v>0.0437231154305616</v>
      </c>
      <c r="F245" s="0" t="n">
        <v>1.05487058420557</v>
      </c>
      <c r="G245" s="0" t="n">
        <v>0.0628457414548879</v>
      </c>
      <c r="H245" s="0" t="n">
        <v>1.12561040467682</v>
      </c>
    </row>
    <row r="246" customFormat="false" ht="15" hidden="false" customHeight="false" outlineLevel="0" collapsed="false">
      <c r="A246" s="0" t="s">
        <v>1668</v>
      </c>
      <c r="B246" s="0" t="n">
        <v>139</v>
      </c>
      <c r="C246" s="0" t="n">
        <v>0.758696340294383</v>
      </c>
      <c r="D246" s="0" t="n">
        <v>0.285689718412683</v>
      </c>
      <c r="E246" s="0" t="n">
        <v>0.161925457575865</v>
      </c>
      <c r="F246" s="0" t="n">
        <v>0.625362626566199</v>
      </c>
      <c r="G246" s="0" t="n">
        <v>0.120819061685876</v>
      </c>
      <c r="H246" s="0" t="n">
        <v>0.711301393505375</v>
      </c>
    </row>
    <row r="247" customFormat="false" ht="15" hidden="false" customHeight="false" outlineLevel="0" collapsed="false">
      <c r="A247" s="0" t="s">
        <v>1669</v>
      </c>
      <c r="B247" s="0" t="n">
        <v>34</v>
      </c>
      <c r="C247" s="0" t="n">
        <v>0.688733058006266</v>
      </c>
      <c r="D247" s="0" t="n">
        <v>0.216017766382413</v>
      </c>
      <c r="E247" s="0" t="n">
        <v>0.282681944718466</v>
      </c>
      <c r="F247" s="0" t="n">
        <v>0.593114639491203</v>
      </c>
      <c r="G247" s="0" t="n">
        <v>0.0622213346472756</v>
      </c>
      <c r="H247" s="0" t="n">
        <v>0.632467618857714</v>
      </c>
    </row>
    <row r="248" customFormat="false" ht="15" hidden="false" customHeight="false" outlineLevel="0" collapsed="false">
      <c r="A248" s="0" t="s">
        <v>1670</v>
      </c>
      <c r="B248" s="0" t="n">
        <v>539</v>
      </c>
      <c r="C248" s="0" t="n">
        <v>0.885555467558471</v>
      </c>
      <c r="D248" s="0" t="n">
        <v>0.35816089298244</v>
      </c>
      <c r="E248" s="0" t="n">
        <v>0.08958282196878</v>
      </c>
      <c r="F248" s="0" t="n">
        <v>0.698775846220725</v>
      </c>
      <c r="G248" s="0" t="n">
        <v>0.0637868977150341</v>
      </c>
      <c r="H248" s="0" t="n">
        <v>0.746385459160163</v>
      </c>
    </row>
    <row r="249" customFormat="false" ht="15" hidden="false" customHeight="false" outlineLevel="0" collapsed="false">
      <c r="A249" s="0" t="s">
        <v>1671</v>
      </c>
      <c r="B249" s="0" t="n">
        <v>186</v>
      </c>
      <c r="C249" s="0" t="n">
        <v>0.653477888796321</v>
      </c>
      <c r="D249" s="0" t="n">
        <v>0.615400192964165</v>
      </c>
      <c r="E249" s="0" t="n">
        <v>0.1214413920534</v>
      </c>
      <c r="F249" s="0" t="n">
        <v>0.447810529867471</v>
      </c>
      <c r="G249" s="0" t="n">
        <v>0.0289354869188094</v>
      </c>
      <c r="H249" s="0" t="n">
        <v>0.461154252714443</v>
      </c>
    </row>
    <row r="250" customFormat="false" ht="15" hidden="false" customHeight="false" outlineLevel="0" collapsed="false">
      <c r="A250" s="0" t="s">
        <v>1672</v>
      </c>
      <c r="B250" s="0" t="n">
        <v>431</v>
      </c>
      <c r="C250" s="0" t="n">
        <v>0.948236000692988</v>
      </c>
      <c r="D250" s="0" t="n">
        <v>0.396630737347082</v>
      </c>
      <c r="E250" s="0" t="n">
        <v>0.137280303301699</v>
      </c>
      <c r="F250" s="0" t="n">
        <v>0.731660464855294</v>
      </c>
      <c r="G250" s="0" t="n">
        <v>0.08502511180768</v>
      </c>
      <c r="H250" s="0" t="n">
        <v>0.799650869436217</v>
      </c>
    </row>
    <row r="251" customFormat="false" ht="15" hidden="false" customHeight="false" outlineLevel="0" collapsed="false">
      <c r="A251" s="0" t="s">
        <v>1673</v>
      </c>
      <c r="B251" s="0" t="n">
        <v>438</v>
      </c>
      <c r="C251" s="0" t="n">
        <v>0.759135132570416</v>
      </c>
      <c r="D251" s="0" t="n">
        <v>0.526468902113759</v>
      </c>
      <c r="E251" s="0" t="n">
        <v>0.166652097054914</v>
      </c>
      <c r="F251" s="0" t="n">
        <v>0.545001861846194</v>
      </c>
      <c r="G251" s="0" t="n">
        <v>0.0530804489466399</v>
      </c>
      <c r="H251" s="0" t="n">
        <v>0.575552443964147</v>
      </c>
    </row>
    <row r="252" customFormat="false" ht="15" hidden="false" customHeight="false" outlineLevel="0" collapsed="false">
      <c r="A252" s="0" t="s">
        <v>1674</v>
      </c>
      <c r="B252" s="0" t="n">
        <v>271</v>
      </c>
      <c r="C252" s="0" t="n">
        <v>0.888690336278002</v>
      </c>
      <c r="D252" s="0" t="n">
        <v>0.780807824888902</v>
      </c>
      <c r="E252" s="0" t="n">
        <v>0.125066814237553</v>
      </c>
      <c r="F252" s="0" t="n">
        <v>0.561496719765989</v>
      </c>
      <c r="G252" s="0" t="n">
        <v>0.0804994160077349</v>
      </c>
      <c r="H252" s="0" t="n">
        <v>0.61065401103727</v>
      </c>
    </row>
    <row r="253" customFormat="false" ht="15" hidden="false" customHeight="false" outlineLevel="0" collapsed="false">
      <c r="A253" s="0" t="s">
        <v>473</v>
      </c>
      <c r="B253" s="0" t="n">
        <v>486</v>
      </c>
      <c r="C253" s="0" t="n">
        <v>0.713095834385215</v>
      </c>
      <c r="D253" s="0" t="n">
        <v>0.858657624884019</v>
      </c>
      <c r="E253" s="0" t="n">
        <v>0.178606338406082</v>
      </c>
      <c r="F253" s="0" t="n">
        <v>0.434598244890689</v>
      </c>
      <c r="G253" s="0" t="n">
        <v>0.0454533478922994</v>
      </c>
      <c r="H253" s="0" t="n">
        <v>0.45529282820391</v>
      </c>
    </row>
    <row r="254" customFormat="false" ht="15" hidden="false" customHeight="false" outlineLevel="0" collapsed="false">
      <c r="A254" s="0" t="s">
        <v>1675</v>
      </c>
      <c r="B254" s="0" t="n">
        <v>777</v>
      </c>
      <c r="C254" s="0" t="n">
        <v>1.39750272167059</v>
      </c>
      <c r="D254" s="0" t="n">
        <v>0.0905572321699365</v>
      </c>
      <c r="E254" s="0" t="n">
        <v>0.0511163404456418</v>
      </c>
      <c r="F254" s="0" t="n">
        <v>1.30903442808199</v>
      </c>
      <c r="G254" s="0" t="n">
        <v>0.0472392160355147</v>
      </c>
      <c r="H254" s="0" t="n">
        <v>1.37393819111135</v>
      </c>
    </row>
    <row r="255" customFormat="false" ht="15" hidden="false" customHeight="false" outlineLevel="0" collapsed="false">
      <c r="A255" s="0" t="s">
        <v>1676</v>
      </c>
      <c r="B255" s="0" t="n">
        <v>307</v>
      </c>
      <c r="C255" s="0" t="n">
        <v>0.816628062936414</v>
      </c>
      <c r="D255" s="0" t="n">
        <v>0.27988908403247</v>
      </c>
      <c r="E255" s="0" t="n">
        <v>0.150337447698557</v>
      </c>
      <c r="F255" s="0" t="n">
        <v>0.675523820802311</v>
      </c>
      <c r="G255" s="0" t="n">
        <v>0.132597079731546</v>
      </c>
      <c r="H255" s="0" t="n">
        <v>0.778788963026827</v>
      </c>
    </row>
    <row r="256" customFormat="false" ht="15" hidden="false" customHeight="false" outlineLevel="0" collapsed="false">
      <c r="A256" s="0" t="s">
        <v>1677</v>
      </c>
      <c r="B256" s="0" t="n">
        <v>643</v>
      </c>
      <c r="C256" s="0" t="n">
        <v>0.564915804176881</v>
      </c>
      <c r="D256" s="0" t="n">
        <v>0.800744543058251</v>
      </c>
      <c r="E256" s="0" t="n">
        <v>0.039720648455745</v>
      </c>
      <c r="F256" s="0" t="n">
        <v>0.353603744037734</v>
      </c>
      <c r="G256" s="0" t="n">
        <v>0.0224130341420816</v>
      </c>
      <c r="H256" s="0" t="n">
        <v>0.361710780101713</v>
      </c>
    </row>
    <row r="257" customFormat="false" ht="15" hidden="false" customHeight="false" outlineLevel="0" collapsed="false">
      <c r="A257" s="0" t="s">
        <v>1678</v>
      </c>
      <c r="B257" s="0" t="n">
        <v>895</v>
      </c>
      <c r="C257" s="0" t="n">
        <v>0.925596350921277</v>
      </c>
      <c r="D257" s="0" t="n">
        <v>1.91184334284376</v>
      </c>
      <c r="E257" s="0" t="n">
        <v>0.145204607023733</v>
      </c>
      <c r="F257" s="0" t="n">
        <v>0.381404746064012</v>
      </c>
      <c r="G257" s="0" t="n">
        <v>0.144723119359427</v>
      </c>
      <c r="H257" s="0" t="n">
        <v>0.445943009447833</v>
      </c>
    </row>
    <row r="258" customFormat="false" ht="15" hidden="false" customHeight="false" outlineLevel="0" collapsed="false">
      <c r="A258" s="0" t="s">
        <v>1679</v>
      </c>
      <c r="B258" s="0" t="n">
        <v>312</v>
      </c>
      <c r="C258" s="0" t="n">
        <v>0.927851096782394</v>
      </c>
      <c r="D258" s="0" t="n">
        <v>0.885591047052157</v>
      </c>
      <c r="E258" s="0" t="n">
        <v>0.142857053535546</v>
      </c>
      <c r="F258" s="0" t="n">
        <v>0.558637981984057</v>
      </c>
      <c r="G258" s="0" t="n">
        <v>0.0652624893639039</v>
      </c>
      <c r="H258" s="0" t="n">
        <v>0.597641557792946</v>
      </c>
    </row>
    <row r="259" customFormat="false" ht="15" hidden="false" customHeight="false" outlineLevel="0" collapsed="false">
      <c r="A259" s="0" t="s">
        <v>1680</v>
      </c>
      <c r="B259" s="0" t="n">
        <v>752</v>
      </c>
      <c r="C259" s="0" t="n">
        <v>0.781761597866153</v>
      </c>
      <c r="D259" s="0" t="n">
        <v>0.82502353436656</v>
      </c>
      <c r="E259" s="0" t="n">
        <v>0.142715382357555</v>
      </c>
      <c r="F259" s="0" t="n">
        <v>0.483848678167916</v>
      </c>
      <c r="G259" s="0" t="n">
        <v>0.0588878974776733</v>
      </c>
      <c r="H259" s="0" t="n">
        <v>0.514124382070028</v>
      </c>
    </row>
    <row r="260" customFormat="false" ht="15" hidden="false" customHeight="false" outlineLevel="0" collapsed="false">
      <c r="A260" s="0" t="s">
        <v>1681</v>
      </c>
      <c r="B260" s="0" t="n">
        <v>332</v>
      </c>
      <c r="C260" s="0" t="n">
        <v>1.0063798615893</v>
      </c>
      <c r="D260" s="0" t="n">
        <v>0.333676604865868</v>
      </c>
      <c r="E260" s="0" t="n">
        <v>0.147663142389578</v>
      </c>
      <c r="F260" s="0" t="n">
        <v>0.805733747320128</v>
      </c>
      <c r="G260" s="0" t="n">
        <v>0.0946512407835232</v>
      </c>
      <c r="H260" s="0" t="n">
        <v>0.889970565616549</v>
      </c>
    </row>
    <row r="261" customFormat="false" ht="15" hidden="false" customHeight="false" outlineLevel="0" collapsed="false">
      <c r="A261" s="0" t="s">
        <v>1682</v>
      </c>
      <c r="B261" s="0" t="n">
        <v>32</v>
      </c>
      <c r="C261" s="0" t="n">
        <v>0.989465601890378</v>
      </c>
      <c r="D261" s="0" t="n">
        <v>0.202795724408444</v>
      </c>
      <c r="E261" s="0" t="n">
        <v>0.17744375213121</v>
      </c>
      <c r="F261" s="0" t="n">
        <v>0.859398665485504</v>
      </c>
      <c r="G261" s="0" t="n">
        <v>0.0979030514319837</v>
      </c>
      <c r="H261" s="0" t="n">
        <v>0.952667744691642</v>
      </c>
    </row>
    <row r="262" customFormat="false" ht="15" hidden="false" customHeight="false" outlineLevel="0" collapsed="false">
      <c r="A262" s="0" t="s">
        <v>1683</v>
      </c>
      <c r="B262" s="0" t="n">
        <v>410</v>
      </c>
      <c r="C262" s="0" t="n">
        <v>0.754704218800529</v>
      </c>
      <c r="D262" s="0" t="n">
        <v>0.260140300006418</v>
      </c>
      <c r="E262" s="0" t="n">
        <v>0.152122577059624</v>
      </c>
      <c r="F262" s="0" t="n">
        <v>0.632005048538162</v>
      </c>
      <c r="G262" s="0" t="n">
        <v>0.043324502053616</v>
      </c>
      <c r="H262" s="0" t="n">
        <v>0.660626356475978</v>
      </c>
    </row>
    <row r="263" customFormat="false" ht="15" hidden="false" customHeight="false" outlineLevel="0" collapsed="false">
      <c r="A263" s="0" t="s">
        <v>1684</v>
      </c>
      <c r="B263" s="0" t="n">
        <v>212</v>
      </c>
      <c r="C263" s="0" t="n">
        <v>0.834553378384509</v>
      </c>
      <c r="D263" s="0" t="n">
        <v>0.527485319407323</v>
      </c>
      <c r="E263" s="0" t="n">
        <v>0.169316730416129</v>
      </c>
      <c r="F263" s="0" t="n">
        <v>0.598820375677143</v>
      </c>
      <c r="G263" s="0" t="n">
        <v>0.0491981289828358</v>
      </c>
      <c r="H263" s="0" t="n">
        <v>0.629805634518291</v>
      </c>
    </row>
    <row r="264" customFormat="false" ht="15" hidden="false" customHeight="false" outlineLevel="0" collapsed="false">
      <c r="A264" s="0" t="s">
        <v>1685</v>
      </c>
      <c r="B264" s="0" t="n">
        <v>121</v>
      </c>
      <c r="C264" s="0" t="n">
        <v>0.944888626318157</v>
      </c>
      <c r="D264" s="0" t="n">
        <v>0.259517979542786</v>
      </c>
      <c r="E264" s="0" t="n">
        <v>0.184388730114611</v>
      </c>
      <c r="F264" s="0" t="n">
        <v>0.791577304826203</v>
      </c>
      <c r="G264" s="0" t="n">
        <v>0.0162514810936272</v>
      </c>
      <c r="H264" s="0" t="n">
        <v>0.804654126144144</v>
      </c>
    </row>
    <row r="265" customFormat="false" ht="15" hidden="false" customHeight="false" outlineLevel="0" collapsed="false">
      <c r="A265" s="0" t="s">
        <v>1686</v>
      </c>
      <c r="B265" s="0" t="n">
        <v>1079</v>
      </c>
      <c r="C265" s="0" t="n">
        <v>0.813594303888037</v>
      </c>
      <c r="D265" s="0" t="n">
        <v>0.483356169075277</v>
      </c>
      <c r="E265" s="0" t="n">
        <v>0.174825384672243</v>
      </c>
      <c r="F265" s="0" t="n">
        <v>0.597910736003638</v>
      </c>
      <c r="G265" s="0" t="n">
        <v>0.0698151906586202</v>
      </c>
      <c r="H265" s="0" t="n">
        <v>0.642787035435453</v>
      </c>
    </row>
    <row r="266" customFormat="false" ht="15" hidden="false" customHeight="false" outlineLevel="0" collapsed="false">
      <c r="A266" s="0" t="s">
        <v>1687</v>
      </c>
      <c r="B266" s="0" t="n">
        <v>252</v>
      </c>
      <c r="C266" s="0" t="n">
        <v>0.982545804066855</v>
      </c>
      <c r="D266" s="0" t="n">
        <v>0.130445470606331</v>
      </c>
      <c r="E266" s="0" t="n">
        <v>0.176738823008401</v>
      </c>
      <c r="F266" s="0" t="n">
        <v>0.895379324323562</v>
      </c>
      <c r="G266" s="0" t="n">
        <v>0.0447024544030705</v>
      </c>
      <c r="H266" s="0" t="n">
        <v>0.937277949106498</v>
      </c>
    </row>
    <row r="267" customFormat="false" ht="15" hidden="false" customHeight="false" outlineLevel="0" collapsed="false">
      <c r="A267" s="0" t="s">
        <v>1688</v>
      </c>
      <c r="B267" s="0" t="n">
        <v>215</v>
      </c>
      <c r="C267" s="0" t="n">
        <v>0.8735269236418</v>
      </c>
      <c r="D267" s="0" t="n">
        <v>0.459611642563622</v>
      </c>
      <c r="E267" s="0" t="n">
        <v>0.208092535864714</v>
      </c>
      <c r="F267" s="0" t="n">
        <v>0.650425622051794</v>
      </c>
      <c r="G267" s="0" t="n">
        <v>0.0580597640181436</v>
      </c>
      <c r="H267" s="0" t="n">
        <v>0.690516868486678</v>
      </c>
    </row>
    <row r="268" customFormat="false" ht="15" hidden="false" customHeight="false" outlineLevel="0" collapsed="false">
      <c r="A268" s="0" t="s">
        <v>1689</v>
      </c>
      <c r="B268" s="0" t="n">
        <v>113</v>
      </c>
      <c r="C268" s="0" t="n">
        <v>0.607815409336427</v>
      </c>
      <c r="D268" s="0" t="n">
        <v>0.711326412868272</v>
      </c>
      <c r="E268" s="0" t="n">
        <v>0.0682137936717401</v>
      </c>
      <c r="F268" s="0" t="n">
        <v>0.397041046962914</v>
      </c>
      <c r="G268" s="0" t="n">
        <v>0.0252121234003903</v>
      </c>
      <c r="H268" s="0" t="n">
        <v>0.407310202038958</v>
      </c>
    </row>
    <row r="269" customFormat="false" ht="15" hidden="false" customHeight="false" outlineLevel="0" collapsed="false">
      <c r="A269" s="0" t="s">
        <v>1690</v>
      </c>
      <c r="B269" s="0" t="n">
        <v>649</v>
      </c>
      <c r="C269" s="0" t="n">
        <v>0.960415930446973</v>
      </c>
      <c r="D269" s="0" t="n">
        <v>0.183649503877924</v>
      </c>
      <c r="E269" s="0" t="n">
        <v>0.169212455494188</v>
      </c>
      <c r="F269" s="0" t="n">
        <v>0.844650182670491</v>
      </c>
      <c r="G269" s="0" t="n">
        <v>0.0652788116557214</v>
      </c>
      <c r="H269" s="0" t="n">
        <v>0.903638639203915</v>
      </c>
    </row>
    <row r="270" customFormat="false" ht="15" hidden="false" customHeight="false" outlineLevel="0" collapsed="false">
      <c r="A270" s="0" t="s">
        <v>1691</v>
      </c>
      <c r="B270" s="0" t="n">
        <v>91</v>
      </c>
      <c r="C270" s="0" t="n">
        <v>0.940759733104069</v>
      </c>
      <c r="D270" s="0" t="n">
        <v>0.441206774614619</v>
      </c>
      <c r="E270" s="0" t="n">
        <v>0.18036518549126</v>
      </c>
      <c r="F270" s="0" t="n">
        <v>0.707725203885836</v>
      </c>
      <c r="G270" s="0" t="n">
        <v>0.0935278160476309</v>
      </c>
      <c r="H270" s="0" t="n">
        <v>0.780746741505113</v>
      </c>
    </row>
    <row r="271" customFormat="false" ht="15" hidden="false" customHeight="false" outlineLevel="0" collapsed="false">
      <c r="A271" s="0" t="s">
        <v>1692</v>
      </c>
      <c r="B271" s="0" t="n">
        <v>675</v>
      </c>
      <c r="C271" s="0" t="n">
        <v>1.87676588865515</v>
      </c>
      <c r="D271" s="0" t="n">
        <v>0.0412529869213548</v>
      </c>
      <c r="E271" s="0" t="n">
        <v>0.0845518814018383</v>
      </c>
      <c r="F271" s="0" t="n">
        <v>1.82071145546785</v>
      </c>
      <c r="G271" s="0" t="n">
        <v>0.0257828954487389</v>
      </c>
      <c r="H271" s="0" t="n">
        <v>1.86889703225494</v>
      </c>
    </row>
    <row r="272" customFormat="false" ht="15" hidden="false" customHeight="false" outlineLevel="0" collapsed="false">
      <c r="A272" s="0" t="s">
        <v>1693</v>
      </c>
      <c r="B272" s="0" t="n">
        <v>391</v>
      </c>
      <c r="C272" s="0" t="n">
        <v>2.12576671026175</v>
      </c>
      <c r="D272" s="0" t="n">
        <v>0.056090790908642</v>
      </c>
      <c r="E272" s="0" t="n">
        <v>0.121858697263709</v>
      </c>
      <c r="F272" s="0" t="n">
        <v>2.04035626021037</v>
      </c>
      <c r="G272" s="0" t="n">
        <v>0.0363184549571265</v>
      </c>
      <c r="H272" s="0" t="n">
        <v>2.11725156583713</v>
      </c>
    </row>
    <row r="273" customFormat="false" ht="15" hidden="false" customHeight="false" outlineLevel="0" collapsed="false">
      <c r="A273" s="0" t="s">
        <v>1694</v>
      </c>
      <c r="B273" s="0" t="n">
        <v>359</v>
      </c>
      <c r="C273" s="0" t="n">
        <v>0.87439896476446</v>
      </c>
      <c r="D273" s="0" t="n">
        <v>0.416943773113586</v>
      </c>
      <c r="E273" s="0" t="n">
        <v>0.15062341327039</v>
      </c>
      <c r="F273" s="0" t="n">
        <v>0.666886984336554</v>
      </c>
      <c r="G273" s="0" t="n">
        <v>0.152755732377733</v>
      </c>
      <c r="H273" s="0" t="n">
        <v>0.787124811370075</v>
      </c>
    </row>
    <row r="274" customFormat="false" ht="15" hidden="false" customHeight="false" outlineLevel="0" collapsed="false">
      <c r="A274" s="0" t="s">
        <v>1695</v>
      </c>
      <c r="B274" s="0" t="n">
        <v>84</v>
      </c>
      <c r="C274" s="0" t="n">
        <v>0.918373284911281</v>
      </c>
      <c r="D274" s="0" t="n">
        <v>0.142940179583922</v>
      </c>
      <c r="E274" s="0" t="n">
        <v>0.150708199465437</v>
      </c>
      <c r="F274" s="0" t="n">
        <v>0.82984818722974</v>
      </c>
      <c r="G274" s="0" t="n">
        <v>0.0715699027141809</v>
      </c>
      <c r="H274" s="0" t="n">
        <v>0.893818704989989</v>
      </c>
    </row>
    <row r="275" customFormat="false" ht="15" hidden="false" customHeight="false" outlineLevel="0" collapsed="false">
      <c r="A275" s="0" t="s">
        <v>1696</v>
      </c>
      <c r="B275" s="0" t="n">
        <v>298</v>
      </c>
      <c r="C275" s="0" t="n">
        <v>1.24640731607947</v>
      </c>
      <c r="D275" s="0" t="n">
        <v>0.0313699409459121</v>
      </c>
      <c r="E275" s="0" t="n">
        <v>0.108731351944531</v>
      </c>
      <c r="F275" s="0" t="n">
        <v>1.21789471174531</v>
      </c>
      <c r="G275" s="0" t="n">
        <v>0.0135573771585018</v>
      </c>
      <c r="H275" s="0" t="n">
        <v>1.23463309831149</v>
      </c>
    </row>
    <row r="276" customFormat="false" ht="15" hidden="false" customHeight="false" outlineLevel="0" collapsed="false">
      <c r="A276" s="0" t="s">
        <v>1697</v>
      </c>
      <c r="B276" s="0" t="n">
        <v>150</v>
      </c>
      <c r="C276" s="0" t="n">
        <v>1.39213168861769</v>
      </c>
      <c r="D276" s="0" t="n">
        <v>0.100124952405449</v>
      </c>
      <c r="E276" s="0" t="n">
        <v>0.113249178001826</v>
      </c>
      <c r="F276" s="0" t="n">
        <v>1.29533969424471</v>
      </c>
      <c r="G276" s="0" t="n">
        <v>0.0311885298118818</v>
      </c>
      <c r="H276" s="0" t="n">
        <v>1.33704000634219</v>
      </c>
    </row>
    <row r="277" customFormat="false" ht="15" hidden="false" customHeight="false" outlineLevel="0" collapsed="false">
      <c r="A277" s="0" t="s">
        <v>1698</v>
      </c>
      <c r="B277" s="0" t="n">
        <v>1532</v>
      </c>
      <c r="C277" s="0" t="n">
        <v>1.35395526944513</v>
      </c>
      <c r="D277" s="0" t="n">
        <v>0.0583560950446119</v>
      </c>
      <c r="E277" s="0" t="n">
        <v>0.0903516572129841</v>
      </c>
      <c r="F277" s="0" t="n">
        <v>1.2974498323377</v>
      </c>
      <c r="G277" s="0" t="n">
        <v>0.0251703040585296</v>
      </c>
      <c r="H277" s="0" t="n">
        <v>1.33095025494136</v>
      </c>
    </row>
    <row r="278" customFormat="false" ht="15" hidden="false" customHeight="false" outlineLevel="0" collapsed="false">
      <c r="A278" s="0" t="s">
        <v>1699</v>
      </c>
      <c r="B278" s="0" t="n">
        <v>719</v>
      </c>
      <c r="C278" s="0" t="n">
        <v>1.12885823785002</v>
      </c>
      <c r="D278" s="0" t="n">
        <v>0.473355583391219</v>
      </c>
      <c r="E278" s="0" t="n">
        <v>0.145482037147661</v>
      </c>
      <c r="F278" s="0" t="n">
        <v>0.834173654864958</v>
      </c>
      <c r="G278" s="0" t="n">
        <v>0.102409623524874</v>
      </c>
      <c r="H278" s="0" t="n">
        <v>0.929347814691143</v>
      </c>
    </row>
    <row r="279" customFormat="false" ht="15" hidden="false" customHeight="false" outlineLevel="0" collapsed="false">
      <c r="A279" s="0" t="s">
        <v>1700</v>
      </c>
      <c r="B279" s="0" t="n">
        <v>101</v>
      </c>
      <c r="C279" s="0" t="n">
        <v>0.782417668371989</v>
      </c>
      <c r="D279" s="0" t="n">
        <v>0.499675198127862</v>
      </c>
      <c r="E279" s="0" t="n">
        <v>0.176699325391894</v>
      </c>
      <c r="F279" s="0" t="n">
        <v>0.569898271497088</v>
      </c>
      <c r="G279" s="0" t="n">
        <v>0.0546474967778466</v>
      </c>
      <c r="H279" s="0" t="n">
        <v>0.602842082244072</v>
      </c>
    </row>
    <row r="280" customFormat="false" ht="15" hidden="false" customHeight="false" outlineLevel="0" collapsed="false">
      <c r="A280" s="0" t="s">
        <v>1701</v>
      </c>
      <c r="B280" s="0" t="n">
        <v>437</v>
      </c>
      <c r="C280" s="0" t="n">
        <v>1.32791850959809</v>
      </c>
      <c r="D280" s="0" t="n">
        <v>0.0962493810118937</v>
      </c>
      <c r="E280" s="0" t="n">
        <v>0.0826890080041404</v>
      </c>
      <c r="F280" s="0" t="n">
        <v>1.23892536913345</v>
      </c>
      <c r="G280" s="0" t="n">
        <v>0.0454621317869767</v>
      </c>
      <c r="H280" s="0" t="n">
        <v>1.29793213071035</v>
      </c>
    </row>
    <row r="281" customFormat="false" ht="15" hidden="false" customHeight="false" outlineLevel="0" collapsed="false">
      <c r="A281" s="0" t="s">
        <v>1702</v>
      </c>
      <c r="B281" s="0" t="n">
        <v>283</v>
      </c>
      <c r="C281" s="0" t="n">
        <v>0.728977776374134</v>
      </c>
      <c r="D281" s="0" t="n">
        <v>0.731809184025997</v>
      </c>
      <c r="E281" s="0" t="n">
        <v>0.153960962842027</v>
      </c>
      <c r="F281" s="0" t="n">
        <v>0.471479582426334</v>
      </c>
      <c r="G281" s="0" t="n">
        <v>0.0499261440308927</v>
      </c>
      <c r="H281" s="0" t="n">
        <v>0.496255716820467</v>
      </c>
    </row>
    <row r="282" customFormat="false" ht="15" hidden="false" customHeight="false" outlineLevel="0" collapsed="false">
      <c r="A282" s="0" t="s">
        <v>1703</v>
      </c>
      <c r="B282" s="0" t="n">
        <v>48</v>
      </c>
      <c r="C282" s="0" t="n">
        <v>0.427279864326707</v>
      </c>
      <c r="D282" s="0" t="n">
        <v>0.236620125839663</v>
      </c>
      <c r="E282" s="0" t="n">
        <v>0.201301128869567</v>
      </c>
      <c r="F282" s="0" t="n">
        <v>0.363151148334039</v>
      </c>
      <c r="G282" s="0" t="n">
        <v>0.0298220685124286</v>
      </c>
      <c r="H282" s="0" t="n">
        <v>0.374313965044762</v>
      </c>
    </row>
    <row r="283" customFormat="false" ht="15" hidden="false" customHeight="false" outlineLevel="0" collapsed="false">
      <c r="A283" s="0" t="s">
        <v>1704</v>
      </c>
      <c r="B283" s="0" t="n">
        <v>451</v>
      </c>
      <c r="C283" s="0" t="n">
        <v>0.963862739373964</v>
      </c>
      <c r="D283" s="0" t="n">
        <v>0.53469828827839</v>
      </c>
      <c r="E283" s="0" t="n">
        <v>0.175875066676659</v>
      </c>
      <c r="F283" s="0" t="n">
        <v>0.688943179291094</v>
      </c>
      <c r="G283" s="0" t="n">
        <v>0.0782913801732681</v>
      </c>
      <c r="H283" s="0" t="n">
        <v>0.747463096765446</v>
      </c>
    </row>
    <row r="284" customFormat="false" ht="15" hidden="false" customHeight="false" outlineLevel="0" collapsed="false">
      <c r="A284" s="0" t="s">
        <v>1705</v>
      </c>
      <c r="B284" s="0" t="n">
        <v>54</v>
      </c>
      <c r="C284" s="0" t="n">
        <v>0.719978931739368</v>
      </c>
      <c r="D284" s="0" t="n">
        <v>0.474412874709682</v>
      </c>
      <c r="E284" s="0" t="n">
        <v>0.241903990276941</v>
      </c>
      <c r="F284" s="0" t="n">
        <v>0.531720859821286</v>
      </c>
      <c r="G284" s="0" t="n">
        <v>0.0408386311537104</v>
      </c>
      <c r="H284" s="0" t="n">
        <v>0.554360170344284</v>
      </c>
    </row>
    <row r="285" customFormat="false" ht="15" hidden="false" customHeight="false" outlineLevel="0" collapsed="false">
      <c r="A285" s="0" t="s">
        <v>1706</v>
      </c>
      <c r="B285" s="0" t="n">
        <v>130</v>
      </c>
      <c r="C285" s="0" t="n">
        <v>0.849780782102148</v>
      </c>
      <c r="D285" s="0" t="n">
        <v>0.398745165024461</v>
      </c>
      <c r="E285" s="0" t="n">
        <v>0.200288225667404</v>
      </c>
      <c r="F285" s="0" t="n">
        <v>0.654894865103533</v>
      </c>
      <c r="G285" s="0" t="n">
        <v>0.0330035199332616</v>
      </c>
      <c r="H285" s="0" t="n">
        <v>0.677246379488718</v>
      </c>
    </row>
    <row r="286" customFormat="false" ht="15" hidden="false" customHeight="false" outlineLevel="0" collapsed="false">
      <c r="A286" s="0" t="s">
        <v>1707</v>
      </c>
      <c r="B286" s="0" t="n">
        <v>52</v>
      </c>
      <c r="C286" s="0" t="n">
        <v>0.503859118747523</v>
      </c>
      <c r="D286" s="0" t="n">
        <v>0.762281982069009</v>
      </c>
      <c r="E286" s="0" t="n">
        <v>0.185377356554116</v>
      </c>
      <c r="F286" s="0" t="n">
        <v>0.321156221093601</v>
      </c>
      <c r="G286" s="0" t="n">
        <v>0.0395489352153142</v>
      </c>
      <c r="H286" s="0" t="n">
        <v>0.334380618512405</v>
      </c>
    </row>
    <row r="287" customFormat="false" ht="15" hidden="false" customHeight="false" outlineLevel="0" collapsed="false">
      <c r="A287" s="0" t="s">
        <v>1708</v>
      </c>
      <c r="B287" s="0" t="n">
        <v>106</v>
      </c>
      <c r="C287" s="0" t="n">
        <v>0.704595910645127</v>
      </c>
      <c r="D287" s="0" t="n">
        <v>0.912718953231838</v>
      </c>
      <c r="E287" s="0" t="n">
        <v>0.160900035789988</v>
      </c>
      <c r="F287" s="0" t="n">
        <v>0.419112403068721</v>
      </c>
      <c r="G287" s="0" t="n">
        <v>0.05889031741834</v>
      </c>
      <c r="H287" s="0" t="n">
        <v>0.445338530487763</v>
      </c>
    </row>
    <row r="288" customFormat="false" ht="15" hidden="false" customHeight="false" outlineLevel="0" collapsed="false">
      <c r="A288" s="0" t="s">
        <v>1709</v>
      </c>
      <c r="B288" s="0" t="n">
        <v>48156</v>
      </c>
      <c r="C288" s="0" t="n">
        <v>1.0402864076511</v>
      </c>
      <c r="D288" s="0" t="n">
        <v>0.514786590525097</v>
      </c>
      <c r="E288" s="0" t="n">
        <v>0.133104609765863</v>
      </c>
      <c r="F288" s="0" t="n">
        <v>0.751551442118445</v>
      </c>
      <c r="G288" s="0" t="n">
        <v>0.0970364023899246</v>
      </c>
      <c r="H288" s="0" t="n">
        <v>0.832316434580108</v>
      </c>
    </row>
    <row r="289" customFormat="false" ht="15" hidden="false" customHeight="false" outlineLevel="0" collapsed="false">
      <c r="A289" s="0" t="s">
        <v>1710</v>
      </c>
      <c r="B289" s="0" t="n">
        <v>43056</v>
      </c>
      <c r="C289" s="0" t="n">
        <v>1.07744301001177</v>
      </c>
      <c r="D289" s="0" t="n">
        <v>0.259492678070293</v>
      </c>
      <c r="E289" s="0" t="n">
        <v>0.131253966850987</v>
      </c>
      <c r="F289" s="0" t="n">
        <v>0.902638577612819</v>
      </c>
      <c r="G289" s="0" t="n">
        <v>0.0551885125778998</v>
      </c>
      <c r="H289" s="0" t="n">
        <v>0.95536367797099</v>
      </c>
    </row>
    <row r="291" customFormat="false" ht="15" hidden="false" customHeight="false" outlineLevel="0" collapsed="false">
      <c r="A291" s="156" t="s">
        <v>1711</v>
      </c>
    </row>
    <row r="292" customFormat="false" ht="15" hidden="false" customHeight="false" outlineLevel="0" collapsed="false">
      <c r="A292" s="12" t="s">
        <v>1608</v>
      </c>
      <c r="B292" s="12" t="s">
        <v>1609</v>
      </c>
      <c r="C292" s="12" t="s">
        <v>1610</v>
      </c>
      <c r="D292" s="12" t="s">
        <v>1611</v>
      </c>
      <c r="E292" s="12" t="s">
        <v>1612</v>
      </c>
      <c r="F292" s="12" t="s">
        <v>1613</v>
      </c>
      <c r="G292" s="12" t="s">
        <v>1614</v>
      </c>
      <c r="H292" s="12" t="s">
        <v>1615</v>
      </c>
    </row>
    <row r="293" customFormat="false" ht="15" hidden="false" customHeight="false" outlineLevel="0" collapsed="false">
      <c r="A293" s="0" t="s">
        <v>1616</v>
      </c>
      <c r="B293" s="0" t="n">
        <v>24</v>
      </c>
      <c r="C293" s="0" t="n">
        <v>1.40291198781259</v>
      </c>
      <c r="D293" s="0" t="n">
        <v>0.0487897114361686</v>
      </c>
      <c r="E293" s="0" t="n">
        <v>0.221486422020993</v>
      </c>
      <c r="F293" s="0" t="n">
        <v>1.35658095256188</v>
      </c>
      <c r="G293" s="0" t="n">
        <v>0.0649014029807401</v>
      </c>
      <c r="H293" s="0" t="n">
        <v>1.45073573726466</v>
      </c>
    </row>
    <row r="294" customFormat="false" ht="15" hidden="false" customHeight="false" outlineLevel="0" collapsed="false">
      <c r="A294" s="0" t="s">
        <v>1617</v>
      </c>
      <c r="B294" s="0" t="n">
        <v>23</v>
      </c>
      <c r="C294" s="0" t="n">
        <v>1.40367310709259</v>
      </c>
      <c r="D294" s="0" t="n">
        <v>0.0393177745780587</v>
      </c>
      <c r="E294" s="0" t="n">
        <v>0.227137262000918</v>
      </c>
      <c r="F294" s="0" t="n">
        <v>1.3660753764958</v>
      </c>
      <c r="G294" s="0" t="n">
        <v>0.0873354052483914</v>
      </c>
      <c r="H294" s="0" t="n">
        <v>1.49679891643829</v>
      </c>
    </row>
    <row r="295" customFormat="false" ht="15" hidden="false" customHeight="false" outlineLevel="0" collapsed="false">
      <c r="A295" s="0" t="s">
        <v>1618</v>
      </c>
      <c r="B295" s="0" t="n">
        <v>5</v>
      </c>
      <c r="C295" s="0" t="n">
        <v>1.00100957144732</v>
      </c>
      <c r="D295" s="0" t="n">
        <v>0.391345319030491</v>
      </c>
      <c r="E295" s="0" t="n">
        <v>0.218888047373728</v>
      </c>
      <c r="F295" s="0" t="n">
        <v>0.78575774160026</v>
      </c>
      <c r="G295" s="0" t="n">
        <v>0.0526029045525305</v>
      </c>
      <c r="H295" s="0" t="n">
        <v>0.829385846099871</v>
      </c>
    </row>
    <row r="296" customFormat="false" ht="15" hidden="false" customHeight="false" outlineLevel="0" collapsed="false">
      <c r="A296" s="0" t="s">
        <v>1619</v>
      </c>
      <c r="B296" s="0" t="n">
        <v>386</v>
      </c>
      <c r="C296" s="0" t="n">
        <v>0.550123137233007</v>
      </c>
      <c r="D296" s="0" t="n">
        <v>0.16930500542554</v>
      </c>
      <c r="E296" s="0" t="n">
        <v>0.167580724448328</v>
      </c>
      <c r="F296" s="0" t="n">
        <v>0.491834148953125</v>
      </c>
      <c r="G296" s="0" t="n">
        <v>0.0190981095898783</v>
      </c>
      <c r="H296" s="0" t="n">
        <v>0.501410134654227</v>
      </c>
    </row>
    <row r="297" customFormat="false" ht="15" hidden="false" customHeight="false" outlineLevel="0" collapsed="false">
      <c r="A297" s="0" t="s">
        <v>1620</v>
      </c>
      <c r="B297" s="0" t="n">
        <v>19</v>
      </c>
      <c r="C297" s="0" t="n">
        <v>1.34940055991589</v>
      </c>
      <c r="D297" s="0" t="n">
        <v>0.356865428652902</v>
      </c>
      <c r="E297" s="0" t="n">
        <v>0.210052811521153</v>
      </c>
      <c r="F297" s="0" t="n">
        <v>1.07968818824037</v>
      </c>
      <c r="G297" s="0" t="n">
        <v>0.0246907112402291</v>
      </c>
      <c r="H297" s="0" t="n">
        <v>1.10702133229279</v>
      </c>
    </row>
    <row r="298" customFormat="false" ht="15" hidden="false" customHeight="false" outlineLevel="0" collapsed="false">
      <c r="A298" s="0" t="s">
        <v>1621</v>
      </c>
      <c r="B298" s="0" t="n">
        <v>120</v>
      </c>
      <c r="C298" s="0" t="n">
        <v>0.953331904798175</v>
      </c>
      <c r="D298" s="0" t="n">
        <v>0.117601210506367</v>
      </c>
      <c r="E298" s="0" t="n">
        <v>0.239505300724752</v>
      </c>
      <c r="F298" s="0" t="n">
        <v>0.880821899650577</v>
      </c>
      <c r="G298" s="0" t="n">
        <v>0.0220139005732754</v>
      </c>
      <c r="H298" s="0" t="n">
        <v>0.900648690371874</v>
      </c>
    </row>
    <row r="299" customFormat="false" ht="15" hidden="false" customHeight="false" outlineLevel="0" collapsed="false">
      <c r="A299" s="0" t="s">
        <v>1622</v>
      </c>
      <c r="B299" s="0" t="n">
        <v>35</v>
      </c>
      <c r="C299" s="0" t="n">
        <v>1.20746174721283</v>
      </c>
      <c r="D299" s="0" t="n">
        <v>0.49389901518734</v>
      </c>
      <c r="E299" s="0" t="n">
        <v>0.15854514594967</v>
      </c>
      <c r="F299" s="0" t="n">
        <v>0.897254550134258</v>
      </c>
      <c r="G299" s="0" t="n">
        <v>0.229292300504991</v>
      </c>
      <c r="H299" s="0" t="n">
        <v>1.16419564865145</v>
      </c>
    </row>
    <row r="300" customFormat="false" ht="15" hidden="false" customHeight="false" outlineLevel="0" collapsed="false">
      <c r="A300" s="0" t="s">
        <v>1623</v>
      </c>
      <c r="B300" s="0" t="n">
        <v>6</v>
      </c>
      <c r="C300" s="0" t="n">
        <v>0.740723332715717</v>
      </c>
      <c r="D300" s="0" t="n">
        <v>0.367456123548098</v>
      </c>
      <c r="E300" s="0" t="n">
        <v>0.119052803436768</v>
      </c>
      <c r="F300" s="0" t="n">
        <v>0.589175922354369</v>
      </c>
      <c r="G300" s="0" t="n">
        <v>0.124435591503463</v>
      </c>
      <c r="H300" s="0" t="n">
        <v>0.672909858643139</v>
      </c>
    </row>
    <row r="301" customFormat="false" ht="15" hidden="false" customHeight="false" outlineLevel="0" collapsed="false">
      <c r="A301" s="0" t="s">
        <v>1624</v>
      </c>
      <c r="B301" s="0" t="n">
        <v>22</v>
      </c>
      <c r="C301" s="0" t="n">
        <v>0.94950775900481</v>
      </c>
      <c r="D301" s="0" t="n">
        <v>0.038654316505126</v>
      </c>
      <c r="E301" s="0" t="n">
        <v>0.192800668868604</v>
      </c>
      <c r="F301" s="0" t="n">
        <v>0.924492812556518</v>
      </c>
      <c r="G301" s="0" t="n">
        <v>0.0135586505390529</v>
      </c>
      <c r="H301" s="0" t="n">
        <v>0.937199979564642</v>
      </c>
    </row>
    <row r="302" customFormat="false" ht="15" hidden="false" customHeight="false" outlineLevel="0" collapsed="false">
      <c r="A302" s="0" t="s">
        <v>1625</v>
      </c>
      <c r="B302" s="0" t="n">
        <v>5</v>
      </c>
      <c r="C302" s="0" t="n">
        <v>0.585338635524726</v>
      </c>
      <c r="D302" s="0" t="n">
        <v>0.0143082283129422</v>
      </c>
      <c r="E302" s="0" t="n">
        <v>0.154051545242351</v>
      </c>
      <c r="F302" s="0" t="n">
        <v>0.579534160565561</v>
      </c>
      <c r="G302" s="0" t="n">
        <v>4.20163138469348E-005</v>
      </c>
      <c r="H302" s="0" t="n">
        <v>0.579558511477872</v>
      </c>
    </row>
    <row r="303" customFormat="false" ht="15" hidden="false" customHeight="false" outlineLevel="0" collapsed="false">
      <c r="A303" s="0" t="s">
        <v>1626</v>
      </c>
      <c r="B303" s="0" t="n">
        <v>19</v>
      </c>
      <c r="C303" s="0" t="n">
        <v>0.961641292562024</v>
      </c>
      <c r="D303" s="0" t="n">
        <v>0.116121809046995</v>
      </c>
      <c r="E303" s="0" t="n">
        <v>0.122113407819969</v>
      </c>
      <c r="F303" s="0" t="n">
        <v>0.889350222835611</v>
      </c>
      <c r="G303" s="0" t="n">
        <v>0.030970214601507</v>
      </c>
      <c r="H303" s="0" t="n">
        <v>0.91777387675435</v>
      </c>
    </row>
    <row r="304" customFormat="false" ht="15" hidden="false" customHeight="false" outlineLevel="0" collapsed="false">
      <c r="A304" s="0" t="s">
        <v>1627</v>
      </c>
      <c r="B304" s="0" t="n">
        <v>186</v>
      </c>
      <c r="C304" s="0" t="n">
        <v>0.603839012574636</v>
      </c>
      <c r="D304" s="0" t="n">
        <v>0.213343056633889</v>
      </c>
      <c r="E304" s="0" t="n">
        <v>0.142551647412302</v>
      </c>
      <c r="F304" s="0" t="n">
        <v>0.525378860223064</v>
      </c>
      <c r="G304" s="0" t="n">
        <v>0.182216644484827</v>
      </c>
      <c r="H304" s="0" t="n">
        <v>0.642442593970496</v>
      </c>
    </row>
    <row r="305" customFormat="false" ht="15" hidden="false" customHeight="false" outlineLevel="0" collapsed="false">
      <c r="A305" s="0" t="s">
        <v>1628</v>
      </c>
      <c r="B305" s="0" t="n">
        <v>67</v>
      </c>
      <c r="C305" s="0" t="n">
        <v>0.822383719977034</v>
      </c>
      <c r="D305" s="0" t="n">
        <v>0.101636785535271</v>
      </c>
      <c r="E305" s="0" t="n">
        <v>0.189717701417735</v>
      </c>
      <c r="F305" s="0" t="n">
        <v>0.767760801994726</v>
      </c>
      <c r="G305" s="0" t="n">
        <v>0.0186282206587265</v>
      </c>
      <c r="H305" s="0" t="n">
        <v>0.78233429792537</v>
      </c>
    </row>
    <row r="306" customFormat="false" ht="15" hidden="false" customHeight="false" outlineLevel="0" collapsed="false">
      <c r="A306" s="0" t="s">
        <v>1629</v>
      </c>
      <c r="B306" s="0" t="n">
        <v>75</v>
      </c>
      <c r="C306" s="0" t="n">
        <v>0.710146122912097</v>
      </c>
      <c r="D306" s="0" t="n">
        <v>0.145213863739502</v>
      </c>
      <c r="E306" s="0" t="n">
        <v>0.149402638485643</v>
      </c>
      <c r="F306" s="0" t="n">
        <v>0.6446206266252</v>
      </c>
      <c r="G306" s="0" t="n">
        <v>0.0458857971467993</v>
      </c>
      <c r="H306" s="0" t="n">
        <v>0.675622084544507</v>
      </c>
    </row>
    <row r="307" customFormat="false" ht="15" hidden="false" customHeight="false" outlineLevel="0" collapsed="false">
      <c r="A307" s="0" t="s">
        <v>1630</v>
      </c>
      <c r="B307" s="0" t="n">
        <v>8</v>
      </c>
      <c r="C307" s="0" t="n">
        <v>0.594548858521377</v>
      </c>
      <c r="D307" s="0" t="n">
        <v>0.211939605536057</v>
      </c>
      <c r="E307" s="0" t="n">
        <v>0.156405273016033</v>
      </c>
      <c r="F307" s="0" t="n">
        <v>0.517738372077141</v>
      </c>
      <c r="G307" s="0" t="n">
        <v>0.297275976268128</v>
      </c>
      <c r="H307" s="0" t="n">
        <v>0.73675917514197</v>
      </c>
    </row>
    <row r="308" customFormat="false" ht="15" hidden="false" customHeight="false" outlineLevel="0" collapsed="false">
      <c r="A308" s="0" t="s">
        <v>1631</v>
      </c>
      <c r="B308" s="0" t="n">
        <v>152</v>
      </c>
      <c r="C308" s="0" t="n">
        <v>0.770292853572266</v>
      </c>
      <c r="D308" s="0" t="n">
        <v>0.109867267536107</v>
      </c>
      <c r="E308" s="0" t="n">
        <v>0.199905241578652</v>
      </c>
      <c r="F308" s="0" t="n">
        <v>0.715282555639237</v>
      </c>
      <c r="G308" s="0" t="n">
        <v>0.0204432788171335</v>
      </c>
      <c r="H308" s="0" t="n">
        <v>0.73021045149432</v>
      </c>
    </row>
    <row r="309" customFormat="false" ht="15" hidden="false" customHeight="false" outlineLevel="0" collapsed="false">
      <c r="A309" s="0" t="s">
        <v>1632</v>
      </c>
      <c r="B309" s="0" t="n">
        <v>8</v>
      </c>
      <c r="C309" s="0" t="n">
        <v>0.740002699873304</v>
      </c>
      <c r="D309" s="0" t="n">
        <v>0.0337960725739138</v>
      </c>
      <c r="E309" s="0" t="n">
        <v>0.288820296708228</v>
      </c>
      <c r="F309" s="0" t="n">
        <v>0.722900853087032</v>
      </c>
      <c r="G309" s="0" t="n">
        <v>0.00978042945228473</v>
      </c>
      <c r="H309" s="0" t="n">
        <v>0.730040967264642</v>
      </c>
    </row>
    <row r="310" customFormat="false" ht="15" hidden="false" customHeight="false" outlineLevel="0" collapsed="false">
      <c r="A310" s="0" t="s">
        <v>1633</v>
      </c>
      <c r="B310" s="0" t="n">
        <v>202</v>
      </c>
      <c r="C310" s="0" t="n">
        <v>0.678628238185991</v>
      </c>
      <c r="D310" s="0" t="n">
        <v>0.100536111813075</v>
      </c>
      <c r="E310" s="0" t="n">
        <v>0.214563289796634</v>
      </c>
      <c r="F310" s="0" t="n">
        <v>0.634009633783176</v>
      </c>
      <c r="G310" s="0" t="n">
        <v>0.022659961732379</v>
      </c>
      <c r="H310" s="0" t="n">
        <v>0.648709363127072</v>
      </c>
    </row>
    <row r="311" customFormat="false" ht="15" hidden="false" customHeight="false" outlineLevel="0" collapsed="false">
      <c r="A311" s="0" t="s">
        <v>1634</v>
      </c>
      <c r="B311" s="0" t="n">
        <v>5</v>
      </c>
      <c r="C311" s="0" t="n">
        <v>1.03233955511112</v>
      </c>
      <c r="D311" s="0" t="n">
        <v>0.0502638243988152</v>
      </c>
      <c r="E311" s="0" t="n">
        <v>0.205730469171529</v>
      </c>
      <c r="F311" s="0" t="n">
        <v>0.997251580291859</v>
      </c>
      <c r="G311" s="0" t="n">
        <v>0.112880664362925</v>
      </c>
      <c r="H311" s="0" t="n">
        <v>1.12414591840194</v>
      </c>
    </row>
    <row r="312" customFormat="false" ht="15" hidden="false" customHeight="false" outlineLevel="0" collapsed="false">
      <c r="A312" s="0" t="s">
        <v>1635</v>
      </c>
      <c r="B312" s="0" t="n">
        <v>196</v>
      </c>
      <c r="C312" s="0" t="n">
        <v>0.730770813196462</v>
      </c>
      <c r="D312" s="0" t="n">
        <v>0.0272703240767433</v>
      </c>
      <c r="E312" s="0" t="n">
        <v>0.179498107648433</v>
      </c>
      <c r="F312" s="0" t="n">
        <v>0.717082267126504</v>
      </c>
      <c r="G312" s="0" t="n">
        <v>0.0254179163219828</v>
      </c>
      <c r="H312" s="0" t="n">
        <v>0.735784372743932</v>
      </c>
    </row>
    <row r="313" customFormat="false" ht="15" hidden="false" customHeight="false" outlineLevel="0" collapsed="false">
      <c r="A313" s="0" t="s">
        <v>1636</v>
      </c>
      <c r="B313" s="0" t="n">
        <v>12</v>
      </c>
      <c r="C313" s="0" t="n">
        <v>1.00353010128458</v>
      </c>
      <c r="D313" s="0" t="n">
        <v>0.0260460611238885</v>
      </c>
      <c r="E313" s="0" t="n">
        <v>0.165771866555427</v>
      </c>
      <c r="F313" s="0" t="n">
        <v>0.985561111812859</v>
      </c>
      <c r="G313" s="0" t="n">
        <v>0.0396876844023104</v>
      </c>
      <c r="H313" s="0" t="n">
        <v>1.02629227575766</v>
      </c>
    </row>
    <row r="314" customFormat="false" ht="15" hidden="false" customHeight="false" outlineLevel="0" collapsed="false">
      <c r="A314" s="0" t="s">
        <v>1637</v>
      </c>
      <c r="B314" s="0" t="n">
        <v>109</v>
      </c>
      <c r="C314" s="0" t="n">
        <v>0.912409163984995</v>
      </c>
      <c r="D314" s="0" t="n">
        <v>0.243137895218881</v>
      </c>
      <c r="E314" s="0" t="n">
        <v>0.176754683856449</v>
      </c>
      <c r="F314" s="0" t="n">
        <v>0.779705923922455</v>
      </c>
      <c r="G314" s="0" t="n">
        <v>0.0155572519829149</v>
      </c>
      <c r="H314" s="0" t="n">
        <v>0.792027698403974</v>
      </c>
    </row>
    <row r="315" customFormat="false" ht="15" hidden="false" customHeight="false" outlineLevel="0" collapsed="false">
      <c r="A315" s="0" t="s">
        <v>1638</v>
      </c>
      <c r="B315" s="0" t="n">
        <v>13</v>
      </c>
      <c r="C315" s="0" t="n">
        <v>0.898169447007671</v>
      </c>
      <c r="D315" s="0" t="n">
        <v>0.18676284113741</v>
      </c>
      <c r="E315" s="0" t="n">
        <v>0.202097811871963</v>
      </c>
      <c r="F315" s="0" t="n">
        <v>0.794324267163747</v>
      </c>
      <c r="G315" s="0" t="n">
        <v>0.0428436126700787</v>
      </c>
      <c r="H315" s="0" t="n">
        <v>0.829879294207699</v>
      </c>
    </row>
    <row r="316" customFormat="false" ht="15" hidden="false" customHeight="false" outlineLevel="0" collapsed="false">
      <c r="A316" s="0" t="s">
        <v>1639</v>
      </c>
      <c r="B316" s="0" t="n">
        <v>9</v>
      </c>
      <c r="C316" s="0" t="n">
        <v>0.627675501123234</v>
      </c>
      <c r="D316" s="0" t="n">
        <v>0.299114716829812</v>
      </c>
      <c r="E316" s="0" t="n">
        <v>0.0967027739808757</v>
      </c>
      <c r="F316" s="0" t="n">
        <v>0.519005891032748</v>
      </c>
      <c r="G316" s="0" t="n">
        <v>0.0647821343185787</v>
      </c>
      <c r="H316" s="0" t="n">
        <v>0.554957203105384</v>
      </c>
    </row>
    <row r="317" customFormat="false" ht="15" hidden="false" customHeight="false" outlineLevel="0" collapsed="false">
      <c r="A317" s="0" t="s">
        <v>1640</v>
      </c>
      <c r="B317" s="0" t="n">
        <v>188</v>
      </c>
      <c r="C317" s="0" t="n">
        <v>0.766813521205613</v>
      </c>
      <c r="D317" s="0" t="n">
        <v>0.0483770961926533</v>
      </c>
      <c r="E317" s="0" t="n">
        <v>0.192346795682777</v>
      </c>
      <c r="F317" s="0" t="n">
        <v>0.741696727454716</v>
      </c>
      <c r="G317" s="0" t="n">
        <v>0.0261075338925357</v>
      </c>
      <c r="H317" s="0" t="n">
        <v>0.761579695157919</v>
      </c>
    </row>
    <row r="318" customFormat="false" ht="15" hidden="false" customHeight="false" outlineLevel="0" collapsed="false">
      <c r="A318" s="0" t="s">
        <v>1641</v>
      </c>
      <c r="B318" s="0" t="n">
        <v>40</v>
      </c>
      <c r="C318" s="0" t="n">
        <v>0.610297889641614</v>
      </c>
      <c r="D318" s="0" t="n">
        <v>0.0924736113043474</v>
      </c>
      <c r="E318" s="0" t="n">
        <v>0.139376051026172</v>
      </c>
      <c r="F318" s="0" t="n">
        <v>0.573194156124826</v>
      </c>
      <c r="G318" s="0" t="n">
        <v>0.0216300194159678</v>
      </c>
      <c r="H318" s="0" t="n">
        <v>0.585866459008341</v>
      </c>
    </row>
    <row r="319" customFormat="false" ht="15" hidden="false" customHeight="false" outlineLevel="0" collapsed="false">
      <c r="A319" s="0" t="s">
        <v>1642</v>
      </c>
      <c r="B319" s="0" t="n">
        <v>139</v>
      </c>
      <c r="C319" s="0" t="n">
        <v>0.97368313208101</v>
      </c>
      <c r="D319" s="0" t="n">
        <v>0.0308925540386919</v>
      </c>
      <c r="E319" s="0" t="n">
        <v>0.211987452901004</v>
      </c>
      <c r="F319" s="0" t="n">
        <v>0.95307312790634</v>
      </c>
      <c r="G319" s="0" t="n">
        <v>0.0232591458696171</v>
      </c>
      <c r="H319" s="0" t="n">
        <v>0.975768673825858</v>
      </c>
    </row>
    <row r="320" customFormat="false" ht="15" hidden="false" customHeight="false" outlineLevel="0" collapsed="false">
      <c r="A320" s="0" t="s">
        <v>1643</v>
      </c>
      <c r="B320" s="0" t="n">
        <v>9</v>
      </c>
      <c r="C320" s="0" t="n">
        <v>0.529455326310269</v>
      </c>
      <c r="D320" s="0" t="n">
        <v>0.0259297239355763</v>
      </c>
      <c r="E320" s="0" t="n">
        <v>0.166464542582112</v>
      </c>
      <c r="F320" s="0" t="n">
        <v>0.520016605396378</v>
      </c>
      <c r="G320" s="0" t="n">
        <v>0.00886793550574932</v>
      </c>
      <c r="H320" s="0" t="n">
        <v>0.524669339258769</v>
      </c>
    </row>
    <row r="321" customFormat="false" ht="15" hidden="false" customHeight="false" outlineLevel="0" collapsed="false">
      <c r="A321" s="0" t="s">
        <v>1644</v>
      </c>
      <c r="B321" s="0" t="n">
        <v>37</v>
      </c>
      <c r="C321" s="0" t="n">
        <v>0.549635455976116</v>
      </c>
      <c r="D321" s="0" t="n">
        <v>0.0501068017182194</v>
      </c>
      <c r="E321" s="0" t="n">
        <v>0.178769741998895</v>
      </c>
      <c r="F321" s="0" t="n">
        <v>0.531010393237143</v>
      </c>
      <c r="G321" s="0" t="n">
        <v>0.0508702586836559</v>
      </c>
      <c r="H321" s="0" t="n">
        <v>0.559470818500205</v>
      </c>
    </row>
    <row r="322" customFormat="false" ht="15" hidden="false" customHeight="false" outlineLevel="0" collapsed="false">
      <c r="A322" s="0" t="s">
        <v>1645</v>
      </c>
      <c r="B322" s="0" t="n">
        <v>219</v>
      </c>
      <c r="C322" s="0" t="n">
        <v>1.04092739332285</v>
      </c>
      <c r="D322" s="0" t="n">
        <v>0.237191827565821</v>
      </c>
      <c r="E322" s="0" t="n">
        <v>0.199851389838185</v>
      </c>
      <c r="F322" s="0" t="n">
        <v>0.892707368732971</v>
      </c>
      <c r="G322" s="0" t="n">
        <v>0.0414941886718585</v>
      </c>
      <c r="H322" s="0" t="n">
        <v>0.931353110416725</v>
      </c>
    </row>
    <row r="323" customFormat="false" ht="15" hidden="false" customHeight="false" outlineLevel="0" collapsed="false">
      <c r="A323" s="0" t="s">
        <v>1646</v>
      </c>
      <c r="B323" s="0" t="n">
        <v>66</v>
      </c>
      <c r="C323" s="0" t="n">
        <v>0.48280963140958</v>
      </c>
      <c r="D323" s="0" t="n">
        <v>0.221860937402493</v>
      </c>
      <c r="E323" s="0" t="n">
        <v>0.105788828887783</v>
      </c>
      <c r="F323" s="0" t="n">
        <v>0.417907488419751</v>
      </c>
      <c r="G323" s="0" t="n">
        <v>0.0213475774520804</v>
      </c>
      <c r="H323" s="0" t="n">
        <v>0.427023403601996</v>
      </c>
    </row>
    <row r="324" customFormat="false" ht="15" hidden="false" customHeight="false" outlineLevel="0" collapsed="false">
      <c r="A324" s="0" t="s">
        <v>1647</v>
      </c>
      <c r="B324" s="0" t="n">
        <v>20</v>
      </c>
      <c r="C324" s="0" t="n">
        <v>1.06202579541663</v>
      </c>
      <c r="D324" s="0" t="n">
        <v>0.14186827561879</v>
      </c>
      <c r="E324" s="0" t="n">
        <v>0.210295225253869</v>
      </c>
      <c r="F324" s="0" t="n">
        <v>0.966085933570022</v>
      </c>
      <c r="G324" s="0" t="n">
        <v>0.063305021422186</v>
      </c>
      <c r="H324" s="0" t="n">
        <v>1.03137729534628</v>
      </c>
    </row>
    <row r="325" customFormat="false" ht="15" hidden="false" customHeight="false" outlineLevel="0" collapsed="false">
      <c r="A325" s="0" t="s">
        <v>1648</v>
      </c>
      <c r="B325" s="0" t="n">
        <v>75</v>
      </c>
      <c r="C325" s="0" t="n">
        <v>0.664678571113672</v>
      </c>
      <c r="D325" s="0" t="n">
        <v>0.100542727898412</v>
      </c>
      <c r="E325" s="0" t="n">
        <v>0.168284022162621</v>
      </c>
      <c r="F325" s="0" t="n">
        <v>0.620974445798614</v>
      </c>
      <c r="G325" s="0" t="n">
        <v>0.0283442150436011</v>
      </c>
      <c r="H325" s="0" t="n">
        <v>0.639088919566798</v>
      </c>
    </row>
    <row r="326" customFormat="false" ht="15" hidden="false" customHeight="false" outlineLevel="0" collapsed="false">
      <c r="A326" s="0" t="s">
        <v>1649</v>
      </c>
      <c r="B326" s="0" t="n">
        <v>291</v>
      </c>
      <c r="C326" s="0" t="n">
        <v>0.603525669294958</v>
      </c>
      <c r="D326" s="0" t="n">
        <v>1.46509635237481</v>
      </c>
      <c r="E326" s="0" t="n">
        <v>0.16752019371862</v>
      </c>
      <c r="F326" s="0" t="n">
        <v>0.297953874747256</v>
      </c>
      <c r="G326" s="0" t="n">
        <v>0.0241214318429779</v>
      </c>
      <c r="H326" s="0" t="n">
        <v>0.305318596462213</v>
      </c>
    </row>
    <row r="327" customFormat="false" ht="15" hidden="false" customHeight="false" outlineLevel="0" collapsed="false">
      <c r="A327" s="0" t="s">
        <v>1650</v>
      </c>
      <c r="B327" s="0" t="n">
        <v>220</v>
      </c>
      <c r="C327" s="0" t="n">
        <v>0.804031525937424</v>
      </c>
      <c r="D327" s="0" t="n">
        <v>0.0728417295759426</v>
      </c>
      <c r="E327" s="0" t="n">
        <v>0.157367673962433</v>
      </c>
      <c r="F327" s="0" t="n">
        <v>0.765023577548898</v>
      </c>
      <c r="G327" s="0" t="n">
        <v>0.0151484478490531</v>
      </c>
      <c r="H327" s="0" t="n">
        <v>0.776790751741277</v>
      </c>
    </row>
    <row r="328" customFormat="false" ht="15" hidden="false" customHeight="false" outlineLevel="0" collapsed="false">
      <c r="A328" s="0" t="s">
        <v>1651</v>
      </c>
      <c r="B328" s="0" t="n">
        <v>41</v>
      </c>
      <c r="C328" s="0" t="n">
        <v>0.530924346767567</v>
      </c>
      <c r="D328" s="0" t="n">
        <v>0.161325290989911</v>
      </c>
      <c r="E328" s="0" t="n">
        <v>0.136730969961453</v>
      </c>
      <c r="F328" s="0" t="n">
        <v>0.477051963937859</v>
      </c>
      <c r="G328" s="0" t="n">
        <v>0.034392355226449</v>
      </c>
      <c r="H328" s="0" t="n">
        <v>0.494043275775571</v>
      </c>
    </row>
    <row r="329" customFormat="false" ht="15" hidden="false" customHeight="false" outlineLevel="0" collapsed="false">
      <c r="A329" s="0" t="s">
        <v>1652</v>
      </c>
      <c r="B329" s="0" t="n">
        <v>52</v>
      </c>
      <c r="C329" s="0" t="n">
        <v>0.687709608267825</v>
      </c>
      <c r="D329" s="0" t="n">
        <v>0.0559592834823113</v>
      </c>
      <c r="E329" s="0" t="n">
        <v>0.214563583911055</v>
      </c>
      <c r="F329" s="0" t="n">
        <v>0.661786441700709</v>
      </c>
      <c r="G329" s="0" t="n">
        <v>0.038947908586684</v>
      </c>
      <c r="H329" s="0" t="n">
        <v>0.688606213558612</v>
      </c>
    </row>
    <row r="330" customFormat="false" ht="15" hidden="false" customHeight="false" outlineLevel="0" collapsed="false">
      <c r="A330" s="0" t="s">
        <v>1653</v>
      </c>
      <c r="B330" s="0" t="n">
        <v>18</v>
      </c>
      <c r="C330" s="0" t="n">
        <v>1.27554077222544</v>
      </c>
      <c r="D330" s="0" t="n">
        <v>0.498653627750547</v>
      </c>
      <c r="E330" s="0" t="n">
        <v>0.120317296066224</v>
      </c>
      <c r="F330" s="0" t="n">
        <v>0.945505091479453</v>
      </c>
      <c r="G330" s="0" t="n">
        <v>0.0223092600577235</v>
      </c>
      <c r="H330" s="0" t="n">
        <v>0.967079929114678</v>
      </c>
    </row>
    <row r="331" customFormat="false" ht="15" hidden="false" customHeight="false" outlineLevel="0" collapsed="false">
      <c r="A331" s="0" t="s">
        <v>1654</v>
      </c>
      <c r="B331" s="0" t="n">
        <v>19</v>
      </c>
      <c r="C331" s="0" t="n">
        <v>2.00172920464649</v>
      </c>
      <c r="D331" s="0" t="n">
        <v>0.0163833523046452</v>
      </c>
      <c r="E331" s="0" t="n">
        <v>0.181256033167966</v>
      </c>
      <c r="F331" s="0" t="n">
        <v>1.9790329686035</v>
      </c>
      <c r="G331" s="0" t="n">
        <v>0.0145674227414264</v>
      </c>
      <c r="H331" s="0" t="n">
        <v>2.00828855700009</v>
      </c>
    </row>
    <row r="332" customFormat="false" ht="15" hidden="false" customHeight="false" outlineLevel="0" collapsed="false">
      <c r="A332" s="0" t="s">
        <v>1655</v>
      </c>
      <c r="B332" s="0" t="n">
        <v>45</v>
      </c>
      <c r="C332" s="0" t="n">
        <v>0.500297669752633</v>
      </c>
      <c r="D332" s="0" t="n">
        <v>0.0811357576297749</v>
      </c>
      <c r="E332" s="0" t="n">
        <v>0.194774961875485</v>
      </c>
      <c r="F332" s="0" t="n">
        <v>0.473410316465317</v>
      </c>
      <c r="G332" s="0" t="n">
        <v>0.0207566722513862</v>
      </c>
      <c r="H332" s="0" t="n">
        <v>0.483445026430498</v>
      </c>
    </row>
    <row r="333" customFormat="false" ht="15" hidden="false" customHeight="false" outlineLevel="0" collapsed="false">
      <c r="A333" s="0" t="s">
        <v>1656</v>
      </c>
      <c r="B333" s="0" t="n">
        <v>25</v>
      </c>
      <c r="C333" s="0" t="n">
        <v>1.18258100975098</v>
      </c>
      <c r="D333" s="0" t="n">
        <v>0.0126536511589676</v>
      </c>
      <c r="E333" s="0" t="n">
        <v>0.152719580978003</v>
      </c>
      <c r="F333" s="0" t="n">
        <v>1.17219819878338</v>
      </c>
      <c r="G333" s="0" t="n">
        <v>0.0236165742671149</v>
      </c>
      <c r="H333" s="0" t="n">
        <v>1.20055110307051</v>
      </c>
    </row>
    <row r="334" customFormat="false" ht="15" hidden="false" customHeight="false" outlineLevel="0" collapsed="false">
      <c r="A334" s="0" t="s">
        <v>1657</v>
      </c>
      <c r="B334" s="0" t="n">
        <v>1</v>
      </c>
      <c r="C334" s="0" t="n">
        <v>-1.87496968941766</v>
      </c>
      <c r="D334" s="0" t="n">
        <v>0</v>
      </c>
      <c r="E334" s="0" t="n">
        <v>0.333333333333333</v>
      </c>
      <c r="F334" s="0" t="n">
        <v>-1.87496968941766</v>
      </c>
      <c r="G334" s="0" t="n">
        <v>0.1217277486911</v>
      </c>
      <c r="H334" s="0" t="n">
        <v>-2.13483881179597</v>
      </c>
    </row>
    <row r="335" customFormat="false" ht="15" hidden="false" customHeight="false" outlineLevel="0" collapsed="false">
      <c r="A335" s="0" t="s">
        <v>1658</v>
      </c>
      <c r="B335" s="0" t="n">
        <v>42</v>
      </c>
      <c r="C335" s="0" t="n">
        <v>0.52810216506084</v>
      </c>
      <c r="D335" s="0" t="n">
        <v>0.0614679935393173</v>
      </c>
      <c r="E335" s="0" t="n">
        <v>0.219570472721995</v>
      </c>
      <c r="F335" s="0" t="n">
        <v>0.506316580070024</v>
      </c>
      <c r="G335" s="0" t="n">
        <v>0.0148428087115342</v>
      </c>
      <c r="H335" s="0" t="n">
        <v>0.513944966902007</v>
      </c>
    </row>
    <row r="336" customFormat="false" ht="15" hidden="false" customHeight="false" outlineLevel="0" collapsed="false">
      <c r="A336" s="0" t="s">
        <v>1659</v>
      </c>
      <c r="B336" s="0" t="n">
        <v>80</v>
      </c>
      <c r="C336" s="0" t="n">
        <v>0.782993851191457</v>
      </c>
      <c r="D336" s="0" t="n">
        <v>0.097472160521157</v>
      </c>
      <c r="E336" s="0" t="n">
        <v>0.185274659650221</v>
      </c>
      <c r="F336" s="0" t="n">
        <v>0.732982106510039</v>
      </c>
      <c r="G336" s="0" t="n">
        <v>0.0337991815697033</v>
      </c>
      <c r="H336" s="0" t="n">
        <v>0.758622941037094</v>
      </c>
    </row>
    <row r="337" customFormat="false" ht="15" hidden="false" customHeight="false" outlineLevel="0" collapsed="false">
      <c r="A337" s="0" t="s">
        <v>1660</v>
      </c>
      <c r="B337" s="0" t="n">
        <v>43</v>
      </c>
      <c r="C337" s="0" t="n">
        <v>0.509036243791432</v>
      </c>
      <c r="D337" s="0" t="n">
        <v>0.0188587088602382</v>
      </c>
      <c r="E337" s="0" t="n">
        <v>0.204521704308976</v>
      </c>
      <c r="F337" s="0" t="n">
        <v>0.502403960772919</v>
      </c>
      <c r="G337" s="0" t="n">
        <v>0.00966295174964658</v>
      </c>
      <c r="H337" s="0" t="n">
        <v>0.507306034506662</v>
      </c>
    </row>
    <row r="338" customFormat="false" ht="15" hidden="false" customHeight="false" outlineLevel="0" collapsed="false">
      <c r="A338" s="0" t="s">
        <v>1661</v>
      </c>
      <c r="B338" s="0" t="n">
        <v>26</v>
      </c>
      <c r="C338" s="0" t="n">
        <v>1.05759336399909</v>
      </c>
      <c r="D338" s="0" t="n">
        <v>0.106234043730674</v>
      </c>
      <c r="E338" s="0" t="n">
        <v>0.226158404376225</v>
      </c>
      <c r="F338" s="0" t="n">
        <v>0.98439032836498</v>
      </c>
      <c r="G338" s="0" t="n">
        <v>0.0373005319279891</v>
      </c>
      <c r="H338" s="0" t="n">
        <v>1.02253128937155</v>
      </c>
    </row>
    <row r="339" customFormat="false" ht="15" hidden="false" customHeight="false" outlineLevel="0" collapsed="false">
      <c r="A339" s="0" t="s">
        <v>1662</v>
      </c>
      <c r="B339" s="0" t="n">
        <v>2</v>
      </c>
      <c r="C339" s="0" t="n">
        <v>0.700169645165781</v>
      </c>
      <c r="D339" s="0" t="n">
        <v>0.00447076442794465</v>
      </c>
      <c r="E339" s="0" t="n">
        <v>0.194198662685563</v>
      </c>
      <c r="F339" s="0" t="n">
        <v>0.697985275746356</v>
      </c>
      <c r="G339" s="0" t="n">
        <v>0.00457444831420445</v>
      </c>
      <c r="H339" s="0" t="n">
        <v>0.701192846179494</v>
      </c>
    </row>
    <row r="340" customFormat="false" ht="15" hidden="false" customHeight="false" outlineLevel="0" collapsed="false">
      <c r="A340" s="0" t="s">
        <v>1663</v>
      </c>
      <c r="B340" s="0" t="n">
        <v>9</v>
      </c>
      <c r="C340" s="0" t="n">
        <v>0.862695645313967</v>
      </c>
      <c r="D340" s="0" t="n">
        <v>0.0077488920920788</v>
      </c>
      <c r="E340" s="0" t="n">
        <v>0.19211998467805</v>
      </c>
      <c r="F340" s="0" t="n">
        <v>0.858041435965487</v>
      </c>
      <c r="G340" s="0" t="n">
        <v>0.0539168614371389</v>
      </c>
      <c r="H340" s="0" t="n">
        <v>0.906940839542798</v>
      </c>
    </row>
    <row r="341" customFormat="false" ht="15" hidden="false" customHeight="false" outlineLevel="0" collapsed="false">
      <c r="A341" s="0" t="s">
        <v>1664</v>
      </c>
      <c r="B341" s="0" t="n">
        <v>3</v>
      </c>
      <c r="C341" s="0" t="n">
        <v>1.30445844634129</v>
      </c>
      <c r="D341" s="0" t="n">
        <v>0.00546844220767468</v>
      </c>
      <c r="E341" s="0" t="n">
        <v>0.107030831390381</v>
      </c>
      <c r="F341" s="0" t="n">
        <v>1.29948413860307</v>
      </c>
      <c r="G341" s="0" t="n">
        <v>0.103323417285282</v>
      </c>
      <c r="H341" s="0" t="n">
        <v>1.44922278963597</v>
      </c>
    </row>
    <row r="342" customFormat="false" ht="15" hidden="false" customHeight="false" outlineLevel="0" collapsed="false">
      <c r="A342" s="0" t="s">
        <v>1665</v>
      </c>
      <c r="B342" s="0" t="n">
        <v>115</v>
      </c>
      <c r="C342" s="0" t="n">
        <v>0.511975634938204</v>
      </c>
      <c r="D342" s="0" t="n">
        <v>0.0831892659071538</v>
      </c>
      <c r="E342" s="0" t="n">
        <v>0.129063995900305</v>
      </c>
      <c r="F342" s="0" t="n">
        <v>0.483802606370644</v>
      </c>
      <c r="G342" s="0" t="n">
        <v>0.0136191554870218</v>
      </c>
      <c r="H342" s="0" t="n">
        <v>0.490482564682732</v>
      </c>
    </row>
    <row r="343" customFormat="false" ht="15" hidden="false" customHeight="false" outlineLevel="0" collapsed="false">
      <c r="A343" s="0" t="s">
        <v>1666</v>
      </c>
      <c r="B343" s="0" t="n">
        <v>187</v>
      </c>
      <c r="C343" s="0" t="n">
        <v>0.82705855223959</v>
      </c>
      <c r="D343" s="0" t="n">
        <v>0.0910078740182195</v>
      </c>
      <c r="E343" s="0" t="n">
        <v>0.215174125888469</v>
      </c>
      <c r="F343" s="0" t="n">
        <v>0.777525868818831</v>
      </c>
      <c r="G343" s="0" t="n">
        <v>0.0282561360345469</v>
      </c>
      <c r="H343" s="0" t="n">
        <v>0.800134580367644</v>
      </c>
    </row>
    <row r="344" customFormat="false" ht="15" hidden="false" customHeight="false" outlineLevel="0" collapsed="false">
      <c r="A344" s="0" t="s">
        <v>1667</v>
      </c>
      <c r="B344" s="0" t="n">
        <v>51</v>
      </c>
      <c r="C344" s="0" t="n">
        <v>1.4809260651992</v>
      </c>
      <c r="D344" s="0" t="n">
        <v>0.236460367675891</v>
      </c>
      <c r="E344" s="0" t="n">
        <v>0.221717777864276</v>
      </c>
      <c r="F344" s="0" t="n">
        <v>1.27061156990424</v>
      </c>
      <c r="G344" s="0" t="n">
        <v>0.0329460451212311</v>
      </c>
      <c r="H344" s="0" t="n">
        <v>1.31389935741851</v>
      </c>
    </row>
    <row r="345" customFormat="false" ht="15" hidden="false" customHeight="false" outlineLevel="0" collapsed="false">
      <c r="A345" s="0" t="s">
        <v>1668</v>
      </c>
      <c r="B345" s="0" t="n">
        <v>20</v>
      </c>
      <c r="C345" s="0" t="n">
        <v>0.694725744793659</v>
      </c>
      <c r="D345" s="0" t="n">
        <v>0.0228273176626894</v>
      </c>
      <c r="E345" s="0" t="n">
        <v>0.220252400740412</v>
      </c>
      <c r="F345" s="0" t="n">
        <v>0.683799233174436</v>
      </c>
      <c r="G345" s="0" t="n">
        <v>0.0180597087786742</v>
      </c>
      <c r="H345" s="0" t="n">
        <v>0.696375573227507</v>
      </c>
    </row>
    <row r="346" customFormat="false" ht="15" hidden="false" customHeight="false" outlineLevel="0" collapsed="false">
      <c r="A346" s="0" t="s">
        <v>1669</v>
      </c>
      <c r="B346" s="0" t="n">
        <v>1</v>
      </c>
      <c r="C346" s="0" t="n">
        <v>0.762820096571387</v>
      </c>
      <c r="D346" s="0" t="n">
        <v>0.588763497411944</v>
      </c>
      <c r="E346" s="0" t="n">
        <v>0.278233825266526</v>
      </c>
      <c r="F346" s="0" t="n">
        <v>0.540189425695277</v>
      </c>
      <c r="G346" s="0" t="n">
        <v>0.099014011804927</v>
      </c>
      <c r="H346" s="0" t="n">
        <v>0.599553636541482</v>
      </c>
    </row>
    <row r="347" customFormat="false" ht="15" hidden="false" customHeight="false" outlineLevel="0" collapsed="false">
      <c r="A347" s="0" t="s">
        <v>1670</v>
      </c>
      <c r="B347" s="0" t="n">
        <v>7</v>
      </c>
      <c r="C347" s="0" t="n">
        <v>0.655014216339892</v>
      </c>
      <c r="D347" s="0" t="n">
        <v>0.67861801611238</v>
      </c>
      <c r="E347" s="0" t="n">
        <v>0.0644936986939446</v>
      </c>
      <c r="F347" s="0" t="n">
        <v>0.444067616764132</v>
      </c>
      <c r="G347" s="0" t="n">
        <v>0.0741391181544978</v>
      </c>
      <c r="H347" s="0" t="n">
        <v>0.479626718734439</v>
      </c>
    </row>
    <row r="348" customFormat="false" ht="15" hidden="false" customHeight="false" outlineLevel="0" collapsed="false">
      <c r="A348" s="0" t="s">
        <v>1671</v>
      </c>
      <c r="B348" s="0" t="n">
        <v>12</v>
      </c>
      <c r="C348" s="0" t="n">
        <v>1.10136805323093</v>
      </c>
      <c r="D348" s="0" t="n">
        <v>0.141108206031825</v>
      </c>
      <c r="E348" s="0" t="n">
        <v>0.155942381384146</v>
      </c>
      <c r="F348" s="0" t="n">
        <v>1.00235927032634</v>
      </c>
      <c r="G348" s="0" t="n">
        <v>0.147701193873428</v>
      </c>
      <c r="H348" s="0" t="n">
        <v>1.17606555719789</v>
      </c>
    </row>
    <row r="349" customFormat="false" ht="15" hidden="false" customHeight="false" outlineLevel="0" collapsed="false">
      <c r="A349" s="0" t="s">
        <v>1672</v>
      </c>
      <c r="B349" s="0" t="n">
        <v>30</v>
      </c>
      <c r="C349" s="0" t="n">
        <v>0.973246208211834</v>
      </c>
      <c r="D349" s="0" t="n">
        <v>0.246178433193311</v>
      </c>
      <c r="E349" s="0" t="n">
        <v>0.193201084907094</v>
      </c>
      <c r="F349" s="0" t="n">
        <v>0.830184708629769</v>
      </c>
      <c r="G349" s="0" t="n">
        <v>0.0393340827912722</v>
      </c>
      <c r="H349" s="0" t="n">
        <v>0.864176290381905</v>
      </c>
    </row>
    <row r="350" customFormat="false" ht="15" hidden="false" customHeight="false" outlineLevel="0" collapsed="false">
      <c r="A350" s="0" t="s">
        <v>1673</v>
      </c>
      <c r="B350" s="0" t="n">
        <v>101</v>
      </c>
      <c r="C350" s="0" t="n">
        <v>0.563359313134869</v>
      </c>
      <c r="D350" s="0" t="n">
        <v>0.388533728812976</v>
      </c>
      <c r="E350" s="0" t="n">
        <v>0.172717218389364</v>
      </c>
      <c r="F350" s="0" t="n">
        <v>0.442901730531958</v>
      </c>
      <c r="G350" s="0" t="n">
        <v>0.0374112308668938</v>
      </c>
      <c r="H350" s="0" t="n">
        <v>0.460115206757325</v>
      </c>
    </row>
    <row r="351" customFormat="false" ht="15" hidden="false" customHeight="false" outlineLevel="0" collapsed="false">
      <c r="A351" s="0" t="s">
        <v>1674</v>
      </c>
      <c r="B351" s="0" t="n">
        <v>55</v>
      </c>
      <c r="C351" s="0" t="n">
        <v>0.572842033969072</v>
      </c>
      <c r="D351" s="0" t="n">
        <v>0.251585311267779</v>
      </c>
      <c r="E351" s="0" t="n">
        <v>0.165616570796131</v>
      </c>
      <c r="F351" s="0" t="n">
        <v>0.487065131132513</v>
      </c>
      <c r="G351" s="0" t="n">
        <v>0.0212646598018344</v>
      </c>
      <c r="H351" s="0" t="n">
        <v>0.497647434529029</v>
      </c>
    </row>
    <row r="352" customFormat="false" ht="15" hidden="false" customHeight="false" outlineLevel="0" collapsed="false">
      <c r="A352" s="0" t="s">
        <v>473</v>
      </c>
      <c r="B352" s="0" t="n">
        <v>33</v>
      </c>
      <c r="C352" s="0" t="n">
        <v>1.1907347529977</v>
      </c>
      <c r="D352" s="0" t="n">
        <v>0.486260083872651</v>
      </c>
      <c r="E352" s="0" t="n">
        <v>0.169572821259726</v>
      </c>
      <c r="F352" s="0" t="n">
        <v>0.888354738307164</v>
      </c>
      <c r="G352" s="0" t="n">
        <v>0.0312721855602524</v>
      </c>
      <c r="H352" s="0" t="n">
        <v>0.917032343931338</v>
      </c>
    </row>
    <row r="353" customFormat="false" ht="15" hidden="false" customHeight="false" outlineLevel="0" collapsed="false">
      <c r="A353" s="0" t="s">
        <v>1675</v>
      </c>
      <c r="B353" s="0" t="n">
        <v>1</v>
      </c>
      <c r="C353" s="0" t="n">
        <v>1.33696324987417</v>
      </c>
      <c r="D353" s="0" t="n">
        <v>0.16072545340838</v>
      </c>
      <c r="E353" s="0" t="n">
        <v>0</v>
      </c>
      <c r="F353" s="0" t="n">
        <v>1.20175627441048</v>
      </c>
      <c r="G353" s="0" t="n">
        <v>0.00326508620689655</v>
      </c>
      <c r="H353" s="0" t="n">
        <v>1.20569296588314</v>
      </c>
    </row>
    <row r="354" customFormat="false" ht="15" hidden="false" customHeight="false" outlineLevel="0" collapsed="false">
      <c r="A354" s="0" t="s">
        <v>1676</v>
      </c>
      <c r="B354" s="0" t="n">
        <v>25</v>
      </c>
      <c r="C354" s="0" t="n">
        <v>0.59940999486652</v>
      </c>
      <c r="D354" s="0" t="n">
        <v>0.144644098112359</v>
      </c>
      <c r="E354" s="0" t="n">
        <v>0.129686001755573</v>
      </c>
      <c r="F354" s="0" t="n">
        <v>0.544299225466881</v>
      </c>
      <c r="G354" s="0" t="n">
        <v>0.0807179729861949</v>
      </c>
      <c r="H354" s="0" t="n">
        <v>0.59209166444272</v>
      </c>
    </row>
    <row r="355" customFormat="false" ht="15" hidden="false" customHeight="false" outlineLevel="0" collapsed="false">
      <c r="A355" s="0" t="s">
        <v>1677</v>
      </c>
      <c r="B355" s="0" t="n">
        <v>5</v>
      </c>
      <c r="C355" s="0" t="n">
        <v>0.279631315144994</v>
      </c>
      <c r="D355" s="0" t="n">
        <v>0.169805722600521</v>
      </c>
      <c r="E355" s="0" t="n">
        <v>0.277892588880032</v>
      </c>
      <c r="F355" s="0" t="n">
        <v>0.249924310452694</v>
      </c>
      <c r="G355" s="0" t="n">
        <v>0.0337643810802853</v>
      </c>
      <c r="H355" s="0" t="n">
        <v>0.258657728569475</v>
      </c>
    </row>
    <row r="356" customFormat="false" ht="15" hidden="false" customHeight="false" outlineLevel="0" collapsed="false">
      <c r="A356" s="0" t="s">
        <v>1678</v>
      </c>
      <c r="B356" s="0" t="n">
        <v>156</v>
      </c>
      <c r="C356" s="0" t="n">
        <v>0.755304262784513</v>
      </c>
      <c r="D356" s="0" t="n">
        <v>0.212677663937524</v>
      </c>
      <c r="E356" s="0" t="n">
        <v>0.132592620436305</v>
      </c>
      <c r="F356" s="0" t="n">
        <v>0.657429816483676</v>
      </c>
      <c r="G356" s="0" t="n">
        <v>0.0443238196637632</v>
      </c>
      <c r="H356" s="0" t="n">
        <v>0.687921107599827</v>
      </c>
    </row>
    <row r="357" customFormat="false" ht="15" hidden="false" customHeight="false" outlineLevel="0" collapsed="false">
      <c r="A357" s="0" t="s">
        <v>1679</v>
      </c>
      <c r="B357" s="0" t="n">
        <v>16</v>
      </c>
      <c r="C357" s="0" t="n">
        <v>1.17394955872397</v>
      </c>
      <c r="D357" s="0" t="n">
        <v>0.065542424991505</v>
      </c>
      <c r="E357" s="0" t="n">
        <v>0.172898223129249</v>
      </c>
      <c r="F357" s="0" t="n">
        <v>1.12245180926332</v>
      </c>
      <c r="G357" s="0" t="n">
        <v>0.0223793252097912</v>
      </c>
      <c r="H357" s="0" t="n">
        <v>1.14814655439257</v>
      </c>
    </row>
    <row r="358" customFormat="false" ht="15" hidden="false" customHeight="false" outlineLevel="0" collapsed="false">
      <c r="A358" s="0" t="s">
        <v>1680</v>
      </c>
      <c r="B358" s="0" t="n">
        <v>42</v>
      </c>
      <c r="C358" s="0" t="n">
        <v>0.339397913525115</v>
      </c>
      <c r="D358" s="0" t="n">
        <v>0.680883561241857</v>
      </c>
      <c r="E358" s="0" t="n">
        <v>0.137047883940429</v>
      </c>
      <c r="F358" s="0" t="n">
        <v>0.229848071904892</v>
      </c>
      <c r="G358" s="0" t="n">
        <v>0.0235618523720282</v>
      </c>
      <c r="H358" s="0" t="n">
        <v>0.23539440000706</v>
      </c>
    </row>
    <row r="359" customFormat="false" ht="15" hidden="false" customHeight="false" outlineLevel="0" collapsed="false">
      <c r="A359" s="0" t="s">
        <v>1681</v>
      </c>
      <c r="B359" s="0" t="n">
        <v>15</v>
      </c>
      <c r="C359" s="0" t="n">
        <v>0.0996024234815998</v>
      </c>
      <c r="D359" s="0" t="n">
        <v>0.0524939024842998</v>
      </c>
      <c r="E359" s="0" t="n">
        <v>0.101196713824676</v>
      </c>
      <c r="F359" s="0" t="n">
        <v>0.0960721808948558</v>
      </c>
      <c r="G359" s="0" t="n">
        <v>0.0382469730666372</v>
      </c>
      <c r="H359" s="0" t="n">
        <v>0.0998927772561223</v>
      </c>
    </row>
    <row r="360" customFormat="false" ht="15" hidden="false" customHeight="false" outlineLevel="0" collapsed="false">
      <c r="A360" s="0" t="s">
        <v>1682</v>
      </c>
      <c r="B360" s="0" t="n">
        <v>1</v>
      </c>
      <c r="C360" s="0" t="n">
        <v>0.936652201534653</v>
      </c>
      <c r="D360" s="0" t="n">
        <v>0</v>
      </c>
      <c r="E360" s="0" t="n">
        <v>0.203545051698671</v>
      </c>
      <c r="F360" s="0" t="n">
        <v>0.936652201534653</v>
      </c>
      <c r="G360" s="0" t="n">
        <v>0.383227975790182</v>
      </c>
      <c r="H360" s="0" t="n">
        <v>1.51863600288073</v>
      </c>
    </row>
    <row r="361" customFormat="false" ht="15" hidden="false" customHeight="false" outlineLevel="0" collapsed="false">
      <c r="A361" s="0" t="s">
        <v>1683</v>
      </c>
      <c r="B361" s="0" t="n">
        <v>19</v>
      </c>
      <c r="C361" s="0" t="n">
        <v>0.588439504437829</v>
      </c>
      <c r="D361" s="0" t="n">
        <v>0.0679328430733684</v>
      </c>
      <c r="E361" s="0" t="n">
        <v>0.167420372525207</v>
      </c>
      <c r="F361" s="0" t="n">
        <v>0.56172767389343</v>
      </c>
      <c r="G361" s="0" t="n">
        <v>0.00696991362365657</v>
      </c>
      <c r="H361" s="0" t="n">
        <v>0.565670347353951</v>
      </c>
    </row>
    <row r="362" customFormat="false" ht="15" hidden="false" customHeight="false" outlineLevel="0" collapsed="false">
      <c r="A362" s="0" t="s">
        <v>1684</v>
      </c>
      <c r="B362" s="0" t="n">
        <v>10</v>
      </c>
      <c r="C362" s="0" t="n">
        <v>0.787971207054873</v>
      </c>
      <c r="D362" s="0" t="n">
        <v>0.167659437044198</v>
      </c>
      <c r="E362" s="0" t="n">
        <v>0.153710558862209</v>
      </c>
      <c r="F362" s="0" t="n">
        <v>0.705206983014571</v>
      </c>
      <c r="G362" s="0" t="n">
        <v>0.0123048308851441</v>
      </c>
      <c r="H362" s="0" t="n">
        <v>0.713992540478412</v>
      </c>
    </row>
    <row r="363" customFormat="false" ht="15" hidden="false" customHeight="false" outlineLevel="0" collapsed="false">
      <c r="A363" s="0" t="s">
        <v>1685</v>
      </c>
      <c r="B363" s="0" t="n">
        <v>3</v>
      </c>
      <c r="C363" s="0" t="n">
        <v>1.18848314708086</v>
      </c>
      <c r="D363" s="0" t="n">
        <v>0.21133096953192</v>
      </c>
      <c r="E363" s="0" t="n">
        <v>0.0833333333333333</v>
      </c>
      <c r="F363" s="0" t="n">
        <v>1.03532568110275</v>
      </c>
      <c r="G363" s="0" t="n">
        <v>0.14257096308331</v>
      </c>
      <c r="H363" s="0" t="n">
        <v>1.20747681327165</v>
      </c>
    </row>
    <row r="364" customFormat="false" ht="15" hidden="false" customHeight="false" outlineLevel="0" collapsed="false">
      <c r="A364" s="0" t="s">
        <v>1686</v>
      </c>
      <c r="B364" s="0" t="n">
        <v>276</v>
      </c>
      <c r="C364" s="0" t="n">
        <v>0.559801707270756</v>
      </c>
      <c r="D364" s="0" t="n">
        <v>0.322483286813206</v>
      </c>
      <c r="E364" s="0" t="n">
        <v>0.149078571065272</v>
      </c>
      <c r="F364" s="0" t="n">
        <v>0.456705731492144</v>
      </c>
      <c r="G364" s="0" t="n">
        <v>0.0321288099909435</v>
      </c>
      <c r="H364" s="0" t="n">
        <v>0.471866232001255</v>
      </c>
    </row>
    <row r="365" customFormat="false" ht="15" hidden="false" customHeight="false" outlineLevel="0" collapsed="false">
      <c r="A365" s="0" t="s">
        <v>1687</v>
      </c>
      <c r="B365" s="0" t="n">
        <v>11</v>
      </c>
      <c r="C365" s="0" t="n">
        <v>1.09842525435533</v>
      </c>
      <c r="D365" s="0" t="n">
        <v>0.055556869859651</v>
      </c>
      <c r="E365" s="0" t="n">
        <v>0.103374989749702</v>
      </c>
      <c r="F365" s="0" t="n">
        <v>1.05730679514174</v>
      </c>
      <c r="G365" s="0" t="n">
        <v>0.00543196000929714</v>
      </c>
      <c r="H365" s="0" t="n">
        <v>1.06308141085212</v>
      </c>
    </row>
    <row r="366" customFormat="false" ht="15" hidden="false" customHeight="false" outlineLevel="0" collapsed="false">
      <c r="A366" s="0" t="s">
        <v>1688</v>
      </c>
      <c r="B366" s="0" t="n">
        <v>13</v>
      </c>
      <c r="C366" s="0" t="n">
        <v>0.988040559264385</v>
      </c>
      <c r="D366" s="0" t="n">
        <v>0.00786799775935551</v>
      </c>
      <c r="E366" s="0" t="n">
        <v>0.209225503552597</v>
      </c>
      <c r="F366" s="0" t="n">
        <v>0.982628635333626</v>
      </c>
      <c r="G366" s="0" t="n">
        <v>0.00136022412832987</v>
      </c>
      <c r="H366" s="0" t="n">
        <v>0.983967051057957</v>
      </c>
    </row>
    <row r="367" customFormat="false" ht="15" hidden="false" customHeight="false" outlineLevel="0" collapsed="false">
      <c r="A367" s="0" t="s">
        <v>1689</v>
      </c>
      <c r="B367" s="0" t="n">
        <v>1</v>
      </c>
      <c r="C367" s="0" t="n">
        <v>0.513931156907272</v>
      </c>
      <c r="D367" s="0" t="n">
        <v>0.251935014177332</v>
      </c>
      <c r="E367" s="0" t="n">
        <v>0.332518337408313</v>
      </c>
      <c r="F367" s="0" t="n">
        <v>0.436884589272682</v>
      </c>
      <c r="G367" s="0" t="n">
        <v>0.000566216753894653</v>
      </c>
      <c r="H367" s="0" t="n">
        <v>0.437132100791816</v>
      </c>
    </row>
    <row r="368" customFormat="false" ht="15" hidden="false" customHeight="false" outlineLevel="0" collapsed="false">
      <c r="A368" s="0" t="s">
        <v>1690</v>
      </c>
      <c r="B368" s="0" t="n">
        <v>61</v>
      </c>
      <c r="C368" s="0" t="n">
        <v>0.640096270133879</v>
      </c>
      <c r="D368" s="0" t="n">
        <v>0.080751913389183</v>
      </c>
      <c r="E368" s="0" t="n">
        <v>0.217078613857923</v>
      </c>
      <c r="F368" s="0" t="n">
        <v>0.60584979879829</v>
      </c>
      <c r="G368" s="0" t="n">
        <v>0.0159145645398222</v>
      </c>
      <c r="H368" s="0" t="n">
        <v>0.615647561651985</v>
      </c>
    </row>
    <row r="369" customFormat="false" ht="15" hidden="false" customHeight="false" outlineLevel="0" collapsed="false">
      <c r="A369" s="0" t="s">
        <v>1691</v>
      </c>
      <c r="B369" s="0" t="n">
        <v>18</v>
      </c>
      <c r="C369" s="0" t="n">
        <v>0.719485645150865</v>
      </c>
      <c r="D369" s="0" t="n">
        <v>0.120546551322619</v>
      </c>
      <c r="E369" s="0" t="n">
        <v>0.239768344193029</v>
      </c>
      <c r="F369" s="0" t="n">
        <v>0.663497970632364</v>
      </c>
      <c r="G369" s="0" t="n">
        <v>0.0121876164684811</v>
      </c>
      <c r="H369" s="0" t="n">
        <v>0.671684200050518</v>
      </c>
    </row>
    <row r="370" customFormat="false" ht="15" hidden="false" customHeight="false" outlineLevel="0" collapsed="false">
      <c r="A370" s="0" t="s">
        <v>1692</v>
      </c>
      <c r="B370" s="0" t="n">
        <v>18</v>
      </c>
      <c r="C370" s="0" t="n">
        <v>1.91728065056186</v>
      </c>
      <c r="D370" s="0" t="n">
        <v>0.0457850842099579</v>
      </c>
      <c r="E370" s="0" t="n">
        <v>0.228952671473691</v>
      </c>
      <c r="F370" s="0" t="n">
        <v>1.85774087488407</v>
      </c>
      <c r="G370" s="0" t="n">
        <v>0.0647884805124946</v>
      </c>
      <c r="H370" s="0" t="n">
        <v>1.98643925590449</v>
      </c>
    </row>
    <row r="371" customFormat="false" ht="15" hidden="false" customHeight="false" outlineLevel="0" collapsed="false">
      <c r="A371" s="0" t="s">
        <v>1693</v>
      </c>
      <c r="B371" s="0" t="n">
        <v>2</v>
      </c>
      <c r="C371" s="0" t="n">
        <v>1.32141661232203</v>
      </c>
      <c r="D371" s="0" t="n">
        <v>0.0259501416430595</v>
      </c>
      <c r="E371" s="0" t="n">
        <v>0.123958333333333</v>
      </c>
      <c r="F371" s="0" t="n">
        <v>1.29784119827424</v>
      </c>
      <c r="G371" s="0" t="n">
        <v>0.00851998175394107</v>
      </c>
      <c r="H371" s="0" t="n">
        <v>1.30899380157972</v>
      </c>
    </row>
    <row r="372" customFormat="false" ht="15" hidden="false" customHeight="false" outlineLevel="0" collapsed="false">
      <c r="A372" s="0" t="s">
        <v>1694</v>
      </c>
      <c r="B372" s="0" t="n">
        <v>28</v>
      </c>
      <c r="C372" s="0" t="n">
        <v>1.16440173676761</v>
      </c>
      <c r="D372" s="0" t="n">
        <v>0.176472561971645</v>
      </c>
      <c r="E372" s="0" t="n">
        <v>0.171928038073282</v>
      </c>
      <c r="F372" s="0" t="n">
        <v>1.03637723472135</v>
      </c>
      <c r="G372" s="0" t="n">
        <v>0.0304065284080367</v>
      </c>
      <c r="H372" s="0" t="n">
        <v>1.06887810725431</v>
      </c>
    </row>
    <row r="373" customFormat="false" ht="15" hidden="false" customHeight="false" outlineLevel="0" collapsed="false">
      <c r="A373" s="0" t="s">
        <v>1695</v>
      </c>
      <c r="B373" s="0" t="n">
        <v>13</v>
      </c>
      <c r="C373" s="0" t="n">
        <v>0.277497261503125</v>
      </c>
      <c r="D373" s="0" t="n">
        <v>0.0764059652310314</v>
      </c>
      <c r="E373" s="0" t="n">
        <v>0.19141911378018</v>
      </c>
      <c r="F373" s="0" t="n">
        <v>0.263409045825317</v>
      </c>
      <c r="G373" s="0" t="n">
        <v>0.0187756659652919</v>
      </c>
      <c r="H373" s="0" t="n">
        <v>0.268449361362862</v>
      </c>
    </row>
    <row r="374" customFormat="false" ht="15" hidden="false" customHeight="false" outlineLevel="0" collapsed="false">
      <c r="A374" s="0" t="s">
        <v>1696</v>
      </c>
      <c r="B374" s="0" t="n">
        <v>4</v>
      </c>
      <c r="C374" s="0" t="n">
        <v>0.607990098333098</v>
      </c>
      <c r="D374" s="0" t="n">
        <v>0.0057245953732329</v>
      </c>
      <c r="E374" s="0" t="n">
        <v>0.219096994944372</v>
      </c>
      <c r="F374" s="0" t="n">
        <v>0.605563474229158</v>
      </c>
      <c r="G374" s="0" t="n">
        <v>0.0052369165117804</v>
      </c>
      <c r="H374" s="0" t="n">
        <v>0.608751454774236</v>
      </c>
    </row>
    <row r="375" customFormat="false" ht="15" hidden="false" customHeight="false" outlineLevel="0" collapsed="false">
      <c r="A375" s="0" t="s">
        <v>1697</v>
      </c>
      <c r="B375" s="0" t="n">
        <v>6</v>
      </c>
      <c r="C375" s="0" t="n">
        <v>0.463461085649633</v>
      </c>
      <c r="D375" s="0" t="n">
        <v>0.118620060939049</v>
      </c>
      <c r="E375" s="0" t="n">
        <v>0.159483879082638</v>
      </c>
      <c r="F375" s="0" t="n">
        <v>0.427928455981387</v>
      </c>
      <c r="G375" s="0" t="n">
        <v>0.0767340609693731</v>
      </c>
      <c r="H375" s="0" t="n">
        <v>0.463494252187713</v>
      </c>
    </row>
    <row r="376" customFormat="false" ht="15" hidden="false" customHeight="false" outlineLevel="0" collapsed="false">
      <c r="A376" s="0" t="s">
        <v>1698</v>
      </c>
      <c r="B376" s="0" t="n">
        <v>82</v>
      </c>
      <c r="C376" s="0" t="n">
        <v>0.864398181488535</v>
      </c>
      <c r="D376" s="0" t="n">
        <v>0.0155605620972886</v>
      </c>
      <c r="E376" s="0" t="n">
        <v>0.174072088353117</v>
      </c>
      <c r="F376" s="0" t="n">
        <v>0.855084267201789</v>
      </c>
      <c r="G376" s="0" t="n">
        <v>0.0604617516380333</v>
      </c>
      <c r="H376" s="0" t="n">
        <v>0.910111183544237</v>
      </c>
    </row>
    <row r="377" customFormat="false" ht="15" hidden="false" customHeight="false" outlineLevel="0" collapsed="false">
      <c r="A377" s="0" t="s">
        <v>1699</v>
      </c>
      <c r="B377" s="0" t="n">
        <v>185</v>
      </c>
      <c r="C377" s="0" t="n">
        <v>1.06017730605463</v>
      </c>
      <c r="D377" s="0" t="n">
        <v>0.262552186154614</v>
      </c>
      <c r="E377" s="0" t="n">
        <v>0.185145673504794</v>
      </c>
      <c r="F377" s="0" t="n">
        <v>0.895581491182012</v>
      </c>
      <c r="G377" s="0" t="n">
        <v>0.0305065784910433</v>
      </c>
      <c r="H377" s="0" t="n">
        <v>0.923762318869678</v>
      </c>
    </row>
    <row r="378" customFormat="false" ht="15" hidden="false" customHeight="false" outlineLevel="0" collapsed="false">
      <c r="A378" s="0" t="s">
        <v>1700</v>
      </c>
      <c r="B378" s="0" t="n">
        <v>4</v>
      </c>
      <c r="C378" s="0" t="n">
        <v>0.963778526659104</v>
      </c>
      <c r="D378" s="0" t="n">
        <v>0.339701605711635</v>
      </c>
      <c r="E378" s="0" t="n">
        <v>0.0790656346162025</v>
      </c>
      <c r="F378" s="0" t="n">
        <v>0.778627757117887</v>
      </c>
      <c r="G378" s="0" t="n">
        <v>0.0116079110455533</v>
      </c>
      <c r="H378" s="0" t="n">
        <v>0.787772146114145</v>
      </c>
    </row>
    <row r="379" customFormat="false" ht="15" hidden="false" customHeight="false" outlineLevel="0" collapsed="false">
      <c r="A379" s="0" t="s">
        <v>1701</v>
      </c>
      <c r="B379" s="0" t="n">
        <v>22</v>
      </c>
      <c r="C379" s="0" t="n">
        <v>0.936834590039473</v>
      </c>
      <c r="D379" s="0" t="n">
        <v>0.263454449845696</v>
      </c>
      <c r="E379" s="0" t="n">
        <v>0.150918264966035</v>
      </c>
      <c r="F379" s="0" t="n">
        <v>0.790966110920135</v>
      </c>
      <c r="G379" s="0" t="n">
        <v>0.0144345573712056</v>
      </c>
      <c r="H379" s="0" t="n">
        <v>0.802550573212464</v>
      </c>
    </row>
    <row r="380" customFormat="false" ht="15" hidden="false" customHeight="false" outlineLevel="0" collapsed="false">
      <c r="A380" s="0" t="s">
        <v>1702</v>
      </c>
      <c r="B380" s="0" t="n">
        <v>11</v>
      </c>
      <c r="C380" s="0" t="n">
        <v>0.860816791398209</v>
      </c>
      <c r="D380" s="0" t="n">
        <v>0.489419578207366</v>
      </c>
      <c r="E380" s="0" t="n">
        <v>0.140083796218435</v>
      </c>
      <c r="F380" s="0" t="n">
        <v>0.641159561791335</v>
      </c>
      <c r="G380" s="0" t="n">
        <v>0.0111919047377666</v>
      </c>
      <c r="H380" s="0" t="n">
        <v>0.648416578366805</v>
      </c>
    </row>
    <row r="381" customFormat="false" ht="15" hidden="false" customHeight="false" outlineLevel="0" collapsed="false">
      <c r="A381" s="0" t="s">
        <v>1703</v>
      </c>
      <c r="B381" s="0" t="n">
        <v>7</v>
      </c>
      <c r="C381" s="0" t="n">
        <v>0.158086652612393</v>
      </c>
      <c r="D381" s="0" t="n">
        <v>0.0146516457906716</v>
      </c>
      <c r="E381" s="0" t="n">
        <v>0.129364256377505</v>
      </c>
      <c r="F381" s="0" t="n">
        <v>0.156481751970589</v>
      </c>
      <c r="G381" s="0" t="n">
        <v>0.0073774568276172</v>
      </c>
      <c r="H381" s="0" t="n">
        <v>0.157644769451316</v>
      </c>
    </row>
    <row r="382" customFormat="false" ht="15" hidden="false" customHeight="false" outlineLevel="0" collapsed="false">
      <c r="A382" s="0" t="s">
        <v>1704</v>
      </c>
      <c r="B382" s="0" t="n">
        <v>59</v>
      </c>
      <c r="C382" s="0" t="n">
        <v>1.12927600810813</v>
      </c>
      <c r="D382" s="0" t="n">
        <v>0.212892457720227</v>
      </c>
      <c r="E382" s="0" t="n">
        <v>0.169439645237244</v>
      </c>
      <c r="F382" s="0" t="n">
        <v>0.982812630620266</v>
      </c>
      <c r="G382" s="0" t="n">
        <v>0.0315349630154022</v>
      </c>
      <c r="H382" s="0" t="n">
        <v>1.01481477708306</v>
      </c>
    </row>
    <row r="383" customFormat="false" ht="15" hidden="false" customHeight="false" outlineLevel="0" collapsed="false">
      <c r="A383" s="0" t="s">
        <v>1705</v>
      </c>
      <c r="B383" s="0" t="n">
        <v>3</v>
      </c>
      <c r="C383" s="0" t="n">
        <v>1.33923517624943</v>
      </c>
      <c r="D383" s="0" t="n">
        <v>0.0229205776011541</v>
      </c>
      <c r="E383" s="0" t="n">
        <v>0.250988779558523</v>
      </c>
      <c r="F383" s="0" t="n">
        <v>1.31808725145695</v>
      </c>
      <c r="G383" s="0" t="n">
        <v>0.0988523085554882</v>
      </c>
      <c r="H383" s="0" t="n">
        <v>1.46267616725966</v>
      </c>
    </row>
    <row r="384" customFormat="false" ht="15" hidden="false" customHeight="false" outlineLevel="0" collapsed="false">
      <c r="A384" s="0" t="s">
        <v>1706</v>
      </c>
      <c r="B384" s="0" t="n">
        <v>24</v>
      </c>
      <c r="C384" s="0" t="n">
        <v>0.337201156325306</v>
      </c>
      <c r="D384" s="0" t="n">
        <v>0.283367846990881</v>
      </c>
      <c r="E384" s="0" t="n">
        <v>0.250781924919494</v>
      </c>
      <c r="F384" s="0" t="n">
        <v>0.281386112512288</v>
      </c>
      <c r="G384" s="0" t="n">
        <v>0.0169827015975466</v>
      </c>
      <c r="H384" s="0" t="n">
        <v>0.286247366114087</v>
      </c>
    </row>
    <row r="385" customFormat="false" ht="15" hidden="false" customHeight="false" outlineLevel="0" collapsed="false">
      <c r="A385" s="0" t="s">
        <v>1707</v>
      </c>
      <c r="B385" s="0" t="n">
        <v>0</v>
      </c>
      <c r="C385" s="0" t="n">
        <v>0</v>
      </c>
      <c r="D385" s="0" t="n">
        <v>7</v>
      </c>
      <c r="E385" s="0" t="n">
        <v>0</v>
      </c>
      <c r="F385" s="0" t="s">
        <v>1712</v>
      </c>
      <c r="G385" s="0" t="n">
        <v>7</v>
      </c>
      <c r="H385" s="0" t="s">
        <v>1712</v>
      </c>
    </row>
    <row r="386" customFormat="false" ht="15" hidden="false" customHeight="false" outlineLevel="0" collapsed="false">
      <c r="A386" s="0" t="s">
        <v>1708</v>
      </c>
      <c r="B386" s="0" t="n">
        <v>1</v>
      </c>
      <c r="C386" s="0" t="n">
        <v>1.3711491996254</v>
      </c>
      <c r="D386" s="0" t="n">
        <v>0.0299911465250111</v>
      </c>
      <c r="E386" s="0" t="n">
        <v>0.23728813559322</v>
      </c>
      <c r="F386" s="0" t="n">
        <v>1.34295545788559</v>
      </c>
      <c r="G386" s="0" t="n">
        <v>0.0964865155259482</v>
      </c>
      <c r="H386" s="0" t="n">
        <v>1.48637013277931</v>
      </c>
    </row>
    <row r="387" customFormat="false" ht="15" hidden="false" customHeight="false" outlineLevel="0" collapsed="false">
      <c r="A387" s="0" t="s">
        <v>1709</v>
      </c>
      <c r="B387" s="0" t="n">
        <v>5170</v>
      </c>
      <c r="C387" s="0" t="n">
        <v>0.765521801135775</v>
      </c>
      <c r="D387" s="0" t="n">
        <v>0.302744416394853</v>
      </c>
      <c r="E387" s="0" t="n">
        <v>0.177546913724578</v>
      </c>
      <c r="F387" s="0" t="n">
        <v>0.631659772669848</v>
      </c>
      <c r="G387" s="0" t="n">
        <v>0.0574554937340893</v>
      </c>
      <c r="H387" s="0" t="n">
        <v>0.670164399103339</v>
      </c>
    </row>
    <row r="388" customFormat="false" ht="15" hidden="false" customHeight="false" outlineLevel="0" collapsed="false">
      <c r="A388" s="0" t="s">
        <v>1710</v>
      </c>
      <c r="B388" s="0" t="n">
        <v>4523</v>
      </c>
      <c r="C388" s="0" t="n">
        <v>0.78513088904807</v>
      </c>
      <c r="D388" s="0" t="n">
        <v>0.172975706819165</v>
      </c>
      <c r="E388" s="0" t="n">
        <v>0.181098880173828</v>
      </c>
      <c r="F388" s="0" t="n">
        <v>0.700332529088763</v>
      </c>
      <c r="G388" s="0" t="n">
        <v>0.0297872154366472</v>
      </c>
      <c r="H388" s="0" t="n">
        <v>0.721833952542637</v>
      </c>
    </row>
    <row r="390" customFormat="false" ht="15" hidden="false" customHeight="false" outlineLevel="0" collapsed="false">
      <c r="A390" s="156" t="s">
        <v>1713</v>
      </c>
    </row>
    <row r="391" customFormat="false" ht="15" hidden="false" customHeight="false" outlineLevel="0" collapsed="false">
      <c r="A391" s="12" t="s">
        <v>1608</v>
      </c>
      <c r="B391" s="12" t="s">
        <v>1609</v>
      </c>
      <c r="C391" s="12" t="s">
        <v>1610</v>
      </c>
      <c r="D391" s="12" t="s">
        <v>1611</v>
      </c>
      <c r="E391" s="12" t="s">
        <v>1612</v>
      </c>
      <c r="F391" s="12" t="s">
        <v>1613</v>
      </c>
      <c r="G391" s="12" t="s">
        <v>1614</v>
      </c>
      <c r="H391" s="12" t="s">
        <v>1615</v>
      </c>
    </row>
    <row r="392" customFormat="false" ht="15" hidden="false" customHeight="false" outlineLevel="0" collapsed="false">
      <c r="A392" s="0" t="s">
        <v>1616</v>
      </c>
      <c r="B392" s="0" t="n">
        <v>184</v>
      </c>
      <c r="C392" s="0" t="n">
        <v>1.43991598052033</v>
      </c>
      <c r="D392" s="0" t="n">
        <v>0.315850045229126</v>
      </c>
      <c r="E392" s="0" t="n">
        <v>0.102805472913827</v>
      </c>
      <c r="F392" s="0" t="n">
        <v>1.16328317186205</v>
      </c>
      <c r="G392" s="0" t="n">
        <v>0.0918841072351223</v>
      </c>
      <c r="H392" s="0" t="n">
        <v>1.28098536886111</v>
      </c>
    </row>
    <row r="393" customFormat="false" ht="15" hidden="false" customHeight="false" outlineLevel="0" collapsed="false">
      <c r="A393" s="0" t="s">
        <v>1617</v>
      </c>
      <c r="B393" s="0" t="n">
        <v>151</v>
      </c>
      <c r="C393" s="0" t="n">
        <v>1.28256604351864</v>
      </c>
      <c r="D393" s="0" t="n">
        <v>0.1203011179767</v>
      </c>
      <c r="E393" s="0" t="n">
        <v>0.107443413525378</v>
      </c>
      <c r="F393" s="0" t="n">
        <v>1.17604601475709</v>
      </c>
      <c r="G393" s="0" t="n">
        <v>0.0638583239800223</v>
      </c>
      <c r="H393" s="0" t="n">
        <v>1.25626926445265</v>
      </c>
    </row>
    <row r="394" customFormat="false" ht="15" hidden="false" customHeight="false" outlineLevel="0" collapsed="false">
      <c r="A394" s="0" t="s">
        <v>1618</v>
      </c>
      <c r="B394" s="0" t="n">
        <v>79</v>
      </c>
      <c r="C394" s="0" t="n">
        <v>0.872526469196754</v>
      </c>
      <c r="D394" s="0" t="n">
        <v>0.800197214163935</v>
      </c>
      <c r="E394" s="0" t="n">
        <v>0.137371634074439</v>
      </c>
      <c r="F394" s="0" t="n">
        <v>0.544489004745703</v>
      </c>
      <c r="G394" s="0" t="n">
        <v>0.0799454703954629</v>
      </c>
      <c r="H394" s="0" t="n">
        <v>0.591800797915465</v>
      </c>
    </row>
    <row r="395" customFormat="false" ht="15" hidden="false" customHeight="false" outlineLevel="0" collapsed="false">
      <c r="A395" s="0" t="s">
        <v>1619</v>
      </c>
      <c r="B395" s="0" t="n">
        <v>993</v>
      </c>
      <c r="C395" s="0" t="n">
        <v>0.732438703059831</v>
      </c>
      <c r="D395" s="0" t="n">
        <v>0.259780791114035</v>
      </c>
      <c r="E395" s="0" t="n">
        <v>0.145015528024605</v>
      </c>
      <c r="F395" s="0" t="n">
        <v>0.612617487294198</v>
      </c>
      <c r="G395" s="0" t="n">
        <v>0.0804112000310646</v>
      </c>
      <c r="H395" s="0" t="n">
        <v>0.666186329493022</v>
      </c>
    </row>
    <row r="396" customFormat="false" ht="15" hidden="false" customHeight="false" outlineLevel="0" collapsed="false">
      <c r="A396" s="0" t="s">
        <v>1620</v>
      </c>
      <c r="B396" s="0" t="n">
        <v>89</v>
      </c>
      <c r="C396" s="0" t="n">
        <v>1.35053891641522</v>
      </c>
      <c r="D396" s="0" t="n">
        <v>0.402162602195048</v>
      </c>
      <c r="E396" s="0" t="n">
        <v>0.139095305533551</v>
      </c>
      <c r="F396" s="0" t="n">
        <v>1.0366526902627</v>
      </c>
      <c r="G396" s="0" t="n">
        <v>0.148300244063809</v>
      </c>
      <c r="H396" s="0" t="n">
        <v>1.21715743492635</v>
      </c>
    </row>
    <row r="397" customFormat="false" ht="15" hidden="false" customHeight="false" outlineLevel="0" collapsed="false">
      <c r="A397" s="0" t="s">
        <v>1621</v>
      </c>
      <c r="B397" s="0" t="n">
        <v>592</v>
      </c>
      <c r="C397" s="0" t="n">
        <v>1.52483062143133</v>
      </c>
      <c r="D397" s="0" t="n">
        <v>0.184475205053694</v>
      </c>
      <c r="E397" s="0" t="n">
        <v>0.16187762034804</v>
      </c>
      <c r="F397" s="0" t="n">
        <v>1.33887273684313</v>
      </c>
      <c r="G397" s="0" t="n">
        <v>0.0872732404295332</v>
      </c>
      <c r="H397" s="0" t="n">
        <v>1.46689326548639</v>
      </c>
    </row>
    <row r="398" customFormat="false" ht="15" hidden="false" customHeight="false" outlineLevel="0" collapsed="false">
      <c r="A398" s="0" t="s">
        <v>1622</v>
      </c>
      <c r="B398" s="0" t="n">
        <v>455</v>
      </c>
      <c r="C398" s="0" t="n">
        <v>0.585697719157535</v>
      </c>
      <c r="D398" s="0" t="n">
        <v>1.78991897994059</v>
      </c>
      <c r="E398" s="0" t="n">
        <v>0.215455026357326</v>
      </c>
      <c r="F398" s="0" t="n">
        <v>0.249484679936028</v>
      </c>
      <c r="G398" s="0" t="n">
        <v>0.180072560520929</v>
      </c>
      <c r="H398" s="0" t="n">
        <v>0.304276534634009</v>
      </c>
    </row>
    <row r="399" customFormat="false" ht="15" hidden="false" customHeight="false" outlineLevel="0" collapsed="false">
      <c r="A399" s="0" t="s">
        <v>1623</v>
      </c>
      <c r="B399" s="0" t="n">
        <v>104</v>
      </c>
      <c r="C399" s="0" t="n">
        <v>0.604030921259844</v>
      </c>
      <c r="D399" s="0" t="n">
        <v>5.401252648142</v>
      </c>
      <c r="E399" s="0" t="n">
        <v>0.152971785840671</v>
      </c>
      <c r="F399" s="0" t="n">
        <v>0.119218124470851</v>
      </c>
      <c r="G399" s="0" t="n">
        <v>0.127887947980082</v>
      </c>
      <c r="H399" s="0" t="n">
        <v>0.136700466636973</v>
      </c>
    </row>
    <row r="400" customFormat="false" ht="15" hidden="false" customHeight="false" outlineLevel="0" collapsed="false">
      <c r="A400" s="0" t="s">
        <v>1624</v>
      </c>
      <c r="B400" s="0" t="n">
        <v>132</v>
      </c>
      <c r="C400" s="0" t="n">
        <v>0.905709964029407</v>
      </c>
      <c r="D400" s="0" t="n">
        <v>0.0259306982481578</v>
      </c>
      <c r="E400" s="0" t="n">
        <v>0.192341852799747</v>
      </c>
      <c r="F400" s="0" t="n">
        <v>0.888366192994616</v>
      </c>
      <c r="G400" s="0" t="n">
        <v>0.067796543888714</v>
      </c>
      <c r="H400" s="0" t="n">
        <v>0.952974575636591</v>
      </c>
    </row>
    <row r="401" customFormat="false" ht="15" hidden="false" customHeight="false" outlineLevel="0" collapsed="false">
      <c r="A401" s="0" t="s">
        <v>1625</v>
      </c>
      <c r="B401" s="0" t="n">
        <v>40</v>
      </c>
      <c r="C401" s="0" t="n">
        <v>0.570851010291039</v>
      </c>
      <c r="D401" s="0" t="n">
        <v>0.0501032185612818</v>
      </c>
      <c r="E401" s="0" t="n">
        <v>0.165890592497986</v>
      </c>
      <c r="F401" s="0" t="n">
        <v>0.550099754972675</v>
      </c>
      <c r="G401" s="0" t="n">
        <v>0.0507746032068544</v>
      </c>
      <c r="H401" s="0" t="n">
        <v>0.579524901915949</v>
      </c>
    </row>
    <row r="402" customFormat="false" ht="15" hidden="false" customHeight="false" outlineLevel="0" collapsed="false">
      <c r="A402" s="0" t="s">
        <v>1626</v>
      </c>
      <c r="B402" s="0" t="n">
        <v>63</v>
      </c>
      <c r="C402" s="0" t="n">
        <v>0.903262813753389</v>
      </c>
      <c r="D402" s="0" t="n">
        <v>0.330429525496013</v>
      </c>
      <c r="E402" s="0" t="n">
        <v>0.123804154084258</v>
      </c>
      <c r="F402" s="0" t="n">
        <v>0.723315981873442</v>
      </c>
      <c r="G402" s="0" t="n">
        <v>0.155226490257224</v>
      </c>
      <c r="H402" s="0" t="n">
        <v>0.856224743711108</v>
      </c>
    </row>
    <row r="403" customFormat="false" ht="15" hidden="false" customHeight="false" outlineLevel="0" collapsed="false">
      <c r="A403" s="0" t="s">
        <v>1627</v>
      </c>
      <c r="B403" s="0" t="n">
        <v>468</v>
      </c>
      <c r="C403" s="0" t="n">
        <v>0.967497807776411</v>
      </c>
      <c r="D403" s="0" t="n">
        <v>2.06383853642471</v>
      </c>
      <c r="E403" s="0" t="n">
        <v>0.142591945841757</v>
      </c>
      <c r="F403" s="0" t="n">
        <v>0.378836850696772</v>
      </c>
      <c r="G403" s="0" t="n">
        <v>0.106852245019036</v>
      </c>
      <c r="H403" s="0" t="n">
        <v>0.424159215072815</v>
      </c>
    </row>
    <row r="404" customFormat="false" ht="15" hidden="false" customHeight="false" outlineLevel="0" collapsed="false">
      <c r="A404" s="0" t="s">
        <v>1628</v>
      </c>
      <c r="B404" s="0" t="n">
        <v>281</v>
      </c>
      <c r="C404" s="0" t="n">
        <v>1.00517056269904</v>
      </c>
      <c r="D404" s="0" t="n">
        <v>0.2881995389807</v>
      </c>
      <c r="E404" s="0" t="n">
        <v>0.14794934376254</v>
      </c>
      <c r="F404" s="0" t="n">
        <v>0.825951186864222</v>
      </c>
      <c r="G404" s="0" t="n">
        <v>0.072676304934799</v>
      </c>
      <c r="H404" s="0" t="n">
        <v>0.890682715495745</v>
      </c>
    </row>
    <row r="405" customFormat="false" ht="15" hidden="false" customHeight="false" outlineLevel="0" collapsed="false">
      <c r="A405" s="0" t="s">
        <v>1629</v>
      </c>
      <c r="B405" s="0" t="n">
        <v>379</v>
      </c>
      <c r="C405" s="0" t="n">
        <v>1.09723068016276</v>
      </c>
      <c r="D405" s="0" t="n">
        <v>0.152913218115882</v>
      </c>
      <c r="E405" s="0" t="n">
        <v>0.121601444725507</v>
      </c>
      <c r="F405" s="0" t="n">
        <v>0.983950115190435</v>
      </c>
      <c r="G405" s="0" t="n">
        <v>0.114203572581839</v>
      </c>
      <c r="H405" s="0" t="n">
        <v>1.11080840330138</v>
      </c>
    </row>
    <row r="406" customFormat="false" ht="15" hidden="false" customHeight="false" outlineLevel="0" collapsed="false">
      <c r="A406" s="0" t="s">
        <v>1630</v>
      </c>
      <c r="B406" s="0" t="n">
        <v>29</v>
      </c>
      <c r="C406" s="0" t="n">
        <v>1.10369518836049</v>
      </c>
      <c r="D406" s="0" t="n">
        <v>0.233650219376189</v>
      </c>
      <c r="E406" s="0" t="n">
        <v>0.091651954089193</v>
      </c>
      <c r="F406" s="0" t="n">
        <v>0.938583956796626</v>
      </c>
      <c r="G406" s="0" t="n">
        <v>0.0867527930466675</v>
      </c>
      <c r="H406" s="0" t="n">
        <v>1.02774358317264</v>
      </c>
    </row>
    <row r="407" customFormat="false" ht="15" hidden="false" customHeight="false" outlineLevel="0" collapsed="false">
      <c r="A407" s="0" t="s">
        <v>1631</v>
      </c>
      <c r="B407" s="0" t="n">
        <v>741</v>
      </c>
      <c r="C407" s="0" t="n">
        <v>1.30632631263633</v>
      </c>
      <c r="D407" s="0" t="n">
        <v>0.462301102354408</v>
      </c>
      <c r="E407" s="0" t="n">
        <v>0.145551495512209</v>
      </c>
      <c r="F407" s="0" t="n">
        <v>0.96903699681918</v>
      </c>
      <c r="G407" s="0" t="n">
        <v>0.0862560693546736</v>
      </c>
      <c r="H407" s="0" t="n">
        <v>1.06051264946275</v>
      </c>
    </row>
    <row r="408" customFormat="false" ht="15" hidden="false" customHeight="false" outlineLevel="0" collapsed="false">
      <c r="A408" s="0" t="s">
        <v>1632</v>
      </c>
      <c r="B408" s="0" t="n">
        <v>29</v>
      </c>
      <c r="C408" s="0" t="n">
        <v>0.983273656583767</v>
      </c>
      <c r="D408" s="0" t="n">
        <v>0.319347604589746</v>
      </c>
      <c r="E408" s="0" t="n">
        <v>0.21357878812717</v>
      </c>
      <c r="F408" s="0" t="n">
        <v>0.792683389811863</v>
      </c>
      <c r="G408" s="0" t="n">
        <v>0.0776454287579335</v>
      </c>
      <c r="H408" s="0" t="n">
        <v>0.859412870632185</v>
      </c>
    </row>
    <row r="409" customFormat="false" ht="15" hidden="false" customHeight="false" outlineLevel="0" collapsed="false">
      <c r="A409" s="0" t="s">
        <v>1633</v>
      </c>
      <c r="B409" s="0" t="n">
        <v>687</v>
      </c>
      <c r="C409" s="0" t="n">
        <v>1.18225077508848</v>
      </c>
      <c r="D409" s="0" t="n">
        <v>0.200562925296815</v>
      </c>
      <c r="E409" s="0" t="n">
        <v>0.160102275033064</v>
      </c>
      <c r="F409" s="0" t="n">
        <v>1.02714756277459</v>
      </c>
      <c r="G409" s="0" t="n">
        <v>0.0714196848524861</v>
      </c>
      <c r="H409" s="0" t="n">
        <v>1.10614832774203</v>
      </c>
    </row>
    <row r="410" customFormat="false" ht="15" hidden="false" customHeight="false" outlineLevel="0" collapsed="false">
      <c r="A410" s="0" t="s">
        <v>1634</v>
      </c>
      <c r="B410" s="0" t="n">
        <v>96</v>
      </c>
      <c r="C410" s="0" t="n">
        <v>0.98805596003287</v>
      </c>
      <c r="D410" s="0" t="n">
        <v>0.230301448224975</v>
      </c>
      <c r="E410" s="0" t="n">
        <v>0.20216725551881</v>
      </c>
      <c r="F410" s="0" t="n">
        <v>0.842049638403204</v>
      </c>
      <c r="G410" s="0" t="n">
        <v>0.129614407352678</v>
      </c>
      <c r="H410" s="0" t="n">
        <v>0.967444366630734</v>
      </c>
    </row>
    <row r="411" customFormat="false" ht="15" hidden="false" customHeight="false" outlineLevel="0" collapsed="false">
      <c r="A411" s="0" t="s">
        <v>1635</v>
      </c>
      <c r="B411" s="0" t="n">
        <v>693</v>
      </c>
      <c r="C411" s="0" t="n">
        <v>1.10124322537924</v>
      </c>
      <c r="D411" s="0" t="n">
        <v>0.101881867337384</v>
      </c>
      <c r="E411" s="0" t="n">
        <v>0.137783072092719</v>
      </c>
      <c r="F411" s="0" t="n">
        <v>1.02278834511035</v>
      </c>
      <c r="G411" s="0" t="n">
        <v>0.0549373789128517</v>
      </c>
      <c r="H411" s="0" t="n">
        <v>1.08224399345494</v>
      </c>
    </row>
    <row r="412" customFormat="false" ht="15" hidden="false" customHeight="false" outlineLevel="0" collapsed="false">
      <c r="A412" s="0" t="s">
        <v>1636</v>
      </c>
      <c r="B412" s="0" t="n">
        <v>244</v>
      </c>
      <c r="C412" s="0" t="n">
        <v>1.59044806955794</v>
      </c>
      <c r="D412" s="0" t="n">
        <v>0.105150052842365</v>
      </c>
      <c r="E412" s="0" t="n">
        <v>0.133903610640047</v>
      </c>
      <c r="F412" s="0" t="n">
        <v>1.47377316933572</v>
      </c>
      <c r="G412" s="0" t="n">
        <v>0.0890126586888667</v>
      </c>
      <c r="H412" s="0" t="n">
        <v>1.61777568414354</v>
      </c>
    </row>
    <row r="413" customFormat="false" ht="15" hidden="false" customHeight="false" outlineLevel="0" collapsed="false">
      <c r="A413" s="0" t="s">
        <v>1637</v>
      </c>
      <c r="B413" s="0" t="n">
        <v>580</v>
      </c>
      <c r="C413" s="0" t="n">
        <v>0.99734003712717</v>
      </c>
      <c r="D413" s="0" t="n">
        <v>0.326475177333744</v>
      </c>
      <c r="E413" s="0" t="n">
        <v>0.152939991121713</v>
      </c>
      <c r="F413" s="0" t="n">
        <v>0.800559886455049</v>
      </c>
      <c r="G413" s="0" t="n">
        <v>0.11658490074884</v>
      </c>
      <c r="H413" s="0" t="n">
        <v>0.906210327550044</v>
      </c>
    </row>
    <row r="414" customFormat="false" ht="15" hidden="false" customHeight="false" outlineLevel="0" collapsed="false">
      <c r="A414" s="0" t="s">
        <v>1638</v>
      </c>
      <c r="B414" s="0" t="n">
        <v>215</v>
      </c>
      <c r="C414" s="0" t="n">
        <v>0.697913891170263</v>
      </c>
      <c r="D414" s="0" t="n">
        <v>1.22282952514948</v>
      </c>
      <c r="E414" s="0" t="n">
        <v>0.150224446406593</v>
      </c>
      <c r="F414" s="0" t="n">
        <v>0.363370329582086</v>
      </c>
      <c r="G414" s="0" t="n">
        <v>0.155705551925132</v>
      </c>
      <c r="H414" s="0" t="n">
        <v>0.430383417077574</v>
      </c>
    </row>
    <row r="415" customFormat="false" ht="15" hidden="false" customHeight="false" outlineLevel="0" collapsed="false">
      <c r="A415" s="0" t="s">
        <v>1639</v>
      </c>
      <c r="B415" s="0" t="n">
        <v>382</v>
      </c>
      <c r="C415" s="0" t="n">
        <v>1.42371561268561</v>
      </c>
      <c r="D415" s="0" t="n">
        <v>0.0844749992833545</v>
      </c>
      <c r="E415" s="0" t="n">
        <v>0.0327394879765394</v>
      </c>
      <c r="F415" s="0" t="n">
        <v>1.33858026541988</v>
      </c>
      <c r="G415" s="0" t="n">
        <v>0.0529520661239496</v>
      </c>
      <c r="H415" s="0" t="n">
        <v>1.41342398577586</v>
      </c>
    </row>
    <row r="416" customFormat="false" ht="15" hidden="false" customHeight="false" outlineLevel="0" collapsed="false">
      <c r="A416" s="0" t="s">
        <v>1640</v>
      </c>
      <c r="B416" s="0" t="n">
        <v>753</v>
      </c>
      <c r="C416" s="0" t="n">
        <v>1.05089687578067</v>
      </c>
      <c r="D416" s="0" t="n">
        <v>0.105889454270512</v>
      </c>
      <c r="E416" s="0" t="n">
        <v>0.139462978306192</v>
      </c>
      <c r="F416" s="0" t="n">
        <v>0.97330124198629</v>
      </c>
      <c r="G416" s="0" t="n">
        <v>0.0733327009690241</v>
      </c>
      <c r="H416" s="0" t="n">
        <v>1.05032436453092</v>
      </c>
    </row>
    <row r="417" customFormat="false" ht="15" hidden="false" customHeight="false" outlineLevel="0" collapsed="false">
      <c r="A417" s="0" t="s">
        <v>1641</v>
      </c>
      <c r="B417" s="0" t="n">
        <v>182</v>
      </c>
      <c r="C417" s="0" t="n">
        <v>0.847330882289377</v>
      </c>
      <c r="D417" s="0" t="n">
        <v>0.339463179263149</v>
      </c>
      <c r="E417" s="0" t="n">
        <v>0.119436795743265</v>
      </c>
      <c r="F417" s="0" t="n">
        <v>0.674851183425977</v>
      </c>
      <c r="G417" s="0" t="n">
        <v>0.123798855019333</v>
      </c>
      <c r="H417" s="0" t="n">
        <v>0.770201211550422</v>
      </c>
    </row>
    <row r="418" customFormat="false" ht="15" hidden="false" customHeight="false" outlineLevel="0" collapsed="false">
      <c r="A418" s="0" t="s">
        <v>1642</v>
      </c>
      <c r="B418" s="0" t="n">
        <v>810</v>
      </c>
      <c r="C418" s="0" t="n">
        <v>1.47509966504209</v>
      </c>
      <c r="D418" s="0" t="n">
        <v>0.160588263665757</v>
      </c>
      <c r="E418" s="0" t="n">
        <v>0.129576698047597</v>
      </c>
      <c r="F418" s="0" t="n">
        <v>1.31598767047877</v>
      </c>
      <c r="G418" s="0" t="n">
        <v>0.0926795024710167</v>
      </c>
      <c r="H418" s="0" t="n">
        <v>1.45041104445756</v>
      </c>
    </row>
    <row r="419" customFormat="false" ht="15" hidden="false" customHeight="false" outlineLevel="0" collapsed="false">
      <c r="A419" s="0" t="s">
        <v>1643</v>
      </c>
      <c r="B419" s="0" t="n">
        <v>81</v>
      </c>
      <c r="C419" s="0" t="n">
        <v>1.21272516432425</v>
      </c>
      <c r="D419" s="0" t="n">
        <v>0.281594157336877</v>
      </c>
      <c r="E419" s="0" t="n">
        <v>0.135709682948296</v>
      </c>
      <c r="F419" s="0" t="n">
        <v>1.00058821457504</v>
      </c>
      <c r="G419" s="0" t="n">
        <v>0.170525298192851</v>
      </c>
      <c r="H419" s="0" t="n">
        <v>1.20629141840624</v>
      </c>
    </row>
    <row r="420" customFormat="false" ht="15" hidden="false" customHeight="false" outlineLevel="0" collapsed="false">
      <c r="A420" s="0" t="s">
        <v>1644</v>
      </c>
      <c r="B420" s="0" t="n">
        <v>1050</v>
      </c>
      <c r="C420" s="0" t="n">
        <v>1.76529694890529</v>
      </c>
      <c r="D420" s="0" t="n">
        <v>0.160216091466482</v>
      </c>
      <c r="E420" s="0" t="n">
        <v>0.111749623740511</v>
      </c>
      <c r="F420" s="0" t="n">
        <v>1.57527654513679</v>
      </c>
      <c r="G420" s="0" t="n">
        <v>0.0860220819950859</v>
      </c>
      <c r="H420" s="0" t="n">
        <v>1.72353895439334</v>
      </c>
    </row>
    <row r="421" customFormat="false" ht="15" hidden="false" customHeight="false" outlineLevel="0" collapsed="false">
      <c r="A421" s="0" t="s">
        <v>1645</v>
      </c>
      <c r="B421" s="0" t="n">
        <v>999</v>
      </c>
      <c r="C421" s="0" t="n">
        <v>1.02013786757261</v>
      </c>
      <c r="D421" s="0" t="n">
        <v>1.44494406345684</v>
      </c>
      <c r="E421" s="0" t="n">
        <v>0.159159888461417</v>
      </c>
      <c r="F421" s="0" t="n">
        <v>0.488595553652185</v>
      </c>
      <c r="G421" s="0" t="n">
        <v>0.202877689641624</v>
      </c>
      <c r="H421" s="0" t="n">
        <v>0.612949289341204</v>
      </c>
    </row>
    <row r="422" customFormat="false" ht="15" hidden="false" customHeight="false" outlineLevel="0" collapsed="false">
      <c r="A422" s="0" t="s">
        <v>1646</v>
      </c>
      <c r="B422" s="0" t="n">
        <v>343</v>
      </c>
      <c r="C422" s="0" t="n">
        <v>1.18744302797116</v>
      </c>
      <c r="D422" s="0" t="n">
        <v>0.0815789601739946</v>
      </c>
      <c r="E422" s="0" t="n">
        <v>0.0796809266407018</v>
      </c>
      <c r="F422" s="0" t="n">
        <v>1.11872975257432</v>
      </c>
      <c r="G422" s="0" t="n">
        <v>0.0798273597683822</v>
      </c>
      <c r="H422" s="0" t="n">
        <v>1.21578245609729</v>
      </c>
    </row>
    <row r="423" customFormat="false" ht="15" hidden="false" customHeight="false" outlineLevel="0" collapsed="false">
      <c r="A423" s="0" t="s">
        <v>1647</v>
      </c>
      <c r="B423" s="0" t="n">
        <v>223</v>
      </c>
      <c r="C423" s="0" t="n">
        <v>1.24250258515068</v>
      </c>
      <c r="D423" s="0" t="n">
        <v>0.675542155107774</v>
      </c>
      <c r="E423" s="0" t="n">
        <v>0.126288470040494</v>
      </c>
      <c r="F423" s="0" t="n">
        <v>0.823604443832654</v>
      </c>
      <c r="G423" s="0" t="n">
        <v>0.0749885959083467</v>
      </c>
      <c r="H423" s="0" t="n">
        <v>0.890372205347479</v>
      </c>
    </row>
    <row r="424" customFormat="false" ht="15" hidden="false" customHeight="false" outlineLevel="0" collapsed="false">
      <c r="A424" s="0" t="s">
        <v>1648</v>
      </c>
      <c r="B424" s="0" t="n">
        <v>312</v>
      </c>
      <c r="C424" s="0" t="n">
        <v>0.66104763788956</v>
      </c>
      <c r="D424" s="0" t="n">
        <v>0.578033363554624</v>
      </c>
      <c r="E424" s="0" t="n">
        <v>0.161810167526513</v>
      </c>
      <c r="F424" s="0" t="n">
        <v>0.460595756807538</v>
      </c>
      <c r="G424" s="0" t="n">
        <v>0.0751102639726142</v>
      </c>
      <c r="H424" s="0" t="n">
        <v>0.498000722535751</v>
      </c>
    </row>
    <row r="425" customFormat="false" ht="15" hidden="false" customHeight="false" outlineLevel="0" collapsed="false">
      <c r="A425" s="0" t="s">
        <v>1649</v>
      </c>
      <c r="B425" s="0" t="n">
        <v>697</v>
      </c>
      <c r="C425" s="0" t="n">
        <v>0.698907800341391</v>
      </c>
      <c r="D425" s="0" t="n">
        <v>1.16635089948357</v>
      </c>
      <c r="E425" s="0" t="n">
        <v>0.170841826750352</v>
      </c>
      <c r="F425" s="0" t="n">
        <v>0.37212652908065</v>
      </c>
      <c r="G425" s="0" t="n">
        <v>0.0792211571348329</v>
      </c>
      <c r="H425" s="0" t="n">
        <v>0.404143222842428</v>
      </c>
    </row>
    <row r="426" customFormat="false" ht="15" hidden="false" customHeight="false" outlineLevel="0" collapsed="false">
      <c r="A426" s="0" t="s">
        <v>1650</v>
      </c>
      <c r="B426" s="0" t="n">
        <v>1030</v>
      </c>
      <c r="C426" s="0" t="n">
        <v>0.720448571261807</v>
      </c>
      <c r="D426" s="0" t="n">
        <v>0.380044792219676</v>
      </c>
      <c r="E426" s="0" t="n">
        <v>0.163605040121848</v>
      </c>
      <c r="F426" s="0" t="n">
        <v>0.560165274770774</v>
      </c>
      <c r="G426" s="0" t="n">
        <v>0.0791708655578596</v>
      </c>
      <c r="H426" s="0" t="n">
        <v>0.608327054193539</v>
      </c>
    </row>
    <row r="427" customFormat="false" ht="15" hidden="false" customHeight="false" outlineLevel="0" collapsed="false">
      <c r="A427" s="0" t="s">
        <v>1651</v>
      </c>
      <c r="B427" s="0" t="n">
        <v>121</v>
      </c>
      <c r="C427" s="0" t="n">
        <v>0.641533123148458</v>
      </c>
      <c r="D427" s="0" t="n">
        <v>0.800890800944755</v>
      </c>
      <c r="E427" s="0" t="n">
        <v>0.151686499179857</v>
      </c>
      <c r="F427" s="0" t="n">
        <v>0.400210138174408</v>
      </c>
      <c r="G427" s="0" t="n">
        <v>0.0756607543729197</v>
      </c>
      <c r="H427" s="0" t="n">
        <v>0.432968891094635</v>
      </c>
    </row>
    <row r="428" customFormat="false" ht="15" hidden="false" customHeight="false" outlineLevel="0" collapsed="false">
      <c r="A428" s="0" t="s">
        <v>1652</v>
      </c>
      <c r="B428" s="0" t="n">
        <v>278</v>
      </c>
      <c r="C428" s="0" t="n">
        <v>1.05868227650029</v>
      </c>
      <c r="D428" s="0" t="n">
        <v>0.172220378119005</v>
      </c>
      <c r="E428" s="0" t="n">
        <v>0.144853544716157</v>
      </c>
      <c r="F428" s="0" t="n">
        <v>0.937165032456048</v>
      </c>
      <c r="G428" s="0" t="n">
        <v>0.152594474944324</v>
      </c>
      <c r="H428" s="0" t="n">
        <v>1.10592273090794</v>
      </c>
    </row>
    <row r="429" customFormat="false" ht="15" hidden="false" customHeight="false" outlineLevel="0" collapsed="false">
      <c r="A429" s="0" t="s">
        <v>1653</v>
      </c>
      <c r="B429" s="0" t="n">
        <v>154</v>
      </c>
      <c r="C429" s="0" t="n">
        <v>0.855087225734035</v>
      </c>
      <c r="D429" s="0" t="n">
        <v>0.662237540348551</v>
      </c>
      <c r="E429" s="0" t="n">
        <v>0.131764488660179</v>
      </c>
      <c r="F429" s="0" t="n">
        <v>0.570591218058487</v>
      </c>
      <c r="G429" s="0" t="n">
        <v>0.0338004191300021</v>
      </c>
      <c r="H429" s="0" t="n">
        <v>0.590552127485615</v>
      </c>
    </row>
    <row r="430" customFormat="false" ht="15" hidden="false" customHeight="false" outlineLevel="0" collapsed="false">
      <c r="A430" s="0" t="s">
        <v>1654</v>
      </c>
      <c r="B430" s="0" t="n">
        <v>380</v>
      </c>
      <c r="C430" s="0" t="n">
        <v>1.38134170366953</v>
      </c>
      <c r="D430" s="0" t="n">
        <v>0.092210447906844</v>
      </c>
      <c r="E430" s="0" t="n">
        <v>0.0874921082955422</v>
      </c>
      <c r="F430" s="0" t="n">
        <v>1.29166737791195</v>
      </c>
      <c r="G430" s="0" t="n">
        <v>0.0992202641219097</v>
      </c>
      <c r="H430" s="0" t="n">
        <v>1.43394364511632</v>
      </c>
    </row>
    <row r="431" customFormat="false" ht="15" hidden="false" customHeight="false" outlineLevel="0" collapsed="false">
      <c r="A431" s="0" t="s">
        <v>1655</v>
      </c>
      <c r="B431" s="0" t="n">
        <v>256</v>
      </c>
      <c r="C431" s="0" t="n">
        <v>0.968471065690717</v>
      </c>
      <c r="D431" s="0" t="n">
        <v>0.616250825824043</v>
      </c>
      <c r="E431" s="0" t="n">
        <v>0.142581122422819</v>
      </c>
      <c r="F431" s="0" t="n">
        <v>0.661535137176778</v>
      </c>
      <c r="G431" s="0" t="n">
        <v>0.150190582951732</v>
      </c>
      <c r="H431" s="0" t="n">
        <v>0.778451172587093</v>
      </c>
    </row>
    <row r="432" customFormat="false" ht="15" hidden="false" customHeight="false" outlineLevel="0" collapsed="false">
      <c r="A432" s="0" t="s">
        <v>1656</v>
      </c>
      <c r="B432" s="0" t="n">
        <v>146</v>
      </c>
      <c r="C432" s="0" t="n">
        <v>1.55913717515618</v>
      </c>
      <c r="D432" s="0" t="n">
        <v>0.0658663761083873</v>
      </c>
      <c r="E432" s="0" t="n">
        <v>0.0819606816678969</v>
      </c>
      <c r="F432" s="0" t="n">
        <v>1.48547146489785</v>
      </c>
      <c r="G432" s="0" t="n">
        <v>0.0491621267944801</v>
      </c>
      <c r="H432" s="0" t="n">
        <v>1.56227628995251</v>
      </c>
    </row>
    <row r="433" customFormat="false" ht="15" hidden="false" customHeight="false" outlineLevel="0" collapsed="false">
      <c r="A433" s="0" t="s">
        <v>1657</v>
      </c>
      <c r="B433" s="0" t="n">
        <v>46</v>
      </c>
      <c r="C433" s="0" t="n">
        <v>0.711584220163076</v>
      </c>
      <c r="D433" s="0" t="n">
        <v>0.704107325589152</v>
      </c>
      <c r="E433" s="0" t="n">
        <v>0.109318104169786</v>
      </c>
      <c r="F433" s="0" t="n">
        <v>0.46505051990287</v>
      </c>
      <c r="G433" s="0" t="n">
        <v>0.0806867156744387</v>
      </c>
      <c r="H433" s="0" t="n">
        <v>0.505867290108885</v>
      </c>
    </row>
    <row r="434" customFormat="false" ht="15" hidden="false" customHeight="false" outlineLevel="0" collapsed="false">
      <c r="A434" s="0" t="s">
        <v>1658</v>
      </c>
      <c r="B434" s="0" t="n">
        <v>164</v>
      </c>
      <c r="C434" s="0" t="n">
        <v>0.716884044944869</v>
      </c>
      <c r="D434" s="0" t="n">
        <v>0.207956773111457</v>
      </c>
      <c r="E434" s="0" t="n">
        <v>0.184534339884815</v>
      </c>
      <c r="F434" s="0" t="n">
        <v>0.619835928026292</v>
      </c>
      <c r="G434" s="0" t="n">
        <v>0.0406011763831982</v>
      </c>
      <c r="H434" s="0" t="n">
        <v>0.646067008597733</v>
      </c>
    </row>
    <row r="435" customFormat="false" ht="15" hidden="false" customHeight="false" outlineLevel="0" collapsed="false">
      <c r="A435" s="0" t="s">
        <v>1659</v>
      </c>
      <c r="B435" s="0" t="n">
        <v>427</v>
      </c>
      <c r="C435" s="0" t="n">
        <v>0.704398194232425</v>
      </c>
      <c r="D435" s="0" t="n">
        <v>0.453709435291906</v>
      </c>
      <c r="E435" s="0" t="n">
        <v>0.156290988488581</v>
      </c>
      <c r="F435" s="0" t="n">
        <v>0.525044224483305</v>
      </c>
      <c r="G435" s="0" t="n">
        <v>0.0944422370452366</v>
      </c>
      <c r="H435" s="0" t="n">
        <v>0.579802024743433</v>
      </c>
    </row>
    <row r="436" customFormat="false" ht="15" hidden="false" customHeight="false" outlineLevel="0" collapsed="false">
      <c r="A436" s="0" t="s">
        <v>1660</v>
      </c>
      <c r="B436" s="0" t="n">
        <v>339</v>
      </c>
      <c r="C436" s="0" t="n">
        <v>0.847185958700846</v>
      </c>
      <c r="D436" s="0" t="n">
        <v>0.134140675769207</v>
      </c>
      <c r="E436" s="0" t="n">
        <v>0.140115431507319</v>
      </c>
      <c r="F436" s="0" t="n">
        <v>0.76947336914301</v>
      </c>
      <c r="G436" s="0" t="n">
        <v>0.0627766523578127</v>
      </c>
      <c r="H436" s="0" t="n">
        <v>0.821013871537459</v>
      </c>
    </row>
    <row r="437" customFormat="false" ht="15" hidden="false" customHeight="false" outlineLevel="0" collapsed="false">
      <c r="A437" s="0" t="s">
        <v>1661</v>
      </c>
      <c r="B437" s="0" t="n">
        <v>49</v>
      </c>
      <c r="C437" s="0" t="n">
        <v>1.0658016459782</v>
      </c>
      <c r="D437" s="0" t="n">
        <v>0.141230064847575</v>
      </c>
      <c r="E437" s="0" t="n">
        <v>0.179826718169763</v>
      </c>
      <c r="F437" s="0" t="n">
        <v>0.963365006523956</v>
      </c>
      <c r="G437" s="0" t="n">
        <v>0.0639037088526436</v>
      </c>
      <c r="H437" s="0" t="n">
        <v>1.02913024614506</v>
      </c>
    </row>
    <row r="438" customFormat="false" ht="15" hidden="false" customHeight="false" outlineLevel="0" collapsed="false">
      <c r="A438" s="0" t="s">
        <v>1662</v>
      </c>
      <c r="B438" s="0" t="n">
        <v>140</v>
      </c>
      <c r="C438" s="0" t="n">
        <v>0.374170078637346</v>
      </c>
      <c r="D438" s="0" t="n">
        <v>0.308825860469239</v>
      </c>
      <c r="E438" s="0" t="n">
        <v>0.143771402158095</v>
      </c>
      <c r="F438" s="0" t="n">
        <v>0.303582578360296</v>
      </c>
      <c r="G438" s="0" t="n">
        <v>0.165612781130563</v>
      </c>
      <c r="H438" s="0" t="n">
        <v>0.363838960490837</v>
      </c>
    </row>
    <row r="439" customFormat="false" ht="15" hidden="false" customHeight="false" outlineLevel="0" collapsed="false">
      <c r="A439" s="0" t="s">
        <v>1663</v>
      </c>
      <c r="B439" s="0" t="n">
        <v>92</v>
      </c>
      <c r="C439" s="0" t="n">
        <v>0.823080753931626</v>
      </c>
      <c r="D439" s="0" t="n">
        <v>0.590640982699604</v>
      </c>
      <c r="E439" s="0" t="n">
        <v>0.161975758038906</v>
      </c>
      <c r="F439" s="0" t="n">
        <v>0.569726865462695</v>
      </c>
      <c r="G439" s="0" t="n">
        <v>0.191073733304933</v>
      </c>
      <c r="H439" s="0" t="n">
        <v>0.704300118464888</v>
      </c>
    </row>
    <row r="440" customFormat="false" ht="15" hidden="false" customHeight="false" outlineLevel="0" collapsed="false">
      <c r="A440" s="0" t="s">
        <v>1664</v>
      </c>
      <c r="B440" s="0" t="n">
        <v>158</v>
      </c>
      <c r="C440" s="0" t="n">
        <v>0.359380062829958</v>
      </c>
      <c r="D440" s="0" t="n">
        <v>0.21021649741641</v>
      </c>
      <c r="E440" s="0" t="n">
        <v>0.190388217673186</v>
      </c>
      <c r="F440" s="0" t="n">
        <v>0.31027259792969</v>
      </c>
      <c r="G440" s="0" t="n">
        <v>0.064052836378569</v>
      </c>
      <c r="H440" s="0" t="n">
        <v>0.331506531553728</v>
      </c>
    </row>
    <row r="441" customFormat="false" ht="15" hidden="false" customHeight="false" outlineLevel="0" collapsed="false">
      <c r="A441" s="0" t="s">
        <v>1665</v>
      </c>
      <c r="B441" s="0" t="n">
        <v>486</v>
      </c>
      <c r="C441" s="0" t="n">
        <v>0.668713695686137</v>
      </c>
      <c r="D441" s="0" t="n">
        <v>0.894394168047549</v>
      </c>
      <c r="E441" s="0" t="n">
        <v>0.0888356437557809</v>
      </c>
      <c r="F441" s="0" t="n">
        <v>0.399616316456343</v>
      </c>
      <c r="G441" s="0" t="n">
        <v>0.0361448532688059</v>
      </c>
      <c r="H441" s="0" t="n">
        <v>0.414602046595483</v>
      </c>
    </row>
    <row r="442" customFormat="false" ht="15" hidden="false" customHeight="false" outlineLevel="0" collapsed="false">
      <c r="A442" s="0" t="s">
        <v>1666</v>
      </c>
      <c r="B442" s="0" t="n">
        <v>987</v>
      </c>
      <c r="C442" s="0" t="n">
        <v>1.51137397773543</v>
      </c>
      <c r="D442" s="0" t="n">
        <v>0.121977850445982</v>
      </c>
      <c r="E442" s="0" t="n">
        <v>0.14078976337626</v>
      </c>
      <c r="F442" s="0" t="n">
        <v>1.38424857065773</v>
      </c>
      <c r="G442" s="0" t="n">
        <v>0.0744335230034029</v>
      </c>
      <c r="H442" s="0" t="n">
        <v>1.49556904345707</v>
      </c>
    </row>
    <row r="443" customFormat="false" ht="15" hidden="false" customHeight="false" outlineLevel="0" collapsed="false">
      <c r="A443" s="0" t="s">
        <v>1667</v>
      </c>
      <c r="B443" s="0" t="n">
        <v>358</v>
      </c>
      <c r="C443" s="0" t="n">
        <v>1.54676815189895</v>
      </c>
      <c r="D443" s="0" t="n">
        <v>0.250556004845067</v>
      </c>
      <c r="E443" s="0" t="n">
        <v>0.151381727176753</v>
      </c>
      <c r="F443" s="0" t="n">
        <v>1.3012884021889</v>
      </c>
      <c r="G443" s="0" t="n">
        <v>0.0716906479451577</v>
      </c>
      <c r="H443" s="0" t="n">
        <v>1.40178314406557</v>
      </c>
    </row>
    <row r="444" customFormat="false" ht="15" hidden="false" customHeight="false" outlineLevel="0" collapsed="false">
      <c r="A444" s="0" t="s">
        <v>1668</v>
      </c>
      <c r="B444" s="0" t="n">
        <v>78</v>
      </c>
      <c r="C444" s="0" t="n">
        <v>0.749090807229139</v>
      </c>
      <c r="D444" s="0" t="n">
        <v>0.177469299463767</v>
      </c>
      <c r="E444" s="0" t="n">
        <v>0.141573209249255</v>
      </c>
      <c r="F444" s="0" t="n">
        <v>0.66079729577623</v>
      </c>
      <c r="G444" s="0" t="n">
        <v>0.151905019279277</v>
      </c>
      <c r="H444" s="0" t="n">
        <v>0.779154824397941</v>
      </c>
    </row>
    <row r="445" customFormat="false" ht="15" hidden="false" customHeight="false" outlineLevel="0" collapsed="false">
      <c r="A445" s="0" t="s">
        <v>1669</v>
      </c>
      <c r="B445" s="0" t="n">
        <v>15</v>
      </c>
      <c r="C445" s="0" t="n">
        <v>0.788540047724977</v>
      </c>
      <c r="D445" s="0" t="n">
        <v>0.158868939653038</v>
      </c>
      <c r="E445" s="0" t="n">
        <v>0.234981552937912</v>
      </c>
      <c r="F445" s="0" t="n">
        <v>0.704297335715149</v>
      </c>
      <c r="G445" s="0" t="n">
        <v>0.0515968543399956</v>
      </c>
      <c r="H445" s="0" t="n">
        <v>0.742613875689985</v>
      </c>
    </row>
    <row r="446" customFormat="false" ht="15" hidden="false" customHeight="false" outlineLevel="0" collapsed="false">
      <c r="A446" s="0" t="s">
        <v>1670</v>
      </c>
      <c r="B446" s="0" t="n">
        <v>105</v>
      </c>
      <c r="C446" s="0" t="n">
        <v>0.874910208287771</v>
      </c>
      <c r="D446" s="0" t="n">
        <v>0.315416119734147</v>
      </c>
      <c r="E446" s="0" t="n">
        <v>0.141325488770045</v>
      </c>
      <c r="F446" s="0" t="n">
        <v>0.707011404762084</v>
      </c>
      <c r="G446" s="0" t="n">
        <v>0.130835505486582</v>
      </c>
      <c r="H446" s="0" t="n">
        <v>0.813437973162822</v>
      </c>
    </row>
    <row r="447" customFormat="false" ht="15" hidden="false" customHeight="false" outlineLevel="0" collapsed="false">
      <c r="A447" s="0" t="s">
        <v>1671</v>
      </c>
      <c r="B447" s="0" t="n">
        <v>120</v>
      </c>
      <c r="C447" s="0" t="n">
        <v>0.627121492643065</v>
      </c>
      <c r="D447" s="0" t="n">
        <v>0.538932574692793</v>
      </c>
      <c r="E447" s="0" t="n">
        <v>0.128816983338337</v>
      </c>
      <c r="F447" s="0" t="n">
        <v>0.446107764315769</v>
      </c>
      <c r="G447" s="0" t="n">
        <v>0.0892376434208805</v>
      </c>
      <c r="H447" s="0" t="n">
        <v>0.489817965238899</v>
      </c>
    </row>
    <row r="448" customFormat="false" ht="15" hidden="false" customHeight="false" outlineLevel="0" collapsed="false">
      <c r="A448" s="0" t="s">
        <v>1672</v>
      </c>
      <c r="B448" s="0" t="n">
        <v>228</v>
      </c>
      <c r="C448" s="0" t="n">
        <v>0.922836763368508</v>
      </c>
      <c r="D448" s="0" t="n">
        <v>0.377049990379067</v>
      </c>
      <c r="E448" s="0" t="n">
        <v>0.155814968251918</v>
      </c>
      <c r="F448" s="0" t="n">
        <v>0.718786872076455</v>
      </c>
      <c r="G448" s="0" t="n">
        <v>0.0883100868258414</v>
      </c>
      <c r="H448" s="0" t="n">
        <v>0.788411565917091</v>
      </c>
    </row>
    <row r="449" customFormat="false" ht="15" hidden="false" customHeight="false" outlineLevel="0" collapsed="false">
      <c r="A449" s="0" t="s">
        <v>1673</v>
      </c>
      <c r="B449" s="0" t="n">
        <v>341</v>
      </c>
      <c r="C449" s="0" t="n">
        <v>0.739673281261692</v>
      </c>
      <c r="D449" s="0" t="n">
        <v>0.420540314756181</v>
      </c>
      <c r="E449" s="0" t="n">
        <v>0.160757138636298</v>
      </c>
      <c r="F449" s="0" t="n">
        <v>0.56179503803026</v>
      </c>
      <c r="G449" s="0" t="n">
        <v>0.0826322315017005</v>
      </c>
      <c r="H449" s="0" t="n">
        <v>0.612398928021964</v>
      </c>
    </row>
    <row r="450" customFormat="false" ht="15" hidden="false" customHeight="false" outlineLevel="0" collapsed="false">
      <c r="A450" s="0" t="s">
        <v>1674</v>
      </c>
      <c r="B450" s="0" t="n">
        <v>197</v>
      </c>
      <c r="C450" s="0" t="n">
        <v>0.901764579078136</v>
      </c>
      <c r="D450" s="0" t="n">
        <v>1.01148669181819</v>
      </c>
      <c r="E450" s="0" t="n">
        <v>0.124101678713902</v>
      </c>
      <c r="F450" s="0" t="n">
        <v>0.511915888756775</v>
      </c>
      <c r="G450" s="0" t="n">
        <v>0.0901121469293397</v>
      </c>
      <c r="H450" s="0" t="n">
        <v>0.56261426837294</v>
      </c>
    </row>
    <row r="451" customFormat="false" ht="15" hidden="false" customHeight="false" outlineLevel="0" collapsed="false">
      <c r="A451" s="0" t="s">
        <v>473</v>
      </c>
      <c r="B451" s="0" t="n">
        <v>328</v>
      </c>
      <c r="C451" s="0" t="n">
        <v>0.773706222670974</v>
      </c>
      <c r="D451" s="0" t="n">
        <v>1.04428385987256</v>
      </c>
      <c r="E451" s="0" t="n">
        <v>0.173553106971927</v>
      </c>
      <c r="F451" s="0" t="n">
        <v>0.433147646307274</v>
      </c>
      <c r="G451" s="0" t="n">
        <v>0.0604009765054185</v>
      </c>
      <c r="H451" s="0" t="n">
        <v>0.460992014121406</v>
      </c>
    </row>
    <row r="452" customFormat="false" ht="15" hidden="false" customHeight="false" outlineLevel="0" collapsed="false">
      <c r="A452" s="0" t="s">
        <v>1675</v>
      </c>
      <c r="B452" s="0" t="n">
        <v>64</v>
      </c>
      <c r="C452" s="0" t="n">
        <v>1.5769711823428</v>
      </c>
      <c r="D452" s="0" t="n">
        <v>0.149351905991459</v>
      </c>
      <c r="E452" s="0" t="n">
        <v>0.159266738294668</v>
      </c>
      <c r="F452" s="0" t="n">
        <v>1.41756965629337</v>
      </c>
      <c r="G452" s="0" t="n">
        <v>0.0542649409162456</v>
      </c>
      <c r="H452" s="0" t="n">
        <v>1.49890779947054</v>
      </c>
    </row>
    <row r="453" customFormat="false" ht="15" hidden="false" customHeight="false" outlineLevel="0" collapsed="false">
      <c r="A453" s="0" t="s">
        <v>1676</v>
      </c>
      <c r="B453" s="0" t="n">
        <v>171</v>
      </c>
      <c r="C453" s="0" t="n">
        <v>0.897944883299813</v>
      </c>
      <c r="D453" s="0" t="n">
        <v>0.106918365439128</v>
      </c>
      <c r="E453" s="0" t="n">
        <v>0.11616385663228</v>
      </c>
      <c r="F453" s="0" t="n">
        <v>0.831046598357411</v>
      </c>
      <c r="G453" s="0" t="n">
        <v>0.175227035295733</v>
      </c>
      <c r="H453" s="0" t="n">
        <v>1.00760649769285</v>
      </c>
    </row>
    <row r="454" customFormat="false" ht="15" hidden="false" customHeight="false" outlineLevel="0" collapsed="false">
      <c r="A454" s="0" t="s">
        <v>1677</v>
      </c>
      <c r="B454" s="0" t="n">
        <v>208</v>
      </c>
      <c r="C454" s="0" t="n">
        <v>0.447674913711935</v>
      </c>
      <c r="D454" s="0" t="n">
        <v>0.572679541559973</v>
      </c>
      <c r="E454" s="0" t="n">
        <v>0.0247244213856291</v>
      </c>
      <c r="F454" s="0" t="n">
        <v>0.31280335683028</v>
      </c>
      <c r="G454" s="0" t="n">
        <v>0.0271621816535075</v>
      </c>
      <c r="H454" s="0" t="n">
        <v>0.32153700332286</v>
      </c>
    </row>
    <row r="455" customFormat="false" ht="15" hidden="false" customHeight="false" outlineLevel="0" collapsed="false">
      <c r="A455" s="0" t="s">
        <v>1678</v>
      </c>
      <c r="B455" s="0" t="n">
        <v>786</v>
      </c>
      <c r="C455" s="0" t="n">
        <v>0.959008772897203</v>
      </c>
      <c r="D455" s="0" t="n">
        <v>1.967436212131</v>
      </c>
      <c r="E455" s="0" t="n">
        <v>0.141964910313207</v>
      </c>
      <c r="F455" s="0" t="n">
        <v>0.386497178889544</v>
      </c>
      <c r="G455" s="0" t="n">
        <v>0.145325267999661</v>
      </c>
      <c r="H455" s="0" t="n">
        <v>0.452215520616785</v>
      </c>
    </row>
    <row r="456" customFormat="false" ht="15" hidden="false" customHeight="false" outlineLevel="0" collapsed="false">
      <c r="A456" s="0" t="s">
        <v>1679</v>
      </c>
      <c r="B456" s="0" t="n">
        <v>205</v>
      </c>
      <c r="C456" s="0" t="n">
        <v>1.01349076112681</v>
      </c>
      <c r="D456" s="0" t="n">
        <v>0.713946195418247</v>
      </c>
      <c r="E456" s="0" t="n">
        <v>0.118857824587015</v>
      </c>
      <c r="F456" s="0" t="n">
        <v>0.659168082217621</v>
      </c>
      <c r="G456" s="0" t="n">
        <v>0.0836003714538378</v>
      </c>
      <c r="H456" s="0" t="n">
        <v>0.719301996295403</v>
      </c>
    </row>
    <row r="457" customFormat="false" ht="15" hidden="false" customHeight="false" outlineLevel="0" collapsed="false">
      <c r="A457" s="0" t="s">
        <v>1680</v>
      </c>
      <c r="B457" s="0" t="n">
        <v>406</v>
      </c>
      <c r="C457" s="0" t="n">
        <v>0.791719108314543</v>
      </c>
      <c r="D457" s="0" t="n">
        <v>0.613222631610456</v>
      </c>
      <c r="E457" s="0" t="n">
        <v>0.140930487135346</v>
      </c>
      <c r="F457" s="0" t="n">
        <v>0.541644416479552</v>
      </c>
      <c r="G457" s="0" t="n">
        <v>0.0816631085090104</v>
      </c>
      <c r="H457" s="0" t="n">
        <v>0.589810146470487</v>
      </c>
    </row>
    <row r="458" customFormat="false" ht="15" hidden="false" customHeight="false" outlineLevel="0" collapsed="false">
      <c r="A458" s="0" t="s">
        <v>1681</v>
      </c>
      <c r="B458" s="0" t="n">
        <v>158</v>
      </c>
      <c r="C458" s="0" t="n">
        <v>1.03932783527731</v>
      </c>
      <c r="D458" s="0" t="n">
        <v>0.235527631073895</v>
      </c>
      <c r="E458" s="0" t="n">
        <v>0.118258364138289</v>
      </c>
      <c r="F458" s="0" t="n">
        <v>0.882784721127781</v>
      </c>
      <c r="G458" s="0" t="n">
        <v>0.112704730511963</v>
      </c>
      <c r="H458" s="0" t="n">
        <v>0.994916519319597</v>
      </c>
    </row>
    <row r="459" customFormat="false" ht="15" hidden="false" customHeight="false" outlineLevel="0" collapsed="false">
      <c r="A459" s="0" t="s">
        <v>1682</v>
      </c>
      <c r="B459" s="0" t="n">
        <v>27</v>
      </c>
      <c r="C459" s="0" t="n">
        <v>0.976745342860044</v>
      </c>
      <c r="D459" s="0" t="n">
        <v>0.321495863412399</v>
      </c>
      <c r="E459" s="0" t="n">
        <v>0.163855181133209</v>
      </c>
      <c r="F459" s="0" t="n">
        <v>0.786395082350933</v>
      </c>
      <c r="G459" s="0" t="n">
        <v>0.130344533193281</v>
      </c>
      <c r="H459" s="0" t="n">
        <v>0.904260494375423</v>
      </c>
    </row>
    <row r="460" customFormat="false" ht="15" hidden="false" customHeight="false" outlineLevel="0" collapsed="false">
      <c r="A460" s="0" t="s">
        <v>1683</v>
      </c>
      <c r="B460" s="0" t="n">
        <v>184</v>
      </c>
      <c r="C460" s="0" t="n">
        <v>0.819396339397763</v>
      </c>
      <c r="D460" s="0" t="n">
        <v>0.134275527294415</v>
      </c>
      <c r="E460" s="0" t="n">
        <v>0.123084343240956</v>
      </c>
      <c r="F460" s="0" t="n">
        <v>0.744164274761219</v>
      </c>
      <c r="G460" s="0" t="n">
        <v>0.0902305391737162</v>
      </c>
      <c r="H460" s="0" t="n">
        <v>0.817970163655904</v>
      </c>
    </row>
    <row r="461" customFormat="false" ht="15" hidden="false" customHeight="false" outlineLevel="0" collapsed="false">
      <c r="A461" s="0" t="s">
        <v>1684</v>
      </c>
      <c r="B461" s="0" t="n">
        <v>122</v>
      </c>
      <c r="C461" s="0" t="n">
        <v>0.817941499519877</v>
      </c>
      <c r="D461" s="0" t="n">
        <v>0.744864633130432</v>
      </c>
      <c r="E461" s="0" t="n">
        <v>0.165794364446223</v>
      </c>
      <c r="F461" s="0" t="n">
        <v>0.524049847498275</v>
      </c>
      <c r="G461" s="0" t="n">
        <v>0.10074688237854</v>
      </c>
      <c r="H461" s="0" t="n">
        <v>0.582761223985963</v>
      </c>
    </row>
    <row r="462" customFormat="false" ht="15" hidden="false" customHeight="false" outlineLevel="0" collapsed="false">
      <c r="A462" s="0" t="s">
        <v>1685</v>
      </c>
      <c r="B462" s="0" t="n">
        <v>55</v>
      </c>
      <c r="C462" s="0" t="n">
        <v>0.784624718247505</v>
      </c>
      <c r="D462" s="0" t="n">
        <v>0.346137747094116</v>
      </c>
      <c r="E462" s="0" t="n">
        <v>0.144743493475062</v>
      </c>
      <c r="F462" s="0" t="n">
        <v>0.622418128658643</v>
      </c>
      <c r="G462" s="0" t="n">
        <v>0.0626187930672692</v>
      </c>
      <c r="H462" s="0" t="n">
        <v>0.663996807334446</v>
      </c>
    </row>
    <row r="463" customFormat="false" ht="15" hidden="false" customHeight="false" outlineLevel="0" collapsed="false">
      <c r="A463" s="0" t="s">
        <v>1686</v>
      </c>
      <c r="B463" s="0" t="n">
        <v>731</v>
      </c>
      <c r="C463" s="0" t="n">
        <v>0.757747932614539</v>
      </c>
      <c r="D463" s="0" t="n">
        <v>0.878973227060002</v>
      </c>
      <c r="E463" s="0" t="n">
        <v>0.154450101701983</v>
      </c>
      <c r="F463" s="0" t="n">
        <v>0.455985999801268</v>
      </c>
      <c r="G463" s="0" t="n">
        <v>0.144021132240615</v>
      </c>
      <c r="H463" s="0" t="n">
        <v>0.532707076046</v>
      </c>
    </row>
    <row r="464" customFormat="false" ht="15" hidden="false" customHeight="false" outlineLevel="0" collapsed="false">
      <c r="A464" s="0" t="s">
        <v>1687</v>
      </c>
      <c r="B464" s="0" t="n">
        <v>147</v>
      </c>
      <c r="C464" s="0" t="n">
        <v>1.03436089554062</v>
      </c>
      <c r="D464" s="0" t="n">
        <v>0.366482264443252</v>
      </c>
      <c r="E464" s="0" t="n">
        <v>0.160107317467364</v>
      </c>
      <c r="F464" s="0" t="n">
        <v>0.810675630144468</v>
      </c>
      <c r="G464" s="0" t="n">
        <v>0.0893009614814221</v>
      </c>
      <c r="H464" s="0" t="n">
        <v>0.890168536318193</v>
      </c>
    </row>
    <row r="465" customFormat="false" ht="15" hidden="false" customHeight="false" outlineLevel="0" collapsed="false">
      <c r="A465" s="0" t="s">
        <v>1688</v>
      </c>
      <c r="B465" s="0" t="n">
        <v>97</v>
      </c>
      <c r="C465" s="0" t="n">
        <v>1.01399337468292</v>
      </c>
      <c r="D465" s="0" t="n">
        <v>0.377939517274302</v>
      </c>
      <c r="E465" s="0" t="n">
        <v>0.175295623084601</v>
      </c>
      <c r="F465" s="0" t="n">
        <v>0.789375930619517</v>
      </c>
      <c r="G465" s="0" t="n">
        <v>0.0780638116596667</v>
      </c>
      <c r="H465" s="0" t="n">
        <v>0.856215365664894</v>
      </c>
    </row>
    <row r="466" customFormat="false" ht="15" hidden="false" customHeight="false" outlineLevel="0" collapsed="false">
      <c r="A466" s="0" t="s">
        <v>1689</v>
      </c>
      <c r="B466" s="0" t="n">
        <v>39</v>
      </c>
      <c r="C466" s="0" t="n">
        <v>0.607640450804694</v>
      </c>
      <c r="D466" s="0" t="n">
        <v>0.60733519937395</v>
      </c>
      <c r="E466" s="0" t="n">
        <v>0.0569667769273221</v>
      </c>
      <c r="F466" s="0" t="n">
        <v>0.416973866580916</v>
      </c>
      <c r="G466" s="0" t="n">
        <v>0.0251895257940934</v>
      </c>
      <c r="H466" s="0" t="n">
        <v>0.427748652291194</v>
      </c>
    </row>
    <row r="467" customFormat="false" ht="15" hidden="false" customHeight="false" outlineLevel="0" collapsed="false">
      <c r="A467" s="0" t="s">
        <v>1690</v>
      </c>
      <c r="B467" s="0" t="n">
        <v>282</v>
      </c>
      <c r="C467" s="0" t="n">
        <v>0.896297856143658</v>
      </c>
      <c r="D467" s="0" t="n">
        <v>0.194502730824498</v>
      </c>
      <c r="E467" s="0" t="n">
        <v>0.161151502773066</v>
      </c>
      <c r="F467" s="0" t="n">
        <v>0.781808896613424</v>
      </c>
      <c r="G467" s="0" t="n">
        <v>0.0837648282757561</v>
      </c>
      <c r="H467" s="0" t="n">
        <v>0.853284092054831</v>
      </c>
    </row>
    <row r="468" customFormat="false" ht="15" hidden="false" customHeight="false" outlineLevel="0" collapsed="false">
      <c r="A468" s="0" t="s">
        <v>1691</v>
      </c>
      <c r="B468" s="0" t="n">
        <v>72</v>
      </c>
      <c r="C468" s="0" t="n">
        <v>0.924172270884588</v>
      </c>
      <c r="D468" s="0" t="n">
        <v>0.380383901036882</v>
      </c>
      <c r="E468" s="0" t="n">
        <v>0.178197523803787</v>
      </c>
      <c r="F468" s="0" t="n">
        <v>0.718422503578595</v>
      </c>
      <c r="G468" s="0" t="n">
        <v>0.0905158711583159</v>
      </c>
      <c r="H468" s="0" t="n">
        <v>0.789923079244467</v>
      </c>
    </row>
    <row r="469" customFormat="false" ht="15" hidden="false" customHeight="false" outlineLevel="0" collapsed="false">
      <c r="A469" s="0" t="s">
        <v>1692</v>
      </c>
      <c r="B469" s="0" t="n">
        <v>546</v>
      </c>
      <c r="C469" s="0" t="n">
        <v>1.94409930788092</v>
      </c>
      <c r="D469" s="0" t="n">
        <v>0.0657658273632758</v>
      </c>
      <c r="E469" s="0" t="n">
        <v>0.0864525342793226</v>
      </c>
      <c r="F469" s="0" t="n">
        <v>1.85237861158069</v>
      </c>
      <c r="G469" s="0" t="n">
        <v>0.0625156456834463</v>
      </c>
      <c r="H469" s="0" t="n">
        <v>1.97590349433737</v>
      </c>
    </row>
    <row r="470" customFormat="false" ht="15" hidden="false" customHeight="false" outlineLevel="0" collapsed="false">
      <c r="A470" s="0" t="s">
        <v>1693</v>
      </c>
      <c r="B470" s="0" t="n">
        <v>300</v>
      </c>
      <c r="C470" s="0" t="n">
        <v>2.17957656930781</v>
      </c>
      <c r="D470" s="0" t="n">
        <v>0.142313171642931</v>
      </c>
      <c r="E470" s="0" t="n">
        <v>0.107271405311332</v>
      </c>
      <c r="F470" s="0" t="n">
        <v>1.96864139437057</v>
      </c>
      <c r="G470" s="0" t="n">
        <v>0.0565293195052641</v>
      </c>
      <c r="H470" s="0" t="n">
        <v>2.08659520117599</v>
      </c>
    </row>
    <row r="471" customFormat="false" ht="15" hidden="false" customHeight="false" outlineLevel="0" collapsed="false">
      <c r="A471" s="0" t="s">
        <v>1694</v>
      </c>
      <c r="B471" s="0" t="n">
        <v>252</v>
      </c>
      <c r="C471" s="0" t="n">
        <v>0.880449486977825</v>
      </c>
      <c r="D471" s="0" t="n">
        <v>0.369410288021456</v>
      </c>
      <c r="E471" s="0" t="n">
        <v>0.158458075145505</v>
      </c>
      <c r="F471" s="0" t="n">
        <v>0.68885807531718</v>
      </c>
      <c r="G471" s="0" t="n">
        <v>0.182607475018722</v>
      </c>
      <c r="H471" s="0" t="n">
        <v>0.842750642150732</v>
      </c>
    </row>
    <row r="472" customFormat="false" ht="15" hidden="false" customHeight="false" outlineLevel="0" collapsed="false">
      <c r="A472" s="0" t="s">
        <v>1695</v>
      </c>
      <c r="B472" s="0" t="n">
        <v>60</v>
      </c>
      <c r="C472" s="0" t="n">
        <v>0.814097074759638</v>
      </c>
      <c r="D472" s="0" t="n">
        <v>0.205862053571889</v>
      </c>
      <c r="E472" s="0" t="n">
        <v>0.166132210595606</v>
      </c>
      <c r="F472" s="0" t="n">
        <v>0.704849894368235</v>
      </c>
      <c r="G472" s="0" t="n">
        <v>0.106470044884074</v>
      </c>
      <c r="H472" s="0" t="n">
        <v>0.788837453442496</v>
      </c>
    </row>
    <row r="473" customFormat="false" ht="15" hidden="false" customHeight="false" outlineLevel="0" collapsed="false">
      <c r="A473" s="0" t="s">
        <v>1696</v>
      </c>
      <c r="B473" s="0" t="n">
        <v>67</v>
      </c>
      <c r="C473" s="0" t="n">
        <v>1.53853237936028</v>
      </c>
      <c r="D473" s="0" t="n">
        <v>0.0849337043876009</v>
      </c>
      <c r="E473" s="0" t="n">
        <v>0.106230087055707</v>
      </c>
      <c r="F473" s="0" t="n">
        <v>1.44606167222754</v>
      </c>
      <c r="G473" s="0" t="n">
        <v>0.0401887609715627</v>
      </c>
      <c r="H473" s="0" t="n">
        <v>1.50661048071421</v>
      </c>
    </row>
    <row r="474" customFormat="false" ht="15" hidden="false" customHeight="false" outlineLevel="0" collapsed="false">
      <c r="A474" s="0" t="s">
        <v>1697</v>
      </c>
      <c r="B474" s="0" t="n">
        <v>49</v>
      </c>
      <c r="C474" s="0" t="n">
        <v>1.41784263934302</v>
      </c>
      <c r="D474" s="0" t="n">
        <v>0.158352989216481</v>
      </c>
      <c r="E474" s="0" t="n">
        <v>0.122558001932126</v>
      </c>
      <c r="F474" s="0" t="n">
        <v>1.26680868436095</v>
      </c>
      <c r="G474" s="0" t="n">
        <v>0.0469324367675651</v>
      </c>
      <c r="H474" s="0" t="n">
        <v>1.32919084987472</v>
      </c>
    </row>
    <row r="475" customFormat="false" ht="15" hidden="false" customHeight="false" outlineLevel="0" collapsed="false">
      <c r="A475" s="0" t="s">
        <v>1698</v>
      </c>
      <c r="B475" s="0" t="n">
        <v>548</v>
      </c>
      <c r="C475" s="0" t="n">
        <v>1.58469831276997</v>
      </c>
      <c r="D475" s="0" t="n">
        <v>0.0527173283695948</v>
      </c>
      <c r="E475" s="0" t="n">
        <v>0.0820554997455121</v>
      </c>
      <c r="F475" s="0" t="n">
        <v>1.52420142231098</v>
      </c>
      <c r="G475" s="0" t="n">
        <v>0.0704162287010255</v>
      </c>
      <c r="H475" s="0" t="n">
        <v>1.63966010312455</v>
      </c>
    </row>
    <row r="476" customFormat="false" ht="15" hidden="false" customHeight="false" outlineLevel="0" collapsed="false">
      <c r="A476" s="0" t="s">
        <v>1699</v>
      </c>
      <c r="B476" s="0" t="n">
        <v>555</v>
      </c>
      <c r="C476" s="0" t="n">
        <v>1.15790886028278</v>
      </c>
      <c r="D476" s="0" t="n">
        <v>0.508993067228213</v>
      </c>
      <c r="E476" s="0" t="n">
        <v>0.143318312276615</v>
      </c>
      <c r="F476" s="0" t="n">
        <v>0.837110599442475</v>
      </c>
      <c r="G476" s="0" t="n">
        <v>0.100012878293521</v>
      </c>
      <c r="H476" s="0" t="n">
        <v>0.930136197788272</v>
      </c>
    </row>
    <row r="477" customFormat="false" ht="15" hidden="false" customHeight="false" outlineLevel="0" collapsed="false">
      <c r="A477" s="0" t="s">
        <v>1700</v>
      </c>
      <c r="B477" s="0" t="n">
        <v>68</v>
      </c>
      <c r="C477" s="0" t="n">
        <v>0.784243897307494</v>
      </c>
      <c r="D477" s="0" t="n">
        <v>0.300365451358229</v>
      </c>
      <c r="E477" s="0" t="n">
        <v>0.195503914705929</v>
      </c>
      <c r="F477" s="0" t="n">
        <v>0.639601191080156</v>
      </c>
      <c r="G477" s="0" t="n">
        <v>0.0431484700258202</v>
      </c>
      <c r="H477" s="0" t="n">
        <v>0.668443505647543</v>
      </c>
    </row>
    <row r="478" customFormat="false" ht="15" hidden="false" customHeight="false" outlineLevel="0" collapsed="false">
      <c r="A478" s="0" t="s">
        <v>1701</v>
      </c>
      <c r="B478" s="0" t="n">
        <v>296</v>
      </c>
      <c r="C478" s="0" t="n">
        <v>1.52619213308176</v>
      </c>
      <c r="D478" s="0" t="n">
        <v>0.0939724670999077</v>
      </c>
      <c r="E478" s="0" t="n">
        <v>0.0839571503781906</v>
      </c>
      <c r="F478" s="0" t="n">
        <v>1.42534622180793</v>
      </c>
      <c r="G478" s="0" t="n">
        <v>0.0591013903718827</v>
      </c>
      <c r="H478" s="0" t="n">
        <v>1.51487759384753</v>
      </c>
    </row>
    <row r="479" customFormat="false" ht="15" hidden="false" customHeight="false" outlineLevel="0" collapsed="false">
      <c r="A479" s="0" t="s">
        <v>1702</v>
      </c>
      <c r="B479" s="0" t="n">
        <v>142</v>
      </c>
      <c r="C479" s="0" t="n">
        <v>0.714358022765677</v>
      </c>
      <c r="D479" s="0" t="n">
        <v>0.326361021127373</v>
      </c>
      <c r="E479" s="0" t="n">
        <v>0.158454411527623</v>
      </c>
      <c r="F479" s="0" t="n">
        <v>0.573451193755375</v>
      </c>
      <c r="G479" s="0" t="n">
        <v>0.0662307995444682</v>
      </c>
      <c r="H479" s="0" t="n">
        <v>0.614125196542809</v>
      </c>
    </row>
    <row r="480" customFormat="false" ht="15" hidden="false" customHeight="false" outlineLevel="0" collapsed="false">
      <c r="A480" s="0" t="s">
        <v>1703</v>
      </c>
      <c r="B480" s="0" t="n">
        <v>30</v>
      </c>
      <c r="C480" s="0" t="n">
        <v>0.233416050507401</v>
      </c>
      <c r="D480" s="0" t="n">
        <v>0.045828217764077</v>
      </c>
      <c r="E480" s="0" t="n">
        <v>0.22877164007187</v>
      </c>
      <c r="F480" s="0" t="n">
        <v>0.225630868325805</v>
      </c>
      <c r="G480" s="0" t="n">
        <v>0.0212742399966041</v>
      </c>
      <c r="H480" s="0" t="n">
        <v>0.230535332313131</v>
      </c>
    </row>
    <row r="481" customFormat="false" ht="15" hidden="false" customHeight="false" outlineLevel="0" collapsed="false">
      <c r="A481" s="0" t="s">
        <v>1704</v>
      </c>
      <c r="B481" s="0" t="n">
        <v>330</v>
      </c>
      <c r="C481" s="0" t="n">
        <v>1.02749338060103</v>
      </c>
      <c r="D481" s="0" t="n">
        <v>0.588070546247359</v>
      </c>
      <c r="E481" s="0" t="n">
        <v>0.171849405226917</v>
      </c>
      <c r="F481" s="0" t="n">
        <v>0.712172905495387</v>
      </c>
      <c r="G481" s="0" t="n">
        <v>0.102829797413786</v>
      </c>
      <c r="H481" s="0" t="n">
        <v>0.793799106838872</v>
      </c>
    </row>
    <row r="482" customFormat="false" ht="15" hidden="false" customHeight="false" outlineLevel="0" collapsed="false">
      <c r="A482" s="0" t="s">
        <v>1705</v>
      </c>
      <c r="B482" s="0" t="n">
        <v>18</v>
      </c>
      <c r="C482" s="0" t="n">
        <v>0.958652173536742</v>
      </c>
      <c r="D482" s="0" t="n">
        <v>0.376363439922573</v>
      </c>
      <c r="E482" s="0" t="n">
        <v>0.257347593469432</v>
      </c>
      <c r="F482" s="0" t="n">
        <v>0.746983823919609</v>
      </c>
      <c r="G482" s="0" t="n">
        <v>0.158117109000096</v>
      </c>
      <c r="H482" s="0" t="n">
        <v>0.887277591580958</v>
      </c>
    </row>
    <row r="483" customFormat="false" ht="15" hidden="false" customHeight="false" outlineLevel="0" collapsed="false">
      <c r="A483" s="0" t="s">
        <v>1706</v>
      </c>
      <c r="B483" s="0" t="n">
        <v>76</v>
      </c>
      <c r="C483" s="0" t="n">
        <v>0.807610257486899</v>
      </c>
      <c r="D483" s="0" t="n">
        <v>1.75165138313267</v>
      </c>
      <c r="E483" s="0" t="n">
        <v>0.191680296952459</v>
      </c>
      <c r="F483" s="0" t="n">
        <v>0.348285265950288</v>
      </c>
      <c r="G483" s="0" t="n">
        <v>0.0519776067237535</v>
      </c>
      <c r="H483" s="0" t="n">
        <v>0.367380842921503</v>
      </c>
    </row>
    <row r="484" customFormat="false" ht="15" hidden="false" customHeight="false" outlineLevel="0" collapsed="false">
      <c r="A484" s="0" t="s">
        <v>1707</v>
      </c>
      <c r="B484" s="0" t="n">
        <v>14</v>
      </c>
      <c r="C484" s="0" t="n">
        <v>0.698864604435642</v>
      </c>
      <c r="D484" s="0" t="n">
        <v>0.365726991616239</v>
      </c>
      <c r="E484" s="0" t="n">
        <v>0.16569261498888</v>
      </c>
      <c r="F484" s="0" t="n">
        <v>0.547976161591558</v>
      </c>
      <c r="G484" s="0" t="n">
        <v>0.0427935182920483</v>
      </c>
      <c r="H484" s="0" t="n">
        <v>0.572474353301285</v>
      </c>
    </row>
    <row r="485" customFormat="false" ht="15" hidden="false" customHeight="false" outlineLevel="0" collapsed="false">
      <c r="A485" s="0" t="s">
        <v>1708</v>
      </c>
      <c r="B485" s="0" t="n">
        <v>76</v>
      </c>
      <c r="C485" s="0" t="n">
        <v>0.74386850353231</v>
      </c>
      <c r="D485" s="0" t="n">
        <v>0.932438199669418</v>
      </c>
      <c r="E485" s="0" t="n">
        <v>0.171106877103891</v>
      </c>
      <c r="F485" s="0" t="n">
        <v>0.437047122866235</v>
      </c>
      <c r="G485" s="0" t="n">
        <v>0.0757199763076223</v>
      </c>
      <c r="H485" s="0" t="n">
        <v>0.472851421282794</v>
      </c>
    </row>
    <row r="486" customFormat="false" ht="15" hidden="false" customHeight="false" outlineLevel="0" collapsed="false">
      <c r="A486" s="0" t="s">
        <v>1709</v>
      </c>
      <c r="B486" s="0" t="n">
        <v>27360</v>
      </c>
      <c r="C486" s="0" t="n">
        <v>1.08135284096618</v>
      </c>
      <c r="D486" s="0" t="n">
        <v>0.575550840251065</v>
      </c>
      <c r="E486" s="0" t="n">
        <v>0.139095033887573</v>
      </c>
      <c r="F486" s="0" t="n">
        <v>0.754432796615436</v>
      </c>
      <c r="G486" s="0" t="n">
        <v>0.110234284461596</v>
      </c>
      <c r="H486" s="0" t="n">
        <v>0.847900501716818</v>
      </c>
    </row>
    <row r="487" customFormat="false" ht="15" hidden="false" customHeight="false" outlineLevel="0" collapsed="false">
      <c r="A487" s="0" t="s">
        <v>1710</v>
      </c>
      <c r="B487" s="0" t="n">
        <v>24760</v>
      </c>
      <c r="C487" s="0" t="n">
        <v>1.12304887695994</v>
      </c>
      <c r="D487" s="0" t="n">
        <v>0.327752728675982</v>
      </c>
      <c r="E487" s="0" t="n">
        <v>0.137221486803137</v>
      </c>
      <c r="F487" s="0" t="n">
        <v>0.900770273836007</v>
      </c>
      <c r="G487" s="0" t="n">
        <v>0.0881040674407506</v>
      </c>
      <c r="H487" s="0" t="n">
        <v>0.98779942060711</v>
      </c>
    </row>
    <row r="489" customFormat="false" ht="15" hidden="false" customHeight="false" outlineLevel="0" collapsed="false">
      <c r="A489" s="9" t="s">
        <v>1714</v>
      </c>
    </row>
    <row r="491" customFormat="false" ht="15" hidden="false" customHeight="false" outlineLevel="0" collapsed="false">
      <c r="A491" s="12" t="s">
        <v>1715</v>
      </c>
      <c r="B491" s="12" t="s">
        <v>1716</v>
      </c>
      <c r="C491" s="12" t="s">
        <v>1391</v>
      </c>
      <c r="D491" s="12" t="s">
        <v>1717</v>
      </c>
    </row>
    <row r="492" customFormat="false" ht="15" hidden="false" customHeight="false" outlineLevel="0" collapsed="false">
      <c r="A492" s="0" t="n">
        <v>-100000</v>
      </c>
      <c r="B492" s="0" t="n">
        <v>0.199999</v>
      </c>
      <c r="C492" s="0" t="s">
        <v>1718</v>
      </c>
      <c r="D492" s="0" t="n">
        <v>0.19</v>
      </c>
    </row>
    <row r="493" customFormat="false" ht="15" hidden="false" customHeight="false" outlineLevel="0" collapsed="false">
      <c r="A493" s="0" t="n">
        <v>0.2</v>
      </c>
      <c r="B493" s="0" t="n">
        <v>0.649999</v>
      </c>
      <c r="C493" s="0" t="s">
        <v>1719</v>
      </c>
      <c r="D493" s="0" t="n">
        <v>0.16</v>
      </c>
    </row>
    <row r="494" customFormat="false" ht="15" hidden="false" customHeight="false" outlineLevel="0" collapsed="false">
      <c r="A494" s="0" t="n">
        <v>0.65</v>
      </c>
      <c r="B494" s="0" t="n">
        <v>0.799999</v>
      </c>
      <c r="C494" s="0" t="s">
        <v>1720</v>
      </c>
      <c r="D494" s="0" t="n">
        <v>0.1261</v>
      </c>
    </row>
    <row r="495" customFormat="false" ht="15" hidden="false" customHeight="false" outlineLevel="0" collapsed="false">
      <c r="A495" s="0" t="n">
        <v>0.8</v>
      </c>
      <c r="B495" s="0" t="n">
        <v>1.249999</v>
      </c>
      <c r="C495" s="0" t="s">
        <v>1721</v>
      </c>
      <c r="D495" s="0" t="n">
        <v>0.0885</v>
      </c>
    </row>
    <row r="496" customFormat="false" ht="15" hidden="false" customHeight="false" outlineLevel="0" collapsed="false">
      <c r="A496" s="0" t="n">
        <v>1.25</v>
      </c>
      <c r="B496" s="0" t="n">
        <v>1.499999</v>
      </c>
      <c r="C496" s="0" t="s">
        <v>1722</v>
      </c>
      <c r="D496" s="0" t="n">
        <v>0.0509</v>
      </c>
    </row>
    <row r="497" customFormat="false" ht="15" hidden="false" customHeight="false" outlineLevel="0" collapsed="false">
      <c r="A497" s="0" t="n">
        <v>1.5</v>
      </c>
      <c r="B497" s="0" t="n">
        <v>1.749999</v>
      </c>
      <c r="C497" s="0" t="s">
        <v>1723</v>
      </c>
      <c r="D497" s="0" t="n">
        <v>0.0321</v>
      </c>
    </row>
    <row r="498" customFormat="false" ht="15" hidden="false" customHeight="false" outlineLevel="0" collapsed="false">
      <c r="A498" s="0" t="n">
        <v>1.75</v>
      </c>
      <c r="B498" s="0" t="n">
        <v>1.999999</v>
      </c>
      <c r="C498" s="0" t="s">
        <v>1724</v>
      </c>
      <c r="D498" s="0" t="n">
        <v>0.0275</v>
      </c>
    </row>
    <row r="499" customFormat="false" ht="15" hidden="false" customHeight="false" outlineLevel="0" collapsed="false">
      <c r="A499" s="0" t="n">
        <v>2</v>
      </c>
      <c r="B499" s="0" t="n">
        <v>2.2499999</v>
      </c>
      <c r="C499" s="0" t="s">
        <v>1725</v>
      </c>
      <c r="D499" s="0" t="n">
        <v>0.0184</v>
      </c>
    </row>
    <row r="500" customFormat="false" ht="15" hidden="false" customHeight="false" outlineLevel="0" collapsed="false">
      <c r="A500" s="0" t="n">
        <v>2.25</v>
      </c>
      <c r="B500" s="0" t="n">
        <v>2.49999</v>
      </c>
      <c r="C500" s="0" t="s">
        <v>1726</v>
      </c>
      <c r="D500" s="0" t="n">
        <v>0.0138</v>
      </c>
    </row>
    <row r="501" customFormat="false" ht="15" hidden="false" customHeight="false" outlineLevel="0" collapsed="false">
      <c r="A501" s="0" t="n">
        <v>2.5</v>
      </c>
      <c r="B501" s="0" t="n">
        <v>2.999999</v>
      </c>
      <c r="C501" s="0" t="s">
        <v>1727</v>
      </c>
      <c r="D501" s="0" t="n">
        <v>0.0111</v>
      </c>
    </row>
    <row r="502" customFormat="false" ht="15" hidden="false" customHeight="false" outlineLevel="0" collapsed="false">
      <c r="A502" s="0" t="n">
        <v>3</v>
      </c>
      <c r="B502" s="0" t="n">
        <v>4.249999</v>
      </c>
      <c r="C502" s="0" t="s">
        <v>1728</v>
      </c>
      <c r="D502" s="0" t="n">
        <v>0.0089</v>
      </c>
    </row>
    <row r="503" customFormat="false" ht="15" hidden="false" customHeight="false" outlineLevel="0" collapsed="false">
      <c r="A503" s="0" t="n">
        <v>4.25</v>
      </c>
      <c r="B503" s="0" t="n">
        <v>5.499999</v>
      </c>
      <c r="C503" s="0" t="s">
        <v>1729</v>
      </c>
      <c r="D503" s="0" t="n">
        <v>0.0078</v>
      </c>
    </row>
    <row r="504" customFormat="false" ht="15" hidden="false" customHeight="false" outlineLevel="0" collapsed="false">
      <c r="A504" s="0" t="n">
        <v>5.5</v>
      </c>
      <c r="B504" s="0" t="n">
        <v>6.499999</v>
      </c>
      <c r="C504" s="0" t="s">
        <v>1730</v>
      </c>
      <c r="D504" s="0" t="n">
        <v>0.007</v>
      </c>
    </row>
    <row r="505" customFormat="false" ht="15" hidden="false" customHeight="false" outlineLevel="0" collapsed="false">
      <c r="A505" s="0" t="n">
        <v>6.5</v>
      </c>
      <c r="B505" s="0" t="n">
        <v>8.499999</v>
      </c>
      <c r="C505" s="0" t="s">
        <v>1731</v>
      </c>
      <c r="D505" s="0" t="n">
        <v>0.0055</v>
      </c>
    </row>
    <row r="506" customFormat="false" ht="15" hidden="false" customHeight="false" outlineLevel="0" collapsed="false">
      <c r="A506" s="0" t="n">
        <v>8.5</v>
      </c>
      <c r="B506" s="0" t="n">
        <v>100000</v>
      </c>
      <c r="C506" s="0" t="s">
        <v>1732</v>
      </c>
      <c r="D506" s="0" t="n">
        <v>0.004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2026-08-25T13:25:14Z</dcterms:created>
  <dc:creator>openpyxl</dc:creator>
  <dc:description/>
  <dc:language>en-US</dc:language>
  <cp:lastModifiedBy/>
  <dcterms:modified xsi:type="dcterms:W3CDTF">2026-08-25T13:56:09Z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