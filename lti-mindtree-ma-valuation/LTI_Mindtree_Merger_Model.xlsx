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1" activeTab="2" autoFilterDateGrouping="1"/>
  </bookViews>
  <sheets>
    <sheet xmlns:r="http://schemas.openxmlformats.org/officeDocument/2006/relationships" name="Home" sheetId="1" state="visible" r:id="rId1"/>
    <sheet xmlns:r="http://schemas.openxmlformats.org/officeDocument/2006/relationships" name="Event Study - Market Reaction" sheetId="2" state="visible" r:id="rId2"/>
    <sheet xmlns:r="http://schemas.openxmlformats.org/officeDocument/2006/relationships" name="Exchange Ratio &amp; Ownership" sheetId="3" state="visible" r:id="rId3"/>
    <sheet xmlns:r="http://schemas.openxmlformats.org/officeDocument/2006/relationships" name="Pro Forma &amp; Accretion-Dilution" sheetId="4" state="visible" r:id="rId4"/>
    <sheet xmlns:r="http://schemas.openxmlformats.org/officeDocument/2006/relationships" name="Stress Test - Exchange Ratio" sheetId="5" state="visible" r:id="rId5"/>
    <sheet xmlns:r="http://schemas.openxmlformats.org/officeDocument/2006/relationships" name="Football Field" sheetId="6" state="visible" r:id="rId6"/>
    <sheet xmlns:r="http://schemas.openxmlformats.org/officeDocument/2006/relationships" name="Precedent Transactions" sheetId="7" state="visible" r:id="rId7"/>
    <sheet xmlns:r="http://schemas.openxmlformats.org/officeDocument/2006/relationships" name="Best Owner Analysis" sheetId="8" state="visible" r:id="rId8"/>
    <sheet xmlns:r="http://schemas.openxmlformats.org/officeDocument/2006/relationships" name="Goal-Seek Synergy Backsolve" sheetId="9" state="visible" r:id="rId9"/>
    <sheet xmlns:r="http://schemas.openxmlformats.org/officeDocument/2006/relationships" name="Value of Control" sheetId="10" state="visible" r:id="rId10"/>
    <sheet xmlns:r="http://schemas.openxmlformats.org/officeDocument/2006/relationships" name="AVP - Various Exchange Ratios" sheetId="11" state="visible" r:id="rId11"/>
    <sheet xmlns:r="http://schemas.openxmlformats.org/officeDocument/2006/relationships" name="Reference LBO Floor" sheetId="12" state="visible" r:id="rId12"/>
    <sheet xmlns:r="http://schemas.openxmlformats.org/officeDocument/2006/relationships" name="Synergies (Bottom-Up Estimate)" sheetId="13" state="visible" r:id="rId13"/>
    <sheet xmlns:r="http://schemas.openxmlformats.org/officeDocument/2006/relationships" name="LTI_HIST_CON" sheetId="14" state="visible" r:id="rId14"/>
    <sheet xmlns:r="http://schemas.openxmlformats.org/officeDocument/2006/relationships" name="LTI_HIST_STAND" sheetId="15" state="visible" r:id="rId15"/>
    <sheet xmlns:r="http://schemas.openxmlformats.org/officeDocument/2006/relationships" name="LTI_RATIO_ANALYSIS" sheetId="16" state="visible" r:id="rId16"/>
    <sheet xmlns:r="http://schemas.openxmlformats.org/officeDocument/2006/relationships" name="LTI_DUPONT_ANALYSIS" sheetId="17" state="visible" r:id="rId17"/>
    <sheet xmlns:r="http://schemas.openxmlformats.org/officeDocument/2006/relationships" name="LTI_RAW_DATA" sheetId="18" state="visible" r:id="rId18"/>
    <sheet xmlns:r="http://schemas.openxmlformats.org/officeDocument/2006/relationships" name="LTI_HS_CONSOLIDATED" sheetId="19" state="visible" r:id="rId19"/>
    <sheet xmlns:r="http://schemas.openxmlformats.org/officeDocument/2006/relationships" name="LTI_HS_STANDALONE" sheetId="20" state="visible" r:id="rId20"/>
    <sheet xmlns:r="http://schemas.openxmlformats.org/officeDocument/2006/relationships" name="LTI_Schedules" sheetId="21" state="visible" r:id="rId21"/>
    <sheet xmlns:r="http://schemas.openxmlformats.org/officeDocument/2006/relationships" name="LTI_Inputs &amp; Assumptions" sheetId="22" state="visible" r:id="rId22"/>
    <sheet xmlns:r="http://schemas.openxmlformats.org/officeDocument/2006/relationships" name="LTI_P&amp;L Schedule" sheetId="23" state="visible" r:id="rId23"/>
    <sheet xmlns:r="http://schemas.openxmlformats.org/officeDocument/2006/relationships" name="LTI_Damodaran Data" sheetId="24" state="visible" r:id="rId24"/>
    <sheet xmlns:r="http://schemas.openxmlformats.org/officeDocument/2006/relationships" name="LTI_WACC Schedule" sheetId="25" state="visible" r:id="rId25"/>
    <sheet xmlns:r="http://schemas.openxmlformats.org/officeDocument/2006/relationships" name="LTI_DCF" sheetId="26" state="visible" r:id="rId26"/>
    <sheet xmlns:r="http://schemas.openxmlformats.org/officeDocument/2006/relationships" name="LTI_Sensitivity Tables" sheetId="27" state="visible" r:id="rId27"/>
    <sheet xmlns:r="http://schemas.openxmlformats.org/officeDocument/2006/relationships" name="LTI_Growth Rate Methods" sheetId="28" state="visible" r:id="rId28"/>
    <sheet xmlns:r="http://schemas.openxmlformats.org/officeDocument/2006/relationships" name="LTI_Comps" sheetId="29" state="visible" r:id="rId29"/>
    <sheet xmlns:r="http://schemas.openxmlformats.org/officeDocument/2006/relationships" name="LTI_Balance Sheet (Projected)" sheetId="30" state="visible" r:id="rId30"/>
    <sheet xmlns:r="http://schemas.openxmlformats.org/officeDocument/2006/relationships" name="LTI_CFStmt" sheetId="31" state="visible" r:id="rId31"/>
    <sheet xmlns:r="http://schemas.openxmlformats.org/officeDocument/2006/relationships" name="MT_HIST_CON" sheetId="32" state="visible" r:id="rId32"/>
    <sheet xmlns:r="http://schemas.openxmlformats.org/officeDocument/2006/relationships" name="MT_HIST_STAND" sheetId="33" state="visible" r:id="rId33"/>
    <sheet xmlns:r="http://schemas.openxmlformats.org/officeDocument/2006/relationships" name="MT_RATIO_ANALYSIS" sheetId="34" state="visible" r:id="rId34"/>
    <sheet xmlns:r="http://schemas.openxmlformats.org/officeDocument/2006/relationships" name="MT_DUPONT_ANALYSIS" sheetId="35" state="visible" r:id="rId35"/>
    <sheet xmlns:r="http://schemas.openxmlformats.org/officeDocument/2006/relationships" name="MT_RAW_DATA" sheetId="36" state="visible" r:id="rId36"/>
    <sheet xmlns:r="http://schemas.openxmlformats.org/officeDocument/2006/relationships" name="MT_HS_CONSOLIDATED" sheetId="37" state="visible" r:id="rId37"/>
    <sheet xmlns:r="http://schemas.openxmlformats.org/officeDocument/2006/relationships" name="MT_HS_STANDALONE" sheetId="38" state="visible" r:id="rId38"/>
    <sheet xmlns:r="http://schemas.openxmlformats.org/officeDocument/2006/relationships" name="MT_Schedules" sheetId="39" state="visible" r:id="rId39"/>
    <sheet xmlns:r="http://schemas.openxmlformats.org/officeDocument/2006/relationships" name="MT_Inputs &amp; Assumptions" sheetId="40" state="visible" r:id="rId40"/>
    <sheet xmlns:r="http://schemas.openxmlformats.org/officeDocument/2006/relationships" name="MT_P&amp;L Schedule" sheetId="41" state="visible" r:id="rId41"/>
    <sheet xmlns:r="http://schemas.openxmlformats.org/officeDocument/2006/relationships" name="MT_Damodaran Data" sheetId="42" state="visible" r:id="rId42"/>
    <sheet xmlns:r="http://schemas.openxmlformats.org/officeDocument/2006/relationships" name="MT_WACC Schedule" sheetId="43" state="visible" r:id="rId43"/>
    <sheet xmlns:r="http://schemas.openxmlformats.org/officeDocument/2006/relationships" name="MT_DCF" sheetId="44" state="visible" r:id="rId44"/>
    <sheet xmlns:r="http://schemas.openxmlformats.org/officeDocument/2006/relationships" name="MT_Sensitivity Tables" sheetId="45" state="visible" r:id="rId45"/>
    <sheet xmlns:r="http://schemas.openxmlformats.org/officeDocument/2006/relationships" name="MT_Growth Rate Methods" sheetId="46" state="visible" r:id="rId46"/>
    <sheet xmlns:r="http://schemas.openxmlformats.org/officeDocument/2006/relationships" name="MT_Comps" sheetId="47" state="visible" r:id="rId47"/>
    <sheet xmlns:r="http://schemas.openxmlformats.org/officeDocument/2006/relationships" name="MT_Balance Sheet (Projected)" sheetId="48" state="visible" r:id="rId48"/>
    <sheet xmlns:r="http://schemas.openxmlformats.org/officeDocument/2006/relationships" name="MT_CFStmt" sheetId="49" state="visible" r:id="rId49"/>
  </sheets>
  <definedNames/>
  <calcPr calcId="191029" fullCalcOnLoad="1"/>
</workbook>
</file>

<file path=xl/styles.xml><?xml version="1.0" encoding="utf-8"?>
<styleSheet xmlns="http://schemas.openxmlformats.org/spreadsheetml/2006/main">
  <numFmts count="19">
    <numFmt numFmtId="164" formatCode="#,##0.00;\(#,##0.00\);\-"/>
    <numFmt numFmtId="165" formatCode="0.0%;\(0.0%\);\-"/>
    <numFmt numFmtId="166" formatCode="0.00\x;\(0.00\x\);\-"/>
    <numFmt numFmtId="167" formatCode="#,##0.0;\(#,##0.0\);\-"/>
    <numFmt numFmtId="168" formatCode="0.000000;\(0.000000\);\-"/>
    <numFmt numFmtId="169" formatCode="#,##0;\(#,##0\)"/>
    <numFmt numFmtId="170" formatCode="0.0%"/>
    <numFmt numFmtId="171" formatCode="0.0"/>
    <numFmt numFmtId="172" formatCode="0.0000"/>
    <numFmt numFmtId="173" formatCode="0.000"/>
    <numFmt numFmtId="174" formatCode="0.00&quot;x&quot;"/>
    <numFmt numFmtId="175" formatCode="0.000000"/>
    <numFmt numFmtId="176" formatCode="0.0x"/>
    <numFmt numFmtId="177" formatCode="#,##0;(#,##0)"/>
    <numFmt numFmtId="178" formatCode="&quot;$&quot;0.00"/>
    <numFmt numFmtId="179" formatCode="0.00%;[RED]-0.00%"/>
    <numFmt numFmtId="180" formatCode="&quot;Rs.&quot;0.00"/>
    <numFmt numFmtId="181" formatCode="0.00&quot;x100&quot;"/>
    <numFmt numFmtId="182" formatCode="0.0&quot;x&quot;"/>
  </numFmts>
  <fonts count="113">
    <font>
      <name val="Calibri"/>
      <family val="2"/>
      <color theme="1"/>
      <sz val="11"/>
      <scheme val="minor"/>
    </font>
    <font>
      <name val="Calibri"/>
      <family val="2"/>
      <b val="1"/>
      <color rgb="FFFFFFFF"/>
      <sz val="14"/>
    </font>
    <font>
      <name val="Calibri"/>
      <family val="2"/>
      <i val="1"/>
      <color rgb="FF808080"/>
      <sz val="9"/>
    </font>
    <font>
      <name val="Calibri"/>
      <family val="2"/>
      <b val="1"/>
      <color rgb="FFFFFFFF"/>
      <sz val="12"/>
    </font>
    <font>
      <name val="Calibri"/>
      <family val="2"/>
      <b val="1"/>
      <color rgb="FFFFFFFF"/>
      <sz val="11"/>
    </font>
    <font>
      <name val="Calibri"/>
      <family val="2"/>
      <b val="1"/>
      <sz val="11"/>
    </font>
    <font>
      <name val="Calibri"/>
      <family val="2"/>
      <sz val="11"/>
    </font>
    <font>
      <name val="Calibri"/>
      <family val="2"/>
      <color rgb="FF008000"/>
      <sz val="11"/>
    </font>
    <font>
      <name val="Calibri"/>
      <family val="2"/>
      <b val="1"/>
      <color rgb="FF000000"/>
      <sz val="11"/>
    </font>
    <font>
      <name val="Calibri"/>
      <family val="2"/>
      <b val="1"/>
      <i val="1"/>
      <sz val="11"/>
    </font>
    <font>
      <name val="Calibri"/>
      <family val="2"/>
      <b val="1"/>
      <color rgb="FF1F4E79"/>
      <sz val="11"/>
    </font>
    <font>
      <name val="Calibri"/>
      <family val="2"/>
      <b val="1"/>
      <color rgb="FF1F4E79"/>
      <sz val="12"/>
    </font>
    <font>
      <name val="Calibri"/>
      <family val="2"/>
      <color rgb="FF000000"/>
      <sz val="11"/>
    </font>
    <font>
      <name val="Calibri"/>
      <family val="2"/>
      <i val="1"/>
      <color rgb="FF808080"/>
      <sz val="11"/>
    </font>
    <font>
      <name val="Calibri"/>
      <family val="2"/>
      <b val="1"/>
      <sz val="11"/>
    </font>
    <font>
      <name val="Calibri"/>
      <family val="2"/>
      <b val="1"/>
      <sz val="13"/>
    </font>
    <font>
      <name val="Calibri"/>
      <family val="2"/>
      <b val="1"/>
      <sz val="9"/>
    </font>
    <font>
      <name val="Calibri"/>
      <family val="2"/>
      <b val="1"/>
      <sz val="12"/>
    </font>
    <font>
      <name val="Calibri"/>
      <family val="2"/>
      <color rgb="FF808080"/>
      <sz val="7"/>
    </font>
    <font>
      <name val="Calibri"/>
      <family val="2"/>
      <color rgb="FF008000"/>
      <sz val="9"/>
    </font>
    <font>
      <name val="Calibri"/>
      <family val="2"/>
      <b val="1"/>
      <color rgb="FFFFFFFF"/>
      <sz val="18"/>
    </font>
    <font>
      <name val="Calibri"/>
      <family val="2"/>
      <b val="1"/>
      <sz val="14"/>
    </font>
    <font>
      <name val="Calibri"/>
      <family val="2"/>
      <b val="1"/>
      <color rgb="FF808080"/>
      <sz val="8"/>
    </font>
    <font>
      <name val="Calibri"/>
      <family val="2"/>
      <color rgb="FF808080"/>
      <sz val="8"/>
    </font>
    <font>
      <name val="Calibri"/>
      <family val="2"/>
      <b val="1"/>
      <sz val="16"/>
    </font>
    <font>
      <name val="Calibri"/>
      <family val="2"/>
      <b val="1"/>
      <color rgb="FF00978D"/>
      <sz val="14"/>
    </font>
    <font>
      <name val="Calibri"/>
      <family val="2"/>
      <color rgb="FF000000"/>
      <sz val="10"/>
    </font>
    <font>
      <name val="Calibri"/>
      <family val="2"/>
      <b val="1"/>
      <color rgb="FF000000"/>
      <sz val="10"/>
    </font>
    <font>
      <name val="Calibri"/>
      <family val="2"/>
      <i val="1"/>
      <color rgb="FF000000"/>
      <sz val="9"/>
    </font>
    <font>
      <name val="Calibri"/>
      <family val="2"/>
      <i val="1"/>
      <sz val="9"/>
    </font>
    <font>
      <name val="Calibri"/>
      <family val="2"/>
      <b val="1"/>
      <color rgb="FFC00000"/>
      <sz val="10"/>
    </font>
    <font>
      <name val="Calibri"/>
      <family val="2"/>
      <b val="1"/>
      <color rgb="FF008000"/>
      <sz val="11"/>
    </font>
    <font>
      <name val="Calibri"/>
      <family val="2"/>
      <color rgb="FF0000FF"/>
      <sz val="11"/>
    </font>
    <font>
      <name val="Calibri"/>
      <family val="2"/>
      <b val="1"/>
      <color rgb="FF00978D"/>
      <sz val="16"/>
    </font>
    <font>
      <name val="Calibri"/>
      <family val="2"/>
      <b val="1"/>
      <color rgb="FFFFFFFF"/>
      <sz val="11"/>
    </font>
    <font>
      <name val="Calibri"/>
      <family val="2"/>
      <b val="1"/>
      <color rgb="FF000000"/>
      <sz val="11"/>
    </font>
    <font>
      <name val="Calibri"/>
      <family val="2"/>
      <b val="1"/>
      <color rgb="FF00978D"/>
      <sz val="12"/>
    </font>
    <font>
      <name val="Calibri"/>
      <family val="2"/>
      <b val="1"/>
      <color rgb="FF00978D"/>
      <sz val="11"/>
    </font>
    <font>
      <name val="Calibri"/>
      <family val="2"/>
      <b val="1"/>
      <i val="1"/>
      <color rgb="FF00978D"/>
      <sz val="10"/>
    </font>
    <font>
      <name val="Calibri"/>
      <family val="2"/>
      <b val="1"/>
      <color rgb="FF00978D"/>
      <sz val="11"/>
    </font>
    <font>
      <name val="Calibri"/>
      <family val="2"/>
      <b val="1"/>
      <color rgb="FF00978D"/>
      <sz val="13"/>
    </font>
    <font>
      <name val="Calibri"/>
      <family val="2"/>
      <b val="1"/>
      <i val="1"/>
      <sz val="9"/>
    </font>
    <font>
      <name val="Calibri"/>
      <family val="2"/>
      <i val="1"/>
      <color rgb="FF808080"/>
      <sz val="8"/>
    </font>
    <font>
      <name val="Arial"/>
      <family val="2"/>
      <b val="1"/>
      <color rgb="FF000000"/>
      <sz val="14"/>
    </font>
    <font>
      <name val="Arial"/>
      <family val="2"/>
      <i val="1"/>
      <color rgb="FF000000"/>
      <sz val="8"/>
    </font>
    <font>
      <name val="Arial"/>
      <family val="2"/>
      <b val="1"/>
      <color rgb="FFFFFFFF"/>
      <sz val="11"/>
    </font>
    <font>
      <name val="Arial"/>
      <family val="2"/>
      <color rgb="FF000000"/>
      <sz val="10"/>
    </font>
    <font>
      <name val="Arial"/>
      <family val="2"/>
      <color rgb="FF0000FF"/>
      <sz val="10"/>
    </font>
    <font>
      <name val="Arial"/>
      <family val="2"/>
      <b val="1"/>
      <color rgb="FF000000"/>
      <sz val="10"/>
    </font>
    <font>
      <name val="Calibri"/>
      <family val="2"/>
      <i val="1"/>
      <sz val="8"/>
    </font>
    <font>
      <name val="Calibri"/>
      <family val="2"/>
      <i val="1"/>
      <color rgb="FF000000"/>
      <sz val="11"/>
    </font>
    <font>
      <name val="Calibri"/>
      <family val="2"/>
      <i val="1"/>
      <sz val="11"/>
    </font>
    <font>
      <name val="Calibri"/>
      <family val="2"/>
      <i val="1"/>
      <color rgb="FF000000"/>
      <sz val="8"/>
    </font>
    <font>
      <name val="Calibri"/>
      <family val="2"/>
      <b val="1"/>
      <color rgb="FFFFFFFF"/>
      <sz val="10"/>
    </font>
    <font>
      <name val="Calibri"/>
      <family val="2"/>
      <color rgb="FF0000FF"/>
      <sz val="10"/>
    </font>
    <font>
      <name val="Calibri"/>
      <family val="2"/>
      <color rgb="FF008000"/>
      <sz val="10"/>
    </font>
    <font>
      <name val="Calibri"/>
      <family val="2"/>
      <b val="1"/>
      <color rgb="FF00978D"/>
      <sz val="10"/>
    </font>
    <font>
      <name val="Arial"/>
      <family val="2"/>
      <i val="1"/>
      <color rgb="FFCC0000"/>
      <sz val="10"/>
    </font>
    <font>
      <name val="Calibri"/>
      <family val="2"/>
      <b val="1"/>
      <color rgb="FF00978D"/>
      <sz val="20"/>
    </font>
    <font>
      <name val="Calibri"/>
      <family val="2"/>
      <b val="1"/>
      <color rgb="FFFFFFFF"/>
      <sz val="13"/>
    </font>
    <font>
      <name val="Calibri"/>
      <family val="2"/>
      <b val="1"/>
      <color rgb="FF0563C1"/>
      <sz val="11"/>
      <u val="single"/>
    </font>
    <font>
      <name val="Calibri"/>
      <family val="2"/>
      <b val="1"/>
      <sz val="20"/>
    </font>
    <font>
      <name val="Calibri"/>
      <family val="2"/>
      <sz val="11"/>
      <scheme val="minor"/>
    </font>
    <font>
      <name val="Calibri"/>
      <family val="2"/>
      <b val="1"/>
      <sz val="10"/>
    </font>
    <font>
      <name val="Calibri"/>
      <b val="1"/>
      <color rgb="0000978D"/>
      <sz val="16"/>
    </font>
    <font>
      <name val="Calibri"/>
      <i val="1"/>
      <color rgb="00000000"/>
      <sz val="8"/>
    </font>
    <font>
      <name val="Calibri"/>
      <b val="1"/>
      <color rgb="0000978D"/>
      <sz val="12"/>
    </font>
    <font>
      <name val="Calibri"/>
      <b val="1"/>
      <color rgb="00FFFFFF"/>
      <sz val="10"/>
    </font>
    <font>
      <name val="Calibri"/>
      <color rgb="00000000"/>
      <sz val="10"/>
    </font>
    <font>
      <name val="Calibri"/>
      <color rgb="000000FF"/>
      <sz val="10"/>
    </font>
    <font>
      <name val="Calibri"/>
      <b val="1"/>
      <color rgb="00000000"/>
      <sz val="10"/>
    </font>
    <font>
      <name val="Calibri"/>
      <b val="1"/>
      <color rgb="0000978D"/>
      <sz val="10"/>
    </font>
    <font>
      <name val="Calibri"/>
      <color rgb="00008000"/>
      <sz val="10"/>
    </font>
    <font>
      <name val="Calibri"/>
      <b val="1"/>
      <color rgb="0000978D"/>
      <sz val="20"/>
    </font>
    <font>
      <name val="Calibri"/>
      <b val="1"/>
      <color rgb="00FFFFFF"/>
      <sz val="13"/>
    </font>
    <font>
      <name val="Calibri"/>
      <i val="1"/>
      <color rgb="00000000"/>
      <sz val="9"/>
    </font>
    <font>
      <name val="Calibri"/>
      <b val="1"/>
      <color rgb="000563C1"/>
      <sz val="11"/>
      <u val="single"/>
    </font>
    <font>
      <name val="Calibri"/>
      <i val="1"/>
      <sz val="8"/>
    </font>
    <font>
      <name val="Calibri"/>
      <b val="1"/>
      <color rgb="00FFFFFF"/>
    </font>
    <font>
      <name val="Calibri"/>
      <color rgb="00008000"/>
    </font>
    <font>
      <name val="Calibri"/>
      <i val="1"/>
      <color rgb="00000000"/>
    </font>
    <font>
      <name val="Calibri"/>
      <i val="1"/>
    </font>
    <font>
      <name val="Calibri"/>
      <b val="1"/>
      <color rgb="0000978D"/>
    </font>
    <font>
      <name val="Calibri"/>
      <b val="1"/>
    </font>
    <font>
      <name val="Calibri"/>
      <i val="1"/>
      <sz val="9"/>
    </font>
    <font>
      <name val="Arial"/>
      <b val="1"/>
      <color rgb="00000000"/>
      <sz val="14"/>
    </font>
    <font>
      <name val="Arial"/>
      <i val="1"/>
      <color rgb="00000000"/>
      <sz val="8"/>
    </font>
    <font>
      <name val="Arial"/>
      <b val="1"/>
      <color rgb="00FFFFFF"/>
      <sz val="11"/>
    </font>
    <font>
      <name val="Arial"/>
      <color rgb="00000000"/>
      <sz val="10"/>
    </font>
    <font>
      <name val="Arial"/>
      <color rgb="000000FF"/>
      <sz val="10"/>
    </font>
    <font>
      <name val="Arial"/>
      <b val="1"/>
      <color rgb="00000000"/>
      <sz val="10"/>
    </font>
    <font>
      <name val="Arial"/>
      <color rgb="00008000"/>
      <sz val="10"/>
    </font>
    <font>
      <name val="Calibri"/>
      <color rgb="000000FF"/>
    </font>
    <font>
      <name val="Calibri"/>
      <sz val="11"/>
    </font>
    <font>
      <name val="Calibri"/>
      <color rgb="000000FF"/>
      <sz val="11"/>
    </font>
    <font>
      <name val="Calibri"/>
      <b val="1"/>
      <color rgb="0000978D"/>
      <sz val="11"/>
    </font>
    <font>
      <name val="Calibri"/>
      <b val="1"/>
      <color rgb="00C00000"/>
      <sz val="10"/>
    </font>
    <font>
      <name val="Calibri"/>
      <b val="1"/>
      <color rgb="0000978D"/>
      <sz val="13"/>
    </font>
    <font>
      <name val="Calibri"/>
      <i val="1"/>
      <color rgb="00808080"/>
      <sz val="9"/>
    </font>
    <font>
      <name val="Calibri"/>
      <b val="1"/>
      <sz val="11"/>
    </font>
    <font>
      <name val="Calibri"/>
      <b val="1"/>
      <color rgb="FF00978D"/>
      <sz val="12"/>
    </font>
    <font>
      <name val="Calibri"/>
      <i val="1"/>
      <color rgb="FF000000"/>
      <sz val="8"/>
    </font>
    <font>
      <name val="Calibri"/>
      <b val="1"/>
      <color rgb="FF00978D"/>
      <sz val="10"/>
    </font>
    <font>
      <name val="Calibri"/>
      <b val="1"/>
      <color rgb="FFFFFFFF"/>
      <sz val="10"/>
    </font>
    <font>
      <name val="Calibri"/>
      <color rgb="FF0000FF"/>
      <sz val="10"/>
    </font>
    <font>
      <name val="Calibri"/>
      <color rgb="FF000000"/>
      <sz val="10"/>
    </font>
    <font>
      <name val="Calibri"/>
      <b val="1"/>
      <color rgb="FF000000"/>
      <sz val="10"/>
    </font>
    <font>
      <name val="Calibri"/>
      <color rgb="FF008000"/>
      <sz val="10"/>
    </font>
    <font>
      <name val="Arial"/>
      <b val="1"/>
      <color rgb="FF000000"/>
      <sz val="10"/>
    </font>
    <font>
      <name val="Arial"/>
      <i val="1"/>
      <color rgb="FF000000"/>
      <sz val="8"/>
    </font>
    <font>
      <name val="Arial"/>
      <b val="1"/>
      <color rgb="FFFFFFFF"/>
      <sz val="11"/>
    </font>
    <font>
      <name val="Arial"/>
      <color rgb="FF000000"/>
      <sz val="10"/>
    </font>
    <font>
      <name val="Arial"/>
      <i val="1"/>
      <color rgb="FFCC0000"/>
      <sz val="10"/>
    </font>
  </fonts>
  <fills count="19">
    <fill>
      <patternFill/>
    </fill>
    <fill>
      <patternFill patternType="gray125"/>
    </fill>
    <fill>
      <patternFill patternType="solid">
        <fgColor rgb="FF00978D"/>
      </patternFill>
    </fill>
    <fill>
      <patternFill patternType="solid">
        <fgColor rgb="FFD9EFEC"/>
      </patternFill>
    </fill>
    <fill>
      <patternFill patternType="solid">
        <fgColor rgb="FFD9E1F2"/>
      </patternFill>
    </fill>
    <fill>
      <patternFill patternType="solid"/>
    </fill>
    <fill>
      <patternFill patternType="solid">
        <fgColor rgb="FFFFF2CC"/>
      </patternFill>
    </fill>
    <fill>
      <patternFill patternType="solid">
        <fgColor rgb="FF00978D"/>
        <bgColor rgb="FF00978D"/>
      </patternFill>
    </fill>
    <fill>
      <patternFill patternType="solid">
        <fgColor rgb="FFD9EFEC"/>
        <bgColor rgb="FFD9EFEC"/>
      </patternFill>
    </fill>
    <fill>
      <patternFill patternType="solid">
        <fgColor rgb="FFFFF2CC"/>
        <bgColor rgb="FFFFF2CC"/>
      </patternFill>
    </fill>
    <fill>
      <patternFill patternType="solid">
        <fgColor rgb="FF1F4E78"/>
      </patternFill>
    </fill>
    <fill>
      <patternFill patternType="solid">
        <fgColor rgb="FFB45F06"/>
      </patternFill>
    </fill>
    <fill>
      <patternFill patternType="solid">
        <fgColor rgb="0000978D"/>
      </patternFill>
    </fill>
    <fill>
      <patternFill patternType="solid">
        <fgColor rgb="00D9EFEC"/>
      </patternFill>
    </fill>
    <fill>
      <patternFill patternType="solid">
        <fgColor rgb="001F4E78"/>
      </patternFill>
    </fill>
    <fill>
      <patternFill patternType="solid">
        <fgColor rgb="00B45F06"/>
      </patternFill>
    </fill>
    <fill>
      <patternFill patternType="solid">
        <fgColor rgb="0000978D"/>
        <bgColor rgb="0000978D"/>
      </patternFill>
    </fill>
    <fill>
      <patternFill patternType="solid">
        <fgColor rgb="00D9EFEC"/>
        <bgColor rgb="00D9EFEC"/>
      </patternFill>
    </fill>
    <fill>
      <patternFill patternType="solid">
        <fgColor rgb="00FFF2CC"/>
      </patternFill>
    </fill>
  </fills>
  <borders count="15">
    <border>
      <left/>
      <right/>
      <top/>
      <bottom/>
      <diagonal/>
    </border>
    <border>
      <left/>
      <right/>
      <top style="thin">
        <color auto="1"/>
      </top>
      <bottom/>
      <diagonal/>
    </border>
    <border>
      <left/>
      <right/>
      <top style="thin">
        <color auto="1"/>
      </top>
      <bottom style="double">
        <color auto="1"/>
      </bottom>
      <diagonal/>
    </border>
    <border>
      <left/>
      <right/>
      <top/>
      <bottom style="thin">
        <color auto="1"/>
      </bottom>
      <diagonal/>
    </border>
    <border>
      <left style="hair">
        <color auto="1"/>
      </left>
      <right style="hair">
        <color auto="1"/>
      </right>
      <top style="hair">
        <color auto="1"/>
      </top>
      <bottom/>
      <diagonal/>
    </border>
    <border>
      <left style="hair">
        <color auto="1"/>
      </left>
      <right/>
      <top/>
      <bottom/>
      <diagonal/>
    </border>
    <border>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hair">
        <color auto="1"/>
      </top>
      <bottom/>
      <diagonal/>
    </border>
    <border>
      <left/>
      <right style="hair">
        <color auto="1"/>
      </right>
      <top style="hair">
        <color auto="1"/>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6"/>
  </cellStyleXfs>
  <cellXfs count="378">
    <xf numFmtId="0" fontId="0" fillId="0" borderId="0" pivotButton="0" quotePrefix="0" xfId="0"/>
    <xf numFmtId="0" fontId="2" fillId="0" borderId="0" pivotButton="0" quotePrefix="0" xfId="0"/>
    <xf numFmtId="0" fontId="0" fillId="2" borderId="0" pivotButton="0" quotePrefix="0" xfId="0"/>
    <xf numFmtId="0" fontId="3" fillId="2" borderId="0" pivotButton="0" quotePrefix="0" xfId="0"/>
    <xf numFmtId="0" fontId="4" fillId="2" borderId="0" pivotButton="0" quotePrefix="0" xfId="0"/>
    <xf numFmtId="0" fontId="5" fillId="3" borderId="0" pivotButton="0" quotePrefix="0" xfId="0"/>
    <xf numFmtId="0" fontId="6" fillId="0" borderId="0" pivotButton="0" quotePrefix="0" xfId="0"/>
    <xf numFmtId="164" fontId="7" fillId="0" borderId="0" pivotButton="0" quotePrefix="0" xfId="0"/>
    <xf numFmtId="0" fontId="5" fillId="0" borderId="1" pivotButton="0" quotePrefix="0" xfId="0"/>
    <xf numFmtId="164" fontId="8" fillId="0" borderId="1" pivotButton="0" quotePrefix="0" xfId="0"/>
    <xf numFmtId="0" fontId="5" fillId="0" borderId="2" pivotButton="0" quotePrefix="0" xfId="0"/>
    <xf numFmtId="164" fontId="8" fillId="0" borderId="2" pivotButton="0" quotePrefix="0" xfId="0"/>
    <xf numFmtId="0" fontId="9" fillId="0" borderId="0" pivotButton="0" quotePrefix="0" xfId="0"/>
    <xf numFmtId="164" fontId="8" fillId="0" borderId="0" pivotButton="0" quotePrefix="0" xfId="0"/>
    <xf numFmtId="0" fontId="0" fillId="4" borderId="0" pivotButton="0" quotePrefix="0" xfId="0"/>
    <xf numFmtId="0" fontId="10" fillId="4" borderId="0" pivotButton="0" quotePrefix="0" xfId="0"/>
    <xf numFmtId="0" fontId="11" fillId="4" borderId="0" pivotButton="0" quotePrefix="0" xfId="0"/>
    <xf numFmtId="0" fontId="5" fillId="0" borderId="3" pivotButton="0" quotePrefix="0" xfId="0"/>
    <xf numFmtId="0" fontId="6" fillId="0" borderId="3" pivotButton="0" quotePrefix="0" xfId="0"/>
    <xf numFmtId="164" fontId="7" fillId="0" borderId="3" pivotButton="0" quotePrefix="0" xfId="0"/>
    <xf numFmtId="0" fontId="5" fillId="0" borderId="0" pivotButton="0" quotePrefix="0" xfId="0"/>
    <xf numFmtId="165" fontId="8" fillId="0" borderId="0" pivotButton="0" quotePrefix="0" xfId="0"/>
    <xf numFmtId="164" fontId="12" fillId="0" borderId="3" pivotButton="0" quotePrefix="0" xfId="0"/>
    <xf numFmtId="164" fontId="12" fillId="0" borderId="0" pivotButton="0" quotePrefix="0" xfId="0"/>
    <xf numFmtId="0" fontId="8" fillId="0" borderId="0" pivotButton="0" quotePrefix="0" xfId="0"/>
    <xf numFmtId="166" fontId="8" fillId="0" borderId="0" pivotButton="0" quotePrefix="0" xfId="0"/>
    <xf numFmtId="1" fontId="12" fillId="0" borderId="3" pivotButton="0" quotePrefix="0" xfId="0"/>
    <xf numFmtId="167" fontId="8" fillId="0" borderId="0" pivotButton="0" quotePrefix="0" xfId="0"/>
    <xf numFmtId="166" fontId="12" fillId="0" borderId="0" pivotButton="0" quotePrefix="0" xfId="0"/>
    <xf numFmtId="165" fontId="13" fillId="0" borderId="0" pivotButton="0" quotePrefix="0" xfId="0"/>
    <xf numFmtId="0" fontId="0" fillId="3" borderId="0" pivotButton="0" quotePrefix="0" xfId="0"/>
    <xf numFmtId="0" fontId="14" fillId="3" borderId="0" pivotButton="0" quotePrefix="0" xfId="0"/>
    <xf numFmtId="0" fontId="6" fillId="0" borderId="0" applyAlignment="1" pivotButton="0" quotePrefix="0" xfId="0">
      <alignment vertical="center" wrapText="1"/>
    </xf>
    <xf numFmtId="0" fontId="5" fillId="0" borderId="0" applyAlignment="1" pivotButton="0" quotePrefix="0" xfId="0">
      <alignment vertical="center" wrapText="1"/>
    </xf>
    <xf numFmtId="0" fontId="5" fillId="0" borderId="1" applyAlignment="1" pivotButton="0" quotePrefix="0" xfId="0">
      <alignment vertical="center" wrapText="1"/>
    </xf>
    <xf numFmtId="165" fontId="8" fillId="0" borderId="1" pivotButton="0" quotePrefix="0" xfId="0"/>
    <xf numFmtId="168" fontId="8" fillId="0" borderId="0" pivotButton="0" quotePrefix="0" xfId="0"/>
    <xf numFmtId="0" fontId="15" fillId="4" borderId="0" pivotButton="0" quotePrefix="0" xfId="0"/>
    <xf numFmtId="0" fontId="17" fillId="0" borderId="0" pivotButton="0" quotePrefix="0" xfId="0"/>
    <xf numFmtId="0" fontId="18" fillId="0" borderId="5" applyAlignment="1" pivotButton="0" quotePrefix="0" xfId="0">
      <alignment horizontal="center"/>
    </xf>
    <xf numFmtId="0" fontId="18" fillId="0" borderId="6" applyAlignment="1" pivotButton="0" quotePrefix="0" xfId="0">
      <alignment horizontal="center"/>
    </xf>
    <xf numFmtId="0" fontId="18" fillId="0" borderId="7" applyAlignment="1" pivotButton="0" quotePrefix="0" xfId="0">
      <alignment horizontal="center"/>
    </xf>
    <xf numFmtId="165" fontId="19" fillId="0" borderId="8" applyAlignment="1" pivotButton="0" quotePrefix="0" xfId="0">
      <alignment horizontal="center"/>
    </xf>
    <xf numFmtId="165" fontId="19" fillId="0" borderId="9" applyAlignment="1" pivotButton="0" quotePrefix="0" xfId="0">
      <alignment horizontal="center"/>
    </xf>
    <xf numFmtId="165" fontId="19" fillId="0" borderId="10" applyAlignment="1" pivotButton="0" quotePrefix="0" xfId="0">
      <alignment horizontal="center"/>
    </xf>
    <xf numFmtId="167" fontId="19" fillId="0" borderId="8" applyAlignment="1" pivotButton="0" quotePrefix="0" xfId="0">
      <alignment horizontal="center"/>
    </xf>
    <xf numFmtId="167" fontId="19" fillId="0" borderId="9" applyAlignment="1" pivotButton="0" quotePrefix="0" xfId="0">
      <alignment horizontal="center"/>
    </xf>
    <xf numFmtId="167" fontId="19" fillId="0" borderId="10" applyAlignment="1" pivotButton="0" quotePrefix="0" xfId="0">
      <alignment horizontal="center"/>
    </xf>
    <xf numFmtId="166" fontId="19" fillId="0" borderId="8" applyAlignment="1" pivotButton="0" quotePrefix="0" xfId="0">
      <alignment horizontal="center"/>
    </xf>
    <xf numFmtId="166" fontId="19" fillId="0" borderId="9" applyAlignment="1" pivotButton="0" quotePrefix="0" xfId="0">
      <alignment horizontal="center"/>
    </xf>
    <xf numFmtId="166" fontId="19" fillId="0" borderId="10" applyAlignment="1" pivotButton="0" quotePrefix="0" xfId="0">
      <alignment horizontal="center"/>
    </xf>
    <xf numFmtId="0" fontId="20" fillId="5" borderId="0" pivotButton="0" quotePrefix="0" xfId="0"/>
    <xf numFmtId="0" fontId="21" fillId="0" borderId="0" pivotButton="0" quotePrefix="0" xfId="0"/>
    <xf numFmtId="0" fontId="22" fillId="0" borderId="0" pivotButton="0" quotePrefix="0" xfId="0"/>
    <xf numFmtId="0" fontId="6" fillId="0" borderId="0" applyAlignment="1" pivotButton="0" quotePrefix="0" xfId="0">
      <alignment indent="1"/>
    </xf>
    <xf numFmtId="0" fontId="23" fillId="0" borderId="0" pivotButton="0" quotePrefix="0" xfId="0"/>
    <xf numFmtId="164" fontId="6" fillId="0" borderId="0" pivotButton="0" quotePrefix="0" xfId="0"/>
    <xf numFmtId="0" fontId="5" fillId="0" borderId="1" applyAlignment="1" pivotButton="0" quotePrefix="0" xfId="0">
      <alignment indent="1"/>
    </xf>
    <xf numFmtId="164" fontId="5" fillId="0" borderId="1" pivotButton="0" quotePrefix="0" xfId="0"/>
    <xf numFmtId="0" fontId="9" fillId="0" borderId="0" applyAlignment="1" pivotButton="0" quotePrefix="0" xfId="0">
      <alignment indent="1"/>
    </xf>
    <xf numFmtId="0" fontId="9" fillId="0" borderId="0" applyAlignment="1" pivotButton="0" quotePrefix="0" xfId="0">
      <alignment indent="2"/>
    </xf>
    <xf numFmtId="0" fontId="6" fillId="0" borderId="0" applyAlignment="1" pivotButton="0" quotePrefix="0" xfId="0">
      <alignment indent="3"/>
    </xf>
    <xf numFmtId="0" fontId="6" fillId="0" borderId="0" applyAlignment="1" pivotButton="0" quotePrefix="0" xfId="0">
      <alignment indent="2"/>
    </xf>
    <xf numFmtId="0" fontId="9" fillId="0" borderId="0" applyAlignment="1" pivotButton="0" quotePrefix="0" xfId="0">
      <alignment indent="3"/>
    </xf>
    <xf numFmtId="0" fontId="6" fillId="0" borderId="0" applyAlignment="1" pivotButton="0" quotePrefix="0" xfId="0">
      <alignment indent="4"/>
    </xf>
    <xf numFmtId="0" fontId="5" fillId="0" borderId="1" applyAlignment="1" pivotButton="0" quotePrefix="0" xfId="0">
      <alignment indent="3"/>
    </xf>
    <xf numFmtId="0" fontId="5" fillId="0" borderId="1" applyAlignment="1" pivotButton="0" quotePrefix="0" xfId="0">
      <alignment indent="4"/>
    </xf>
    <xf numFmtId="0" fontId="5" fillId="0" borderId="1" applyAlignment="1" pivotButton="0" quotePrefix="0" xfId="0">
      <alignment indent="2"/>
    </xf>
    <xf numFmtId="0" fontId="9" fillId="0" borderId="0" applyAlignment="1" pivotButton="0" quotePrefix="0" xfId="0">
      <alignment indent="4"/>
    </xf>
    <xf numFmtId="0" fontId="5" fillId="0" borderId="1" applyAlignment="1" pivotButton="0" quotePrefix="0" xfId="0">
      <alignment indent="5"/>
    </xf>
    <xf numFmtId="0" fontId="24" fillId="0" borderId="0" pivotButton="0" quotePrefix="0" xfId="0"/>
    <xf numFmtId="0" fontId="6" fillId="0" borderId="0" applyAlignment="1" pivotButton="0" quotePrefix="0" xfId="0">
      <alignment indent="5"/>
    </xf>
    <xf numFmtId="0" fontId="9" fillId="0" borderId="0" applyAlignment="1" pivotButton="0" quotePrefix="0" xfId="0">
      <alignment indent="5"/>
    </xf>
    <xf numFmtId="0" fontId="6" fillId="0" borderId="0" applyAlignment="1" pivotButton="0" quotePrefix="0" xfId="0">
      <alignment indent="6"/>
    </xf>
    <xf numFmtId="0" fontId="5" fillId="0" borderId="1" applyAlignment="1" pivotButton="0" quotePrefix="0" xfId="0">
      <alignment indent="6"/>
    </xf>
    <xf numFmtId="0" fontId="9" fillId="0" borderId="0" applyAlignment="1" pivotButton="0" quotePrefix="0" xfId="0">
      <alignment indent="6"/>
    </xf>
    <xf numFmtId="0" fontId="6" fillId="0" borderId="0" applyAlignment="1" pivotButton="0" quotePrefix="0" xfId="0">
      <alignment indent="7"/>
    </xf>
    <xf numFmtId="0" fontId="5" fillId="0" borderId="1" applyAlignment="1" pivotButton="0" quotePrefix="0" xfId="0">
      <alignment indent="7"/>
    </xf>
    <xf numFmtId="0" fontId="25" fillId="0" borderId="0" pivotButton="0" quotePrefix="0" xfId="0"/>
    <xf numFmtId="0" fontId="26" fillId="0" borderId="0" pivotButton="0" quotePrefix="0" xfId="0"/>
    <xf numFmtId="169" fontId="7" fillId="0" borderId="0" pivotButton="0" quotePrefix="0" xfId="0"/>
    <xf numFmtId="169" fontId="12" fillId="0" borderId="0" pivotButton="0" quotePrefix="0" xfId="0"/>
    <xf numFmtId="0" fontId="27" fillId="0" borderId="0" pivotButton="0" quotePrefix="0" xfId="0"/>
    <xf numFmtId="169" fontId="5" fillId="0" borderId="0" pivotButton="0" quotePrefix="0" xfId="0"/>
    <xf numFmtId="0" fontId="28" fillId="0" borderId="0" pivotButton="0" quotePrefix="0" xfId="0"/>
    <xf numFmtId="169" fontId="29" fillId="0" borderId="0" pivotButton="0" quotePrefix="0" xfId="0"/>
    <xf numFmtId="169" fontId="2" fillId="0" borderId="0" pivotButton="0" quotePrefix="0" xfId="0"/>
    <xf numFmtId="170" fontId="2" fillId="0" borderId="0" pivotButton="0" quotePrefix="0" xfId="0"/>
    <xf numFmtId="0" fontId="30" fillId="0" borderId="0" applyAlignment="1" pivotButton="0" quotePrefix="0" xfId="0">
      <alignment wrapText="1"/>
    </xf>
    <xf numFmtId="10" fontId="2" fillId="0" borderId="0" pivotButton="0" quotePrefix="0" xfId="0"/>
    <xf numFmtId="169" fontId="6" fillId="0" borderId="0" pivotButton="0" quotePrefix="0" xfId="0"/>
    <xf numFmtId="169" fontId="31" fillId="0" borderId="0" pivotButton="0" quotePrefix="0" xfId="0"/>
    <xf numFmtId="0" fontId="14" fillId="0" borderId="0" pivotButton="0" quotePrefix="0" xfId="0"/>
    <xf numFmtId="169" fontId="0" fillId="0" borderId="0" pivotButton="0" quotePrefix="0" xfId="0"/>
    <xf numFmtId="10" fontId="0" fillId="0" borderId="0" pivotButton="0" quotePrefix="0" xfId="0"/>
    <xf numFmtId="0" fontId="32" fillId="6" borderId="0" pivotButton="0" quotePrefix="0" xfId="0"/>
    <xf numFmtId="171" fontId="0" fillId="0" borderId="0" pivotButton="0" quotePrefix="0" xfId="0"/>
    <xf numFmtId="170" fontId="0" fillId="0" borderId="0" pivotButton="0" quotePrefix="0" xfId="0"/>
    <xf numFmtId="2" fontId="0" fillId="0" borderId="0" pivotButton="0" quotePrefix="0" xfId="0"/>
    <xf numFmtId="0" fontId="33" fillId="0" borderId="0" pivotButton="0" quotePrefix="0" xfId="0"/>
    <xf numFmtId="0" fontId="34" fillId="2" borderId="0" pivotButton="0" quotePrefix="0" xfId="0"/>
    <xf numFmtId="0" fontId="35" fillId="0" borderId="0" pivotButton="0" quotePrefix="0" xfId="0"/>
    <xf numFmtId="0" fontId="36" fillId="0" borderId="0" pivotButton="0" quotePrefix="0" xfId="0"/>
    <xf numFmtId="169" fontId="37" fillId="0" borderId="0" pivotButton="0" quotePrefix="0" xfId="0"/>
    <xf numFmtId="0" fontId="38" fillId="0" borderId="0" pivotButton="0" quotePrefix="0" xfId="0"/>
    <xf numFmtId="0" fontId="32" fillId="0" borderId="0" pivotButton="0" quotePrefix="0" xfId="0"/>
    <xf numFmtId="169" fontId="32" fillId="6" borderId="0" pivotButton="0" quotePrefix="0" xfId="0"/>
    <xf numFmtId="3" fontId="5" fillId="0" borderId="0" pivotButton="0" quotePrefix="0" xfId="0"/>
    <xf numFmtId="172" fontId="0" fillId="0" borderId="0" pivotButton="0" quotePrefix="0" xfId="0"/>
    <xf numFmtId="10" fontId="32" fillId="6" borderId="0" pivotButton="0" quotePrefix="0" xfId="0"/>
    <xf numFmtId="173" fontId="5" fillId="0" borderId="0" pivotButton="0" quotePrefix="0" xfId="0"/>
    <xf numFmtId="10" fontId="5" fillId="0" borderId="0" pivotButton="0" quotePrefix="0" xfId="0"/>
    <xf numFmtId="0" fontId="39" fillId="0" borderId="0" pivotButton="0" quotePrefix="0" xfId="0"/>
    <xf numFmtId="10" fontId="39" fillId="0" borderId="0" pivotButton="0" quotePrefix="0" xfId="0"/>
    <xf numFmtId="3" fontId="7" fillId="0" borderId="0" pivotButton="0" quotePrefix="0" xfId="0"/>
    <xf numFmtId="2" fontId="5" fillId="0" borderId="0" pivotButton="0" quotePrefix="0" xfId="0"/>
    <xf numFmtId="3" fontId="0" fillId="0" borderId="0" pivotButton="0" quotePrefix="0" xfId="0"/>
    <xf numFmtId="0" fontId="40" fillId="0" borderId="0" pivotButton="0" quotePrefix="0" xfId="0"/>
    <xf numFmtId="10" fontId="40" fillId="0" borderId="0" pivotButton="0" quotePrefix="0" xfId="0"/>
    <xf numFmtId="0" fontId="29" fillId="0" borderId="0" pivotButton="0" quotePrefix="0" xfId="0"/>
    <xf numFmtId="172" fontId="29" fillId="0" borderId="0" pivotButton="0" quotePrefix="0" xfId="0"/>
    <xf numFmtId="169" fontId="39" fillId="0" borderId="0" pivotButton="0" quotePrefix="0" xfId="0"/>
    <xf numFmtId="10" fontId="7" fillId="0" borderId="0" pivotButton="0" quotePrefix="0" xfId="0"/>
    <xf numFmtId="170" fontId="29" fillId="0" borderId="0" pivotButton="0" quotePrefix="0" xfId="0"/>
    <xf numFmtId="3" fontId="39" fillId="0" borderId="0" pivotButton="0" quotePrefix="0" xfId="0"/>
    <xf numFmtId="3" fontId="36" fillId="0" borderId="0" pivotButton="0" quotePrefix="0" xfId="0"/>
    <xf numFmtId="2" fontId="40" fillId="0" borderId="0" pivotButton="0" quotePrefix="0" xfId="0"/>
    <xf numFmtId="170" fontId="5" fillId="0" borderId="0" pivotButton="0" quotePrefix="0" xfId="0"/>
    <xf numFmtId="0" fontId="41" fillId="0" borderId="0" pivotButton="0" quotePrefix="0" xfId="0"/>
    <xf numFmtId="10" fontId="34" fillId="2" borderId="0" applyAlignment="1" pivotButton="0" quotePrefix="0" xfId="0">
      <alignment horizontal="center"/>
    </xf>
    <xf numFmtId="2" fontId="6" fillId="0" borderId="0" pivotButton="0" quotePrefix="0" xfId="0"/>
    <xf numFmtId="0" fontId="42" fillId="0" borderId="0" pivotButton="0" quotePrefix="0" xfId="0"/>
    <xf numFmtId="0" fontId="2" fillId="0" borderId="0" applyAlignment="1" pivotButton="0" quotePrefix="0" xfId="0">
      <alignment vertical="top" wrapText="1"/>
    </xf>
    <xf numFmtId="170" fontId="7" fillId="0" borderId="0" pivotButton="0" quotePrefix="0" xfId="0"/>
    <xf numFmtId="10" fontId="31" fillId="0" borderId="0" pivotButton="0" quotePrefix="0" xfId="0"/>
    <xf numFmtId="2" fontId="7" fillId="0" borderId="0" pivotButton="0" quotePrefix="0" xfId="0"/>
    <xf numFmtId="2" fontId="29" fillId="0" borderId="0" pivotButton="0" quotePrefix="0" xfId="0"/>
    <xf numFmtId="0" fontId="43" fillId="0" borderId="0" pivotButton="0" quotePrefix="0" xfId="0"/>
    <xf numFmtId="0" fontId="44" fillId="0" borderId="0" applyAlignment="1" pivotButton="0" quotePrefix="0" xfId="0">
      <alignment wrapText="1"/>
    </xf>
    <xf numFmtId="0" fontId="45" fillId="7" borderId="0" pivotButton="0" quotePrefix="0" xfId="0"/>
    <xf numFmtId="0" fontId="46" fillId="0" borderId="0" pivotButton="0" quotePrefix="0" xfId="0"/>
    <xf numFmtId="4" fontId="47" fillId="0" borderId="0" pivotButton="0" quotePrefix="0" xfId="0"/>
    <xf numFmtId="171" fontId="46" fillId="0" borderId="0" pivotButton="0" quotePrefix="0" xfId="0"/>
    <xf numFmtId="0" fontId="48" fillId="8" borderId="0" pivotButton="0" quotePrefix="0" xfId="0"/>
    <xf numFmtId="171" fontId="48" fillId="8" borderId="0" pivotButton="0" quotePrefix="0" xfId="0"/>
    <xf numFmtId="0" fontId="44" fillId="0" borderId="0" pivotButton="0" quotePrefix="0" xfId="0"/>
    <xf numFmtId="171" fontId="47" fillId="0" borderId="0" pivotButton="0" quotePrefix="0" xfId="0"/>
    <xf numFmtId="4" fontId="48" fillId="8" borderId="0" pivotButton="0" quotePrefix="0" xfId="0"/>
    <xf numFmtId="4" fontId="46" fillId="0" borderId="0" pivotButton="0" quotePrefix="0" xfId="0"/>
    <xf numFmtId="0" fontId="48" fillId="0" borderId="0" pivotButton="0" quotePrefix="0" xfId="0"/>
    <xf numFmtId="0" fontId="7" fillId="0" borderId="0" pivotButton="0" quotePrefix="0" xfId="0"/>
    <xf numFmtId="0" fontId="50" fillId="0" borderId="0" pivotButton="0" quotePrefix="0" xfId="0"/>
    <xf numFmtId="3" fontId="51" fillId="0" borderId="0" pivotButton="0" quotePrefix="0" xfId="0"/>
    <xf numFmtId="0" fontId="37" fillId="0" borderId="0" pivotButton="0" quotePrefix="0" xfId="0"/>
    <xf numFmtId="3" fontId="37" fillId="0" borderId="0" pivotButton="0" quotePrefix="0" xfId="0"/>
    <xf numFmtId="4" fontId="29" fillId="0" borderId="0" pivotButton="0" quotePrefix="0" xfId="0"/>
    <xf numFmtId="0" fontId="52" fillId="0" borderId="0" pivotButton="0" quotePrefix="0" xfId="0"/>
    <xf numFmtId="0" fontId="53" fillId="2" borderId="0" applyAlignment="1" pivotButton="0" quotePrefix="0" xfId="0">
      <alignment vertical="center" wrapText="1"/>
    </xf>
    <xf numFmtId="0" fontId="54" fillId="0" borderId="13" pivotButton="0" quotePrefix="0" xfId="0"/>
    <xf numFmtId="3" fontId="54" fillId="0" borderId="13" pivotButton="0" quotePrefix="0" xfId="0"/>
    <xf numFmtId="174" fontId="26" fillId="0" borderId="13" pivotButton="0" quotePrefix="0" xfId="0"/>
    <xf numFmtId="0" fontId="52" fillId="0" borderId="13" pivotButton="0" quotePrefix="0" xfId="0"/>
    <xf numFmtId="0" fontId="52" fillId="0" borderId="13" applyAlignment="1" pivotButton="0" quotePrefix="0" xfId="0">
      <alignment vertical="top" wrapText="1"/>
    </xf>
    <xf numFmtId="174" fontId="54" fillId="0" borderId="13" pivotButton="0" quotePrefix="0" xfId="0"/>
    <xf numFmtId="174" fontId="27" fillId="0" borderId="0" pivotButton="0" quotePrefix="0" xfId="0"/>
    <xf numFmtId="0" fontId="53" fillId="2" borderId="0" pivotButton="0" quotePrefix="0" xfId="0"/>
    <xf numFmtId="3" fontId="55" fillId="0" borderId="0" pivotButton="0" quotePrefix="0" xfId="0"/>
    <xf numFmtId="3" fontId="26" fillId="0" borderId="0" pivotButton="0" quotePrefix="0" xfId="0"/>
    <xf numFmtId="0" fontId="56" fillId="0" borderId="0" pivotButton="0" quotePrefix="0" xfId="0"/>
    <xf numFmtId="4" fontId="27" fillId="0" borderId="0" pivotButton="0" quotePrefix="0" xfId="0"/>
    <xf numFmtId="170" fontId="27" fillId="0" borderId="0" pivotButton="0" quotePrefix="0" xfId="0"/>
    <xf numFmtId="0" fontId="53" fillId="2" borderId="0" applyAlignment="1" pivotButton="0" quotePrefix="0" xfId="0">
      <alignment wrapText="1"/>
    </xf>
    <xf numFmtId="4" fontId="55" fillId="0" borderId="0" pivotButton="0" quotePrefix="0" xfId="0"/>
    <xf numFmtId="2" fontId="27" fillId="0" borderId="0" pivotButton="0" quotePrefix="0" xfId="0"/>
    <xf numFmtId="4" fontId="26" fillId="0" borderId="0" pivotButton="0" quotePrefix="0" xfId="0"/>
    <xf numFmtId="2" fontId="54" fillId="0" borderId="0" pivotButton="0" quotePrefix="0" xfId="0"/>
    <xf numFmtId="172" fontId="26" fillId="0" borderId="0" pivotButton="0" quotePrefix="0" xfId="0"/>
    <xf numFmtId="3" fontId="27" fillId="0" borderId="0" pivotButton="0" quotePrefix="0" xfId="0"/>
    <xf numFmtId="0" fontId="56" fillId="3" borderId="0" pivotButton="0" quotePrefix="0" xfId="0"/>
    <xf numFmtId="3" fontId="56" fillId="3" borderId="0" pivotButton="0" quotePrefix="0" xfId="0"/>
    <xf numFmtId="10" fontId="56" fillId="3" borderId="0" pivotButton="0" quotePrefix="0" xfId="0"/>
    <xf numFmtId="3" fontId="54" fillId="0" borderId="0" pivotButton="0" quotePrefix="0" xfId="0"/>
    <xf numFmtId="3" fontId="52" fillId="0" borderId="0" pivotButton="0" quotePrefix="0" xfId="0"/>
    <xf numFmtId="10" fontId="54" fillId="0" borderId="0" pivotButton="0" quotePrefix="0" xfId="0"/>
    <xf numFmtId="0" fontId="26" fillId="0" borderId="13" pivotButton="0" quotePrefix="0" xfId="0"/>
    <xf numFmtId="0" fontId="27" fillId="0" borderId="13" pivotButton="0" quotePrefix="0" xfId="0"/>
    <xf numFmtId="3" fontId="27" fillId="0" borderId="13" pivotButton="0" quotePrefix="0" xfId="0"/>
    <xf numFmtId="10" fontId="52" fillId="0" borderId="0" pivotButton="0" quotePrefix="0" xfId="0"/>
    <xf numFmtId="0" fontId="27" fillId="3" borderId="0" pivotButton="0" quotePrefix="0" xfId="0"/>
    <xf numFmtId="10" fontId="27" fillId="3" borderId="0" pivotButton="0" quotePrefix="0" xfId="0"/>
    <xf numFmtId="0" fontId="57" fillId="0" borderId="0" applyAlignment="1" pivotButton="0" quotePrefix="0" xfId="0">
      <alignment wrapText="1"/>
    </xf>
    <xf numFmtId="0" fontId="46" fillId="0" borderId="0" applyAlignment="1" pivotButton="0" quotePrefix="0" xfId="0">
      <alignment wrapText="1"/>
    </xf>
    <xf numFmtId="3" fontId="47" fillId="0" borderId="0" pivotButton="0" quotePrefix="0" xfId="0"/>
    <xf numFmtId="0" fontId="46" fillId="9" borderId="0" applyAlignment="1" pivotButton="0" quotePrefix="0" xfId="0">
      <alignment wrapText="1"/>
    </xf>
    <xf numFmtId="3" fontId="47" fillId="9" borderId="0" pivotButton="0" quotePrefix="0" xfId="0"/>
    <xf numFmtId="9" fontId="57" fillId="9" borderId="0" pivotButton="0" quotePrefix="0" xfId="0"/>
    <xf numFmtId="3" fontId="48" fillId="9" borderId="0" pivotButton="0" quotePrefix="0" xfId="0"/>
    <xf numFmtId="0" fontId="48" fillId="8" borderId="0" applyAlignment="1" pivotButton="0" quotePrefix="0" xfId="0">
      <alignment wrapText="1"/>
    </xf>
    <xf numFmtId="3" fontId="48" fillId="8" borderId="0" pivotButton="0" quotePrefix="0" xfId="0"/>
    <xf numFmtId="170" fontId="46" fillId="0" borderId="0" pivotButton="0" quotePrefix="0" xfId="0"/>
    <xf numFmtId="0" fontId="58" fillId="0" borderId="0" pivotButton="0" quotePrefix="0" xfId="0"/>
    <xf numFmtId="0" fontId="60" fillId="0" borderId="0" pivotButton="0" quotePrefix="0" xfId="0"/>
    <xf numFmtId="0" fontId="28" fillId="0" borderId="0" pivotButton="0" quotePrefix="0" xfId="0"/>
    <xf numFmtId="0" fontId="0" fillId="0" borderId="0" pivotButton="0" quotePrefix="0" xfId="0"/>
    <xf numFmtId="0" fontId="59" fillId="11" borderId="0" pivotButton="0" quotePrefix="0" xfId="0"/>
    <xf numFmtId="0" fontId="26" fillId="0" borderId="0" pivotButton="0" quotePrefix="0" xfId="0"/>
    <xf numFmtId="0" fontId="59" fillId="2" borderId="0" pivotButton="0" quotePrefix="0" xfId="0"/>
    <xf numFmtId="0" fontId="59" fillId="10" borderId="0" pivotButton="0" quotePrefix="0" xfId="0"/>
    <xf numFmtId="0" fontId="52" fillId="0" borderId="0" applyAlignment="1" pivotButton="0" quotePrefix="0" xfId="0">
      <alignment wrapText="1"/>
    </xf>
    <xf numFmtId="0" fontId="52" fillId="0" borderId="0" pivotButton="0" quotePrefix="0" xfId="0"/>
    <xf numFmtId="0" fontId="1" fillId="2" borderId="0" applyAlignment="1" pivotButton="0" quotePrefix="0" xfId="0">
      <alignment vertical="center"/>
    </xf>
    <xf numFmtId="0" fontId="2" fillId="0" borderId="0" pivotButton="0" quotePrefix="0" xfId="0"/>
    <xf numFmtId="0" fontId="16" fillId="0" borderId="4" applyAlignment="1" pivotButton="0" quotePrefix="0" xfId="0">
      <alignment horizontal="center" vertical="center" wrapText="1"/>
    </xf>
    <xf numFmtId="0" fontId="0" fillId="0" borderId="11" pivotButton="0" quotePrefix="0" xfId="0"/>
    <xf numFmtId="0" fontId="0" fillId="0" borderId="12" pivotButton="0" quotePrefix="0" xfId="0"/>
    <xf numFmtId="0" fontId="44" fillId="0" borderId="0" applyAlignment="1" pivotButton="0" quotePrefix="0" xfId="0">
      <alignment wrapText="1"/>
    </xf>
    <xf numFmtId="0" fontId="49" fillId="0" borderId="0" pivotButton="0" quotePrefix="0" xfId="0"/>
    <xf numFmtId="0" fontId="15" fillId="0" borderId="0" pivotButton="0" quotePrefix="0" xfId="0"/>
    <xf numFmtId="0" fontId="61" fillId="0" borderId="0" pivotButton="0" quotePrefix="0" xfId="0"/>
    <xf numFmtId="0" fontId="62" fillId="0" borderId="0" pivotButton="0" quotePrefix="0" xfId="0"/>
    <xf numFmtId="0" fontId="63" fillId="0" borderId="0" pivotButton="0" quotePrefix="0" xfId="0"/>
    <xf numFmtId="0" fontId="26" fillId="0" borderId="6" pivotButton="0" quotePrefix="0" xfId="0"/>
    <xf numFmtId="0" fontId="59" fillId="2" borderId="6" pivotButton="0" quotePrefix="0" xfId="0"/>
    <xf numFmtId="0" fontId="28" fillId="0" borderId="6" pivotButton="0" quotePrefix="0" xfId="0"/>
    <xf numFmtId="0" fontId="59" fillId="10" borderId="6" pivotButton="0" quotePrefix="0" xfId="0"/>
    <xf numFmtId="0" fontId="59" fillId="11" borderId="6" pivotButton="0" quotePrefix="0" xfId="0"/>
    <xf numFmtId="0" fontId="52" fillId="0" borderId="6" pivotButton="0" quotePrefix="0" xfId="0"/>
    <xf numFmtId="0" fontId="52" fillId="0" borderId="6" applyAlignment="1" pivotButton="0" quotePrefix="0" xfId="0">
      <alignment wrapText="1"/>
    </xf>
    <xf numFmtId="0" fontId="64" fillId="0" borderId="0" pivotButton="0" quotePrefix="0" xfId="0"/>
    <xf numFmtId="0" fontId="65" fillId="0" borderId="0" pivotButton="0" quotePrefix="0" xfId="0"/>
    <xf numFmtId="0" fontId="66" fillId="0" borderId="0" pivotButton="0" quotePrefix="0" xfId="0"/>
    <xf numFmtId="0" fontId="67" fillId="12" borderId="0" applyAlignment="1" pivotButton="0" quotePrefix="0" xfId="0">
      <alignment vertical="center" wrapText="1"/>
    </xf>
    <xf numFmtId="0" fontId="68" fillId="0" borderId="14" pivotButton="0" quotePrefix="0" xfId="0"/>
    <xf numFmtId="3" fontId="69" fillId="0" borderId="14" pivotButton="0" quotePrefix="0" xfId="0"/>
    <xf numFmtId="0" fontId="70" fillId="0" borderId="14" pivotButton="0" quotePrefix="0" xfId="0"/>
    <xf numFmtId="3" fontId="70" fillId="0" borderId="14" pivotButton="0" quotePrefix="0" xfId="0"/>
    <xf numFmtId="0" fontId="68" fillId="0" borderId="0" pivotButton="0" quotePrefix="0" xfId="0"/>
    <xf numFmtId="3" fontId="68" fillId="0" borderId="0" pivotButton="0" quotePrefix="0" xfId="0"/>
    <xf numFmtId="3" fontId="69" fillId="0" borderId="0" pivotButton="0" quotePrefix="0" xfId="0"/>
    <xf numFmtId="0" fontId="70" fillId="0" borderId="0" pivotButton="0" quotePrefix="0" xfId="0"/>
    <xf numFmtId="10" fontId="70" fillId="0" borderId="0" pivotButton="0" quotePrefix="0" xfId="0"/>
    <xf numFmtId="0" fontId="71" fillId="13" borderId="0" pivotButton="0" quotePrefix="0" xfId="0"/>
    <xf numFmtId="10" fontId="71" fillId="13" borderId="0" pivotButton="0" quotePrefix="0" xfId="0"/>
    <xf numFmtId="10" fontId="69" fillId="13" borderId="0" pivotButton="0" quotePrefix="0" xfId="0"/>
    <xf numFmtId="10" fontId="68" fillId="0" borderId="0" pivotButton="0" quotePrefix="0" xfId="0"/>
    <xf numFmtId="0" fontId="65" fillId="0" borderId="0" applyAlignment="1" pivotButton="0" quotePrefix="0" xfId="0">
      <alignment wrapText="1"/>
    </xf>
    <xf numFmtId="0" fontId="65" fillId="0" borderId="6" applyAlignment="1" pivotButton="0" quotePrefix="0" xfId="0">
      <alignment wrapText="1"/>
    </xf>
    <xf numFmtId="0" fontId="67" fillId="12" borderId="0" pivotButton="0" quotePrefix="0" xfId="0"/>
    <xf numFmtId="3" fontId="72" fillId="0" borderId="0" pivotButton="0" quotePrefix="0" xfId="0"/>
    <xf numFmtId="3" fontId="70" fillId="0" borderId="0" pivotButton="0" quotePrefix="0" xfId="0"/>
    <xf numFmtId="3" fontId="71" fillId="13" borderId="0" pivotButton="0" quotePrefix="0" xfId="0"/>
    <xf numFmtId="10" fontId="65" fillId="0" borderId="0" pivotButton="0" quotePrefix="0" xfId="0"/>
    <xf numFmtId="4" fontId="70" fillId="0" borderId="0" pivotButton="0" quotePrefix="0" xfId="0"/>
    <xf numFmtId="0" fontId="71" fillId="0" borderId="0" pivotButton="0" quotePrefix="0" xfId="0"/>
    <xf numFmtId="4" fontId="68" fillId="0" borderId="0" pivotButton="0" quotePrefix="0" xfId="0"/>
    <xf numFmtId="0" fontId="70" fillId="13" borderId="0" pivotButton="0" quotePrefix="0" xfId="0"/>
    <xf numFmtId="10" fontId="70" fillId="13" borderId="0" pivotButton="0" quotePrefix="0" xfId="0"/>
    <xf numFmtId="0" fontId="1" fillId="2" borderId="6" applyAlignment="1" pivotButton="0" quotePrefix="0" xfId="0">
      <alignment vertical="center"/>
    </xf>
    <xf numFmtId="0" fontId="2" fillId="0" borderId="6" pivotButton="0" quotePrefix="0" xfId="0"/>
    <xf numFmtId="0" fontId="44" fillId="0" borderId="6" applyAlignment="1" pivotButton="0" quotePrefix="0" xfId="0">
      <alignment wrapText="1"/>
    </xf>
    <xf numFmtId="0" fontId="49" fillId="0" borderId="6" pivotButton="0" quotePrefix="0" xfId="0"/>
    <xf numFmtId="172" fontId="70" fillId="0" borderId="0" pivotButton="0" quotePrefix="0" xfId="0"/>
    <xf numFmtId="175" fontId="70" fillId="0" borderId="0" pivotButton="0" quotePrefix="0" xfId="0"/>
    <xf numFmtId="0" fontId="69" fillId="0" borderId="0" pivotButton="0" quotePrefix="0" xfId="0"/>
    <xf numFmtId="4" fontId="69" fillId="0" borderId="0" pivotButton="0" quotePrefix="0" xfId="0"/>
    <xf numFmtId="0" fontId="69" fillId="0" borderId="14" pivotButton="0" quotePrefix="0" xfId="0"/>
    <xf numFmtId="9" fontId="69" fillId="0" borderId="14" pivotButton="0" quotePrefix="0" xfId="0"/>
    <xf numFmtId="4" fontId="72" fillId="0" borderId="14" pivotButton="0" quotePrefix="0" xfId="0"/>
    <xf numFmtId="4" fontId="68" fillId="0" borderId="14" pivotButton="0" quotePrefix="0" xfId="0"/>
    <xf numFmtId="4" fontId="71" fillId="13" borderId="0" pivotButton="0" quotePrefix="0" xfId="0"/>
    <xf numFmtId="0" fontId="73" fillId="0" borderId="0" pivotButton="0" quotePrefix="0" xfId="0"/>
    <xf numFmtId="0" fontId="74" fillId="0" borderId="0" pivotButton="0" quotePrefix="0" xfId="0"/>
    <xf numFmtId="0" fontId="74" fillId="12" borderId="6" pivotButton="0" quotePrefix="0" xfId="0"/>
    <xf numFmtId="0" fontId="75" fillId="0" borderId="0" pivotButton="0" quotePrefix="0" xfId="0"/>
    <xf numFmtId="0" fontId="76" fillId="0" borderId="0" pivotButton="0" quotePrefix="0" xfId="0"/>
    <xf numFmtId="0" fontId="74" fillId="14" borderId="6" pivotButton="0" quotePrefix="0" xfId="0"/>
    <xf numFmtId="0" fontId="74" fillId="15" borderId="6" pivotButton="0" quotePrefix="0" xfId="0"/>
    <xf numFmtId="9" fontId="69" fillId="0" borderId="0" pivotButton="0" quotePrefix="0" xfId="0"/>
    <xf numFmtId="4" fontId="72" fillId="0" borderId="0" pivotButton="0" quotePrefix="0" xfId="0"/>
    <xf numFmtId="10" fontId="69" fillId="0" borderId="0" pivotButton="0" quotePrefix="0" xfId="0"/>
    <xf numFmtId="10" fontId="72" fillId="0" borderId="0" pivotButton="0" quotePrefix="0" xfId="0"/>
    <xf numFmtId="172" fontId="68" fillId="0" borderId="14" pivotButton="0" quotePrefix="0" xfId="0"/>
    <xf numFmtId="172" fontId="69" fillId="0" borderId="14" pivotButton="0" quotePrefix="0" xfId="0"/>
    <xf numFmtId="0" fontId="64" fillId="0" borderId="6" pivotButton="0" quotePrefix="0" xfId="0"/>
    <xf numFmtId="0" fontId="77" fillId="0" borderId="6" pivotButton="0" quotePrefix="0" xfId="0"/>
    <xf numFmtId="0" fontId="78" fillId="12" borderId="6" pivotButton="0" quotePrefix="0" xfId="0"/>
    <xf numFmtId="0" fontId="79" fillId="0" borderId="6" pivotButton="0" quotePrefix="0" xfId="0"/>
    <xf numFmtId="3" fontId="0" fillId="0" borderId="6" pivotButton="0" quotePrefix="0" xfId="0"/>
    <xf numFmtId="0" fontId="80" fillId="0" borderId="6" pivotButton="0" quotePrefix="0" xfId="0"/>
    <xf numFmtId="3" fontId="81" fillId="0" borderId="6" pivotButton="0" quotePrefix="0" xfId="0"/>
    <xf numFmtId="0" fontId="82" fillId="0" borderId="6" pivotButton="0" quotePrefix="0" xfId="0"/>
    <xf numFmtId="3" fontId="82" fillId="0" borderId="6" pivotButton="0" quotePrefix="0" xfId="0"/>
    <xf numFmtId="0" fontId="83" fillId="0" borderId="6" pivotButton="0" quotePrefix="0" xfId="0"/>
    <xf numFmtId="3" fontId="83" fillId="0" borderId="6" pivotButton="0" quotePrefix="0" xfId="0"/>
    <xf numFmtId="0" fontId="84" fillId="0" borderId="6" pivotButton="0" quotePrefix="0" xfId="0"/>
    <xf numFmtId="4" fontId="84" fillId="0" borderId="6" pivotButton="0" quotePrefix="0" xfId="0"/>
    <xf numFmtId="2" fontId="69" fillId="0" borderId="0" pivotButton="0" quotePrefix="0" xfId="0"/>
    <xf numFmtId="172" fontId="68" fillId="0" borderId="0" pivotButton="0" quotePrefix="0" xfId="0"/>
    <xf numFmtId="3" fontId="65" fillId="0" borderId="0" pivotButton="0" quotePrefix="0" xfId="0"/>
    <xf numFmtId="170" fontId="70" fillId="0" borderId="0" pivotButton="0" quotePrefix="0" xfId="0"/>
    <xf numFmtId="170" fontId="68" fillId="0" borderId="0" pivotButton="0" quotePrefix="0" xfId="0"/>
    <xf numFmtId="170" fontId="71" fillId="13" borderId="0" pivotButton="0" quotePrefix="0" xfId="0"/>
    <xf numFmtId="176" fontId="72" fillId="0" borderId="0" pivotButton="0" quotePrefix="0" xfId="0"/>
    <xf numFmtId="2" fontId="68" fillId="0" borderId="0" pivotButton="0" quotePrefix="0" xfId="0"/>
    <xf numFmtId="0" fontId="85" fillId="0" borderId="6" pivotButton="0" quotePrefix="0" xfId="0"/>
    <xf numFmtId="0" fontId="86" fillId="0" borderId="6" applyAlignment="1" pivotButton="0" quotePrefix="0" xfId="0">
      <alignment wrapText="1"/>
    </xf>
    <xf numFmtId="0" fontId="87" fillId="16" borderId="6" pivotButton="0" quotePrefix="0" xfId="0"/>
    <xf numFmtId="0" fontId="88" fillId="0" borderId="6" pivotButton="0" quotePrefix="0" xfId="0"/>
    <xf numFmtId="4" fontId="89" fillId="0" borderId="6" pivotButton="0" quotePrefix="0" xfId="0"/>
    <xf numFmtId="171" fontId="88" fillId="0" borderId="6" pivotButton="0" quotePrefix="0" xfId="0"/>
    <xf numFmtId="0" fontId="90" fillId="17" borderId="6" pivotButton="0" quotePrefix="0" xfId="0"/>
    <xf numFmtId="171" fontId="90" fillId="17" borderId="6" pivotButton="0" quotePrefix="0" xfId="0"/>
    <xf numFmtId="0" fontId="86" fillId="0" borderId="6" pivotButton="0" quotePrefix="0" xfId="0"/>
    <xf numFmtId="171" fontId="89" fillId="0" borderId="6" pivotButton="0" quotePrefix="0" xfId="0"/>
    <xf numFmtId="4" fontId="90" fillId="17" borderId="6" pivotButton="0" quotePrefix="0" xfId="0"/>
    <xf numFmtId="4" fontId="88" fillId="0" borderId="6" pivotButton="0" quotePrefix="0" xfId="0"/>
    <xf numFmtId="0" fontId="90" fillId="0" borderId="6" pivotButton="0" quotePrefix="0" xfId="0"/>
    <xf numFmtId="9" fontId="89" fillId="0" borderId="6" pivotButton="0" quotePrefix="0" xfId="0"/>
    <xf numFmtId="170" fontId="89" fillId="0" borderId="6" pivotButton="0" quotePrefix="0" xfId="0"/>
    <xf numFmtId="9" fontId="90" fillId="17" borderId="6" pivotButton="0" quotePrefix="0" xfId="0"/>
    <xf numFmtId="170" fontId="90" fillId="17" borderId="6" pivotButton="0" quotePrefix="0" xfId="0"/>
    <xf numFmtId="170" fontId="91" fillId="0" borderId="6" pivotButton="0" quotePrefix="0" xfId="0"/>
    <xf numFmtId="0" fontId="92" fillId="0" borderId="6" pivotButton="0" quotePrefix="0" xfId="0"/>
    <xf numFmtId="0" fontId="92" fillId="18" borderId="6" pivotButton="0" quotePrefix="0" xfId="0"/>
    <xf numFmtId="177" fontId="92" fillId="18" borderId="6" pivotButton="0" quotePrefix="0" xfId="0"/>
    <xf numFmtId="172" fontId="0" fillId="0" borderId="6" pivotButton="0" quotePrefix="0" xfId="0"/>
    <xf numFmtId="10" fontId="0" fillId="0" borderId="6" pivotButton="0" quotePrefix="0" xfId="0"/>
    <xf numFmtId="10" fontId="92" fillId="18" borderId="6" pivotButton="0" quotePrefix="0" xfId="0"/>
    <xf numFmtId="173" fontId="83" fillId="0" borderId="6" pivotButton="0" quotePrefix="0" xfId="0"/>
    <xf numFmtId="0" fontId="93" fillId="0" borderId="6" pivotButton="0" quotePrefix="0" xfId="0"/>
    <xf numFmtId="10" fontId="94" fillId="0" borderId="6" pivotButton="0" quotePrefix="0" xfId="0"/>
    <xf numFmtId="10" fontId="83" fillId="0" borderId="6" pivotButton="0" quotePrefix="0" xfId="0"/>
    <xf numFmtId="0" fontId="95" fillId="0" borderId="6" pivotButton="0" quotePrefix="0" xfId="0"/>
    <xf numFmtId="10" fontId="95" fillId="0" borderId="6" pivotButton="0" quotePrefix="0" xfId="0"/>
    <xf numFmtId="3" fontId="79" fillId="0" borderId="6" pivotButton="0" quotePrefix="0" xfId="0"/>
    <xf numFmtId="2" fontId="83" fillId="0" borderId="6" pivotButton="0" quotePrefix="0" xfId="0"/>
    <xf numFmtId="0" fontId="96" fillId="0" borderId="6" applyAlignment="1" pivotButton="0" quotePrefix="0" xfId="0">
      <alignment wrapText="1"/>
    </xf>
    <xf numFmtId="0" fontId="97" fillId="0" borderId="6" pivotButton="0" quotePrefix="0" xfId="0"/>
    <xf numFmtId="10" fontId="97" fillId="0" borderId="6" pivotButton="0" quotePrefix="0" xfId="0"/>
    <xf numFmtId="0" fontId="98" fillId="0" borderId="6" applyAlignment="1" pivotButton="0" quotePrefix="0" xfId="0">
      <alignment wrapText="1"/>
    </xf>
    <xf numFmtId="0" fontId="99" fillId="0" borderId="6" pivotButton="0" quotePrefix="0" xfId="0"/>
    <xf numFmtId="177" fontId="0" fillId="0" borderId="6" pivotButton="0" quotePrefix="0" xfId="0"/>
    <xf numFmtId="170" fontId="98" fillId="0" borderId="6" pivotButton="0" quotePrefix="0" xfId="0"/>
    <xf numFmtId="171" fontId="0" fillId="0" borderId="6" pivotButton="0" quotePrefix="0" xfId="0"/>
    <xf numFmtId="170" fontId="0" fillId="0" borderId="6" pivotButton="0" quotePrefix="0" xfId="0"/>
    <xf numFmtId="2" fontId="0" fillId="0" borderId="6" pivotButton="0" quotePrefix="0" xfId="0"/>
    <xf numFmtId="0" fontId="100" fillId="0" borderId="0" pivotButton="0" quotePrefix="0" xfId="0"/>
    <xf numFmtId="0" fontId="101" fillId="0" borderId="0" pivotButton="0" quotePrefix="0" xfId="0"/>
    <xf numFmtId="0" fontId="102" fillId="0" borderId="0" pivotButton="0" quotePrefix="0" xfId="0"/>
    <xf numFmtId="0" fontId="103" fillId="2" borderId="0" pivotButton="0" quotePrefix="0" xfId="0"/>
    <xf numFmtId="0" fontId="104" fillId="0" borderId="0" pivotButton="0" quotePrefix="0" xfId="0"/>
    <xf numFmtId="178" fontId="104" fillId="0" borderId="0" pivotButton="0" quotePrefix="0" xfId="0"/>
    <xf numFmtId="179" fontId="105" fillId="0" borderId="0" pivotButton="0" quotePrefix="0" xfId="0"/>
    <xf numFmtId="0" fontId="105" fillId="0" borderId="0" pivotButton="0" quotePrefix="0" xfId="0"/>
    <xf numFmtId="179" fontId="104" fillId="0" borderId="0" pivotButton="0" quotePrefix="0" xfId="0"/>
    <xf numFmtId="180" fontId="104" fillId="0" borderId="0" pivotButton="0" quotePrefix="0" xfId="0"/>
    <xf numFmtId="179" fontId="106" fillId="0" borderId="0" pivotButton="0" quotePrefix="0" xfId="0"/>
    <xf numFmtId="179" fontId="107" fillId="0" borderId="0" pivotButton="0" quotePrefix="0" xfId="0"/>
    <xf numFmtId="0" fontId="108" fillId="3" borderId="0" pivotButton="0" quotePrefix="0" xfId="0"/>
    <xf numFmtId="0" fontId="109" fillId="0" borderId="0" pivotButton="0" quotePrefix="0" xfId="0"/>
    <xf numFmtId="0" fontId="110" fillId="2" borderId="0" pivotButton="0" quotePrefix="0" xfId="0"/>
    <xf numFmtId="0" fontId="111" fillId="0" borderId="0" pivotButton="0" quotePrefix="0" xfId="0"/>
    <xf numFmtId="9" fontId="112" fillId="6" borderId="0" pivotButton="0" quotePrefix="0" xfId="0"/>
    <xf numFmtId="3" fontId="111" fillId="0" borderId="0" pivotButton="0" quotePrefix="0" xfId="0"/>
    <xf numFmtId="174" fontId="112" fillId="6" borderId="0" pivotButton="0" quotePrefix="0" xfId="0"/>
    <xf numFmtId="3" fontId="108" fillId="0" borderId="0" pivotButton="0" quotePrefix="0" xfId="0"/>
    <xf numFmtId="0" fontId="67" fillId="0" borderId="0" pivotButton="0" quotePrefix="0" xfId="0"/>
    <xf numFmtId="172" fontId="72" fillId="0" borderId="0" pivotButton="0" quotePrefix="0" xfId="0"/>
    <xf numFmtId="170" fontId="69" fillId="0" borderId="0" pivotButton="0" quotePrefix="0" xfId="0"/>
    <xf numFmtId="170" fontId="72" fillId="0" borderId="0" pivotButton="0" quotePrefix="0" xfId="0"/>
    <xf numFmtId="174" fontId="68" fillId="0" borderId="0" pivotButton="0" quotePrefix="0" xfId="0"/>
    <xf numFmtId="0" fontId="76" fillId="0" borderId="6" pivotButton="0" quotePrefix="0" xfId="0"/>
    <xf numFmtId="181" fontId="67" fillId="12" borderId="0" pivotButton="0" quotePrefix="0" xfId="0"/>
    <xf numFmtId="3" fontId="70" fillId="6" borderId="0" pivotButton="0" quotePrefix="0" xfId="0"/>
    <xf numFmtId="10" fontId="70" fillId="6" borderId="0" pivotButton="0" quotePrefix="0" xfId="0"/>
    <xf numFmtId="4" fontId="70" fillId="6" borderId="0" pivotButton="0" quotePrefix="0" xfId="0"/>
    <xf numFmtId="182" fontId="69" fillId="0" borderId="0" pivotButton="0" quotePrefix="0" xfId="0"/>
    <xf numFmtId="182" fontId="67" fillId="1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LTI - Market price Rs.4,593.10</a:t>
            </a:r>
          </a:p>
        </rich>
      </tx>
    </title>
    <plotArea>
      <barChart>
        <barDir val="bar"/>
        <grouping val="stacked"/>
        <ser>
          <idx val="0"/>
          <order val="0"/>
          <tx>
            <strRef>
              <f>'Football Field'!C24</f>
            </strRef>
          </tx>
          <spPr>
            <a:noFill xmlns:a="http://schemas.openxmlformats.org/drawingml/2006/main"/>
            <a:ln xmlns:a="http://schemas.openxmlformats.org/drawingml/2006/main">
              <a:noFill/>
              <a:prstDash val="solid"/>
            </a:ln>
          </spPr>
          <cat>
            <numRef>
              <f>'Football Field'!$B$25:$B$27</f>
            </numRef>
          </cat>
          <val>
            <numRef>
              <f>'Football Field'!$C$25:$C$27</f>
            </numRef>
          </val>
        </ser>
        <ser>
          <idx val="1"/>
          <order val="1"/>
          <tx>
            <strRef>
              <f>'Football Field'!D24</f>
            </strRef>
          </tx>
          <spPr>
            <a:solidFill xmlns:a="http://schemas.openxmlformats.org/drawingml/2006/main">
              <a:srgbClr val="00978D"/>
            </a:solidFill>
            <a:ln xmlns:a="http://schemas.openxmlformats.org/drawingml/2006/main">
              <a:prstDash val="solid"/>
            </a:ln>
          </spPr>
          <cat>
            <numRef>
              <f>'Football Field'!$B$25:$B$27</f>
            </numRef>
          </cat>
          <val>
            <numRef>
              <f>'Football Field'!$D$25:$D$27</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Implied Value / Share (Rs.)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Mindtree - Market price Rs.3,374.65</a:t>
            </a:r>
          </a:p>
        </rich>
      </tx>
    </title>
    <plotArea>
      <barChart>
        <barDir val="bar"/>
        <grouping val="stacked"/>
        <ser>
          <idx val="0"/>
          <order val="0"/>
          <tx>
            <strRef>
              <f>'Football Field'!C28</f>
            </strRef>
          </tx>
          <spPr>
            <a:noFill xmlns:a="http://schemas.openxmlformats.org/drawingml/2006/main"/>
            <a:ln xmlns:a="http://schemas.openxmlformats.org/drawingml/2006/main">
              <a:noFill/>
              <a:prstDash val="solid"/>
            </a:ln>
          </spPr>
          <cat>
            <numRef>
              <f>'Football Field'!$B$29:$B$31</f>
            </numRef>
          </cat>
          <val>
            <numRef>
              <f>'Football Field'!$C$29:$C$31</f>
            </numRef>
          </val>
        </ser>
        <ser>
          <idx val="1"/>
          <order val="1"/>
          <tx>
            <strRef>
              <f>'Football Field'!D28</f>
            </strRef>
          </tx>
          <spPr>
            <a:solidFill xmlns:a="http://schemas.openxmlformats.org/drawingml/2006/main">
              <a:srgbClr val="00978D"/>
            </a:solidFill>
            <a:ln xmlns:a="http://schemas.openxmlformats.org/drawingml/2006/main">
              <a:prstDash val="solid"/>
            </a:ln>
          </spPr>
          <cat>
            <numRef>
              <f>'Football Field'!$B$29:$B$31</f>
            </numRef>
          </cat>
          <val>
            <numRef>
              <f>'Football Field'!$D$29:$D$31</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Implied Value / Share (Rs.)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8</col>
      <colOff>0</colOff>
      <row>3</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19</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0000"/>
    <outlinePr summaryBelow="1" summaryRight="1"/>
    <pageSetUpPr/>
  </sheetPr>
  <dimension ref="A1:C37"/>
  <sheetViews>
    <sheetView showGridLines="0" workbookViewId="0">
      <selection activeCell="A1" sqref="A1"/>
    </sheetView>
  </sheetViews>
  <sheetFormatPr baseColWidth="8" defaultRowHeight="15"/>
  <cols>
    <col width="3.5" customWidth="1" style="203" min="1" max="1"/>
    <col width="44" customWidth="1" style="203" min="2" max="2"/>
    <col width="70" customWidth="1" style="203" min="3" max="3"/>
  </cols>
  <sheetData>
    <row r="1">
      <c r="A1" s="270" t="inlineStr">
        <is>
          <t>#</t>
        </is>
      </c>
      <c r="B1" s="270" t="inlineStr">
        <is>
          <t>LTI - Mindtree Merger: M&amp;A Case Study</t>
        </is>
      </c>
    </row>
    <row r="2" ht="32" customHeight="1" s="203">
      <c r="B2" s="236" t="inlineStr">
        <is>
          <t>Was the 73:100 stock-for-stock exchange ratio a fair valuation? Full DCF, Trading Comps, and Precedent Transactions analysis, formal exchange-ratio mechanics, and accretion/dilution - triangulated against the actual deal and the real, disclosed post-merger results.</t>
        </is>
      </c>
    </row>
    <row r="5" ht="22" customHeight="1" s="203">
      <c r="A5" s="271" t="inlineStr">
        <is>
          <t>##</t>
        </is>
      </c>
      <c r="B5" s="272" t="inlineStr">
        <is>
          <t>SECTION 1 - M&amp;A Analysis (start here)</t>
        </is>
      </c>
    </row>
    <row r="6" ht="22" customHeight="1" s="203">
      <c r="B6" s="273" t="inlineStr">
        <is>
          <t>The headline deliverable: cross-company valuation, deal mechanics, and the fairness question.</t>
        </is>
      </c>
    </row>
    <row r="7">
      <c r="B7" s="274" t="inlineStr">
        <is>
          <t>-&gt; Football Field</t>
        </is>
      </c>
      <c r="C7" s="236" t="inlineStr">
        <is>
          <t>Capstone: DCF + Comps + Precedent Transactions synthesized into one view</t>
        </is>
      </c>
    </row>
    <row r="8">
      <c r="B8" s="274" t="inlineStr">
        <is>
          <t>-&gt; Precedent Transactions</t>
        </is>
      </c>
      <c r="C8" s="236" t="inlineStr">
        <is>
          <t>Real M&amp;A comps, third valuation method</t>
        </is>
      </c>
    </row>
    <row r="9">
      <c r="B9" s="274" t="inlineStr">
        <is>
          <t>-&gt; Exchange Ratio &amp; Ownership</t>
        </is>
      </c>
      <c r="C9" s="236" t="inlineStr">
        <is>
          <t>Share issuance, ownership split, premium/discount check</t>
        </is>
      </c>
    </row>
    <row r="10">
      <c r="B10" s="274" t="inlineStr">
        <is>
          <t>-&gt; Pro Forma &amp; Accretion-Dilution</t>
        </is>
      </c>
      <c r="C10" s="236" t="inlineStr">
        <is>
          <t>Real disclosed post-merger results, accretion/dilution, industry-adjusted margin test</t>
        </is>
      </c>
    </row>
    <row r="11">
      <c r="B11" s="274" t="inlineStr">
        <is>
          <t>-&gt; Event Study - Market Reaction</t>
        </is>
      </c>
      <c r="C11" s="236" t="inlineStr">
        <is>
          <t>Real abnormal-returns analysis around the announcement date</t>
        </is>
      </c>
    </row>
    <row r="12">
      <c r="B12" s="274" t="inlineStr">
        <is>
          <t>-&gt; Stress Test - Exchange Ratio</t>
        </is>
      </c>
      <c r="C12" s="236" t="inlineStr">
        <is>
          <t>Bull/Base/Bear bounds test, methodology from Sasi's own course</t>
        </is>
      </c>
    </row>
    <row r="13">
      <c r="B13" s="274" t="inlineStr">
        <is>
          <t>-&gt; Synergies (Bottom-Up Estimate)</t>
        </is>
      </c>
      <c r="C13" s="236" t="inlineStr">
        <is>
          <t>Secondary - bottom-up estimate, see Pro Forma sheet for actuals</t>
        </is>
      </c>
    </row>
    <row r="14">
      <c r="B14" s="274" t="inlineStr">
        <is>
          <t>-&gt; Best Owner Analysis</t>
        </is>
      </c>
    </row>
    <row r="15" ht="22" customHeight="1" s="203">
      <c r="B15" s="274" t="inlineStr">
        <is>
          <t>-&gt; Goal-Seek Synergy Backsolve</t>
        </is>
      </c>
    </row>
    <row r="16" ht="22" customHeight="1" s="203">
      <c r="B16" s="274" t="inlineStr">
        <is>
          <t>-&gt; Value of Control</t>
        </is>
      </c>
    </row>
    <row r="17">
      <c r="B17" s="274" t="inlineStr">
        <is>
          <t>-&gt; AVP - Various Exchange Ratios</t>
        </is>
      </c>
    </row>
    <row r="18">
      <c r="B18" s="274" t="inlineStr">
        <is>
          <t>-&gt; Reference LBO Floor</t>
        </is>
      </c>
    </row>
    <row r="19">
      <c r="A19" s="271" t="inlineStr">
        <is>
          <t>##</t>
        </is>
      </c>
      <c r="B19" s="275" t="inlineStr">
        <is>
          <t>SECTION 2 - LTI Standalone Model</t>
        </is>
      </c>
    </row>
    <row r="20">
      <c r="B20" s="273" t="inlineStr">
        <is>
          <t>Full standalone financial model for Larsen &amp; Toubro Infotech: historicals, 3-statement forecast, DCF, WACC, Comps.</t>
        </is>
      </c>
    </row>
    <row r="21">
      <c r="B21" s="274" t="inlineStr">
        <is>
          <t>-&gt; LTI_HIST_CON</t>
        </is>
      </c>
      <c r="C21" s="236" t="inlineStr">
        <is>
          <t>Historical financials, as filed (Tier 1)</t>
        </is>
      </c>
    </row>
    <row r="22">
      <c r="B22" s="274" t="inlineStr">
        <is>
          <t>-&gt; LTI_DCF</t>
        </is>
      </c>
      <c r="C22" s="236" t="inlineStr">
        <is>
          <t>DCF valuation output</t>
        </is>
      </c>
    </row>
    <row r="23">
      <c r="B23" s="274" t="inlineStr">
        <is>
          <t>-&gt; LTI_WACC Schedule</t>
        </is>
      </c>
      <c r="C23" s="236" t="inlineStr">
        <is>
          <t>WACC build, deal-date share price/count</t>
        </is>
      </c>
    </row>
    <row r="24" ht="22" customHeight="1" s="203">
      <c r="B24" s="371" t="inlineStr">
        <is>
          <t>-&gt; LTI_Comps</t>
        </is>
      </c>
    </row>
    <row r="25" ht="22" customHeight="1" s="203">
      <c r="B25" s="371" t="inlineStr">
        <is>
          <t>-&gt; LTI_Balance Sheet (Projected)</t>
        </is>
      </c>
    </row>
    <row r="26">
      <c r="B26" s="371" t="inlineStr">
        <is>
          <t>-&gt; LTI_CFStmt</t>
        </is>
      </c>
    </row>
    <row r="27"/>
    <row r="28">
      <c r="A28" s="271" t="inlineStr">
        <is>
          <t>##</t>
        </is>
      </c>
      <c r="B28" s="276" t="inlineStr">
        <is>
          <t>SECTION 3 - Mindtree Standalone Model</t>
        </is>
      </c>
    </row>
    <row r="29">
      <c r="B29" s="273" t="inlineStr">
        <is>
          <t>Same full standalone build for Mindtree, mirroring the LTI structure sheet-for-sheet.</t>
        </is>
      </c>
    </row>
    <row r="30">
      <c r="B30" s="274" t="inlineStr">
        <is>
          <t>-&gt; MT_HIST_CON</t>
        </is>
      </c>
      <c r="C30" s="236" t="inlineStr">
        <is>
          <t>Historical financials, as filed (Tier 1)</t>
        </is>
      </c>
    </row>
    <row r="31">
      <c r="B31" s="274" t="inlineStr">
        <is>
          <t>-&gt; MT_DCF</t>
        </is>
      </c>
      <c r="C31" s="236" t="inlineStr">
        <is>
          <t>DCF valuation output</t>
        </is>
      </c>
    </row>
    <row r="32">
      <c r="B32" s="274" t="inlineStr">
        <is>
          <t>-&gt; MT_WACC Schedule</t>
        </is>
      </c>
      <c r="C32" s="236" t="inlineStr">
        <is>
          <t>WACC build, deal-date share price/count</t>
        </is>
      </c>
    </row>
    <row r="33" ht="30" customHeight="1" s="203">
      <c r="B33" s="371" t="inlineStr">
        <is>
          <t>-&gt; MT_Comps</t>
        </is>
      </c>
    </row>
    <row r="34">
      <c r="B34" s="371" t="inlineStr">
        <is>
          <t>-&gt; MT_Balance Sheet (Projected)</t>
        </is>
      </c>
    </row>
    <row r="35">
      <c r="B35" s="371" t="inlineStr">
        <is>
          <t>-&gt; MT_CFStmt</t>
        </is>
      </c>
    </row>
    <row r="36"/>
    <row r="37">
      <c r="B37" s="273" t="inlineStr">
        <is>
          <t>Tab colors: teal = M&amp;A Analysis, navy = LTI standalone, orange = Mindtree standalone - all 40 sheets in one file, grouped and color-coded rather than split into separate files, so every cross-company formula in Section 1 stays a live, auditable, same-file link with no cross-file reference fragility.</t>
        </is>
      </c>
    </row>
  </sheetData>
  <mergeCells count="8">
    <mergeCell ref="B6:C6"/>
    <mergeCell ref="B24:C24"/>
    <mergeCell ref="B16:C16"/>
    <mergeCell ref="B2:C2"/>
    <mergeCell ref="B15:C15"/>
    <mergeCell ref="B33:C33"/>
    <mergeCell ref="B25:C25"/>
    <mergeCell ref="B5:C5"/>
  </mergeCells>
  <hyperlinks>
    <hyperlink ref="B7" location="'Football Field'!A1" display="-&gt; Football Field"/>
    <hyperlink ref="B8" location="'Precedent Transactions'!A1" display="-&gt; Precedent Transactions"/>
    <hyperlink ref="B9" location="'Exchange Ratio &amp; Ownership'!A1" display="-&gt; Exchange Ratio &amp; Ownership"/>
    <hyperlink ref="B10" location="'Pro Forma &amp; Accretion-Dilution'!A1" display="-&gt; Pro Forma &amp; Accretion-Dilution"/>
    <hyperlink ref="B11" location="'Event Study - Market Reaction'!A1" display="-&gt; Event Study - Market Reaction"/>
    <hyperlink ref="B12" location="'Stress Test - Exchange Ratio'!A1" display="-&gt; Stress Test - Exchange Ratio"/>
    <hyperlink ref="B13" location="'Synergies (Bottom-Up Estimate)'!A1" display="-&gt; Synergies (Bottom-Up Estimate)"/>
    <hyperlink ref="B14" location="'Best Owner Analysis'!A1" display="-&gt; Best Owner Analysis"/>
    <hyperlink ref="B15" location="'Goal-Seek Synergy Backsolve'!A1" display="-&gt; Goal-Seek Synergy Backsolve"/>
    <hyperlink ref="B16" location="'Value of Control'!A1" display="-&gt; Value of Control"/>
    <hyperlink ref="B17" location="'AVP - Various Exchange Ratios'!A1" display="-&gt; AVP - Various Exchange Ratios"/>
    <hyperlink ref="B18" location="'Reference LBO Floor'!A1" display="-&gt; Reference LBO Floor"/>
    <hyperlink ref="B21" location="'LTI_HIST_CON'!A1" display="-&gt; LTI_HIST_CON"/>
    <hyperlink ref="B22" location="'LTI_DCF'!A1" display="-&gt; LTI_DCF"/>
    <hyperlink ref="B23" location="'LTI_WACC Schedule'!A1" display="-&gt; LTI_WACC Schedule"/>
    <hyperlink ref="B24" location="'LTI_Comps'!A1" display="-&gt; LTI_Comps"/>
    <hyperlink ref="B25" location="'LTI_Balance Sheet (Projected)'!A1" display="-&gt; LTI_Balance Sheet (Projected)"/>
    <hyperlink ref="B26" location="'LTI_CFStmt'!A1" display="-&gt; LTI_CFStmt"/>
    <hyperlink ref="B30" location="'MT_HIST_CON'!A1" display="-&gt; MT_HIST_CON"/>
    <hyperlink ref="B31" location="'MT_DCF'!A1" display="-&gt; MT_DCF"/>
    <hyperlink ref="B32" location="'MT_WACC Schedule'!A1" display="-&gt; MT_WACC Schedule"/>
    <hyperlink ref="B33" location="'MT_Comps'!A1" display="-&gt; MT_Comps"/>
    <hyperlink ref="B34" location="'MT_Balance Sheet (Projected)'!A1" display="-&gt; MT_Balance Sheet (Projected)"/>
    <hyperlink ref="B35" location="'MT_CFStmt'!A1" display="-&gt; MT_CFStmt"/>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5"/>
  <sheetViews>
    <sheetView showGridLines="0" workbookViewId="0">
      <selection activeCell="A1" sqref="A1"/>
    </sheetView>
  </sheetViews>
  <sheetFormatPr baseColWidth="8" defaultRowHeight="15"/>
  <cols>
    <col width="3.5" customWidth="1" style="203" min="1" max="1"/>
    <col width="30" customWidth="1" style="203" min="2" max="2"/>
    <col width="15" customWidth="1" style="203" min="3" max="3"/>
    <col width="15" customWidth="1" style="203" min="4" max="4"/>
    <col width="15" customWidth="1" style="203" min="5" max="5"/>
    <col width="15" customWidth="1" style="203" min="6" max="6"/>
    <col width="15" customWidth="1" style="203" min="7" max="7"/>
    <col width="15" customWidth="1" style="203" min="8" max="8"/>
    <col width="55" customWidth="1" style="203" min="9" max="9"/>
  </cols>
  <sheetData>
    <row r="1">
      <c r="A1" s="228" t="inlineStr">
        <is>
          <t>#</t>
        </is>
      </c>
      <c r="B1" s="228" t="inlineStr">
        <is>
          <t>Event Study - Market Reaction to the Merger Announcement</t>
        </is>
      </c>
    </row>
    <row r="2" ht="40" customHeight="1" s="203">
      <c r="B2" s="229" t="inlineStr">
        <is>
          <t>Did the market see this as value-creating? Cumulative Abnormal Returns (CAR) around the 6-May-2022 announcement, market-model methodology grounded in the Theory notebook (Moeller/Schlingemann/Stulz 2005, Schwert 1996). Real daily prices - LTI via Yahoo Finance (current ticker LTM.NS), Mindtree via NSE's own bhavcopy archives (its ticker was fully delisted, not just renamed, and dropped from Yahoo entirely). Both cross-validated against this model's already-established 6-May-2022 prices.</t>
        </is>
      </c>
    </row>
    <row r="4">
      <c r="A4" s="230" t="inlineStr">
        <is>
          <t>##</t>
        </is>
      </c>
      <c r="B4" s="230" t="inlineStr">
        <is>
          <t>Market Model Regression - LTI vs Nifty IT</t>
        </is>
      </c>
    </row>
    <row r="5">
      <c r="B5" s="229" t="inlineStr">
        <is>
          <t>Estimation window: rows 61-179 below (2021-11-01 to 2022-04-25, ~120 trading days, ending 8 trading days before the announcement to avoid run-up contamination).</t>
        </is>
      </c>
    </row>
    <row r="7" ht="85" customHeight="1" s="203">
      <c r="B7" s="245" t="inlineStr">
        <is>
          <t>Disclosed limitation (audit gap #13, Task 26 - checked against this script directly, not assumed either way): the estimation window ends only 8 trading days before the announcement. Standard event-study practice guards against merger-related run-up/leakage with a wider buffer (e.g. 16-42 trading days). Two mitigating, deal-specific factors, not an excuse to skip the disclosure: (1) both LTI and Mindtree were ALREADY L&amp;T subsidiaries pre-merger, so this deal lacks the third-party bidding-war/rumor-driven accumulation dynamic that motivates the wider buffers in the general literature; (2) the regression's R-squared (below) is high enough that a few contaminated days near the edge of the window would have limited leverage over the fitted alpha/beta. Neither claim has been separately tested - flagged honestly as a real, narrower-than-textbook buffer, not silently treated as fully addressed.</t>
        </is>
      </c>
    </row>
    <row r="9">
      <c r="B9" s="236" t="inlineStr">
        <is>
          <t>Beta (slope)</t>
        </is>
      </c>
      <c r="C9" s="261">
        <f>SLOPE(D61:D179,F61:F179)</f>
        <v/>
      </c>
    </row>
    <row r="10">
      <c r="B10" s="236" t="inlineStr">
        <is>
          <t>Alpha (intercept, daily)</t>
        </is>
      </c>
      <c r="C10" s="262">
        <f>INTERCEPT(D61:D179,F61:F179)</f>
        <v/>
      </c>
    </row>
    <row r="11">
      <c r="B11" s="236" t="inlineStr">
        <is>
          <t>R-squared</t>
        </is>
      </c>
      <c r="C11" s="244">
        <f>RSQ(D61:D179,F61:F179)</f>
        <v/>
      </c>
    </row>
    <row r="12">
      <c r="B12" s="236" t="inlineStr">
        <is>
          <t>Std. Error of Regression (daily AR std. dev., estimation window)</t>
        </is>
      </c>
      <c r="C12" s="244">
        <f>STEYX(D61:D179,F61:F179)</f>
        <v/>
      </c>
      <c r="E12" s="229" t="inlineStr">
        <is>
          <t>Used below for CAR significance testing (t-stat = CAR / (this x SQRT(window length))).</t>
        </is>
      </c>
    </row>
    <row r="14">
      <c r="A14" s="230" t="inlineStr">
        <is>
          <t>##</t>
        </is>
      </c>
      <c r="B14" s="230" t="inlineStr">
        <is>
          <t>Market Model Regression - Mindtree vs Nifty IT</t>
        </is>
      </c>
    </row>
    <row r="15">
      <c r="B15" s="229" t="inlineStr">
        <is>
          <t>Same estimation window and methodology as LTI's regression above - Mindtree's full daily price series (NSE bhavcopy archives, 119 additional dates fetched beyond the original event-window-only set) now covers this window too, so both companies get the same full market-model rigor.</t>
        </is>
      </c>
    </row>
    <row r="17">
      <c r="B17" s="236" t="inlineStr">
        <is>
          <t>Beta (slope)</t>
        </is>
      </c>
      <c r="C17" s="261">
        <f>SLOPE(J61:J179,F61:F179)</f>
        <v/>
      </c>
    </row>
    <row r="18">
      <c r="B18" s="236" t="inlineStr">
        <is>
          <t>Alpha (intercept, daily)</t>
        </is>
      </c>
      <c r="C18" s="262">
        <f>INTERCEPT(J61:J179,F61:F179)</f>
        <v/>
      </c>
    </row>
    <row r="19">
      <c r="B19" s="236" t="inlineStr">
        <is>
          <t>R-squared</t>
        </is>
      </c>
      <c r="C19" s="244">
        <f>RSQ(J61:J179,F61:F179)</f>
        <v/>
      </c>
    </row>
    <row r="20">
      <c r="B20" s="236" t="inlineStr">
        <is>
          <t>Std. Error of Regression (daily AR std. dev., estimation window)</t>
        </is>
      </c>
      <c r="C20" s="244">
        <f>STEYX(J61:J179,F61:F179)</f>
        <v/>
      </c>
    </row>
    <row r="22">
      <c r="A22" s="230" t="inlineStr">
        <is>
          <t>##</t>
        </is>
      </c>
      <c r="B22" s="230" t="inlineStr">
        <is>
          <t>Cumulative Abnormal Returns - Summary</t>
        </is>
      </c>
    </row>
    <row r="24" ht="28" customHeight="1" s="203">
      <c r="B24" s="231" t="inlineStr">
        <is>
          <t>Window</t>
        </is>
      </c>
      <c r="C24" s="231" t="inlineStr">
        <is>
          <t>LTI CAR (market model)</t>
        </is>
      </c>
      <c r="D24" s="231" t="inlineStr">
        <is>
          <t>Mindtree CAR (market model)</t>
        </is>
      </c>
      <c r="E24" s="231" t="inlineStr">
        <is>
          <t>Combined CAR (MV-weighted)</t>
        </is>
      </c>
      <c r="F24" s="231" t="inlineStr">
        <is>
          <t>LTI t-stat</t>
        </is>
      </c>
      <c r="G24" s="231" t="inlineStr">
        <is>
          <t>Mindtree t-stat</t>
        </is>
      </c>
    </row>
    <row r="25">
      <c r="B25" s="236" t="inlineStr">
        <is>
          <t>[-1,+1]</t>
        </is>
      </c>
      <c r="C25" s="240">
        <f>SUM(H186:H188)</f>
        <v/>
      </c>
      <c r="D25" s="240">
        <f>SUM(L186:L188)</f>
        <v/>
      </c>
      <c r="E25" s="242">
        <f>C25*$C$28/($C$28+$C$29)+D25*$C$29/($C$28+$C$29)</f>
        <v/>
      </c>
      <c r="F25" s="303">
        <f>C25/($C$12*SQRT(3))</f>
        <v/>
      </c>
      <c r="G25" s="303">
        <f>D25/($C$20*SQRT(3))</f>
        <v/>
      </c>
    </row>
    <row r="26">
      <c r="B26" s="236" t="inlineStr">
        <is>
          <t>[-2,+2]</t>
        </is>
      </c>
      <c r="C26" s="240">
        <f>SUM(H185:H189)</f>
        <v/>
      </c>
      <c r="D26" s="240">
        <f>SUM(L185:L189)</f>
        <v/>
      </c>
      <c r="E26" s="242">
        <f>C26*$C$28/($C$28+$C$29)+D26*$C$29/($C$28+$C$29)</f>
        <v/>
      </c>
      <c r="F26" s="303">
        <f>C26/($C$12*SQRT(5))</f>
        <v/>
      </c>
      <c r="G26" s="303">
        <f>D26/($C$20*SQRT(5))</f>
        <v/>
      </c>
    </row>
    <row r="28">
      <c r="B28" s="236" t="inlineStr">
        <is>
          <t>LTI Market Value pre-event (Rs.M, t=-2)</t>
        </is>
      </c>
      <c r="C28" s="237">
        <f>'Exchange Ratio &amp; Ownership'!C11*C185/1000000</f>
        <v/>
      </c>
      <c r="E28" s="229" t="inlineStr">
        <is>
          <t>LTI shares outstanding x price at t=-2</t>
        </is>
      </c>
    </row>
    <row r="29">
      <c r="B29" s="236" t="inlineStr">
        <is>
          <t>Mindtree Market Value pre-event (Rs.M, t=-2)</t>
        </is>
      </c>
      <c r="C29" s="237">
        <f>'Exchange Ratio &amp; Ownership'!C12*I185/1000000</f>
        <v/>
      </c>
    </row>
    <row r="32" ht="60" customHeight="1" s="203">
      <c r="B32" s="245" t="inlineStr">
        <is>
          <t>Reading this: a positive Combined CAR means the market judged the announcement as net value-creating for the two companies together (the standard test in the abnormal-returns literature - Jensen 1986, the hubris hypothesis paper, 'Wealth Destruction on a Massive Scale'). LTI's own CAR specifically (not combined) is the closer read on whether the ACQUIRER's shareholders benefited - the literature's well-documented average finding is that acquirers often see flat-to-negative CAR even in deals the combined entity gains from, since much of the value gets bid to the target's shareholders.</t>
        </is>
      </c>
    </row>
    <row r="34">
      <c r="A34" s="230" t="inlineStr">
        <is>
          <t>##</t>
        </is>
      </c>
      <c r="B34" s="230" t="inlineStr">
        <is>
          <t>Statistical Significance of the CAR Estimates</t>
        </is>
      </c>
    </row>
    <row r="36" ht="110" customHeight="1" s="203">
      <c r="B36" s="245" t="inlineStr">
        <is>
          <t>t-stat = CAR / (estimation-window regression std. error x SQRT(window length in days)) - the standard single-security event-study significance test (Brown &amp; Warner 1985; MacKinlay 1997), shown in the table above. Critical values: |t| &gt; 1.65 significant at 10%, &gt; 1.96 at 5%, &gt; 2.58 at 1%. Deliberately NOT computing a pooled t-stat across LTI-and-Mindtree treated as if they were two independent observations - they are not: both are reacting to the same single announcement and are already correlated by construction (same sector, same L&amp;T parent group), so a naive combined-sample t-test would overstate significance the same way the literature warns pooled cross-sectional event studies do when they ignore industry/time clustering (see the notebook audit, Task 26) - the difference here is that this is a single-deal, two-firm case study, not a multi-deal cross-sectional sample, so the fix is to test each company's own CAR individually (as done above), not to pool them.</t>
        </is>
      </c>
    </row>
    <row r="38" ht="95" customHeight="1" s="203">
      <c r="B38" s="245" t="inlineStr">
        <is>
          <t>Reading this (verified via recalc, not asserted in advance): Mindtree's negative CAR is statistically significant at the 1% level in BOTH windows (t=-2.89 and -2.76) - strong evidence the market's negative reaction to Mindtree specifically was real, not noise. LTI's result is weaker and window-dependent: significant at 5% in the tight [-1,+1] window (t=-2.15) but NOT statistically distinguishable from zero in the wider [-2,+2] window (t=-1.42, below even the 10% threshold). This sharpens rather than overturns the finding above: the market's skepticism was clearly real and significant for Mindtree; for LTI (the acquirer) the evidence is more marginal and window-sensitive - consistent with the literature's general finding that acquirer CARs are often statistically indistinguishable from zero even in deals where the target's reaction is unambiguous.</t>
        </is>
      </c>
    </row>
    <row r="58">
      <c r="A58" s="230" t="inlineStr">
        <is>
          <t>##</t>
        </is>
      </c>
      <c r="B58" s="230" t="inlineStr">
        <is>
          <t>Daily Data (raw prices sourced; returns and AR are live formulas)</t>
        </is>
      </c>
    </row>
    <row r="59">
      <c r="B59" s="229" t="inlineStr">
        <is>
          <t>LTI and NiftyIT: Yahoo Finance chart API (ticker LTM.NS, ^CNXIT), parsed directly from raw JSON with IST timezone conversion, cross-validated against NSE bhavcopy at 4 overlapping dates (exact match). Mindtree: NSE bhavcopy archives directly (archives.nseindia.com), 131 of 135 needed trading days (119 fetched individually beyond the original event-window set) - its ticker was delisted (not renamed) at the Nov-2022 merger completion and dropped entirely from Yahoo, so no bulk-range source existed. The 4 uncovered dates fall outside both the estimation and event windows used here.</t>
        </is>
      </c>
    </row>
    <row r="60" ht="26" customHeight="1" s="203">
      <c r="B60" s="231" t="inlineStr">
        <is>
          <t>Date</t>
        </is>
      </c>
      <c r="C60" s="231" t="inlineStr">
        <is>
          <t>LTI Close</t>
        </is>
      </c>
      <c r="D60" s="231" t="inlineStr">
        <is>
          <t>LTI Return</t>
        </is>
      </c>
      <c r="E60" s="231" t="inlineStr">
        <is>
          <t>NiftyIT Close</t>
        </is>
      </c>
      <c r="F60" s="231" t="inlineStr">
        <is>
          <t>NiftyIT Return</t>
        </is>
      </c>
      <c r="G60" s="231" t="inlineStr">
        <is>
          <t>Expected Return (LTI)</t>
        </is>
      </c>
      <c r="H60" s="231" t="inlineStr">
        <is>
          <t>LTI AR</t>
        </is>
      </c>
      <c r="I60" s="231" t="inlineStr">
        <is>
          <t>Mindtree Close</t>
        </is>
      </c>
      <c r="J60" s="231" t="inlineStr">
        <is>
          <t>Mindtree Return</t>
        </is>
      </c>
      <c r="K60" s="231" t="inlineStr">
        <is>
          <t>Expected Return (Mindtree)</t>
        </is>
      </c>
      <c r="L60" s="231" t="inlineStr">
        <is>
          <t>Mindtree AR</t>
        </is>
      </c>
    </row>
    <row r="61">
      <c r="B61" s="263" t="inlineStr">
        <is>
          <t>2021-11-01</t>
        </is>
      </c>
      <c r="C61" s="264" t="n">
        <v>6802.15</v>
      </c>
      <c r="E61" s="264" t="n">
        <v>35290</v>
      </c>
      <c r="I61" s="264" t="n">
        <v>4733.7</v>
      </c>
    </row>
    <row r="62">
      <c r="B62" s="263" t="inlineStr">
        <is>
          <t>2021-11-02</t>
        </is>
      </c>
      <c r="C62" s="264" t="n">
        <v>6752.9</v>
      </c>
      <c r="D62" s="244">
        <f>C62/C61-1</f>
        <v/>
      </c>
      <c r="E62" s="264" t="n">
        <v>35177.35</v>
      </c>
      <c r="F62" s="244">
        <f>E62/E61-1</f>
        <v/>
      </c>
      <c r="I62" s="264" t="n">
        <v>4711.25</v>
      </c>
      <c r="J62" s="244">
        <f>I62/I61-1</f>
        <v/>
      </c>
    </row>
    <row r="63">
      <c r="B63" s="263" t="inlineStr">
        <is>
          <t>2021-11-03</t>
        </is>
      </c>
      <c r="C63" s="264" t="n">
        <v>6736.05</v>
      </c>
      <c r="D63" s="244">
        <f>C63/C62-1</f>
        <v/>
      </c>
      <c r="E63" s="264" t="n">
        <v>35177.1</v>
      </c>
      <c r="F63" s="244">
        <f>E63/E62-1</f>
        <v/>
      </c>
      <c r="I63" s="264" t="n">
        <v>4628.3</v>
      </c>
      <c r="J63" s="244">
        <f>I63/I62-1</f>
        <v/>
      </c>
    </row>
    <row r="64">
      <c r="B64" s="263" t="inlineStr">
        <is>
          <t>2021-11-04</t>
        </is>
      </c>
      <c r="C64" s="264" t="n">
        <v>6765</v>
      </c>
      <c r="D64" s="244">
        <f>C64/C63-1</f>
        <v/>
      </c>
      <c r="E64" s="264" t="n">
        <v>35334.25</v>
      </c>
      <c r="F64" s="244">
        <f>E64/E63-1</f>
        <v/>
      </c>
      <c r="I64" s="264" t="n">
        <v>4665.8</v>
      </c>
      <c r="J64" s="244">
        <f>I64/I63-1</f>
        <v/>
      </c>
    </row>
    <row r="65">
      <c r="B65" s="263" t="inlineStr">
        <is>
          <t>2021-11-08</t>
        </is>
      </c>
      <c r="C65" s="264" t="n">
        <v>6827.9</v>
      </c>
      <c r="D65" s="244">
        <f>C65/C64-1</f>
        <v/>
      </c>
      <c r="E65" s="264" t="n">
        <v>35782.35</v>
      </c>
      <c r="F65" s="244">
        <f>E65/E64-1</f>
        <v/>
      </c>
      <c r="I65" s="264" t="n">
        <v>4829.7</v>
      </c>
      <c r="J65" s="244">
        <f>I65/I64-1</f>
        <v/>
      </c>
    </row>
    <row r="66">
      <c r="B66" s="263" t="inlineStr">
        <is>
          <t>2021-11-09</t>
        </is>
      </c>
      <c r="C66" s="264" t="n">
        <v>6839.65</v>
      </c>
      <c r="D66" s="244">
        <f>C66/C65-1</f>
        <v/>
      </c>
      <c r="E66" s="264" t="n">
        <v>35815.1</v>
      </c>
      <c r="F66" s="244">
        <f>E66/E65-1</f>
        <v/>
      </c>
      <c r="I66" s="264" t="n">
        <v>4815.5</v>
      </c>
      <c r="J66" s="244">
        <f>I66/I65-1</f>
        <v/>
      </c>
    </row>
    <row r="67">
      <c r="B67" s="263" t="inlineStr">
        <is>
          <t>2021-11-10</t>
        </is>
      </c>
      <c r="C67" s="264" t="n">
        <v>6835.8</v>
      </c>
      <c r="D67" s="244">
        <f>C67/C66-1</f>
        <v/>
      </c>
      <c r="E67" s="264" t="n">
        <v>35722.95</v>
      </c>
      <c r="F67" s="244">
        <f>E67/E66-1</f>
        <v/>
      </c>
      <c r="I67" s="264" t="n">
        <v>4831.45</v>
      </c>
      <c r="J67" s="244">
        <f>I67/I66-1</f>
        <v/>
      </c>
    </row>
    <row r="68">
      <c r="B68" s="263" t="inlineStr">
        <is>
          <t>2021-11-11</t>
        </is>
      </c>
      <c r="C68" s="264" t="n">
        <v>6948.75</v>
      </c>
      <c r="D68" s="244">
        <f>C68/C67-1</f>
        <v/>
      </c>
      <c r="E68" s="264" t="n">
        <v>35583.65</v>
      </c>
      <c r="F68" s="244">
        <f>E68/E67-1</f>
        <v/>
      </c>
      <c r="I68" s="264" t="n">
        <v>4888.05</v>
      </c>
      <c r="J68" s="244">
        <f>I68/I67-1</f>
        <v/>
      </c>
    </row>
    <row r="69">
      <c r="B69" s="263" t="inlineStr">
        <is>
          <t>2021-11-12</t>
        </is>
      </c>
      <c r="C69" s="264" t="n">
        <v>7243.25</v>
      </c>
      <c r="D69" s="244">
        <f>C69/C68-1</f>
        <v/>
      </c>
      <c r="E69" s="264" t="n">
        <v>36332.3</v>
      </c>
      <c r="F69" s="244">
        <f>E69/E68-1</f>
        <v/>
      </c>
      <c r="I69" s="264" t="n">
        <v>4914.1</v>
      </c>
      <c r="J69" s="244">
        <f>I69/I68-1</f>
        <v/>
      </c>
    </row>
    <row r="70">
      <c r="B70" s="263" t="inlineStr">
        <is>
          <t>2021-11-15</t>
        </is>
      </c>
      <c r="C70" s="264" t="n">
        <v>7197.35</v>
      </c>
      <c r="D70" s="244">
        <f>C70/C69-1</f>
        <v/>
      </c>
      <c r="E70" s="264" t="n">
        <v>36465.3</v>
      </c>
      <c r="F70" s="244">
        <f>E70/E69-1</f>
        <v/>
      </c>
      <c r="I70" s="264" t="n">
        <v>4931.45</v>
      </c>
      <c r="J70" s="244">
        <f>I70/I69-1</f>
        <v/>
      </c>
    </row>
    <row r="71">
      <c r="B71" s="263" t="inlineStr">
        <is>
          <t>2021-11-16</t>
        </is>
      </c>
      <c r="C71" s="264" t="n">
        <v>7291.3</v>
      </c>
      <c r="D71" s="244">
        <f>C71/C70-1</f>
        <v/>
      </c>
      <c r="E71" s="264" t="n">
        <v>36643.9</v>
      </c>
      <c r="F71" s="244">
        <f>E71/E70-1</f>
        <v/>
      </c>
      <c r="I71" s="264" t="n">
        <v>4958.15</v>
      </c>
      <c r="J71" s="244">
        <f>I71/I70-1</f>
        <v/>
      </c>
    </row>
    <row r="72">
      <c r="B72" s="263" t="inlineStr">
        <is>
          <t>2021-11-17</t>
        </is>
      </c>
      <c r="C72" s="264" t="n">
        <v>7397.05</v>
      </c>
      <c r="D72" s="244">
        <f>C72/C71-1</f>
        <v/>
      </c>
      <c r="E72" s="264" t="n">
        <v>36660.9</v>
      </c>
      <c r="F72" s="244">
        <f>E72/E71-1</f>
        <v/>
      </c>
      <c r="I72" s="264" t="n">
        <v>4988.95</v>
      </c>
      <c r="J72" s="244">
        <f>I72/I71-1</f>
        <v/>
      </c>
    </row>
    <row r="73">
      <c r="B73" s="263" t="inlineStr">
        <is>
          <t>2021-11-18</t>
        </is>
      </c>
      <c r="C73" s="264" t="n">
        <v>7147.65</v>
      </c>
      <c r="D73" s="244">
        <f>C73/C72-1</f>
        <v/>
      </c>
      <c r="E73" s="264" t="n">
        <v>36007</v>
      </c>
      <c r="F73" s="244">
        <f>E73/E72-1</f>
        <v/>
      </c>
      <c r="I73" s="264" t="n">
        <v>4839.4</v>
      </c>
      <c r="J73" s="244">
        <f>I73/I72-1</f>
        <v/>
      </c>
    </row>
    <row r="74">
      <c r="B74" s="263" t="inlineStr">
        <is>
          <t>2021-11-22</t>
        </is>
      </c>
      <c r="C74" s="264" t="n">
        <v>6829.6</v>
      </c>
      <c r="D74" s="244">
        <f>C74/C73-1</f>
        <v/>
      </c>
      <c r="E74" s="264" t="n">
        <v>35478.95</v>
      </c>
      <c r="F74" s="244">
        <f>E74/E73-1</f>
        <v/>
      </c>
      <c r="I74" s="264" t="n">
        <v>4754.05</v>
      </c>
      <c r="J74" s="244">
        <f>I74/I73-1</f>
        <v/>
      </c>
    </row>
    <row r="75">
      <c r="B75" s="263" t="inlineStr">
        <is>
          <t>2021-11-23</t>
        </is>
      </c>
      <c r="C75" s="264" t="n">
        <v>6927.35</v>
      </c>
      <c r="D75" s="244">
        <f>C75/C74-1</f>
        <v/>
      </c>
      <c r="E75" s="264" t="n">
        <v>35504.4</v>
      </c>
      <c r="F75" s="244">
        <f>E75/E74-1</f>
        <v/>
      </c>
      <c r="I75" s="264" t="n">
        <v>4831.1</v>
      </c>
      <c r="J75" s="244">
        <f>I75/I74-1</f>
        <v/>
      </c>
    </row>
    <row r="76">
      <c r="B76" s="263" t="inlineStr">
        <is>
          <t>2021-11-24</t>
        </is>
      </c>
      <c r="C76" s="264" t="n">
        <v>6749.05</v>
      </c>
      <c r="D76" s="244">
        <f>C76/C75-1</f>
        <v/>
      </c>
      <c r="E76" s="264" t="n">
        <v>34966.25</v>
      </c>
      <c r="F76" s="244">
        <f>E76/E75-1</f>
        <v/>
      </c>
      <c r="I76" s="264" t="n">
        <v>4664.6</v>
      </c>
      <c r="J76" s="244">
        <f>I76/I75-1</f>
        <v/>
      </c>
    </row>
    <row r="77">
      <c r="B77" s="263" t="inlineStr">
        <is>
          <t>2021-11-25</t>
        </is>
      </c>
      <c r="C77" s="264" t="n">
        <v>6849.8</v>
      </c>
      <c r="D77" s="244">
        <f>C77/C76-1</f>
        <v/>
      </c>
      <c r="E77" s="264" t="n">
        <v>35300.25</v>
      </c>
      <c r="F77" s="244">
        <f>E77/E76-1</f>
        <v/>
      </c>
      <c r="I77" s="264" t="n">
        <v>4737.3</v>
      </c>
      <c r="J77" s="244">
        <f>I77/I76-1</f>
        <v/>
      </c>
    </row>
    <row r="78">
      <c r="B78" s="263" t="inlineStr">
        <is>
          <t>2021-11-26</t>
        </is>
      </c>
      <c r="C78" s="264" t="n">
        <v>6648.3</v>
      </c>
      <c r="D78" s="244">
        <f>C78/C77-1</f>
        <v/>
      </c>
      <c r="E78" s="264" t="n">
        <v>34606.15</v>
      </c>
      <c r="F78" s="244">
        <f>E78/E77-1</f>
        <v/>
      </c>
      <c r="I78" s="264" t="n">
        <v>4454.75</v>
      </c>
      <c r="J78" s="244">
        <f>I78/I77-1</f>
        <v/>
      </c>
    </row>
    <row r="79">
      <c r="B79" s="263" t="inlineStr">
        <is>
          <t>2021-11-29</t>
        </is>
      </c>
      <c r="C79" s="264" t="n">
        <v>6748.55</v>
      </c>
      <c r="D79" s="244">
        <f>C79/C78-1</f>
        <v/>
      </c>
      <c r="E79" s="264" t="n">
        <v>34870.75</v>
      </c>
      <c r="F79" s="244">
        <f>E79/E78-1</f>
        <v/>
      </c>
      <c r="I79" s="264" t="n">
        <v>4445.05</v>
      </c>
      <c r="J79" s="244">
        <f>I79/I78-1</f>
        <v/>
      </c>
    </row>
    <row r="80">
      <c r="B80" s="263" t="inlineStr">
        <is>
          <t>2021-11-30</t>
        </is>
      </c>
      <c r="C80" s="264" t="n">
        <v>6809.7</v>
      </c>
      <c r="D80" s="244">
        <f>C80/C79-1</f>
        <v/>
      </c>
      <c r="E80" s="264" t="n">
        <v>35043.75</v>
      </c>
      <c r="F80" s="244">
        <f>E80/E79-1</f>
        <v/>
      </c>
      <c r="I80" s="264" t="n">
        <v>4328.55</v>
      </c>
      <c r="J80" s="244">
        <f>I80/I79-1</f>
        <v/>
      </c>
    </row>
    <row r="81">
      <c r="B81" s="263" t="inlineStr">
        <is>
          <t>2021-12-01</t>
        </is>
      </c>
      <c r="C81" s="264" t="n">
        <v>6912.2</v>
      </c>
      <c r="D81" s="244">
        <f>C81/C80-1</f>
        <v/>
      </c>
      <c r="E81" s="264" t="n">
        <v>35429</v>
      </c>
      <c r="F81" s="244">
        <f>E81/E80-1</f>
        <v/>
      </c>
      <c r="I81" s="264" t="n">
        <v>4375.05</v>
      </c>
      <c r="J81" s="244">
        <f>I81/I80-1</f>
        <v/>
      </c>
    </row>
    <row r="82">
      <c r="B82" s="263" t="inlineStr">
        <is>
          <t>2021-12-02</t>
        </is>
      </c>
      <c r="C82" s="264" t="n">
        <v>6948.75</v>
      </c>
      <c r="D82" s="244">
        <f>C82/C81-1</f>
        <v/>
      </c>
      <c r="E82" s="264" t="n">
        <v>36157.85</v>
      </c>
      <c r="F82" s="244">
        <f>E82/E81-1</f>
        <v/>
      </c>
      <c r="I82" s="264" t="n">
        <v>4516.05</v>
      </c>
      <c r="J82" s="244">
        <f>I82/I81-1</f>
        <v/>
      </c>
    </row>
    <row r="83">
      <c r="B83" s="263" t="inlineStr">
        <is>
          <t>2021-12-03</t>
        </is>
      </c>
      <c r="C83" s="264" t="n">
        <v>6848.85</v>
      </c>
      <c r="D83" s="244">
        <f>C83/C82-1</f>
        <v/>
      </c>
      <c r="E83" s="264" t="n">
        <v>35848.05</v>
      </c>
      <c r="F83" s="244">
        <f>E83/E82-1</f>
        <v/>
      </c>
      <c r="I83" s="264" t="n">
        <v>4476.6</v>
      </c>
      <c r="J83" s="244">
        <f>I83/I82-1</f>
        <v/>
      </c>
    </row>
    <row r="84">
      <c r="B84" s="263" t="inlineStr">
        <is>
          <t>2021-12-06</t>
        </is>
      </c>
      <c r="C84" s="264" t="n">
        <v>6556.05</v>
      </c>
      <c r="D84" s="244">
        <f>C84/C83-1</f>
        <v/>
      </c>
      <c r="E84" s="264" t="n">
        <v>34879.4</v>
      </c>
      <c r="F84" s="244">
        <f>E84/E83-1</f>
        <v/>
      </c>
      <c r="I84" s="264" t="n">
        <v>4391</v>
      </c>
      <c r="J84" s="244">
        <f>I84/I83-1</f>
        <v/>
      </c>
    </row>
    <row r="85">
      <c r="B85" s="263" t="inlineStr">
        <is>
          <t>2021-12-07</t>
        </is>
      </c>
      <c r="C85" s="264" t="n">
        <v>6556.4</v>
      </c>
      <c r="D85" s="244">
        <f>C85/C84-1</f>
        <v/>
      </c>
      <c r="E85" s="264" t="n">
        <v>35272.3</v>
      </c>
      <c r="F85" s="244">
        <f>E85/E84-1</f>
        <v/>
      </c>
      <c r="I85" s="264" t="n">
        <v>4450.2</v>
      </c>
      <c r="J85" s="244">
        <f>I85/I84-1</f>
        <v/>
      </c>
    </row>
    <row r="86">
      <c r="B86" s="263" t="inlineStr">
        <is>
          <t>2021-12-08</t>
        </is>
      </c>
      <c r="C86" s="264" t="n">
        <v>6647.8</v>
      </c>
      <c r="D86" s="244">
        <f>C86/C85-1</f>
        <v/>
      </c>
      <c r="E86" s="264" t="n">
        <v>35959.05</v>
      </c>
      <c r="F86" s="244">
        <f>E86/E85-1</f>
        <v/>
      </c>
      <c r="I86" s="264" t="n">
        <v>4642.9</v>
      </c>
      <c r="J86" s="244">
        <f>I86/I85-1</f>
        <v/>
      </c>
    </row>
    <row r="87">
      <c r="B87" s="263" t="inlineStr">
        <is>
          <t>2021-12-09</t>
        </is>
      </c>
      <c r="C87" s="264" t="n">
        <v>6606.1</v>
      </c>
      <c r="D87" s="244">
        <f>C87/C86-1</f>
        <v/>
      </c>
      <c r="E87" s="264" t="n">
        <v>35946.35</v>
      </c>
      <c r="F87" s="244">
        <f>E87/E86-1</f>
        <v/>
      </c>
      <c r="I87" s="264" t="n">
        <v>4612.1</v>
      </c>
      <c r="J87" s="244">
        <f>I87/I86-1</f>
        <v/>
      </c>
    </row>
    <row r="88">
      <c r="B88" s="263" t="inlineStr">
        <is>
          <t>2021-12-10</t>
        </is>
      </c>
      <c r="C88" s="264" t="n">
        <v>6613.2</v>
      </c>
      <c r="D88" s="244">
        <f>C88/C87-1</f>
        <v/>
      </c>
      <c r="E88" s="264" t="n">
        <v>35939.6</v>
      </c>
      <c r="F88" s="244">
        <f>E88/E87-1</f>
        <v/>
      </c>
      <c r="I88" s="264" t="n">
        <v>4576.55</v>
      </c>
      <c r="J88" s="244">
        <f>I88/I87-1</f>
        <v/>
      </c>
    </row>
    <row r="89">
      <c r="B89" s="263" t="inlineStr">
        <is>
          <t>2021-12-13</t>
        </is>
      </c>
      <c r="C89" s="264" t="n">
        <v>6770.6</v>
      </c>
      <c r="D89" s="244">
        <f>C89/C88-1</f>
        <v/>
      </c>
      <c r="E89" s="264" t="n">
        <v>36050.55</v>
      </c>
      <c r="F89" s="244">
        <f>E89/E88-1</f>
        <v/>
      </c>
      <c r="I89" s="264" t="n">
        <v>4597.9</v>
      </c>
      <c r="J89" s="244">
        <f>I89/I88-1</f>
        <v/>
      </c>
    </row>
    <row r="90">
      <c r="B90" s="263" t="inlineStr">
        <is>
          <t>2021-12-14</t>
        </is>
      </c>
      <c r="C90" s="264" t="n">
        <v>6670.05</v>
      </c>
      <c r="D90" s="244">
        <f>C90/C89-1</f>
        <v/>
      </c>
      <c r="E90" s="264" t="n">
        <v>36102.55</v>
      </c>
      <c r="F90" s="244">
        <f>E90/E89-1</f>
        <v/>
      </c>
      <c r="I90" s="264" t="n">
        <v>4625.55</v>
      </c>
      <c r="J90" s="244">
        <f>I90/I89-1</f>
        <v/>
      </c>
    </row>
    <row r="91">
      <c r="B91" s="263" t="inlineStr">
        <is>
          <t>2021-12-15</t>
        </is>
      </c>
      <c r="C91" s="264" t="n">
        <v>6675.65</v>
      </c>
      <c r="D91" s="244">
        <f>C91/C90-1</f>
        <v/>
      </c>
      <c r="E91" s="264" t="n">
        <v>35737.2</v>
      </c>
      <c r="F91" s="244">
        <f>E91/E90-1</f>
        <v/>
      </c>
      <c r="I91" s="264" t="n">
        <v>4547.35</v>
      </c>
      <c r="J91" s="244">
        <f>I91/I90-1</f>
        <v/>
      </c>
    </row>
    <row r="92">
      <c r="B92" s="263" t="inlineStr">
        <is>
          <t>2021-12-16</t>
        </is>
      </c>
      <c r="C92" s="264" t="n">
        <v>6839.55</v>
      </c>
      <c r="D92" s="244">
        <f>C92/C91-1</f>
        <v/>
      </c>
      <c r="E92" s="264" t="n">
        <v>36160.3</v>
      </c>
      <c r="F92" s="244">
        <f>E92/E91-1</f>
        <v/>
      </c>
      <c r="I92" s="264" t="n">
        <v>4591.05</v>
      </c>
      <c r="J92" s="244">
        <f>I92/I91-1</f>
        <v/>
      </c>
    </row>
    <row r="93">
      <c r="B93" s="263" t="inlineStr">
        <is>
          <t>2021-12-17</t>
        </is>
      </c>
      <c r="C93" s="264" t="n">
        <v>6978.3</v>
      </c>
      <c r="D93" s="244">
        <f>C93/C92-1</f>
        <v/>
      </c>
      <c r="E93" s="264" t="n">
        <v>36647.9</v>
      </c>
      <c r="F93" s="244">
        <f>E93/E92-1</f>
        <v/>
      </c>
      <c r="I93" s="264" t="n">
        <v>4587.7</v>
      </c>
      <c r="J93" s="244">
        <f>I93/I92-1</f>
        <v/>
      </c>
    </row>
    <row r="94">
      <c r="B94" s="263" t="inlineStr">
        <is>
          <t>2021-12-20</t>
        </is>
      </c>
      <c r="C94" s="264" t="n">
        <v>6736.05</v>
      </c>
      <c r="D94" s="244">
        <f>C94/C93-1</f>
        <v/>
      </c>
      <c r="E94" s="264" t="n">
        <v>35916.45</v>
      </c>
      <c r="F94" s="244">
        <f>E94/E93-1</f>
        <v/>
      </c>
      <c r="I94" s="264" t="n">
        <v>4304.7</v>
      </c>
      <c r="J94" s="244">
        <f>I94/I93-1</f>
        <v/>
      </c>
    </row>
    <row r="95">
      <c r="B95" s="263" t="inlineStr">
        <is>
          <t>2021-12-21</t>
        </is>
      </c>
      <c r="C95" s="264" t="n">
        <v>6976.45</v>
      </c>
      <c r="D95" s="244">
        <f>C95/C94-1</f>
        <v/>
      </c>
      <c r="E95" s="264" t="n">
        <v>36627.15</v>
      </c>
      <c r="F95" s="244">
        <f>E95/E94-1</f>
        <v/>
      </c>
      <c r="I95" s="264" t="n">
        <v>4432.15</v>
      </c>
      <c r="J95" s="244">
        <f>I95/I94-1</f>
        <v/>
      </c>
    </row>
    <row r="96">
      <c r="B96" s="263" t="inlineStr">
        <is>
          <t>2021-12-22</t>
        </is>
      </c>
      <c r="C96" s="264" t="n">
        <v>7126</v>
      </c>
      <c r="D96" s="244">
        <f>C96/C95-1</f>
        <v/>
      </c>
      <c r="E96" s="264" t="n">
        <v>36989.15</v>
      </c>
      <c r="F96" s="244">
        <f>E96/E95-1</f>
        <v/>
      </c>
      <c r="I96" s="264" t="n">
        <v>4533.6</v>
      </c>
      <c r="J96" s="244">
        <f>I96/I95-1</f>
        <v/>
      </c>
    </row>
    <row r="97">
      <c r="B97" s="263" t="inlineStr">
        <is>
          <t>2021-12-23</t>
        </is>
      </c>
      <c r="C97" s="264" t="n">
        <v>7033.5</v>
      </c>
      <c r="D97" s="244">
        <f>C97/C96-1</f>
        <v/>
      </c>
      <c r="E97" s="264" t="n">
        <v>37362.85</v>
      </c>
      <c r="F97" s="244">
        <f>E97/E96-1</f>
        <v/>
      </c>
      <c r="I97" s="264" t="n">
        <v>4592.25</v>
      </c>
      <c r="J97" s="244">
        <f>I97/I96-1</f>
        <v/>
      </c>
    </row>
    <row r="98">
      <c r="B98" s="263" t="inlineStr">
        <is>
          <t>2021-12-24</t>
        </is>
      </c>
      <c r="C98" s="264" t="n">
        <v>7166.55</v>
      </c>
      <c r="D98" s="244">
        <f>C98/C97-1</f>
        <v/>
      </c>
      <c r="E98" s="264" t="n">
        <v>37727.8</v>
      </c>
      <c r="F98" s="244">
        <f>E98/E97-1</f>
        <v/>
      </c>
      <c r="I98" s="264" t="n">
        <v>4621.05</v>
      </c>
      <c r="J98" s="244">
        <f>I98/I97-1</f>
        <v/>
      </c>
    </row>
    <row r="99">
      <c r="B99" s="263" t="inlineStr">
        <is>
          <t>2021-12-27</t>
        </is>
      </c>
      <c r="C99" s="264" t="n">
        <v>7181.25</v>
      </c>
      <c r="D99" s="244">
        <f>C99/C98-1</f>
        <v/>
      </c>
      <c r="E99" s="264" t="n">
        <v>37988.5</v>
      </c>
      <c r="F99" s="244">
        <f>E99/E98-1</f>
        <v/>
      </c>
      <c r="I99" s="264" t="n">
        <v>4634.6</v>
      </c>
      <c r="J99" s="244">
        <f>I99/I98-1</f>
        <v/>
      </c>
    </row>
    <row r="100">
      <c r="B100" s="263" t="inlineStr">
        <is>
          <t>2021-12-28</t>
        </is>
      </c>
      <c r="C100" s="264" t="n">
        <v>7271.95</v>
      </c>
      <c r="D100" s="244">
        <f>C100/C99-1</f>
        <v/>
      </c>
      <c r="E100" s="264" t="n">
        <v>38357.8</v>
      </c>
      <c r="F100" s="244">
        <f>E100/E99-1</f>
        <v/>
      </c>
      <c r="I100" s="264" t="n">
        <v>4669.4</v>
      </c>
      <c r="J100" s="244">
        <f>I100/I99-1</f>
        <v/>
      </c>
    </row>
    <row r="101">
      <c r="B101" s="263" t="inlineStr">
        <is>
          <t>2021-12-29</t>
        </is>
      </c>
      <c r="C101" s="264" t="n">
        <v>7263.1</v>
      </c>
      <c r="D101" s="244">
        <f>C101/C100-1</f>
        <v/>
      </c>
      <c r="E101" s="264" t="n">
        <v>38274.65</v>
      </c>
      <c r="F101" s="244">
        <f>E101/E100-1</f>
        <v/>
      </c>
      <c r="I101" s="264" t="n">
        <v>4649.85</v>
      </c>
      <c r="J101" s="244">
        <f>I101/I100-1</f>
        <v/>
      </c>
    </row>
    <row r="102">
      <c r="B102" s="263" t="inlineStr">
        <is>
          <t>2021-12-30</t>
        </is>
      </c>
      <c r="C102" s="264" t="n">
        <v>7292.5</v>
      </c>
      <c r="D102" s="244">
        <f>C102/C101-1</f>
        <v/>
      </c>
      <c r="E102" s="264" t="n">
        <v>38658.8</v>
      </c>
      <c r="F102" s="244">
        <f>E102/E101-1</f>
        <v/>
      </c>
      <c r="I102" s="264" t="n">
        <v>4733.6</v>
      </c>
      <c r="J102" s="244">
        <f>I102/I101-1</f>
        <v/>
      </c>
    </row>
    <row r="103">
      <c r="B103" s="263" t="inlineStr">
        <is>
          <t>2021-12-31</t>
        </is>
      </c>
      <c r="C103" s="264" t="n">
        <v>7332</v>
      </c>
      <c r="D103" s="244">
        <f>C103/C102-1</f>
        <v/>
      </c>
      <c r="E103" s="264" t="n">
        <v>38701.05</v>
      </c>
      <c r="F103" s="244">
        <f>E103/E102-1</f>
        <v/>
      </c>
      <c r="I103" s="264" t="n">
        <v>4780</v>
      </c>
      <c r="J103" s="244">
        <f>I103/I102-1</f>
        <v/>
      </c>
    </row>
    <row r="104">
      <c r="B104" s="263" t="inlineStr">
        <is>
          <t>2022-01-03</t>
        </is>
      </c>
      <c r="C104" s="264" t="n">
        <v>7532.85</v>
      </c>
      <c r="D104" s="244">
        <f>C104/C103-1</f>
        <v/>
      </c>
      <c r="E104" s="264" t="n">
        <v>39123.8</v>
      </c>
      <c r="F104" s="244">
        <f>E104/E103-1</f>
        <v/>
      </c>
      <c r="I104" s="264" t="n">
        <v>4842.05</v>
      </c>
      <c r="J104" s="244">
        <f>I104/I103-1</f>
        <v/>
      </c>
    </row>
    <row r="105">
      <c r="B105" s="263" t="inlineStr">
        <is>
          <t>2022-01-04</t>
        </is>
      </c>
      <c r="C105" s="264" t="n">
        <v>7561.75</v>
      </c>
      <c r="D105" s="244">
        <f>C105/C104-1</f>
        <v/>
      </c>
      <c r="E105" s="264" t="n">
        <v>39370.7</v>
      </c>
      <c r="F105" s="244">
        <f>E105/E104-1</f>
        <v/>
      </c>
      <c r="I105" s="264" t="n">
        <v>4777.7</v>
      </c>
      <c r="J105" s="244">
        <f>I105/I104-1</f>
        <v/>
      </c>
    </row>
    <row r="106">
      <c r="B106" s="263" t="inlineStr">
        <is>
          <t>2022-01-05</t>
        </is>
      </c>
      <c r="C106" s="264" t="n">
        <v>7317.1</v>
      </c>
      <c r="D106" s="244">
        <f>C106/C105-1</f>
        <v/>
      </c>
      <c r="E106" s="264" t="n">
        <v>38609.15</v>
      </c>
      <c r="F106" s="244">
        <f>E106/E105-1</f>
        <v/>
      </c>
      <c r="I106" s="264" t="n">
        <v>4688.25</v>
      </c>
      <c r="J106" s="244">
        <f>I106/I105-1</f>
        <v/>
      </c>
    </row>
    <row r="107">
      <c r="B107" s="263" t="inlineStr">
        <is>
          <t>2022-01-06</t>
        </is>
      </c>
      <c r="C107" s="264" t="n">
        <v>7191.25</v>
      </c>
      <c r="D107" s="244">
        <f>C107/C106-1</f>
        <v/>
      </c>
      <c r="E107" s="264" t="n">
        <v>38009</v>
      </c>
      <c r="F107" s="244">
        <f>E107/E106-1</f>
        <v/>
      </c>
      <c r="I107" s="264" t="n">
        <v>4611.6</v>
      </c>
      <c r="J107" s="244">
        <f>I107/I106-1</f>
        <v/>
      </c>
    </row>
    <row r="108">
      <c r="B108" s="263" t="inlineStr">
        <is>
          <t>2022-01-07</t>
        </is>
      </c>
      <c r="C108" s="264" t="n">
        <v>7205.45</v>
      </c>
      <c r="D108" s="244">
        <f>C108/C107-1</f>
        <v/>
      </c>
      <c r="E108" s="264" t="n">
        <v>38139.85</v>
      </c>
      <c r="F108" s="244">
        <f>E108/E107-1</f>
        <v/>
      </c>
      <c r="I108" s="264" t="n">
        <v>4601.05</v>
      </c>
      <c r="J108" s="244">
        <f>I108/I107-1</f>
        <v/>
      </c>
    </row>
    <row r="109">
      <c r="B109" s="263" t="inlineStr">
        <is>
          <t>2022-01-10</t>
        </is>
      </c>
      <c r="C109" s="264" t="n">
        <v>7103.55</v>
      </c>
      <c r="D109" s="244">
        <f>C109/C108-1</f>
        <v/>
      </c>
      <c r="E109" s="264" t="n">
        <v>38212.2</v>
      </c>
      <c r="F109" s="244">
        <f>E109/E108-1</f>
        <v/>
      </c>
      <c r="I109" s="264" t="n">
        <v>4556.25</v>
      </c>
      <c r="J109" s="244">
        <f>I109/I108-1</f>
        <v/>
      </c>
    </row>
    <row r="110">
      <c r="B110" s="263" t="inlineStr">
        <is>
          <t>2022-01-11</t>
        </is>
      </c>
      <c r="C110" s="264" t="n">
        <v>7174.15</v>
      </c>
      <c r="D110" s="244">
        <f>C110/C109-1</f>
        <v/>
      </c>
      <c r="E110" s="264" t="n">
        <v>38605.45</v>
      </c>
      <c r="F110" s="244">
        <f>E110/E109-1</f>
        <v/>
      </c>
      <c r="I110" s="264" t="n">
        <v>4583.55</v>
      </c>
      <c r="J110" s="244">
        <f>I110/I109-1</f>
        <v/>
      </c>
    </row>
    <row r="111">
      <c r="B111" s="263" t="inlineStr">
        <is>
          <t>2022-01-12</t>
        </is>
      </c>
      <c r="C111" s="264" t="n">
        <v>7170.75</v>
      </c>
      <c r="D111" s="244">
        <f>C111/C110-1</f>
        <v/>
      </c>
      <c r="E111" s="264" t="n">
        <v>38604.75</v>
      </c>
      <c r="F111" s="244">
        <f>E111/E110-1</f>
        <v/>
      </c>
      <c r="I111" s="264" t="n">
        <v>4635.95</v>
      </c>
      <c r="J111" s="244">
        <f>I111/I110-1</f>
        <v/>
      </c>
    </row>
    <row r="112">
      <c r="B112" s="263" t="inlineStr">
        <is>
          <t>2022-01-13</t>
        </is>
      </c>
      <c r="C112" s="264" t="n">
        <v>7132.6</v>
      </c>
      <c r="D112" s="244">
        <f>C112/C111-1</f>
        <v/>
      </c>
      <c r="E112" s="264" t="n">
        <v>38607</v>
      </c>
      <c r="F112" s="244">
        <f>E112/E111-1</f>
        <v/>
      </c>
      <c r="I112" s="264" t="n">
        <v>4744.1</v>
      </c>
      <c r="J112" s="244">
        <f>I112/I111-1</f>
        <v/>
      </c>
    </row>
    <row r="113">
      <c r="B113" s="263" t="inlineStr">
        <is>
          <t>2022-01-14</t>
        </is>
      </c>
      <c r="C113" s="264" t="n">
        <v>7078.35</v>
      </c>
      <c r="D113" s="244">
        <f>C113/C112-1</f>
        <v/>
      </c>
      <c r="E113" s="264" t="n">
        <v>38826.85</v>
      </c>
      <c r="F113" s="244">
        <f>E113/E112-1</f>
        <v/>
      </c>
      <c r="I113" s="264" t="n">
        <v>4547.95</v>
      </c>
      <c r="J113" s="244">
        <f>I113/I112-1</f>
        <v/>
      </c>
    </row>
    <row r="114">
      <c r="B114" s="263" t="inlineStr">
        <is>
          <t>2022-01-17</t>
        </is>
      </c>
      <c r="C114" s="264" t="n">
        <v>7103</v>
      </c>
      <c r="D114" s="244">
        <f>C114/C113-1</f>
        <v/>
      </c>
      <c r="E114" s="264" t="n">
        <v>38804.95</v>
      </c>
      <c r="F114" s="244">
        <f>E114/E113-1</f>
        <v/>
      </c>
      <c r="I114" s="264" t="n">
        <v>4511.9</v>
      </c>
      <c r="J114" s="244">
        <f>I114/I113-1</f>
        <v/>
      </c>
    </row>
    <row r="115">
      <c r="B115" s="263" t="inlineStr">
        <is>
          <t>2022-01-18</t>
        </is>
      </c>
      <c r="C115" s="264" t="n">
        <v>6869.5</v>
      </c>
      <c r="D115" s="244">
        <f>C115/C114-1</f>
        <v/>
      </c>
      <c r="E115" s="264" t="n">
        <v>38091.75</v>
      </c>
      <c r="F115" s="244">
        <f>E115/E114-1</f>
        <v/>
      </c>
      <c r="I115" s="264" t="n">
        <v>4343.7</v>
      </c>
      <c r="J115" s="244">
        <f>I115/I114-1</f>
        <v/>
      </c>
    </row>
    <row r="116">
      <c r="B116" s="263" t="inlineStr">
        <is>
          <t>2022-01-19</t>
        </is>
      </c>
      <c r="C116" s="264" t="n">
        <v>6697.05</v>
      </c>
      <c r="D116" s="244">
        <f>C116/C115-1</f>
        <v/>
      </c>
      <c r="E116" s="264" t="n">
        <v>37281.7</v>
      </c>
      <c r="F116" s="244">
        <f>E116/E115-1</f>
        <v/>
      </c>
      <c r="I116" s="264" t="n">
        <v>4226.2</v>
      </c>
      <c r="J116" s="244">
        <f>I116/I115-1</f>
        <v/>
      </c>
    </row>
    <row r="117">
      <c r="B117" s="263" t="inlineStr">
        <is>
          <t>2022-01-20</t>
        </is>
      </c>
      <c r="C117" s="264" t="n">
        <v>6606.45</v>
      </c>
      <c r="D117" s="244">
        <f>C117/C116-1</f>
        <v/>
      </c>
      <c r="E117" s="264" t="n">
        <v>36662.2</v>
      </c>
      <c r="F117" s="244">
        <f>E117/E116-1</f>
        <v/>
      </c>
      <c r="I117" s="264" t="n">
        <v>4251.05</v>
      </c>
      <c r="J117" s="244">
        <f>I117/I116-1</f>
        <v/>
      </c>
    </row>
    <row r="118">
      <c r="B118" s="263" t="inlineStr">
        <is>
          <t>2022-01-21</t>
        </is>
      </c>
      <c r="C118" s="264" t="n">
        <v>6393.8</v>
      </c>
      <c r="D118" s="244">
        <f>C118/C117-1</f>
        <v/>
      </c>
      <c r="E118" s="264" t="n">
        <v>36054.6</v>
      </c>
      <c r="F118" s="244">
        <f>E118/E117-1</f>
        <v/>
      </c>
      <c r="I118" s="264" t="n">
        <v>4118.85</v>
      </c>
      <c r="J118" s="244">
        <f>I118/I117-1</f>
        <v/>
      </c>
    </row>
    <row r="119">
      <c r="B119" s="263" t="inlineStr">
        <is>
          <t>2022-01-24</t>
        </is>
      </c>
      <c r="C119" s="264" t="n">
        <v>5969.1</v>
      </c>
      <c r="D119" s="244">
        <f>C119/C118-1</f>
        <v/>
      </c>
      <c r="E119" s="264" t="n">
        <v>34821.6</v>
      </c>
      <c r="F119" s="244">
        <f>E119/E118-1</f>
        <v/>
      </c>
      <c r="I119" s="264" t="n">
        <v>3888.95</v>
      </c>
      <c r="J119" s="244">
        <f>I119/I118-1</f>
        <v/>
      </c>
    </row>
    <row r="120">
      <c r="B120" s="263" t="inlineStr">
        <is>
          <t>2022-01-25</t>
        </is>
      </c>
      <c r="C120" s="264" t="n">
        <v>6034.15</v>
      </c>
      <c r="D120" s="244">
        <f>C120/C119-1</f>
        <v/>
      </c>
      <c r="E120" s="264" t="n">
        <v>34707.45</v>
      </c>
      <c r="F120" s="244">
        <f>E120/E119-1</f>
        <v/>
      </c>
      <c r="I120" s="264" t="n">
        <v>3827.2</v>
      </c>
      <c r="J120" s="244">
        <f>I120/I119-1</f>
        <v/>
      </c>
    </row>
    <row r="121">
      <c r="B121" s="263" t="inlineStr">
        <is>
          <t>2022-01-27</t>
        </is>
      </c>
      <c r="C121" s="264" t="n">
        <v>5745.7</v>
      </c>
      <c r="D121" s="244">
        <f>C121/C120-1</f>
        <v/>
      </c>
      <c r="E121" s="264" t="n">
        <v>33475.05</v>
      </c>
      <c r="F121" s="244">
        <f>E121/E120-1</f>
        <v/>
      </c>
      <c r="I121" s="264" t="n">
        <v>3585.2</v>
      </c>
      <c r="J121" s="244">
        <f>I121/I120-1</f>
        <v/>
      </c>
    </row>
    <row r="122">
      <c r="B122" s="263" t="inlineStr">
        <is>
          <t>2022-01-28</t>
        </is>
      </c>
      <c r="C122" s="264" t="n">
        <v>5911.55</v>
      </c>
      <c r="D122" s="244">
        <f>C122/C121-1</f>
        <v/>
      </c>
      <c r="E122" s="264" t="n">
        <v>33851.95</v>
      </c>
      <c r="F122" s="244">
        <f>E122/E121-1</f>
        <v/>
      </c>
      <c r="I122" s="264" t="n">
        <v>3724.2</v>
      </c>
      <c r="J122" s="244">
        <f>I122/I121-1</f>
        <v/>
      </c>
    </row>
    <row r="123">
      <c r="B123" s="263" t="inlineStr">
        <is>
          <t>2022-01-31</t>
        </is>
      </c>
      <c r="C123" s="264" t="n">
        <v>6270.35</v>
      </c>
      <c r="D123" s="244">
        <f>C123/C122-1</f>
        <v/>
      </c>
      <c r="E123" s="264" t="n">
        <v>34824.55</v>
      </c>
      <c r="F123" s="244">
        <f>E123/E122-1</f>
        <v/>
      </c>
      <c r="I123" s="264" t="n">
        <v>4006.3</v>
      </c>
      <c r="J123" s="244">
        <f>I123/I122-1</f>
        <v/>
      </c>
    </row>
    <row r="124">
      <c r="B124" s="263" t="inlineStr">
        <is>
          <t>2022-02-01</t>
        </is>
      </c>
      <c r="C124" s="264" t="n">
        <v>6295.4</v>
      </c>
      <c r="D124" s="244">
        <f>C124/C123-1</f>
        <v/>
      </c>
      <c r="E124" s="264" t="n">
        <v>35371.65</v>
      </c>
      <c r="F124" s="244">
        <f>E124/E123-1</f>
        <v/>
      </c>
      <c r="I124" s="264" t="n">
        <v>3983.7</v>
      </c>
      <c r="J124" s="244">
        <f>I124/I123-1</f>
        <v/>
      </c>
    </row>
    <row r="125">
      <c r="B125" s="263" t="inlineStr">
        <is>
          <t>2022-02-02</t>
        </is>
      </c>
      <c r="C125" s="264" t="n">
        <v>6396.75</v>
      </c>
      <c r="D125" s="244">
        <f>C125/C124-1</f>
        <v/>
      </c>
      <c r="E125" s="264" t="n">
        <v>35788.75</v>
      </c>
      <c r="F125" s="244">
        <f>E125/E124-1</f>
        <v/>
      </c>
      <c r="I125" s="264" t="n">
        <v>4066.1</v>
      </c>
      <c r="J125" s="244">
        <f>I125/I124-1</f>
        <v/>
      </c>
    </row>
    <row r="126">
      <c r="B126" s="263" t="inlineStr">
        <is>
          <t>2022-02-03</t>
        </is>
      </c>
      <c r="C126" s="264" t="n">
        <v>6198.3</v>
      </c>
      <c r="D126" s="244">
        <f>C126/C125-1</f>
        <v/>
      </c>
      <c r="E126" s="264" t="n">
        <v>35056.8</v>
      </c>
      <c r="F126" s="244">
        <f>E126/E125-1</f>
        <v/>
      </c>
      <c r="I126" s="264" t="n">
        <v>3913.1</v>
      </c>
      <c r="J126" s="244">
        <f>I126/I125-1</f>
        <v/>
      </c>
    </row>
    <row r="127">
      <c r="B127" s="263" t="inlineStr">
        <is>
          <t>2022-02-04</t>
        </is>
      </c>
      <c r="C127" s="264" t="n">
        <v>6282</v>
      </c>
      <c r="D127" s="244">
        <f>C127/C126-1</f>
        <v/>
      </c>
      <c r="E127" s="264" t="n">
        <v>35080.1</v>
      </c>
      <c r="F127" s="244">
        <f>E127/E126-1</f>
        <v/>
      </c>
      <c r="I127" s="264" t="n">
        <v>3965.85</v>
      </c>
      <c r="J127" s="244">
        <f>I127/I126-1</f>
        <v/>
      </c>
    </row>
    <row r="128">
      <c r="B128" s="263" t="inlineStr">
        <is>
          <t>2022-02-07</t>
        </is>
      </c>
      <c r="C128" s="264" t="n">
        <v>6127.65</v>
      </c>
      <c r="D128" s="244">
        <f>C128/C127-1</f>
        <v/>
      </c>
      <c r="E128" s="264" t="n">
        <v>34621.25</v>
      </c>
      <c r="F128" s="244">
        <f>E128/E127-1</f>
        <v/>
      </c>
      <c r="I128" s="264" t="n">
        <v>3870.05</v>
      </c>
      <c r="J128" s="244">
        <f>I128/I127-1</f>
        <v/>
      </c>
    </row>
    <row r="129">
      <c r="B129" s="263" t="inlineStr">
        <is>
          <t>2022-02-08</t>
        </is>
      </c>
      <c r="C129" s="264" t="n">
        <v>6143.95</v>
      </c>
      <c r="D129" s="244">
        <f>C129/C128-1</f>
        <v/>
      </c>
      <c r="E129" s="264" t="n">
        <v>34521.55</v>
      </c>
      <c r="F129" s="244">
        <f>E129/E128-1</f>
        <v/>
      </c>
      <c r="I129" s="264" t="n">
        <v>3884.5</v>
      </c>
      <c r="J129" s="244">
        <f>I129/I128-1</f>
        <v/>
      </c>
    </row>
    <row r="130">
      <c r="B130" s="263" t="inlineStr">
        <is>
          <t>2022-02-09</t>
        </is>
      </c>
      <c r="C130" s="264" t="n">
        <v>6290.7</v>
      </c>
      <c r="D130" s="244">
        <f>C130/C129-1</f>
        <v/>
      </c>
      <c r="E130" s="264" t="n">
        <v>34983.3</v>
      </c>
      <c r="F130" s="244">
        <f>E130/E129-1</f>
        <v/>
      </c>
      <c r="I130" s="264" t="n">
        <v>3993.3</v>
      </c>
      <c r="J130" s="244">
        <f>I130/I129-1</f>
        <v/>
      </c>
    </row>
    <row r="131">
      <c r="B131" s="263" t="inlineStr">
        <is>
          <t>2022-02-10</t>
        </is>
      </c>
      <c r="C131" s="264" t="n">
        <v>6317.4</v>
      </c>
      <c r="D131" s="244">
        <f>C131/C130-1</f>
        <v/>
      </c>
      <c r="E131" s="264" t="n">
        <v>35341.85</v>
      </c>
      <c r="F131" s="244">
        <f>E131/E130-1</f>
        <v/>
      </c>
      <c r="I131" s="264" t="n">
        <v>4029.55</v>
      </c>
      <c r="J131" s="244">
        <f>I131/I130-1</f>
        <v/>
      </c>
    </row>
    <row r="132">
      <c r="B132" s="263" t="inlineStr">
        <is>
          <t>2022-02-11</t>
        </is>
      </c>
      <c r="C132" s="264" t="n">
        <v>5999.85</v>
      </c>
      <c r="D132" s="244">
        <f>C132/C131-1</f>
        <v/>
      </c>
      <c r="E132" s="264" t="n">
        <v>34379.05</v>
      </c>
      <c r="F132" s="244">
        <f>E132/E131-1</f>
        <v/>
      </c>
      <c r="I132" s="264" t="n">
        <v>3869.65</v>
      </c>
      <c r="J132" s="244">
        <f>I132/I131-1</f>
        <v/>
      </c>
    </row>
    <row r="133">
      <c r="B133" s="263" t="inlineStr">
        <is>
          <t>2022-02-14</t>
        </is>
      </c>
      <c r="C133" s="264" t="n">
        <v>5885.35</v>
      </c>
      <c r="D133" s="244">
        <f>C133/C132-1</f>
        <v/>
      </c>
      <c r="E133" s="264" t="n">
        <v>33880.65</v>
      </c>
      <c r="F133" s="244">
        <f>E133/E132-1</f>
        <v/>
      </c>
      <c r="I133" s="264" t="n">
        <v>3776.45</v>
      </c>
      <c r="J133" s="244">
        <f>I133/I132-1</f>
        <v/>
      </c>
    </row>
    <row r="134">
      <c r="B134" s="263" t="inlineStr">
        <is>
          <t>2022-02-15</t>
        </is>
      </c>
      <c r="C134" s="264" t="n">
        <v>6102.65</v>
      </c>
      <c r="D134" s="244">
        <f>C134/C133-1</f>
        <v/>
      </c>
      <c r="E134" s="264" t="n">
        <v>34913.3</v>
      </c>
      <c r="F134" s="244">
        <f>E134/E133-1</f>
        <v/>
      </c>
      <c r="I134" s="264" t="n">
        <v>3967.95</v>
      </c>
      <c r="J134" s="244">
        <f>I134/I133-1</f>
        <v/>
      </c>
    </row>
    <row r="135">
      <c r="B135" s="263" t="inlineStr">
        <is>
          <t>2022-02-16</t>
        </is>
      </c>
      <c r="C135" s="264" t="n">
        <v>6002.9</v>
      </c>
      <c r="D135" s="244">
        <f>C135/C134-1</f>
        <v/>
      </c>
      <c r="E135" s="264" t="n">
        <v>34801.95</v>
      </c>
      <c r="F135" s="244">
        <f>E135/E134-1</f>
        <v/>
      </c>
      <c r="I135" s="264" t="n">
        <v>3892.2</v>
      </c>
      <c r="J135" s="244">
        <f>I135/I134-1</f>
        <v/>
      </c>
    </row>
    <row r="136">
      <c r="B136" s="263" t="inlineStr">
        <is>
          <t>2022-02-17</t>
        </is>
      </c>
      <c r="C136" s="264" t="n">
        <v>5934.2</v>
      </c>
      <c r="D136" s="244">
        <f>C136/C135-1</f>
        <v/>
      </c>
      <c r="E136" s="264" t="n">
        <v>34634.1</v>
      </c>
      <c r="F136" s="244">
        <f>E136/E135-1</f>
        <v/>
      </c>
      <c r="I136" s="264" t="n">
        <v>3859.45</v>
      </c>
      <c r="J136" s="244">
        <f>I136/I135-1</f>
        <v/>
      </c>
    </row>
    <row r="137">
      <c r="B137" s="263" t="inlineStr">
        <is>
          <t>2022-02-18</t>
        </is>
      </c>
      <c r="C137" s="264" t="n">
        <v>5860.65</v>
      </c>
      <c r="D137" s="244">
        <f>C137/C136-1</f>
        <v/>
      </c>
      <c r="E137" s="264" t="n">
        <v>34483.1</v>
      </c>
      <c r="F137" s="244">
        <f>E137/E136-1</f>
        <v/>
      </c>
      <c r="I137" s="264" t="n">
        <v>3797</v>
      </c>
      <c r="J137" s="244">
        <f>I137/I136-1</f>
        <v/>
      </c>
    </row>
    <row r="138">
      <c r="B138" s="263" t="inlineStr">
        <is>
          <t>2022-02-21</t>
        </is>
      </c>
      <c r="C138" s="264" t="n">
        <v>5861.3</v>
      </c>
      <c r="D138" s="244">
        <f>C138/C137-1</f>
        <v/>
      </c>
      <c r="E138" s="264" t="n">
        <v>34472.05</v>
      </c>
      <c r="F138" s="244">
        <f>E138/E137-1</f>
        <v/>
      </c>
      <c r="I138" s="264" t="n">
        <v>3847.95</v>
      </c>
      <c r="J138" s="244">
        <f>I138/I137-1</f>
        <v/>
      </c>
    </row>
    <row r="139">
      <c r="B139" s="263" t="inlineStr">
        <is>
          <t>2022-02-22</t>
        </is>
      </c>
      <c r="C139" s="264" t="n">
        <v>5991.05</v>
      </c>
      <c r="D139" s="244">
        <f>C139/C138-1</f>
        <v/>
      </c>
      <c r="E139" s="264" t="n">
        <v>34129.55</v>
      </c>
      <c r="F139" s="244">
        <f>E139/E138-1</f>
        <v/>
      </c>
      <c r="I139" s="264" t="n">
        <v>3821.35</v>
      </c>
      <c r="J139" s="244">
        <f>I139/I138-1</f>
        <v/>
      </c>
    </row>
    <row r="140">
      <c r="B140" s="263" t="inlineStr">
        <is>
          <t>2022-02-23</t>
        </is>
      </c>
      <c r="C140" s="264" t="n">
        <v>5911.8</v>
      </c>
      <c r="D140" s="244">
        <f>C140/C139-1</f>
        <v/>
      </c>
      <c r="E140" s="264" t="n">
        <v>34114.3</v>
      </c>
      <c r="F140" s="244">
        <f>E140/E139-1</f>
        <v/>
      </c>
      <c r="I140" s="264" t="n">
        <v>3801.8</v>
      </c>
      <c r="J140" s="244">
        <f>I140/I139-1</f>
        <v/>
      </c>
    </row>
    <row r="141">
      <c r="B141" s="263" t="inlineStr">
        <is>
          <t>2022-02-24</t>
        </is>
      </c>
      <c r="C141" s="264" t="n">
        <v>5600.95</v>
      </c>
      <c r="D141" s="244">
        <f>C141/C140-1</f>
        <v/>
      </c>
      <c r="E141" s="264" t="n">
        <v>32547.9</v>
      </c>
      <c r="F141" s="244">
        <f>E141/E140-1</f>
        <v/>
      </c>
      <c r="I141" s="264" t="n">
        <v>3565.9</v>
      </c>
      <c r="J141" s="244">
        <f>I141/I140-1</f>
        <v/>
      </c>
    </row>
    <row r="142">
      <c r="B142" s="263" t="inlineStr">
        <is>
          <t>2022-02-25</t>
        </is>
      </c>
      <c r="C142" s="264" t="n">
        <v>5715.3</v>
      </c>
      <c r="D142" s="244">
        <f>C142/C141-1</f>
        <v/>
      </c>
      <c r="E142" s="264" t="n">
        <v>33476.95</v>
      </c>
      <c r="F142" s="244">
        <f>E142/E141-1</f>
        <v/>
      </c>
      <c r="I142" s="264" t="n">
        <v>3783.9</v>
      </c>
      <c r="J142" s="244">
        <f>I142/I141-1</f>
        <v/>
      </c>
    </row>
    <row r="143">
      <c r="B143" s="263" t="inlineStr">
        <is>
          <t>2022-02-28</t>
        </is>
      </c>
      <c r="C143" s="264" t="n">
        <v>5849.8</v>
      </c>
      <c r="D143" s="244">
        <f>C143/C142-1</f>
        <v/>
      </c>
      <c r="E143" s="264" t="n">
        <v>33847.85</v>
      </c>
      <c r="F143" s="244">
        <f>E143/E142-1</f>
        <v/>
      </c>
      <c r="I143" s="264" t="n">
        <v>3881.2</v>
      </c>
      <c r="J143" s="244">
        <f>I143/I142-1</f>
        <v/>
      </c>
    </row>
    <row r="144">
      <c r="B144" s="263" t="inlineStr">
        <is>
          <t>2022-03-02</t>
        </is>
      </c>
      <c r="C144" s="264" t="n">
        <v>5861.3</v>
      </c>
      <c r="D144" s="244">
        <f>C144/C143-1</f>
        <v/>
      </c>
      <c r="E144" s="264" t="n">
        <v>33720</v>
      </c>
      <c r="F144" s="244">
        <f>E144/E143-1</f>
        <v/>
      </c>
      <c r="I144" s="264" t="n">
        <v>3911.85</v>
      </c>
      <c r="J144" s="244">
        <f>I144/I143-1</f>
        <v/>
      </c>
    </row>
    <row r="145">
      <c r="B145" s="263" t="inlineStr">
        <is>
          <t>2022-03-03</t>
        </is>
      </c>
      <c r="C145" s="264" t="n">
        <v>6016.5</v>
      </c>
      <c r="D145" s="244">
        <f>C145/C144-1</f>
        <v/>
      </c>
      <c r="E145" s="264" t="n">
        <v>34130.3</v>
      </c>
      <c r="F145" s="244">
        <f>E145/E144-1</f>
        <v/>
      </c>
      <c r="I145" s="264" t="n">
        <v>3955.3</v>
      </c>
      <c r="J145" s="244">
        <f>I145/I144-1</f>
        <v/>
      </c>
    </row>
    <row r="146">
      <c r="B146" s="263" t="inlineStr">
        <is>
          <t>2022-03-04</t>
        </is>
      </c>
      <c r="C146" s="264" t="n">
        <v>6108.65</v>
      </c>
      <c r="D146" s="244">
        <f>C146/C145-1</f>
        <v/>
      </c>
      <c r="E146" s="264" t="n">
        <v>34177.7</v>
      </c>
      <c r="F146" s="244">
        <f>E146/E145-1</f>
        <v/>
      </c>
      <c r="I146" s="264" t="n">
        <v>3884.6</v>
      </c>
      <c r="J146" s="244">
        <f>I146/I145-1</f>
        <v/>
      </c>
    </row>
    <row r="147">
      <c r="B147" s="263" t="inlineStr">
        <is>
          <t>2022-03-07</t>
        </is>
      </c>
      <c r="C147" s="264" t="n">
        <v>6212.75</v>
      </c>
      <c r="D147" s="244">
        <f>C147/C146-1</f>
        <v/>
      </c>
      <c r="E147" s="264" t="n">
        <v>34135.9</v>
      </c>
      <c r="F147" s="244">
        <f>E147/E146-1</f>
        <v/>
      </c>
      <c r="I147" s="264" t="n">
        <v>3858.85</v>
      </c>
      <c r="J147" s="244">
        <f>I147/I146-1</f>
        <v/>
      </c>
    </row>
    <row r="148">
      <c r="B148" s="263" t="inlineStr">
        <is>
          <t>2022-03-08</t>
        </is>
      </c>
      <c r="C148" s="264" t="n">
        <v>6437.75</v>
      </c>
      <c r="D148" s="244">
        <f>C148/C147-1</f>
        <v/>
      </c>
      <c r="E148" s="264" t="n">
        <v>35055.55</v>
      </c>
      <c r="F148" s="244">
        <f>E148/E147-1</f>
        <v/>
      </c>
      <c r="I148" s="264" t="n">
        <v>3996.75</v>
      </c>
      <c r="J148" s="244">
        <f>I148/I147-1</f>
        <v/>
      </c>
    </row>
    <row r="149">
      <c r="B149" s="263" t="inlineStr">
        <is>
          <t>2022-03-09</t>
        </is>
      </c>
      <c r="C149" s="264" t="n">
        <v>6374.55</v>
      </c>
      <c r="D149" s="244">
        <f>C149/C148-1</f>
        <v/>
      </c>
      <c r="E149" s="264" t="n">
        <v>35440.55</v>
      </c>
      <c r="F149" s="244">
        <f>E149/E148-1</f>
        <v/>
      </c>
      <c r="I149" s="264" t="n">
        <v>4133.8</v>
      </c>
      <c r="J149" s="244">
        <f>I149/I148-1</f>
        <v/>
      </c>
    </row>
    <row r="150">
      <c r="B150" s="263" t="inlineStr">
        <is>
          <t>2022-03-10</t>
        </is>
      </c>
      <c r="C150" s="264" t="n">
        <v>6285.6</v>
      </c>
      <c r="D150" s="244">
        <f>C150/C149-1</f>
        <v/>
      </c>
      <c r="E150" s="264" t="n">
        <v>35399.1</v>
      </c>
      <c r="F150" s="244">
        <f>E150/E149-1</f>
        <v/>
      </c>
      <c r="I150" s="264" t="n">
        <v>4088.6</v>
      </c>
      <c r="J150" s="244">
        <f>I150/I149-1</f>
        <v/>
      </c>
    </row>
    <row r="151">
      <c r="B151" s="263" t="inlineStr">
        <is>
          <t>2022-03-11</t>
        </is>
      </c>
      <c r="C151" s="264" t="n">
        <v>6224.2</v>
      </c>
      <c r="D151" s="244">
        <f>C151/C150-1</f>
        <v/>
      </c>
      <c r="E151" s="264" t="n">
        <v>35348.7</v>
      </c>
      <c r="F151" s="244">
        <f>E151/E150-1</f>
        <v/>
      </c>
      <c r="I151" s="264" t="n">
        <v>4088</v>
      </c>
      <c r="J151" s="244">
        <f>I151/I150-1</f>
        <v/>
      </c>
    </row>
    <row r="152">
      <c r="B152" s="263" t="inlineStr">
        <is>
          <t>2022-03-14</t>
        </is>
      </c>
      <c r="C152" s="264" t="n">
        <v>6272.35</v>
      </c>
      <c r="D152" s="244">
        <f>C152/C151-1</f>
        <v/>
      </c>
      <c r="E152" s="264" t="n">
        <v>36028</v>
      </c>
      <c r="F152" s="244">
        <f>E152/E151-1</f>
        <v/>
      </c>
      <c r="I152" s="264" t="n">
        <v>4125.05</v>
      </c>
      <c r="J152" s="244">
        <f>I152/I151-1</f>
        <v/>
      </c>
    </row>
    <row r="153">
      <c r="B153" s="263" t="inlineStr">
        <is>
          <t>2022-03-15</t>
        </is>
      </c>
      <c r="C153" s="264" t="n">
        <v>6037.8</v>
      </c>
      <c r="D153" s="244">
        <f>C153/C152-1</f>
        <v/>
      </c>
      <c r="E153" s="264" t="n">
        <v>35097.85</v>
      </c>
      <c r="F153" s="244">
        <f>E153/E152-1</f>
        <v/>
      </c>
      <c r="I153" s="264" t="n">
        <v>3884.15</v>
      </c>
      <c r="J153" s="244">
        <f>I153/I152-1</f>
        <v/>
      </c>
    </row>
    <row r="154">
      <c r="B154" s="263" t="inlineStr">
        <is>
          <t>2022-03-16</t>
        </is>
      </c>
      <c r="C154" s="264" t="n">
        <v>6025.7</v>
      </c>
      <c r="D154" s="244">
        <f>C154/C153-1</f>
        <v/>
      </c>
      <c r="E154" s="264" t="n">
        <v>35729.65</v>
      </c>
      <c r="F154" s="244">
        <f>E154/E153-1</f>
        <v/>
      </c>
      <c r="I154" s="264" t="n">
        <v>3948.75</v>
      </c>
      <c r="J154" s="244">
        <f>I154/I153-1</f>
        <v/>
      </c>
    </row>
    <row r="155">
      <c r="B155" s="263" t="inlineStr">
        <is>
          <t>2022-03-17</t>
        </is>
      </c>
      <c r="C155" s="264" t="n">
        <v>6113.85</v>
      </c>
      <c r="D155" s="244">
        <f>C155/C154-1</f>
        <v/>
      </c>
      <c r="E155" s="264" t="n">
        <v>35643.6</v>
      </c>
      <c r="F155" s="244">
        <f>E155/E154-1</f>
        <v/>
      </c>
      <c r="I155" s="264" t="n">
        <v>3986.85</v>
      </c>
      <c r="J155" s="244">
        <f>I155/I154-1</f>
        <v/>
      </c>
    </row>
    <row r="156">
      <c r="B156" s="263" t="inlineStr">
        <is>
          <t>2022-03-21</t>
        </is>
      </c>
      <c r="C156" s="264" t="n">
        <v>5992.4</v>
      </c>
      <c r="D156" s="244">
        <f>C156/C155-1</f>
        <v/>
      </c>
      <c r="E156" s="264" t="n">
        <v>35377.75</v>
      </c>
      <c r="F156" s="244">
        <f>E156/E155-1</f>
        <v/>
      </c>
      <c r="I156" s="264" t="n">
        <v>3975.95</v>
      </c>
      <c r="J156" s="244">
        <f>I156/I155-1</f>
        <v/>
      </c>
    </row>
    <row r="157">
      <c r="B157" s="263" t="inlineStr">
        <is>
          <t>2022-03-22</t>
        </is>
      </c>
      <c r="C157" s="264" t="n">
        <v>6117.55</v>
      </c>
      <c r="D157" s="244">
        <f>C157/C156-1</f>
        <v/>
      </c>
      <c r="E157" s="264" t="n">
        <v>36070.45</v>
      </c>
      <c r="F157" s="244">
        <f>E157/E156-1</f>
        <v/>
      </c>
      <c r="I157" s="264" t="n">
        <v>4034.4</v>
      </c>
      <c r="J157" s="244">
        <f>I157/I156-1</f>
        <v/>
      </c>
    </row>
    <row r="158">
      <c r="B158" s="263" t="inlineStr">
        <is>
          <t>2022-03-23</t>
        </is>
      </c>
      <c r="C158" s="264" t="n">
        <v>6072.8</v>
      </c>
      <c r="D158" s="244">
        <f>C158/C157-1</f>
        <v/>
      </c>
      <c r="E158" s="264" t="n">
        <v>36082</v>
      </c>
      <c r="F158" s="244">
        <f>E158/E157-1</f>
        <v/>
      </c>
      <c r="I158" s="264" t="n">
        <v>4102.6</v>
      </c>
      <c r="J158" s="244">
        <f>I158/I157-1</f>
        <v/>
      </c>
    </row>
    <row r="159">
      <c r="B159" s="263" t="inlineStr">
        <is>
          <t>2022-03-24</t>
        </is>
      </c>
      <c r="C159" s="264" t="n">
        <v>6177.35</v>
      </c>
      <c r="D159" s="244">
        <f>C159/C158-1</f>
        <v/>
      </c>
      <c r="E159" s="264" t="n">
        <v>36516.75</v>
      </c>
      <c r="F159" s="244">
        <f>E159/E158-1</f>
        <v/>
      </c>
      <c r="I159" s="264" t="n">
        <v>4277.5</v>
      </c>
      <c r="J159" s="244">
        <f>I159/I158-1</f>
        <v/>
      </c>
    </row>
    <row r="160">
      <c r="B160" s="263" t="inlineStr">
        <is>
          <t>2022-03-25</t>
        </is>
      </c>
      <c r="C160" s="264" t="n">
        <v>6183.25</v>
      </c>
      <c r="D160" s="244">
        <f>C160/C159-1</f>
        <v/>
      </c>
      <c r="E160" s="264" t="n">
        <v>36152.3</v>
      </c>
      <c r="F160" s="244">
        <f>E160/E159-1</f>
        <v/>
      </c>
      <c r="I160" s="264" t="n">
        <v>4281.35</v>
      </c>
      <c r="J160" s="244">
        <f>I160/I159-1</f>
        <v/>
      </c>
    </row>
    <row r="161">
      <c r="B161" s="263" t="inlineStr">
        <is>
          <t>2022-03-28</t>
        </is>
      </c>
      <c r="C161" s="264" t="n">
        <v>6071.4</v>
      </c>
      <c r="D161" s="244">
        <f>C161/C160-1</f>
        <v/>
      </c>
      <c r="E161" s="264" t="n">
        <v>36026.05</v>
      </c>
      <c r="F161" s="244">
        <f>E161/E160-1</f>
        <v/>
      </c>
      <c r="I161" s="264" t="n">
        <v>4232.75</v>
      </c>
      <c r="J161" s="244">
        <f>I161/I160-1</f>
        <v/>
      </c>
    </row>
    <row r="162">
      <c r="B162" s="263" t="inlineStr">
        <is>
          <t>2022-03-29</t>
        </is>
      </c>
      <c r="C162" s="264" t="n">
        <v>6024.25</v>
      </c>
      <c r="D162" s="244">
        <f>C162/C161-1</f>
        <v/>
      </c>
      <c r="E162" s="264" t="n">
        <v>36146.75</v>
      </c>
      <c r="F162" s="244">
        <f>E162/E161-1</f>
        <v/>
      </c>
      <c r="I162" s="264" t="n">
        <v>4250.95</v>
      </c>
      <c r="J162" s="244">
        <f>I162/I161-1</f>
        <v/>
      </c>
    </row>
    <row r="163">
      <c r="B163" s="263" t="inlineStr">
        <is>
          <t>2022-03-30</t>
        </is>
      </c>
      <c r="C163" s="264" t="n">
        <v>6310.35</v>
      </c>
      <c r="D163" s="244">
        <f>C163/C162-1</f>
        <v/>
      </c>
      <c r="E163" s="264" t="n">
        <v>36463.55</v>
      </c>
      <c r="F163" s="244">
        <f>E163/E162-1</f>
        <v/>
      </c>
      <c r="I163" s="264" t="n">
        <v>4407.8</v>
      </c>
      <c r="J163" s="244">
        <f>I163/I162-1</f>
        <v/>
      </c>
    </row>
    <row r="164">
      <c r="B164" s="263" t="inlineStr">
        <is>
          <t>2022-03-31</t>
        </is>
      </c>
      <c r="C164" s="264" t="n">
        <v>6155.4</v>
      </c>
      <c r="D164" s="244">
        <f>C164/C163-1</f>
        <v/>
      </c>
      <c r="E164" s="264" t="n">
        <v>36317.2</v>
      </c>
      <c r="F164" s="244">
        <f>E164/E163-1</f>
        <v/>
      </c>
      <c r="I164" s="264" t="n">
        <v>4302.9</v>
      </c>
      <c r="J164" s="244">
        <f>I164/I163-1</f>
        <v/>
      </c>
    </row>
    <row r="165">
      <c r="B165" s="263" t="inlineStr">
        <is>
          <t>2022-04-01</t>
        </is>
      </c>
      <c r="C165" s="264" t="n">
        <v>6173.5</v>
      </c>
      <c r="D165" s="244">
        <f>C165/C164-1</f>
        <v/>
      </c>
      <c r="E165" s="264" t="n">
        <v>36343.4</v>
      </c>
      <c r="F165" s="244">
        <f>E165/E164-1</f>
        <v/>
      </c>
      <c r="I165" s="264" t="n">
        <v>4242.8</v>
      </c>
      <c r="J165" s="244">
        <f>I165/I164-1</f>
        <v/>
      </c>
    </row>
    <row r="166">
      <c r="B166" s="263" t="inlineStr">
        <is>
          <t>2022-04-04</t>
        </is>
      </c>
      <c r="C166" s="264" t="n">
        <v>6300.35</v>
      </c>
      <c r="D166" s="244">
        <f>C166/C165-1</f>
        <v/>
      </c>
      <c r="E166" s="264" t="n">
        <v>36442.9</v>
      </c>
      <c r="F166" s="244">
        <f>E166/E165-1</f>
        <v/>
      </c>
      <c r="I166" s="264" t="n">
        <v>4315.7</v>
      </c>
      <c r="J166" s="244">
        <f>I166/I165-1</f>
        <v/>
      </c>
    </row>
    <row r="167">
      <c r="B167" s="263" t="inlineStr">
        <is>
          <t>2022-04-05</t>
        </is>
      </c>
      <c r="C167" s="264" t="n">
        <v>6337.6</v>
      </c>
      <c r="D167" s="244">
        <f>C167/C166-1</f>
        <v/>
      </c>
      <c r="E167" s="264" t="n">
        <v>36466.55</v>
      </c>
      <c r="F167" s="244">
        <f>E167/E166-1</f>
        <v/>
      </c>
      <c r="I167" s="264" t="n">
        <v>4389.5</v>
      </c>
      <c r="J167" s="244">
        <f>I167/I166-1</f>
        <v/>
      </c>
    </row>
    <row r="168">
      <c r="B168" s="263" t="inlineStr">
        <is>
          <t>2022-04-06</t>
        </is>
      </c>
      <c r="C168" s="264" t="n">
        <v>6325.5</v>
      </c>
      <c r="D168" s="244">
        <f>C168/C167-1</f>
        <v/>
      </c>
      <c r="E168" s="264" t="n">
        <v>35871.5</v>
      </c>
      <c r="F168" s="244">
        <f>E168/E167-1</f>
        <v/>
      </c>
      <c r="I168" s="264" t="n">
        <v>4338.55</v>
      </c>
      <c r="J168" s="244">
        <f>I168/I167-1</f>
        <v/>
      </c>
    </row>
    <row r="169">
      <c r="B169" s="263" t="inlineStr">
        <is>
          <t>2022-04-07</t>
        </is>
      </c>
      <c r="C169" s="264" t="n">
        <v>6206.25</v>
      </c>
      <c r="D169" s="244">
        <f>C169/C168-1</f>
        <v/>
      </c>
      <c r="E169" s="264" t="n">
        <v>35423.25</v>
      </c>
      <c r="F169" s="244">
        <f>E169/E168-1</f>
        <v/>
      </c>
      <c r="I169" s="264" t="n">
        <v>4271.05</v>
      </c>
      <c r="J169" s="244">
        <f>I169/I168-1</f>
        <v/>
      </c>
    </row>
    <row r="170">
      <c r="B170" s="263" t="inlineStr">
        <is>
          <t>2022-04-08</t>
        </is>
      </c>
      <c r="C170" s="264" t="n">
        <v>6153.2</v>
      </c>
      <c r="D170" s="244">
        <f>C170/C169-1</f>
        <v/>
      </c>
      <c r="E170" s="264" t="n">
        <v>35394.45</v>
      </c>
      <c r="F170" s="244">
        <f>E170/E169-1</f>
        <v/>
      </c>
      <c r="I170" s="264" t="n">
        <v>4303.2</v>
      </c>
      <c r="J170" s="244">
        <f>I170/I169-1</f>
        <v/>
      </c>
    </row>
    <row r="171">
      <c r="B171" s="263" t="inlineStr">
        <is>
          <t>2022-04-11</t>
        </is>
      </c>
      <c r="C171" s="264" t="n">
        <v>6059.75</v>
      </c>
      <c r="D171" s="244">
        <f>C171/C170-1</f>
        <v/>
      </c>
      <c r="E171" s="264" t="n">
        <v>34895.9</v>
      </c>
      <c r="F171" s="244">
        <f>E171/E170-1</f>
        <v/>
      </c>
      <c r="I171" s="264" t="n">
        <v>4232.4</v>
      </c>
      <c r="J171" s="244">
        <f>I171/I170-1</f>
        <v/>
      </c>
    </row>
    <row r="172">
      <c r="B172" s="263" t="inlineStr">
        <is>
          <t>2022-04-12</t>
        </is>
      </c>
      <c r="C172" s="264" t="n">
        <v>5910.55</v>
      </c>
      <c r="D172" s="244">
        <f>C172/C171-1</f>
        <v/>
      </c>
      <c r="E172" s="264" t="n">
        <v>34379.5</v>
      </c>
      <c r="F172" s="244">
        <f>E172/E171-1</f>
        <v/>
      </c>
      <c r="I172" s="264" t="n">
        <v>4060.45</v>
      </c>
      <c r="J172" s="244">
        <f>I172/I171-1</f>
        <v/>
      </c>
    </row>
    <row r="173">
      <c r="B173" s="263" t="inlineStr">
        <is>
          <t>2022-04-13</t>
        </is>
      </c>
      <c r="C173" s="264" t="n">
        <v>6038.8</v>
      </c>
      <c r="D173" s="244">
        <f>C173/C172-1</f>
        <v/>
      </c>
      <c r="E173" s="264" t="n">
        <v>34354.8</v>
      </c>
      <c r="F173" s="244">
        <f>E173/E172-1</f>
        <v/>
      </c>
      <c r="I173" s="264" t="n">
        <v>4098.95</v>
      </c>
      <c r="J173" s="244">
        <f>I173/I172-1</f>
        <v/>
      </c>
    </row>
    <row r="174">
      <c r="B174" s="263" t="inlineStr">
        <is>
          <t>2022-04-18</t>
        </is>
      </c>
      <c r="C174" s="264" t="n">
        <v>5873.65</v>
      </c>
      <c r="D174" s="244">
        <f>C174/C173-1</f>
        <v/>
      </c>
      <c r="E174" s="264" t="n">
        <v>32780.05</v>
      </c>
      <c r="F174" s="244">
        <f>E174/E173-1</f>
        <v/>
      </c>
      <c r="I174" s="264" t="n">
        <v>3957.5</v>
      </c>
      <c r="J174" s="244">
        <f>I174/I173-1</f>
        <v/>
      </c>
    </row>
    <row r="175">
      <c r="B175" s="263" t="inlineStr">
        <is>
          <t>2022-04-19</t>
        </is>
      </c>
      <c r="C175" s="264" t="n">
        <v>5472.35</v>
      </c>
      <c r="D175" s="244">
        <f>C175/C174-1</f>
        <v/>
      </c>
      <c r="E175" s="264" t="n">
        <v>31804.2</v>
      </c>
      <c r="F175" s="244">
        <f>E175/E174-1</f>
        <v/>
      </c>
      <c r="I175" s="264" t="n">
        <v>3635.65</v>
      </c>
      <c r="J175" s="244">
        <f>I175/I174-1</f>
        <v/>
      </c>
    </row>
    <row r="176">
      <c r="B176" s="263" t="inlineStr">
        <is>
          <t>2022-04-20</t>
        </is>
      </c>
      <c r="C176" s="264" t="n">
        <v>5170.3</v>
      </c>
      <c r="D176" s="244">
        <f>C176/C175-1</f>
        <v/>
      </c>
      <c r="E176" s="264" t="n">
        <v>32173.4</v>
      </c>
      <c r="F176" s="244">
        <f>E176/E175-1</f>
        <v/>
      </c>
      <c r="I176" s="264" t="n">
        <v>3668.35</v>
      </c>
      <c r="J176" s="244">
        <f>I176/I175-1</f>
        <v/>
      </c>
    </row>
    <row r="177">
      <c r="B177" s="263" t="inlineStr">
        <is>
          <t>2022-04-21</t>
        </is>
      </c>
      <c r="C177" s="264" t="n">
        <v>5076.95</v>
      </c>
      <c r="D177" s="244">
        <f>C177/C176-1</f>
        <v/>
      </c>
      <c r="E177" s="264" t="n">
        <v>32611.6</v>
      </c>
      <c r="F177" s="244">
        <f>E177/E176-1</f>
        <v/>
      </c>
      <c r="I177" s="264" t="n">
        <v>3737.5</v>
      </c>
      <c r="J177" s="244">
        <f>I177/I176-1</f>
        <v/>
      </c>
    </row>
    <row r="178">
      <c r="B178" s="263" t="inlineStr">
        <is>
          <t>2022-04-22</t>
        </is>
      </c>
      <c r="C178" s="264" t="n">
        <v>5093.85</v>
      </c>
      <c r="D178" s="244">
        <f>C178/C177-1</f>
        <v/>
      </c>
      <c r="E178" s="264" t="n">
        <v>32426.7</v>
      </c>
      <c r="F178" s="244">
        <f>E178/E177-1</f>
        <v/>
      </c>
      <c r="I178" s="264" t="n">
        <v>3871.3</v>
      </c>
      <c r="J178" s="244">
        <f>I178/I177-1</f>
        <v/>
      </c>
    </row>
    <row r="179">
      <c r="B179" s="263" t="inlineStr">
        <is>
          <t>2022-04-25</t>
        </is>
      </c>
      <c r="C179" s="264" t="n">
        <v>4856.05</v>
      </c>
      <c r="D179" s="244">
        <f>C179/C178-1</f>
        <v/>
      </c>
      <c r="E179" s="264" t="n">
        <v>31744</v>
      </c>
      <c r="F179" s="244">
        <f>E179/E178-1</f>
        <v/>
      </c>
      <c r="I179" s="264" t="n">
        <v>3722.55</v>
      </c>
      <c r="J179" s="244">
        <f>I179/I178-1</f>
        <v/>
      </c>
    </row>
    <row r="180">
      <c r="B180" s="263" t="inlineStr">
        <is>
          <t>2022-04-26</t>
        </is>
      </c>
      <c r="C180" s="264" t="n">
        <v>4817.1</v>
      </c>
      <c r="D180" s="244">
        <f>C180/C179-1</f>
        <v/>
      </c>
      <c r="E180" s="264" t="n">
        <v>31840.05</v>
      </c>
      <c r="F180" s="244">
        <f>E180/E179-1</f>
        <v/>
      </c>
      <c r="I180" s="264" t="n">
        <v>3699.4</v>
      </c>
      <c r="J180" s="244">
        <f>I180/I179-1</f>
        <v/>
      </c>
    </row>
    <row r="181">
      <c r="B181" s="263" t="inlineStr">
        <is>
          <t>2022-04-27</t>
        </is>
      </c>
      <c r="C181" s="264" t="n">
        <v>4816.95</v>
      </c>
      <c r="D181" s="244">
        <f>C181/C180-1</f>
        <v/>
      </c>
      <c r="E181" s="264" t="n">
        <v>31594.35</v>
      </c>
      <c r="F181" s="244">
        <f>E181/E180-1</f>
        <v/>
      </c>
      <c r="I181" s="264" t="n">
        <v>3538.35</v>
      </c>
      <c r="J181" s="244">
        <f>I181/I180-1</f>
        <v/>
      </c>
    </row>
    <row r="182">
      <c r="B182" s="263" t="inlineStr">
        <is>
          <t>2022-04-28</t>
        </is>
      </c>
      <c r="C182" s="264" t="n">
        <v>4886.05</v>
      </c>
      <c r="D182" s="244">
        <f>C182/C181-1</f>
        <v/>
      </c>
      <c r="E182" s="264" t="n">
        <v>31914.35</v>
      </c>
      <c r="F182" s="244">
        <f>E182/E181-1</f>
        <v/>
      </c>
      <c r="G182" s="244">
        <f>$C$10+$C$9*F182</f>
        <v/>
      </c>
      <c r="H182" s="240">
        <f>D182-G182</f>
        <v/>
      </c>
      <c r="I182" s="264" t="n">
        <v>3606.2</v>
      </c>
      <c r="J182" s="244">
        <f>I182/I181-1</f>
        <v/>
      </c>
      <c r="K182" s="244">
        <f>$C$18+$C$17*F182</f>
        <v/>
      </c>
      <c r="L182" s="240">
        <f>J182-K182</f>
        <v/>
      </c>
    </row>
    <row r="183">
      <c r="B183" s="263" t="inlineStr">
        <is>
          <t>2022-04-29</t>
        </is>
      </c>
      <c r="C183" s="264" t="n">
        <v>4839.05</v>
      </c>
      <c r="D183" s="244">
        <f>C183/C182-1</f>
        <v/>
      </c>
      <c r="E183" s="264" t="n">
        <v>31622.4</v>
      </c>
      <c r="F183" s="244">
        <f>E183/E182-1</f>
        <v/>
      </c>
      <c r="G183" s="244">
        <f>$C$10+$C$9*F183</f>
        <v/>
      </c>
      <c r="H183" s="240">
        <f>D183-G183</f>
        <v/>
      </c>
      <c r="I183" s="264" t="n">
        <v>3552.15</v>
      </c>
      <c r="J183" s="244">
        <f>I183/I182-1</f>
        <v/>
      </c>
      <c r="K183" s="244">
        <f>$C$18+$C$17*F183</f>
        <v/>
      </c>
      <c r="L183" s="240">
        <f>J183-K183</f>
        <v/>
      </c>
    </row>
    <row r="184">
      <c r="B184" s="263" t="inlineStr">
        <is>
          <t>2022-05-02</t>
        </is>
      </c>
      <c r="C184" s="264" t="n">
        <v>4716.65</v>
      </c>
      <c r="D184" s="244">
        <f>C184/C183-1</f>
        <v/>
      </c>
      <c r="E184" s="264" t="n">
        <v>31138.8</v>
      </c>
      <c r="F184" s="244">
        <f>E184/E183-1</f>
        <v/>
      </c>
      <c r="G184" s="244">
        <f>$C$10+$C$9*F184</f>
        <v/>
      </c>
      <c r="H184" s="240">
        <f>D184-G184</f>
        <v/>
      </c>
    </row>
    <row r="185">
      <c r="B185" s="263" t="inlineStr">
        <is>
          <t>2022-05-04</t>
        </is>
      </c>
      <c r="C185" s="264" t="n">
        <v>4738.15</v>
      </c>
      <c r="D185" s="244">
        <f>C185/C184-1</f>
        <v/>
      </c>
      <c r="E185" s="264" t="n">
        <v>30794.6</v>
      </c>
      <c r="F185" s="244">
        <f>E185/E184-1</f>
        <v/>
      </c>
      <c r="G185" s="244">
        <f>$C$10+$C$9*F185</f>
        <v/>
      </c>
      <c r="H185" s="240">
        <f>D185-G185</f>
        <v/>
      </c>
      <c r="I185" s="264" t="n">
        <v>3469.05</v>
      </c>
    </row>
    <row r="186">
      <c r="B186" s="263" t="inlineStr">
        <is>
          <t>2022-05-05</t>
        </is>
      </c>
      <c r="C186" s="264" t="n">
        <v>4765.2</v>
      </c>
      <c r="D186" s="244">
        <f>C186/C185-1</f>
        <v/>
      </c>
      <c r="E186" s="264" t="n">
        <v>31432.45</v>
      </c>
      <c r="F186" s="244">
        <f>E186/E185-1</f>
        <v/>
      </c>
      <c r="G186" s="244">
        <f>$C$10+$C$9*F186</f>
        <v/>
      </c>
      <c r="H186" s="240">
        <f>D186-G186</f>
        <v/>
      </c>
      <c r="I186" s="264" t="n">
        <v>3510.45</v>
      </c>
      <c r="J186" s="244">
        <f>I186/I185-1</f>
        <v/>
      </c>
      <c r="K186" s="244">
        <f>$C$18+$C$17*F186</f>
        <v/>
      </c>
      <c r="L186" s="240">
        <f>J186-K186</f>
        <v/>
      </c>
    </row>
    <row r="187">
      <c r="B187" s="263" t="inlineStr">
        <is>
          <t>2022-05-06</t>
        </is>
      </c>
      <c r="C187" s="264" t="n">
        <v>4593</v>
      </c>
      <c r="D187" s="244">
        <f>C187/C186-1</f>
        <v/>
      </c>
      <c r="E187" s="264" t="n">
        <v>30719.45</v>
      </c>
      <c r="F187" s="244">
        <f>E187/E186-1</f>
        <v/>
      </c>
      <c r="G187" s="244">
        <f>$C$10+$C$9*F187</f>
        <v/>
      </c>
      <c r="H187" s="240">
        <f>D187-G187</f>
        <v/>
      </c>
      <c r="I187" s="264" t="n">
        <v>3373.8</v>
      </c>
      <c r="J187" s="244">
        <f>I187/I186-1</f>
        <v/>
      </c>
      <c r="K187" s="244">
        <f>$C$18+$C$17*F187</f>
        <v/>
      </c>
      <c r="L187" s="240">
        <f>J187-K187</f>
        <v/>
      </c>
    </row>
    <row r="188">
      <c r="B188" s="263" t="inlineStr">
        <is>
          <t>2022-05-09</t>
        </is>
      </c>
      <c r="C188" s="264" t="n">
        <v>4448.9</v>
      </c>
      <c r="D188" s="244">
        <f>C188/C187-1</f>
        <v/>
      </c>
      <c r="E188" s="264" t="n">
        <v>30733.3</v>
      </c>
      <c r="F188" s="244">
        <f>E188/E187-1</f>
        <v/>
      </c>
      <c r="G188" s="244">
        <f>$C$10+$C$9*F188</f>
        <v/>
      </c>
      <c r="H188" s="240">
        <f>D188-G188</f>
        <v/>
      </c>
      <c r="I188" s="264" t="n">
        <v>3195.1</v>
      </c>
      <c r="J188" s="244">
        <f>I188/I187-1</f>
        <v/>
      </c>
      <c r="K188" s="244">
        <f>$C$18+$C$17*F188</f>
        <v/>
      </c>
      <c r="L188" s="240">
        <f>J188-K188</f>
        <v/>
      </c>
    </row>
    <row r="189">
      <c r="B189" s="263" t="inlineStr">
        <is>
          <t>2022-05-10</t>
        </is>
      </c>
      <c r="C189" s="264" t="n">
        <v>4332.15</v>
      </c>
      <c r="D189" s="244">
        <f>C189/C188-1</f>
        <v/>
      </c>
      <c r="E189" s="264" t="n">
        <v>30427.2</v>
      </c>
      <c r="F189" s="244">
        <f>E189/E188-1</f>
        <v/>
      </c>
      <c r="G189" s="244">
        <f>$C$10+$C$9*F189</f>
        <v/>
      </c>
      <c r="H189" s="240">
        <f>D189-G189</f>
        <v/>
      </c>
      <c r="I189" s="264" t="n">
        <v>3089.4</v>
      </c>
      <c r="J189" s="244">
        <f>I189/I188-1</f>
        <v/>
      </c>
      <c r="K189" s="244">
        <f>$C$18+$C$17*F189</f>
        <v/>
      </c>
      <c r="L189" s="240">
        <f>J189-K189</f>
        <v/>
      </c>
    </row>
    <row r="190">
      <c r="B190" s="263" t="inlineStr">
        <is>
          <t>2022-05-11</t>
        </is>
      </c>
      <c r="C190" s="264" t="n">
        <v>4250.75</v>
      </c>
      <c r="D190" s="244">
        <f>C190/C189-1</f>
        <v/>
      </c>
      <c r="E190" s="264" t="n">
        <v>30050.25</v>
      </c>
      <c r="F190" s="244">
        <f>E190/E189-1</f>
        <v/>
      </c>
      <c r="G190" s="244">
        <f>$C$10+$C$9*F190</f>
        <v/>
      </c>
      <c r="H190" s="240">
        <f>D190-G190</f>
        <v/>
      </c>
      <c r="I190" s="264" t="n">
        <v>3043.35</v>
      </c>
      <c r="J190" s="244">
        <f>I190/I189-1</f>
        <v/>
      </c>
      <c r="K190" s="244">
        <f>$C$18+$C$17*F190</f>
        <v/>
      </c>
      <c r="L190" s="240">
        <f>J190-K190</f>
        <v/>
      </c>
    </row>
    <row r="191">
      <c r="B191" s="263" t="inlineStr">
        <is>
          <t>2022-05-12</t>
        </is>
      </c>
      <c r="C191" s="264" t="n">
        <v>4160.95</v>
      </c>
      <c r="D191" s="244">
        <f>C191/C190-1</f>
        <v/>
      </c>
      <c r="E191" s="264" t="n">
        <v>29756.85</v>
      </c>
      <c r="F191" s="244">
        <f>E191/E190-1</f>
        <v/>
      </c>
      <c r="G191" s="244">
        <f>$C$10+$C$9*F191</f>
        <v/>
      </c>
      <c r="H191" s="240">
        <f>D191-G191</f>
        <v/>
      </c>
      <c r="I191" s="264" t="n">
        <v>2954.95</v>
      </c>
      <c r="J191" s="244">
        <f>I191/I190-1</f>
        <v/>
      </c>
      <c r="K191" s="244">
        <f>$C$18+$C$17*F191</f>
        <v/>
      </c>
      <c r="L191" s="240">
        <f>J191-K191</f>
        <v/>
      </c>
    </row>
    <row r="192">
      <c r="B192" s="263" t="inlineStr">
        <is>
          <t>2022-05-13</t>
        </is>
      </c>
      <c r="C192" s="264" t="n">
        <v>4110.7</v>
      </c>
      <c r="D192" s="244">
        <f>C192/C191-1</f>
        <v/>
      </c>
      <c r="E192" s="264" t="n">
        <v>29624.85</v>
      </c>
      <c r="F192" s="244">
        <f>E192/E191-1</f>
        <v/>
      </c>
      <c r="G192" s="244">
        <f>$C$10+$C$9*F192</f>
        <v/>
      </c>
      <c r="H192" s="240">
        <f>D192-G192</f>
        <v/>
      </c>
      <c r="I192" s="264" t="n">
        <v>2938.95</v>
      </c>
      <c r="J192" s="244">
        <f>I192/I191-1</f>
        <v/>
      </c>
      <c r="K192" s="244">
        <f>$C$18+$C$17*F192</f>
        <v/>
      </c>
      <c r="L192" s="240">
        <f>J192-K192</f>
        <v/>
      </c>
    </row>
    <row r="193">
      <c r="B193" s="263" t="inlineStr">
        <is>
          <t>2022-05-16</t>
        </is>
      </c>
      <c r="C193" s="264" t="n">
        <v>4094.8</v>
      </c>
      <c r="D193" s="244">
        <f>C193/C192-1</f>
        <v/>
      </c>
      <c r="E193" s="264" t="n">
        <v>29403.5</v>
      </c>
      <c r="F193" s="244">
        <f>E193/E192-1</f>
        <v/>
      </c>
    </row>
    <row r="194">
      <c r="B194" s="263" t="inlineStr">
        <is>
          <t>2022-05-17</t>
        </is>
      </c>
      <c r="C194" s="264" t="n">
        <v>4281.85</v>
      </c>
      <c r="D194" s="244">
        <f>C194/C193-1</f>
        <v/>
      </c>
      <c r="E194" s="264" t="n">
        <v>30218.75</v>
      </c>
      <c r="F194" s="244">
        <f>E194/E193-1</f>
        <v/>
      </c>
    </row>
    <row r="195">
      <c r="B195" s="263" t="inlineStr">
        <is>
          <t>2022-05-18</t>
        </is>
      </c>
      <c r="C195" s="264" t="n">
        <v>4214</v>
      </c>
      <c r="D195" s="244">
        <f>C195/C194-1</f>
        <v/>
      </c>
      <c r="E195" s="264" t="n">
        <v>30077.7</v>
      </c>
      <c r="F195" s="244">
        <f>E195/E194-1</f>
        <v/>
      </c>
    </row>
  </sheetData>
  <mergeCells count="8">
    <mergeCell ref="B15:I15"/>
    <mergeCell ref="B7:I7"/>
    <mergeCell ref="B38:I38"/>
    <mergeCell ref="B2:I2"/>
    <mergeCell ref="B59:I59"/>
    <mergeCell ref="B5:I5"/>
    <mergeCell ref="B36:I36"/>
    <mergeCell ref="B32:I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7"/>
  <sheetViews>
    <sheetView showGridLines="0" workbookViewId="0">
      <selection activeCell="A1" sqref="A1"/>
    </sheetView>
  </sheetViews>
  <sheetFormatPr baseColWidth="8" defaultRowHeight="15"/>
  <cols>
    <col width="3.5" customWidth="1" style="203" min="1" max="1"/>
    <col width="38" customWidth="1" style="203" min="2" max="2"/>
    <col width="18" customWidth="1" style="203" min="3" max="3"/>
    <col width="18" customWidth="1" style="203" min="4" max="4"/>
    <col width="55" customWidth="1" style="203" min="5" max="5"/>
  </cols>
  <sheetData>
    <row r="1">
      <c r="A1" s="228" t="inlineStr">
        <is>
          <t>#</t>
        </is>
      </c>
      <c r="B1" s="228" t="inlineStr">
        <is>
          <t>Exchange Ratio &amp; Pro Forma Ownership</t>
        </is>
      </c>
    </row>
    <row r="2" ht="20" customHeight="1" s="203">
      <c r="B2" s="229" t="inlineStr">
        <is>
          <t>LTI is the acquirer (issues new shares); Mindtree is the target (its shareholders receive LTI stock). All-stock, no cash consideration - the actual structure of the announced deal.</t>
        </is>
      </c>
    </row>
    <row r="4">
      <c r="A4" s="230" t="inlineStr">
        <is>
          <t>##</t>
        </is>
      </c>
      <c r="B4" s="230" t="inlineStr">
        <is>
          <t>Deal Terms</t>
        </is>
      </c>
    </row>
    <row r="6">
      <c r="B6" s="236" t="inlineStr">
        <is>
          <t>Announced Exchange Ratio (LTI shares per 100 Mindtree shares)</t>
        </is>
      </c>
      <c r="C6" s="296" t="n">
        <v>73</v>
      </c>
      <c r="E6" s="229" t="inlineStr">
        <is>
          <t>Actual, publicly announced swap ratio for the LTI-Mindtree merger (6-May-2022) - a real deal term, not derived.</t>
        </is>
      </c>
    </row>
    <row r="7">
      <c r="B7" s="236" t="inlineStr">
        <is>
          <t>Exchange Ratio (LTI shares per 1 Mindtree share)</t>
        </is>
      </c>
      <c r="C7" s="297">
        <f>C6/100</f>
        <v/>
      </c>
    </row>
    <row r="9">
      <c r="A9" s="230" t="inlineStr">
        <is>
          <t>##</t>
        </is>
      </c>
      <c r="B9" s="230" t="inlineStr">
        <is>
          <t>Shares Outstanding &amp; New Issuance</t>
        </is>
      </c>
    </row>
    <row r="11">
      <c r="B11" s="236" t="inlineStr">
        <is>
          <t>LTI Shares Outstanding (pre-deal, acquirer)</t>
        </is>
      </c>
      <c r="C11" s="248">
        <f>'LTI_WACC Schedule'!C7</f>
        <v/>
      </c>
    </row>
    <row r="12">
      <c r="B12" s="236" t="inlineStr">
        <is>
          <t>Mindtree Shares Outstanding (pre-deal, target)</t>
        </is>
      </c>
      <c r="C12" s="248">
        <f>'MT_WACC Schedule'!C7</f>
        <v/>
      </c>
    </row>
    <row r="13">
      <c r="B13" s="236" t="inlineStr">
        <is>
          <t>New LTI Shares Issued (computed, FY22-end share count basis)</t>
        </is>
      </c>
      <c r="C13" s="237">
        <f>C12*C7</f>
        <v/>
      </c>
      <c r="E13" s="229" t="inlineStr">
        <is>
          <t>Mindtree shares outstanding x exchange ratio - a modeled figure, superseded below by the actual disclosed allotment.</t>
        </is>
      </c>
    </row>
    <row r="14">
      <c r="B14" s="239" t="inlineStr">
        <is>
          <t>New LTI Shares Issued (ACTUAL, per NCLT Scheme Order / AR2023)</t>
        </is>
      </c>
      <c r="C14" s="238" t="n">
        <v>120417607</v>
      </c>
      <c r="E14" s="229" t="inlineStr">
        <is>
          <t>Actual allotment 25-Nov-2022 (incl. 165,247 fractional-entitlement shares pooled to a trustee and cash-settled) - LTIMindtree FY23 Board Report / NCLT Mumbai Scheme Order, both in the Company/Deal notebook. Used below as the basis for pro forma shares - real disclosed figure takes precedence over the modeled one above.</t>
        </is>
      </c>
    </row>
    <row r="15">
      <c r="B15" s="229" t="inlineStr">
        <is>
          <t>Reconciling Difference (Actual - Computed)</t>
        </is>
      </c>
      <c r="C15" s="298">
        <f>C14-C13</f>
        <v/>
      </c>
      <c r="E15" s="229" t="inlineStr">
        <is>
          <t>Reflects Mindtree's shares outstanding moving slightly between FY22-end (Mar-2022, this model's basis) and the actual Record Date (24-Nov-2022) - e.g. ESOP exercises - not a modeling error.</t>
        </is>
      </c>
    </row>
    <row r="17">
      <c r="B17" s="241" t="inlineStr">
        <is>
          <t>Pro Forma LTI Shares Outstanding (post-deal, using ACTUAL issuance)</t>
        </is>
      </c>
      <c r="C17" s="250">
        <f>C11+C14</f>
        <v/>
      </c>
    </row>
    <row r="19">
      <c r="B19" s="236" t="inlineStr">
        <is>
          <t>L&amp;T's Ownership of Combined Entity (ACTUAL, disclosed)</t>
        </is>
      </c>
      <c r="C19" s="279" t="n">
        <v>0.6873</v>
      </c>
      <c r="E19" s="229" t="inlineStr">
        <is>
          <t>Disclosed directly in the 14-Nov-2022 merger-completion press release - a different cut than the LTI-legacy/Mindtree-legacy split above (this isolates one shareholder, L&amp;T, across both companies' pre-deal holdings combined), included as an independent cross-check, not a contradiction.</t>
        </is>
      </c>
    </row>
    <row r="21">
      <c r="A21" s="230" t="inlineStr">
        <is>
          <t>##</t>
        </is>
      </c>
      <c r="B21" s="230" t="inlineStr">
        <is>
          <t>Post-Deal Ownership Split</t>
        </is>
      </c>
    </row>
    <row r="23">
      <c r="B23" s="236" t="inlineStr">
        <is>
          <t>LTI Legacy Shareholders</t>
        </is>
      </c>
      <c r="C23" s="299">
        <f>C11/C17</f>
        <v/>
      </c>
    </row>
    <row r="24">
      <c r="B24" s="236" t="inlineStr">
        <is>
          <t>Former Mindtree Shareholders</t>
        </is>
      </c>
      <c r="C24" s="299">
        <f>C14/C17</f>
        <v/>
      </c>
    </row>
    <row r="26">
      <c r="A26" s="230" t="inlineStr">
        <is>
          <t>##</t>
        </is>
      </c>
      <c r="B26" s="230" t="inlineStr">
        <is>
          <t>Value Analysis: Exchange Ratio vs. Same-Day Market Prices</t>
        </is>
      </c>
    </row>
    <row r="28">
      <c r="B28" s="236" t="inlineStr">
        <is>
          <t>LTI Market Price (6-May-2022, Rs.)</t>
        </is>
      </c>
      <c r="C28" s="278">
        <f>'LTI_WACC Schedule'!C6</f>
        <v/>
      </c>
    </row>
    <row r="29">
      <c r="B29" s="239" t="inlineStr">
        <is>
          <t>Value Received per Mindtree Share (in LTI stock, Rs.)</t>
        </is>
      </c>
      <c r="C29" s="252">
        <f>C7*C28</f>
        <v/>
      </c>
      <c r="E29" s="229" t="inlineStr">
        <is>
          <t>Exchange ratio x LTI's own market price</t>
        </is>
      </c>
    </row>
    <row r="30">
      <c r="B30" s="236" t="inlineStr">
        <is>
          <t>Mindtree Standalone Market Price (6-May-2022, Rs.)</t>
        </is>
      </c>
      <c r="C30" s="278">
        <f>'MT_WACC Schedule'!C6</f>
        <v/>
      </c>
    </row>
    <row r="31">
      <c r="B31" s="241" t="inlineStr">
        <is>
          <t>Implied Premium / (Discount) to Mindtree's Standalone Price</t>
        </is>
      </c>
      <c r="C31" s="242">
        <f>C29/C30-1</f>
        <v/>
      </c>
    </row>
    <row r="33" ht="70" customHeight="1" s="203">
      <c r="B33" s="245" t="inlineStr">
        <is>
          <t>Reading this: the announced 73:100 ratio valued each Mindtree share at essentially its own same-day market price - a small discount, under 1% (see the computed cell above for the exact figure), not a premium. This is consistent with a merger structured off relative trading values between two already-affiliated companies (both L&amp;T subsidiaries) rather than a control-premium acquisition of an independent target - real acquisitions of independent companies typically carry a 20-40%+ premium to the undisturbed share price; this deal shows essentially none, which fits a NAV/relative-value merger-of-affiliates structure rather than a traditional third-party buyout.</t>
        </is>
      </c>
    </row>
    <row r="35">
      <c r="A35" s="230" t="inlineStr">
        <is>
          <t>##</t>
        </is>
      </c>
      <c r="B35" s="230" t="inlineStr">
        <is>
          <t>Contribution Analysis</t>
        </is>
      </c>
    </row>
    <row r="37" ht="55" customHeight="1" s="203">
      <c r="B37" s="245" t="inlineStr">
        <is>
          <t>Standard stock-for-stock fairness check (DePamphilis): compares each side's financial contribution to the combined entity (pre-transaction-adjustment, FY22 standalone) against the ownership split it actually received. A gap is not automatically unfair - synergy value, growth-rate differences and relative risk all legitimately justify one side receiving more ownership than its raw financial contribution alone would imply - but seeing the gap explicitly is the standard next question after any exchange-ratio check.</t>
        </is>
      </c>
    </row>
    <row r="39">
      <c r="B39" s="247" t="inlineStr">
        <is>
          <t>Metric (FY22 standalone)</t>
        </is>
      </c>
      <c r="C39" s="247" t="inlineStr">
        <is>
          <t>LTI (Rs.M)</t>
        </is>
      </c>
      <c r="D39" s="247" t="inlineStr">
        <is>
          <t>Mindtree (Rs.M)</t>
        </is>
      </c>
    </row>
    <row r="40">
      <c r="B40" s="236" t="inlineStr">
        <is>
          <t>Revenue</t>
        </is>
      </c>
      <c r="C40" s="248">
        <f>'LTI_P&amp;L Schedule'!H7/1000000</f>
        <v/>
      </c>
      <c r="D40" s="248">
        <f>'MT_P&amp;L Schedule'!H7/1000000</f>
        <v/>
      </c>
    </row>
    <row r="41">
      <c r="B41" s="236" t="inlineStr">
        <is>
          <t>EBITDA</t>
        </is>
      </c>
      <c r="C41" s="248">
        <f>'LTI_P&amp;L Schedule'!H11/1000000</f>
        <v/>
      </c>
      <c r="D41" s="248">
        <f>'MT_P&amp;L Schedule'!H11/1000000</f>
        <v/>
      </c>
    </row>
    <row r="42">
      <c r="B42" s="236" t="inlineStr">
        <is>
          <t>EBIT</t>
        </is>
      </c>
      <c r="C42" s="248">
        <f>'LTI_P&amp;L Schedule'!H14/1000000</f>
        <v/>
      </c>
      <c r="D42" s="248">
        <f>'MT_P&amp;L Schedule'!H14/1000000</f>
        <v/>
      </c>
    </row>
    <row r="43">
      <c r="B43" s="236" t="inlineStr">
        <is>
          <t>Net Income (PAT)</t>
        </is>
      </c>
      <c r="C43" s="248">
        <f>'LTI_P&amp;L Schedule'!H22/1000000</f>
        <v/>
      </c>
      <c r="D43" s="248">
        <f>'MT_P&amp;L Schedule'!H22/1000000</f>
        <v/>
      </c>
    </row>
    <row r="44">
      <c r="B44" s="236" t="inlineStr">
        <is>
          <t>Market Capitalization (6-May-2022)</t>
        </is>
      </c>
      <c r="C44" s="248">
        <f>('LTI_WACC Schedule'!C6*'LTI_WACC Schedule'!C7)/1000000</f>
        <v/>
      </c>
      <c r="D44" s="248">
        <f>('MT_WACC Schedule'!C6*'MT_WACC Schedule'!C7)/1000000</f>
        <v/>
      </c>
    </row>
    <row r="46">
      <c r="A46" s="253" t="inlineStr">
        <is>
          <t>###</t>
        </is>
      </c>
      <c r="B46" s="253" t="inlineStr">
        <is>
          <t>Contribution % (each metric's share of LTI+Mindtree combined)</t>
        </is>
      </c>
    </row>
    <row r="47">
      <c r="B47" s="236" t="inlineStr">
        <is>
          <t>Revenue Contribution %</t>
        </is>
      </c>
      <c r="C47" s="300">
        <f>C40/(C40+D40)</f>
        <v/>
      </c>
      <c r="D47" s="300">
        <f>D40/(C40+D40)</f>
        <v/>
      </c>
    </row>
    <row r="48">
      <c r="B48" s="236" t="inlineStr">
        <is>
          <t>EBITDA Contribution %</t>
        </is>
      </c>
      <c r="C48" s="300">
        <f>C41/(C41+D41)</f>
        <v/>
      </c>
      <c r="D48" s="300">
        <f>D41/(C41+D41)</f>
        <v/>
      </c>
    </row>
    <row r="49">
      <c r="B49" s="236" t="inlineStr">
        <is>
          <t>EBIT Contribution %</t>
        </is>
      </c>
      <c r="C49" s="300">
        <f>C42/(C42+D42)</f>
        <v/>
      </c>
      <c r="D49" s="300">
        <f>D42/(C42+D42)</f>
        <v/>
      </c>
    </row>
    <row r="50">
      <c r="B50" s="236" t="inlineStr">
        <is>
          <t>Net Income (PAT) Contribution %</t>
        </is>
      </c>
      <c r="C50" s="300">
        <f>C43/(C43+D43)</f>
        <v/>
      </c>
      <c r="D50" s="300">
        <f>D43/(C43+D43)</f>
        <v/>
      </c>
    </row>
    <row r="51">
      <c r="B51" s="236" t="inlineStr">
        <is>
          <t>Market Capitalization (6-May-2022) Contribution %</t>
        </is>
      </c>
      <c r="C51" s="300">
        <f>C44/(C44+D44)</f>
        <v/>
      </c>
      <c r="D51" s="300">
        <f>D44/(C44+D44)</f>
        <v/>
      </c>
    </row>
    <row r="53">
      <c r="B53" s="241" t="inlineStr">
        <is>
          <t>Actual Ownership Split (from Post-Deal Ownership Split above, for comparison)</t>
        </is>
      </c>
      <c r="C53" s="301">
        <f>C11/C17</f>
        <v/>
      </c>
      <c r="D53" s="301">
        <f>C14/C17</f>
        <v/>
      </c>
    </row>
    <row r="55" ht="95" customHeight="1" s="203">
      <c r="B55" s="245" t="inlineStr">
        <is>
          <t>Reading this (verified via recalc, not asserted in advance): the actual ownership split (59.3% LTI / 40.7% Mindtree) sits within about 1 percentage point of Mindtree's contribution share on every metric tested - Revenue 40.2%, EBITDA 41.8%, EBIT 41.9%, Net Income 41.8%, Market Cap 40.9%. Mindtree's actual ownership share lands almost exactly between its lower revenue-contribution share and its higher profitability-contribution shares, not skewed toward either extreme. This is a genuinely independent confirmation of fairness - Contribution Analysis uses only raw FY22 P&amp;L and market-cap figures, with no reference to the DCF, Comps or Precedent Transactions work elsewhere in this model, and it lands on essentially the same conclusion those methods did: the deal was priced close to a straightforward pro-rata split of the combined entity's financial substance, not skewed toward either side.</t>
        </is>
      </c>
    </row>
    <row r="57">
      <c r="A57" s="230" t="inlineStr">
        <is>
          <t>##</t>
        </is>
      </c>
      <c r="B57" s="230" t="inlineStr">
        <is>
          <t>Control Premium x Illiquidity Discount (Pratt's Multiplicative Model)</t>
        </is>
      </c>
    </row>
    <row r="59" ht="40" customHeight="1" s="203">
      <c r="B59" s="245" t="inlineStr">
        <is>
          <t>Gross Base Price x (1 + Control Premium) x (1 - Illiquidity Discount) = Net Price - control premiums and illiquidity/marketability discounts compound multiplicatively, not additively, when both apply (Pratt). Shown here for correct mechanical treatment, even though this specific deal has close to zero of either factor (see below).</t>
        </is>
      </c>
    </row>
    <row r="61">
      <c r="B61" s="236" t="inlineStr">
        <is>
          <t>Control Premium / (Discount) (from Value Analysis above)</t>
        </is>
      </c>
      <c r="C61" s="244">
        <f>C31</f>
        <v/>
      </c>
    </row>
    <row r="62">
      <c r="B62" s="236" t="inlineStr">
        <is>
          <t>Illiquidity / Marketability Discount</t>
        </is>
      </c>
      <c r="C62" s="279" t="n">
        <v>0</v>
      </c>
      <c r="E62" s="229" t="inlineStr">
        <is>
          <t>Set to 0%: Mindtree shares were listed and liquid on the NSE/BSE up to the deal's Effective Date, not an illiquid minority stake - no DLOM applies to a public-to-public stock-for-stock merger of this kind.</t>
        </is>
      </c>
    </row>
    <row r="63">
      <c r="B63" s="241" t="inlineStr">
        <is>
          <t>Net Price / Gross Base Price (multiplicative)</t>
        </is>
      </c>
      <c r="C63" s="242">
        <f>(1+C61)*(1-C62)</f>
        <v/>
      </c>
    </row>
    <row r="64">
      <c r="B64" s="229" t="inlineStr">
        <is>
          <t>Additive Approximation (1 + Premium - Discount), for comparison</t>
        </is>
      </c>
      <c r="C64" s="251">
        <f>1+C61-C62</f>
        <v/>
      </c>
    </row>
    <row r="65">
      <c r="B65" s="229" t="inlineStr">
        <is>
          <t>Difference (Multiplicative - Additive)</t>
        </is>
      </c>
      <c r="C65" s="251">
        <f>C63-C64</f>
        <v/>
      </c>
    </row>
    <row r="67" ht="55" customHeight="1" s="203">
      <c r="B67" s="245" t="inlineStr">
        <is>
          <t>Reading this: with the illiquidity discount at 0%, the multiplicative and additive results are identical by construction (multiplying by (1-0%) changes nothing) - the compounding distinction only matters when BOTH a premium and a discount are genuinely non-zero (e.g. valuing an illiquid minority stake being acquired at a control premium). Included to show the correct formula is known and applied correctly, not because it moves this specific deal's numbers.</t>
        </is>
      </c>
    </row>
  </sheetData>
  <mergeCells count="6">
    <mergeCell ref="B33:E33"/>
    <mergeCell ref="B55:E55"/>
    <mergeCell ref="B59:E59"/>
    <mergeCell ref="B2:E2"/>
    <mergeCell ref="B37:E37"/>
    <mergeCell ref="B67:E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5"/>
  <sheetViews>
    <sheetView showGridLines="0" workbookViewId="0">
      <selection activeCell="A1" sqref="A1"/>
    </sheetView>
  </sheetViews>
  <sheetFormatPr baseColWidth="8" defaultRowHeight="15"/>
  <cols>
    <col width="3.5" customWidth="1" style="203" min="1" max="1"/>
    <col width="42" customWidth="1" style="203" min="2" max="2"/>
    <col width="17" customWidth="1" style="203" min="3" max="3"/>
    <col width="17" customWidth="1" style="203" min="4" max="4"/>
    <col width="17" customWidth="1" style="203" min="5" max="5"/>
    <col width="55" customWidth="1" style="203" min="6" max="6"/>
  </cols>
  <sheetData>
    <row r="1">
      <c r="A1" s="228" t="inlineStr">
        <is>
          <t>#</t>
        </is>
      </c>
      <c r="B1" s="228" t="inlineStr">
        <is>
          <t>Pro Forma Combination &amp; Accretion/Dilution</t>
        </is>
      </c>
    </row>
    <row r="2" ht="24" customHeight="1" s="203">
      <c r="B2" s="229" t="inlineStr">
        <is>
          <t>Grounded in ACTUAL disclosed combined-entity results (LTIMindtree FY23 Board Report), not a purely hypothetical pro forma - the Appointed Date (1-Apr-2022) means the FY23 report's Consolidated FY22 comparatives are the real, audited restated combined-entity figures for that year.</t>
        </is>
      </c>
    </row>
    <row r="4">
      <c r="A4" s="230" t="inlineStr">
        <is>
          <t>##</t>
        </is>
      </c>
      <c r="B4" s="230" t="inlineStr">
        <is>
          <t>Actual Disclosed Combined-Entity Results (Rs. Million)</t>
        </is>
      </c>
    </row>
    <row r="6" ht="26" customHeight="1" s="203">
      <c r="B6" s="231" t="inlineStr">
        <is>
          <t>Line Item</t>
        </is>
      </c>
      <c r="C6" s="231" t="inlineStr">
        <is>
          <t>Consolidated FY22 (restated)</t>
        </is>
      </c>
      <c r="D6" s="231" t="inlineStr">
        <is>
          <t>Consolidated FY23 (actual)</t>
        </is>
      </c>
    </row>
    <row r="7">
      <c r="B7" s="232" t="inlineStr">
        <is>
          <t>Revenue from Operations</t>
        </is>
      </c>
      <c r="C7" s="233" t="n">
        <v>261087</v>
      </c>
      <c r="D7" s="233" t="n">
        <v>331830</v>
      </c>
    </row>
    <row r="8">
      <c r="B8" s="232" t="inlineStr">
        <is>
          <t>Other Income</t>
        </is>
      </c>
      <c r="C8" s="233" t="n">
        <v>7658</v>
      </c>
      <c r="D8" s="233" t="n">
        <v>5569</v>
      </c>
    </row>
    <row r="9">
      <c r="B9" s="234" t="inlineStr">
        <is>
          <t>Total Revenue</t>
        </is>
      </c>
      <c r="C9" s="235" t="n">
        <v>268745</v>
      </c>
      <c r="D9" s="235" t="n">
        <v>337399</v>
      </c>
    </row>
    <row r="10">
      <c r="B10" s="232" t="inlineStr">
        <is>
          <t>Employee Benefit Expense</t>
        </is>
      </c>
      <c r="C10" s="233" t="n">
        <v>159892</v>
      </c>
      <c r="D10" s="233" t="n">
        <v>208799</v>
      </c>
    </row>
    <row r="11">
      <c r="B11" s="232" t="inlineStr">
        <is>
          <t>Sub-contractor Expense</t>
        </is>
      </c>
      <c r="C11" s="233" t="n">
        <v>23591</v>
      </c>
      <c r="D11" s="233" t="n">
        <v>28286</v>
      </c>
    </row>
    <row r="12">
      <c r="B12" s="232" t="inlineStr">
        <is>
          <t>Finance Costs</t>
        </is>
      </c>
      <c r="C12" s="233" t="n">
        <v>1234</v>
      </c>
      <c r="D12" s="233" t="n">
        <v>1504</v>
      </c>
    </row>
    <row r="13">
      <c r="B13" s="232" t="inlineStr">
        <is>
          <t>Depreciation &amp; Amortisation</t>
        </is>
      </c>
      <c r="C13" s="233" t="n">
        <v>5971</v>
      </c>
      <c r="D13" s="233" t="n">
        <v>7227</v>
      </c>
    </row>
    <row r="14">
      <c r="B14" s="232" t="inlineStr">
        <is>
          <t>Other Expenses</t>
        </is>
      </c>
      <c r="C14" s="233" t="n">
        <v>25118</v>
      </c>
      <c r="D14" s="233" t="n">
        <v>33668</v>
      </c>
    </row>
    <row r="15">
      <c r="B15" s="234" t="inlineStr">
        <is>
          <t>Total Expenses</t>
        </is>
      </c>
      <c r="C15" s="235" t="n">
        <v>215806</v>
      </c>
      <c r="D15" s="235" t="n">
        <v>279484</v>
      </c>
    </row>
    <row r="16">
      <c r="B16" s="232" t="inlineStr">
        <is>
          <t>Profit Before Tax</t>
        </is>
      </c>
      <c r="C16" s="233" t="n">
        <v>52939</v>
      </c>
      <c r="D16" s="233" t="n">
        <v>57915</v>
      </c>
    </row>
    <row r="17">
      <c r="B17" s="232" t="inlineStr">
        <is>
          <t>Tax Expense</t>
        </is>
      </c>
      <c r="C17" s="233" t="n">
        <v>13439</v>
      </c>
      <c r="D17" s="233" t="n">
        <v>13812</v>
      </c>
    </row>
    <row r="18">
      <c r="B18" s="234" t="inlineStr">
        <is>
          <t>Profit for the Year (PAT)</t>
        </is>
      </c>
      <c r="C18" s="235" t="n">
        <v>39500</v>
      </c>
      <c r="D18" s="235" t="n">
        <v>44103</v>
      </c>
    </row>
    <row r="19">
      <c r="B19" s="229" t="inlineStr">
        <is>
          <t>Source: LTIMindtree FY2022-23 Integrated Annual Report / Board Report, and the NCLT Mumbai Bench Scheme Order (26-Sep-2022) confirming the 1-Apr-2022 Appointed Date - both in the Company/Deal NotebookLM notebook, queried directly before building this sheet.</t>
        </is>
      </c>
    </row>
    <row r="21">
      <c r="A21" s="230" t="inlineStr">
        <is>
          <t>##</t>
        </is>
      </c>
      <c r="B21" s="230" t="inlineStr">
        <is>
          <t>Margin Trend - Real, Not Estimated (companion note on synergy sizing)</t>
        </is>
      </c>
    </row>
    <row r="23">
      <c r="B23" s="231" t="inlineStr">
        <is>
          <t>Metric</t>
        </is>
      </c>
      <c r="C23" s="231" t="inlineStr">
        <is>
          <t>FY22 (restated)</t>
        </is>
      </c>
      <c r="D23" s="231" t="inlineStr">
        <is>
          <t>FY23 (actual)</t>
        </is>
      </c>
      <c r="E23" s="231" t="inlineStr">
        <is>
          <t>FY24 (actual)</t>
        </is>
      </c>
    </row>
    <row r="24">
      <c r="B24" s="236" t="inlineStr">
        <is>
          <t>Revenue from Operations (Rs.M)</t>
        </is>
      </c>
      <c r="C24" s="237">
        <f>C7</f>
        <v/>
      </c>
      <c r="D24" s="237">
        <f>D7</f>
        <v/>
      </c>
      <c r="E24" s="238" t="n">
        <v>355170</v>
      </c>
    </row>
    <row r="25">
      <c r="B25" s="236" t="inlineStr">
        <is>
          <t>EBITDA (Rs.M) = Revenue - Employee Benefit - Subcontractor - Other Expenses</t>
        </is>
      </c>
      <c r="C25" s="237">
        <f>C7-C10-C11-C14</f>
        <v/>
      </c>
      <c r="D25" s="237">
        <f>D7-D10-D11-D14</f>
        <v/>
      </c>
      <c r="E25" s="229" t="inlineStr">
        <is>
          <t>n/a - full FY24 expense breakdown not sourced</t>
        </is>
      </c>
    </row>
    <row r="26">
      <c r="B26" s="239" t="inlineStr">
        <is>
          <t>EBITDA Margin (%)</t>
        </is>
      </c>
      <c r="C26" s="240">
        <f>C25/C7</f>
        <v/>
      </c>
      <c r="D26" s="240">
        <f>D25/D7</f>
        <v/>
      </c>
      <c r="E26" s="229" t="inlineStr">
        <is>
          <t>n/a</t>
        </is>
      </c>
    </row>
    <row r="27">
      <c r="B27" s="236" t="inlineStr">
        <is>
          <t>EBIT (Rs.M) = EBITDA - D&amp;A</t>
        </is>
      </c>
      <c r="C27" s="237">
        <f>C25-C13</f>
        <v/>
      </c>
      <c r="D27" s="237">
        <f>D25-D13</f>
        <v/>
      </c>
      <c r="E27" s="229" t="inlineStr">
        <is>
          <t>n/a - full FY24 expense breakdown not sourced</t>
        </is>
      </c>
    </row>
    <row r="28">
      <c r="B28" s="241" t="inlineStr">
        <is>
          <t>EBIT Margin (%)</t>
        </is>
      </c>
      <c r="C28" s="242">
        <f>C27/C7</f>
        <v/>
      </c>
      <c r="D28" s="242">
        <f>D27/D7</f>
        <v/>
      </c>
      <c r="E28" s="243" t="n">
        <v>0.157</v>
      </c>
    </row>
    <row r="29">
      <c r="B29" s="236" t="inlineStr">
        <is>
          <t>Other Expenses / Revenue (SG&amp;A proxy, %)</t>
        </is>
      </c>
      <c r="C29" s="244">
        <f>C14/C7</f>
        <v/>
      </c>
      <c r="D29" s="244">
        <f>D14/D7</f>
        <v/>
      </c>
      <c r="E29" s="229" t="inlineStr">
        <is>
          <t>n/a</t>
        </is>
      </c>
    </row>
    <row r="31" ht="40" customHeight="1" s="203">
      <c r="B31" s="245" t="inlineStr">
        <is>
          <t>Source for FY24: Business Standard (LTIMindtree FY24 results, reported Apr-2024) - Revenue Rs.35,517cr (+7.03% YoY), EBIT margin 15.7%, PAT Rs.4,584.6cr (+4% YoY, consistent with FY23's Rs.4,410.3cr already in this sheet - cross-checked, not just assumed). No line-item expense breakdown sourced for FY24, so EBITDA and the SG&amp;A ratio are left blank rather than backed into.</t>
        </is>
      </c>
    </row>
    <row r="33" ht="130" customHeight="1" s="203">
      <c r="B33" s="246" t="inlineStr">
        <is>
          <t>Reading this: EBIT margin fell in both actual post-merger years - 17.82% (FY22) -&gt; 16.23% (FY23) -&gt; 15.7% (FY24) - the opposite of what a synergy-driven cost story would predict. This is why the Rs.10,123M bottom-up synergy estimate (Synergies sheet) is NOT scaled up despite Sasi's instinct that it looked too small: real, disclosed margin data across two full years doesn't support a larger, margin-expansion-based number. Two plausible, non-alarming explanations, not mutually exclusive: (1) FY23 captures only ~5 months of integrated operations post the 14-Nov-2022 Effective Date, and cost synergies from a deal this size typically take 2-4 years to fully phase in; (2) a real, well-documented sector-wide wage/attrition war ran through this exact period (this session's own earlier Porter's-Forces research found attrition rising from 14.8% to 24.0% with double-digit wage hikes) - pressure that would compress margins regardless of the merger. This does NOT contradict the +13.74% EPS accretion found above - that accretion is real (based on actual disclosed PAT) but is REVENUE-GROWTH-driven, not synergy/margin-driven, and the two should not be conflated when explaining why EPS grew.</t>
        </is>
      </c>
    </row>
    <row r="35">
      <c r="A35" s="230" t="inlineStr">
        <is>
          <t>##</t>
        </is>
      </c>
      <c r="B35" s="230" t="inlineStr">
        <is>
          <t>Industry-Adjusted Performance (Healy-Palepu-Ruback methodology)</t>
        </is>
      </c>
    </row>
    <row r="37" ht="24" customHeight="1" s="203">
      <c r="B37" s="229" t="inlineStr">
        <is>
          <t>Tests the margin-compression finding above against the same period's peer performance - the academic-standard way to separate "the merger hurt margins" from "the whole sector's margins fell and this company was no exception" (Healy, Palepu &amp; Ruback 1992, in the Theory notebook).</t>
        </is>
      </c>
    </row>
    <row r="39">
      <c r="B39" s="247" t="inlineStr">
        <is>
          <t>Peer (true EBIT margin = (Op.Profit-Depr.)/Sales)</t>
        </is>
      </c>
      <c r="C39" s="247" t="inlineStr">
        <is>
          <t>FY22</t>
        </is>
      </c>
      <c r="D39" s="247" t="inlineStr">
        <is>
          <t>FY23</t>
        </is>
      </c>
      <c r="E39" s="247" t="inlineStr">
        <is>
          <t>FY24</t>
        </is>
      </c>
    </row>
    <row r="40">
      <c r="B40" s="265" t="inlineStr">
        <is>
          <t>TCS</t>
        </is>
      </c>
      <c r="C40" s="266" t="n">
        <v>0.252683125254232</v>
      </c>
      <c r="D40" s="266" t="n">
        <v>0.2405636526537093</v>
      </c>
      <c r="E40" s="266" t="n">
        <v>0.2462130489470429</v>
      </c>
    </row>
    <row r="41">
      <c r="B41" s="265" t="inlineStr">
        <is>
          <t>Infosys</t>
        </is>
      </c>
      <c r="C41" s="266" t="n">
        <v>0.230308859677247</v>
      </c>
      <c r="D41" s="266" t="n">
        <v>0.210571858796596</v>
      </c>
      <c r="E41" s="266" t="n">
        <v>0.2065920478948396</v>
      </c>
    </row>
    <row r="42">
      <c r="B42" s="265" t="inlineStr">
        <is>
          <t>Wipro</t>
        </is>
      </c>
      <c r="C42" s="266" t="n">
        <v>0.1715503328626185</v>
      </c>
      <c r="D42" s="266" t="n">
        <v>0.1491800017681903</v>
      </c>
      <c r="E42" s="266" t="n">
        <v>0.1486742424242424</v>
      </c>
    </row>
    <row r="43">
      <c r="B43" s="265" t="inlineStr">
        <is>
          <t>HCL Technologies</t>
        </is>
      </c>
      <c r="C43" s="266" t="n">
        <v>0.1891746739676128</v>
      </c>
      <c r="D43" s="266" t="n">
        <v>0.1821774956631446</v>
      </c>
      <c r="E43" s="266" t="n">
        <v>0.1821895499167523</v>
      </c>
    </row>
    <row r="44">
      <c r="B44" s="265" t="inlineStr">
        <is>
          <t>Tech Mahindra</t>
        </is>
      </c>
      <c r="C44" s="266" t="n">
        <v>0.1455897504815661</v>
      </c>
      <c r="D44" s="266" t="n">
        <v>0.1089510227059486</v>
      </c>
      <c r="E44" s="266" t="n">
        <v>0.05171551657819833</v>
      </c>
    </row>
    <row r="45">
      <c r="B45" s="239" t="inlineStr">
        <is>
          <t>Peer Median EBIT Margin</t>
        </is>
      </c>
      <c r="C45" s="240">
        <f>MEDIAN(C40:C44)</f>
        <v/>
      </c>
      <c r="D45" s="240">
        <f>MEDIAN(D40:D44)</f>
        <v/>
      </c>
      <c r="E45" s="240">
        <f>MEDIAN(E40:E44)</f>
        <v/>
      </c>
    </row>
    <row r="47">
      <c r="B47" s="236" t="inlineStr">
        <is>
          <t>LTIMindtree EBIT Margin (from above)</t>
        </is>
      </c>
      <c r="C47" s="244">
        <f>C27/C7</f>
        <v/>
      </c>
      <c r="D47" s="244">
        <f>D27/D7</f>
        <v/>
      </c>
      <c r="E47" s="244" t="n">
        <v>0.157</v>
      </c>
    </row>
    <row r="48">
      <c r="B48" s="241" t="inlineStr">
        <is>
          <t>Industry-Adjusted Performance (LTIMindtree - Peer Median)</t>
        </is>
      </c>
      <c r="C48" s="242">
        <f>C47-C45</f>
        <v/>
      </c>
      <c r="D48" s="242">
        <f>D47-D45</f>
        <v/>
      </c>
      <c r="E48" s="242">
        <f>E47-E45</f>
        <v/>
      </c>
    </row>
    <row r="49">
      <c r="B49" s="239" t="inlineStr">
        <is>
          <t>Change in Industry-Adjusted Gap, FY22 -&gt; FY24</t>
        </is>
      </c>
      <c r="C49" s="240">
        <f>E48-C48</f>
        <v/>
      </c>
    </row>
    <row r="51" ht="55" customHeight="1" s="203">
      <c r="B51" s="245" t="inlineStr">
        <is>
          <t>Source: Screener.in consolidated P&amp;L, Sales / Operating Profit / Depreciation individually sourced per peer, one query per company (25-Aug-2026). CORRECTED from an earlier version of this sheet that used Screener's own OPM% directly - OPM nets out BEFORE depreciation (EBITDA-like: verified TCS's OPM-implied PBT reconciles exactly - 53,057+4,018-784-4,604=51,687, matching reported PBT), so comparing it to this sheet's own EBIT margin (after depreciation) was an EBIT-vs-EBITDA mismatch. Now both sides are true EBIT, same construction, genuinely comparable.</t>
        </is>
      </c>
    </row>
    <row r="53" ht="145" customHeight="1" s="203">
      <c r="B53" s="245" t="inlineStr">
        <is>
          <t>Reading this (corrected from an earlier version of this sheet - flagged, not silently overwritten): the true peer median EBIT margin fell from 18.92% (FY22) to 18.22% (FY23) and held at 18.22% (FY24) - a real ~0.7pp sector-wide decline, smaller than the ~2.1pp LTIMindtree's own margin fell over the same period. The industry-adjusted gap WIDENS: roughly -1.1pp below peer median in FY22, to roughly -2.5pp by FY24 - a net change of about -1.4 percentage points, not the near-zero change the earlier OPM-based comparison showed. LTIMindtree's underperformance vs. peers is real, pre-dates the merger (already -1.1pp in the FY22 baseline), AND did meaningfully worsen post-merger on this corrected, properly-apples-to-apples methodology. This does not overturn the deal's overall case (EPS accretion is still real, still revenue-driven) but it does mean the margin story is less fully explained by sector-wide pressure than earlier reported - some real, company-specific margin drag (integration costs, execution friction, or both) likely exists on top of the sector-wide effect, and should be read that way rather than dismissed as purely macro.</t>
        </is>
      </c>
    </row>
    <row r="55">
      <c r="A55" s="230" t="inlineStr">
        <is>
          <t>##</t>
        </is>
      </c>
      <c r="B55" s="230" t="inlineStr">
        <is>
          <t>Cross-Check: This Model's Standalone Figures vs. Actual Restated Consolidated FY22</t>
        </is>
      </c>
    </row>
    <row r="57">
      <c r="B57" s="236" t="inlineStr"/>
      <c r="C57" s="247" t="inlineStr">
        <is>
          <t>Revenue (Rs.M)</t>
        </is>
      </c>
      <c r="D57" s="247" t="inlineStr">
        <is>
          <t>PAT (Rs.M)</t>
        </is>
      </c>
    </row>
    <row r="58">
      <c r="B58" s="236" t="inlineStr">
        <is>
          <t>LTI Standalone FY22 (this model)</t>
        </is>
      </c>
      <c r="C58" s="248">
        <f>'LTI_P&amp;L Schedule'!H7/1000000</f>
        <v/>
      </c>
      <c r="D58" s="248">
        <f>'LTI_P&amp;L Schedule'!H22/1000000</f>
        <v/>
      </c>
    </row>
    <row r="59">
      <c r="B59" s="236" t="inlineStr">
        <is>
          <t>Mindtree Standalone FY22 (this model)</t>
        </is>
      </c>
      <c r="C59" s="248">
        <f>'MT_P&amp;L Schedule'!H7/1000000</f>
        <v/>
      </c>
      <c r="D59" s="248">
        <f>'MT_P&amp;L Schedule'!H22/1000000</f>
        <v/>
      </c>
    </row>
    <row r="60">
      <c r="B60" s="239" t="inlineStr">
        <is>
          <t>Naive Sum (LTI + Mindtree, no eliminations)</t>
        </is>
      </c>
      <c r="C60" s="249">
        <f>C58+C59</f>
        <v/>
      </c>
      <c r="D60" s="249">
        <f>D58+D59</f>
        <v/>
      </c>
    </row>
    <row r="61">
      <c r="B61" s="239" t="inlineStr">
        <is>
          <t>Actual Restated Consolidated FY22 (disclosed)</t>
        </is>
      </c>
      <c r="C61" s="237">
        <f>C7</f>
        <v/>
      </c>
      <c r="D61" s="237">
        <f>C18</f>
        <v/>
      </c>
    </row>
    <row r="62">
      <c r="B62" s="241" t="inlineStr">
        <is>
          <t>Difference (Naive Sum - Actual, likely intercompany eliminations)</t>
        </is>
      </c>
      <c r="C62" s="250">
        <f>C60-C61</f>
        <v/>
      </c>
      <c r="D62" s="250">
        <f>D60-D61</f>
        <v/>
      </c>
    </row>
    <row r="63">
      <c r="B63" s="229" t="inlineStr">
        <is>
          <t>Difference as % of Naive Sum</t>
        </is>
      </c>
      <c r="C63" s="251">
        <f>C62/C60</f>
        <v/>
      </c>
      <c r="D63" s="251">
        <f>D62/D60</f>
        <v/>
      </c>
    </row>
    <row r="65" ht="30" customHeight="1" s="203">
      <c r="B65" s="245" t="inlineStr">
        <is>
          <t>Reading this: the gap is small on both lines (well under 1%), a strong independent cross-check on this model's standalone LTI/Mindtree figures against real, audited, third-party-verified data - not assumed to be accurate, actually confirmed against the real combined-entity result.</t>
        </is>
      </c>
    </row>
    <row r="67">
      <c r="A67" s="230" t="inlineStr">
        <is>
          <t>##</t>
        </is>
      </c>
      <c r="B67" s="230" t="inlineStr">
        <is>
          <t>Accretion / Dilution Analysis</t>
        </is>
      </c>
    </row>
    <row r="69">
      <c r="B69" s="236" t="inlineStr">
        <is>
          <t>LTI Standalone FY22 Shares Outstanding</t>
        </is>
      </c>
      <c r="C69" s="248">
        <f>'Exchange Ratio &amp; Ownership'!C11</f>
        <v/>
      </c>
    </row>
    <row r="70">
      <c r="B70" s="236" t="inlineStr">
        <is>
          <t>Pro Forma Shares Outstanding (ACTUAL post-deal)</t>
        </is>
      </c>
      <c r="C70" s="248">
        <f>'Exchange Ratio &amp; Ownership'!C17</f>
        <v/>
      </c>
    </row>
    <row r="72">
      <c r="B72" s="239" t="inlineStr">
        <is>
          <t>LTI Standalone FY22 EPS (Rs.)</t>
        </is>
      </c>
      <c r="C72" s="252">
        <f>D58*1000000/C69</f>
        <v/>
      </c>
    </row>
    <row r="74" ht="70" customHeight="1" s="203">
      <c r="B74" s="245" t="inlineStr">
        <is>
          <t>Caveat, read before the results below (audit gap #12a, Task 26): EPS accretion/dilution is a mechanical accounting result, not a value-creation test - large studies of real transactions find no empirical link between a deal being EPS-accretive and it actually creating shareholder value (deals that dilute EPS and deals that boost it are equally likely to create or destroy value). Method A/B below show what happened to EPS, which is a fact worth knowing - not proof the deal was economically good, which the DCF, Comps, Precedent Transactions and Contribution Analysis elsewhere in this model speak to far more directly.</t>
        </is>
      </c>
    </row>
    <row r="76">
      <c r="A76" s="253" t="inlineStr">
        <is>
          <t>###</t>
        </is>
      </c>
      <c r="B76" s="253" t="inlineStr">
        <is>
          <t>Method A: Same-Year Pro Forma (FY22 actual combined vs LTI FY22 standalone)</t>
        </is>
      </c>
      <c r="E76" s="229" t="inlineStr">
        <is>
          <t>Isolates the pure combination effect - same period's earnings, different share base.</t>
        </is>
      </c>
    </row>
    <row r="77">
      <c r="B77" s="236" t="inlineStr">
        <is>
          <t>Pro Forma EPS (Actual Consol. FY22 PAT / Actual PF Shares)</t>
        </is>
      </c>
      <c r="C77" s="254">
        <f>D61*1000000/C70</f>
        <v/>
      </c>
    </row>
    <row r="78">
      <c r="B78" s="255" t="inlineStr">
        <is>
          <t>Accretion / (Dilution) to LTI Standalone EPS</t>
        </is>
      </c>
      <c r="C78" s="256">
        <f>C77/C72-1</f>
        <v/>
      </c>
    </row>
    <row r="80">
      <c r="A80" s="253" t="inlineStr">
        <is>
          <t>###</t>
        </is>
      </c>
      <c r="B80" s="253" t="inlineStr">
        <is>
          <t>Method B: Actual Realized (FY23 actual combined vs LTI FY22 standalone)</t>
        </is>
      </c>
      <c r="E80" s="229" t="inlineStr">
        <is>
          <t>Includes one full year of real organic performance on top of the combination effect - cannot be cleanly separated from the aggregate figures alone.</t>
        </is>
      </c>
    </row>
    <row r="81">
      <c r="B81" s="236" t="inlineStr">
        <is>
          <t>Pro Forma EPS (Actual Consol. FY23 PAT / Actual PF Shares)</t>
        </is>
      </c>
      <c r="C81" s="254">
        <f>D18*1000000/C70</f>
        <v/>
      </c>
    </row>
    <row r="82">
      <c r="B82" s="255" t="inlineStr">
        <is>
          <t>Accretion / (Dilution) to LTI Standalone EPS</t>
        </is>
      </c>
      <c r="C82" s="256">
        <f>C81/C72-1</f>
        <v/>
      </c>
    </row>
    <row r="84">
      <c r="A84" s="253" t="inlineStr">
        <is>
          <t>###</t>
        </is>
      </c>
      <c r="B84" s="253" t="inlineStr">
        <is>
          <t>Reinhardt's P/E Rule Check</t>
        </is>
      </c>
      <c r="E84" s="229" t="inlineStr">
        <is>
          <t>Tests whether Method A's accretion is a real economic signal or a mechanical multiple-expansion artifact of the deal structure itself.</t>
        </is>
      </c>
    </row>
    <row r="85">
      <c r="B85" s="236" t="inlineStr">
        <is>
          <t>Mindtree Standalone FY22 Shares Outstanding</t>
        </is>
      </c>
      <c r="C85" s="248">
        <f>'Exchange Ratio &amp; Ownership'!C12</f>
        <v/>
      </c>
    </row>
    <row r="86">
      <c r="B86" s="236" t="inlineStr">
        <is>
          <t>Mindtree Standalone FY22 EPS (Rs.)</t>
        </is>
      </c>
      <c r="C86" s="254">
        <f>D59*1000000/C85</f>
        <v/>
      </c>
    </row>
    <row r="88">
      <c r="B88" s="236" t="inlineStr">
        <is>
          <t>LTI's Own P/E (LTI market price / LTI standalone EPS)</t>
        </is>
      </c>
      <c r="C88" s="302">
        <f>'Exchange Ratio &amp; Ownership'!C28/C72</f>
        <v/>
      </c>
    </row>
    <row r="89">
      <c r="B89" s="236" t="inlineStr">
        <is>
          <t>Implied P/E Paid for Mindtree (Value received per MT share / MT standalone EPS)</t>
        </is>
      </c>
      <c r="C89" s="302">
        <f>'Exchange Ratio &amp; Ownership'!C29/C86</f>
        <v/>
      </c>
      <c r="E89" s="229" t="inlineStr">
        <is>
          <t>Value received per Mindtree share = exchange ratio x LTI's own price (Exchange Ratio &amp; Ownership sheet) - the actual earnings multiple LTI effectively paid for Mindtree's FY22 PAT.</t>
        </is>
      </c>
    </row>
    <row r="91">
      <c r="B91" s="241" t="inlineStr">
        <is>
          <t>Reinhardt Rule: LTI P/E &gt; Implied P/E Paid -&gt; mechanically accretive</t>
        </is>
      </c>
      <c r="C91" s="241">
        <f>IF(C88&gt;C89,"TRUE - mechanically accretive","FALSE - mechanically dilutive")</f>
        <v/>
      </c>
    </row>
    <row r="93" ht="95" customHeight="1" s="203">
      <c r="B93" s="245" t="inlineStr">
        <is>
          <t>Reading this (verified via recalc): LTI's own P/E (35.0x) is modestly above the implied P/E paid for Mindtree's earnings (33.4x), so Reinhardt's rule confirms Method A's +1.87% accretion is at least partly a mechanical multiple-expansion effect, not purely a synergy or growth signal - exactly what the caveat above warns about. The gap between the two P/Es is narrow (35.0x vs. 33.4x, about a 4.7% relative difference), not the kind of wide mismatch (e.g. a 40x-P/E acquirer buying a 12x-P/E target) that would signal a real cosmetic-accretion illusion - a small, real effect consistent with this model's other findings that the deal was priced close to fair, not with a bidder exploiting a large multiple gap to manufacture the appearance of a good deal.</t>
        </is>
      </c>
    </row>
    <row r="95" ht="110" customHeight="1" s="203">
      <c r="B95" s="245" t="inlineStr">
        <is>
          <t>Reading this: since the deal was all-stock (no new debt, confirmed on the Exchange Ratio sheet), there is no incremental interest cost to model - the standard complication in a cash/debt-funded deal's accretion/dilution math doesn't apply here. Method A shows the deal was mechanically accretive even on a same-year basis (combining two profitable companies where the combined PAT grew faster than the new shares issued diluted the base). Method B, using real FY23 results, shows materially more accretion - but that number blends the merger's own effect with a full year of the wider IT-services sector's organic growth (both companies' standalone businesses were growing before the deal too), so it should be read as "what actually happened to EPS" rather than "what the merger alone contributed." Both are real, disclosed-data-based figures, not modeled projections - a materially stronger basis than a purely hypothetical pro forma would have been.</t>
        </is>
      </c>
    </row>
  </sheetData>
  <mergeCells count="10">
    <mergeCell ref="B53:F53"/>
    <mergeCell ref="B65:F65"/>
    <mergeCell ref="B2:F2"/>
    <mergeCell ref="B95:F95"/>
    <mergeCell ref="B33:F33"/>
    <mergeCell ref="B51:F51"/>
    <mergeCell ref="B37:F37"/>
    <mergeCell ref="B31:F31"/>
    <mergeCell ref="B93:F93"/>
    <mergeCell ref="B74:F74"/>
  </mergeCells>
  <pageMargins left="0.75" right="0.75" top="1" bottom="1" header="0.5" footer="0.5"/>
</worksheet>
</file>

<file path=xl/worksheets/sheet5.xml><?xml version="1.0" encoding="utf-8"?>
<worksheet xmlns="http://schemas.openxmlformats.org/spreadsheetml/2006/main">
  <sheetPr>
    <tabColor rgb="0000978D"/>
    <outlinePr summaryBelow="1" summaryRight="1"/>
    <pageSetUpPr/>
  </sheetPr>
  <dimension ref="A1:F62"/>
  <sheetViews>
    <sheetView showGridLines="0" workbookViewId="0">
      <selection activeCell="A1" sqref="A1"/>
    </sheetView>
  </sheetViews>
  <sheetFormatPr baseColWidth="8" defaultRowHeight="15"/>
  <cols>
    <col width="3.5" customWidth="1" style="203" min="1" max="1"/>
    <col width="36" customWidth="1" style="203" min="2" max="2"/>
    <col width="16" customWidth="1" style="203" min="3" max="3"/>
    <col width="16" customWidth="1" style="203" min="4" max="4"/>
    <col width="16" customWidth="1" style="203" min="5" max="5"/>
    <col width="60" customWidth="1" style="203" min="6" max="6"/>
  </cols>
  <sheetData>
    <row r="1">
      <c r="A1" s="228" t="inlineStr">
        <is>
          <t>#</t>
        </is>
      </c>
      <c r="B1" s="228" t="inlineStr">
        <is>
          <t>Stress Test - Exchange Ratio Bounds (Bull/Base/Bear)</t>
        </is>
      </c>
    </row>
    <row r="2" ht="44" customHeight="1" s="203">
      <c r="B2" s="229" t="inlineStr">
        <is>
          <t>Methodology from Sasi's own M&amp;A course (Prof. Yogesh Chauhan) - "Determining Exchange Ratio: A logic": the buyer sets a MAXIMUM exchange ratio it can pay without overpaying (target's standalone value + its share of synergy, divided by buyer's own value); the seller sets a MINIMUM it will accept (target's standalone value alone, no synergy credit, divided by buyer's value). The actual 73:100 ratio is tested against this [Min, Max] negotiable range under three scenarios, not just the locked-in base case.</t>
        </is>
      </c>
    </row>
    <row r="4">
      <c r="A4" s="230" t="inlineStr">
        <is>
          <t>##</t>
        </is>
      </c>
      <c r="B4" s="230" t="inlineStr">
        <is>
          <t>Scenario Inputs</t>
        </is>
      </c>
    </row>
    <row r="6">
      <c r="B6" s="247" t="inlineStr"/>
      <c r="C6" s="247" t="inlineStr">
        <is>
          <t>Bear</t>
        </is>
      </c>
      <c r="D6" s="247" t="inlineStr">
        <is>
          <t>Base</t>
        </is>
      </c>
      <c r="E6" s="247" t="inlineStr">
        <is>
          <t>Bull</t>
        </is>
      </c>
    </row>
    <row r="7">
      <c r="B7" s="236" t="inlineStr">
        <is>
          <t>WACC scenario (Sensitivity Table row)</t>
        </is>
      </c>
      <c r="C7" s="229" t="inlineStr">
        <is>
          <t>+2pp (row 12)</t>
        </is>
      </c>
      <c r="D7" s="229" t="inlineStr">
        <is>
          <t>Base (row 10, locked-in)</t>
        </is>
      </c>
      <c r="E7" s="229" t="inlineStr">
        <is>
          <t>-2pp (row 8)</t>
        </is>
      </c>
    </row>
    <row r="8">
      <c r="B8" s="236" t="inlineStr">
        <is>
          <t>Synergy Realization %</t>
        </is>
      </c>
      <c r="C8" s="277" t="n">
        <v>0</v>
      </c>
      <c r="D8" s="277" t="n">
        <v>1</v>
      </c>
      <c r="E8" s="277" t="n">
        <v>1.5</v>
      </c>
    </row>
    <row r="10" ht="40" customHeight="1" s="203">
      <c r="B10" s="245" t="inlineStr">
        <is>
          <t>Bear = higher discount rate (worse conditions) + zero synergy realized (skeptical case, deal creates no value beyond the two standalone businesses). Base = the locked-in WACC + full Rs.10,123M/year bottom-up synergy estimate. Bull = lower discount rate + 150% of the estimate (upside: cross-sell and cost synergies exceed the conservative bottom-up case).</t>
        </is>
      </c>
    </row>
    <row r="12">
      <c r="A12" s="230" t="inlineStr">
        <is>
          <t>##</t>
        </is>
      </c>
      <c r="B12" s="230" t="inlineStr">
        <is>
          <t>Standalone Intrinsic Value / Share (Rs.)</t>
        </is>
      </c>
    </row>
    <row r="14">
      <c r="B14" s="247" t="inlineStr"/>
      <c r="C14" s="247" t="inlineStr">
        <is>
          <t>Bear</t>
        </is>
      </c>
      <c r="D14" s="247" t="inlineStr">
        <is>
          <t>Base</t>
        </is>
      </c>
      <c r="E14" s="247" t="inlineStr">
        <is>
          <t>Bull</t>
        </is>
      </c>
    </row>
    <row r="15">
      <c r="B15" s="236" t="inlineStr">
        <is>
          <t>LTI Standalone Value/Share</t>
        </is>
      </c>
      <c r="C15" s="278">
        <f>'LTI_Sensitivity Tables'!E12</f>
        <v/>
      </c>
      <c r="D15" s="278">
        <f>'LTI_Sensitivity Tables'!E10</f>
        <v/>
      </c>
      <c r="E15" s="278">
        <f>'LTI_Sensitivity Tables'!E8</f>
        <v/>
      </c>
    </row>
    <row r="16">
      <c r="B16" s="236" t="inlineStr">
        <is>
          <t>Mindtree Standalone Value/Share</t>
        </is>
      </c>
      <c r="C16" s="278">
        <f>'MT_Sensitivity Tables'!E12</f>
        <v/>
      </c>
      <c r="D16" s="278">
        <f>'MT_Sensitivity Tables'!E10</f>
        <v/>
      </c>
      <c r="E16" s="278">
        <f>'MT_Sensitivity Tables'!E8</f>
        <v/>
      </c>
    </row>
    <row r="17">
      <c r="B17" s="236" t="inlineStr">
        <is>
          <t>WACC used for this scenario (LTI)</t>
        </is>
      </c>
      <c r="C17" s="279" t="n">
        <v>0.120458232449681</v>
      </c>
      <c r="D17" s="279" t="n">
        <v>0.100458232449681</v>
      </c>
      <c r="E17" s="279" t="n">
        <v>0.0804582324496807</v>
      </c>
    </row>
    <row r="19" ht="30" customHeight="1" s="203">
      <c r="B19" s="245" t="inlineStr">
        <is>
          <t>Standalone values pulled live from the already-built LTI_/MT_Sensitivity Tables (WACC +/-2pp at base-case terminal growth - Table 1 in each sheet). WACC figures re-entered here as sourced inputs (matching those tables' own row headers) so the synergy perpetuity below uses a consistent discount rate per scenario.</t>
        </is>
      </c>
    </row>
    <row r="21">
      <c r="A21" s="230" t="inlineStr">
        <is>
          <t>##</t>
        </is>
      </c>
      <c r="B21" s="230" t="inlineStr">
        <is>
          <t>Synergy Value (Growing Perpetuity)</t>
        </is>
      </c>
    </row>
    <row r="23">
      <c r="B23" s="247" t="inlineStr"/>
      <c r="C23" s="247" t="inlineStr">
        <is>
          <t>Bear</t>
        </is>
      </c>
      <c r="D23" s="247" t="inlineStr">
        <is>
          <t>Base</t>
        </is>
      </c>
      <c r="E23" s="247" t="inlineStr">
        <is>
          <t>Bull</t>
        </is>
      </c>
    </row>
    <row r="24">
      <c r="B24" s="236" t="inlineStr">
        <is>
          <t>Annual Synergy Realized (Rs.M)</t>
        </is>
      </c>
      <c r="C24" s="237">
        <f>'Synergies (Bottom-Up Estimate)'!$D$36*C8</f>
        <v/>
      </c>
      <c r="D24" s="237">
        <f>'Synergies (Bottom-Up Estimate)'!$D$36*D8</f>
        <v/>
      </c>
      <c r="E24" s="237">
        <f>'Synergies (Bottom-Up Estimate)'!$D$36*E8</f>
        <v/>
      </c>
    </row>
    <row r="25">
      <c r="B25" s="236" t="inlineStr">
        <is>
          <t>Terminal Growth Rate (locked-in, both companies)</t>
        </is>
      </c>
      <c r="C25" s="280">
        <f>'LTI_DCF'!C22</f>
        <v/>
      </c>
      <c r="D25" s="280">
        <f>'LTI_DCF'!C22</f>
        <v/>
      </c>
      <c r="E25" s="280">
        <f>'LTI_DCF'!C22</f>
        <v/>
      </c>
    </row>
    <row r="26">
      <c r="B26" s="236" t="inlineStr">
        <is>
          <t>Synergy PV (Rs.M) = Annual / (WACC - TGR)</t>
        </is>
      </c>
      <c r="C26" s="237">
        <f>C24/(C17-C25)</f>
        <v/>
      </c>
      <c r="D26" s="237">
        <f>D24/(D17-D25)</f>
        <v/>
      </c>
      <c r="E26" s="237">
        <f>E24/(E17-E25)</f>
        <v/>
      </c>
    </row>
    <row r="27">
      <c r="B27" s="239" t="inlineStr">
        <is>
          <t>Synergy PV per Mindtree Share (Rs.)</t>
        </is>
      </c>
      <c r="C27" s="252">
        <f>C26*1000000/'Exchange Ratio &amp; Ownership'!$C$12</f>
        <v/>
      </c>
      <c r="D27" s="252">
        <f>D26*1000000/'Exchange Ratio &amp; Ownership'!$C$12</f>
        <v/>
      </c>
      <c r="E27" s="252">
        <f>E26*1000000/'Exchange Ratio &amp; Ownership'!$C$12</f>
        <v/>
      </c>
    </row>
    <row r="29">
      <c r="A29" s="230" t="inlineStr">
        <is>
          <t>##</t>
        </is>
      </c>
      <c r="B29" s="230" t="inlineStr">
        <is>
          <t>Exchange Ratio Bounds vs. Actual (73:100 = 0.73)</t>
        </is>
      </c>
    </row>
    <row r="31">
      <c r="B31" s="247" t="inlineStr"/>
      <c r="C31" s="247" t="inlineStr">
        <is>
          <t>Bear</t>
        </is>
      </c>
      <c r="D31" s="247" t="inlineStr">
        <is>
          <t>Base</t>
        </is>
      </c>
      <c r="E31" s="247" t="inlineStr">
        <is>
          <t>Bull</t>
        </is>
      </c>
    </row>
    <row r="32">
      <c r="B32" s="232" t="inlineStr">
        <is>
          <t>Min Exchange Ratio (Seller floor, no synergy credit)</t>
        </is>
      </c>
      <c r="C32" s="281">
        <f>C16/C15</f>
        <v/>
      </c>
      <c r="D32" s="281">
        <f>D16/D15</f>
        <v/>
      </c>
      <c r="E32" s="281">
        <f>E16/E15</f>
        <v/>
      </c>
    </row>
    <row r="33">
      <c r="B33" s="232" t="inlineStr">
        <is>
          <t>Max Exchange Ratio (Buyer ceiling, incl. synergy)</t>
        </is>
      </c>
      <c r="C33" s="281">
        <f>(C16+C27)/C15</f>
        <v/>
      </c>
      <c r="D33" s="281">
        <f>(D16+D27)/D15</f>
        <v/>
      </c>
      <c r="E33" s="281">
        <f>(E16+E27)/E15</f>
        <v/>
      </c>
    </row>
    <row r="34">
      <c r="B34" s="234" t="inlineStr">
        <is>
          <t>Actual Ratio (0.73)</t>
        </is>
      </c>
      <c r="C34" s="282" t="n">
        <v>0.73</v>
      </c>
      <c r="D34" s="282" t="n">
        <v>0.73</v>
      </c>
      <c r="E34" s="282" t="n">
        <v>0.73</v>
      </c>
    </row>
    <row r="35">
      <c r="B35" s="241" t="inlineStr">
        <is>
          <t>Within [Min, Max]?</t>
        </is>
      </c>
      <c r="C35" s="241">
        <f>IF(AND(C34&gt;=C32,C34&lt;=C33),"YES - within range","NO - outside range")</f>
        <v/>
      </c>
      <c r="D35" s="241">
        <f>IF(AND(D34&gt;=D32,D34&lt;=D33),"YES - within range","NO - outside range")</f>
        <v/>
      </c>
      <c r="E35" s="241">
        <f>IF(AND(E34&gt;=E32,E34&lt;=E33),"YES - within range","NO - outside range")</f>
        <v/>
      </c>
    </row>
    <row r="37" ht="90" customHeight="1" s="203">
      <c r="B37" s="245" t="inlineStr">
        <is>
          <t>Reading this: even in the Bear case (higher discount rate, zero synergy credited to the buyer's ceiling), the actual 73:100 ratio's position relative to [Min, Max] shows whether the deal required optimistic assumptions to look fair, or whether it clears the bar even under skeptical inputs. In the Base case, the range reflects this model's own locked-in DCF assumptions plus the full bottom-up synergy estimate. The Bull case shows how much headroom exists if synergies run ahead of the conservative estimate. This is the same negotiation-range logic taught in Sasi's own course (buyer's ceiling vs. seller's floor) - not a new framework invented for this model.</t>
        </is>
      </c>
    </row>
    <row r="40">
      <c r="A40" s="230" t="inlineStr">
        <is>
          <t>##</t>
        </is>
      </c>
      <c r="B40" s="230" t="inlineStr">
        <is>
          <t>Ramp-Up &amp; Integration-Cost-Adjusted Synergy PV (audit gap #12c cross-check)</t>
        </is>
      </c>
    </row>
    <row r="41">
      <c r="B41" s="229" t="inlineStr">
        <is>
          <t>A separate adjusted view alongside (not replacing) the flat-perpetuity Synergy PV above (rows 21-27) - uses the ramp-up schedule and one-time integration cost added at 'Synergies (Bottom-Up Estimate)'!B44:D44/B49. Integration cost is the SAME absolute Rs.M in every scenario column (based on the full D36 run-rate, not the scenario-adjusted one) - the cost to attempt integration is incurred regardless of how much synergy actually materializes, including in Bear where realized synergy is zero.</t>
        </is>
      </c>
    </row>
    <row r="43">
      <c r="B43" s="366" t="n"/>
      <c r="C43" s="247" t="inlineStr">
        <is>
          <t>Bear</t>
        </is>
      </c>
      <c r="D43" s="247" t="inlineStr">
        <is>
          <t>Base</t>
        </is>
      </c>
      <c r="E43" s="247" t="inlineStr">
        <is>
          <t>Bull</t>
        </is>
      </c>
    </row>
    <row r="44">
      <c r="B44" s="236" t="inlineStr">
        <is>
          <t>Year 1 Synergy Realized (Rs.M)</t>
        </is>
      </c>
      <c r="C44" s="237">
        <f>C24*'Synergies (Bottom-Up Estimate)'!$B$44</f>
        <v/>
      </c>
      <c r="D44" s="237">
        <f>D24*'Synergies (Bottom-Up Estimate)'!$B$44</f>
        <v/>
      </c>
      <c r="E44" s="237">
        <f>E24*'Synergies (Bottom-Up Estimate)'!$B$44</f>
        <v/>
      </c>
    </row>
    <row r="45">
      <c r="B45" s="236" t="inlineStr">
        <is>
          <t>Year 2 Synergy Realized (Rs.M)</t>
        </is>
      </c>
      <c r="C45" s="237">
        <f>C24*'Synergies (Bottom-Up Estimate)'!$C$44</f>
        <v/>
      </c>
      <c r="D45" s="237">
        <f>D24*'Synergies (Bottom-Up Estimate)'!$C$44</f>
        <v/>
      </c>
      <c r="E45" s="237">
        <f>E24*'Synergies (Bottom-Up Estimate)'!$C$44</f>
        <v/>
      </c>
    </row>
    <row r="46">
      <c r="B46" s="236" t="inlineStr">
        <is>
          <t>PV of Year 1+2 Synergy (Rs.M)</t>
        </is>
      </c>
      <c r="C46" s="237">
        <f>C44/(1+C17)+C45/(1+C17)^2</f>
        <v/>
      </c>
      <c r="D46" s="237">
        <f>D44/(1+D17)+D45/(1+D17)^2</f>
        <v/>
      </c>
      <c r="E46" s="237">
        <f>E44/(1+E17)+E45/(1+E17)^2</f>
        <v/>
      </c>
    </row>
    <row r="47">
      <c r="B47" s="236" t="inlineStr">
        <is>
          <t>PV of Year 3+ Perpetuity, full run-rate (Rs.M)</t>
        </is>
      </c>
      <c r="C47" s="237">
        <f>(C24*(1+C25))/(C17-C25)/(1+C17)^2</f>
        <v/>
      </c>
      <c r="D47" s="237">
        <f>(D24*(1+D25))/(D17-D25)/(1+D17)^2</f>
        <v/>
      </c>
      <c r="E47" s="237">
        <f>(E24*(1+E25))/(E17-E25)/(1+E17)^2</f>
        <v/>
      </c>
    </row>
    <row r="48">
      <c r="B48" s="236" t="inlineStr">
        <is>
          <t>Total Synergy PV before integration cost (Rs.M)</t>
        </is>
      </c>
      <c r="C48" s="237">
        <f>C46+C47</f>
        <v/>
      </c>
      <c r="D48" s="237">
        <f>D46+D47</f>
        <v/>
      </c>
      <c r="E48" s="237">
        <f>E46+E47</f>
        <v/>
      </c>
    </row>
    <row r="49">
      <c r="B49" s="236" t="inlineStr">
        <is>
          <t>Less: One-Time Integration Cost (Rs.M, undiscounted, paid at close)</t>
        </is>
      </c>
      <c r="C49" s="248">
        <f>-'Synergies (Bottom-Up Estimate)'!$B$49</f>
        <v/>
      </c>
      <c r="D49" s="248">
        <f>-'Synergies (Bottom-Up Estimate)'!$B$49</f>
        <v/>
      </c>
      <c r="E49" s="248">
        <f>-'Synergies (Bottom-Up Estimate)'!$B$49</f>
        <v/>
      </c>
    </row>
    <row r="50">
      <c r="B50" s="239" t="inlineStr">
        <is>
          <t>Net Adjusted Synergy PV (Rs.M)</t>
        </is>
      </c>
      <c r="C50" s="249">
        <f>C48+C49</f>
        <v/>
      </c>
      <c r="D50" s="249">
        <f>D48+D49</f>
        <v/>
      </c>
      <c r="E50" s="249">
        <f>E48+E49</f>
        <v/>
      </c>
    </row>
    <row r="51">
      <c r="B51" s="236" t="inlineStr">
        <is>
          <t>Net Adjusted Synergy PV per Mindtree Share (Rs.)</t>
        </is>
      </c>
      <c r="C51" s="278">
        <f>C50*1000000/'Exchange Ratio &amp; Ownership'!$C$12</f>
        <v/>
      </c>
      <c r="D51" s="278">
        <f>D50*1000000/'Exchange Ratio &amp; Ownership'!$C$12</f>
        <v/>
      </c>
      <c r="E51" s="278">
        <f>E50*1000000/'Exchange Ratio &amp; Ownership'!$C$12</f>
        <v/>
      </c>
    </row>
    <row r="53">
      <c r="A53" s="230" t="inlineStr">
        <is>
          <t>##</t>
        </is>
      </c>
      <c r="B53" s="230" t="inlineStr">
        <is>
          <t>Exchange Ratio Bounds - Ramp + Integration-Cost Adjusted, vs. Original</t>
        </is>
      </c>
    </row>
    <row r="55">
      <c r="B55" s="366" t="n"/>
      <c r="C55" s="247" t="inlineStr">
        <is>
          <t>Bear</t>
        </is>
      </c>
      <c r="D55" s="247" t="inlineStr">
        <is>
          <t>Base</t>
        </is>
      </c>
      <c r="E55" s="247" t="inlineStr">
        <is>
          <t>Bull</t>
        </is>
      </c>
    </row>
    <row r="56">
      <c r="B56" s="236" t="inlineStr">
        <is>
          <t>Min Exchange Ratio (Seller floor - unchanged, doesn't involve synergy)</t>
        </is>
      </c>
      <c r="C56" s="367">
        <f>C32</f>
        <v/>
      </c>
      <c r="D56" s="367">
        <f>D32</f>
        <v/>
      </c>
      <c r="E56" s="367">
        <f>E32</f>
        <v/>
      </c>
    </row>
    <row r="57">
      <c r="B57" s="236" t="inlineStr">
        <is>
          <t>Max Exchange Ratio - Adjusted (Buyer ceiling, incl. ramp+integration-cost-adjusted synergy)</t>
        </is>
      </c>
      <c r="C57" s="297">
        <f>(C16+C51)/C15</f>
        <v/>
      </c>
      <c r="D57" s="297">
        <f>(D16+D51)/D15</f>
        <v/>
      </c>
      <c r="E57" s="297">
        <f>(E16+E51)/E15</f>
        <v/>
      </c>
    </row>
    <row r="58">
      <c r="B58" s="236" t="inlineStr">
        <is>
          <t>Max Exchange Ratio - Original (flat-perpetuity, for comparison)</t>
        </is>
      </c>
      <c r="C58" s="367">
        <f>C33</f>
        <v/>
      </c>
      <c r="D58" s="367">
        <f>D33</f>
        <v/>
      </c>
      <c r="E58" s="367">
        <f>E33</f>
        <v/>
      </c>
    </row>
    <row r="59">
      <c r="B59" s="236" t="inlineStr">
        <is>
          <t>Actual Ratio (0.73)</t>
        </is>
      </c>
      <c r="C59" s="297" t="n">
        <v>0.73</v>
      </c>
      <c r="D59" s="297" t="n">
        <v>0.73</v>
      </c>
      <c r="E59" s="297" t="n">
        <v>0.73</v>
      </c>
    </row>
    <row r="60">
      <c r="B60" s="236" t="inlineStr">
        <is>
          <t>Within [Min, Max-Adjusted]?</t>
        </is>
      </c>
      <c r="C60" s="236">
        <f>IF(AND(C59&gt;=C56,C59&lt;=C57),"YES - within range","NO - outside range")</f>
        <v/>
      </c>
      <c r="D60" s="236">
        <f>IF(AND(D59&gt;=D56,D59&lt;=D57),"YES - within range","NO - outside range")</f>
        <v/>
      </c>
      <c r="E60" s="236">
        <f>IF(AND(E59&gt;=E56,E59&lt;=E57),"YES - within range","NO - outside range")</f>
        <v/>
      </c>
    </row>
    <row r="62">
      <c r="B62" s="229" t="inlineStr">
        <is>
          <t>Reading this: accounting for ramp-up and the one-time integration cost narrows every scenario's buyer ceiling versus the original flat-perpetuity treatment (Base Max 0.992 -&gt; 0.945, Bull 1.269 -&gt; 1.212), but doesn't flip the Base/Bull conclusion - the actual 0.73 ratio still clears both comfortably. Bear changes more starkly: with zero synergy ever realized but the integration cost still paid (spent regardless of outcome, by construction), the adjusted buyer ceiling (0.650) now falls BELOW the seller floor (0.673) - the range inverts, a cleaner and more pessimistic 'NO' than the original Bear result, which had Min=Max at exactly 0.673 (both collapsing to the same no-synergy point). This is the expected shape, not an error: a truly zero-synergy world that still pays to attempt integration should look worse than a zero-synergy world that doesn't, and it does here.</t>
        </is>
      </c>
    </row>
  </sheetData>
  <mergeCells count="4">
    <mergeCell ref="B2:F2"/>
    <mergeCell ref="B10:F10"/>
    <mergeCell ref="B37:F37"/>
    <mergeCell ref="B19:F19"/>
  </mergeCells>
  <pageMargins left="0.75" right="0.75" top="1" bottom="1" header="0.5" footer="0.5"/>
</worksheet>
</file>

<file path=xl/worksheets/sheet6.xml><?xml version="1.0" encoding="utf-8"?>
<worksheet xmlns="http://schemas.openxmlformats.org/spreadsheetml/2006/main">
  <sheetPr>
    <tabColor rgb="0000978D"/>
    <outlinePr summaryBelow="1" summaryRight="1"/>
    <pageSetUpPr/>
  </sheetPr>
  <dimension ref="A1:G31"/>
  <sheetViews>
    <sheetView showGridLines="0" workbookViewId="0">
      <selection activeCell="A1" sqref="A1"/>
    </sheetView>
  </sheetViews>
  <sheetFormatPr baseColWidth="8" defaultRowHeight="15"/>
  <cols>
    <col width="3.5" customWidth="1" style="203" min="1" max="1"/>
    <col width="34" customWidth="1" style="203" min="2" max="2"/>
    <col width="16" customWidth="1" style="203" min="3" max="3"/>
    <col width="16" customWidth="1" style="203" min="4" max="4"/>
    <col width="16" customWidth="1" style="203" min="5" max="5"/>
    <col width="3" customWidth="1" style="203" min="6" max="6"/>
    <col width="55" customWidth="1" style="203" min="7" max="7"/>
  </cols>
  <sheetData>
    <row r="1">
      <c r="A1" s="228" t="inlineStr">
        <is>
          <t>#</t>
        </is>
      </c>
      <c r="B1" s="228" t="inlineStr">
        <is>
          <t>Football Field - Valuation Synthesis</t>
        </is>
      </c>
    </row>
    <row r="2" ht="32" customHeight="1" s="203">
      <c r="B2" s="229" t="inlineStr">
        <is>
          <t>Every Low/Median/High below is a live formula pulling from the DCF, Comps, and Precedent Transactions sheets already built and verified - this sheet adds no new numbers, just a synthesized view. The Event Study (CAR) isn't shown here - it measures market reaction, a return, not a value-per-share estimate, so it doesn't belong on this axis.</t>
        </is>
      </c>
    </row>
    <row r="4">
      <c r="A4" s="230" t="inlineStr">
        <is>
          <t>##</t>
        </is>
      </c>
      <c r="B4" s="230" t="inlineStr">
        <is>
          <t>LTI</t>
        </is>
      </c>
    </row>
    <row r="6">
      <c r="B6" s="247" t="inlineStr">
        <is>
          <t>Method</t>
        </is>
      </c>
      <c r="C6" s="247" t="inlineStr">
        <is>
          <t>Low</t>
        </is>
      </c>
      <c r="D6" s="247" t="inlineStr">
        <is>
          <t>Median / Base</t>
        </is>
      </c>
      <c r="E6" s="247" t="inlineStr">
        <is>
          <t>High</t>
        </is>
      </c>
    </row>
    <row r="7">
      <c r="B7" s="232" t="inlineStr">
        <is>
          <t>DCF (WACC +/-2pp)</t>
        </is>
      </c>
      <c r="C7" s="267">
        <f>'LTI_Sensitivity Tables'!E12</f>
        <v/>
      </c>
      <c r="D7" s="267">
        <f>'LTI_Sensitivity Tables'!E10</f>
        <v/>
      </c>
      <c r="E7" s="267">
        <f>'LTI_Sensitivity Tables'!E8</f>
        <v/>
      </c>
    </row>
    <row r="8">
      <c r="B8" s="232" t="inlineStr">
        <is>
          <t>Trading Comps (median-mean P/E)</t>
        </is>
      </c>
      <c r="C8" s="267">
        <f>'LTI_Comps'!B16</f>
        <v/>
      </c>
      <c r="D8" s="268">
        <f>('LTI_Comps'!B16+'LTI_Comps'!B17)/2</f>
        <v/>
      </c>
      <c r="E8" s="267">
        <f>'LTI_Comps'!B17</f>
        <v/>
      </c>
    </row>
    <row r="9">
      <c r="B9" s="232" t="inlineStr">
        <is>
          <t>Precedent Transactions (EV/Rev)</t>
        </is>
      </c>
      <c r="C9" s="267">
        <f>'Precedent Transactions'!C46</f>
        <v/>
      </c>
      <c r="D9" s="267">
        <f>'Precedent Transactions'!C39</f>
        <v/>
      </c>
      <c r="E9" s="267">
        <f>'Precedent Transactions'!C53</f>
        <v/>
      </c>
    </row>
    <row r="10">
      <c r="B10" s="241" t="inlineStr">
        <is>
          <t>Actual Market Price (6-May-2022)</t>
        </is>
      </c>
      <c r="D10" s="269">
        <f>'LTI_WACC Schedule'!C6</f>
        <v/>
      </c>
    </row>
    <row r="13">
      <c r="A13" s="230" t="inlineStr">
        <is>
          <t>##</t>
        </is>
      </c>
      <c r="B13" s="230" t="inlineStr">
        <is>
          <t>Mindtree</t>
        </is>
      </c>
    </row>
    <row r="15">
      <c r="B15" s="247" t="inlineStr">
        <is>
          <t>Method</t>
        </is>
      </c>
      <c r="C15" s="247" t="inlineStr">
        <is>
          <t>Low</t>
        </is>
      </c>
      <c r="D15" s="247" t="inlineStr">
        <is>
          <t>Median / Base</t>
        </is>
      </c>
      <c r="E15" s="247" t="inlineStr">
        <is>
          <t>High</t>
        </is>
      </c>
    </row>
    <row r="16">
      <c r="B16" s="232" t="inlineStr">
        <is>
          <t>DCF (WACC +/-2pp)</t>
        </is>
      </c>
      <c r="C16" s="267">
        <f>'MT_Sensitivity Tables'!E12</f>
        <v/>
      </c>
      <c r="D16" s="267">
        <f>'MT_Sensitivity Tables'!E10</f>
        <v/>
      </c>
      <c r="E16" s="267">
        <f>'MT_Sensitivity Tables'!E8</f>
        <v/>
      </c>
    </row>
    <row r="17">
      <c r="B17" s="232" t="inlineStr">
        <is>
          <t>Trading Comps (median-mean P/E)</t>
        </is>
      </c>
      <c r="C17" s="267">
        <f>'MT_Comps'!B16</f>
        <v/>
      </c>
      <c r="D17" s="268">
        <f>('MT_Comps'!B16+'MT_Comps'!B17)/2</f>
        <v/>
      </c>
      <c r="E17" s="267">
        <f>'MT_Comps'!B17</f>
        <v/>
      </c>
    </row>
    <row r="18">
      <c r="B18" s="232" t="inlineStr">
        <is>
          <t>Precedent Transactions (EV/Rev)</t>
        </is>
      </c>
      <c r="C18" s="267">
        <f>'Precedent Transactions'!D46</f>
        <v/>
      </c>
      <c r="D18" s="267">
        <f>'Precedent Transactions'!D39</f>
        <v/>
      </c>
      <c r="E18" s="267">
        <f>'Precedent Transactions'!D53</f>
        <v/>
      </c>
    </row>
    <row r="19">
      <c r="B19" s="241" t="inlineStr">
        <is>
          <t>Actual Market Price (6-May-2022)</t>
        </is>
      </c>
      <c r="D19" s="269">
        <f>'MT_WACC Schedule'!C6</f>
        <v/>
      </c>
    </row>
    <row r="22">
      <c r="A22" s="230" t="inlineStr">
        <is>
          <t>##</t>
        </is>
      </c>
      <c r="B22" s="230" t="inlineStr">
        <is>
          <t>Chart Helper Columns (base = Low, range = High-Low)</t>
        </is>
      </c>
    </row>
    <row r="24">
      <c r="B24" s="247" t="inlineStr">
        <is>
          <t>Method</t>
        </is>
      </c>
      <c r="C24" s="247" t="inlineStr">
        <is>
          <t>Base (=Low)</t>
        </is>
      </c>
      <c r="D24" s="247" t="inlineStr">
        <is>
          <t>Range (=High-Low)</t>
        </is>
      </c>
    </row>
    <row r="25">
      <c r="B25" s="236">
        <f>B7</f>
        <v/>
      </c>
      <c r="C25" s="237">
        <f>C7</f>
        <v/>
      </c>
      <c r="D25" s="237">
        <f>E7-C7</f>
        <v/>
      </c>
    </row>
    <row r="26">
      <c r="B26" s="236">
        <f>B8</f>
        <v/>
      </c>
      <c r="C26" s="237">
        <f>C8</f>
        <v/>
      </c>
      <c r="D26" s="237">
        <f>E8-C8</f>
        <v/>
      </c>
    </row>
    <row r="27">
      <c r="B27" s="236">
        <f>B9</f>
        <v/>
      </c>
      <c r="C27" s="237">
        <f>C9</f>
        <v/>
      </c>
      <c r="D27" s="237">
        <f>E9-C9</f>
        <v/>
      </c>
    </row>
    <row r="29">
      <c r="B29" s="236">
        <f>B16</f>
        <v/>
      </c>
      <c r="C29" s="237">
        <f>C16</f>
        <v/>
      </c>
      <c r="D29" s="237">
        <f>E16-C16</f>
        <v/>
      </c>
    </row>
    <row r="30">
      <c r="B30" s="236">
        <f>B17</f>
        <v/>
      </c>
      <c r="C30" s="237">
        <f>C17</f>
        <v/>
      </c>
      <c r="D30" s="237">
        <f>E17-C17</f>
        <v/>
      </c>
    </row>
    <row r="31">
      <c r="B31" s="236">
        <f>B18</f>
        <v/>
      </c>
      <c r="C31" s="237">
        <f>C18</f>
        <v/>
      </c>
      <c r="D31" s="237">
        <f>E18-C18</f>
        <v/>
      </c>
    </row>
  </sheetData>
  <mergeCells count="1">
    <mergeCell ref="B2:G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00978D"/>
    <outlinePr summaryBelow="1" summaryRight="1"/>
    <pageSetUpPr/>
  </sheetPr>
  <dimension ref="A1:I102"/>
  <sheetViews>
    <sheetView showGridLines="0" topLeftCell="A10" workbookViewId="0">
      <selection activeCell="A1" sqref="A1:A1048576"/>
    </sheetView>
  </sheetViews>
  <sheetFormatPr baseColWidth="8" defaultRowHeight="14.5"/>
  <cols>
    <col width="3.453125" customWidth="1" style="219" min="1" max="1"/>
    <col width="32" customWidth="1" style="203" min="2" max="2"/>
    <col width="15" customWidth="1" style="203" min="3" max="8"/>
    <col width="62" customWidth="1" style="203" min="9" max="9"/>
  </cols>
  <sheetData>
    <row r="1" ht="21" customHeight="1" s="203">
      <c r="A1" s="70" t="inlineStr">
        <is>
          <t>#</t>
        </is>
      </c>
      <c r="B1" s="99" t="inlineStr">
        <is>
          <t>Precedent Transactions Analysis</t>
        </is>
      </c>
    </row>
    <row r="2" ht="28" customHeight="1" s="203">
      <c r="B2" s="226" t="inlineStr">
        <is>
          <t>Real, publicly disclosed Indian IT-services M&amp;A transactions (sourced live via web search, citations in column I). Multiples the acquirer actually paid, applied to LTI's and Mindtree's own FY22 financials - a third, independent cross-check alongside the DCF and Trading Comps already built.</t>
        </is>
      </c>
    </row>
    <row r="4" ht="15.5" customHeight="1" s="203">
      <c r="A4" s="38" t="inlineStr">
        <is>
          <t>##</t>
        </is>
      </c>
      <c r="B4" s="102" t="inlineStr">
        <is>
          <t>Transaction Table</t>
        </is>
      </c>
    </row>
    <row r="6" ht="28" customHeight="1" s="203">
      <c r="B6" s="157" t="inlineStr">
        <is>
          <t>Acquirer / Target</t>
        </is>
      </c>
      <c r="C6" s="157" t="inlineStr">
        <is>
          <t>Announced</t>
        </is>
      </c>
      <c r="D6" s="157" t="inlineStr">
        <is>
          <t>Deal Value (EV, $M)</t>
        </is>
      </c>
      <c r="E6" s="157" t="inlineStr">
        <is>
          <t>Target Revenue (LTM, $M)</t>
        </is>
      </c>
      <c r="F6" s="157" t="inlineStr">
        <is>
          <t>EV/Revenue</t>
        </is>
      </c>
      <c r="G6" s="157" t="inlineStr">
        <is>
          <t>Target EBITDA or EBIT (LTM, $M)</t>
        </is>
      </c>
      <c r="H6" s="157" t="inlineStr">
        <is>
          <t>EV/EBITDA or EV/EBIT</t>
        </is>
      </c>
    </row>
    <row r="7" ht="62" customHeight="1" s="203">
      <c r="B7" s="158" t="inlineStr">
        <is>
          <t>Capgemini / iGate Corporation</t>
        </is>
      </c>
      <c r="C7" s="158" t="inlineStr">
        <is>
          <t>Apr-2015</t>
        </is>
      </c>
      <c r="D7" s="159" t="n">
        <v>4000</v>
      </c>
      <c r="E7" s="159" t="n">
        <v>1300</v>
      </c>
      <c r="F7" s="160">
        <f>D7/E7</f>
        <v/>
      </c>
      <c r="G7" s="161" t="inlineStr">
        <is>
          <t>n/a</t>
        </is>
      </c>
      <c r="H7" s="161" t="inlineStr">
        <is>
          <t>n/a</t>
        </is>
      </c>
      <c r="I7" s="162" t="inlineStr">
        <is>
          <t>Deal value + FY2014 revenue: Capgemini press release, Forbes India, Business Standard (consultancy.uk, forbesindia.com) - deal explicitly described as "over 3x revenue", consistent with the 3.08x computed here. FY2014 EBITDA not cleanly found in two searches - left blank rather than estimated.</t>
        </is>
      </c>
    </row>
    <row r="8" ht="62" customHeight="1" s="203">
      <c r="B8" s="158" t="inlineStr">
        <is>
          <t>Blackstone / Mphasis (from HPE) [EBITDA (range, not point)]</t>
        </is>
      </c>
      <c r="C8" s="158" t="inlineStr">
        <is>
          <t>Apr-2016</t>
        </is>
      </c>
      <c r="D8" s="161" t="inlineStr">
        <is>
          <t>n/a</t>
        </is>
      </c>
      <c r="E8" s="161" t="inlineStr">
        <is>
          <t>n/a</t>
        </is>
      </c>
      <c r="F8" s="161" t="inlineStr">
        <is>
          <t>n/a</t>
        </is>
      </c>
      <c r="G8" s="161" t="inlineStr">
        <is>
          <t>n/a</t>
        </is>
      </c>
      <c r="H8" s="163" t="n">
        <v>9</v>
      </c>
      <c r="I8" s="162" t="inlineStr">
        <is>
          <t>Bloomberg (Blackstone to buy HPE's 60.5% stake for ~$825M, INR430/share; up to $1.1bn for control via open offer), Blackstone press release. EV/Revenue not used - the %-stake / per-share math needed to back into a clean 100% EV was not reliably resolvable from public sources. EV/EBITDA entered directly from the source's own reported trading-multiple context: "8-10x LTM EBITDA, vs peer average 12-14x" - midpoint 9.0x entered here, not a formula.</t>
        </is>
      </c>
    </row>
    <row r="9" ht="62" customHeight="1" s="203">
      <c r="B9" s="158" t="inlineStr">
        <is>
          <t>HCL Technologies / Geometric Ltd</t>
        </is>
      </c>
      <c r="C9" s="158" t="inlineStr">
        <is>
          <t>Apr-2016</t>
        </is>
      </c>
      <c r="D9" s="161" t="inlineStr">
        <is>
          <t>n/a</t>
        </is>
      </c>
      <c r="E9" s="161" t="inlineStr">
        <is>
          <t>n/a</t>
        </is>
      </c>
      <c r="F9" s="163" t="n">
        <v>1.6</v>
      </c>
      <c r="G9" s="161" t="inlineStr">
        <is>
          <t>n/a</t>
        </is>
      </c>
      <c r="H9" s="161" t="inlineStr">
        <is>
          <t>n/a</t>
        </is>
      </c>
      <c r="I9" s="162" t="inlineStr">
        <is>
          <t>DQIndia, M&amp;A Critique, Business Standard: deal for Geometric's IT services business (Rs.1,300cr EV, Rs.801cr FY15 revenue) explicitly reported as "~1.6 times the turnover" and a 23x P/E multiple. 1.6x entered directly as reported, not as a formula off the Rs./$ figures shown for reference - the $ figures are rough conversions that would carry FX-date rounding error the source's own 1.6x doesn't have.</t>
        </is>
      </c>
    </row>
    <row r="10" ht="62" customHeight="1" s="203">
      <c r="B10" s="158" t="inlineStr">
        <is>
          <t>Carlyle Group / Hexaware Technologies [EBIT (operating profit, not EBITDA)]</t>
        </is>
      </c>
      <c r="C10" s="158" t="inlineStr">
        <is>
          <t>Jun-2021</t>
        </is>
      </c>
      <c r="D10" s="159" t="n">
        <v>3000</v>
      </c>
      <c r="E10" s="159" t="n">
        <v>845</v>
      </c>
      <c r="F10" s="160">
        <f>D10/E10</f>
        <v/>
      </c>
      <c r="G10" s="159" t="n">
        <v>152</v>
      </c>
      <c r="H10" s="160">
        <f>D10/G10</f>
        <v/>
      </c>
      <c r="I10" s="162" t="inlineStr">
        <is>
          <t>Private Equity Insights: Carlyle's winning $3bn offer for Hexaware from Baring PE Asia (Jun-2021). CY2020 revenue $845M, operating profit $152M, as reported. Operating profit here is EBIT, not EBITDA - this multiple is EV/EBIT and is NOT combined with the Mphasis EV/EBITDA figure above; kept in a separate column.</t>
        </is>
      </c>
    </row>
    <row r="12" ht="58" customHeight="1" s="203">
      <c r="B12" s="227" t="inlineStr">
        <is>
          <t>Structural precedent (not in multiples table): KPIT Technologies / Birlasoft merger (announced Jan-2018, effective Jan-2019) - a genuine stock-for-stock MERGER, not a cash acquisition: swap ratio 22 KPIT shares : 9 Birlasoft shares, forming a combined ~$700M-revenue IT services entity (which then demerged into Engineering vs IT Services businesses). No clean "price paid" multiple exists for a merger-plus-demerger of this kind, but it confirms stock-swap mergers are an established, executed transaction structure in Indian IT services - directly relevant to validating the LTI-Mindtree deal's chosen structure. (Source: KPIT/Birlasoft investor disclosures, Motilal Oswal deal report, M&amp;A Critique.)</t>
        </is>
      </c>
    </row>
    <row r="14" ht="15.5" customHeight="1" s="203">
      <c r="A14" s="38" t="inlineStr">
        <is>
          <t>##</t>
        </is>
      </c>
      <c r="B14" s="102" t="inlineStr">
        <is>
          <t>Summary Statistics - EV/Revenue</t>
        </is>
      </c>
    </row>
    <row r="15">
      <c r="B15" s="226" t="inlineStr">
        <is>
          <t>3 of 4 transactions have a clean EV/Revenue (Capgemini/iGate, HCL/Geometric, Carlyle/Hexaware); Blackstone/Mphasis is excluded from this statistic (only EV/EBITDA was cleanly sourceable for it) - MEDIAN/AVERAGE/MIN/MAX below skip its "n/a" cell automatically.</t>
        </is>
      </c>
    </row>
    <row r="17">
      <c r="B17" s="205" t="inlineStr">
        <is>
          <t>Median</t>
        </is>
      </c>
      <c r="C17" s="164">
        <f>MEDIAN(F7:F10)</f>
        <v/>
      </c>
    </row>
    <row r="18">
      <c r="B18" s="205" t="inlineStr">
        <is>
          <t>Mean</t>
        </is>
      </c>
      <c r="C18" s="164">
        <f>AVERAGE(F7:F10)</f>
        <v/>
      </c>
    </row>
    <row r="19">
      <c r="B19" s="205" t="inlineStr">
        <is>
          <t>Min</t>
        </is>
      </c>
      <c r="C19" s="164">
        <f>MIN(F7:F10)</f>
        <v/>
      </c>
    </row>
    <row r="20">
      <c r="B20" s="205" t="inlineStr">
        <is>
          <t>Max</t>
        </is>
      </c>
      <c r="C20" s="164">
        <f>MAX(F7:F10)</f>
        <v/>
      </c>
    </row>
    <row r="22" ht="15.5" customHeight="1" s="203">
      <c r="A22" s="38" t="inlineStr">
        <is>
          <t>##</t>
        </is>
      </c>
      <c r="B22" s="102" t="inlineStr">
        <is>
          <t>Applied to LTI and Mindtree (FY22 financials, deal-year LTM)</t>
        </is>
      </c>
    </row>
    <row r="24">
      <c r="C24" s="165" t="inlineStr">
        <is>
          <t>LTI</t>
        </is>
      </c>
      <c r="D24" s="165" t="inlineStr">
        <is>
          <t>Mindtree</t>
        </is>
      </c>
    </row>
    <row r="25">
      <c r="B25" s="205" t="inlineStr">
        <is>
          <t>Revenue (FY22, Rs.M)</t>
        </is>
      </c>
      <c r="C25" s="166">
        <f>'LTI_P&amp;L Schedule'!H7</f>
        <v/>
      </c>
      <c r="D25" s="166">
        <f>'MT_P&amp;L Schedule'!H7</f>
        <v/>
      </c>
    </row>
    <row r="26">
      <c r="B26" s="205" t="inlineStr">
        <is>
          <t>EBITDA (FY22, Rs.M)</t>
        </is>
      </c>
      <c r="C26" s="166">
        <f>'LTI_P&amp;L Schedule'!H11</f>
        <v/>
      </c>
      <c r="D26" s="166">
        <f>'MT_P&amp;L Schedule'!H11</f>
        <v/>
      </c>
    </row>
    <row r="27">
      <c r="B27" s="205" t="inlineStr">
        <is>
          <t>EBIT (FY22, Rs.M)</t>
        </is>
      </c>
      <c r="C27" s="166">
        <f>'LTI_P&amp;L Schedule'!H14</f>
        <v/>
      </c>
      <c r="D27" s="166">
        <f>'MT_P&amp;L Schedule'!H14</f>
        <v/>
      </c>
    </row>
    <row r="28">
      <c r="B28" s="205" t="inlineStr">
        <is>
          <t>Debt incl. leases (book value, Rs.M)</t>
        </is>
      </c>
      <c r="C28" s="166">
        <f>'LTI_WACC Schedule'!C34</f>
        <v/>
      </c>
      <c r="D28" s="166">
        <f>'MT_WACC Schedule'!C34</f>
        <v/>
      </c>
    </row>
    <row r="29">
      <c r="B29" s="205" t="inlineStr">
        <is>
          <t>Cash &amp; Cash Equivalents (Rs.M)</t>
        </is>
      </c>
      <c r="C29" s="166">
        <f>IFERROR(INDEX(LTI_HS_CONSOLIDATED!I:I,MATCH("CashAndCashEquivalents",LTI_HS_CONSOLIDATED!$C:$C,0)),0)</f>
        <v/>
      </c>
      <c r="D29" s="166">
        <f>IFERROR(INDEX(MT_HS_CONSOLIDATED!I:I,MATCH("CashAndCashEquivalents",MT_HS_CONSOLIDATED!$C:$C,0)),0)</f>
        <v/>
      </c>
    </row>
    <row r="30">
      <c r="B30" s="205" t="inlineStr">
        <is>
          <t>Shares Outstanding</t>
        </is>
      </c>
      <c r="C30" s="166">
        <f>'LTI_WACC Schedule'!C7</f>
        <v/>
      </c>
      <c r="D30" s="166">
        <f>'MT_WACC Schedule'!C7</f>
        <v/>
      </c>
    </row>
    <row r="31">
      <c r="B31" s="205" t="inlineStr">
        <is>
          <t>Market Price (6-May-2022, Rs.)</t>
        </is>
      </c>
      <c r="C31" s="166">
        <f>'LTI_WACC Schedule'!C6</f>
        <v/>
      </c>
      <c r="D31" s="166">
        <f>'MT_WACC Schedule'!C6</f>
        <v/>
      </c>
    </row>
    <row r="33">
      <c r="B33" s="205" t="inlineStr">
        <is>
          <t>Net Debt (Rs.M)</t>
        </is>
      </c>
      <c r="C33" s="167">
        <f>C28-C29</f>
        <v/>
      </c>
      <c r="D33" s="167">
        <f>D28-D29</f>
        <v/>
      </c>
    </row>
    <row r="35">
      <c r="A35" s="220" t="inlineStr">
        <is>
          <t>###</t>
        </is>
      </c>
      <c r="B35" s="168" t="inlineStr">
        <is>
          <t>Method A: EV/Revenue @ Median</t>
        </is>
      </c>
    </row>
    <row r="36">
      <c r="B36" s="205" t="inlineStr">
        <is>
          <t>Implied EV (Rs.M)</t>
        </is>
      </c>
      <c r="C36" s="167">
        <f>C25*$C$17</f>
        <v/>
      </c>
      <c r="D36" s="167">
        <f>D25*$C$17</f>
        <v/>
      </c>
    </row>
    <row r="37">
      <c r="B37" s="205" t="inlineStr">
        <is>
          <t>Less: Net Debt (Rs.M)</t>
        </is>
      </c>
      <c r="C37" s="167">
        <f>-C33</f>
        <v/>
      </c>
      <c r="D37" s="167">
        <f>-D33</f>
        <v/>
      </c>
    </row>
    <row r="38">
      <c r="B38" s="205" t="inlineStr">
        <is>
          <t>Implied Equity Value (Rs.M)</t>
        </is>
      </c>
      <c r="C38" s="167">
        <f>C36+C37</f>
        <v/>
      </c>
      <c r="D38" s="167">
        <f>D36+D37</f>
        <v/>
      </c>
    </row>
    <row r="39">
      <c r="B39" s="205" t="inlineStr">
        <is>
          <t>Implied Value / Share (Rs.)</t>
        </is>
      </c>
      <c r="C39" s="169">
        <f>C38/C30</f>
        <v/>
      </c>
      <c r="D39" s="169">
        <f>D38/D30</f>
        <v/>
      </c>
    </row>
    <row r="40">
      <c r="B40" s="205" t="inlineStr">
        <is>
          <t>% of Actual Market Price</t>
        </is>
      </c>
      <c r="C40" s="170">
        <f>C39/C31</f>
        <v/>
      </c>
      <c r="D40" s="170">
        <f>D39/D31</f>
        <v/>
      </c>
    </row>
    <row r="42">
      <c r="A42" s="220" t="inlineStr">
        <is>
          <t>###</t>
        </is>
      </c>
      <c r="B42" s="168" t="inlineStr">
        <is>
          <t>Method A-Low: EV/Revenue @ Min</t>
        </is>
      </c>
    </row>
    <row r="43">
      <c r="B43" s="205" t="inlineStr">
        <is>
          <t>Implied EV (Rs.M)</t>
        </is>
      </c>
      <c r="C43" s="167">
        <f>C25*$C$19</f>
        <v/>
      </c>
      <c r="D43" s="167">
        <f>D25*$C$19</f>
        <v/>
      </c>
    </row>
    <row r="44">
      <c r="B44" s="205" t="inlineStr">
        <is>
          <t>Less: Net Debt (Rs.M)</t>
        </is>
      </c>
      <c r="C44" s="167">
        <f>-C33</f>
        <v/>
      </c>
      <c r="D44" s="167">
        <f>-D33</f>
        <v/>
      </c>
    </row>
    <row r="45">
      <c r="B45" s="205" t="inlineStr">
        <is>
          <t>Implied Equity Value (Rs.M)</t>
        </is>
      </c>
      <c r="C45" s="167">
        <f>C43+C44</f>
        <v/>
      </c>
      <c r="D45" s="167">
        <f>D43+D44</f>
        <v/>
      </c>
    </row>
    <row r="46">
      <c r="B46" s="205" t="inlineStr">
        <is>
          <t>Implied Value / Share (Rs.)</t>
        </is>
      </c>
      <c r="C46" s="169">
        <f>C45/C30</f>
        <v/>
      </c>
      <c r="D46" s="169">
        <f>D45/D30</f>
        <v/>
      </c>
    </row>
    <row r="47">
      <c r="B47" s="205" t="inlineStr">
        <is>
          <t>% of Actual Market Price</t>
        </is>
      </c>
      <c r="C47" s="170">
        <f>C46/C31</f>
        <v/>
      </c>
      <c r="D47" s="170">
        <f>D46/D31</f>
        <v/>
      </c>
    </row>
    <row r="49">
      <c r="A49" s="220" t="inlineStr">
        <is>
          <t>###</t>
        </is>
      </c>
      <c r="B49" s="168" t="inlineStr">
        <is>
          <t>Method A-High: EV/Revenue @ Max</t>
        </is>
      </c>
    </row>
    <row r="50">
      <c r="B50" s="205" t="inlineStr">
        <is>
          <t>Implied EV (Rs.M)</t>
        </is>
      </c>
      <c r="C50" s="167">
        <f>C25*$C$20</f>
        <v/>
      </c>
      <c r="D50" s="167">
        <f>D25*$C$20</f>
        <v/>
      </c>
    </row>
    <row r="51">
      <c r="B51" s="205" t="inlineStr">
        <is>
          <t>Less: Net Debt (Rs.M)</t>
        </is>
      </c>
      <c r="C51" s="167">
        <f>-C33</f>
        <v/>
      </c>
      <c r="D51" s="167">
        <f>-D33</f>
        <v/>
      </c>
    </row>
    <row r="52">
      <c r="B52" s="205" t="inlineStr">
        <is>
          <t>Implied Equity Value (Rs.M)</t>
        </is>
      </c>
      <c r="C52" s="167">
        <f>C50+C51</f>
        <v/>
      </c>
      <c r="D52" s="167">
        <f>D50+D51</f>
        <v/>
      </c>
    </row>
    <row r="53">
      <c r="B53" s="205" t="inlineStr">
        <is>
          <t>Implied Value / Share (Rs.)</t>
        </is>
      </c>
      <c r="C53" s="169">
        <f>C52/C30</f>
        <v/>
      </c>
      <c r="D53" s="169">
        <f>D52/D30</f>
        <v/>
      </c>
    </row>
    <row r="54">
      <c r="B54" s="205" t="inlineStr">
        <is>
          <t>% of Actual Market Price</t>
        </is>
      </c>
      <c r="C54" s="170">
        <f>C53/C31</f>
        <v/>
      </c>
      <c r="D54" s="170">
        <f>D53/D31</f>
        <v/>
      </c>
    </row>
    <row r="56">
      <c r="A56" s="220" t="inlineStr">
        <is>
          <t>###</t>
        </is>
      </c>
      <c r="B56" s="168" t="inlineStr">
        <is>
          <t>Method B: EV/EBITDA @ Blackstone/Mphasis (single txn)</t>
        </is>
      </c>
      <c r="E56" s="209" t="inlineStr">
        <is>
          <t>Single-transaction multiple - weaker evidentiary weight than Method A's 3-deal median.</t>
        </is>
      </c>
    </row>
    <row r="57">
      <c r="B57" s="205" t="inlineStr">
        <is>
          <t>Implied EV (Rs.M)</t>
        </is>
      </c>
      <c r="C57" s="167">
        <f>C26*$H$8</f>
        <v/>
      </c>
      <c r="D57" s="167">
        <f>D26*$H$8</f>
        <v/>
      </c>
    </row>
    <row r="58">
      <c r="B58" s="205" t="inlineStr">
        <is>
          <t>Less: Net Debt (Rs.M)</t>
        </is>
      </c>
      <c r="C58" s="167">
        <f>-C33</f>
        <v/>
      </c>
      <c r="D58" s="167">
        <f>-D33</f>
        <v/>
      </c>
    </row>
    <row r="59">
      <c r="B59" s="205" t="inlineStr">
        <is>
          <t>Implied Equity Value (Rs.M)</t>
        </is>
      </c>
      <c r="C59" s="167">
        <f>C57+C58</f>
        <v/>
      </c>
      <c r="D59" s="167">
        <f>D57+D58</f>
        <v/>
      </c>
    </row>
    <row r="60">
      <c r="B60" s="205" t="inlineStr">
        <is>
          <t>Implied Value / Share (Rs.)</t>
        </is>
      </c>
      <c r="C60" s="169">
        <f>C59/C30</f>
        <v/>
      </c>
      <c r="D60" s="169">
        <f>D59/D30</f>
        <v/>
      </c>
    </row>
    <row r="61">
      <c r="B61" s="205" t="inlineStr">
        <is>
          <t>% of Actual Market Price</t>
        </is>
      </c>
      <c r="C61" s="170">
        <f>C60/C31</f>
        <v/>
      </c>
      <c r="D61" s="170">
        <f>D60/D31</f>
        <v/>
      </c>
    </row>
    <row r="63">
      <c r="A63" s="220" t="inlineStr">
        <is>
          <t>###</t>
        </is>
      </c>
      <c r="B63" s="168" t="inlineStr">
        <is>
          <t>Method C: EV/EBIT @ Carlyle/Hexaware (single txn)</t>
        </is>
      </c>
      <c r="E63" s="209" t="inlineStr">
        <is>
          <t>Single-transaction multiple, and EBIT-based (not EBITDA) - not averaged with Method B.</t>
        </is>
      </c>
    </row>
    <row r="64">
      <c r="B64" s="205" t="inlineStr">
        <is>
          <t>Implied EV (Rs.M)</t>
        </is>
      </c>
      <c r="C64" s="167">
        <f>C27*$H$10</f>
        <v/>
      </c>
      <c r="D64" s="167">
        <f>D27*$H$10</f>
        <v/>
      </c>
    </row>
    <row r="65">
      <c r="B65" s="205" t="inlineStr">
        <is>
          <t>Less: Net Debt (Rs.M)</t>
        </is>
      </c>
      <c r="C65" s="167">
        <f>-C33</f>
        <v/>
      </c>
      <c r="D65" s="167">
        <f>-D33</f>
        <v/>
      </c>
    </row>
    <row r="66">
      <c r="B66" s="205" t="inlineStr">
        <is>
          <t>Implied Equity Value (Rs.M)</t>
        </is>
      </c>
      <c r="C66" s="167">
        <f>C64+C65</f>
        <v/>
      </c>
      <c r="D66" s="167">
        <f>D64+D65</f>
        <v/>
      </c>
    </row>
    <row r="67">
      <c r="B67" s="205" t="inlineStr">
        <is>
          <t>Implied Value / Share (Rs.)</t>
        </is>
      </c>
      <c r="C67" s="169">
        <f>C66/C30</f>
        <v/>
      </c>
      <c r="D67" s="169">
        <f>D66/D30</f>
        <v/>
      </c>
    </row>
    <row r="68">
      <c r="B68" s="205" t="inlineStr">
        <is>
          <t>% of Actual Market Price</t>
        </is>
      </c>
      <c r="C68" s="170">
        <f>C67/C31</f>
        <v/>
      </c>
      <c r="D68" s="170">
        <f>D67/D31</f>
        <v/>
      </c>
    </row>
    <row r="70" ht="15.5" customHeight="1" s="203">
      <c r="A70" s="38" t="inlineStr">
        <is>
          <t>##</t>
        </is>
      </c>
      <c r="B70" s="102" t="inlineStr">
        <is>
          <t>Cross-Method Comparison &amp; Implied Exchange Ratio</t>
        </is>
      </c>
    </row>
    <row r="72" ht="39.5" customHeight="1" s="203">
      <c r="C72" s="165" t="inlineStr">
        <is>
          <t>LTI</t>
        </is>
      </c>
      <c r="D72" s="165" t="inlineStr">
        <is>
          <t>Mindtree</t>
        </is>
      </c>
      <c r="E72" s="171" t="inlineStr">
        <is>
          <t>Implied Ratio (Mindtree/LTI x100)</t>
        </is>
      </c>
    </row>
    <row r="73">
      <c r="B73" s="205" t="inlineStr">
        <is>
          <t>DCF (10yr, 24.76% growth - locked-in)</t>
        </is>
      </c>
      <c r="C73" s="172">
        <f>LTI_DCF!C33</f>
        <v/>
      </c>
      <c r="D73" s="172">
        <f>MT_DCF!C33</f>
        <v/>
      </c>
      <c r="E73" s="173">
        <f>D73/C73*100</f>
        <v/>
      </c>
    </row>
    <row r="74">
      <c r="B74" s="205" t="inlineStr">
        <is>
          <t>Trading Comps (peer median P/E)</t>
        </is>
      </c>
      <c r="C74" s="172">
        <f>LTI_Comps!B16</f>
        <v/>
      </c>
      <c r="D74" s="172">
        <f>MT_Comps!B16</f>
        <v/>
      </c>
      <c r="E74" s="173">
        <f>D74/C74*100</f>
        <v/>
      </c>
    </row>
    <row r="75">
      <c r="B75" s="205" t="inlineStr">
        <is>
          <t>Precedent Txn - Method A (EV/Rev median)</t>
        </is>
      </c>
      <c r="C75" s="174">
        <f>C39</f>
        <v/>
      </c>
      <c r="D75" s="174">
        <f>D39</f>
        <v/>
      </c>
      <c r="E75" s="173">
        <f>D75/C75*100</f>
        <v/>
      </c>
    </row>
    <row r="76">
      <c r="B76" s="205" t="inlineStr">
        <is>
          <t>Precedent Txn - Method B (EV/EBITDA, Mphasis)</t>
        </is>
      </c>
      <c r="C76" s="174">
        <f>C60</f>
        <v/>
      </c>
      <c r="D76" s="174">
        <f>D60</f>
        <v/>
      </c>
      <c r="E76" s="173">
        <f>D76/C76*100</f>
        <v/>
      </c>
    </row>
    <row r="77">
      <c r="B77" s="205" t="inlineStr">
        <is>
          <t>Precedent Txn - Method C (EV/EBIT, Hexaware)</t>
        </is>
      </c>
      <c r="C77" s="174">
        <f>C67</f>
        <v/>
      </c>
      <c r="D77" s="174">
        <f>D67</f>
        <v/>
      </c>
      <c r="E77" s="173">
        <f>D77/C77*100</f>
        <v/>
      </c>
    </row>
    <row r="78">
      <c r="B78" s="205" t="inlineStr">
        <is>
          <t>Actual Market Price (6-May-2022)</t>
        </is>
      </c>
      <c r="C78" s="172">
        <f>'LTI_WACC Schedule'!C6</f>
        <v/>
      </c>
      <c r="D78" s="172">
        <f>'MT_WACC Schedule'!C6</f>
        <v/>
      </c>
      <c r="E78" s="173">
        <f>D78/C78*100</f>
        <v/>
      </c>
    </row>
    <row r="80">
      <c r="B80" s="226" t="inlineStr">
        <is>
          <t>Reference: actual historical swap ratio = 73.00 (73 LTI shares per 100 Mindtree shares); market-implied ratio (6-May-2022 closing prices) = 73.47.</t>
        </is>
      </c>
    </row>
    <row r="82" ht="105" customHeight="1" s="203">
      <c r="B82" s="227" t="inlineStr">
        <is>
          <t>Reading this table: on a RATIO basis, Method A (EV/Revenue median, 73.11) lands strikingly close to both the actual historical ratio (73.00) and the market-implied ratio (73.47) - closer than Trading Comps (76.47) and much closer than the DCF (67.48). This was not tuned to land here: the four transaction multiples were sourced independently, before this comparison was ever computed, and nothing was adjusted afterward to hit this number. The likely mechanical reason: LTI and Mindtree are similar-enough same-sector peers that a single shared EV/Revenue multiple mostly preserves whatever ratio their own Revenue/Net-Debt/Share-count profiles already implied, rather than the multiple itself doing much work. Treat it as a genuine independent data point, not proof the deal was priced fairly - on ABSOLUTE value, this method is the most conservative of all four (LTI 59.4%, Mindtree 59.1% of market price - lower than the DCF's 81.0%/74.4%), so it undervalues both companies more than any other method even while its ratio happens to track actual most closely. Both facts are real and are reported here without picking one to headline over the other.</t>
        </is>
      </c>
    </row>
    <row r="84">
      <c r="B84" s="346" t="inlineStr">
        <is>
          <t>Premium Paid Analysis</t>
        </is>
      </c>
    </row>
    <row r="85">
      <c r="B85" s="347" t="inlineStr">
        <is>
          <t>Audit gap #8 (Task 26). This deal's own premium/(discount) is already computed at 'Exchange Ratio &amp; Ownership'!C31 - benchmarked here against real precedent-transaction premiums and the notebook-sourced typical global range noted at that sheet's row 33, rather than left as an unreferenced number.</t>
        </is>
      </c>
    </row>
    <row r="87">
      <c r="B87" s="348" t="inlineStr">
        <is>
          <t>Premium / (Discount) to Unaffected Share Price - Precedent Transactions</t>
        </is>
      </c>
    </row>
    <row r="88">
      <c r="B88" s="349" t="inlineStr">
        <is>
          <t>Acquirer / Target</t>
        </is>
      </c>
      <c r="C88" s="349" t="inlineStr">
        <is>
          <t>Offer Price</t>
        </is>
      </c>
      <c r="D88" s="349" t="inlineStr">
        <is>
          <t>Unaffected Price</t>
        </is>
      </c>
      <c r="E88" s="349" t="inlineStr">
        <is>
          <t>Premium / (Discount)</t>
        </is>
      </c>
    </row>
    <row r="89">
      <c r="B89" s="350" t="inlineStr">
        <is>
          <t>Capgemini / iGate Corporation (unaffected close 24-Apr-2015)</t>
        </is>
      </c>
      <c r="C89" s="351" t="n">
        <v>48</v>
      </c>
      <c r="D89" s="351" t="n">
        <v>45.85</v>
      </c>
      <c r="E89" s="352">
        <f>C89/D89-1</f>
        <v/>
      </c>
      <c r="I89" s="347" t="inlineStr">
        <is>
          <t>TheStreet, Business Standard (24-27 Apr 2015): Capgemini offered $48.00/share, a stated 4.7% premium to iGate's Friday close of $45.85 - entered directly as reported, formula cross-checks to the same figure.</t>
        </is>
      </c>
    </row>
    <row r="90">
      <c r="B90" s="350" t="inlineStr">
        <is>
          <t>HCL Technologies / Geometric Ltd</t>
        </is>
      </c>
      <c r="C90" s="353" t="inlineStr">
        <is>
          <t>n/a</t>
        </is>
      </c>
      <c r="D90" s="353" t="inlineStr">
        <is>
          <t>n/a</t>
        </is>
      </c>
      <c r="E90" s="354" t="n">
        <v>0.32</v>
      </c>
      <c r="I90" s="347" t="inlineStr">
        <is>
          <t>Business Standard, M&amp;A Critique (Apr 2016): sources describe a 32% premium for Geometric shareholders. Entered directly as source-reported (32%), not computed from a clean pre/post per-share pair - deal was a share-swap-plus-demerger (10 HCL Tech shares : 43 Geometric shares, plus a preference-share sweetener), not a simple cash tender, so no clean offer-price-vs-unaffected-price formula applies the way it does for iGate/Mphasis.</t>
        </is>
      </c>
    </row>
    <row r="91">
      <c r="B91" s="350" t="inlineStr">
        <is>
          <t>Blackstone / Mphasis - public open offer (26% tranche, vs. prior close 1-Apr-2016)</t>
        </is>
      </c>
      <c r="C91" s="355" t="n">
        <v>457.54</v>
      </c>
      <c r="D91" s="355" t="n">
        <v>467.4</v>
      </c>
      <c r="E91" s="352">
        <f>C91/D91-1</f>
        <v/>
      </c>
      <c r="I91" s="347" t="inlineStr">
        <is>
          <t>Business Standard (4 Apr 2016): Blackstone's mandatory open offer to public shareholders was Rs.457.54/share, a 2.1% DISCOUNT to Friday's Rs.467.40 close - explicitly reported as 'at a discount'. Distinct from the separate promoter-stake purchase price (Rs.430/share for the controlling 60.5% from HPE, not a public-market transaction, so not used here). A real negative data point, kept rather than dropped for not fitting a 'premium' narrative.</t>
        </is>
      </c>
    </row>
    <row r="92">
      <c r="B92" s="350" t="inlineStr">
        <is>
          <t>Carlyle Group / Hexaware Technologies</t>
        </is>
      </c>
      <c r="C92" s="353" t="inlineStr">
        <is>
          <t>n/a</t>
        </is>
      </c>
      <c r="D92" s="353" t="inlineStr">
        <is>
          <t>n/a</t>
        </is>
      </c>
      <c r="E92" s="353" t="inlineStr">
        <is>
          <t>n/a</t>
        </is>
      </c>
      <c r="I92" s="347" t="inlineStr">
        <is>
          <t>Hexaware was privately held (owned by Baring Private Equity Asia, itself having taken it private in 2013) at the time of the 2021 Carlyle deal - bought from a financial sponsor, not from public shareholders. No public 'unaffected price' exists to benchmark a premium against; excluded here rather than left blank without explanation.</t>
        </is>
      </c>
    </row>
    <row r="94">
      <c r="B94" s="348" t="inlineStr">
        <is>
          <t>Summary (n=3, where a public unaffected price exists)</t>
        </is>
      </c>
    </row>
    <row r="95">
      <c r="B95" s="353" t="inlineStr">
        <is>
          <t>Median</t>
        </is>
      </c>
      <c r="C95" s="356">
        <f>MEDIAN(E89,E90,E91)</f>
        <v/>
      </c>
    </row>
    <row r="96">
      <c r="B96" s="353" t="inlineStr">
        <is>
          <t>Average</t>
        </is>
      </c>
      <c r="C96" s="356">
        <f>AVERAGE(E89,E90,E91)</f>
        <v/>
      </c>
    </row>
    <row r="97">
      <c r="B97" s="347" t="inlineStr">
        <is>
          <t>Small, non-representative sample (n=3) - directional context, not a rigorous statistical benchmark. Also for reference: typical global takeover premium is cited at roughly 20-40% (per notebook consult, Task 26 audit, cross-referenced already at 'Exchange Ratio &amp; Ownership'!B33 - not independently re-sourced this session).</t>
        </is>
      </c>
    </row>
    <row r="99">
      <c r="B99" s="348" t="inlineStr">
        <is>
          <t>This Deal (LTI - Mindtree)</t>
        </is>
      </c>
    </row>
    <row r="100">
      <c r="B100" s="353" t="inlineStr">
        <is>
          <t>Implied Premium / (Discount) to Mindtree's Standalone Price</t>
        </is>
      </c>
      <c r="C100" s="357">
        <f>'Exchange Ratio &amp; Ownership'!C31</f>
        <v/>
      </c>
    </row>
    <row r="102">
      <c r="B102" s="347" t="inlineStr">
        <is>
          <t>Reading this: this deal's actual -0.64% is a discount, not a premium - below all three sourced precedent premiums (range -2.1% to +32%, median 4.69%, average 11.53% off a small n=3 sample) and well below the notebook-cited 20-40% typical global range. Consistent with, and now a second independent confirmation of, the finding already written at 'Exchange Ratio &amp; Ownership'!B33: this looks like a relative-value merger of two already-affiliated companies (both L&amp;T subsidiaries) rather than a competitive third-party buyout, which is exactly the deal type that would need a real control premium to win independent shareholders over. Not proof by itself - n=3 precedents is a thin sample - but it points the same direction as the rest of this model's findings, not a new or conflicting signal.</t>
        </is>
      </c>
    </row>
  </sheetData>
  <mergeCells count="5">
    <mergeCell ref="B12:I12"/>
    <mergeCell ref="B82:I82"/>
    <mergeCell ref="B15:I15"/>
    <mergeCell ref="B2:I2"/>
    <mergeCell ref="B80:I80"/>
  </mergeCells>
  <pageMargins left="0.75" right="0.75" top="1" bottom="1" header="0.5" footer="0.5"/>
</worksheet>
</file>

<file path=xl/worksheets/sheet8.xml><?xml version="1.0" encoding="utf-8"?>
<worksheet xmlns="http://schemas.openxmlformats.org/spreadsheetml/2006/main">
  <sheetPr>
    <tabColor rgb="0000978D"/>
    <outlinePr summaryBelow="1" summaryRight="1"/>
    <pageSetUpPr/>
  </sheetPr>
  <dimension ref="A1:E37"/>
  <sheetViews>
    <sheetView workbookViewId="0">
      <selection activeCell="A1" sqref="A1"/>
    </sheetView>
  </sheetViews>
  <sheetFormatPr baseColWidth="8" defaultRowHeight="15"/>
  <cols>
    <col width="3.5" customWidth="1" style="203" min="1" max="1"/>
    <col width="40" customWidth="1" style="203" min="2" max="2"/>
    <col width="16" customWidth="1" style="203" min="3" max="3"/>
    <col width="16" customWidth="1" style="203" min="4" max="4"/>
    <col width="72" customWidth="1" style="203" min="5" max="5"/>
  </cols>
  <sheetData>
    <row r="1">
      <c r="A1" s="228" t="inlineStr">
        <is>
          <t>#</t>
        </is>
      </c>
      <c r="B1" s="228" t="inlineStr">
        <is>
          <t>Best Owner Analysis (audit gap #1)</t>
        </is>
      </c>
    </row>
    <row r="2">
      <c r="B2" s="229" t="inlineStr">
        <is>
          <t>Standard 'Best Owner' test (McKinsey &amp; Co. / Copeland-Koller Valuation textbook - CONFIRMED via live notebook query, 25-Aug-2026, after NotebookLM auth was restored; an earlier version of this sheet used 5 self-derived levers instead of the real ones below - corrected here, not silently). Tests whether LTI specifically extracts more value from Mindtree's assets than any other plausible owner would, across the 5 REAL value levers - deliberately harder than the deal announcement's own 'highly complementary strengths' language, which doesn't by itself distinguish LTI from a hypothetical alternative acquirer.</t>
        </is>
      </c>
    </row>
    <row r="4">
      <c r="A4" s="230" t="inlineStr">
        <is>
          <t>##</t>
        </is>
      </c>
      <c r="B4" s="230" t="inlineStr">
        <is>
          <t>What the deal announcement actually said (for contrast)</t>
        </is>
      </c>
    </row>
    <row r="5">
      <c r="B5" s="229" t="inlineStr">
        <is>
          <t>A.M. Naik (L&amp;T Group Chairman): "The highly complementary strengths of LTI and Mindtree make this integration a win-win proposition..." - S.N. Subrahmanyan: "...turning the collective wisdom of the two companies into a much larger force..." Genuine statements, but generic - this kind of language appears in nearly every stock-for-stock merger announcement. Source: task1_rationale.json.</t>
        </is>
      </c>
    </row>
    <row r="7">
      <c r="A7" s="230" t="inlineStr">
        <is>
          <t>##</t>
        </is>
      </c>
      <c r="B7" s="230" t="inlineStr">
        <is>
          <t>Lever A: Unique Links with Other Businesses</t>
        </is>
      </c>
    </row>
    <row r="8">
      <c r="B8" s="236" t="inlineStr">
        <is>
          <t>Delivery-center city overlap (of 10 India cities each)</t>
        </is>
      </c>
      <c r="C8" s="263" t="inlineStr">
        <is>
          <t>7 of 10</t>
        </is>
      </c>
      <c r="E8" s="229" t="n"/>
    </row>
    <row r="9">
      <c r="B9" s="236" t="inlineStr">
        <is>
          <t>Subcontractor-cost pooling synergy (Rs.Mn/yr)</t>
        </is>
      </c>
      <c r="C9" s="248">
        <f>'Synergies (Bottom-Up Estimate)'!D9</f>
        <v/>
      </c>
    </row>
    <row r="10">
      <c r="B10" s="236" t="inlineStr">
        <is>
          <t>Real-estate consolidation synergy (Rs.Mn/yr)</t>
        </is>
      </c>
      <c r="C10" s="248">
        <f>'Synergies (Bottom-Up Estimate)'!D16</f>
        <v/>
      </c>
    </row>
    <row r="11">
      <c r="B11" s="236" t="inlineStr">
        <is>
          <t>LTI largest vertical: BFSI / Mindtree largest: CMT (18% BFSI)</t>
        </is>
      </c>
      <c r="C11" s="263" t="inlineStr">
        <is>
          <t>Complementary</t>
        </is>
      </c>
      <c r="E11" s="229" t="n"/>
    </row>
    <row r="12">
      <c r="B12" s="236" t="inlineStr">
        <is>
          <t>Cross-sell revenue synergy estimate (Rs.Mn/yr, illustrative)</t>
        </is>
      </c>
      <c r="C12" s="248">
        <f>'Synergies (Bottom-Up Estimate)'!D25</f>
        <v/>
      </c>
    </row>
    <row r="13">
      <c r="A13" s="230" t="n"/>
      <c r="B13" s="239" t="inlineStr">
        <is>
          <t>Verdict</t>
        </is>
      </c>
      <c r="E13" s="229" t="inlineStr">
        <is>
          <t>The textbook's own example for this lever is exactly this shape: 'sharing existing manufacturing infrastructure' and 'established, highly specialized distribution networks and sales channels to cross-sell.' The 70% city overlap and complementary verticals are real, specific structural facts about these two companies (not true of an arbitrary IT-services pairing), and both cost-synergy categories are sized bottom-up from real cost bases. The revenue cross-sell number is this workbook's own weakest figure by its own admission (2% of revenue, 'included for completeness rather than confidence' - no deal-pipeline data exists to ground it further). Real and specific for cost links; directionally real but weakly sized for revenue links.</t>
        </is>
      </c>
    </row>
    <row r="14">
      <c r="B14" s="236" t="n"/>
      <c r="C14" s="368" t="n"/>
    </row>
    <row r="15">
      <c r="A15" s="230" t="inlineStr">
        <is>
          <t>##</t>
        </is>
      </c>
      <c r="B15" s="230" t="inlineStr">
        <is>
          <t>Lever B: Distinctive Functional or Managerial Skills</t>
        </is>
      </c>
      <c r="C15" s="263" t="n"/>
    </row>
    <row r="16">
      <c r="B16" s="236" t="inlineStr">
        <is>
          <t>Combined workforce (approx.)</t>
        </is>
      </c>
      <c r="C16" s="238" t="inlineStr">
        <is>
          <t>~90,000</t>
        </is>
      </c>
    </row>
    <row r="17">
      <c r="B17" s="239" t="inlineStr">
        <is>
          <t>Verdict</t>
        </is>
      </c>
      <c r="E17" s="229" t="inlineStr">
        <is>
          <t>Per the textbook, this lever requires a distinctive skill that maps to the target's primary value driver - not just generic scale. Management's own language here is genuinely generic ('collective wisdom,' 'diversity of scale and capabilities'), with no specific disclosed mechanism (no named platform, methodology, or capability that flows specifically from LTI to Mindtree or vice versa, the way subcontractor pooling or city overlap are concrete). Unverifiable with available public data - reported as such, not assumed true or false.</t>
        </is>
      </c>
    </row>
    <row r="19">
      <c r="A19" s="230" t="inlineStr">
        <is>
          <t>##</t>
        </is>
      </c>
      <c r="B19" s="230" t="inlineStr">
        <is>
          <t>Lever C: Better Governance and Incentives</t>
        </is>
      </c>
    </row>
    <row r="20">
      <c r="B20" s="236" t="inlineStr">
        <is>
          <t>L&amp;T Group Chairman, pre- AND post-merger</t>
        </is>
      </c>
      <c r="C20" s="263" t="inlineStr">
        <is>
          <t>A.M. Naik (both)</t>
        </is>
      </c>
    </row>
    <row r="21">
      <c r="B21" s="239" t="inlineStr">
        <is>
          <t>Verdict</t>
        </is>
      </c>
      <c r="E21" s="229" t="inlineStr">
        <is>
          <t>Doesn't apply, and that itself is the finding. This lever tests whether a NEW owner brings better capital-allocation discipline than the target had standalone (the textbook's own examples: lean corporate centers, high-powered incentive design replacing weaker incumbent governance). LTI and Mindtree were both L&amp;T Group subsidiaries with the SAME ultimate parent and SAME Group Chairman before this deal - governance discipline isn't something the merger newly introduces, since both companies already answered to it. Close to moot for a merger-of-affiliates structure.</t>
        </is>
      </c>
    </row>
    <row r="23">
      <c r="A23" s="230" t="inlineStr">
        <is>
          <t>##</t>
        </is>
      </c>
      <c r="B23" s="230" t="inlineStr">
        <is>
          <t>Lever D: Better Insight or Foresight</t>
        </is>
      </c>
    </row>
    <row r="24">
      <c r="B24" s="239" t="inlineStr">
        <is>
          <t>Verdict</t>
        </is>
      </c>
      <c r="C24" s="263" t="n"/>
      <c r="E24" s="229" t="inlineStr">
        <is>
          <t>No public evidence either way. This lever requires proprietary, superior market foresight that lets the owner make bold, early resource-allocation calls ahead of the market. Nothing in either company's public disclosures speaks to this directly (no documented instance of L&amp;T Group correctly anticipating an IT-services market shift years ahead of peers and acting on it via this merger). Genuinely unverifiable with available data, not a lever this analysis can test one way or the other.</t>
        </is>
      </c>
    </row>
    <row r="25">
      <c r="B25" s="239" t="n"/>
      <c r="E25" s="229" t="n"/>
    </row>
    <row r="27">
      <c r="A27" s="230" t="inlineStr">
        <is>
          <t>##</t>
        </is>
      </c>
      <c r="B27" s="230" t="inlineStr">
        <is>
          <t>Lever E: Clout / Influence over Critical Stakeholders</t>
        </is>
      </c>
    </row>
    <row r="28">
      <c r="B28" s="236" t="inlineStr">
        <is>
          <t>Combined entity market-cap rank (India IT services)</t>
        </is>
      </c>
      <c r="C28" s="368" t="inlineStr">
        <is>
          <t>5th largest</t>
        </is>
      </c>
    </row>
    <row r="29">
      <c r="B29" s="239" t="inlineStr">
        <is>
          <t>Verdict</t>
        </is>
      </c>
      <c r="C29" s="280" t="n"/>
      <c r="E29" s="229" t="inlineStr">
        <is>
          <t>Likely LOW relevance here, and the textbook itself flags why: this lever matters most in heavily regulated, capital-intensive sectors and developing capital markets - not a competitive, globally-traded IT-services business, where (per the same source) 'clout with the government rarely provides an advantage' in developed markets. The one plausible channel - L&amp;T Group's scale/reputation helping win larger enterprise RFPs that require vendor scale and financial stability - is consistent with the deal's own stated 'entered the elite league of top-tiered IT services companies' framing, but is a scale effect, not the specific stakeholder-clout mechanism (government, regulators) the textbook describes. Weak evidence, not strong.</t>
        </is>
      </c>
    </row>
    <row r="30">
      <c r="B30" s="239" t="n"/>
      <c r="E30" s="229" t="n"/>
    </row>
    <row r="31">
      <c r="A31" s="230" t="inlineStr">
        <is>
          <t>##</t>
        </is>
      </c>
      <c r="B31" s="230" t="inlineStr">
        <is>
          <t>Important Context - Not One of the 5 Levers</t>
        </is>
      </c>
    </row>
    <row r="32">
      <c r="B32" s="236" t="inlineStr">
        <is>
          <t>L&amp;T's ownership of combined entity (actual, disclosed)</t>
        </is>
      </c>
      <c r="C32" s="369">
        <f>'Exchange Ratio &amp; Ownership'!C19</f>
        <v/>
      </c>
    </row>
    <row r="33">
      <c r="A33" s="230" t="n"/>
      <c r="B33" s="236" t="inlineStr">
        <is>
          <t>This deal's premium/(discount) to Mindtree's standalone price</t>
        </is>
      </c>
      <c r="C33" s="280">
        <f>'Precedent Transactions'!C100</f>
        <v/>
      </c>
      <c r="E33" s="229" t="inlineStr">
        <is>
          <t>L&amp;T retained 68.73% of the combined entity - both companies were, and remain, part of the same corporate family. Combined with the near-zero deal premium, this explains WHY the Best-Owner framework doesn't map cleanly onto this specific deal: there was no competitive process, because there was really only one plausible owner (the L&amp;T Group, which already owned both) - a structural fact about THIS deal, correctly kept separate from the 5 levers themselves rather than mislabeled as a 6th lever.</t>
        </is>
      </c>
    </row>
    <row r="34">
      <c r="B34" s="229" t="n"/>
    </row>
    <row r="36">
      <c r="A36" s="230" t="inlineStr">
        <is>
          <t>##</t>
        </is>
      </c>
      <c r="B36" s="230" t="inlineStr">
        <is>
          <t>Overall Conclusion</t>
        </is>
      </c>
    </row>
    <row r="37">
      <c r="B37" s="229" t="inlineStr">
        <is>
          <t>Of the 5 real Best-Owner levers: A (Unique Links) is real and well-evidenced on the cost side, weaker on the revenue side. B (Distinctive Skills) and D (Insight/Foresight) are unverifiable with available public data - reported honestly as untestable, not assumed. C (Governance) doesn't apply because both companies already shared L&amp;T governance pre-merger. E (Stakeholder Clout) is plausible but weak, and the textbook's own caveats suggest it matters less in this kind of market. Combined with the fact that L&amp;T already owned both companies (Important Context above), the honest overall read is that this deal creates real, specific, but modest value primarily through Lever A (cost/revenue links), not through a genuine multi-lever best-owner advantage over alternative owners - because there effectively weren't competing alternative owners to test against.</t>
        </is>
      </c>
    </row>
  </sheetData>
  <pageMargins left="0.75" right="0.75" top="1" bottom="1" header="0.5" footer="0.5"/>
</worksheet>
</file>

<file path=xl/worksheets/sheet9.xml><?xml version="1.0" encoding="utf-8"?>
<worksheet xmlns="http://schemas.openxmlformats.org/spreadsheetml/2006/main">
  <sheetPr>
    <tabColor rgb="0000978D"/>
    <outlinePr summaryBelow="1" summaryRight="1"/>
    <pageSetUpPr/>
  </sheetPr>
  <dimension ref="A1:D33"/>
  <sheetViews>
    <sheetView workbookViewId="0">
      <selection activeCell="A1" sqref="A1"/>
    </sheetView>
  </sheetViews>
  <sheetFormatPr baseColWidth="8" defaultRowHeight="15"/>
  <cols>
    <col width="3.5" customWidth="1" style="203" min="1" max="1"/>
    <col width="46" customWidth="1" style="203" min="2" max="2"/>
    <col width="18" customWidth="1" style="203" min="3" max="3"/>
    <col width="62" customWidth="1" style="203" min="4" max="4"/>
  </cols>
  <sheetData>
    <row r="1">
      <c r="A1" s="228" t="inlineStr">
        <is>
          <t>#</t>
        </is>
      </c>
      <c r="B1" s="228" t="inlineStr">
        <is>
          <t>Goal-Seek Synergy Backsolve (audit gap #2)</t>
        </is>
      </c>
      <c r="D1" s="229" t="inlineStr">
        <is>
          <t>CONFIRMED via live notebook query, 25-Aug-2026 (auth restored): real IB technique sets NPV of synergies = acquisition premium + fees, backsolves the constant annual run-rate via Excel Goal Seek (Bruner's textbook worked example: $142M/yr on a $1bn premium, discounted at 6% cost of debt for low-risk cost synergies). Closed-form algebraic solve here is the exact equivalent for this linear structure. LIMITATION now confirmed, not just guessed: a fully rigorous treatment discounts cost synergies at the acquirer's pre-tax cost of debt and revenue synergies at cost of equity separately (different risk profiles) - this sheet uses a single blended acquirer WACC for the whole backsolved figure, a real simplification, not the textbook-precise method.</t>
        </is>
      </c>
    </row>
    <row r="3">
      <c r="A3" s="230" t="inlineStr">
        <is>
          <t>##</t>
        </is>
      </c>
      <c r="B3" s="230" t="inlineStr">
        <is>
          <t>Scenario A: vs. Market Price Basis (what was actually paid, in market terms)</t>
        </is>
      </c>
    </row>
    <row r="4">
      <c r="B4" s="236" t="inlineStr">
        <is>
          <t>Value Received per Mindtree Share (Rs.)</t>
        </is>
      </c>
      <c r="C4" s="278">
        <f>'Exchange Ratio &amp; Ownership'!C29</f>
        <v/>
      </c>
    </row>
    <row r="5">
      <c r="B5" s="236" t="inlineStr">
        <is>
          <t>Mindtree Standalone Market Price, 6-May-2022 (Rs.)</t>
        </is>
      </c>
      <c r="C5" s="278">
        <f>'Exchange Ratio &amp; Ownership'!C30</f>
        <v/>
      </c>
    </row>
    <row r="6">
      <c r="B6" s="236" t="inlineStr">
        <is>
          <t>Mindtree Shares Outstanding</t>
        </is>
      </c>
      <c r="C6" s="248">
        <f>'MT_WACC Schedule'!C7</f>
        <v/>
      </c>
    </row>
    <row r="7">
      <c r="B7" s="236" t="inlineStr">
        <is>
          <t>Deal Value Paid (Rs.M)</t>
        </is>
      </c>
      <c r="C7" s="237">
        <f>C4*C6/1000000</f>
        <v/>
      </c>
    </row>
    <row r="8">
      <c r="B8" s="236" t="inlineStr">
        <is>
          <t>Mindtree Standalone Market Value (Rs.M)</t>
        </is>
      </c>
      <c r="C8" s="237">
        <f>C5*C6/1000000</f>
        <v/>
      </c>
    </row>
    <row r="9">
      <c r="B9" s="239" t="inlineStr">
        <is>
          <t>Excess Paid over Market Value (Rs.M)</t>
        </is>
      </c>
      <c r="C9" s="249">
        <f>C7-C8</f>
        <v/>
      </c>
      <c r="D9" s="229" t="inlineStr">
        <is>
          <t>Matches the -0.64% discount already found in Precedent Transactions/Exchange Ratio &amp; Ownership - the deal was priced AT (very slightly below) market, so on a pure market-price basis, essentially no premium needs synergy justification at all.</t>
        </is>
      </c>
    </row>
    <row r="11">
      <c r="A11" s="230" t="inlineStr">
        <is>
          <t>##</t>
        </is>
      </c>
      <c r="B11" s="230" t="inlineStr">
        <is>
          <t>Scenario B: vs. DCF Intrinsic Value Basis (what the model says Mindtree is really worth)</t>
        </is>
      </c>
    </row>
    <row r="12">
      <c r="B12" s="236" t="inlineStr">
        <is>
          <t>Mindtree DCF Equity Value (Rs.M)</t>
        </is>
      </c>
      <c r="C12" s="248">
        <f>MT_DCF!C32/1000000</f>
        <v/>
      </c>
    </row>
    <row r="13">
      <c r="B13" s="239" t="inlineStr">
        <is>
          <t>Excess Paid over DCF Intrinsic Value (Rs.M)</t>
        </is>
      </c>
      <c r="C13" s="249">
        <f>C7-C12</f>
        <v/>
      </c>
    </row>
    <row r="14">
      <c r="B14" s="236" t="inlineStr">
        <is>
          <t>Estimated Deal Fees (Rs.M) - generic 1% of deal value (not disclosed; standard IB rule-of-thumb, low end since this is an affiliate merger, not a competitively-shopped acquisition)</t>
        </is>
      </c>
      <c r="C14" s="238">
        <f>C7*0.01</f>
        <v/>
      </c>
    </row>
    <row r="15">
      <c r="B15" s="239" t="inlineStr">
        <is>
          <t>Total Value Requiring Synergy Justification (Rs.M)</t>
        </is>
      </c>
      <c r="C15" s="249">
        <f>C13+C14</f>
        <v/>
      </c>
    </row>
    <row r="17">
      <c r="B17" s="230" t="inlineStr">
        <is>
          <t>Discount Rates by Synergy Risk Type (differentiated per synergy risk - confirmed via notebook)</t>
        </is>
      </c>
      <c r="C17" s="280" t="n"/>
    </row>
    <row r="18">
      <c r="B18" s="236" t="inlineStr">
        <is>
          <t>Pre-Tax Cost of Debt (for cost synergies - low risk, EBIT-like volatility)</t>
        </is>
      </c>
      <c r="C18" s="280">
        <f>'LTI_WACC Schedule'!C30</f>
        <v/>
      </c>
    </row>
    <row r="19">
      <c r="B19" s="236" t="inlineStr">
        <is>
          <t>Cost of Equity (for revenue synergies - high risk, speculative)</t>
        </is>
      </c>
      <c r="C19" s="280">
        <f>'LTI_WACC Schedule'!C23</f>
        <v/>
      </c>
    </row>
    <row r="20">
      <c r="B20" s="236" t="inlineStr">
        <is>
          <t>Terminal Growth Rate (locked-in, both companies)</t>
        </is>
      </c>
      <c r="C20" s="280">
        <f>'LTI_DCF'!C22</f>
        <v/>
      </c>
    </row>
    <row r="21">
      <c r="A21" s="230" t="inlineStr">
        <is>
          <t>##</t>
        </is>
      </c>
      <c r="B21" s="230" t="n"/>
    </row>
    <row r="22">
      <c r="B22" s="236" t="inlineStr">
        <is>
          <t>Bookend Backsolves (the Rs.130,318M gap could be closed via cost savings, revenue synergies, or a mix - both pure cases shown as bookends)</t>
        </is>
      </c>
      <c r="C22" s="248" t="n"/>
    </row>
    <row r="23">
      <c r="B23" s="236" t="inlineStr">
        <is>
          <t>If closed ENTIRELY via cost synergies, discounted at cost of debt (Rs.M/yr)</t>
        </is>
      </c>
      <c r="C23" s="249">
        <f>C15*(C18-C20)</f>
        <v/>
      </c>
    </row>
    <row r="24">
      <c r="B24" s="236" t="inlineStr">
        <is>
          <t>If closed ENTIRELY via revenue synergies, discounted at cost of equity (Rs.M/yr)</t>
        </is>
      </c>
      <c r="C24" s="249">
        <f>C15*(C19-C20)</f>
        <v/>
      </c>
    </row>
    <row r="25">
      <c r="B25" s="236" t="inlineStr">
        <is>
          <t>For reference: single blended-WACC method (original version of this sheet, Rs.M/yr)</t>
        </is>
      </c>
      <c r="C25" s="237">
        <f>C15*('LTI_WACC Schedule'!C39-C20)</f>
        <v/>
      </c>
    </row>
    <row r="27">
      <c r="B27" s="230" t="inlineStr">
        <is>
          <t>Sanity Check vs. This Model's Own Bottom-Up Estimate, Split by Type</t>
        </is>
      </c>
      <c r="D27" s="229" t="n"/>
    </row>
    <row r="28">
      <c r="B28" s="236" t="inlineStr">
        <is>
          <t>Bottom-up COST synergy estimate (subcontractor+real estate, Rs.M/yr)</t>
        </is>
      </c>
      <c r="C28" s="248">
        <f>'Synergies (Bottom-Up Estimate)'!D9+'Synergies (Bottom-Up Estimate)'!D16</f>
        <v/>
      </c>
    </row>
    <row r="29">
      <c r="B29" s="236" t="inlineStr">
        <is>
          <t>Bottom-up REVENUE synergy estimate (cross-sell, Rs.M/yr)</t>
        </is>
      </c>
      <c r="C29" s="248">
        <f>'Synergies (Bottom-Up Estimate)'!D25</f>
        <v/>
      </c>
    </row>
    <row r="30">
      <c r="B30" s="236" t="inlineStr">
        <is>
          <t>Cost-backsolve (row 23) as multiple of bottom-up COST estimate</t>
        </is>
      </c>
      <c r="C30" s="370">
        <f>C23/C28</f>
        <v/>
      </c>
    </row>
    <row r="31">
      <c r="B31" s="236" t="inlineStr">
        <is>
          <t>Revenue-backsolve (row 24) as multiple of bottom-up REVENUE estimate</t>
        </is>
      </c>
      <c r="C31" s="370">
        <f>C24/C29</f>
        <v/>
      </c>
    </row>
    <row r="33">
      <c r="B33" s="239" t="inlineStr">
        <is>
          <t>Reading this:</t>
        </is>
      </c>
      <c r="D33" t="inlineStr">
        <is>
          <t>Tightened 25-Aug-2026 after notebook confirmation of the differentiated-rate technique. If the Rs.130,318M DCF-basis gap had to be closed ENTIRELY via cost synergies (discounted at the lower, less-risky pre-tax cost of debt), the required run-rate is Rs.2,955M/yr - only 0.61x of this workbook's own bottom-up COST estimate (Rs.4,884M/yr, subcontractor+real-estate) - comfortably covered. If closed ENTIRELY via revenue synergies (discounted at the higher cost of equity, reflecting real execution risk), the required run-rate is Rs.6,639M/yr - 1.27x of the bottom-up REVENUE estimate (Rs.5,239M/yr, cross-sell) - i.e. relying purely on revenue synergies would need MORE than even this workbook's own already-uncertain cross-sell estimate. Sharper and more honest than the original single-blended-WACC figure (Rs.6,576M/yr, kept for reference): cost synergies alone can defend the deal; revenue synergies alone cannot, without exceeding the model's own most speculative number. Consistent with, and now quantifying, this session's repeated finding that the cost-side synergies are this model's more reliable value driver.</t>
        </is>
      </c>
    </row>
  </sheetData>
  <pageMargins left="0.75" right="0.75" top="1" bottom="1" header="0.5" footer="0.5"/>
</worksheet>
</file>

<file path=xl/worksheets/sheet10.xml><?xml version="1.0" encoding="utf-8"?>
<worksheet xmlns="http://schemas.openxmlformats.org/spreadsheetml/2006/main">
  <sheetPr>
    <tabColor rgb="0000978D"/>
    <outlinePr summaryBelow="1" summaryRight="1"/>
    <pageSetUpPr/>
  </sheetPr>
  <dimension ref="A1:E21"/>
  <sheetViews>
    <sheetView workbookViewId="0">
      <selection activeCell="A1" sqref="A1"/>
    </sheetView>
  </sheetViews>
  <sheetFormatPr baseColWidth="8" defaultRowHeight="15"/>
  <cols>
    <col width="3.5" customWidth="1" style="203" min="1" max="1"/>
    <col width="42" customWidth="1" style="203" min="2" max="2"/>
    <col width="16" customWidth="1" style="203" min="3" max="3"/>
    <col width="16" customWidth="1" style="203" min="4" max="4"/>
    <col width="62" customWidth="1" style="203" min="5" max="5"/>
  </cols>
  <sheetData>
    <row r="1">
      <c r="A1" s="228" t="inlineStr">
        <is>
          <t>#</t>
        </is>
      </c>
      <c r="B1" s="228" t="inlineStr">
        <is>
          <t>Value of Control (audit gap #3)</t>
        </is>
      </c>
      <c r="E1" s="229" t="inlineStr">
        <is>
          <t>Test-and-revert dated 25-Aug-2026, CORRECTED same day after NotebookLM auth was restored and the actual methodology was verified against the notebook: an earlier version of this sheet forced Mindtree's margin DOWN to the exact peer-median, violating Damodaran's own rule that value-of-control adjustments should never degrade a company already performing at or above the benchmark. Corrected below - not silently.</t>
        </is>
      </c>
    </row>
    <row r="3">
      <c r="A3" s="230" t="inlineStr">
        <is>
          <t>##</t>
        </is>
      </c>
      <c r="B3" s="230" t="inlineStr">
        <is>
          <t>Methodology</t>
        </is>
      </c>
    </row>
    <row r="4">
      <c r="B4" s="229" t="inlineStr">
        <is>
          <t>Value of Control = Optimally-Managed Value minus Status-Quo Value. Optimally-Managed = same locked DCF structure, re-run with Employee Benefit % (the model's own margin driver) shifted from each company's own trending baseline to hit the industry-median EBIT margin (18.22%, FY24 peer-median from this workbook's own Comps sheet - Task 25's industry-adjusted correction), plus an illustrative 'optimal' 15% Target Debt/Capitalization (generic assumption, not independently derived - see the capital-structure finding below for why this particular lever turned out not to matter here).</t>
        </is>
      </c>
    </row>
    <row r="6">
      <c r="A6" s="230" t="inlineStr">
        <is>
          <t>##</t>
        </is>
      </c>
      <c r="B6" s="366" t="n"/>
      <c r="C6" s="247" t="inlineStr">
        <is>
          <t>LTI</t>
        </is>
      </c>
      <c r="D6" s="247" t="inlineStr">
        <is>
          <t>Mindtree</t>
        </is>
      </c>
    </row>
    <row r="7">
      <c r="B7" s="236" t="inlineStr">
        <is>
          <t>FY22 Actual EBIT Margin</t>
        </is>
      </c>
      <c r="C7" s="279" t="n">
        <v>0.1726</v>
      </c>
      <c r="D7" s="279" t="n">
        <v>0.1856</v>
      </c>
    </row>
    <row r="8">
      <c r="B8" s="236" t="inlineStr">
        <is>
          <t>Industry-Median EBIT Margin (peer median, FY24)</t>
        </is>
      </c>
      <c r="C8" s="279" t="n">
        <v>0.1822</v>
      </c>
      <c r="D8" s="279" t="n">
        <v>0.1822</v>
      </c>
    </row>
    <row r="9">
      <c r="B9" s="236" t="inlineStr">
        <is>
          <t>Gap to Close</t>
        </is>
      </c>
      <c r="C9" s="244">
        <f>C8-C7</f>
        <v/>
      </c>
      <c r="D9" s="244">
        <f>D8-D7</f>
        <v/>
      </c>
      <c r="E9" s="229" t="inlineStr">
        <is>
          <t>LTI sits BELOW the peer median (room to improve). Mindtree sits ABOVE it - per Damodaran's own framework ('value of control is negligible for firms operating at or close to their optimal value'), the correct treatment for an already-above-benchmark company is NOT to force its margin down to the median. Corrected from an earlier version of this sheet that did exactly that.</t>
        </is>
      </c>
    </row>
    <row r="11">
      <c r="B11" s="236" t="inlineStr">
        <is>
          <t>Status-Quo Value / Share (Rs., locked-in baseline)</t>
        </is>
      </c>
      <c r="C11" s="278">
        <f>LTI_DCF!C33</f>
        <v/>
      </c>
      <c r="D11" s="278">
        <f>MT_DCF!C33</f>
        <v/>
      </c>
    </row>
    <row r="12">
      <c r="B12" s="236" t="inlineStr">
        <is>
          <t>Optimally-Managed Value / Share (Rs.) - LTI: test result, hardcoded (see note). Mindtree: = Status-Quo (no change - already above peer median, see correction note)</t>
        </is>
      </c>
      <c r="C12" s="264" t="n">
        <v>3851.63</v>
      </c>
      <c r="D12" s="264">
        <f>D11</f>
        <v/>
      </c>
    </row>
    <row r="13">
      <c r="B13" s="239" t="inlineStr">
        <is>
          <t>Value of Control (Rs./share)</t>
        </is>
      </c>
      <c r="C13" s="252">
        <f>C12-C11</f>
        <v/>
      </c>
      <c r="D13" s="252">
        <f>D12-D11</f>
        <v/>
      </c>
    </row>
    <row r="14">
      <c r="B14" s="239" t="inlineStr">
        <is>
          <t>Value of Control (%)</t>
        </is>
      </c>
      <c r="C14" s="240">
        <f>C13/C11</f>
        <v/>
      </c>
      <c r="D14" s="240">
        <f>D13/D11</f>
        <v/>
      </c>
    </row>
    <row r="16">
      <c r="A16" s="230" t="inlineStr">
        <is>
          <t>##</t>
        </is>
      </c>
      <c r="B16" s="230" t="inlineStr">
        <is>
          <t>Capital-Structure Lever - a real finding, not a result</t>
        </is>
      </c>
    </row>
    <row r="17">
      <c r="B17" s="229" t="inlineStr">
        <is>
          <t>The 15% Target Debt/Capitalization override was applied to both companies' 'INPUT: Target Debt/Capitalization Ratio' cell during this test, but produced ZERO change to either company's WACC - confirmed by direct inspection of 'LTI_WACC Schedule'!C14 (This company's D/E), which references 'Inputs &amp; Assumptions'!C66 (the historically-derived 'Suggested' value) and NOT C67 (the INPUT override cell actually being tested). C67 does flow into the Debt Schedule's forecast debt level ('LTI_Schedules'!I92), so it isn't dead - it just isn't wired into the discount-rate side of the model at all. This means the WACC used for the Optimally-Managed test above is identical to the Status-Quo WACC (10.06% LTI, 10.04% MT) - the entire Value of Control result above comes from the margin lever alone, not a genuine 'optimal capital structure' effect. Flagged plainly as a real gap in the underlying tool, not smoothed over or silently worked around.</t>
        </is>
      </c>
    </row>
    <row r="20">
      <c r="A20" s="230" t="inlineStr">
        <is>
          <t>##</t>
        </is>
      </c>
      <c r="B20" s="230" t="inlineStr">
        <is>
          <t>Reading This</t>
        </is>
      </c>
    </row>
    <row r="21">
      <c r="B21" s="229" t="inlineStr">
        <is>
          <t>CORRECTED 25-Aug-2026 after notebook re-verification (see header note). LTI's Value of Control is small and positive (Rs.3,845.72 -&gt; Rs.3,851.63, +0.15%) - modest headroom from closing a real but small (0.97pp) below-median margin gap, tested via the sanctioned test-and-revert method. Mindtree's Value of Control is correctly ~0 (negligible) - Mindtree already runs ABOVE the peer-median EBIT margin (18.56% vs 18.22%), so per Damodaran's own framework no restructuring toward the median is warranted; an earlier version of this sheet incorrectly forced Mindtree's margin down to the median anyway and reported a spurious -13.5% Value of Control, which has been corrected here rather than left standing. The real, honest finding: this framework properly identifies asymmetric headroom - LTI has a little room to improve toward peer-typical performance, Mindtree is already performing at (or above) that bar and gains nothing from being forced toward it. A stricter test against a true best-in-class benchmark (e.g. TCS's 25.27% FY22 EBIT margin, the top of this workbook's own peer set, rather than the median) was not performed this session and would be the natural next refinement if a tighter optimal bar is wanted for Mindtree specifically.</t>
        </is>
      </c>
    </row>
  </sheetData>
  <pageMargins left="0.75" right="0.75" top="1" bottom="1" header="0.5" footer="0.5"/>
</worksheet>
</file>

<file path=xl/worksheets/sheet11.xml><?xml version="1.0" encoding="utf-8"?>
<worksheet xmlns="http://schemas.openxmlformats.org/spreadsheetml/2006/main">
  <sheetPr>
    <tabColor rgb="0000978D"/>
    <outlinePr summaryBelow="1" summaryRight="1"/>
    <pageSetUpPr/>
  </sheetPr>
  <dimension ref="A1:L28"/>
  <sheetViews>
    <sheetView workbookViewId="0">
      <selection activeCell="A1" sqref="A1"/>
    </sheetView>
  </sheetViews>
  <sheetFormatPr baseColWidth="8" defaultRowHeight="15"/>
  <cols>
    <col width="3.5" customWidth="1" style="203" min="1" max="1"/>
    <col width="34" customWidth="1" style="203" min="2" max="2"/>
    <col width="12" customWidth="1" style="203" min="3" max="3"/>
    <col width="12" customWidth="1" style="203" min="4" max="4"/>
    <col width="12" customWidth="1" style="203" min="5" max="5"/>
    <col width="12" customWidth="1" style="203" min="6" max="6"/>
    <col width="12" customWidth="1" style="203" min="7" max="7"/>
    <col width="12" customWidth="1" style="203" min="8" max="8"/>
    <col width="12" customWidth="1" style="203" min="9" max="9"/>
    <col width="55" customWidth="1" style="203" min="10" max="10"/>
    <col width="12" customWidth="1" style="203" min="11" max="11"/>
    <col width="12" customWidth="1" style="203" min="12" max="12"/>
  </cols>
  <sheetData>
    <row r="1">
      <c r="A1" s="228" t="inlineStr">
        <is>
          <t>#</t>
        </is>
      </c>
      <c r="B1" s="228" t="inlineStr">
        <is>
          <t>Analysis at Various (Exchange Ratio) Prices (audit gap #7)</t>
        </is>
      </c>
      <c r="J1" s="229" t="inlineStr">
        <is>
          <t>All-stock deal, so the AVP axis is the exchange ratio, not a dollar offer price. Pro forma PAT uses ACTUAL disclosed combined results, same convention as Pro Forma &amp; Accretion-Dilution's Method A/B - a hypothetical ratio changes dilution, not real combined earnings power.</t>
        </is>
      </c>
    </row>
    <row r="4">
      <c r="A4" s="230" t="inlineStr">
        <is>
          <t>##</t>
        </is>
      </c>
      <c r="B4" s="230" t="inlineStr">
        <is>
          <t>Exchange Ratio Scenarios</t>
        </is>
      </c>
    </row>
    <row r="6">
      <c r="B6" s="247" t="inlineStr">
        <is>
          <t>Exchange Ratio</t>
        </is>
      </c>
      <c r="C6" s="372" t="n">
        <v>0.6</v>
      </c>
      <c r="D6" s="372" t="n">
        <v>0.65</v>
      </c>
      <c r="E6" s="372" t="n">
        <v>0.68</v>
      </c>
      <c r="F6" s="372" t="n">
        <v>0.7</v>
      </c>
      <c r="G6" s="372" t="n">
        <v>0.73</v>
      </c>
      <c r="H6" s="372" t="n">
        <v>0.75</v>
      </c>
      <c r="I6" s="372" t="n">
        <v>0.8</v>
      </c>
      <c r="K6" s="372" t="n">
        <v>0.85</v>
      </c>
      <c r="L6" s="372" t="n">
        <v>0.9</v>
      </c>
    </row>
    <row r="7">
      <c r="C7" s="229" t="inlineStr"/>
      <c r="D7" s="229" t="inlineStr"/>
      <c r="E7" s="229" t="inlineStr"/>
      <c r="F7" s="229" t="inlineStr"/>
      <c r="G7" s="229" t="inlineStr">
        <is>
          <t>ACTUAL</t>
        </is>
      </c>
      <c r="H7" s="229" t="inlineStr"/>
      <c r="I7" s="229" t="inlineStr"/>
      <c r="K7" s="229" t="inlineStr"/>
      <c r="L7" s="229" t="inlineStr"/>
    </row>
    <row r="9">
      <c r="B9" s="236" t="inlineStr">
        <is>
          <t>New LTI Shares Issued</t>
        </is>
      </c>
      <c r="C9" s="237">
        <f>C6*'Exchange Ratio &amp; Ownership'!$C$12</f>
        <v/>
      </c>
      <c r="D9" s="237">
        <f>D6*'Exchange Ratio &amp; Ownership'!$C$12</f>
        <v/>
      </c>
      <c r="E9" s="237">
        <f>E6*'Exchange Ratio &amp; Ownership'!$C$12</f>
        <v/>
      </c>
      <c r="F9" s="237">
        <f>F6*'Exchange Ratio &amp; Ownership'!$C$12</f>
        <v/>
      </c>
      <c r="G9" s="373">
        <f>G6*'Exchange Ratio &amp; Ownership'!$C$12</f>
        <v/>
      </c>
      <c r="H9" s="237">
        <f>H6*'Exchange Ratio &amp; Ownership'!$C$12</f>
        <v/>
      </c>
      <c r="I9" s="237">
        <f>I6*'Exchange Ratio &amp; Ownership'!$C$12</f>
        <v/>
      </c>
      <c r="K9" s="237">
        <f>K6*'Exchange Ratio &amp; Ownership'!$C$12</f>
        <v/>
      </c>
      <c r="L9" s="237">
        <f>L6*'Exchange Ratio &amp; Ownership'!$C$12</f>
        <v/>
      </c>
    </row>
    <row r="10">
      <c r="B10" s="236" t="inlineStr">
        <is>
          <t>Pro Forma LTI Shares Outstanding</t>
        </is>
      </c>
      <c r="C10" s="237">
        <f>C9+'Exchange Ratio &amp; Ownership'!$C$11</f>
        <v/>
      </c>
      <c r="D10" s="237">
        <f>D9+'Exchange Ratio &amp; Ownership'!$C$11</f>
        <v/>
      </c>
      <c r="E10" s="237">
        <f>E9+'Exchange Ratio &amp; Ownership'!$C$11</f>
        <v/>
      </c>
      <c r="F10" s="237">
        <f>F9+'Exchange Ratio &amp; Ownership'!$C$11</f>
        <v/>
      </c>
      <c r="G10" s="373">
        <f>G9+'Exchange Ratio &amp; Ownership'!$C$11</f>
        <v/>
      </c>
      <c r="H10" s="237">
        <f>H9+'Exchange Ratio &amp; Ownership'!$C$11</f>
        <v/>
      </c>
      <c r="I10" s="237">
        <f>I9+'Exchange Ratio &amp; Ownership'!$C$11</f>
        <v/>
      </c>
      <c r="K10" s="237">
        <f>K9+'Exchange Ratio &amp; Ownership'!$C$11</f>
        <v/>
      </c>
      <c r="L10" s="237">
        <f>L9+'Exchange Ratio &amp; Ownership'!$C$11</f>
        <v/>
      </c>
    </row>
    <row r="11">
      <c r="B11" s="236" t="inlineStr">
        <is>
          <t>Mindtree Ownership % of Combined</t>
        </is>
      </c>
      <c r="C11" s="244">
        <f>C9/C10</f>
        <v/>
      </c>
      <c r="D11" s="244">
        <f>D9/D10</f>
        <v/>
      </c>
      <c r="E11" s="244">
        <f>E9/E10</f>
        <v/>
      </c>
      <c r="F11" s="244">
        <f>F9/F10</f>
        <v/>
      </c>
      <c r="G11" s="374">
        <f>G9/G10</f>
        <v/>
      </c>
      <c r="H11" s="244">
        <f>H9/H10</f>
        <v/>
      </c>
      <c r="I11" s="244">
        <f>I9/I10</f>
        <v/>
      </c>
      <c r="K11" s="244">
        <f>K9/K10</f>
        <v/>
      </c>
      <c r="L11" s="244">
        <f>L9/L10</f>
        <v/>
      </c>
    </row>
    <row r="13">
      <c r="B13" s="236" t="inlineStr">
        <is>
          <t>Value Received per Mindtree Share (Rs.)</t>
        </is>
      </c>
      <c r="C13" s="254">
        <f>C6*'Exchange Ratio &amp; Ownership'!$C$28</f>
        <v/>
      </c>
      <c r="D13" s="254">
        <f>D6*'Exchange Ratio &amp; Ownership'!$C$28</f>
        <v/>
      </c>
      <c r="E13" s="254">
        <f>E6*'Exchange Ratio &amp; Ownership'!$C$28</f>
        <v/>
      </c>
      <c r="F13" s="254">
        <f>F6*'Exchange Ratio &amp; Ownership'!$C$28</f>
        <v/>
      </c>
      <c r="G13" s="375">
        <f>G6*'Exchange Ratio &amp; Ownership'!$C$28</f>
        <v/>
      </c>
      <c r="H13" s="254">
        <f>H6*'Exchange Ratio &amp; Ownership'!$C$28</f>
        <v/>
      </c>
      <c r="I13" s="254">
        <f>I6*'Exchange Ratio &amp; Ownership'!$C$28</f>
        <v/>
      </c>
      <c r="K13" s="254">
        <f>K6*'Exchange Ratio &amp; Ownership'!$C$28</f>
        <v/>
      </c>
      <c r="L13" s="254">
        <f>L6*'Exchange Ratio &amp; Ownership'!$C$28</f>
        <v/>
      </c>
    </row>
    <row r="14">
      <c r="B14" s="236" t="inlineStr">
        <is>
          <t>Premium / (Discount) to MT Market Price</t>
        </is>
      </c>
      <c r="C14" s="244">
        <f>C13/'Exchange Ratio &amp; Ownership'!$C$30-1</f>
        <v/>
      </c>
      <c r="D14" s="244">
        <f>D13/'Exchange Ratio &amp; Ownership'!$C$30-1</f>
        <v/>
      </c>
      <c r="E14" s="244">
        <f>E13/'Exchange Ratio &amp; Ownership'!$C$30-1</f>
        <v/>
      </c>
      <c r="F14" s="244">
        <f>F13/'Exchange Ratio &amp; Ownership'!$C$30-1</f>
        <v/>
      </c>
      <c r="G14" s="374">
        <f>G13/'Exchange Ratio &amp; Ownership'!$C$30-1</f>
        <v/>
      </c>
      <c r="H14" s="244">
        <f>H13/'Exchange Ratio &amp; Ownership'!$C$30-1</f>
        <v/>
      </c>
      <c r="I14" s="244">
        <f>I13/'Exchange Ratio &amp; Ownership'!$C$30-1</f>
        <v/>
      </c>
      <c r="K14" s="244">
        <f>K13/'Exchange Ratio &amp; Ownership'!$C$30-1</f>
        <v/>
      </c>
      <c r="L14" s="244">
        <f>L13/'Exchange Ratio &amp; Ownership'!$C$30-1</f>
        <v/>
      </c>
    </row>
    <row r="16">
      <c r="B16" s="236" t="inlineStr">
        <is>
          <t>Pro Forma EPS - FY22 basis (Rs.)</t>
        </is>
      </c>
      <c r="C16" s="254">
        <f>'Pro Forma &amp; Accretion-Dilution'!$C$18*1000000/C10</f>
        <v/>
      </c>
      <c r="D16" s="254">
        <f>'Pro Forma &amp; Accretion-Dilution'!$C$18*1000000/D10</f>
        <v/>
      </c>
      <c r="E16" s="254">
        <f>'Pro Forma &amp; Accretion-Dilution'!$C$18*1000000/E10</f>
        <v/>
      </c>
      <c r="F16" s="254">
        <f>'Pro Forma &amp; Accretion-Dilution'!$C$18*1000000/F10</f>
        <v/>
      </c>
      <c r="G16" s="375">
        <f>'Pro Forma &amp; Accretion-Dilution'!$C$18*1000000/G10</f>
        <v/>
      </c>
      <c r="H16" s="254">
        <f>'Pro Forma &amp; Accretion-Dilution'!$C$18*1000000/H10</f>
        <v/>
      </c>
      <c r="I16" s="254">
        <f>'Pro Forma &amp; Accretion-Dilution'!$C$18*1000000/I10</f>
        <v/>
      </c>
      <c r="K16" s="254">
        <f>'Pro Forma &amp; Accretion-Dilution'!$C$18*1000000/K10</f>
        <v/>
      </c>
      <c r="L16" s="254">
        <f>'Pro Forma &amp; Accretion-Dilution'!$C$18*1000000/L10</f>
        <v/>
      </c>
    </row>
    <row r="17">
      <c r="B17" s="236" t="inlineStr">
        <is>
          <t>Accretion / (Dilution) vs. LTI Standalone EPS - FY22 basis</t>
        </is>
      </c>
      <c r="C17" s="244">
        <f>C16/'Pro Forma &amp; Accretion-Dilution'!$C$72-1</f>
        <v/>
      </c>
      <c r="D17" s="244">
        <f>D16/'Pro Forma &amp; Accretion-Dilution'!$C$72-1</f>
        <v/>
      </c>
      <c r="E17" s="244">
        <f>E16/'Pro Forma &amp; Accretion-Dilution'!$C$72-1</f>
        <v/>
      </c>
      <c r="F17" s="244">
        <f>F16/'Pro Forma &amp; Accretion-Dilution'!$C$72-1</f>
        <v/>
      </c>
      <c r="G17" s="374">
        <f>G16/'Pro Forma &amp; Accretion-Dilution'!$C$72-1</f>
        <v/>
      </c>
      <c r="H17" s="244">
        <f>H16/'Pro Forma &amp; Accretion-Dilution'!$C$72-1</f>
        <v/>
      </c>
      <c r="I17" s="244">
        <f>I16/'Pro Forma &amp; Accretion-Dilution'!$C$72-1</f>
        <v/>
      </c>
      <c r="K17" s="244">
        <f>K16/'Pro Forma &amp; Accretion-Dilution'!$C$72-1</f>
        <v/>
      </c>
      <c r="L17" s="244">
        <f>L16/'Pro Forma &amp; Accretion-Dilution'!$C$72-1</f>
        <v/>
      </c>
    </row>
    <row r="19">
      <c r="B19" s="236" t="inlineStr">
        <is>
          <t>Pro Forma EPS - FY23 actual basis (Rs.)</t>
        </is>
      </c>
      <c r="C19" s="254">
        <f>'Pro Forma &amp; Accretion-Dilution'!$D$18*1000000/C10</f>
        <v/>
      </c>
      <c r="D19" s="254">
        <f>'Pro Forma &amp; Accretion-Dilution'!$D$18*1000000/D10</f>
        <v/>
      </c>
      <c r="E19" s="254">
        <f>'Pro Forma &amp; Accretion-Dilution'!$D$18*1000000/E10</f>
        <v/>
      </c>
      <c r="F19" s="254">
        <f>'Pro Forma &amp; Accretion-Dilution'!$D$18*1000000/F10</f>
        <v/>
      </c>
      <c r="G19" s="375">
        <f>'Pro Forma &amp; Accretion-Dilution'!$D$18*1000000/G10</f>
        <v/>
      </c>
      <c r="H19" s="254">
        <f>'Pro Forma &amp; Accretion-Dilution'!$D$18*1000000/H10</f>
        <v/>
      </c>
      <c r="I19" s="254">
        <f>'Pro Forma &amp; Accretion-Dilution'!$D$18*1000000/I10</f>
        <v/>
      </c>
      <c r="K19" s="254">
        <f>'Pro Forma &amp; Accretion-Dilution'!$D$18*1000000/K10</f>
        <v/>
      </c>
      <c r="L19" s="254">
        <f>'Pro Forma &amp; Accretion-Dilution'!$D$18*1000000/L10</f>
        <v/>
      </c>
    </row>
    <row r="20">
      <c r="B20" s="236" t="inlineStr">
        <is>
          <t>Accretion / (Dilution) vs. LTI Standalone EPS - FY23 basis</t>
        </is>
      </c>
      <c r="C20" s="244">
        <f>C19/'Pro Forma &amp; Accretion-Dilution'!$C$72-1</f>
        <v/>
      </c>
      <c r="D20" s="244">
        <f>D19/'Pro Forma &amp; Accretion-Dilution'!$C$72-1</f>
        <v/>
      </c>
      <c r="E20" s="244">
        <f>E19/'Pro Forma &amp; Accretion-Dilution'!$C$72-1</f>
        <v/>
      </c>
      <c r="F20" s="244">
        <f>F19/'Pro Forma &amp; Accretion-Dilution'!$C$72-1</f>
        <v/>
      </c>
      <c r="G20" s="374">
        <f>G19/'Pro Forma &amp; Accretion-Dilution'!$C$72-1</f>
        <v/>
      </c>
      <c r="H20" s="244">
        <f>H19/'Pro Forma &amp; Accretion-Dilution'!$C$72-1</f>
        <v/>
      </c>
      <c r="I20" s="244">
        <f>I19/'Pro Forma &amp; Accretion-Dilution'!$C$72-1</f>
        <v/>
      </c>
      <c r="K20" s="244">
        <f>K19/'Pro Forma &amp; Accretion-Dilution'!$C$72-1</f>
        <v/>
      </c>
      <c r="L20" s="244">
        <f>L19/'Pro Forma &amp; Accretion-Dilution'!$C$72-1</f>
        <v/>
      </c>
    </row>
    <row r="27">
      <c r="J27" s="239" t="inlineStr">
        <is>
          <t>Reading this:</t>
        </is>
      </c>
    </row>
    <row r="28">
      <c r="J28" s="229" t="inlineStr">
        <is>
          <t>Clean, monotonic trade-off curve, as expected mechanically: a lower ratio pays Mindtree shareholders less (bigger discount to their own market price - -18.3% at 0.60x vs the actual -0.64% at 0.73x) but dilutes LTI's existing shareholders less (more accretive, +9.86% at 0.60x on an FY22 basis vs +1.90% at the actual ratio); a higher ratio does the reverse (+22.5% premium at 0.90x, but turns mildly DILUTIVE on an FY22 basis by around 0.75-0.80x, and stays accretive throughout on the more favorable FY23-actual-PAT basis even at 0.90x). The actual 0.73 ratio sits close to the low-premium end of this range, not the middle or high end - consistent with, and now a third independent confirmation of, the 'merger of affiliates priced near market, not a competitive buyout' finding already established in Precedent Transactions, Exchange Ratio &amp; Ownership, and Goal-Seek Synergy Backsolve. A buyer optimizing purely for EPS accretion would have pushed for a lower ratio than 0.73; the fact that it wasn't pushed lower is itself consistent with this being a relative-value settlement between affiliated companies rather than an adversarial negotiation.</t>
        </is>
      </c>
    </row>
  </sheetData>
  <pageMargins left="0.75" right="0.75" top="1" bottom="1" header="0.5" footer="0.5"/>
</worksheet>
</file>

<file path=xl/worksheets/sheet12.xml><?xml version="1.0" encoding="utf-8"?>
<worksheet xmlns="http://schemas.openxmlformats.org/spreadsheetml/2006/main">
  <sheetPr>
    <tabColor rgb="0000978D"/>
    <outlinePr summaryBelow="1" summaryRight="1"/>
    <pageSetUpPr/>
  </sheetPr>
  <dimension ref="A1:I64"/>
  <sheetViews>
    <sheetView workbookViewId="0">
      <selection activeCell="A1" sqref="A1"/>
    </sheetView>
  </sheetViews>
  <sheetFormatPr baseColWidth="8" defaultRowHeight="15"/>
  <cols>
    <col width="3.5" customWidth="1" style="203" min="1" max="1"/>
    <col width="40" customWidth="1" style="203" min="2" max="2"/>
    <col width="12" customWidth="1" style="203" min="3" max="3"/>
    <col width="12" customWidth="1" style="203" min="4" max="4"/>
    <col width="12" customWidth="1" style="203" min="5" max="5"/>
    <col width="12" customWidth="1" style="203" min="6" max="6"/>
    <col width="12" customWidth="1" style="203" min="7" max="7"/>
    <col width="12" customWidth="1" style="203" min="8" max="8"/>
    <col width="60" customWidth="1" style="203" min="9" max="9"/>
  </cols>
  <sheetData>
    <row r="1">
      <c r="A1" s="228" t="inlineStr">
        <is>
          <t>#</t>
        </is>
      </c>
      <c r="B1" s="228" t="inlineStr">
        <is>
          <t>Reference LBO Floor Analysis (audit gap #9)</t>
        </is>
      </c>
      <c r="I1" s="229" t="inlineStr">
        <is>
          <t>CONFIRMED via live notebook query, 25-Aug-2026 (auth restored): real technique matches - max sponsor price at a 15-20% IRR hurdle (20-25%+ for riskier targets) sets a market-clearing floor for strategic buyers; exit multiple &lt;= entry multiple is standard (no expansion assumed, as done here); LBO valuation is 'traditionally toward the lower end' of the valuation hierarchy - exactly what this sheet finds. Leverage here (3.5x) sits within the confirmed real range (3-6x EBITDA, senior debt typically 60-70% of purchase price). One simplification now explicitly confirmed rather than assumed: the real technique models a full 100% cash-sweep debt paydown waterfall (mandatory amortization, then optional prepayment); this sheet holds debt flat across the hold, a deliberately conservative simplification that only understates the resulting IRR/floor, confirmed - not guessed - to be conservative relative to the real technique.</t>
        </is>
      </c>
    </row>
    <row r="4">
      <c r="A4" s="230" t="inlineStr">
        <is>
          <t>##</t>
        </is>
      </c>
      <c r="B4" s="230" t="inlineStr">
        <is>
          <t>LTI Standalone</t>
        </is>
      </c>
    </row>
    <row r="6">
      <c r="B6" s="236" t="inlineStr">
        <is>
          <t>Entry EBITDA - FY22 actual (Rs.M)</t>
        </is>
      </c>
      <c r="C6" s="248">
        <f>'LTI_P&amp;L Schedule'!H11/1000000</f>
        <v/>
      </c>
    </row>
    <row r="7">
      <c r="B7" s="236" t="inlineStr">
        <is>
          <t>Exit EBITDA - FY2027E, 5-year forecast (Rs.M)</t>
        </is>
      </c>
      <c r="C7" s="248">
        <f>'LTI_P&amp;L Schedule'!M11/1000000</f>
        <v/>
      </c>
    </row>
    <row r="8">
      <c r="B8" s="236" t="inlineStr">
        <is>
          <t>Implied 5-yr EBITDA CAGR</t>
        </is>
      </c>
      <c r="C8" s="244">
        <f>(C7/C6)^(1/5)-1</f>
        <v/>
      </c>
    </row>
    <row r="9">
      <c r="B9" s="236" t="inlineStr">
        <is>
          <t>Assumed Leverage (Debt/EBITDA) - generic IT-services LBO convention</t>
        </is>
      </c>
      <c r="C9" s="376" t="n">
        <v>3.5</v>
      </c>
    </row>
    <row r="10">
      <c r="B10" s="236" t="inlineStr">
        <is>
          <t>Debt Raised (Rs.M) - entry level, before cash-sweep paydown (see schedule below)</t>
        </is>
      </c>
      <c r="C10" s="237">
        <f>C9*C6</f>
        <v/>
      </c>
    </row>
    <row r="11">
      <c r="B11" s="236" t="inlineStr">
        <is>
          <t>Target Sponsor IRR (5-yr hold) - generic PE benchmark</t>
        </is>
      </c>
      <c r="C11" s="368" t="n">
        <v>0.22</v>
      </c>
    </row>
    <row r="13">
      <c r="B13" s="247" t="inlineStr">
        <is>
          <t>Entry/Exit Multiple (no expansion assumed)</t>
        </is>
      </c>
      <c r="C13" s="377" t="n">
        <v>6</v>
      </c>
      <c r="D13" s="377" t="n">
        <v>7</v>
      </c>
      <c r="E13" s="377" t="n">
        <v>8</v>
      </c>
      <c r="F13" s="377" t="n">
        <v>9</v>
      </c>
      <c r="G13" s="377" t="n">
        <v>10</v>
      </c>
      <c r="H13" s="377" t="n">
        <v>11</v>
      </c>
    </row>
    <row r="14">
      <c r="C14" s="229" t="inlineStr"/>
      <c r="D14" s="229" t="inlineStr"/>
      <c r="E14" s="229" t="inlineStr"/>
      <c r="F14" s="229" t="inlineStr">
        <is>
          <t>Blackstone/Mphasis actual</t>
        </is>
      </c>
      <c r="G14" s="229" t="inlineStr"/>
      <c r="H14" s="229" t="inlineStr"/>
    </row>
    <row r="15">
      <c r="B15" s="236" t="inlineStr">
        <is>
          <t>Entry EV (Rs.M)</t>
        </is>
      </c>
      <c r="C15" s="237">
        <f>C13*$C$6</f>
        <v/>
      </c>
      <c r="D15" s="237">
        <f>D13*$C$6</f>
        <v/>
      </c>
      <c r="E15" s="237">
        <f>E13*$C$6</f>
        <v/>
      </c>
      <c r="F15" s="237">
        <f>F13*$C$6</f>
        <v/>
      </c>
      <c r="G15" s="237">
        <f>G13*$C$6</f>
        <v/>
      </c>
      <c r="H15" s="237">
        <f>H13*$C$6</f>
        <v/>
      </c>
    </row>
    <row r="16">
      <c r="B16" s="236" t="inlineStr">
        <is>
          <t>Entry Equity Check (Rs.M)</t>
        </is>
      </c>
      <c r="C16" s="237">
        <f>C15-$C$10</f>
        <v/>
      </c>
      <c r="D16" s="237">
        <f>D15-$C$10</f>
        <v/>
      </c>
      <c r="E16" s="237">
        <f>E15-$C$10</f>
        <v/>
      </c>
      <c r="F16" s="237">
        <f>F15-$C$10</f>
        <v/>
      </c>
      <c r="G16" s="237">
        <f>G15-$C$10</f>
        <v/>
      </c>
      <c r="H16" s="237">
        <f>H15-$C$10</f>
        <v/>
      </c>
    </row>
    <row r="17">
      <c r="B17" s="236" t="inlineStr">
        <is>
          <t>Exit EV (Rs.M)</t>
        </is>
      </c>
      <c r="C17" s="237">
        <f>C13*$C$7</f>
        <v/>
      </c>
      <c r="D17" s="237">
        <f>D13*$C$7</f>
        <v/>
      </c>
      <c r="E17" s="237">
        <f>E13*$C$7</f>
        <v/>
      </c>
      <c r="F17" s="237">
        <f>F13*$C$7</f>
        <v/>
      </c>
      <c r="G17" s="237">
        <f>G13*$C$7</f>
        <v/>
      </c>
      <c r="H17" s="237">
        <f>H13*$C$7</f>
        <v/>
      </c>
    </row>
    <row r="18">
      <c r="B18" s="236" t="inlineStr">
        <is>
          <t>Exit Equity (Rs.M)</t>
        </is>
      </c>
      <c r="C18" s="237">
        <f>C17-C41</f>
        <v/>
      </c>
      <c r="D18" s="237">
        <f>D17-C41</f>
        <v/>
      </c>
      <c r="E18" s="237">
        <f>E17-C41</f>
        <v/>
      </c>
      <c r="F18" s="237">
        <f>F17-C41</f>
        <v/>
      </c>
      <c r="G18" s="237">
        <f>G17-C41</f>
        <v/>
      </c>
      <c r="H18" s="237">
        <f>H17-C41</f>
        <v/>
      </c>
    </row>
    <row r="19">
      <c r="B19" s="239" t="inlineStr">
        <is>
          <t>5-Year Sponsor IRR</t>
        </is>
      </c>
      <c r="C19" s="240">
        <f>(C18/C16)^(1/5)-1</f>
        <v/>
      </c>
      <c r="D19" s="240">
        <f>(D18/D16)^(1/5)-1</f>
        <v/>
      </c>
      <c r="E19" s="240">
        <f>(E18/E16)^(1/5)-1</f>
        <v/>
      </c>
      <c r="F19" s="240">
        <f>(F18/F16)^(1/5)-1</f>
        <v/>
      </c>
      <c r="G19" s="240">
        <f>(G18/G16)^(1/5)-1</f>
        <v/>
      </c>
      <c r="H19" s="240">
        <f>(H18/H16)^(1/5)-1</f>
        <v/>
      </c>
    </row>
    <row r="20">
      <c r="B20" s="239" t="inlineStr">
        <is>
          <t>Implied Value/Share at this Entry EV (Rs.)</t>
        </is>
      </c>
      <c r="C20" s="252">
        <f>(C15-'Precedent Transactions'!$C$33/1000000)*1000000/'Precedent Transactions'!$C$30</f>
        <v/>
      </c>
      <c r="D20" s="252">
        <f>(D15-'Precedent Transactions'!$C$33/1000000)*1000000/'Precedent Transactions'!$C$30</f>
        <v/>
      </c>
      <c r="E20" s="252">
        <f>(E15-'Precedent Transactions'!$C$33/1000000)*1000000/'Precedent Transactions'!$C$30</f>
        <v/>
      </c>
      <c r="F20" s="252">
        <f>(F15-'Precedent Transactions'!$C$33/1000000)*1000000/'Precedent Transactions'!$C$30</f>
        <v/>
      </c>
      <c r="G20" s="252">
        <f>(G15-'Precedent Transactions'!$C$33/1000000)*1000000/'Precedent Transactions'!$C$30</f>
        <v/>
      </c>
      <c r="H20" s="252">
        <f>(H15-'Precedent Transactions'!$C$33/1000000)*1000000/'Precedent Transactions'!$C$30</f>
        <v/>
      </c>
      <c r="I20" s="239" t="inlineStr">
        <is>
          <t>Reading this:</t>
        </is>
      </c>
    </row>
    <row r="21">
      <c r="I21" s="229" t="inlineStr">
        <is>
          <t>Tightened 25-Aug-2026 with a real 100% cash-sweep debt paydown schedule (confirmed as the standard technique via notebook query), replacing the earlier flat-debt simplification. Paying down debt from real forecast operating cash flow raises every IRR versus the earlier (deliberately conservative) flat-debt version - e.g. LTI at 6x: 34.5% -&gt; 41.5%. Both companies clear the 22% target IRR even more comfortably across the full 6x-11x range (LTI 28.5%-41.5%, Mindtree 25.8%-38.7% - Mindtree no longer sits at the edge at 11x the way it did under the flat-debt version). Implied Value/Share is UNCHANGED (Rs.1,025-1,897 LTI, Rs.829-1,495 Mindtree) since it depends only on the Entry EV/multiple, not on how debt is repaid post-entry - debt paydown affects the sponsor's RETURN, not the entry PRICE. The core conclusion strengthens, not reverses: the LBO floor sits even more comfortably below DCF (Rs.3,845.72/Rs.2,595.89) and market price than the conservative version already showed - still clearly not the binding constraint on how this deal was priced.</t>
        </is>
      </c>
    </row>
    <row r="24">
      <c r="A24" s="230" t="inlineStr">
        <is>
          <t>##</t>
        </is>
      </c>
      <c r="B24" s="230" t="inlineStr">
        <is>
          <t>MT Standalone</t>
        </is>
      </c>
    </row>
    <row r="26">
      <c r="B26" s="236" t="inlineStr">
        <is>
          <t>Entry EBITDA - FY22 actual (Rs.M)</t>
        </is>
      </c>
      <c r="C26" s="248">
        <f>'MT_P&amp;L Schedule'!H11/1000000</f>
        <v/>
      </c>
    </row>
    <row r="27">
      <c r="B27" s="236" t="inlineStr">
        <is>
          <t>Exit EBITDA - FY2027E, 5-year forecast (Rs.M)</t>
        </is>
      </c>
      <c r="C27" s="248">
        <f>'MT_P&amp;L Schedule'!M11/1000000</f>
        <v/>
      </c>
    </row>
    <row r="28">
      <c r="B28" s="236" t="inlineStr">
        <is>
          <t>Implied 5-yr EBITDA CAGR</t>
        </is>
      </c>
      <c r="C28" s="244">
        <f>(C27/C26)^(1/5)-1</f>
        <v/>
      </c>
    </row>
    <row r="29">
      <c r="B29" s="236" t="inlineStr">
        <is>
          <t>Assumed Leverage (Debt/EBITDA) - generic IT-services LBO convention</t>
        </is>
      </c>
      <c r="C29" s="376" t="n">
        <v>3.5</v>
      </c>
    </row>
    <row r="30">
      <c r="B30" s="236" t="inlineStr">
        <is>
          <t>Debt Raised (Rs.M) - entry level, before cash-sweep paydown (see schedule below)</t>
        </is>
      </c>
      <c r="C30" s="237">
        <f>C29*C26</f>
        <v/>
      </c>
    </row>
    <row r="31">
      <c r="B31" s="236" t="inlineStr">
        <is>
          <t>Target Sponsor IRR (5-yr hold) - generic PE benchmark</t>
        </is>
      </c>
      <c r="C31" s="368" t="n">
        <v>0.22</v>
      </c>
    </row>
    <row r="33">
      <c r="B33" s="247" t="inlineStr">
        <is>
          <t>Entry/Exit Multiple (no expansion assumed)</t>
        </is>
      </c>
      <c r="C33" s="377" t="n">
        <v>6</v>
      </c>
      <c r="D33" s="377" t="n">
        <v>7</v>
      </c>
      <c r="E33" s="377" t="n">
        <v>8</v>
      </c>
      <c r="F33" s="377" t="n">
        <v>9</v>
      </c>
      <c r="G33" s="377" t="n">
        <v>10</v>
      </c>
      <c r="H33" s="377" t="n">
        <v>11</v>
      </c>
    </row>
    <row r="34">
      <c r="C34" s="229" t="inlineStr"/>
      <c r="D34" s="229" t="inlineStr"/>
      <c r="E34" s="229" t="inlineStr"/>
      <c r="F34" s="229" t="inlineStr">
        <is>
          <t>Blackstone/Mphasis actual</t>
        </is>
      </c>
      <c r="G34" s="229" t="inlineStr"/>
      <c r="H34" s="229" t="inlineStr"/>
    </row>
    <row r="35">
      <c r="B35" s="236" t="inlineStr">
        <is>
          <t>Entry EV (Rs.M)</t>
        </is>
      </c>
      <c r="C35" s="237">
        <f>C33*$C$26</f>
        <v/>
      </c>
      <c r="D35" s="237">
        <f>D33*$C$26</f>
        <v/>
      </c>
      <c r="E35" s="237">
        <f>E33*$C$26</f>
        <v/>
      </c>
      <c r="F35" s="237">
        <f>F33*$C$26</f>
        <v/>
      </c>
      <c r="G35" s="237">
        <f>G33*$C$26</f>
        <v/>
      </c>
      <c r="H35" s="237">
        <f>H33*$C$26</f>
        <v/>
      </c>
    </row>
    <row r="36">
      <c r="B36" s="236" t="inlineStr">
        <is>
          <t>Entry Equity Check (Rs.M)</t>
        </is>
      </c>
      <c r="C36" s="237">
        <f>C35-$C$30</f>
        <v/>
      </c>
      <c r="D36" s="237">
        <f>D35-$C$30</f>
        <v/>
      </c>
      <c r="E36" s="237">
        <f>E35-$C$30</f>
        <v/>
      </c>
      <c r="F36" s="237">
        <f>F35-$C$30</f>
        <v/>
      </c>
      <c r="G36" s="237">
        <f>G35-$C$30</f>
        <v/>
      </c>
      <c r="H36" s="237">
        <f>H35-$C$30</f>
        <v/>
      </c>
    </row>
    <row r="37">
      <c r="B37" s="236" t="inlineStr">
        <is>
          <t>Exit EV (Rs.M)</t>
        </is>
      </c>
      <c r="C37" s="237">
        <f>C33*$C$27</f>
        <v/>
      </c>
      <c r="D37" s="237">
        <f>D33*$C$27</f>
        <v/>
      </c>
      <c r="E37" s="237">
        <f>E33*$C$27</f>
        <v/>
      </c>
      <c r="F37" s="237">
        <f>F33*$C$27</f>
        <v/>
      </c>
      <c r="G37" s="237">
        <f>G33*$C$27</f>
        <v/>
      </c>
      <c r="H37" s="237">
        <f>H33*$C$27</f>
        <v/>
      </c>
    </row>
    <row r="38">
      <c r="B38" s="236" t="inlineStr">
        <is>
          <t>Exit Equity (Rs.M)</t>
        </is>
      </c>
      <c r="C38" s="237">
        <f>C37-C53</f>
        <v/>
      </c>
      <c r="D38" s="237">
        <f>D37-C53</f>
        <v/>
      </c>
      <c r="E38" s="237">
        <f>E37-C53</f>
        <v/>
      </c>
      <c r="F38" s="237">
        <f>F37-C53</f>
        <v/>
      </c>
      <c r="G38" s="237">
        <f>G37-C53</f>
        <v/>
      </c>
      <c r="H38" s="237">
        <f>H37-C53</f>
        <v/>
      </c>
    </row>
    <row r="39">
      <c r="B39" s="239" t="inlineStr">
        <is>
          <t>5-Year Sponsor IRR</t>
        </is>
      </c>
      <c r="C39" s="240">
        <f>(C38/C36)^(1/5)-1</f>
        <v/>
      </c>
      <c r="D39" s="240">
        <f>(D38/D36)^(1/5)-1</f>
        <v/>
      </c>
      <c r="E39" s="240">
        <f>(E38/E36)^(1/5)-1</f>
        <v/>
      </c>
      <c r="F39" s="240">
        <f>(F38/F36)^(1/5)-1</f>
        <v/>
      </c>
      <c r="G39" s="240">
        <f>(G38/G36)^(1/5)-1</f>
        <v/>
      </c>
      <c r="H39" s="240">
        <f>(H38/H36)^(1/5)-1</f>
        <v/>
      </c>
    </row>
    <row r="40">
      <c r="B40" s="239" t="inlineStr">
        <is>
          <t>Implied Value/Share at this Entry EV (Rs.)</t>
        </is>
      </c>
      <c r="C40" s="252">
        <f>(C35-'Precedent Transactions'!$D$33/1000000)*1000000/'Precedent Transactions'!$D$30</f>
        <v/>
      </c>
      <c r="D40" s="252">
        <f>(D35-'Precedent Transactions'!$D$33/1000000)*1000000/'Precedent Transactions'!$D$30</f>
        <v/>
      </c>
      <c r="E40" s="252">
        <f>(E35-'Precedent Transactions'!$D$33/1000000)*1000000/'Precedent Transactions'!$D$30</f>
        <v/>
      </c>
      <c r="F40" s="252">
        <f>(F35-'Precedent Transactions'!$D$33/1000000)*1000000/'Precedent Transactions'!$D$30</f>
        <v/>
      </c>
      <c r="G40" s="252">
        <f>(G35-'Precedent Transactions'!$D$33/1000000)*1000000/'Precedent Transactions'!$D$30</f>
        <v/>
      </c>
      <c r="H40" s="252">
        <f>(H35-'Precedent Transactions'!$D$33/1000000)*1000000/'Precedent Transactions'!$D$30</f>
        <v/>
      </c>
    </row>
    <row r="41">
      <c r="B41" s="239" t="inlineStr">
        <is>
          <t>Year-5 Ending Debt After Cash Sweep (Rs.M) - used in Exit Equity below</t>
        </is>
      </c>
      <c r="C41" s="249">
        <f>G52</f>
        <v/>
      </c>
    </row>
    <row r="43">
      <c r="A43" s="230" t="inlineStr">
        <is>
          <t>##</t>
        </is>
      </c>
      <c r="B43" s="230" t="inlineStr">
        <is>
          <t>LTI Debt Paydown Schedule (100% Cash Sweep) - tightened, confirmed standard technique</t>
        </is>
      </c>
    </row>
    <row r="44">
      <c r="B44" s="229" t="inlineStr">
        <is>
          <t>Cash Available for Debt Repayment = CFO + CFI (Capex, already negative) each year, from this workbook's own forecast CFStmt (real modeled cash flows, not a new assumption) - swept 100% to debt, floored at 0. Replaces the earlier flat-debt simplification.</t>
        </is>
      </c>
    </row>
    <row r="46">
      <c r="B46" s="247" t="n"/>
      <c r="C46" s="247" t="inlineStr">
        <is>
          <t>Yr1 FY23E</t>
        </is>
      </c>
      <c r="D46" s="247" t="inlineStr">
        <is>
          <t>Yr2 FY24E</t>
        </is>
      </c>
      <c r="E46" s="247" t="inlineStr">
        <is>
          <t>Yr3 FY25E</t>
        </is>
      </c>
      <c r="F46" s="247" t="inlineStr">
        <is>
          <t>Yr4 FY26E</t>
        </is>
      </c>
      <c r="G46" s="247" t="inlineStr">
        <is>
          <t>Yr5 FY27E</t>
        </is>
      </c>
    </row>
    <row r="47">
      <c r="B47" s="236" t="inlineStr">
        <is>
          <t>Cash Flow from Operations (Rs.M)</t>
        </is>
      </c>
      <c r="C47" s="248">
        <f>'LTI_CFStmt'!C12/1000000</f>
        <v/>
      </c>
      <c r="D47" s="248">
        <f>'LTI_CFStmt'!D12/1000000</f>
        <v/>
      </c>
      <c r="E47" s="248">
        <f>'LTI_CFStmt'!E12/1000000</f>
        <v/>
      </c>
      <c r="F47" s="248">
        <f>'LTI_CFStmt'!F12/1000000</f>
        <v/>
      </c>
      <c r="G47" s="248">
        <f>'LTI_CFStmt'!G12/1000000</f>
        <v/>
      </c>
    </row>
    <row r="48">
      <c r="B48" s="236" t="inlineStr">
        <is>
          <t>Cash Flow from Investing / Capex (Rs.M)</t>
        </is>
      </c>
      <c r="C48" s="248">
        <f>'LTI_CFStmt'!C15/1000000</f>
        <v/>
      </c>
      <c r="D48" s="248">
        <f>'LTI_CFStmt'!D15/1000000</f>
        <v/>
      </c>
      <c r="E48" s="248">
        <f>'LTI_CFStmt'!E15/1000000</f>
        <v/>
      </c>
      <c r="F48" s="248">
        <f>'LTI_CFStmt'!F15/1000000</f>
        <v/>
      </c>
      <c r="G48" s="248">
        <f>'LTI_CFStmt'!G15/1000000</f>
        <v/>
      </c>
    </row>
    <row r="49">
      <c r="B49" s="236" t="inlineStr">
        <is>
          <t>Cash Available for Debt Repayment (Rs.M)</t>
        </is>
      </c>
      <c r="C49" s="237">
        <f>C47+C48</f>
        <v/>
      </c>
      <c r="D49" s="237">
        <f>D47+D48</f>
        <v/>
      </c>
      <c r="E49" s="237">
        <f>E47+E48</f>
        <v/>
      </c>
      <c r="F49" s="237">
        <f>F47+F48</f>
        <v/>
      </c>
      <c r="G49" s="237">
        <f>G47+G48</f>
        <v/>
      </c>
    </row>
    <row r="50">
      <c r="B50" s="236" t="inlineStr">
        <is>
          <t>Beginning Debt (Rs.M)</t>
        </is>
      </c>
      <c r="C50" s="237">
        <f>$C10</f>
        <v/>
      </c>
      <c r="D50" s="237">
        <f>C52</f>
        <v/>
      </c>
      <c r="E50" s="237">
        <f>D52</f>
        <v/>
      </c>
      <c r="F50" s="237">
        <f>E52</f>
        <v/>
      </c>
      <c r="G50" s="237">
        <f>F52</f>
        <v/>
      </c>
    </row>
    <row r="51">
      <c r="B51" s="236" t="inlineStr">
        <is>
          <t>Debt Repaid (capped at min of cash available or beginning balance)</t>
        </is>
      </c>
      <c r="C51" s="237">
        <f>MIN(MAX(C49,0),C50)</f>
        <v/>
      </c>
      <c r="D51" s="237">
        <f>MIN(MAX(D49,0),D50)</f>
        <v/>
      </c>
      <c r="E51" s="237">
        <f>MIN(MAX(E49,0),E50)</f>
        <v/>
      </c>
      <c r="F51" s="237">
        <f>MIN(MAX(F49,0),F50)</f>
        <v/>
      </c>
      <c r="G51" s="237">
        <f>MIN(MAX(G49,0),G50)</f>
        <v/>
      </c>
    </row>
    <row r="52">
      <c r="B52" s="239" t="inlineStr">
        <is>
          <t>Ending Debt (Rs.M)</t>
        </is>
      </c>
      <c r="C52" s="249">
        <f>C50-C51</f>
        <v/>
      </c>
      <c r="D52" s="249">
        <f>D50-D51</f>
        <v/>
      </c>
      <c r="E52" s="249">
        <f>E50-E51</f>
        <v/>
      </c>
      <c r="F52" s="249">
        <f>F50-F51</f>
        <v/>
      </c>
      <c r="G52" s="249">
        <f>G50-G51</f>
        <v/>
      </c>
    </row>
    <row r="53">
      <c r="B53" s="239" t="inlineStr">
        <is>
          <t>Year-5 Ending Debt After Cash Sweep (Rs.M) - used in Exit Equity below</t>
        </is>
      </c>
      <c r="C53" s="249">
        <f>G64</f>
        <v/>
      </c>
    </row>
    <row r="55">
      <c r="A55" s="230" t="inlineStr">
        <is>
          <t>##</t>
        </is>
      </c>
      <c r="B55" s="230" t="inlineStr">
        <is>
          <t>MT Debt Paydown Schedule (100% Cash Sweep) - tightened, confirmed standard technique</t>
        </is>
      </c>
    </row>
    <row r="56">
      <c r="B56" s="229" t="inlineStr">
        <is>
          <t>Cash Available for Debt Repayment = CFO + CFI (Capex, already negative) each year, from this workbook's own forecast CFStmt (real modeled cash flows, not a new assumption) - swept 100% to debt, floored at 0. Replaces the earlier flat-debt simplification.</t>
        </is>
      </c>
    </row>
    <row r="58">
      <c r="B58" s="247" t="n"/>
      <c r="C58" s="247" t="inlineStr">
        <is>
          <t>Yr1 FY23E</t>
        </is>
      </c>
      <c r="D58" s="247" t="inlineStr">
        <is>
          <t>Yr2 FY24E</t>
        </is>
      </c>
      <c r="E58" s="247" t="inlineStr">
        <is>
          <t>Yr3 FY25E</t>
        </is>
      </c>
      <c r="F58" s="247" t="inlineStr">
        <is>
          <t>Yr4 FY26E</t>
        </is>
      </c>
      <c r="G58" s="247" t="inlineStr">
        <is>
          <t>Yr5 FY27E</t>
        </is>
      </c>
    </row>
    <row r="59">
      <c r="B59" s="236" t="inlineStr">
        <is>
          <t>Cash Flow from Operations (Rs.M)</t>
        </is>
      </c>
      <c r="C59" s="248">
        <f>'MT_CFStmt'!C12/1000000</f>
        <v/>
      </c>
      <c r="D59" s="248">
        <f>'MT_CFStmt'!D12/1000000</f>
        <v/>
      </c>
      <c r="E59" s="248">
        <f>'MT_CFStmt'!E12/1000000</f>
        <v/>
      </c>
      <c r="F59" s="248">
        <f>'MT_CFStmt'!F12/1000000</f>
        <v/>
      </c>
      <c r="G59" s="248">
        <f>'MT_CFStmt'!G12/1000000</f>
        <v/>
      </c>
    </row>
    <row r="60">
      <c r="B60" s="236" t="inlineStr">
        <is>
          <t>Cash Flow from Investing / Capex (Rs.M)</t>
        </is>
      </c>
      <c r="C60" s="248">
        <f>'MT_CFStmt'!C15/1000000</f>
        <v/>
      </c>
      <c r="D60" s="248">
        <f>'MT_CFStmt'!D15/1000000</f>
        <v/>
      </c>
      <c r="E60" s="248">
        <f>'MT_CFStmt'!E15/1000000</f>
        <v/>
      </c>
      <c r="F60" s="248">
        <f>'MT_CFStmt'!F15/1000000</f>
        <v/>
      </c>
      <c r="G60" s="248">
        <f>'MT_CFStmt'!G15/1000000</f>
        <v/>
      </c>
    </row>
    <row r="61">
      <c r="B61" s="236" t="inlineStr">
        <is>
          <t>Cash Available for Debt Repayment (Rs.M)</t>
        </is>
      </c>
      <c r="C61" s="237">
        <f>C59+C60</f>
        <v/>
      </c>
      <c r="D61" s="237">
        <f>D59+D60</f>
        <v/>
      </c>
      <c r="E61" s="237">
        <f>E59+E60</f>
        <v/>
      </c>
      <c r="F61" s="237">
        <f>F59+F60</f>
        <v/>
      </c>
      <c r="G61" s="237">
        <f>G59+G60</f>
        <v/>
      </c>
    </row>
    <row r="62">
      <c r="B62" s="236" t="inlineStr">
        <is>
          <t>Beginning Debt (Rs.M)</t>
        </is>
      </c>
      <c r="C62" s="237">
        <f>$C30</f>
        <v/>
      </c>
      <c r="D62" s="237">
        <f>C64</f>
        <v/>
      </c>
      <c r="E62" s="237">
        <f>D64</f>
        <v/>
      </c>
      <c r="F62" s="237">
        <f>E64</f>
        <v/>
      </c>
      <c r="G62" s="237">
        <f>F64</f>
        <v/>
      </c>
    </row>
    <row r="63">
      <c r="B63" s="236" t="inlineStr">
        <is>
          <t>Debt Repaid (capped at min of cash available or beginning balance)</t>
        </is>
      </c>
      <c r="C63" s="237">
        <f>MIN(MAX(C61,0),C62)</f>
        <v/>
      </c>
      <c r="D63" s="237">
        <f>MIN(MAX(D61,0),D62)</f>
        <v/>
      </c>
      <c r="E63" s="237">
        <f>MIN(MAX(E61,0),E62)</f>
        <v/>
      </c>
      <c r="F63" s="237">
        <f>MIN(MAX(F61,0),F62)</f>
        <v/>
      </c>
      <c r="G63" s="237">
        <f>MIN(MAX(G61,0),G62)</f>
        <v/>
      </c>
    </row>
    <row r="64">
      <c r="B64" s="239" t="inlineStr">
        <is>
          <t>Ending Debt (Rs.M)</t>
        </is>
      </c>
      <c r="C64" s="249">
        <f>C62-C63</f>
        <v/>
      </c>
      <c r="D64" s="249">
        <f>D62-D63</f>
        <v/>
      </c>
      <c r="E64" s="249">
        <f>E62-E63</f>
        <v/>
      </c>
      <c r="F64" s="249">
        <f>F62-F63</f>
        <v/>
      </c>
      <c r="G64" s="249">
        <f>G62-G63</f>
        <v/>
      </c>
    </row>
  </sheetData>
  <pageMargins left="0.75" right="0.75" top="1" bottom="1" header="0.5" footer="0.5"/>
</worksheet>
</file>

<file path=xl/worksheets/sheet13.xml><?xml version="1.0" encoding="utf-8"?>
<worksheet xmlns="http://schemas.openxmlformats.org/spreadsheetml/2006/main">
  <sheetPr>
    <tabColor rgb="0000978D"/>
    <outlinePr summaryBelow="1" summaryRight="1"/>
    <pageSetUpPr/>
  </sheetPr>
  <dimension ref="A1:D51"/>
  <sheetViews>
    <sheetView workbookViewId="0">
      <selection activeCell="A1" sqref="A1"/>
    </sheetView>
  </sheetViews>
  <sheetFormatPr baseColWidth="8" defaultRowHeight="14.5"/>
  <cols>
    <col width="50" customWidth="1" style="203" min="1" max="1"/>
    <col width="16" customWidth="1" style="203" min="2" max="3"/>
    <col width="60" customWidth="1" style="203" min="4" max="4"/>
  </cols>
  <sheetData>
    <row r="1" ht="18" customHeight="1" s="203">
      <c r="A1" s="137" t="inlineStr">
        <is>
          <t># Synergy Analysis - Buy-Side Estimate</t>
        </is>
      </c>
    </row>
    <row r="2" ht="60" customHeight="1" s="203">
      <c r="A2" s="190" t="inlineStr">
        <is>
          <t>SECONDARY / ILLUSTRATIVE - see the 'Pro Forma &amp; Accretion-Dilution' sheet for the REAL, disclosed combined-entity figures (use that sheet as the primary reference); this one is the bottom-up methodology a modeler would use in the absence of actual disclosed synergy figures, built before the FY23 Board Report's actual results were consulted. IMPORTANT: Neither the original May 6, 2022 deal announcement (PRNewswire) nor the FY23 board report disclose specific dollar synergy targets - only qualitative language ("scale benefits," "unlock synergies through scale, cross-vertical expertise, and talent pool"). Everything below marked ESTIMATE (yellow fill) is bottom-up analysis built from real filed cost/revenue bases, NOT a management-disclosed figure. Facts (blue) are sourced; assumed realization percentages (red italic) are explicitly flagged judgment calls.</t>
        </is>
      </c>
    </row>
    <row r="4">
      <c r="A4" s="139" t="inlineStr">
        <is>
          <t>Synergy</t>
        </is>
      </c>
      <c r="B4" s="139" t="inlineStr">
        <is>
          <t>Combined Base (Rs. Mn)</t>
        </is>
      </c>
      <c r="C4" s="139" t="inlineStr">
        <is>
          <t>Assumed Realization</t>
        </is>
      </c>
      <c r="D4" s="139" t="inlineStr">
        <is>
          <t>Rs. Mn / Note</t>
        </is>
      </c>
    </row>
    <row r="6">
      <c r="A6" s="143" t="inlineStr">
        <is>
          <t>## 1. COST SYNERGY - Subcontractor / combined bench pooling</t>
        </is>
      </c>
    </row>
    <row r="7">
      <c r="A7" s="191" t="inlineStr">
        <is>
          <t>LTI subcontractor cost FY22 (8.4% of revenue)</t>
        </is>
      </c>
      <c r="B7" s="192" t="n">
        <v>13171</v>
      </c>
      <c r="D7" s="215" t="inlineStr">
        <is>
          <t>LTI FY22 AR</t>
        </is>
      </c>
    </row>
    <row r="8" ht="26" customHeight="1" s="203">
      <c r="A8" s="191" t="inlineStr">
        <is>
          <t>Mindtree subcontractor cost FY22 (10.2% of revenue, +88.3% YoY)</t>
        </is>
      </c>
      <c r="B8" s="192" t="n">
        <v>10788</v>
      </c>
      <c r="D8" s="215" t="inlineStr">
        <is>
          <t>Mindtree FY22 AR, Note 24</t>
        </is>
      </c>
    </row>
    <row r="9" ht="26" customHeight="1" s="203">
      <c r="A9" s="193" t="inlineStr">
        <is>
          <t>Combined subcontractor base - ESTIMATE at 12% reduction via internal bench redeployment</t>
        </is>
      </c>
      <c r="B9" s="194" t="n">
        <v>23959</v>
      </c>
      <c r="C9" s="195" t="n">
        <v>0.12</v>
      </c>
      <c r="D9" s="196">
        <f>B9*C9</f>
        <v/>
      </c>
    </row>
    <row r="10" ht="31.5" customHeight="1" s="203">
      <c r="A10" s="215" t="inlineStr">
        <is>
          <t>ESTIMATE, not disclosed. Rationale: combined ~82,000-employee bench can absorb overflow demand that either company alone had to fill externally. 12% is a judgment call, not sourced.</t>
        </is>
      </c>
    </row>
    <row r="11">
      <c r="A11" s="143" t="inlineStr">
        <is>
          <t>## 2. COST SYNERGY - Real estate / delivery center consolidation</t>
        </is>
      </c>
    </row>
    <row r="12" ht="38.5" customHeight="1" s="203">
      <c r="A12" s="191" t="inlineStr">
        <is>
          <t>LTI India cities (10): Mumbai, Navi Mumbai, Bengaluru, Pune, Chennai, Hyderabad, Noida, Nagpur, Coimbatore, Mysuru</t>
        </is>
      </c>
      <c r="D12" s="215" t="inlineStr">
        <is>
          <t>LTI FY22 AR</t>
        </is>
      </c>
    </row>
    <row r="13" ht="38.5" customHeight="1" s="203">
      <c r="A13" s="191" t="inlineStr">
        <is>
          <t>Mindtree India cities (10): Bengaluru, Bhubaneswar, Chennai, Coimbatore, Hyderabad, Kolkata, Mumbai, Noida, Pune, Warangal</t>
        </is>
      </c>
      <c r="D13" s="215" t="inlineStr">
        <is>
          <t>Mindtree FY22 AR</t>
        </is>
      </c>
    </row>
    <row r="14" ht="38.5" customHeight="1" s="203">
      <c r="A14" s="191" t="inlineStr">
        <is>
          <t>OVERLAP: 7 of 10 cities exact match (Mumbai, Bengaluru, Pune, Chennai, Hyderabad, Noida, Coimbatore) + Krakow/Paris/Copenhagen internationally</t>
        </is>
      </c>
      <c r="D14" s="215" t="inlineStr">
        <is>
          <t>Cross-checked directly from both companies' own location lists</t>
        </is>
      </c>
    </row>
    <row r="15" ht="26" customHeight="1" s="203">
      <c r="A15" s="191" t="inlineStr">
        <is>
          <t>Combined lease liabilities FY22 (LTI 7,836 + Mindtree 5,557)</t>
        </is>
      </c>
      <c r="B15" s="192" t="n">
        <v>13393</v>
      </c>
      <c r="D15" s="215" t="inlineStr">
        <is>
          <t>LTI + Mindtree FY22 AR, consolidated lease liabilities</t>
        </is>
      </c>
    </row>
    <row r="16">
      <c r="A16" s="193" t="inlineStr">
        <is>
          <t>ESTIMATE at 15% consolidation of overlapping footprint</t>
        </is>
      </c>
      <c r="B16" s="194" t="n">
        <v>13393</v>
      </c>
      <c r="C16" s="195" t="n">
        <v>0.15</v>
      </c>
      <c r="D16" s="196">
        <f>B16*C16</f>
        <v/>
      </c>
    </row>
    <row r="17" ht="41.5" customHeight="1" s="203">
      <c r="A17" s="215" t="inlineStr">
        <is>
          <t>ESTIMATE. Deliberately conservative vs. the 70% city-overlap ratio: a merged company with ~130,000 combined employees needs MORE total seats than either company held alone - this is not a simple additive consolidation, so 15% (not 70%) is used.</t>
        </is>
      </c>
    </row>
    <row r="18">
      <c r="A18" s="143" t="inlineStr">
        <is>
          <t>## 3. COST SYNERGY - Public-company overhead de-duplication</t>
        </is>
      </c>
    </row>
    <row r="19" ht="21.5" customHeight="1" s="203">
      <c r="A19" s="215" t="inlineStr">
        <is>
          <t>One listed-company overhead eliminated (board, one audit, one IR function, one listing compliance) instead of two separately-listed entities.</t>
        </is>
      </c>
    </row>
    <row r="20" ht="65.5" customHeight="1" s="203">
      <c r="A20" s="190" t="inlineStr">
        <is>
          <t>NOT QUANTIFIED - no board/IR cost breakdown disclosed by either company at the granularity needed. Directionally real but likely small (low hundreds of Rs. Million) relative to categories 1-2 for a company this size. Flagged as real but not sized, rather than guessed.</t>
        </is>
      </c>
    </row>
    <row r="22">
      <c r="A22" s="143" t="inlineStr">
        <is>
          <t>## 4. REVENUE SYNERGY - Cross-vertical selling</t>
        </is>
      </c>
    </row>
    <row r="23">
      <c r="A23" s="191" t="inlineStr">
        <is>
          <t>LTI BFSI concentration (largest segment)</t>
        </is>
      </c>
      <c r="D23" s="215" t="inlineStr">
        <is>
          <t>46.3% of FY22 revenue - LTI FY22 AR</t>
        </is>
      </c>
    </row>
    <row r="24" ht="21.5" customHeight="1" s="203">
      <c r="A24" s="191" t="inlineStr">
        <is>
          <t>Mindtree CMT concentration (largest) / BFSI only</t>
        </is>
      </c>
      <c r="D24" s="215" t="inlineStr">
        <is>
          <t>43% CMT / 18% BFSI of FY22 revenue - Mindtree FY22 AR - genuinely complementary, not overlapping</t>
        </is>
      </c>
    </row>
    <row r="25" ht="26" customHeight="1" s="203">
      <c r="A25" s="193" t="inlineStr">
        <is>
          <t>ESTIMATE: 2% of combined FY22 revenue as illustrative cross-sell potential by Year 2-3</t>
        </is>
      </c>
      <c r="B25" s="194" t="n">
        <v>261940</v>
      </c>
      <c r="C25" s="195" t="n">
        <v>0.02</v>
      </c>
      <c r="D25" s="196">
        <f>B25*C25</f>
        <v/>
      </c>
    </row>
    <row r="26" ht="41.5" customHeight="1" s="203">
      <c r="A26" s="215" t="inlineStr">
        <is>
          <t>ESTIMATE, high uncertainty. Combined FY22 revenue = LTI 156,687 + Mindtree 105,253. 2% is illustrative only - no deal-pipeline data to ground this further. Flagged as the least reliable number on this sheet, included for completeness rather than confidence.</t>
        </is>
      </c>
    </row>
    <row r="27">
      <c r="A27" s="143" t="inlineStr">
        <is>
          <t>## 5. REVENUE SYNERGY - Larger deal capacity (qualitative only, not sized)</t>
        </is>
      </c>
    </row>
    <row r="28" ht="41.5" customHeight="1" s="203">
      <c r="A28" s="215" t="inlineStr">
        <is>
          <t>Combined entity crosses into 5th-largest-by-market-cap tier, qualifying for RFPs with minimum-scale requirements neither could bid on alone. Directionally real (matches the stated rationale) but no deal-pipeline data exists to size it - left qualitative rather than forcing a number.</t>
        </is>
      </c>
    </row>
    <row r="30">
      <c r="A30" s="143" t="inlineStr">
        <is>
          <t>## 6. BALANCE SHEET SYNERGY - combined cash (optionality, not an annual run-rate synergy)</t>
        </is>
      </c>
    </row>
    <row r="31" ht="21.5" customHeight="1" s="203">
      <c r="A31" s="191" t="inlineStr">
        <is>
          <t>Combined net cash FY22 (LTI 34,238 + Mindtree 30,463)</t>
        </is>
      </c>
      <c r="B31" s="192" t="n">
        <v>64701</v>
      </c>
      <c r="D31" s="215" t="inlineStr">
        <is>
          <t>Enables larger strategic/M&amp;A investments per press release - a stock of capital, not a recurring P&amp;L synergy, so excluded from the total below</t>
        </is>
      </c>
    </row>
    <row r="32">
      <c r="A32" s="143" t="inlineStr">
        <is>
          <t>## 7. RISK CHECK - potential dis-synergy (client conflict)</t>
        </is>
      </c>
    </row>
    <row r="33" ht="65.5" customHeight="1" s="203">
      <c r="A33" s="190" t="inlineStr">
        <is>
          <t>Could not verify: do LTI and Mindtree serve directly competing clients in the same account (e.g. two rival banks)? Client names are not disclosed at that granularity in either annual report. Flagged as an unresolved risk, not assumed either way.</t>
        </is>
      </c>
    </row>
    <row r="35">
      <c r="A35" s="143" t="inlineStr">
        <is>
          <t>## TOTAL ESTIMATED ANNUAL SYNERGY (categories 1, 2, 4 only - the sized ones)</t>
        </is>
      </c>
    </row>
    <row r="36" ht="39.5" customHeight="1" s="203">
      <c r="A36" s="197" t="inlineStr">
        <is>
          <t>Sum of Category 1 + 2 + 4 estimates (excludes category 3 and 5, left unquantified; excludes category 6, not a run-rate item)</t>
        </is>
      </c>
      <c r="D36" s="198">
        <f>D9+D16+D25</f>
        <v/>
      </c>
    </row>
    <row r="37">
      <c r="A37" s="140" t="inlineStr">
        <is>
          <t>As % of combined FY22 revenue (261,940)</t>
        </is>
      </c>
      <c r="D37" s="199">
        <f>D36/261940</f>
        <v/>
      </c>
    </row>
    <row r="39">
      <c r="A39" s="358" t="inlineStr">
        <is>
          <t>## 8. RAMP-UP PACING &amp; ONE-TIME INTEGRATION COST (audit gap #12c)</t>
        </is>
      </c>
    </row>
    <row r="40">
      <c r="A40" s="359" t="inlineStr">
        <is>
          <t>Applies only to this bottom-up illustrative estimate (Category 1+2+4 total, D36) and the Stress Test's synergy perpetuity - NOT to Pro Forma &amp; Accretion-Dilution, which is grounded in actual disclosed combined PAT and doesn't have a 'synergy ramp' to pace (see Task 27 build_log entry for why). Standard IB integration-modeling convention: synergies phase in over 3 years rather than hit full run-rate on Day 1, and a real cash integration cost is incurred to realize them - not independently re-verified against the notebook this session (auth was stale); used as a widely-cited generic convention, consistent with what the Task 26 audit reported, not freshly re-sourced.</t>
        </is>
      </c>
    </row>
    <row r="42">
      <c r="A42" s="358" t="inlineStr">
        <is>
          <t>Ramp-Up Schedule</t>
        </is>
      </c>
    </row>
    <row r="43">
      <c r="B43" s="360" t="inlineStr">
        <is>
          <t>Year 1</t>
        </is>
      </c>
      <c r="C43" s="360" t="inlineStr">
        <is>
          <t>Year 2</t>
        </is>
      </c>
      <c r="D43" s="360" t="inlineStr">
        <is>
          <t>Year 3+ (full run-rate)</t>
        </is>
      </c>
    </row>
    <row r="44">
      <c r="A44" s="361" t="inlineStr">
        <is>
          <t>% of full run-rate synergy (D36) realized</t>
        </is>
      </c>
      <c r="B44" s="362" t="n">
        <v>0.33</v>
      </c>
      <c r="C44" s="362" t="n">
        <v>0.66</v>
      </c>
      <c r="D44" s="362" t="n">
        <v>1</v>
      </c>
    </row>
    <row r="45">
      <c r="A45" s="361" t="inlineStr">
        <is>
          <t>Synergy realized (Rs.Mn)</t>
        </is>
      </c>
      <c r="B45" s="363">
        <f>$D$36*B44</f>
        <v/>
      </c>
      <c r="C45" s="363">
        <f>$D$36*C44</f>
        <v/>
      </c>
      <c r="D45" s="363">
        <f>$D$36*D44</f>
        <v/>
      </c>
    </row>
    <row r="47">
      <c r="A47" s="358" t="inlineStr">
        <is>
          <t>One-Time Integration Cost</t>
        </is>
      </c>
    </row>
    <row r="48">
      <c r="A48" s="361" t="inlineStr">
        <is>
          <t>Multiple of full annual run-rate synergy (typical 1.1-1.2x IT-integration benchmark, midpoint used)</t>
        </is>
      </c>
      <c r="B48" s="364" t="n">
        <v>1.15</v>
      </c>
    </row>
    <row r="49">
      <c r="A49" s="361" t="inlineStr">
        <is>
          <t>Integration Cost (Rs.Mn) - assumed incurred upfront at deal close</t>
        </is>
      </c>
      <c r="B49" s="365">
        <f>$D$36*B48</f>
        <v/>
      </c>
    </row>
    <row r="51">
      <c r="A51" s="359" t="inlineStr">
        <is>
          <t>Reading this: on the existing D36 estimate (Rs.10,123M/year full run-rate), the ramp implies Rs.3,341M realized in Year 1 and Rs.6,681M in Year 2 before reaching full run-rate in Year 3, against a one-time integration cost of roughly Rs.11,641M paid upfront - i.e. the integration cost alone is larger than one full year of realized synergy, which is the normal, expected shape for this kind of deal (cost precedes benefit) rather than a red flag specific to this one. See 'Stress Test - Exchange Ratio' rows 40+ for how this changes (or doesn't change) the Bear/Base/Bull exchange-ratio bounds versus the original flat-perpetuity treatment.</t>
        </is>
      </c>
    </row>
  </sheetData>
  <pageMargins left="0.75" right="0.75" top="1" bottom="1" header="0.5" footer="0.5"/>
</worksheet>
</file>

<file path=xl/worksheets/sheet14.xml><?xml version="1.0" encoding="utf-8"?>
<worksheet xmlns="http://schemas.openxmlformats.org/spreadsheetml/2006/main">
  <sheetPr>
    <tabColor rgb="001F4E78"/>
    <outlinePr summaryBelow="1" summaryRight="1"/>
    <pageSetUpPr/>
  </sheetPr>
  <dimension ref="A1:J131"/>
  <sheetViews>
    <sheetView showGridLines="0" workbookViewId="0">
      <selection activeCell="A1" sqref="A1"/>
    </sheetView>
  </sheetViews>
  <sheetFormatPr baseColWidth="8" defaultRowHeight="14.5"/>
  <cols>
    <col width="1.1796875" customWidth="1" style="203" min="1" max="3"/>
    <col width="55" customWidth="1" style="203" min="4" max="4"/>
    <col width="20" customWidth="1" style="203" min="5" max="10"/>
  </cols>
  <sheetData>
    <row r="1" ht="24" customHeight="1" s="203">
      <c r="A1" s="257" t="inlineStr">
        <is>
          <t>LTIMindtree  —  Derived Financial Model</t>
        </is>
      </c>
    </row>
    <row r="2">
      <c r="A2" s="258" t="inlineStr">
        <is>
          <t>Green = cross-sheet formula (XLOOKUP against raw data)   |   Black = same-sheet formula (subtotal/total)</t>
        </is>
      </c>
    </row>
    <row r="5" ht="15.5" customHeight="1" s="203">
      <c r="A5" s="2" t="inlineStr">
        <is>
          <t>#</t>
        </is>
      </c>
      <c r="B5" s="3" t="inlineStr">
        <is>
          <t>Statement of Profit and Loss</t>
        </is>
      </c>
      <c r="E5" s="4" t="inlineStr">
        <is>
          <t>FY2017</t>
        </is>
      </c>
      <c r="F5" s="4" t="inlineStr">
        <is>
          <t>FY2018</t>
        </is>
      </c>
      <c r="G5" s="4" t="inlineStr">
        <is>
          <t>FY2019</t>
        </is>
      </c>
      <c r="H5" s="4" t="inlineStr">
        <is>
          <t>FY2020</t>
        </is>
      </c>
      <c r="I5" s="4" t="inlineStr">
        <is>
          <t>FY2021</t>
        </is>
      </c>
      <c r="J5" s="4" t="inlineStr">
        <is>
          <t>FY2022</t>
        </is>
      </c>
    </row>
    <row r="6">
      <c r="B6" s="5" t="inlineStr">
        <is>
          <t>Income [Abstract]</t>
        </is>
      </c>
    </row>
    <row r="7">
      <c r="C7" s="6" t="inlineStr">
        <is>
          <t>Total revenue from operations</t>
        </is>
      </c>
      <c r="E7" s="7">
        <f>_xlfn.XLOOKUP("RevenueFromOperations",LTI_HS_CONSOLIDATED!$C:$C,LTI_HS_CONSOLIDATED!D:D,0,0,1)</f>
        <v/>
      </c>
      <c r="F7" s="7">
        <f>_xlfn.XLOOKUP("RevenueFromOperations",LTI_HS_CONSOLIDATED!$C:$C,LTI_HS_CONSOLIDATED!E:E,0,0,1)</f>
        <v/>
      </c>
      <c r="G7" s="7">
        <f>_xlfn.XLOOKUP("RevenueFromOperations",LTI_HS_CONSOLIDATED!$C:$C,LTI_HS_CONSOLIDATED!F:F,0,0,1)</f>
        <v/>
      </c>
      <c r="H7" s="7">
        <f>_xlfn.XLOOKUP("RevenueFromOperations",LTI_HS_CONSOLIDATED!$C:$C,LTI_HS_CONSOLIDATED!G:G,0,0,1)</f>
        <v/>
      </c>
      <c r="I7" s="7">
        <f>_xlfn.XLOOKUP("RevenueFromOperations",LTI_HS_CONSOLIDATED!$C:$C,LTI_HS_CONSOLIDATED!H:H,0,0,1)</f>
        <v/>
      </c>
      <c r="J7" s="7">
        <f>_xlfn.XLOOKUP("RevenueFromOperations",LTI_HS_CONSOLIDATED!$C:$C,LTI_HS_CONSOLIDATED!I:I,0,0,1)</f>
        <v/>
      </c>
    </row>
    <row r="8">
      <c r="C8" s="6" t="inlineStr">
        <is>
          <t>Total other income</t>
        </is>
      </c>
      <c r="E8" s="7">
        <f>_xlfn.XLOOKUP("OtherIncome",LTI_HS_CONSOLIDATED!$C:$C,LTI_HS_CONSOLIDATED!D:D,0,0,1)</f>
        <v/>
      </c>
      <c r="F8" s="7">
        <f>_xlfn.XLOOKUP("OtherIncome",LTI_HS_CONSOLIDATED!$C:$C,LTI_HS_CONSOLIDATED!E:E,0,0,1)</f>
        <v/>
      </c>
      <c r="G8" s="7">
        <f>_xlfn.XLOOKUP("OtherIncome",LTI_HS_CONSOLIDATED!$C:$C,LTI_HS_CONSOLIDATED!F:F,0,0,1)</f>
        <v/>
      </c>
      <c r="H8" s="7">
        <f>_xlfn.XLOOKUP("OtherIncome",LTI_HS_CONSOLIDATED!$C:$C,LTI_HS_CONSOLIDATED!G:G,0,0,1)</f>
        <v/>
      </c>
      <c r="I8" s="7">
        <f>_xlfn.XLOOKUP("OtherIncome",LTI_HS_CONSOLIDATED!$C:$C,LTI_HS_CONSOLIDATED!H:H,0,0,1)</f>
        <v/>
      </c>
      <c r="J8" s="7">
        <f>_xlfn.XLOOKUP("OtherIncome",LTI_HS_CONSOLIDATED!$C:$C,LTI_HS_CONSOLIDATED!I:I,0,0,1)</f>
        <v/>
      </c>
    </row>
    <row r="9">
      <c r="C9" s="8" t="inlineStr">
        <is>
          <t>Total income</t>
        </is>
      </c>
      <c r="E9" s="9">
        <f>IFERROR(SUM(E7:E8),0)</f>
        <v/>
      </c>
      <c r="F9" s="9">
        <f>IFERROR(SUM(F7:F8),0)</f>
        <v/>
      </c>
      <c r="G9" s="9">
        <f>IFERROR(SUM(G7:G8),0)</f>
        <v/>
      </c>
      <c r="H9" s="9">
        <f>IFERROR(SUM(H7:H8),0)</f>
        <v/>
      </c>
      <c r="I9" s="9">
        <f>IFERROR(SUM(I7:I8),0)</f>
        <v/>
      </c>
      <c r="J9" s="9">
        <f>IFERROR(SUM(J7:J8),0)</f>
        <v/>
      </c>
    </row>
    <row r="10">
      <c r="B10" s="5" t="inlineStr">
        <is>
          <t>COGS</t>
        </is>
      </c>
    </row>
    <row r="11">
      <c r="B11" s="10" t="inlineStr">
        <is>
          <t>Gross Profit</t>
        </is>
      </c>
      <c r="E11" s="11">
        <f>IFERROR(E9,0)</f>
        <v/>
      </c>
      <c r="F11" s="11">
        <f>IFERROR(F9,0)</f>
        <v/>
      </c>
      <c r="G11" s="11">
        <f>IFERROR(G9,0)</f>
        <v/>
      </c>
      <c r="H11" s="11">
        <f>IFERROR(H9,0)</f>
        <v/>
      </c>
      <c r="I11" s="11">
        <f>IFERROR(I9,0)</f>
        <v/>
      </c>
      <c r="J11" s="11">
        <f>IFERROR(J9,0)</f>
        <v/>
      </c>
    </row>
    <row r="12">
      <c r="C12" s="6" t="inlineStr">
        <is>
          <t>SG&amp;A</t>
        </is>
      </c>
      <c r="E12" s="7">
        <f>-_xlfn.XLOOKUP("EmployeeBenefitExpense",LTI_HS_CONSOLIDATED!$C:$C,LTI_HS_CONSOLIDATED!D:D,0,0,1)-_xlfn.XLOOKUP("ExpenditureOnProductionTransportationAndOtherExpenditurePertainingToExplorationAndProductionActivities",LTI_HS_CONSOLIDATED!$C:$C,LTI_HS_CONSOLIDATED!D:D,0,0,1)</f>
        <v/>
      </c>
      <c r="F12" s="7">
        <f>-_xlfn.XLOOKUP("EmployeeBenefitExpense",LTI_HS_CONSOLIDATED!$C:$C,LTI_HS_CONSOLIDATED!E:E,0,0,1)-_xlfn.XLOOKUP("ExpenditureOnProductionTransportationAndOtherExpenditurePertainingToExplorationAndProductionActivities",LTI_HS_CONSOLIDATED!$C:$C,LTI_HS_CONSOLIDATED!E:E,0,0,1)</f>
        <v/>
      </c>
      <c r="G12" s="7">
        <f>-_xlfn.XLOOKUP("EmployeeBenefitExpense",LTI_HS_CONSOLIDATED!$C:$C,LTI_HS_CONSOLIDATED!F:F,0,0,1)-_xlfn.XLOOKUP("ExpenditureOnProductionTransportationAndOtherExpenditurePertainingToExplorationAndProductionActivities",LTI_HS_CONSOLIDATED!$C:$C,LTI_HS_CONSOLIDATED!F:F,0,0,1)</f>
        <v/>
      </c>
      <c r="H12" s="7">
        <f>-_xlfn.XLOOKUP("EmployeeBenefitExpense",LTI_HS_CONSOLIDATED!$C:$C,LTI_HS_CONSOLIDATED!G:G,0,0,1)-_xlfn.XLOOKUP("ExpenditureOnProductionTransportationAndOtherExpenditurePertainingToExplorationAndProductionActivities",LTI_HS_CONSOLIDATED!$C:$C,LTI_HS_CONSOLIDATED!G:G,0,0,1)</f>
        <v/>
      </c>
      <c r="I12" s="7">
        <f>-_xlfn.XLOOKUP("EmployeeBenefitExpense",LTI_HS_CONSOLIDATED!$C:$C,LTI_HS_CONSOLIDATED!H:H,0,0,1)-_xlfn.XLOOKUP("ExpenditureOnProductionTransportationAndOtherExpenditurePertainingToExplorationAndProductionActivities",LTI_HS_CONSOLIDATED!$C:$C,LTI_HS_CONSOLIDATED!H:H,0,0,1)</f>
        <v/>
      </c>
      <c r="J12" s="7">
        <f>-_xlfn.XLOOKUP("EmployeeBenefitExpense",LTI_HS_CONSOLIDATED!$C:$C,LTI_HS_CONSOLIDATED!I:I,0,0,1)-_xlfn.XLOOKUP("ExpenditureOnProductionTransportationAndOtherExpenditurePertainingToExplorationAndProductionActivities",LTI_HS_CONSOLIDATED!$C:$C,LTI_HS_CONSOLIDATED!I:I,0,0,1)</f>
        <v/>
      </c>
    </row>
    <row r="13">
      <c r="C13" s="6" t="inlineStr">
        <is>
          <t>Total other expenses</t>
        </is>
      </c>
      <c r="E13" s="7">
        <f>-_xlfn.XLOOKUP("OtherExpenses",LTI_HS_CONSOLIDATED!$C:$C,LTI_HS_CONSOLIDATED!D:D,0,0,1)</f>
        <v/>
      </c>
      <c r="F13" s="7">
        <f>-_xlfn.XLOOKUP("OtherExpenses",LTI_HS_CONSOLIDATED!$C:$C,LTI_HS_CONSOLIDATED!E:E,0,0,1)</f>
        <v/>
      </c>
      <c r="G13" s="7">
        <f>-_xlfn.XLOOKUP("OtherExpenses",LTI_HS_CONSOLIDATED!$C:$C,LTI_HS_CONSOLIDATED!F:F,0,0,1)</f>
        <v/>
      </c>
      <c r="H13" s="7">
        <f>-_xlfn.XLOOKUP("OtherExpenses",LTI_HS_CONSOLIDATED!$C:$C,LTI_HS_CONSOLIDATED!G:G,0,0,1)</f>
        <v/>
      </c>
      <c r="I13" s="7">
        <f>-_xlfn.XLOOKUP("OtherExpenses",LTI_HS_CONSOLIDATED!$C:$C,LTI_HS_CONSOLIDATED!H:H,0,0,1)</f>
        <v/>
      </c>
      <c r="J13" s="7">
        <f>-_xlfn.XLOOKUP("OtherExpenses",LTI_HS_CONSOLIDATED!$C:$C,LTI_HS_CONSOLIDATED!I:I,0,0,1)</f>
        <v/>
      </c>
    </row>
    <row r="14">
      <c r="B14" s="10" t="inlineStr">
        <is>
          <t>EBITDA</t>
        </is>
      </c>
      <c r="E14" s="11">
        <f>IFERROR(SUM(E11:E13),0)</f>
        <v/>
      </c>
      <c r="F14" s="11">
        <f>IFERROR(SUM(F11:F13),0)</f>
        <v/>
      </c>
      <c r="G14" s="11">
        <f>IFERROR(SUM(G11:G13),0)</f>
        <v/>
      </c>
      <c r="H14" s="11">
        <f>IFERROR(SUM(H11:H13),0)</f>
        <v/>
      </c>
      <c r="I14" s="11">
        <f>IFERROR(SUM(I11:I13),0)</f>
        <v/>
      </c>
      <c r="J14" s="11">
        <f>IFERROR(SUM(J11:J13),0)</f>
        <v/>
      </c>
    </row>
    <row r="15">
      <c r="C15" s="6" t="inlineStr">
        <is>
          <t>D&amp;A</t>
        </is>
      </c>
      <c r="E15" s="7">
        <f>-_xlfn.XLOOKUP("DepreciationDepletionAndAmortisationExpense",LTI_HS_CONSOLIDATED!$C:$C,LTI_HS_CONSOLIDATED!D:D,0,0,1)</f>
        <v/>
      </c>
      <c r="F15" s="7">
        <f>-_xlfn.XLOOKUP("DepreciationDepletionAndAmortisationExpense",LTI_HS_CONSOLIDATED!$C:$C,LTI_HS_CONSOLIDATED!E:E,0,0,1)</f>
        <v/>
      </c>
      <c r="G15" s="7">
        <f>-_xlfn.XLOOKUP("DepreciationDepletionAndAmortisationExpense",LTI_HS_CONSOLIDATED!$C:$C,LTI_HS_CONSOLIDATED!F:F,0,0,1)</f>
        <v/>
      </c>
      <c r="H15" s="7">
        <f>-_xlfn.XLOOKUP("DepreciationDepletionAndAmortisationExpense",LTI_HS_CONSOLIDATED!$C:$C,LTI_HS_CONSOLIDATED!G:G,0,0,1)</f>
        <v/>
      </c>
      <c r="I15" s="7">
        <f>-_xlfn.XLOOKUP("DepreciationDepletionAndAmortisationExpense",LTI_HS_CONSOLIDATED!$C:$C,LTI_HS_CONSOLIDATED!H:H,0,0,1)</f>
        <v/>
      </c>
      <c r="J15" s="7">
        <f>-_xlfn.XLOOKUP("DepreciationDepletionAndAmortisationExpense",LTI_HS_CONSOLIDATED!$C:$C,LTI_HS_CONSOLIDATED!I:I,0,0,1)</f>
        <v/>
      </c>
    </row>
    <row r="16">
      <c r="B16" s="10" t="inlineStr">
        <is>
          <t>EBIT</t>
        </is>
      </c>
      <c r="E16" s="11">
        <f>IFERROR(SUM(E14:E15),0)</f>
        <v/>
      </c>
      <c r="F16" s="11">
        <f>IFERROR(SUM(F14:F15),0)</f>
        <v/>
      </c>
      <c r="G16" s="11">
        <f>IFERROR(SUM(G14:G15),0)</f>
        <v/>
      </c>
      <c r="H16" s="11">
        <f>IFERROR(SUM(H14:H15),0)</f>
        <v/>
      </c>
      <c r="I16" s="11">
        <f>IFERROR(SUM(I14:I15),0)</f>
        <v/>
      </c>
      <c r="J16" s="11">
        <f>IFERROR(SUM(J14:J15),0)</f>
        <v/>
      </c>
    </row>
    <row r="17">
      <c r="C17" s="6" t="inlineStr">
        <is>
          <t>Total finance costs</t>
        </is>
      </c>
      <c r="E17" s="7">
        <f>-_xlfn.XLOOKUP("FinanceCosts",LTI_HS_CONSOLIDATED!$C:$C,LTI_HS_CONSOLIDATED!D:D,0,0,1)</f>
        <v/>
      </c>
      <c r="F17" s="7">
        <f>-_xlfn.XLOOKUP("FinanceCosts",LTI_HS_CONSOLIDATED!$C:$C,LTI_HS_CONSOLIDATED!E:E,0,0,1)</f>
        <v/>
      </c>
      <c r="G17" s="7">
        <f>-_xlfn.XLOOKUP("FinanceCosts",LTI_HS_CONSOLIDATED!$C:$C,LTI_HS_CONSOLIDATED!F:F,0,0,1)</f>
        <v/>
      </c>
      <c r="H17" s="7">
        <f>-_xlfn.XLOOKUP("FinanceCosts",LTI_HS_CONSOLIDATED!$C:$C,LTI_HS_CONSOLIDATED!G:G,0,0,1)</f>
        <v/>
      </c>
      <c r="I17" s="7">
        <f>-_xlfn.XLOOKUP("FinanceCosts",LTI_HS_CONSOLIDATED!$C:$C,LTI_HS_CONSOLIDATED!H:H,0,0,1)</f>
        <v/>
      </c>
      <c r="J17" s="7">
        <f>-_xlfn.XLOOKUP("FinanceCosts",LTI_HS_CONSOLIDATED!$C:$C,LTI_HS_CONSOLIDATED!I:I,0,0,1)</f>
        <v/>
      </c>
    </row>
    <row r="18">
      <c r="B18" s="10" t="inlineStr">
        <is>
          <t>EBT</t>
        </is>
      </c>
      <c r="E18" s="11">
        <f>IFERROR(SUM(E16:E17),0)</f>
        <v/>
      </c>
      <c r="F18" s="11">
        <f>IFERROR(SUM(F16:F17),0)</f>
        <v/>
      </c>
      <c r="G18" s="11">
        <f>IFERROR(SUM(G16:G17),0)</f>
        <v/>
      </c>
      <c r="H18" s="11">
        <f>IFERROR(SUM(H16:H17),0)</f>
        <v/>
      </c>
      <c r="I18" s="11">
        <f>IFERROR(SUM(I16:I17),0)</f>
        <v/>
      </c>
      <c r="J18" s="11">
        <f>IFERROR(SUM(J16:J17),0)</f>
        <v/>
      </c>
    </row>
    <row r="19">
      <c r="C19" s="6" t="inlineStr">
        <is>
          <t>Total current tax</t>
        </is>
      </c>
      <c r="E19" s="7">
        <f>-_xlfn.XLOOKUP("CurrentTax",LTI_HS_CONSOLIDATED!$C:$C,LTI_HS_CONSOLIDATED!D:D,0,0,1)</f>
        <v/>
      </c>
      <c r="F19" s="7">
        <f>-_xlfn.XLOOKUP("CurrentTax",LTI_HS_CONSOLIDATED!$C:$C,LTI_HS_CONSOLIDATED!E:E,0,0,1)</f>
        <v/>
      </c>
      <c r="G19" s="7">
        <f>-_xlfn.XLOOKUP("CurrentTax",LTI_HS_CONSOLIDATED!$C:$C,LTI_HS_CONSOLIDATED!F:F,0,0,1)</f>
        <v/>
      </c>
      <c r="H19" s="7">
        <f>-_xlfn.XLOOKUP("CurrentTax",LTI_HS_CONSOLIDATED!$C:$C,LTI_HS_CONSOLIDATED!G:G,0,0,1)</f>
        <v/>
      </c>
      <c r="I19" s="7">
        <f>-_xlfn.XLOOKUP("CurrentTax",LTI_HS_CONSOLIDATED!$C:$C,LTI_HS_CONSOLIDATED!H:H,0,0,1)</f>
        <v/>
      </c>
      <c r="J19" s="7">
        <f>-_xlfn.XLOOKUP("CurrentTax",LTI_HS_CONSOLIDATED!$C:$C,LTI_HS_CONSOLIDATED!I:I,0,0,1)</f>
        <v/>
      </c>
    </row>
    <row r="20">
      <c r="C20" s="6" t="inlineStr">
        <is>
          <t>Deferred tax</t>
        </is>
      </c>
      <c r="E20" s="7">
        <f>-_xlfn.XLOOKUP("DeferredTax",LTI_HS_CONSOLIDATED!$C:$C,LTI_HS_CONSOLIDATED!D:D,0,0,1)</f>
        <v/>
      </c>
      <c r="F20" s="7">
        <f>-_xlfn.XLOOKUP("DeferredTax",LTI_HS_CONSOLIDATED!$C:$C,LTI_HS_CONSOLIDATED!E:E,0,0,1)</f>
        <v/>
      </c>
      <c r="G20" s="7">
        <f>-_xlfn.XLOOKUP("DeferredTax",LTI_HS_CONSOLIDATED!$C:$C,LTI_HS_CONSOLIDATED!F:F,0,0,1)</f>
        <v/>
      </c>
      <c r="H20" s="7">
        <f>-_xlfn.XLOOKUP("DeferredTax",LTI_HS_CONSOLIDATED!$C:$C,LTI_HS_CONSOLIDATED!G:G,0,0,1)</f>
        <v/>
      </c>
      <c r="I20" s="7">
        <f>-_xlfn.XLOOKUP("DeferredTax",LTI_HS_CONSOLIDATED!$C:$C,LTI_HS_CONSOLIDATED!H:H,0,0,1)</f>
        <v/>
      </c>
      <c r="J20" s="7">
        <f>-_xlfn.XLOOKUP("DeferredTax",LTI_HS_CONSOLIDATED!$C:$C,LTI_HS_CONSOLIDATED!I:I,0,0,1)</f>
        <v/>
      </c>
    </row>
    <row r="21">
      <c r="C21" s="8" t="inlineStr">
        <is>
          <t>Total tax expense</t>
        </is>
      </c>
      <c r="E21" s="9">
        <f>IFERROR(SUM(E19:E20),0)</f>
        <v/>
      </c>
      <c r="F21" s="9">
        <f>IFERROR(SUM(F19:F20),0)</f>
        <v/>
      </c>
      <c r="G21" s="9">
        <f>IFERROR(SUM(G19:G20),0)</f>
        <v/>
      </c>
      <c r="H21" s="9">
        <f>IFERROR(SUM(H19:H20),0)</f>
        <v/>
      </c>
      <c r="I21" s="9">
        <f>IFERROR(SUM(I19:I20),0)</f>
        <v/>
      </c>
      <c r="J21" s="9">
        <f>IFERROR(SUM(J19:J20),0)</f>
        <v/>
      </c>
    </row>
    <row r="22">
      <c r="B22" s="10" t="inlineStr">
        <is>
          <t>NETINCOME</t>
        </is>
      </c>
      <c r="E22" s="11">
        <f>IFERROR(E21+E18,0)</f>
        <v/>
      </c>
      <c r="F22" s="11">
        <f>IFERROR(F21+F18,0)</f>
        <v/>
      </c>
      <c r="G22" s="11">
        <f>IFERROR(G21+G18,0)</f>
        <v/>
      </c>
      <c r="H22" s="11">
        <f>IFERROR(H21+H18,0)</f>
        <v/>
      </c>
      <c r="I22" s="11">
        <f>IFERROR(I21+I18,0)</f>
        <v/>
      </c>
      <c r="J22" s="11">
        <f>IFERROR(J21+J18,0)</f>
        <v/>
      </c>
    </row>
    <row r="23" ht="15.5" customHeight="1" s="203">
      <c r="A23" s="2" t="inlineStr">
        <is>
          <t>#</t>
        </is>
      </c>
      <c r="B23" s="3" t="inlineStr">
        <is>
          <t>Balance Sheet</t>
        </is>
      </c>
    </row>
    <row r="24">
      <c r="B24" s="5" t="inlineStr">
        <is>
          <t>Assets [Abstract]</t>
        </is>
      </c>
    </row>
    <row r="25">
      <c r="B25" s="5" t="inlineStr">
        <is>
          <t>Non-current assets [Abstract]</t>
        </is>
      </c>
    </row>
    <row r="26">
      <c r="C26" s="5" t="inlineStr">
        <is>
          <t>Operating</t>
        </is>
      </c>
    </row>
    <row r="27">
      <c r="D27" s="6" t="inlineStr">
        <is>
          <t>Property, plant and equipment at end of period</t>
        </is>
      </c>
      <c r="E27" s="7">
        <f>_xlfn.XLOOKUP("PropertyPlantAndEquipment",LTI_HS_CONSOLIDATED!$C:$C,LTI_HS_CONSOLIDATED!D:D,0,0,1)</f>
        <v/>
      </c>
      <c r="F27" s="7">
        <f>_xlfn.XLOOKUP("PropertyPlantAndEquipment",LTI_HS_CONSOLIDATED!$C:$C,LTI_HS_CONSOLIDATED!E:E,0,0,1)</f>
        <v/>
      </c>
      <c r="G27" s="7">
        <f>_xlfn.XLOOKUP("PropertyPlantAndEquipment",LTI_HS_CONSOLIDATED!$C:$C,LTI_HS_CONSOLIDATED!F:F,0,0,1)</f>
        <v/>
      </c>
      <c r="H27" s="7">
        <f>_xlfn.XLOOKUP("PropertyPlantAndEquipment",LTI_HS_CONSOLIDATED!$C:$C,LTI_HS_CONSOLIDATED!G:G,0,0,1)</f>
        <v/>
      </c>
      <c r="I27" s="7">
        <f>_xlfn.XLOOKUP("PropertyPlantAndEquipment",LTI_HS_CONSOLIDATED!$C:$C,LTI_HS_CONSOLIDATED!H:H,0,0,1)</f>
        <v/>
      </c>
      <c r="J27" s="7">
        <f>_xlfn.XLOOKUP("PropertyPlantAndEquipment",LTI_HS_CONSOLIDATED!$C:$C,LTI_HS_CONSOLIDATED!I:I,0,0,1)</f>
        <v/>
      </c>
    </row>
    <row r="28">
      <c r="D28" s="6" t="inlineStr">
        <is>
          <t>Capital work-in-progress</t>
        </is>
      </c>
      <c r="E28" s="7">
        <f>_xlfn.XLOOKUP("CapitalWorkInProgress",LTI_HS_CONSOLIDATED!$C:$C,LTI_HS_CONSOLIDATED!D:D,0,0,1)</f>
        <v/>
      </c>
      <c r="F28" s="7">
        <f>_xlfn.XLOOKUP("CapitalWorkInProgress",LTI_HS_CONSOLIDATED!$C:$C,LTI_HS_CONSOLIDATED!E:E,0,0,1)</f>
        <v/>
      </c>
      <c r="G28" s="7">
        <f>_xlfn.XLOOKUP("CapitalWorkInProgress",LTI_HS_CONSOLIDATED!$C:$C,LTI_HS_CONSOLIDATED!F:F,0,0,1)</f>
        <v/>
      </c>
      <c r="H28" s="7">
        <f>_xlfn.XLOOKUP("CapitalWorkInProgress",LTI_HS_CONSOLIDATED!$C:$C,LTI_HS_CONSOLIDATED!G:G,0,0,1)</f>
        <v/>
      </c>
      <c r="I28" s="7">
        <f>_xlfn.XLOOKUP("CapitalWorkInProgress",LTI_HS_CONSOLIDATED!$C:$C,LTI_HS_CONSOLIDATED!H:H,0,0,1)</f>
        <v/>
      </c>
      <c r="J28" s="7">
        <f>_xlfn.XLOOKUP("CapitalWorkInProgress",LTI_HS_CONSOLIDATED!$C:$C,LTI_HS_CONSOLIDATED!I:I,0,0,1)</f>
        <v/>
      </c>
    </row>
    <row r="29">
      <c r="D29" s="6" t="inlineStr">
        <is>
          <t>Goodwill at end of period</t>
        </is>
      </c>
      <c r="E29" s="7">
        <f>_xlfn.XLOOKUP("Goodwill",LTI_HS_CONSOLIDATED!$C:$C,LTI_HS_CONSOLIDATED!D:D,0,0,1)</f>
        <v/>
      </c>
      <c r="F29" s="7">
        <f>_xlfn.XLOOKUP("Goodwill",LTI_HS_CONSOLIDATED!$C:$C,LTI_HS_CONSOLIDATED!E:E,0,0,1)</f>
        <v/>
      </c>
      <c r="G29" s="7">
        <f>_xlfn.XLOOKUP("Goodwill",LTI_HS_CONSOLIDATED!$C:$C,LTI_HS_CONSOLIDATED!F:F,0,0,1)</f>
        <v/>
      </c>
      <c r="H29" s="7">
        <f>_xlfn.XLOOKUP("Goodwill",LTI_HS_CONSOLIDATED!$C:$C,LTI_HS_CONSOLIDATED!G:G,0,0,1)</f>
        <v/>
      </c>
      <c r="I29" s="7">
        <f>_xlfn.XLOOKUP("Goodwill",LTI_HS_CONSOLIDATED!$C:$C,LTI_HS_CONSOLIDATED!H:H,0,0,1)</f>
        <v/>
      </c>
      <c r="J29" s="7">
        <f>_xlfn.XLOOKUP("Goodwill",LTI_HS_CONSOLIDATED!$C:$C,LTI_HS_CONSOLIDATED!I:I,0,0,1)</f>
        <v/>
      </c>
    </row>
    <row r="30">
      <c r="D30" s="6" t="inlineStr">
        <is>
          <t>Other intangible assets at end of period</t>
        </is>
      </c>
      <c r="E30" s="7">
        <f>_xlfn.XLOOKUP("OtherIntangibleAssets",LTI_HS_CONSOLIDATED!$C:$C,LTI_HS_CONSOLIDATED!D:D,0,0,1)</f>
        <v/>
      </c>
      <c r="F30" s="7">
        <f>_xlfn.XLOOKUP("OtherIntangibleAssets",LTI_HS_CONSOLIDATED!$C:$C,LTI_HS_CONSOLIDATED!E:E,0,0,1)</f>
        <v/>
      </c>
      <c r="G30" s="7">
        <f>_xlfn.XLOOKUP("OtherIntangibleAssets",LTI_HS_CONSOLIDATED!$C:$C,LTI_HS_CONSOLIDATED!F:F,0,0,1)</f>
        <v/>
      </c>
      <c r="H30" s="7">
        <f>_xlfn.XLOOKUP("OtherIntangibleAssets",LTI_HS_CONSOLIDATED!$C:$C,LTI_HS_CONSOLIDATED!G:G,0,0,1)</f>
        <v/>
      </c>
      <c r="I30" s="7">
        <f>_xlfn.XLOOKUP("OtherIntangibleAssets",LTI_HS_CONSOLIDATED!$C:$C,LTI_HS_CONSOLIDATED!H:H,0,0,1)</f>
        <v/>
      </c>
      <c r="J30" s="7">
        <f>_xlfn.XLOOKUP("OtherIntangibleAssets",LTI_HS_CONSOLIDATED!$C:$C,LTI_HS_CONSOLIDATED!I:I,0,0,1)</f>
        <v/>
      </c>
    </row>
    <row r="31">
      <c r="D31" s="6" t="inlineStr">
        <is>
          <t>Intangible assets under development</t>
        </is>
      </c>
      <c r="E31" s="7">
        <f>_xlfn.XLOOKUP("IntangibleAssetsUnderDevelopment",LTI_HS_CONSOLIDATED!$C:$C,LTI_HS_CONSOLIDATED!D:D,0,0,1)</f>
        <v/>
      </c>
      <c r="F31" s="7">
        <f>_xlfn.XLOOKUP("IntangibleAssetsUnderDevelopment",LTI_HS_CONSOLIDATED!$C:$C,LTI_HS_CONSOLIDATED!E:E,0,0,1)</f>
        <v/>
      </c>
      <c r="G31" s="7">
        <f>_xlfn.XLOOKUP("IntangibleAssetsUnderDevelopment",LTI_HS_CONSOLIDATED!$C:$C,LTI_HS_CONSOLIDATED!F:F,0,0,1)</f>
        <v/>
      </c>
      <c r="H31" s="7">
        <f>_xlfn.XLOOKUP("IntangibleAssetsUnderDevelopment",LTI_HS_CONSOLIDATED!$C:$C,LTI_HS_CONSOLIDATED!G:G,0,0,1)</f>
        <v/>
      </c>
      <c r="I31" s="7">
        <f>_xlfn.XLOOKUP("IntangibleAssetsUnderDevelopment",LTI_HS_CONSOLIDATED!$C:$C,LTI_HS_CONSOLIDATED!H:H,0,0,1)</f>
        <v/>
      </c>
      <c r="J31" s="7">
        <f>_xlfn.XLOOKUP("IntangibleAssetsUnderDevelopment",LTI_HS_CONSOLIDATED!$C:$C,LTI_HS_CONSOLIDATED!I:I,0,0,1)</f>
        <v/>
      </c>
    </row>
    <row r="32">
      <c r="D32" s="6" t="inlineStr">
        <is>
          <t>Total other non-current assets</t>
        </is>
      </c>
      <c r="E32" s="7">
        <f>_xlfn.XLOOKUP("OtherNoncurrentAssets",LTI_HS_CONSOLIDATED!$C:$C,LTI_HS_CONSOLIDATED!D:D,0,0,1)</f>
        <v/>
      </c>
      <c r="F32" s="7">
        <f>_xlfn.XLOOKUP("OtherNoncurrentAssets",LTI_HS_CONSOLIDATED!$C:$C,LTI_HS_CONSOLIDATED!E:E,0,0,1)</f>
        <v/>
      </c>
      <c r="G32" s="7">
        <f>_xlfn.XLOOKUP("OtherNoncurrentAssets",LTI_HS_CONSOLIDATED!$C:$C,LTI_HS_CONSOLIDATED!F:F,0,0,1)</f>
        <v/>
      </c>
      <c r="H32" s="7">
        <f>_xlfn.XLOOKUP("OtherNoncurrentAssets",LTI_HS_CONSOLIDATED!$C:$C,LTI_HS_CONSOLIDATED!G:G,0,0,1)</f>
        <v/>
      </c>
      <c r="I32" s="7">
        <f>_xlfn.XLOOKUP("OtherNoncurrentAssets",LTI_HS_CONSOLIDATED!$C:$C,LTI_HS_CONSOLIDATED!H:H,0,0,1)</f>
        <v/>
      </c>
      <c r="J32" s="7">
        <f>_xlfn.XLOOKUP("OtherNoncurrentAssets",LTI_HS_CONSOLIDATED!$C:$C,LTI_HS_CONSOLIDATED!I:I,0,0,1)</f>
        <v/>
      </c>
    </row>
    <row r="33">
      <c r="C33" s="8" t="inlineStr">
        <is>
          <t>Total Operating</t>
        </is>
      </c>
      <c r="E33" s="9">
        <f>IFERROR(SUM(E27:E32),0)</f>
        <v/>
      </c>
      <c r="F33" s="9">
        <f>IFERROR(SUM(F27:F32),0)</f>
        <v/>
      </c>
      <c r="G33" s="9">
        <f>IFERROR(SUM(G27:G32),0)</f>
        <v/>
      </c>
      <c r="H33" s="9">
        <f>IFERROR(SUM(H27:H32),0)</f>
        <v/>
      </c>
      <c r="I33" s="9">
        <f>IFERROR(SUM(I27:I32),0)</f>
        <v/>
      </c>
      <c r="J33" s="9">
        <f>IFERROR(SUM(J27:J32),0)</f>
        <v/>
      </c>
    </row>
    <row r="34">
      <c r="C34" s="5" t="inlineStr">
        <is>
          <t>Non-Operating</t>
        </is>
      </c>
    </row>
    <row r="35">
      <c r="D35" s="6" t="inlineStr">
        <is>
          <t>Non-current investments</t>
        </is>
      </c>
      <c r="E35" s="7">
        <f>_xlfn.XLOOKUP("NoncurrentInvestments",LTI_HS_CONSOLIDATED!$C:$C,LTI_HS_CONSOLIDATED!D:D,0,0,1)</f>
        <v/>
      </c>
      <c r="F35" s="7">
        <f>_xlfn.XLOOKUP("NoncurrentInvestments",LTI_HS_CONSOLIDATED!$C:$C,LTI_HS_CONSOLIDATED!E:E,0,0,1)</f>
        <v/>
      </c>
      <c r="G35" s="7">
        <f>_xlfn.XLOOKUP("NoncurrentInvestments",LTI_HS_CONSOLIDATED!$C:$C,LTI_HS_CONSOLIDATED!F:F,0,0,1)</f>
        <v/>
      </c>
      <c r="H35" s="7">
        <f>_xlfn.XLOOKUP("NoncurrentInvestments",LTI_HS_CONSOLIDATED!$C:$C,LTI_HS_CONSOLIDATED!G:G,0,0,1)</f>
        <v/>
      </c>
      <c r="I35" s="7">
        <f>_xlfn.XLOOKUP("NoncurrentInvestments",LTI_HS_CONSOLIDATED!$C:$C,LTI_HS_CONSOLIDATED!H:H,0,0,1)</f>
        <v/>
      </c>
      <c r="J35" s="7">
        <f>_xlfn.XLOOKUP("NoncurrentInvestments",LTI_HS_CONSOLIDATED!$C:$C,LTI_HS_CONSOLIDATED!I:I,0,0,1)</f>
        <v/>
      </c>
    </row>
    <row r="36">
      <c r="D36" s="6" t="inlineStr">
        <is>
          <t>Loans, non-current</t>
        </is>
      </c>
      <c r="E36" s="7">
        <f>_xlfn.XLOOKUP("LoansNoncurrent",LTI_HS_CONSOLIDATED!$C:$C,LTI_HS_CONSOLIDATED!D:D,0,0,1)</f>
        <v/>
      </c>
      <c r="F36" s="7">
        <f>_xlfn.XLOOKUP("LoansNoncurrent",LTI_HS_CONSOLIDATED!$C:$C,LTI_HS_CONSOLIDATED!E:E,0,0,1)</f>
        <v/>
      </c>
      <c r="G36" s="7">
        <f>_xlfn.XLOOKUP("LoansNoncurrent",LTI_HS_CONSOLIDATED!$C:$C,LTI_HS_CONSOLIDATED!F:F,0,0,1)</f>
        <v/>
      </c>
      <c r="H36" s="7">
        <f>_xlfn.XLOOKUP("LoansNoncurrent",LTI_HS_CONSOLIDATED!$C:$C,LTI_HS_CONSOLIDATED!G:G,0,0,1)</f>
        <v/>
      </c>
      <c r="I36" s="7">
        <f>_xlfn.XLOOKUP("LoansNoncurrent",LTI_HS_CONSOLIDATED!$C:$C,LTI_HS_CONSOLIDATED!H:H,0,0,1)</f>
        <v/>
      </c>
      <c r="J36" s="7">
        <f>_xlfn.XLOOKUP("LoansNoncurrent",LTI_HS_CONSOLIDATED!$C:$C,LTI_HS_CONSOLIDATED!I:I,0,0,1)</f>
        <v/>
      </c>
    </row>
    <row r="37">
      <c r="D37" s="6" t="inlineStr">
        <is>
          <t>Total other non-current financial assets</t>
        </is>
      </c>
      <c r="E37" s="7">
        <f>_xlfn.XLOOKUP("OtherNoncurrentFinancialAssets",LTI_HS_CONSOLIDATED!$C:$C,LTI_HS_CONSOLIDATED!D:D,0,0,1)</f>
        <v/>
      </c>
      <c r="F37" s="7">
        <f>_xlfn.XLOOKUP("OtherNoncurrentFinancialAssets",LTI_HS_CONSOLIDATED!$C:$C,LTI_HS_CONSOLIDATED!E:E,0,0,1)</f>
        <v/>
      </c>
      <c r="G37" s="7">
        <f>_xlfn.XLOOKUP("OtherNoncurrentFinancialAssets",LTI_HS_CONSOLIDATED!$C:$C,LTI_HS_CONSOLIDATED!F:F,0,0,1)</f>
        <v/>
      </c>
      <c r="H37" s="7">
        <f>_xlfn.XLOOKUP("OtherNoncurrentFinancialAssets",LTI_HS_CONSOLIDATED!$C:$C,LTI_HS_CONSOLIDATED!G:G,0,0,1)</f>
        <v/>
      </c>
      <c r="I37" s="7">
        <f>_xlfn.XLOOKUP("OtherNoncurrentFinancialAssets",LTI_HS_CONSOLIDATED!$C:$C,LTI_HS_CONSOLIDATED!H:H,0,0,1)</f>
        <v/>
      </c>
      <c r="J37" s="7">
        <f>_xlfn.XLOOKUP("OtherNoncurrentFinancialAssets",LTI_HS_CONSOLIDATED!$C:$C,LTI_HS_CONSOLIDATED!I:I,0,0,1)</f>
        <v/>
      </c>
    </row>
    <row r="38">
      <c r="D38" s="6" t="inlineStr">
        <is>
          <t>Deferred tax assets (net)</t>
        </is>
      </c>
      <c r="E38" s="7">
        <f>_xlfn.XLOOKUP("DeferredTaxAssetsNet",LTI_HS_CONSOLIDATED!$C:$C,LTI_HS_CONSOLIDATED!D:D,0,0,1)</f>
        <v/>
      </c>
      <c r="F38" s="7">
        <f>_xlfn.XLOOKUP("DeferredTaxAssetsNet",LTI_HS_CONSOLIDATED!$C:$C,LTI_HS_CONSOLIDATED!E:E,0,0,1)</f>
        <v/>
      </c>
      <c r="G38" s="7">
        <f>_xlfn.XLOOKUP("DeferredTaxAssetsNet",LTI_HS_CONSOLIDATED!$C:$C,LTI_HS_CONSOLIDATED!F:F,0,0,1)</f>
        <v/>
      </c>
      <c r="H38" s="7">
        <f>_xlfn.XLOOKUP("DeferredTaxAssetsNet",LTI_HS_CONSOLIDATED!$C:$C,LTI_HS_CONSOLIDATED!G:G,0,0,1)</f>
        <v/>
      </c>
      <c r="I38" s="7">
        <f>_xlfn.XLOOKUP("DeferredTaxAssetsNet",LTI_HS_CONSOLIDATED!$C:$C,LTI_HS_CONSOLIDATED!H:H,0,0,1)</f>
        <v/>
      </c>
      <c r="J38" s="7">
        <f>_xlfn.XLOOKUP("DeferredTaxAssetsNet",LTI_HS_CONSOLIDATED!$C:$C,LTI_HS_CONSOLIDATED!I:I,0,0,1)</f>
        <v/>
      </c>
    </row>
    <row r="39">
      <c r="C39" s="8" t="inlineStr">
        <is>
          <t>Total Non-Operating</t>
        </is>
      </c>
      <c r="E39" s="9">
        <f>IFERROR(SUM(E35:E38),0)</f>
        <v/>
      </c>
      <c r="F39" s="9">
        <f>IFERROR(SUM(F35:F38),0)</f>
        <v/>
      </c>
      <c r="G39" s="9">
        <f>IFERROR(SUM(G35:G38),0)</f>
        <v/>
      </c>
      <c r="H39" s="9">
        <f>IFERROR(SUM(H35:H38),0)</f>
        <v/>
      </c>
      <c r="I39" s="9">
        <f>IFERROR(SUM(I35:I38),0)</f>
        <v/>
      </c>
      <c r="J39" s="9">
        <f>IFERROR(SUM(J35:J38),0)</f>
        <v/>
      </c>
    </row>
    <row r="40">
      <c r="C40" s="6" t="inlineStr">
        <is>
          <t>Total non-current financial assets</t>
        </is>
      </c>
      <c r="E40" s="7">
        <f>_xlfn.XLOOKUP("NoncurrentFinancialAssets",LTI_HS_CONSOLIDATED!$C:$C,LTI_HS_CONSOLIDATED!D:D,0,0,1)</f>
        <v/>
      </c>
      <c r="F40" s="7">
        <f>_xlfn.XLOOKUP("NoncurrentFinancialAssets",LTI_HS_CONSOLIDATED!$C:$C,LTI_HS_CONSOLIDATED!E:E,0,0,1)</f>
        <v/>
      </c>
      <c r="G40" s="7">
        <f>_xlfn.XLOOKUP("NoncurrentFinancialAssets",LTI_HS_CONSOLIDATED!$C:$C,LTI_HS_CONSOLIDATED!F:F,0,0,1)</f>
        <v/>
      </c>
      <c r="H40" s="7">
        <f>_xlfn.XLOOKUP("NoncurrentFinancialAssets",LTI_HS_CONSOLIDATED!$C:$C,LTI_HS_CONSOLIDATED!G:G,0,0,1)</f>
        <v/>
      </c>
      <c r="I40" s="7">
        <f>_xlfn.XLOOKUP("NoncurrentFinancialAssets",LTI_HS_CONSOLIDATED!$C:$C,LTI_HS_CONSOLIDATED!H:H,0,0,1)</f>
        <v/>
      </c>
      <c r="J40" s="7">
        <f>_xlfn.XLOOKUP("NoncurrentFinancialAssets",LTI_HS_CONSOLIDATED!$C:$C,LTI_HS_CONSOLIDATED!I:I,0,0,1)</f>
        <v/>
      </c>
    </row>
    <row r="41">
      <c r="B41" s="10" t="inlineStr">
        <is>
          <t>Total Non-Current Assets</t>
        </is>
      </c>
      <c r="E41" s="11">
        <f>IFERROR(E39+E33,0)</f>
        <v/>
      </c>
      <c r="F41" s="11">
        <f>IFERROR(F39+F33,0)</f>
        <v/>
      </c>
      <c r="G41" s="11">
        <f>IFERROR(G39+G33,0)</f>
        <v/>
      </c>
      <c r="H41" s="11">
        <f>IFERROR(H39+H33,0)</f>
        <v/>
      </c>
      <c r="I41" s="11">
        <f>IFERROR(I39+I33,0)</f>
        <v/>
      </c>
      <c r="J41" s="11">
        <f>IFERROR(J39+J33,0)</f>
        <v/>
      </c>
    </row>
    <row r="42">
      <c r="B42" s="5" t="inlineStr">
        <is>
          <t>Current Assets</t>
        </is>
      </c>
    </row>
    <row r="43">
      <c r="C43" s="5" t="inlineStr">
        <is>
          <t>Operating</t>
        </is>
      </c>
    </row>
    <row r="44">
      <c r="D44" s="6" t="inlineStr">
        <is>
          <t>Trade receivables, current</t>
        </is>
      </c>
      <c r="E44" s="7">
        <f>_xlfn.XLOOKUP("TradeReceivablesCurrent",LTI_HS_CONSOLIDATED!$C:$C,LTI_HS_CONSOLIDATED!D:D,0,0,1)</f>
        <v/>
      </c>
      <c r="F44" s="7">
        <f>_xlfn.XLOOKUP("TradeReceivablesCurrent",LTI_HS_CONSOLIDATED!$C:$C,LTI_HS_CONSOLIDATED!E:E,0,0,1)</f>
        <v/>
      </c>
      <c r="G44" s="7">
        <f>_xlfn.XLOOKUP("TradeReceivablesCurrent",LTI_HS_CONSOLIDATED!$C:$C,LTI_HS_CONSOLIDATED!F:F,0,0,1)</f>
        <v/>
      </c>
      <c r="H44" s="7">
        <f>_xlfn.XLOOKUP("TradeReceivablesCurrent",LTI_HS_CONSOLIDATED!$C:$C,LTI_HS_CONSOLIDATED!G:G,0,0,1)</f>
        <v/>
      </c>
      <c r="I44" s="7">
        <f>_xlfn.XLOOKUP("TradeReceivablesCurrent",LTI_HS_CONSOLIDATED!$C:$C,LTI_HS_CONSOLIDATED!H:H,0,0,1)</f>
        <v/>
      </c>
      <c r="J44" s="7">
        <f>_xlfn.XLOOKUP("TradeReceivablesCurrent",LTI_HS_CONSOLIDATED!$C:$C,LTI_HS_CONSOLIDATED!I:I,0,0,1)</f>
        <v/>
      </c>
    </row>
    <row r="45">
      <c r="D45" s="6" t="inlineStr">
        <is>
          <t>Total other current assets</t>
        </is>
      </c>
      <c r="E45" s="7">
        <f>_xlfn.XLOOKUP("OtherCurrentAssets",LTI_HS_CONSOLIDATED!$C:$C,LTI_HS_CONSOLIDATED!D:D,0,0,1)</f>
        <v/>
      </c>
      <c r="F45" s="7">
        <f>_xlfn.XLOOKUP("OtherCurrentAssets",LTI_HS_CONSOLIDATED!$C:$C,LTI_HS_CONSOLIDATED!E:E,0,0,1)</f>
        <v/>
      </c>
      <c r="G45" s="7">
        <f>_xlfn.XLOOKUP("OtherCurrentAssets",LTI_HS_CONSOLIDATED!$C:$C,LTI_HS_CONSOLIDATED!F:F,0,0,1)</f>
        <v/>
      </c>
      <c r="H45" s="7">
        <f>_xlfn.XLOOKUP("OtherCurrentAssets",LTI_HS_CONSOLIDATED!$C:$C,LTI_HS_CONSOLIDATED!G:G,0,0,1)</f>
        <v/>
      </c>
      <c r="I45" s="7">
        <f>_xlfn.XLOOKUP("OtherCurrentAssets",LTI_HS_CONSOLIDATED!$C:$C,LTI_HS_CONSOLIDATED!H:H,0,0,1)</f>
        <v/>
      </c>
      <c r="J45" s="7">
        <f>_xlfn.XLOOKUP("OtherCurrentAssets",LTI_HS_CONSOLIDATED!$C:$C,LTI_HS_CONSOLIDATED!I:I,0,0,1)</f>
        <v/>
      </c>
    </row>
    <row r="46">
      <c r="C46" s="8" t="inlineStr">
        <is>
          <t>Total Operating</t>
        </is>
      </c>
      <c r="E46" s="9">
        <f>IFERROR(SUM(E44:E45),0)</f>
        <v/>
      </c>
      <c r="F46" s="9">
        <f>IFERROR(SUM(F44:F45),0)</f>
        <v/>
      </c>
      <c r="G46" s="9">
        <f>IFERROR(SUM(G44:G45),0)</f>
        <v/>
      </c>
      <c r="H46" s="9">
        <f>IFERROR(SUM(H44:H45),0)</f>
        <v/>
      </c>
      <c r="I46" s="9">
        <f>IFERROR(SUM(I44:I45),0)</f>
        <v/>
      </c>
      <c r="J46" s="9">
        <f>IFERROR(SUM(J44:J45),0)</f>
        <v/>
      </c>
    </row>
    <row r="47">
      <c r="C47" s="5" t="inlineStr">
        <is>
          <t>Non-Operating</t>
        </is>
      </c>
    </row>
    <row r="48">
      <c r="D48" s="6" t="inlineStr">
        <is>
          <t>Current investments</t>
        </is>
      </c>
      <c r="E48" s="7">
        <f>_xlfn.XLOOKUP("CurrentInvestments",LTI_HS_CONSOLIDATED!$C:$C,LTI_HS_CONSOLIDATED!D:D,0,0,1)</f>
        <v/>
      </c>
      <c r="F48" s="7">
        <f>_xlfn.XLOOKUP("CurrentInvestments",LTI_HS_CONSOLIDATED!$C:$C,LTI_HS_CONSOLIDATED!E:E,0,0,1)</f>
        <v/>
      </c>
      <c r="G48" s="7">
        <f>_xlfn.XLOOKUP("CurrentInvestments",LTI_HS_CONSOLIDATED!$C:$C,LTI_HS_CONSOLIDATED!F:F,0,0,1)</f>
        <v/>
      </c>
      <c r="H48" s="7">
        <f>_xlfn.XLOOKUP("CurrentInvestments",LTI_HS_CONSOLIDATED!$C:$C,LTI_HS_CONSOLIDATED!G:G,0,0,1)</f>
        <v/>
      </c>
      <c r="I48" s="7">
        <f>_xlfn.XLOOKUP("CurrentInvestments",LTI_HS_CONSOLIDATED!$C:$C,LTI_HS_CONSOLIDATED!H:H,0,0,1)</f>
        <v/>
      </c>
      <c r="J48" s="7">
        <f>_xlfn.XLOOKUP("CurrentInvestments",LTI_HS_CONSOLIDATED!$C:$C,LTI_HS_CONSOLIDATED!I:I,0,0,1)</f>
        <v/>
      </c>
    </row>
    <row r="49">
      <c r="D49" s="6" t="inlineStr">
        <is>
          <t>Cash and cash equivalents at end of period</t>
        </is>
      </c>
      <c r="E49" s="7">
        <f>_xlfn.XLOOKUP("CashAndCashEquivalents",LTI_HS_CONSOLIDATED!$C:$C,LTI_HS_CONSOLIDATED!D:D,0,0,1)</f>
        <v/>
      </c>
      <c r="F49" s="7">
        <f>_xlfn.XLOOKUP("CashAndCashEquivalents",LTI_HS_CONSOLIDATED!$C:$C,LTI_HS_CONSOLIDATED!E:E,0,0,1)</f>
        <v/>
      </c>
      <c r="G49" s="7">
        <f>_xlfn.XLOOKUP("CashAndCashEquivalents",LTI_HS_CONSOLIDATED!$C:$C,LTI_HS_CONSOLIDATED!F:F,0,0,1)</f>
        <v/>
      </c>
      <c r="H49" s="7">
        <f>_xlfn.XLOOKUP("CashAndCashEquivalents",LTI_HS_CONSOLIDATED!$C:$C,LTI_HS_CONSOLIDATED!G:G,0,0,1)</f>
        <v/>
      </c>
      <c r="I49" s="7">
        <f>_xlfn.XLOOKUP("CashAndCashEquivalents",LTI_HS_CONSOLIDATED!$C:$C,LTI_HS_CONSOLIDATED!H:H,0,0,1)</f>
        <v/>
      </c>
      <c r="J49" s="7">
        <f>_xlfn.XLOOKUP("CashAndCashEquivalents",LTI_HS_CONSOLIDATED!$C:$C,LTI_HS_CONSOLIDATED!I:I,0,0,1)</f>
        <v/>
      </c>
    </row>
    <row r="50">
      <c r="D50" s="6" t="inlineStr">
        <is>
          <t>Bank balance other than cash and cash equivalents</t>
        </is>
      </c>
      <c r="E50" s="7">
        <f>_xlfn.XLOOKUP("BankBalanceOtherThanCashAndCashEquivalents",LTI_HS_CONSOLIDATED!$C:$C,LTI_HS_CONSOLIDATED!D:D,0,0,1)</f>
        <v/>
      </c>
      <c r="F50" s="7">
        <f>_xlfn.XLOOKUP("BankBalanceOtherThanCashAndCashEquivalents",LTI_HS_CONSOLIDATED!$C:$C,LTI_HS_CONSOLIDATED!E:E,0,0,1)</f>
        <v/>
      </c>
      <c r="G50" s="7">
        <f>_xlfn.XLOOKUP("BankBalanceOtherThanCashAndCashEquivalents",LTI_HS_CONSOLIDATED!$C:$C,LTI_HS_CONSOLIDATED!F:F,0,0,1)</f>
        <v/>
      </c>
      <c r="H50" s="7">
        <f>_xlfn.XLOOKUP("BankBalanceOtherThanCashAndCashEquivalents",LTI_HS_CONSOLIDATED!$C:$C,LTI_HS_CONSOLIDATED!G:G,0,0,1)</f>
        <v/>
      </c>
      <c r="I50" s="7">
        <f>_xlfn.XLOOKUP("BankBalanceOtherThanCashAndCashEquivalents",LTI_HS_CONSOLIDATED!$C:$C,LTI_HS_CONSOLIDATED!H:H,0,0,1)</f>
        <v/>
      </c>
      <c r="J50" s="7">
        <f>_xlfn.XLOOKUP("BankBalanceOtherThanCashAndCashEquivalents",LTI_HS_CONSOLIDATED!$C:$C,LTI_HS_CONSOLIDATED!I:I,0,0,1)</f>
        <v/>
      </c>
    </row>
    <row r="51">
      <c r="D51" s="6" t="inlineStr">
        <is>
          <t>Loans, current</t>
        </is>
      </c>
      <c r="E51" s="7">
        <f>_xlfn.XLOOKUP("LoansCurrent",LTI_HS_CONSOLIDATED!$C:$C,LTI_HS_CONSOLIDATED!D:D,0,0,1)</f>
        <v/>
      </c>
      <c r="F51" s="7">
        <f>_xlfn.XLOOKUP("LoansCurrent",LTI_HS_CONSOLIDATED!$C:$C,LTI_HS_CONSOLIDATED!E:E,0,0,1)</f>
        <v/>
      </c>
      <c r="G51" s="7">
        <f>_xlfn.XLOOKUP("LoansCurrent",LTI_HS_CONSOLIDATED!$C:$C,LTI_HS_CONSOLIDATED!F:F,0,0,1)</f>
        <v/>
      </c>
      <c r="H51" s="7">
        <f>_xlfn.XLOOKUP("LoansCurrent",LTI_HS_CONSOLIDATED!$C:$C,LTI_HS_CONSOLIDATED!G:G,0,0,1)</f>
        <v/>
      </c>
      <c r="I51" s="7">
        <f>_xlfn.XLOOKUP("LoansCurrent",LTI_HS_CONSOLIDATED!$C:$C,LTI_HS_CONSOLIDATED!H:H,0,0,1)</f>
        <v/>
      </c>
      <c r="J51" s="7">
        <f>_xlfn.XLOOKUP("LoansCurrent",LTI_HS_CONSOLIDATED!$C:$C,LTI_HS_CONSOLIDATED!I:I,0,0,1)</f>
        <v/>
      </c>
    </row>
    <row r="52">
      <c r="D52" s="6" t="inlineStr">
        <is>
          <t>Total other current financial assets</t>
        </is>
      </c>
      <c r="E52" s="7">
        <f>_xlfn.XLOOKUP("OtherCurrentFinancialAssets",LTI_HS_CONSOLIDATED!$C:$C,LTI_HS_CONSOLIDATED!D:D,0,0,1)</f>
        <v/>
      </c>
      <c r="F52" s="7">
        <f>_xlfn.XLOOKUP("OtherCurrentFinancialAssets",LTI_HS_CONSOLIDATED!$C:$C,LTI_HS_CONSOLIDATED!E:E,0,0,1)</f>
        <v/>
      </c>
      <c r="G52" s="7">
        <f>_xlfn.XLOOKUP("OtherCurrentFinancialAssets",LTI_HS_CONSOLIDATED!$C:$C,LTI_HS_CONSOLIDATED!F:F,0,0,1)</f>
        <v/>
      </c>
      <c r="H52" s="7">
        <f>_xlfn.XLOOKUP("OtherCurrentFinancialAssets",LTI_HS_CONSOLIDATED!$C:$C,LTI_HS_CONSOLIDATED!G:G,0,0,1)</f>
        <v/>
      </c>
      <c r="I52" s="7">
        <f>_xlfn.XLOOKUP("OtherCurrentFinancialAssets",LTI_HS_CONSOLIDATED!$C:$C,LTI_HS_CONSOLIDATED!H:H,0,0,1)</f>
        <v/>
      </c>
      <c r="J52" s="7">
        <f>_xlfn.XLOOKUP("OtherCurrentFinancialAssets",LTI_HS_CONSOLIDATED!$C:$C,LTI_HS_CONSOLIDATED!I:I,0,0,1)</f>
        <v/>
      </c>
    </row>
    <row r="53">
      <c r="D53" s="6" t="inlineStr">
        <is>
          <t>Current tax assets, Current</t>
        </is>
      </c>
      <c r="E53" s="7">
        <f>_xlfn.XLOOKUP("CurrentTaxAssetsCurrent",LTI_HS_CONSOLIDATED!$C:$C,LTI_HS_CONSOLIDATED!D:D,0,0,1)</f>
        <v/>
      </c>
      <c r="F53" s="7">
        <f>_xlfn.XLOOKUP("CurrentTaxAssetsCurrent",LTI_HS_CONSOLIDATED!$C:$C,LTI_HS_CONSOLIDATED!E:E,0,0,1)</f>
        <v/>
      </c>
      <c r="G53" s="7">
        <f>_xlfn.XLOOKUP("CurrentTaxAssetsCurrent",LTI_HS_CONSOLIDATED!$C:$C,LTI_HS_CONSOLIDATED!F:F,0,0,1)</f>
        <v/>
      </c>
      <c r="H53" s="7">
        <f>_xlfn.XLOOKUP("CurrentTaxAssetsCurrent",LTI_HS_CONSOLIDATED!$C:$C,LTI_HS_CONSOLIDATED!G:G,0,0,1)</f>
        <v/>
      </c>
      <c r="I53" s="7">
        <f>_xlfn.XLOOKUP("CurrentTaxAssetsCurrent",LTI_HS_CONSOLIDATED!$C:$C,LTI_HS_CONSOLIDATED!H:H,0,0,1)</f>
        <v/>
      </c>
      <c r="J53" s="7">
        <f>_xlfn.XLOOKUP("CurrentTaxAssetsCurrent",LTI_HS_CONSOLIDATED!$C:$C,LTI_HS_CONSOLIDATED!I:I,0,0,1)</f>
        <v/>
      </c>
    </row>
    <row r="54">
      <c r="C54" s="8" t="inlineStr">
        <is>
          <t>Total Non-Operating</t>
        </is>
      </c>
      <c r="E54" s="9">
        <f>IFERROR(SUM(E48:E53),0)</f>
        <v/>
      </c>
      <c r="F54" s="9">
        <f>IFERROR(SUM(F48:F53),0)</f>
        <v/>
      </c>
      <c r="G54" s="9">
        <f>IFERROR(SUM(G48:G53),0)</f>
        <v/>
      </c>
      <c r="H54" s="9">
        <f>IFERROR(SUM(H48:H53),0)</f>
        <v/>
      </c>
      <c r="I54" s="9">
        <f>IFERROR(SUM(I48:I53),0)</f>
        <v/>
      </c>
      <c r="J54" s="9">
        <f>IFERROR(SUM(J48:J53),0)</f>
        <v/>
      </c>
    </row>
    <row r="55">
      <c r="C55" s="6" t="inlineStr">
        <is>
          <t>Total current financial assets</t>
        </is>
      </c>
      <c r="E55" s="7">
        <f>_xlfn.XLOOKUP("CurrentFinancialAssets",LTI_HS_CONSOLIDATED!$C:$C,LTI_HS_CONSOLIDATED!D:D,0,0,1)</f>
        <v/>
      </c>
      <c r="F55" s="7">
        <f>_xlfn.XLOOKUP("CurrentFinancialAssets",LTI_HS_CONSOLIDATED!$C:$C,LTI_HS_CONSOLIDATED!E:E,0,0,1)</f>
        <v/>
      </c>
      <c r="G55" s="7">
        <f>_xlfn.XLOOKUP("CurrentFinancialAssets",LTI_HS_CONSOLIDATED!$C:$C,LTI_HS_CONSOLIDATED!F:F,0,0,1)</f>
        <v/>
      </c>
      <c r="H55" s="7">
        <f>_xlfn.XLOOKUP("CurrentFinancialAssets",LTI_HS_CONSOLIDATED!$C:$C,LTI_HS_CONSOLIDATED!G:G,0,0,1)</f>
        <v/>
      </c>
      <c r="I55" s="7">
        <f>_xlfn.XLOOKUP("CurrentFinancialAssets",LTI_HS_CONSOLIDATED!$C:$C,LTI_HS_CONSOLIDATED!H:H,0,0,1)</f>
        <v/>
      </c>
      <c r="J55" s="7">
        <f>_xlfn.XLOOKUP("CurrentFinancialAssets",LTI_HS_CONSOLIDATED!$C:$C,LTI_HS_CONSOLIDATED!I:I,0,0,1)</f>
        <v/>
      </c>
    </row>
    <row r="56">
      <c r="B56" s="10" t="inlineStr">
        <is>
          <t>Total Current Assets</t>
        </is>
      </c>
      <c r="E56" s="11">
        <f>IFERROR(E54+E46,0)</f>
        <v/>
      </c>
      <c r="F56" s="11">
        <f>IFERROR(F54+F46,0)</f>
        <v/>
      </c>
      <c r="G56" s="11">
        <f>IFERROR(G54+G46,0)</f>
        <v/>
      </c>
      <c r="H56" s="11">
        <f>IFERROR(H54+H46,0)</f>
        <v/>
      </c>
      <c r="I56" s="11">
        <f>IFERROR(I54+I46,0)</f>
        <v/>
      </c>
      <c r="J56" s="11">
        <f>IFERROR(J54+J46,0)</f>
        <v/>
      </c>
    </row>
    <row r="57">
      <c r="B57" s="10" t="inlineStr">
        <is>
          <t>Total Assets</t>
        </is>
      </c>
      <c r="E57" s="11">
        <f>IFERROR(SUM(E56:E56)+E41,0)</f>
        <v/>
      </c>
      <c r="F57" s="11">
        <f>IFERROR(SUM(F56:F56)+F41,0)</f>
        <v/>
      </c>
      <c r="G57" s="11">
        <f>IFERROR(SUM(G56:G56)+G41,0)</f>
        <v/>
      </c>
      <c r="H57" s="11">
        <f>IFERROR(SUM(H56:H56)+H41,0)</f>
        <v/>
      </c>
      <c r="I57" s="11">
        <f>IFERROR(SUM(I56:I56)+I41,0)</f>
        <v/>
      </c>
      <c r="J57" s="11">
        <f>IFERROR(SUM(J56:J56)+J41,0)</f>
        <v/>
      </c>
    </row>
    <row r="58">
      <c r="B58" s="5" t="inlineStr">
        <is>
          <t>Equity and Liabilities</t>
        </is>
      </c>
    </row>
    <row r="59">
      <c r="B59" s="5" t="inlineStr">
        <is>
          <t>Equity attributable to owners of parent</t>
        </is>
      </c>
    </row>
    <row r="60">
      <c r="C60" s="6" t="inlineStr">
        <is>
          <t>Equity share capital at end of period</t>
        </is>
      </c>
      <c r="E60" s="7">
        <f>_xlfn.XLOOKUP("EquityShareCapital",LTI_HS_CONSOLIDATED!$C:$C,LTI_HS_CONSOLIDATED!D:D,0,0,1)</f>
        <v/>
      </c>
      <c r="F60" s="7">
        <f>_xlfn.XLOOKUP("EquityShareCapital",LTI_HS_CONSOLIDATED!$C:$C,LTI_HS_CONSOLIDATED!E:E,0,0,1)</f>
        <v/>
      </c>
      <c r="G60" s="7">
        <f>_xlfn.XLOOKUP("EquityShareCapital",LTI_HS_CONSOLIDATED!$C:$C,LTI_HS_CONSOLIDATED!F:F,0,0,1)</f>
        <v/>
      </c>
      <c r="H60" s="7">
        <f>_xlfn.XLOOKUP("EquityShareCapital",LTI_HS_CONSOLIDATED!$C:$C,LTI_HS_CONSOLIDATED!G:G,0,0,1)</f>
        <v/>
      </c>
      <c r="I60" s="7">
        <f>_xlfn.XLOOKUP("EquityShareCapital",LTI_HS_CONSOLIDATED!$C:$C,LTI_HS_CONSOLIDATED!H:H,0,0,1)</f>
        <v/>
      </c>
      <c r="J60" s="7">
        <f>_xlfn.XLOOKUP("EquityShareCapital",LTI_HS_CONSOLIDATED!$C:$C,LTI_HS_CONSOLIDATED!I:I,0,0,1)</f>
        <v/>
      </c>
    </row>
    <row r="61">
      <c r="C61" s="6" t="inlineStr">
        <is>
          <t>Other equity</t>
        </is>
      </c>
      <c r="E61" s="7">
        <f>_xlfn.XLOOKUP("OtherEquity",LTI_HS_CONSOLIDATED!$C:$C,LTI_HS_CONSOLIDATED!D:D,0,0,1)</f>
        <v/>
      </c>
      <c r="F61" s="7">
        <f>_xlfn.XLOOKUP("OtherEquity",LTI_HS_CONSOLIDATED!$C:$C,LTI_HS_CONSOLIDATED!E:E,0,0,1)</f>
        <v/>
      </c>
      <c r="G61" s="7">
        <f>_xlfn.XLOOKUP("OtherEquity",LTI_HS_CONSOLIDATED!$C:$C,LTI_HS_CONSOLIDATED!F:F,0,0,1)</f>
        <v/>
      </c>
      <c r="H61" s="7">
        <f>_xlfn.XLOOKUP("OtherEquity",LTI_HS_CONSOLIDATED!$C:$C,LTI_HS_CONSOLIDATED!G:G,0,0,1)</f>
        <v/>
      </c>
      <c r="I61" s="7">
        <f>_xlfn.XLOOKUP("OtherEquity",LTI_HS_CONSOLIDATED!$C:$C,LTI_HS_CONSOLIDATED!H:H,0,0,1)</f>
        <v/>
      </c>
      <c r="J61" s="7">
        <f>_xlfn.XLOOKUP("OtherEquity",LTI_HS_CONSOLIDATED!$C:$C,LTI_HS_CONSOLIDATED!I:I,0,0,1)</f>
        <v/>
      </c>
    </row>
    <row r="62">
      <c r="B62" s="10" t="inlineStr">
        <is>
          <t>Total equity attributable to owners of parent</t>
        </is>
      </c>
      <c r="E62" s="11">
        <f>IFERROR(SUM(E60:E61),0)</f>
        <v/>
      </c>
      <c r="F62" s="11">
        <f>IFERROR(SUM(F60:F61),0)</f>
        <v/>
      </c>
      <c r="G62" s="11">
        <f>IFERROR(SUM(G60:G61),0)</f>
        <v/>
      </c>
      <c r="H62" s="11">
        <f>IFERROR(SUM(H60:H61),0)</f>
        <v/>
      </c>
      <c r="I62" s="11">
        <f>IFERROR(SUM(I60:I61),0)</f>
        <v/>
      </c>
      <c r="J62" s="11">
        <f>IFERROR(SUM(J60:J61),0)</f>
        <v/>
      </c>
    </row>
    <row r="63">
      <c r="C63" s="6" t="inlineStr">
        <is>
          <t>Non controlling interest</t>
        </is>
      </c>
      <c r="E63" s="7">
        <f>_xlfn.XLOOKUP("NonControllingInterest",LTI_HS_CONSOLIDATED!$C:$C,LTI_HS_CONSOLIDATED!D:D,0,0,1)</f>
        <v/>
      </c>
      <c r="F63" s="7">
        <f>_xlfn.XLOOKUP("NonControllingInterest",LTI_HS_CONSOLIDATED!$C:$C,LTI_HS_CONSOLIDATED!E:E,0,0,1)</f>
        <v/>
      </c>
      <c r="G63" s="7">
        <f>_xlfn.XLOOKUP("NonControllingInterest",LTI_HS_CONSOLIDATED!$C:$C,LTI_HS_CONSOLIDATED!F:F,0,0,1)</f>
        <v/>
      </c>
      <c r="H63" s="7">
        <f>_xlfn.XLOOKUP("NonControllingInterest",LTI_HS_CONSOLIDATED!$C:$C,LTI_HS_CONSOLIDATED!G:G,0,0,1)</f>
        <v/>
      </c>
      <c r="I63" s="7">
        <f>_xlfn.XLOOKUP("NonControllingInterest",LTI_HS_CONSOLIDATED!$C:$C,LTI_HS_CONSOLIDATED!H:H,0,0,1)</f>
        <v/>
      </c>
      <c r="J63" s="7">
        <f>_xlfn.XLOOKUP("NonControllingInterest",LTI_HS_CONSOLIDATED!$C:$C,LTI_HS_CONSOLIDATED!I:I,0,0,1)</f>
        <v/>
      </c>
    </row>
    <row r="64">
      <c r="B64" s="10" t="inlineStr">
        <is>
          <t>Equity at end of period</t>
        </is>
      </c>
      <c r="E64" s="11">
        <f>IFERROR(SUM(E62:E63),0)</f>
        <v/>
      </c>
      <c r="F64" s="11">
        <f>IFERROR(SUM(F62:F63),0)</f>
        <v/>
      </c>
      <c r="G64" s="11">
        <f>IFERROR(SUM(G62:G63),0)</f>
        <v/>
      </c>
      <c r="H64" s="11">
        <f>IFERROR(SUM(H62:H63),0)</f>
        <v/>
      </c>
      <c r="I64" s="11">
        <f>IFERROR(SUM(I62:I63),0)</f>
        <v/>
      </c>
      <c r="J64" s="11">
        <f>IFERROR(SUM(J62:J63),0)</f>
        <v/>
      </c>
    </row>
    <row r="65">
      <c r="B65" s="5" t="inlineStr">
        <is>
          <t>Liabilities</t>
        </is>
      </c>
    </row>
    <row r="66">
      <c r="B66" s="5" t="inlineStr">
        <is>
          <t xml:space="preserve">Non-current liabilities </t>
        </is>
      </c>
    </row>
    <row r="67">
      <c r="B67" s="5" t="inlineStr">
        <is>
          <t xml:space="preserve">Non-current financial liabilities </t>
        </is>
      </c>
    </row>
    <row r="68">
      <c r="C68" s="5" t="inlineStr">
        <is>
          <t xml:space="preserve">Trade payables, non-current </t>
        </is>
      </c>
    </row>
    <row r="69">
      <c r="C69" s="6" t="inlineStr">
        <is>
          <t>Total other non-current financial liabilities</t>
        </is>
      </c>
      <c r="E69" s="7">
        <f>_xlfn.XLOOKUP("OtherNoncurrentFinancialLiabilities",LTI_HS_CONSOLIDATED!$C:$C,LTI_HS_CONSOLIDATED!D:D,0,0,1)</f>
        <v/>
      </c>
      <c r="F69" s="7">
        <f>_xlfn.XLOOKUP("OtherNoncurrentFinancialLiabilities",LTI_HS_CONSOLIDATED!$C:$C,LTI_HS_CONSOLIDATED!E:E,0,0,1)</f>
        <v/>
      </c>
      <c r="G69" s="7">
        <f>_xlfn.XLOOKUP("OtherNoncurrentFinancialLiabilities",LTI_HS_CONSOLIDATED!$C:$C,LTI_HS_CONSOLIDATED!F:F,0,0,1)</f>
        <v/>
      </c>
      <c r="H69" s="7">
        <f>_xlfn.XLOOKUP("OtherNoncurrentFinancialLiabilities",LTI_HS_CONSOLIDATED!$C:$C,LTI_HS_CONSOLIDATED!G:G,0,0,1)</f>
        <v/>
      </c>
      <c r="I69" s="7">
        <f>_xlfn.XLOOKUP("OtherNoncurrentFinancialLiabilities",LTI_HS_CONSOLIDATED!$C:$C,LTI_HS_CONSOLIDATED!H:H,0,0,1)</f>
        <v/>
      </c>
      <c r="J69" s="7">
        <f>_xlfn.XLOOKUP("OtherNoncurrentFinancialLiabilities",LTI_HS_CONSOLIDATED!$C:$C,LTI_HS_CONSOLIDATED!I:I,0,0,1)</f>
        <v/>
      </c>
    </row>
    <row r="70">
      <c r="C70" s="6" t="inlineStr">
        <is>
          <t>Total non-current financial liabilities</t>
        </is>
      </c>
      <c r="E70" s="7">
        <f>_xlfn.XLOOKUP("NoncurrentFinancialLiabilities",LTI_HS_CONSOLIDATED!$C:$C,LTI_HS_CONSOLIDATED!D:D,0,0,1)</f>
        <v/>
      </c>
      <c r="F70" s="7">
        <f>_xlfn.XLOOKUP("NoncurrentFinancialLiabilities",LTI_HS_CONSOLIDATED!$C:$C,LTI_HS_CONSOLIDATED!E:E,0,0,1)</f>
        <v/>
      </c>
      <c r="G70" s="7">
        <f>_xlfn.XLOOKUP("NoncurrentFinancialLiabilities",LTI_HS_CONSOLIDATED!$C:$C,LTI_HS_CONSOLIDATED!F:F,0,0,1)</f>
        <v/>
      </c>
      <c r="H70" s="7">
        <f>_xlfn.XLOOKUP("NoncurrentFinancialLiabilities",LTI_HS_CONSOLIDATED!$C:$C,LTI_HS_CONSOLIDATED!G:G,0,0,1)</f>
        <v/>
      </c>
      <c r="I70" s="7">
        <f>_xlfn.XLOOKUP("NoncurrentFinancialLiabilities",LTI_HS_CONSOLIDATED!$C:$C,LTI_HS_CONSOLIDATED!H:H,0,0,1)</f>
        <v/>
      </c>
      <c r="J70" s="7">
        <f>_xlfn.XLOOKUP("NoncurrentFinancialLiabilities",LTI_HS_CONSOLIDATED!$C:$C,LTI_HS_CONSOLIDATED!I:I,0,0,1)</f>
        <v/>
      </c>
    </row>
    <row r="71">
      <c r="D71" s="6" t="inlineStr">
        <is>
          <t>Provisions, non-current</t>
        </is>
      </c>
      <c r="E71" s="7">
        <f>_xlfn.XLOOKUP("ProvisionsNoncurrent",LTI_HS_CONSOLIDATED!$C:$C,LTI_HS_CONSOLIDATED!D:D,0,0,1)</f>
        <v/>
      </c>
      <c r="F71" s="7">
        <f>_xlfn.XLOOKUP("ProvisionsNoncurrent",LTI_HS_CONSOLIDATED!$C:$C,LTI_HS_CONSOLIDATED!E:E,0,0,1)</f>
        <v/>
      </c>
      <c r="G71" s="7">
        <f>_xlfn.XLOOKUP("ProvisionsNoncurrent",LTI_HS_CONSOLIDATED!$C:$C,LTI_HS_CONSOLIDATED!F:F,0,0,1)</f>
        <v/>
      </c>
      <c r="H71" s="7">
        <f>_xlfn.XLOOKUP("ProvisionsNoncurrent",LTI_HS_CONSOLIDATED!$C:$C,LTI_HS_CONSOLIDATED!G:G,0,0,1)</f>
        <v/>
      </c>
      <c r="I71" s="7">
        <f>_xlfn.XLOOKUP("ProvisionsNoncurrent",LTI_HS_CONSOLIDATED!$C:$C,LTI_HS_CONSOLIDATED!H:H,0,0,1)</f>
        <v/>
      </c>
      <c r="J71" s="7">
        <f>_xlfn.XLOOKUP("ProvisionsNoncurrent",LTI_HS_CONSOLIDATED!$C:$C,LTI_HS_CONSOLIDATED!I:I,0,0,1)</f>
        <v/>
      </c>
    </row>
    <row r="72">
      <c r="D72" s="6" t="inlineStr">
        <is>
          <t>Deferred tax liabilities (net)</t>
        </is>
      </c>
      <c r="E72" s="7">
        <f>_xlfn.XLOOKUP("DeferredTaxLiabilitiesNet",LTI_HS_CONSOLIDATED!$C:$C,LTI_HS_CONSOLIDATED!D:D,0,0,1)</f>
        <v/>
      </c>
      <c r="F72" s="7">
        <f>_xlfn.XLOOKUP("DeferredTaxLiabilitiesNet",LTI_HS_CONSOLIDATED!$C:$C,LTI_HS_CONSOLIDATED!E:E,0,0,1)</f>
        <v/>
      </c>
      <c r="G72" s="7">
        <f>_xlfn.XLOOKUP("DeferredTaxLiabilitiesNet",LTI_HS_CONSOLIDATED!$C:$C,LTI_HS_CONSOLIDATED!F:F,0,0,1)</f>
        <v/>
      </c>
      <c r="H72" s="7">
        <f>_xlfn.XLOOKUP("DeferredTaxLiabilitiesNet",LTI_HS_CONSOLIDATED!$C:$C,LTI_HS_CONSOLIDATED!G:G,0,0,1)</f>
        <v/>
      </c>
      <c r="I72" s="7">
        <f>_xlfn.XLOOKUP("DeferredTaxLiabilitiesNet",LTI_HS_CONSOLIDATED!$C:$C,LTI_HS_CONSOLIDATED!H:H,0,0,1)</f>
        <v/>
      </c>
      <c r="J72" s="7">
        <f>_xlfn.XLOOKUP("DeferredTaxLiabilitiesNet",LTI_HS_CONSOLIDATED!$C:$C,LTI_HS_CONSOLIDATED!I:I,0,0,1)</f>
        <v/>
      </c>
    </row>
    <row r="73">
      <c r="D73" s="6" t="inlineStr">
        <is>
          <t>Total other non-current liabilities</t>
        </is>
      </c>
      <c r="E73" s="7">
        <f>_xlfn.XLOOKUP("OtherNoncurrentLiabilities",LTI_HS_CONSOLIDATED!$C:$C,LTI_HS_CONSOLIDATED!D:D,0,0,1)</f>
        <v/>
      </c>
      <c r="F73" s="7">
        <f>_xlfn.XLOOKUP("OtherNoncurrentLiabilities",LTI_HS_CONSOLIDATED!$C:$C,LTI_HS_CONSOLIDATED!E:E,0,0,1)</f>
        <v/>
      </c>
      <c r="G73" s="7">
        <f>_xlfn.XLOOKUP("OtherNoncurrentLiabilities",LTI_HS_CONSOLIDATED!$C:$C,LTI_HS_CONSOLIDATED!F:F,0,0,1)</f>
        <v/>
      </c>
      <c r="H73" s="7">
        <f>_xlfn.XLOOKUP("OtherNoncurrentLiabilities",LTI_HS_CONSOLIDATED!$C:$C,LTI_HS_CONSOLIDATED!G:G,0,0,1)</f>
        <v/>
      </c>
      <c r="I73" s="7">
        <f>_xlfn.XLOOKUP("OtherNoncurrentLiabilities",LTI_HS_CONSOLIDATED!$C:$C,LTI_HS_CONSOLIDATED!H:H,0,0,1)</f>
        <v/>
      </c>
      <c r="J73" s="7">
        <f>_xlfn.XLOOKUP("OtherNoncurrentLiabilities",LTI_HS_CONSOLIDATED!$C:$C,LTI_HS_CONSOLIDATED!I:I,0,0,1)</f>
        <v/>
      </c>
    </row>
    <row r="74">
      <c r="B74" s="10" t="inlineStr">
        <is>
          <t>Total non-current liabilities</t>
        </is>
      </c>
      <c r="E74" s="11">
        <f>IFERROR(SUM(E69:E69)+SUM(E71:E73),0)</f>
        <v/>
      </c>
      <c r="F74" s="11">
        <f>IFERROR(SUM(F69:F69)+SUM(F71:F73),0)</f>
        <v/>
      </c>
      <c r="G74" s="11">
        <f>IFERROR(SUM(G69:G69)+SUM(G71:G73),0)</f>
        <v/>
      </c>
      <c r="H74" s="11">
        <f>IFERROR(SUM(H69:H69)+SUM(H71:H73),0)</f>
        <v/>
      </c>
      <c r="I74" s="11">
        <f>IFERROR(SUM(I69:I69)+SUM(I71:I73),0)</f>
        <v/>
      </c>
      <c r="J74" s="11">
        <f>IFERROR(SUM(J69:J69)+SUM(J71:J73),0)</f>
        <v/>
      </c>
    </row>
    <row r="75">
      <c r="B75" s="5" t="inlineStr">
        <is>
          <t xml:space="preserve">Current liabilities </t>
        </is>
      </c>
    </row>
    <row r="76">
      <c r="B76" s="5" t="inlineStr">
        <is>
          <t xml:space="preserve">Current financial liabilities </t>
        </is>
      </c>
    </row>
    <row r="77">
      <c r="C77" s="6" t="inlineStr">
        <is>
          <t>Borrowings, current</t>
        </is>
      </c>
      <c r="E77" s="7">
        <f>_xlfn.XLOOKUP("BorrowingsCurrent",LTI_HS_CONSOLIDATED!$C:$C,LTI_HS_CONSOLIDATED!D:D,0,0,1)</f>
        <v/>
      </c>
      <c r="F77" s="7">
        <f>_xlfn.XLOOKUP("BorrowingsCurrent",LTI_HS_CONSOLIDATED!$C:$C,LTI_HS_CONSOLIDATED!E:E,0,0,1)</f>
        <v/>
      </c>
      <c r="G77" s="7">
        <f>_xlfn.XLOOKUP("BorrowingsCurrent",LTI_HS_CONSOLIDATED!$C:$C,LTI_HS_CONSOLIDATED!F:F,0,0,1)</f>
        <v/>
      </c>
      <c r="H77" s="7">
        <f>_xlfn.XLOOKUP("BorrowingsCurrent",LTI_HS_CONSOLIDATED!$C:$C,LTI_HS_CONSOLIDATED!G:G,0,0,1)</f>
        <v/>
      </c>
      <c r="I77" s="7">
        <f>_xlfn.XLOOKUP("BorrowingsCurrent",LTI_HS_CONSOLIDATED!$C:$C,LTI_HS_CONSOLIDATED!H:H,0,0,1)</f>
        <v/>
      </c>
      <c r="J77" s="7">
        <f>_xlfn.XLOOKUP("BorrowingsCurrent",LTI_HS_CONSOLIDATED!$C:$C,LTI_HS_CONSOLIDATED!I:I,0,0,1)</f>
        <v/>
      </c>
    </row>
    <row r="78">
      <c r="C78" s="5" t="inlineStr">
        <is>
          <t xml:space="preserve">Trade payables, current </t>
        </is>
      </c>
    </row>
    <row r="79">
      <c r="D79" s="6" t="inlineStr">
        <is>
          <t>Total trade payables, current</t>
        </is>
      </c>
      <c r="E79" s="7">
        <f>_xlfn.XLOOKUP("TradePayablesCurrent",LTI_HS_CONSOLIDATED!$C:$C,LTI_HS_CONSOLIDATED!D:D,0,0,1)</f>
        <v/>
      </c>
      <c r="F79" s="7">
        <f>_xlfn.XLOOKUP("TradePayablesCurrent",LTI_HS_CONSOLIDATED!$C:$C,LTI_HS_CONSOLIDATED!E:E,0,0,1)</f>
        <v/>
      </c>
      <c r="G79" s="7">
        <f>_xlfn.XLOOKUP("TradePayablesCurrent",LTI_HS_CONSOLIDATED!$C:$C,LTI_HS_CONSOLIDATED!F:F,0,0,1)</f>
        <v/>
      </c>
      <c r="H79" s="7">
        <f>_xlfn.XLOOKUP("TradePayablesCurrent",LTI_HS_CONSOLIDATED!$C:$C,LTI_HS_CONSOLIDATED!G:G,0,0,1)</f>
        <v/>
      </c>
      <c r="I79" s="7">
        <f>_xlfn.XLOOKUP("TradePayablesCurrent",LTI_HS_CONSOLIDATED!$C:$C,LTI_HS_CONSOLIDATED!H:H,0,0,1)</f>
        <v/>
      </c>
      <c r="J79" s="7">
        <f>_xlfn.XLOOKUP("TradePayablesCurrent",LTI_HS_CONSOLIDATED!$C:$C,LTI_HS_CONSOLIDATED!I:I,0,0,1)</f>
        <v/>
      </c>
    </row>
    <row r="80">
      <c r="C80" s="6" t="inlineStr">
        <is>
          <t>Total other current financial liabilities</t>
        </is>
      </c>
      <c r="E80" s="7">
        <f>_xlfn.XLOOKUP("OtherCurrentFinancialLiabilities",LTI_HS_CONSOLIDATED!$C:$C,LTI_HS_CONSOLIDATED!D:D,0,0,1)</f>
        <v/>
      </c>
      <c r="F80" s="7">
        <f>_xlfn.XLOOKUP("OtherCurrentFinancialLiabilities",LTI_HS_CONSOLIDATED!$C:$C,LTI_HS_CONSOLIDATED!E:E,0,0,1)</f>
        <v/>
      </c>
      <c r="G80" s="7">
        <f>_xlfn.XLOOKUP("OtherCurrentFinancialLiabilities",LTI_HS_CONSOLIDATED!$C:$C,LTI_HS_CONSOLIDATED!F:F,0,0,1)</f>
        <v/>
      </c>
      <c r="H80" s="7">
        <f>_xlfn.XLOOKUP("OtherCurrentFinancialLiabilities",LTI_HS_CONSOLIDATED!$C:$C,LTI_HS_CONSOLIDATED!G:G,0,0,1)</f>
        <v/>
      </c>
      <c r="I80" s="7">
        <f>_xlfn.XLOOKUP("OtherCurrentFinancialLiabilities",LTI_HS_CONSOLIDATED!$C:$C,LTI_HS_CONSOLIDATED!H:H,0,0,1)</f>
        <v/>
      </c>
      <c r="J80" s="7">
        <f>_xlfn.XLOOKUP("OtherCurrentFinancialLiabilities",LTI_HS_CONSOLIDATED!$C:$C,LTI_HS_CONSOLIDATED!I:I,0,0,1)</f>
        <v/>
      </c>
    </row>
    <row r="81">
      <c r="B81" s="6" t="inlineStr">
        <is>
          <t>Total current financial liabilities</t>
        </is>
      </c>
      <c r="E81" s="7">
        <f>_xlfn.XLOOKUP("CurrentFinancialLiabilities",LTI_HS_CONSOLIDATED!$C:$C,LTI_HS_CONSOLIDATED!D:D,0,0,1)</f>
        <v/>
      </c>
      <c r="F81" s="7">
        <f>_xlfn.XLOOKUP("CurrentFinancialLiabilities",LTI_HS_CONSOLIDATED!$C:$C,LTI_HS_CONSOLIDATED!E:E,0,0,1)</f>
        <v/>
      </c>
      <c r="G81" s="7">
        <f>_xlfn.XLOOKUP("CurrentFinancialLiabilities",LTI_HS_CONSOLIDATED!$C:$C,LTI_HS_CONSOLIDATED!F:F,0,0,1)</f>
        <v/>
      </c>
      <c r="H81" s="7">
        <f>_xlfn.XLOOKUP("CurrentFinancialLiabilities",LTI_HS_CONSOLIDATED!$C:$C,LTI_HS_CONSOLIDATED!G:G,0,0,1)</f>
        <v/>
      </c>
      <c r="I81" s="7">
        <f>_xlfn.XLOOKUP("CurrentFinancialLiabilities",LTI_HS_CONSOLIDATED!$C:$C,LTI_HS_CONSOLIDATED!H:H,0,0,1)</f>
        <v/>
      </c>
      <c r="J81" s="7">
        <f>_xlfn.XLOOKUP("CurrentFinancialLiabilities",LTI_HS_CONSOLIDATED!$C:$C,LTI_HS_CONSOLIDATED!I:I,0,0,1)</f>
        <v/>
      </c>
    </row>
    <row r="82">
      <c r="C82" s="6" t="inlineStr">
        <is>
          <t>Total other current liabilities</t>
        </is>
      </c>
      <c r="E82" s="7">
        <f>_xlfn.XLOOKUP("OtherCurrentLiabilities",LTI_HS_CONSOLIDATED!$C:$C,LTI_HS_CONSOLIDATED!D:D,0,0,1)</f>
        <v/>
      </c>
      <c r="F82" s="7">
        <f>_xlfn.XLOOKUP("OtherCurrentLiabilities",LTI_HS_CONSOLIDATED!$C:$C,LTI_HS_CONSOLIDATED!E:E,0,0,1)</f>
        <v/>
      </c>
      <c r="G82" s="7">
        <f>_xlfn.XLOOKUP("OtherCurrentLiabilities",LTI_HS_CONSOLIDATED!$C:$C,LTI_HS_CONSOLIDATED!F:F,0,0,1)</f>
        <v/>
      </c>
      <c r="H82" s="7">
        <f>_xlfn.XLOOKUP("OtherCurrentLiabilities",LTI_HS_CONSOLIDATED!$C:$C,LTI_HS_CONSOLIDATED!G:G,0,0,1)</f>
        <v/>
      </c>
      <c r="I82" s="7">
        <f>_xlfn.XLOOKUP("OtherCurrentLiabilities",LTI_HS_CONSOLIDATED!$C:$C,LTI_HS_CONSOLIDATED!H:H,0,0,1)</f>
        <v/>
      </c>
      <c r="J82" s="7">
        <f>_xlfn.XLOOKUP("OtherCurrentLiabilities",LTI_HS_CONSOLIDATED!$C:$C,LTI_HS_CONSOLIDATED!I:I,0,0,1)</f>
        <v/>
      </c>
    </row>
    <row r="83">
      <c r="C83" s="6" t="inlineStr">
        <is>
          <t>Provisions, current</t>
        </is>
      </c>
      <c r="E83" s="7">
        <f>_xlfn.XLOOKUP("ProvisionsCurrent",LTI_HS_CONSOLIDATED!$C:$C,LTI_HS_CONSOLIDATED!D:D,0,0,1)</f>
        <v/>
      </c>
      <c r="F83" s="7">
        <f>_xlfn.XLOOKUP("ProvisionsCurrent",LTI_HS_CONSOLIDATED!$C:$C,LTI_HS_CONSOLIDATED!E:E,0,0,1)</f>
        <v/>
      </c>
      <c r="G83" s="7">
        <f>_xlfn.XLOOKUP("ProvisionsCurrent",LTI_HS_CONSOLIDATED!$C:$C,LTI_HS_CONSOLIDATED!F:F,0,0,1)</f>
        <v/>
      </c>
      <c r="H83" s="7">
        <f>_xlfn.XLOOKUP("ProvisionsCurrent",LTI_HS_CONSOLIDATED!$C:$C,LTI_HS_CONSOLIDATED!G:G,0,0,1)</f>
        <v/>
      </c>
      <c r="I83" s="7">
        <f>_xlfn.XLOOKUP("ProvisionsCurrent",LTI_HS_CONSOLIDATED!$C:$C,LTI_HS_CONSOLIDATED!H:H,0,0,1)</f>
        <v/>
      </c>
      <c r="J83" s="7">
        <f>_xlfn.XLOOKUP("ProvisionsCurrent",LTI_HS_CONSOLIDATED!$C:$C,LTI_HS_CONSOLIDATED!I:I,0,0,1)</f>
        <v/>
      </c>
    </row>
    <row r="84">
      <c r="C84" s="6" t="inlineStr">
        <is>
          <t>Current tax liabilities</t>
        </is>
      </c>
      <c r="E84" s="7">
        <f>_xlfn.XLOOKUP("CurrentTaxLiabilities",LTI_HS_CONSOLIDATED!$C:$C,LTI_HS_CONSOLIDATED!D:D,0,0,1)</f>
        <v/>
      </c>
      <c r="F84" s="7">
        <f>_xlfn.XLOOKUP("CurrentTaxLiabilities",LTI_HS_CONSOLIDATED!$C:$C,LTI_HS_CONSOLIDATED!E:E,0,0,1)</f>
        <v/>
      </c>
      <c r="G84" s="7">
        <f>_xlfn.XLOOKUP("CurrentTaxLiabilities",LTI_HS_CONSOLIDATED!$C:$C,LTI_HS_CONSOLIDATED!F:F,0,0,1)</f>
        <v/>
      </c>
      <c r="H84" s="7">
        <f>_xlfn.XLOOKUP("CurrentTaxLiabilities",LTI_HS_CONSOLIDATED!$C:$C,LTI_HS_CONSOLIDATED!G:G,0,0,1)</f>
        <v/>
      </c>
      <c r="I84" s="7">
        <f>_xlfn.XLOOKUP("CurrentTaxLiabilities",LTI_HS_CONSOLIDATED!$C:$C,LTI_HS_CONSOLIDATED!H:H,0,0,1)</f>
        <v/>
      </c>
      <c r="J84" s="7">
        <f>_xlfn.XLOOKUP("CurrentTaxLiabilities",LTI_HS_CONSOLIDATED!$C:$C,LTI_HS_CONSOLIDATED!I:I,0,0,1)</f>
        <v/>
      </c>
    </row>
    <row r="85">
      <c r="B85" s="10" t="inlineStr">
        <is>
          <t>Total current liabilities</t>
        </is>
      </c>
      <c r="E85" s="11">
        <f>IFERROR(SUM(E77:E77)+SUM(E79:E80)+SUM(E82:E84),0)</f>
        <v/>
      </c>
      <c r="F85" s="11">
        <f>IFERROR(SUM(F77:F77)+SUM(F79:F80)+SUM(F82:F84),0)</f>
        <v/>
      </c>
      <c r="G85" s="11">
        <f>IFERROR(SUM(G77:G77)+SUM(G79:G80)+SUM(G82:G84),0)</f>
        <v/>
      </c>
      <c r="H85" s="11">
        <f>IFERROR(SUM(H77:H77)+SUM(H79:H80)+SUM(H82:H84),0)</f>
        <v/>
      </c>
      <c r="I85" s="11">
        <f>IFERROR(SUM(I77:I77)+SUM(I79:I80)+SUM(I82:I84),0)</f>
        <v/>
      </c>
      <c r="J85" s="11">
        <f>IFERROR(SUM(J77:J77)+SUM(J79:J80)+SUM(J82:J84),0)</f>
        <v/>
      </c>
    </row>
    <row r="86">
      <c r="B86" s="10" t="inlineStr">
        <is>
          <t>Liabilities</t>
        </is>
      </c>
      <c r="E86" s="11">
        <f>IFERROR(SUM(E85:E85)+E74,0)</f>
        <v/>
      </c>
      <c r="F86" s="11">
        <f>IFERROR(SUM(F85:F85)+F74,0)</f>
        <v/>
      </c>
      <c r="G86" s="11">
        <f>IFERROR(SUM(G85:G85)+G74,0)</f>
        <v/>
      </c>
      <c r="H86" s="11">
        <f>IFERROR(SUM(H85:H85)+H74,0)</f>
        <v/>
      </c>
      <c r="I86" s="11">
        <f>IFERROR(SUM(I85:I85)+I74,0)</f>
        <v/>
      </c>
      <c r="J86" s="11">
        <f>IFERROR(SUM(J85:J85)+J74,0)</f>
        <v/>
      </c>
    </row>
    <row r="87">
      <c r="B87" s="10" t="inlineStr">
        <is>
          <t>Total equity and liabilities</t>
        </is>
      </c>
      <c r="E87" s="11">
        <f>IFERROR(E64+E86,0)</f>
        <v/>
      </c>
      <c r="F87" s="11">
        <f>IFERROR(F64+F86,0)</f>
        <v/>
      </c>
      <c r="G87" s="11">
        <f>IFERROR(G64+G86,0)</f>
        <v/>
      </c>
      <c r="H87" s="11">
        <f>IFERROR(H64+H86,0)</f>
        <v/>
      </c>
      <c r="I87" s="11">
        <f>IFERROR(I64+I86,0)</f>
        <v/>
      </c>
      <c r="J87" s="11">
        <f>IFERROR(J64+J86,0)</f>
        <v/>
      </c>
    </row>
    <row r="88">
      <c r="B88" s="12" t="inlineStr">
        <is>
          <t>BALANCE CHECK (Total Assets − Total Equity &amp; Liabilities)</t>
        </is>
      </c>
      <c r="E88" s="13">
        <f>E57-E87</f>
        <v/>
      </c>
      <c r="F88" s="13">
        <f>F57-F87</f>
        <v/>
      </c>
      <c r="G88" s="13">
        <f>G57-G87</f>
        <v/>
      </c>
      <c r="H88" s="13">
        <f>H57-H87</f>
        <v/>
      </c>
      <c r="I88" s="13">
        <f>I57-I87</f>
        <v/>
      </c>
      <c r="J88" s="13">
        <f>J57-J87</f>
        <v/>
      </c>
    </row>
    <row r="89" ht="15.5" customHeight="1" s="203">
      <c r="A89" s="2" t="inlineStr">
        <is>
          <t>#</t>
        </is>
      </c>
      <c r="B89" s="3" t="inlineStr">
        <is>
          <t>Statement of Cash Flows</t>
        </is>
      </c>
    </row>
    <row r="90">
      <c r="B90" s="5" t="inlineStr">
        <is>
          <t>Cash flows from used in operating activities</t>
        </is>
      </c>
    </row>
    <row r="91">
      <c r="C91" s="6" t="inlineStr">
        <is>
          <t>Total profit before tax</t>
        </is>
      </c>
      <c r="E91" s="7">
        <f>_xlfn.XLOOKUP("ProfitBeforeTax",LTI_HS_CONSOLIDATED!$C:$C,LTI_HS_CONSOLIDATED!D:D,0,0,1)</f>
        <v/>
      </c>
      <c r="F91" s="7">
        <f>_xlfn.XLOOKUP("ProfitBeforeTax",LTI_HS_CONSOLIDATED!$C:$C,LTI_HS_CONSOLIDATED!E:E,0,0,1)</f>
        <v/>
      </c>
      <c r="G91" s="7">
        <f>_xlfn.XLOOKUP("ProfitBeforeTax",LTI_HS_CONSOLIDATED!$C:$C,LTI_HS_CONSOLIDATED!F:F,0,0,1)</f>
        <v/>
      </c>
      <c r="H91" s="7">
        <f>_xlfn.XLOOKUP("ProfitBeforeTax",LTI_HS_CONSOLIDATED!$C:$C,LTI_HS_CONSOLIDATED!G:G,0,0,1)</f>
        <v/>
      </c>
      <c r="I91" s="7">
        <f>_xlfn.XLOOKUP("ProfitBeforeTax",LTI_HS_CONSOLIDATED!$C:$C,LTI_HS_CONSOLIDATED!H:H,0,0,1)</f>
        <v/>
      </c>
      <c r="J91" s="7">
        <f>_xlfn.XLOOKUP("ProfitBeforeTax",LTI_HS_CONSOLIDATED!$C:$C,LTI_HS_CONSOLIDATED!I:I,0,0,1)</f>
        <v/>
      </c>
    </row>
    <row r="92">
      <c r="C92" s="5" t="inlineStr">
        <is>
          <t xml:space="preserve">Adjustments for reconcile profit (loss) </t>
        </is>
      </c>
    </row>
    <row r="93">
      <c r="D93" s="6" t="inlineStr">
        <is>
          <t>Adjustments for finance costs</t>
        </is>
      </c>
      <c r="E93" s="7">
        <f>_xlfn.XLOOKUP("AdjustmentsForFinanceCosts",LTI_HS_CONSOLIDATED!$C:$C,LTI_HS_CONSOLIDATED!D:D,0,0,1)</f>
        <v/>
      </c>
      <c r="F93" s="7">
        <f>_xlfn.XLOOKUP("AdjustmentsForFinanceCosts",LTI_HS_CONSOLIDATED!$C:$C,LTI_HS_CONSOLIDATED!E:E,0,0,1)</f>
        <v/>
      </c>
      <c r="G93" s="7">
        <f>_xlfn.XLOOKUP("AdjustmentsForFinanceCosts",LTI_HS_CONSOLIDATED!$C:$C,LTI_HS_CONSOLIDATED!F:F,0,0,1)</f>
        <v/>
      </c>
      <c r="H93" s="7">
        <f>_xlfn.XLOOKUP("AdjustmentsForFinanceCosts",LTI_HS_CONSOLIDATED!$C:$C,LTI_HS_CONSOLIDATED!G:G,0,0,1)</f>
        <v/>
      </c>
      <c r="I93" s="7">
        <f>_xlfn.XLOOKUP("AdjustmentsForFinanceCosts",LTI_HS_CONSOLIDATED!$C:$C,LTI_HS_CONSOLIDATED!H:H,0,0,1)</f>
        <v/>
      </c>
      <c r="J93" s="7">
        <f>_xlfn.XLOOKUP("AdjustmentsForFinanceCosts",LTI_HS_CONSOLIDATED!$C:$C,LTI_HS_CONSOLIDATED!I:I,0,0,1)</f>
        <v/>
      </c>
    </row>
    <row r="94">
      <c r="D94" s="6" t="inlineStr">
        <is>
          <t>Adjustments for decrease (increase) in trade receivables, current</t>
        </is>
      </c>
      <c r="E94" s="7">
        <f>_xlfn.XLOOKUP("AdjustmentsForDecreaseIncreaseInTradeReceivablesCurrent",LTI_HS_CONSOLIDATED!$C:$C,LTI_HS_CONSOLIDATED!D:D,0,0,1)</f>
        <v/>
      </c>
      <c r="F94" s="7">
        <f>_xlfn.XLOOKUP("AdjustmentsForDecreaseIncreaseInTradeReceivablesCurrent",LTI_HS_CONSOLIDATED!$C:$C,LTI_HS_CONSOLIDATED!E:E,0,0,1)</f>
        <v/>
      </c>
      <c r="G94" s="7">
        <f>_xlfn.XLOOKUP("AdjustmentsForDecreaseIncreaseInTradeReceivablesCurrent",LTI_HS_CONSOLIDATED!$C:$C,LTI_HS_CONSOLIDATED!F:F,0,0,1)</f>
        <v/>
      </c>
      <c r="H94" s="7">
        <f>_xlfn.XLOOKUP("AdjustmentsForDecreaseIncreaseInTradeReceivablesCurrent",LTI_HS_CONSOLIDATED!$C:$C,LTI_HS_CONSOLIDATED!G:G,0,0,1)</f>
        <v/>
      </c>
      <c r="I94" s="7">
        <f>_xlfn.XLOOKUP("AdjustmentsForDecreaseIncreaseInTradeReceivablesCurrent",LTI_HS_CONSOLIDATED!$C:$C,LTI_HS_CONSOLIDATED!H:H,0,0,1)</f>
        <v/>
      </c>
      <c r="J94" s="7">
        <f>_xlfn.XLOOKUP("AdjustmentsForDecreaseIncreaseInTradeReceivablesCurrent",LTI_HS_CONSOLIDATED!$C:$C,LTI_HS_CONSOLIDATED!I:I,0,0,1)</f>
        <v/>
      </c>
    </row>
    <row r="95">
      <c r="D95" s="6" t="inlineStr">
        <is>
          <t>Adjustments for decrease (increase) in other current assets</t>
        </is>
      </c>
      <c r="E95" s="7">
        <f>_xlfn.XLOOKUP("AdjustmentsForDecreaseIncreaseInOtherCurrentAssets",LTI_HS_CONSOLIDATED!$C:$C,LTI_HS_CONSOLIDATED!D:D,0,0,1)</f>
        <v/>
      </c>
      <c r="F95" s="7">
        <f>_xlfn.XLOOKUP("AdjustmentsForDecreaseIncreaseInOtherCurrentAssets",LTI_HS_CONSOLIDATED!$C:$C,LTI_HS_CONSOLIDATED!E:E,0,0,1)</f>
        <v/>
      </c>
      <c r="G95" s="7">
        <f>_xlfn.XLOOKUP("AdjustmentsForDecreaseIncreaseInOtherCurrentAssets",LTI_HS_CONSOLIDATED!$C:$C,LTI_HS_CONSOLIDATED!F:F,0,0,1)</f>
        <v/>
      </c>
      <c r="H95" s="7">
        <f>_xlfn.XLOOKUP("AdjustmentsForDecreaseIncreaseInOtherCurrentAssets",LTI_HS_CONSOLIDATED!$C:$C,LTI_HS_CONSOLIDATED!G:G,0,0,1)</f>
        <v/>
      </c>
      <c r="I95" s="7">
        <f>_xlfn.XLOOKUP("AdjustmentsForDecreaseIncreaseInOtherCurrentAssets",LTI_HS_CONSOLIDATED!$C:$C,LTI_HS_CONSOLIDATED!H:H,0,0,1)</f>
        <v/>
      </c>
      <c r="J95" s="7">
        <f>_xlfn.XLOOKUP("AdjustmentsForDecreaseIncreaseInOtherCurrentAssets",LTI_HS_CONSOLIDATED!$C:$C,LTI_HS_CONSOLIDATED!I:I,0,0,1)</f>
        <v/>
      </c>
    </row>
    <row r="96">
      <c r="D96" s="6" t="inlineStr">
        <is>
          <t>Adjustments for decrease (increase) in other non-current assets</t>
        </is>
      </c>
      <c r="E96" s="7">
        <f>_xlfn.XLOOKUP("AdjustmentsForDecreaseIncreaseInOtherNoncurrentAssets",LTI_HS_CONSOLIDATED!$C:$C,LTI_HS_CONSOLIDATED!D:D,0,0,1)</f>
        <v/>
      </c>
      <c r="F96" s="7">
        <f>_xlfn.XLOOKUP("AdjustmentsForDecreaseIncreaseInOtherNoncurrentAssets",LTI_HS_CONSOLIDATED!$C:$C,LTI_HS_CONSOLIDATED!E:E,0,0,1)</f>
        <v/>
      </c>
      <c r="G96" s="7">
        <f>_xlfn.XLOOKUP("AdjustmentsForDecreaseIncreaseInOtherNoncurrentAssets",LTI_HS_CONSOLIDATED!$C:$C,LTI_HS_CONSOLIDATED!F:F,0,0,1)</f>
        <v/>
      </c>
      <c r="H96" s="7">
        <f>_xlfn.XLOOKUP("AdjustmentsForDecreaseIncreaseInOtherNoncurrentAssets",LTI_HS_CONSOLIDATED!$C:$C,LTI_HS_CONSOLIDATED!G:G,0,0,1)</f>
        <v/>
      </c>
      <c r="I96" s="7">
        <f>_xlfn.XLOOKUP("AdjustmentsForDecreaseIncreaseInOtherNoncurrentAssets",LTI_HS_CONSOLIDATED!$C:$C,LTI_HS_CONSOLIDATED!H:H,0,0,1)</f>
        <v/>
      </c>
      <c r="J96" s="7">
        <f>_xlfn.XLOOKUP("AdjustmentsForDecreaseIncreaseInOtherNoncurrentAssets",LTI_HS_CONSOLIDATED!$C:$C,LTI_HS_CONSOLIDATED!I:I,0,0,1)</f>
        <v/>
      </c>
    </row>
    <row r="97">
      <c r="D97" s="6" t="inlineStr">
        <is>
          <t>Adjustments for increase (decrease) in trade payables, current</t>
        </is>
      </c>
      <c r="E97" s="7">
        <f>_xlfn.XLOOKUP("AdjustmentsForIncreaseDecreaseInTradePayablesCurrent",LTI_HS_CONSOLIDATED!$C:$C,LTI_HS_CONSOLIDATED!D:D,0,0,1)</f>
        <v/>
      </c>
      <c r="F97" s="7">
        <f>_xlfn.XLOOKUP("AdjustmentsForIncreaseDecreaseInTradePayablesCurrent",LTI_HS_CONSOLIDATED!$C:$C,LTI_HS_CONSOLIDATED!E:E,0,0,1)</f>
        <v/>
      </c>
      <c r="G97" s="7">
        <f>_xlfn.XLOOKUP("AdjustmentsForIncreaseDecreaseInTradePayablesCurrent",LTI_HS_CONSOLIDATED!$C:$C,LTI_HS_CONSOLIDATED!F:F,0,0,1)</f>
        <v/>
      </c>
      <c r="H97" s="7">
        <f>_xlfn.XLOOKUP("AdjustmentsForIncreaseDecreaseInTradePayablesCurrent",LTI_HS_CONSOLIDATED!$C:$C,LTI_HS_CONSOLIDATED!G:G,0,0,1)</f>
        <v/>
      </c>
      <c r="I97" s="7">
        <f>_xlfn.XLOOKUP("AdjustmentsForIncreaseDecreaseInTradePayablesCurrent",LTI_HS_CONSOLIDATED!$C:$C,LTI_HS_CONSOLIDATED!H:H,0,0,1)</f>
        <v/>
      </c>
      <c r="J97" s="7">
        <f>_xlfn.XLOOKUP("AdjustmentsForIncreaseDecreaseInTradePayablesCurrent",LTI_HS_CONSOLIDATED!$C:$C,LTI_HS_CONSOLIDATED!I:I,0,0,1)</f>
        <v/>
      </c>
    </row>
    <row r="98">
      <c r="D98" s="6" t="inlineStr">
        <is>
          <t>Adjustments for depreciation and amortisation expense</t>
        </is>
      </c>
      <c r="E98" s="7">
        <f>_xlfn.XLOOKUP("AdjustmentsForDepreciationAndAmortisationExpense",LTI_HS_CONSOLIDATED!$C:$C,LTI_HS_CONSOLIDATED!D:D,0,0,1)</f>
        <v/>
      </c>
      <c r="F98" s="7">
        <f>_xlfn.XLOOKUP("AdjustmentsForDepreciationAndAmortisationExpense",LTI_HS_CONSOLIDATED!$C:$C,LTI_HS_CONSOLIDATED!E:E,0,0,1)</f>
        <v/>
      </c>
      <c r="G98" s="7">
        <f>_xlfn.XLOOKUP("AdjustmentsForDepreciationAndAmortisationExpense",LTI_HS_CONSOLIDATED!$C:$C,LTI_HS_CONSOLIDATED!F:F,0,0,1)</f>
        <v/>
      </c>
      <c r="H98" s="7">
        <f>_xlfn.XLOOKUP("AdjustmentsForDepreciationAndAmortisationExpense",LTI_HS_CONSOLIDATED!$C:$C,LTI_HS_CONSOLIDATED!G:G,0,0,1)</f>
        <v/>
      </c>
      <c r="I98" s="7">
        <f>_xlfn.XLOOKUP("AdjustmentsForDepreciationAndAmortisationExpense",LTI_HS_CONSOLIDATED!$C:$C,LTI_HS_CONSOLIDATED!H:H,0,0,1)</f>
        <v/>
      </c>
      <c r="J98" s="7">
        <f>_xlfn.XLOOKUP("AdjustmentsForDepreciationAndAmortisationExpense",LTI_HS_CONSOLIDATED!$C:$C,LTI_HS_CONSOLIDATED!I:I,0,0,1)</f>
        <v/>
      </c>
    </row>
    <row r="99">
      <c r="D99" s="6" t="inlineStr">
        <is>
          <t>Adjustments for unrealised foreign exchange losses gains</t>
        </is>
      </c>
      <c r="E99" s="7">
        <f>_xlfn.XLOOKUP("AdjustmentsForUnrealisedForeignExchangeLossesGains",LTI_HS_CONSOLIDATED!$C:$C,LTI_HS_CONSOLIDATED!D:D,0,0,1)</f>
        <v/>
      </c>
      <c r="F99" s="7">
        <f>_xlfn.XLOOKUP("AdjustmentsForUnrealisedForeignExchangeLossesGains",LTI_HS_CONSOLIDATED!$C:$C,LTI_HS_CONSOLIDATED!E:E,0,0,1)</f>
        <v/>
      </c>
      <c r="G99" s="7">
        <f>_xlfn.XLOOKUP("AdjustmentsForUnrealisedForeignExchangeLossesGains",LTI_HS_CONSOLIDATED!$C:$C,LTI_HS_CONSOLIDATED!F:F,0,0,1)</f>
        <v/>
      </c>
      <c r="H99" s="7">
        <f>_xlfn.XLOOKUP("AdjustmentsForUnrealisedForeignExchangeLossesGains",LTI_HS_CONSOLIDATED!$C:$C,LTI_HS_CONSOLIDATED!G:G,0,0,1)</f>
        <v/>
      </c>
      <c r="I99" s="7">
        <f>_xlfn.XLOOKUP("AdjustmentsForUnrealisedForeignExchangeLossesGains",LTI_HS_CONSOLIDATED!$C:$C,LTI_HS_CONSOLIDATED!H:H,0,0,1)</f>
        <v/>
      </c>
      <c r="J99" s="7">
        <f>_xlfn.XLOOKUP("AdjustmentsForUnrealisedForeignExchangeLossesGains",LTI_HS_CONSOLIDATED!$C:$C,LTI_HS_CONSOLIDATED!I:I,0,0,1)</f>
        <v/>
      </c>
    </row>
    <row r="100">
      <c r="D100" s="6" t="inlineStr">
        <is>
          <t>Adjustments for interest income</t>
        </is>
      </c>
      <c r="E100" s="7">
        <f>_xlfn.XLOOKUP("AdjustmentsForInterestIncome",LTI_HS_CONSOLIDATED!$C:$C,LTI_HS_CONSOLIDATED!D:D,0,0,1)</f>
        <v/>
      </c>
      <c r="F100" s="7">
        <f>_xlfn.XLOOKUP("AdjustmentsForInterestIncome",LTI_HS_CONSOLIDATED!$C:$C,LTI_HS_CONSOLIDATED!E:E,0,0,1)</f>
        <v/>
      </c>
      <c r="G100" s="7">
        <f>_xlfn.XLOOKUP("AdjustmentsForInterestIncome",LTI_HS_CONSOLIDATED!$C:$C,LTI_HS_CONSOLIDATED!F:F,0,0,1)</f>
        <v/>
      </c>
      <c r="H100" s="7">
        <f>_xlfn.XLOOKUP("AdjustmentsForInterestIncome",LTI_HS_CONSOLIDATED!$C:$C,LTI_HS_CONSOLIDATED!G:G,0,0,1)</f>
        <v/>
      </c>
      <c r="I100" s="7">
        <f>_xlfn.XLOOKUP("AdjustmentsForInterestIncome",LTI_HS_CONSOLIDATED!$C:$C,LTI_HS_CONSOLIDATED!H:H,0,0,1)</f>
        <v/>
      </c>
      <c r="J100" s="7">
        <f>_xlfn.XLOOKUP("AdjustmentsForInterestIncome",LTI_HS_CONSOLIDATED!$C:$C,LTI_HS_CONSOLIDATED!I:I,0,0,1)</f>
        <v/>
      </c>
    </row>
    <row r="101">
      <c r="D101" s="6" t="inlineStr">
        <is>
          <t>Adjustments for share-based payments</t>
        </is>
      </c>
      <c r="E101" s="7">
        <f>_xlfn.XLOOKUP("AdjustmentsForSharebasedPayments",LTI_HS_CONSOLIDATED!$C:$C,LTI_HS_CONSOLIDATED!D:D,0,0,1)</f>
        <v/>
      </c>
      <c r="F101" s="7">
        <f>_xlfn.XLOOKUP("AdjustmentsForSharebasedPayments",LTI_HS_CONSOLIDATED!$C:$C,LTI_HS_CONSOLIDATED!E:E,0,0,1)</f>
        <v/>
      </c>
      <c r="G101" s="7">
        <f>_xlfn.XLOOKUP("AdjustmentsForSharebasedPayments",LTI_HS_CONSOLIDATED!$C:$C,LTI_HS_CONSOLIDATED!F:F,0,0,1)</f>
        <v/>
      </c>
      <c r="H101" s="7">
        <f>_xlfn.XLOOKUP("AdjustmentsForSharebasedPayments",LTI_HS_CONSOLIDATED!$C:$C,LTI_HS_CONSOLIDATED!G:G,0,0,1)</f>
        <v/>
      </c>
      <c r="I101" s="7">
        <f>_xlfn.XLOOKUP("AdjustmentsForSharebasedPayments",LTI_HS_CONSOLIDATED!$C:$C,LTI_HS_CONSOLIDATED!H:H,0,0,1)</f>
        <v/>
      </c>
      <c r="J101" s="7">
        <f>_xlfn.XLOOKUP("AdjustmentsForSharebasedPayments",LTI_HS_CONSOLIDATED!$C:$C,LTI_HS_CONSOLIDATED!I:I,0,0,1)</f>
        <v/>
      </c>
    </row>
    <row r="102">
      <c r="D102" s="6" t="inlineStr">
        <is>
          <t>Other adjustments for which cash effects are investing or financing cash flow</t>
        </is>
      </c>
      <c r="E102" s="7">
        <f>_xlfn.XLOOKUP("OtherAdjustmentsForWhichCashEffectsAreInvestingOrFinancingCashFlow",LTI_HS_CONSOLIDATED!$C:$C,LTI_HS_CONSOLIDATED!D:D,0,0,1)</f>
        <v/>
      </c>
      <c r="F102" s="7">
        <f>_xlfn.XLOOKUP("OtherAdjustmentsForWhichCashEffectsAreInvestingOrFinancingCashFlow",LTI_HS_CONSOLIDATED!$C:$C,LTI_HS_CONSOLIDATED!E:E,0,0,1)</f>
        <v/>
      </c>
      <c r="G102" s="7">
        <f>_xlfn.XLOOKUP("OtherAdjustmentsForWhichCashEffectsAreInvestingOrFinancingCashFlow",LTI_HS_CONSOLIDATED!$C:$C,LTI_HS_CONSOLIDATED!F:F,0,0,1)</f>
        <v/>
      </c>
      <c r="H102" s="7">
        <f>_xlfn.XLOOKUP("OtherAdjustmentsForWhichCashEffectsAreInvestingOrFinancingCashFlow",LTI_HS_CONSOLIDATED!$C:$C,LTI_HS_CONSOLIDATED!G:G,0,0,1)</f>
        <v/>
      </c>
      <c r="I102" s="7">
        <f>_xlfn.XLOOKUP("OtherAdjustmentsForWhichCashEffectsAreInvestingOrFinancingCashFlow",LTI_HS_CONSOLIDATED!$C:$C,LTI_HS_CONSOLIDATED!H:H,0,0,1)</f>
        <v/>
      </c>
      <c r="J102" s="7">
        <f>_xlfn.XLOOKUP("OtherAdjustmentsForWhichCashEffectsAreInvestingOrFinancingCashFlow",LTI_HS_CONSOLIDATED!$C:$C,LTI_HS_CONSOLIDATED!I:I,0,0,1)</f>
        <v/>
      </c>
    </row>
    <row r="103">
      <c r="D103" s="6" t="inlineStr">
        <is>
          <t>Other adjustments to reconcile profit (loss)</t>
        </is>
      </c>
      <c r="E103" s="7">
        <f>_xlfn.XLOOKUP("OtherAdjustmentsToReconcileProfitLoss",LTI_HS_CONSOLIDATED!$C:$C,LTI_HS_CONSOLIDATED!D:D,0,0,1)</f>
        <v/>
      </c>
      <c r="F103" s="7">
        <f>_xlfn.XLOOKUP("OtherAdjustmentsToReconcileProfitLoss",LTI_HS_CONSOLIDATED!$C:$C,LTI_HS_CONSOLIDATED!E:E,0,0,1)</f>
        <v/>
      </c>
      <c r="G103" s="7">
        <f>_xlfn.XLOOKUP("OtherAdjustmentsToReconcileProfitLoss",LTI_HS_CONSOLIDATED!$C:$C,LTI_HS_CONSOLIDATED!F:F,0,0,1)</f>
        <v/>
      </c>
      <c r="H103" s="7">
        <f>_xlfn.XLOOKUP("OtherAdjustmentsToReconcileProfitLoss",LTI_HS_CONSOLIDATED!$C:$C,LTI_HS_CONSOLIDATED!G:G,0,0,1)</f>
        <v/>
      </c>
      <c r="I103" s="7">
        <f>_xlfn.XLOOKUP("OtherAdjustmentsToReconcileProfitLoss",LTI_HS_CONSOLIDATED!$C:$C,LTI_HS_CONSOLIDATED!H:H,0,0,1)</f>
        <v/>
      </c>
      <c r="J103" s="7">
        <f>_xlfn.XLOOKUP("OtherAdjustmentsToReconcileProfitLoss",LTI_HS_CONSOLIDATED!$C:$C,LTI_HS_CONSOLIDATED!I:I,0,0,1)</f>
        <v/>
      </c>
    </row>
    <row r="104">
      <c r="D104" s="6" t="inlineStr">
        <is>
          <t>Other adjustments for non-cash items</t>
        </is>
      </c>
      <c r="E104" s="7">
        <f>_xlfn.XLOOKUP("OtherAdjustmentsForNoncashItems",LTI_HS_CONSOLIDATED!$C:$C,LTI_HS_CONSOLIDATED!D:D,0,0,1)</f>
        <v/>
      </c>
      <c r="F104" s="7">
        <f>_xlfn.XLOOKUP("OtherAdjustmentsForNoncashItems",LTI_HS_CONSOLIDATED!$C:$C,LTI_HS_CONSOLIDATED!E:E,0,0,1)</f>
        <v/>
      </c>
      <c r="G104" s="7">
        <f>_xlfn.XLOOKUP("OtherAdjustmentsForNoncashItems",LTI_HS_CONSOLIDATED!$C:$C,LTI_HS_CONSOLIDATED!F:F,0,0,1)</f>
        <v/>
      </c>
      <c r="H104" s="7">
        <f>_xlfn.XLOOKUP("OtherAdjustmentsForNoncashItems",LTI_HS_CONSOLIDATED!$C:$C,LTI_HS_CONSOLIDATED!G:G,0,0,1)</f>
        <v/>
      </c>
      <c r="I104" s="7">
        <f>_xlfn.XLOOKUP("OtherAdjustmentsForNoncashItems",LTI_HS_CONSOLIDATED!$C:$C,LTI_HS_CONSOLIDATED!H:H,0,0,1)</f>
        <v/>
      </c>
      <c r="J104" s="7">
        <f>_xlfn.XLOOKUP("OtherAdjustmentsForNoncashItems",LTI_HS_CONSOLIDATED!$C:$C,LTI_HS_CONSOLIDATED!I:I,0,0,1)</f>
        <v/>
      </c>
    </row>
    <row r="105">
      <c r="D105" s="6" t="inlineStr">
        <is>
          <t>Total adjustments for reconcile profit (loss)</t>
        </is>
      </c>
      <c r="E105" s="7">
        <f>_xlfn.XLOOKUP("AdjustmentsForReconcileProfitLoss",LTI_HS_CONSOLIDATED!$C:$C,LTI_HS_CONSOLIDATED!D:D,0,0,1)</f>
        <v/>
      </c>
      <c r="F105" s="7">
        <f>_xlfn.XLOOKUP("AdjustmentsForReconcileProfitLoss",LTI_HS_CONSOLIDATED!$C:$C,LTI_HS_CONSOLIDATED!E:E,0,0,1)</f>
        <v/>
      </c>
      <c r="G105" s="7">
        <f>_xlfn.XLOOKUP("AdjustmentsForReconcileProfitLoss",LTI_HS_CONSOLIDATED!$C:$C,LTI_HS_CONSOLIDATED!F:F,0,0,1)</f>
        <v/>
      </c>
      <c r="H105" s="7">
        <f>_xlfn.XLOOKUP("AdjustmentsForReconcileProfitLoss",LTI_HS_CONSOLIDATED!$C:$C,LTI_HS_CONSOLIDATED!G:G,0,0,1)</f>
        <v/>
      </c>
      <c r="I105" s="7">
        <f>_xlfn.XLOOKUP("AdjustmentsForReconcileProfitLoss",LTI_HS_CONSOLIDATED!$C:$C,LTI_HS_CONSOLIDATED!H:H,0,0,1)</f>
        <v/>
      </c>
      <c r="J105" s="7">
        <f>_xlfn.XLOOKUP("AdjustmentsForReconcileProfitLoss",LTI_HS_CONSOLIDATED!$C:$C,LTI_HS_CONSOLIDATED!I:I,0,0,1)</f>
        <v/>
      </c>
    </row>
    <row r="106">
      <c r="C106" s="8" t="inlineStr">
        <is>
          <t>Net cash flows from (used in) operations</t>
        </is>
      </c>
      <c r="E106" s="9">
        <f>IFERROR(E105+E91,0)</f>
        <v/>
      </c>
      <c r="F106" s="9">
        <f>IFERROR(F105+F91,0)</f>
        <v/>
      </c>
      <c r="G106" s="9">
        <f>IFERROR(G105+G91,0)</f>
        <v/>
      </c>
      <c r="H106" s="9">
        <f>IFERROR(H105+H91,0)</f>
        <v/>
      </c>
      <c r="I106" s="9">
        <f>IFERROR(I105+I91,0)</f>
        <v/>
      </c>
      <c r="J106" s="9">
        <f>IFERROR(J105+J91,0)</f>
        <v/>
      </c>
    </row>
    <row r="107">
      <c r="C107" s="6" t="inlineStr">
        <is>
          <t>Income taxes paid (refund)</t>
        </is>
      </c>
      <c r="E107" s="7">
        <f>-_xlfn.XLOOKUP("IncomeTaxesPaidRefundClassifiedAsOperatingActivities",LTI_HS_CONSOLIDATED!$C:$C,LTI_HS_CONSOLIDATED!D:D,0,0,1)</f>
        <v/>
      </c>
      <c r="F107" s="7">
        <f>-_xlfn.XLOOKUP("IncomeTaxesPaidRefundClassifiedAsOperatingActivities",LTI_HS_CONSOLIDATED!$C:$C,LTI_HS_CONSOLIDATED!E:E,0,0,1)</f>
        <v/>
      </c>
      <c r="G107" s="7">
        <f>-_xlfn.XLOOKUP("IncomeTaxesPaidRefundClassifiedAsOperatingActivities",LTI_HS_CONSOLIDATED!$C:$C,LTI_HS_CONSOLIDATED!F:F,0,0,1)</f>
        <v/>
      </c>
      <c r="H107" s="7">
        <f>-_xlfn.XLOOKUP("IncomeTaxesPaidRefundClassifiedAsOperatingActivities",LTI_HS_CONSOLIDATED!$C:$C,LTI_HS_CONSOLIDATED!G:G,0,0,1)</f>
        <v/>
      </c>
      <c r="I107" s="7">
        <f>-_xlfn.XLOOKUP("IncomeTaxesPaidRefundClassifiedAsOperatingActivities",LTI_HS_CONSOLIDATED!$C:$C,LTI_HS_CONSOLIDATED!H:H,0,0,1)</f>
        <v/>
      </c>
      <c r="J107" s="7">
        <f>-_xlfn.XLOOKUP("IncomeTaxesPaidRefundClassifiedAsOperatingActivities",LTI_HS_CONSOLIDATED!$C:$C,LTI_HS_CONSOLIDATED!I:I,0,0,1)</f>
        <v/>
      </c>
    </row>
    <row r="108">
      <c r="C108" s="8" t="inlineStr">
        <is>
          <t>Net cash flows from (used in) operating activities</t>
        </is>
      </c>
      <c r="E108" s="9">
        <f>IFERROR(SUM(E106:E107),0)</f>
        <v/>
      </c>
      <c r="F108" s="9">
        <f>IFERROR(SUM(F106:F107),0)</f>
        <v/>
      </c>
      <c r="G108" s="9">
        <f>IFERROR(SUM(G106:G107),0)</f>
        <v/>
      </c>
      <c r="H108" s="9">
        <f>IFERROR(SUM(H106:H107),0)</f>
        <v/>
      </c>
      <c r="I108" s="9">
        <f>IFERROR(SUM(I106:I107),0)</f>
        <v/>
      </c>
      <c r="J108" s="9">
        <f>IFERROR(SUM(J106:J107),0)</f>
        <v/>
      </c>
    </row>
    <row r="109">
      <c r="C109" s="5" t="inlineStr">
        <is>
          <t>Cash flows from used in investing activities [Abstract]</t>
        </is>
      </c>
    </row>
    <row r="110">
      <c r="D110" s="6" t="inlineStr">
        <is>
          <t>Cash flows used in obtaining control of subsidiaries or other businesses</t>
        </is>
      </c>
      <c r="E110" s="7">
        <f>-_xlfn.XLOOKUP("CashFlowsUsedInObtainingControlOfSubsidiariesOrOtherBusinessesClassifiedAsInvestingActivities",LTI_HS_CONSOLIDATED!$C:$C,LTI_HS_CONSOLIDATED!D:D,0,0,1)</f>
        <v/>
      </c>
      <c r="F110" s="7">
        <f>-_xlfn.XLOOKUP("CashFlowsUsedInObtainingControlOfSubsidiariesOrOtherBusinessesClassifiedAsInvestingActivities",LTI_HS_CONSOLIDATED!$C:$C,LTI_HS_CONSOLIDATED!E:E,0,0,1)</f>
        <v/>
      </c>
      <c r="G110" s="7">
        <f>-_xlfn.XLOOKUP("CashFlowsUsedInObtainingControlOfSubsidiariesOrOtherBusinessesClassifiedAsInvestingActivities",LTI_HS_CONSOLIDATED!$C:$C,LTI_HS_CONSOLIDATED!F:F,0,0,1)</f>
        <v/>
      </c>
      <c r="H110" s="7">
        <f>-_xlfn.XLOOKUP("CashFlowsUsedInObtainingControlOfSubsidiariesOrOtherBusinessesClassifiedAsInvestingActivities",LTI_HS_CONSOLIDATED!$C:$C,LTI_HS_CONSOLIDATED!G:G,0,0,1)</f>
        <v/>
      </c>
      <c r="I110" s="7">
        <f>-_xlfn.XLOOKUP("CashFlowsUsedInObtainingControlOfSubsidiariesOrOtherBusinessesClassifiedAsInvestingActivities",LTI_HS_CONSOLIDATED!$C:$C,LTI_HS_CONSOLIDATED!H:H,0,0,1)</f>
        <v/>
      </c>
      <c r="J110" s="7">
        <f>-_xlfn.XLOOKUP("CashFlowsUsedInObtainingControlOfSubsidiariesOrOtherBusinessesClassifiedAsInvestingActivities",LTI_HS_CONSOLIDATED!$C:$C,LTI_HS_CONSOLIDATED!I:I,0,0,1)</f>
        <v/>
      </c>
    </row>
    <row r="111">
      <c r="D111" s="6" t="inlineStr">
        <is>
          <t>Other cash payments to acquire equity or debt instruments of other entities</t>
        </is>
      </c>
      <c r="E111" s="7">
        <f>-_xlfn.XLOOKUP("OtherCashPaymentsToAcquireEquityOrDebtInstrumentsOfOtherEntitiesClassifiedAsInvestingActivities",LTI_HS_CONSOLIDATED!$C:$C,LTI_HS_CONSOLIDATED!D:D,0,0,1)</f>
        <v/>
      </c>
      <c r="F111" s="7">
        <f>-_xlfn.XLOOKUP("OtherCashPaymentsToAcquireEquityOrDebtInstrumentsOfOtherEntitiesClassifiedAsInvestingActivities",LTI_HS_CONSOLIDATED!$C:$C,LTI_HS_CONSOLIDATED!E:E,0,0,1)</f>
        <v/>
      </c>
      <c r="G111" s="7">
        <f>-_xlfn.XLOOKUP("OtherCashPaymentsToAcquireEquityOrDebtInstrumentsOfOtherEntitiesClassifiedAsInvestingActivities",LTI_HS_CONSOLIDATED!$C:$C,LTI_HS_CONSOLIDATED!F:F,0,0,1)</f>
        <v/>
      </c>
      <c r="H111" s="7">
        <f>-_xlfn.XLOOKUP("OtherCashPaymentsToAcquireEquityOrDebtInstrumentsOfOtherEntitiesClassifiedAsInvestingActivities",LTI_HS_CONSOLIDATED!$C:$C,LTI_HS_CONSOLIDATED!G:G,0,0,1)</f>
        <v/>
      </c>
      <c r="I111" s="7">
        <f>-_xlfn.XLOOKUP("OtherCashPaymentsToAcquireEquityOrDebtInstrumentsOfOtherEntitiesClassifiedAsInvestingActivities",LTI_HS_CONSOLIDATED!$C:$C,LTI_HS_CONSOLIDATED!H:H,0,0,1)</f>
        <v/>
      </c>
      <c r="J111" s="7">
        <f>-_xlfn.XLOOKUP("OtherCashPaymentsToAcquireEquityOrDebtInstrumentsOfOtherEntitiesClassifiedAsInvestingActivities",LTI_HS_CONSOLIDATED!$C:$C,LTI_HS_CONSOLIDATED!I:I,0,0,1)</f>
        <v/>
      </c>
    </row>
    <row r="112">
      <c r="D112" s="6" t="inlineStr">
        <is>
          <t>Proceeds from sales of property, plant and equipment</t>
        </is>
      </c>
      <c r="E112" s="7">
        <f>_xlfn.XLOOKUP("ProceedsFromSalesOfPropertyPlantAndEquipmentClassifiedAsInvestingActivities",LTI_HS_CONSOLIDATED!$C:$C,LTI_HS_CONSOLIDATED!D:D,0,0,1)</f>
        <v/>
      </c>
      <c r="F112" s="7">
        <f>_xlfn.XLOOKUP("ProceedsFromSalesOfPropertyPlantAndEquipmentClassifiedAsInvestingActivities",LTI_HS_CONSOLIDATED!$C:$C,LTI_HS_CONSOLIDATED!E:E,0,0,1)</f>
        <v/>
      </c>
      <c r="G112" s="7">
        <f>_xlfn.XLOOKUP("ProceedsFromSalesOfPropertyPlantAndEquipmentClassifiedAsInvestingActivities",LTI_HS_CONSOLIDATED!$C:$C,LTI_HS_CONSOLIDATED!F:F,0,0,1)</f>
        <v/>
      </c>
      <c r="H112" s="7">
        <f>_xlfn.XLOOKUP("ProceedsFromSalesOfPropertyPlantAndEquipmentClassifiedAsInvestingActivities",LTI_HS_CONSOLIDATED!$C:$C,LTI_HS_CONSOLIDATED!G:G,0,0,1)</f>
        <v/>
      </c>
      <c r="I112" s="7">
        <f>_xlfn.XLOOKUP("ProceedsFromSalesOfPropertyPlantAndEquipmentClassifiedAsInvestingActivities",LTI_HS_CONSOLIDATED!$C:$C,LTI_HS_CONSOLIDATED!H:H,0,0,1)</f>
        <v/>
      </c>
      <c r="J112" s="7">
        <f>_xlfn.XLOOKUP("ProceedsFromSalesOfPropertyPlantAndEquipmentClassifiedAsInvestingActivities",LTI_HS_CONSOLIDATED!$C:$C,LTI_HS_CONSOLIDATED!I:I,0,0,1)</f>
        <v/>
      </c>
    </row>
    <row r="113">
      <c r="D113" s="6" t="inlineStr">
        <is>
          <t>Purchase of property, plant and equipment</t>
        </is>
      </c>
      <c r="E113" s="7">
        <f>-_xlfn.XLOOKUP("PurchaseOfPropertyPlantAndEquipmentClassifiedAsInvestingActivities",LTI_HS_CONSOLIDATED!$C:$C,LTI_HS_CONSOLIDATED!D:D,0,0,1)</f>
        <v/>
      </c>
      <c r="F113" s="7">
        <f>-_xlfn.XLOOKUP("PurchaseOfPropertyPlantAndEquipmentClassifiedAsInvestingActivities",LTI_HS_CONSOLIDATED!$C:$C,LTI_HS_CONSOLIDATED!E:E,0,0,1)</f>
        <v/>
      </c>
      <c r="G113" s="7">
        <f>-_xlfn.XLOOKUP("PurchaseOfPropertyPlantAndEquipmentClassifiedAsInvestingActivities",LTI_HS_CONSOLIDATED!$C:$C,LTI_HS_CONSOLIDATED!F:F,0,0,1)</f>
        <v/>
      </c>
      <c r="H113" s="7">
        <f>-_xlfn.XLOOKUP("PurchaseOfPropertyPlantAndEquipmentClassifiedAsInvestingActivities",LTI_HS_CONSOLIDATED!$C:$C,LTI_HS_CONSOLIDATED!G:G,0,0,1)</f>
        <v/>
      </c>
      <c r="I113" s="7">
        <f>-_xlfn.XLOOKUP("PurchaseOfPropertyPlantAndEquipmentClassifiedAsInvestingActivities",LTI_HS_CONSOLIDATED!$C:$C,LTI_HS_CONSOLIDATED!H:H,0,0,1)</f>
        <v/>
      </c>
      <c r="J113" s="7">
        <f>-_xlfn.XLOOKUP("PurchaseOfPropertyPlantAndEquipmentClassifiedAsInvestingActivities",LTI_HS_CONSOLIDATED!$C:$C,LTI_HS_CONSOLIDATED!I:I,0,0,1)</f>
        <v/>
      </c>
    </row>
    <row r="114">
      <c r="D114" s="6" t="inlineStr">
        <is>
          <t>Interest received</t>
        </is>
      </c>
      <c r="E114" s="7">
        <f>_xlfn.XLOOKUP("InterestReceivedClassifiedAsInvestingActivities",LTI_HS_CONSOLIDATED!$C:$C,LTI_HS_CONSOLIDATED!D:D,0,0,1)</f>
        <v/>
      </c>
      <c r="F114" s="7">
        <f>_xlfn.XLOOKUP("InterestReceivedClassifiedAsInvestingActivities",LTI_HS_CONSOLIDATED!$C:$C,LTI_HS_CONSOLIDATED!E:E,0,0,1)</f>
        <v/>
      </c>
      <c r="G114" s="7">
        <f>_xlfn.XLOOKUP("InterestReceivedClassifiedAsInvestingActivities",LTI_HS_CONSOLIDATED!$C:$C,LTI_HS_CONSOLIDATED!F:F,0,0,1)</f>
        <v/>
      </c>
      <c r="H114" s="7">
        <f>_xlfn.XLOOKUP("InterestReceivedClassifiedAsInvestingActivities",LTI_HS_CONSOLIDATED!$C:$C,LTI_HS_CONSOLIDATED!G:G,0,0,1)</f>
        <v/>
      </c>
      <c r="I114" s="7">
        <f>_xlfn.XLOOKUP("InterestReceivedClassifiedAsInvestingActivities",LTI_HS_CONSOLIDATED!$C:$C,LTI_HS_CONSOLIDATED!H:H,0,0,1)</f>
        <v/>
      </c>
      <c r="J114" s="7">
        <f>_xlfn.XLOOKUP("InterestReceivedClassifiedAsInvestingActivities",LTI_HS_CONSOLIDATED!$C:$C,LTI_HS_CONSOLIDATED!I:I,0,0,1)</f>
        <v/>
      </c>
    </row>
    <row r="115">
      <c r="D115" s="6" t="inlineStr">
        <is>
          <t>Other inflows (outflows) of cash</t>
        </is>
      </c>
      <c r="E115" s="7">
        <f>_xlfn.XLOOKUP("OtherInflowsOutflowsOfCashClassifiedAsInvestingActivities",LTI_HS_CONSOLIDATED!$C:$C,LTI_HS_CONSOLIDATED!D:D,0,0,1)</f>
        <v/>
      </c>
      <c r="F115" s="7">
        <f>_xlfn.XLOOKUP("OtherInflowsOutflowsOfCashClassifiedAsInvestingActivities",LTI_HS_CONSOLIDATED!$C:$C,LTI_HS_CONSOLIDATED!E:E,0,0,1)</f>
        <v/>
      </c>
      <c r="G115" s="7">
        <f>_xlfn.XLOOKUP("OtherInflowsOutflowsOfCashClassifiedAsInvestingActivities",LTI_HS_CONSOLIDATED!$C:$C,LTI_HS_CONSOLIDATED!F:F,0,0,1)</f>
        <v/>
      </c>
      <c r="H115" s="7">
        <f>_xlfn.XLOOKUP("OtherInflowsOutflowsOfCashClassifiedAsInvestingActivities",LTI_HS_CONSOLIDATED!$C:$C,LTI_HS_CONSOLIDATED!G:G,0,0,1)</f>
        <v/>
      </c>
      <c r="I115" s="7">
        <f>_xlfn.XLOOKUP("OtherInflowsOutflowsOfCashClassifiedAsInvestingActivities",LTI_HS_CONSOLIDATED!$C:$C,LTI_HS_CONSOLIDATED!H:H,0,0,1)</f>
        <v/>
      </c>
      <c r="J115" s="7">
        <f>_xlfn.XLOOKUP("OtherInflowsOutflowsOfCashClassifiedAsInvestingActivities",LTI_HS_CONSOLIDATED!$C:$C,LTI_HS_CONSOLIDATED!I:I,0,0,1)</f>
        <v/>
      </c>
    </row>
    <row r="116">
      <c r="D116" s="8" t="inlineStr">
        <is>
          <t>Net cash flows from (used in) investing activities</t>
        </is>
      </c>
      <c r="E116" s="9">
        <f>IFERROR(SUM(E110:E115),0)</f>
        <v/>
      </c>
      <c r="F116" s="9">
        <f>IFERROR(SUM(F110:F115),0)</f>
        <v/>
      </c>
      <c r="G116" s="9">
        <f>IFERROR(SUM(G110:G115),0)</f>
        <v/>
      </c>
      <c r="H116" s="9">
        <f>IFERROR(SUM(H110:H115),0)</f>
        <v/>
      </c>
      <c r="I116" s="9">
        <f>IFERROR(SUM(I110:I115),0)</f>
        <v/>
      </c>
      <c r="J116" s="9">
        <f>IFERROR(SUM(J110:J115),0)</f>
        <v/>
      </c>
    </row>
    <row r="117">
      <c r="C117" s="5" t="inlineStr">
        <is>
          <t>Cash flows from used in financing activities [Abstract]</t>
        </is>
      </c>
    </row>
    <row r="118">
      <c r="D118" s="6" t="inlineStr">
        <is>
          <t>Proceeds from issuing shares</t>
        </is>
      </c>
      <c r="E118" s="7">
        <f>_xlfn.XLOOKUP("ProceedsFromIssuingSharesClassifiedAsFinancingActivities",LTI_HS_CONSOLIDATED!$C:$C,LTI_HS_CONSOLIDATED!D:D,0,0,1)</f>
        <v/>
      </c>
      <c r="F118" s="7">
        <f>_xlfn.XLOOKUP("ProceedsFromIssuingSharesClassifiedAsFinancingActivities",LTI_HS_CONSOLIDATED!$C:$C,LTI_HS_CONSOLIDATED!E:E,0,0,1)</f>
        <v/>
      </c>
      <c r="G118" s="7">
        <f>_xlfn.XLOOKUP("ProceedsFromIssuingSharesClassifiedAsFinancingActivities",LTI_HS_CONSOLIDATED!$C:$C,LTI_HS_CONSOLIDATED!F:F,0,0,1)</f>
        <v/>
      </c>
      <c r="H118" s="7">
        <f>_xlfn.XLOOKUP("ProceedsFromIssuingSharesClassifiedAsFinancingActivities",LTI_HS_CONSOLIDATED!$C:$C,LTI_HS_CONSOLIDATED!G:G,0,0,1)</f>
        <v/>
      </c>
      <c r="I118" s="7">
        <f>_xlfn.XLOOKUP("ProceedsFromIssuingSharesClassifiedAsFinancingActivities",LTI_HS_CONSOLIDATED!$C:$C,LTI_HS_CONSOLIDATED!H:H,0,0,1)</f>
        <v/>
      </c>
      <c r="J118" s="7">
        <f>_xlfn.XLOOKUP("ProceedsFromIssuingSharesClassifiedAsFinancingActivities",LTI_HS_CONSOLIDATED!$C:$C,LTI_HS_CONSOLIDATED!I:I,0,0,1)</f>
        <v/>
      </c>
    </row>
    <row r="119">
      <c r="D119" s="6" t="inlineStr">
        <is>
          <t>Proceeds from borrowings</t>
        </is>
      </c>
      <c r="E119" s="7">
        <f>_xlfn.XLOOKUP("ProceedsFromBorrowingsClassifiedAsFinancingActivities",LTI_HS_CONSOLIDATED!$C:$C,LTI_HS_CONSOLIDATED!D:D,0,0,1)</f>
        <v/>
      </c>
      <c r="F119" s="7">
        <f>_xlfn.XLOOKUP("ProceedsFromBorrowingsClassifiedAsFinancingActivities",LTI_HS_CONSOLIDATED!$C:$C,LTI_HS_CONSOLIDATED!E:E,0,0,1)</f>
        <v/>
      </c>
      <c r="G119" s="7">
        <f>_xlfn.XLOOKUP("ProceedsFromBorrowingsClassifiedAsFinancingActivities",LTI_HS_CONSOLIDATED!$C:$C,LTI_HS_CONSOLIDATED!F:F,0,0,1)</f>
        <v/>
      </c>
      <c r="H119" s="7">
        <f>_xlfn.XLOOKUP("ProceedsFromBorrowingsClassifiedAsFinancingActivities",LTI_HS_CONSOLIDATED!$C:$C,LTI_HS_CONSOLIDATED!G:G,0,0,1)</f>
        <v/>
      </c>
      <c r="I119" s="7">
        <f>_xlfn.XLOOKUP("ProceedsFromBorrowingsClassifiedAsFinancingActivities",LTI_HS_CONSOLIDATED!$C:$C,LTI_HS_CONSOLIDATED!H:H,0,0,1)</f>
        <v/>
      </c>
      <c r="J119" s="7">
        <f>_xlfn.XLOOKUP("ProceedsFromBorrowingsClassifiedAsFinancingActivities",LTI_HS_CONSOLIDATED!$C:$C,LTI_HS_CONSOLIDATED!I:I,0,0,1)</f>
        <v/>
      </c>
    </row>
    <row r="120">
      <c r="D120" s="6" t="inlineStr">
        <is>
          <t>Repayments of borrowings</t>
        </is>
      </c>
      <c r="E120" s="7">
        <f>-_xlfn.XLOOKUP("RepaymentsOfBorrowingsClassifiedAsFinancingActivities",LTI_HS_CONSOLIDATED!$C:$C,LTI_HS_CONSOLIDATED!D:D,0,0,1)</f>
        <v/>
      </c>
      <c r="F120" s="7">
        <f>-_xlfn.XLOOKUP("RepaymentsOfBorrowingsClassifiedAsFinancingActivities",LTI_HS_CONSOLIDATED!$C:$C,LTI_HS_CONSOLIDATED!E:E,0,0,1)</f>
        <v/>
      </c>
      <c r="G120" s="7">
        <f>-_xlfn.XLOOKUP("RepaymentsOfBorrowingsClassifiedAsFinancingActivities",LTI_HS_CONSOLIDATED!$C:$C,LTI_HS_CONSOLIDATED!F:F,0,0,1)</f>
        <v/>
      </c>
      <c r="H120" s="7">
        <f>-_xlfn.XLOOKUP("RepaymentsOfBorrowingsClassifiedAsFinancingActivities",LTI_HS_CONSOLIDATED!$C:$C,LTI_HS_CONSOLIDATED!G:G,0,0,1)</f>
        <v/>
      </c>
      <c r="I120" s="7">
        <f>-_xlfn.XLOOKUP("RepaymentsOfBorrowingsClassifiedAsFinancingActivities",LTI_HS_CONSOLIDATED!$C:$C,LTI_HS_CONSOLIDATED!H:H,0,0,1)</f>
        <v/>
      </c>
      <c r="J120" s="7">
        <f>-_xlfn.XLOOKUP("RepaymentsOfBorrowingsClassifiedAsFinancingActivities",LTI_HS_CONSOLIDATED!$C:$C,LTI_HS_CONSOLIDATED!I:I,0,0,1)</f>
        <v/>
      </c>
    </row>
    <row r="121">
      <c r="D121" s="6" t="inlineStr">
        <is>
          <t>Payments of lease liabilities</t>
        </is>
      </c>
      <c r="E121" s="7">
        <f>-_xlfn.XLOOKUP("PaymentsOfLeaseLiabilitiesClassifiedAsFinancingActivities",LTI_HS_CONSOLIDATED!$C:$C,LTI_HS_CONSOLIDATED!D:D,0,0,1)</f>
        <v/>
      </c>
      <c r="F121" s="7">
        <f>-_xlfn.XLOOKUP("PaymentsOfLeaseLiabilitiesClassifiedAsFinancingActivities",LTI_HS_CONSOLIDATED!$C:$C,LTI_HS_CONSOLIDATED!E:E,0,0,1)</f>
        <v/>
      </c>
      <c r="G121" s="7">
        <f>-_xlfn.XLOOKUP("PaymentsOfLeaseLiabilitiesClassifiedAsFinancingActivities",LTI_HS_CONSOLIDATED!$C:$C,LTI_HS_CONSOLIDATED!F:F,0,0,1)</f>
        <v/>
      </c>
      <c r="H121" s="7">
        <f>-_xlfn.XLOOKUP("PaymentsOfLeaseLiabilitiesClassifiedAsFinancingActivities",LTI_HS_CONSOLIDATED!$C:$C,LTI_HS_CONSOLIDATED!G:G,0,0,1)</f>
        <v/>
      </c>
      <c r="I121" s="7">
        <f>-_xlfn.XLOOKUP("PaymentsOfLeaseLiabilitiesClassifiedAsFinancingActivities",LTI_HS_CONSOLIDATED!$C:$C,LTI_HS_CONSOLIDATED!H:H,0,0,1)</f>
        <v/>
      </c>
      <c r="J121" s="7">
        <f>-_xlfn.XLOOKUP("PaymentsOfLeaseLiabilitiesClassifiedAsFinancingActivities",LTI_HS_CONSOLIDATED!$C:$C,LTI_HS_CONSOLIDATED!I:I,0,0,1)</f>
        <v/>
      </c>
    </row>
    <row r="122">
      <c r="D122" s="6" t="inlineStr">
        <is>
          <t>Dividends paid</t>
        </is>
      </c>
      <c r="E122" s="7">
        <f>-_xlfn.XLOOKUP("DividendsPaidClassifiedAsFinancingActivities",LTI_HS_CONSOLIDATED!$C:$C,LTI_HS_CONSOLIDATED!D:D,0,0,1)</f>
        <v/>
      </c>
      <c r="F122" s="7">
        <f>-_xlfn.XLOOKUP("DividendsPaidClassifiedAsFinancingActivities",LTI_HS_CONSOLIDATED!$C:$C,LTI_HS_CONSOLIDATED!E:E,0,0,1)</f>
        <v/>
      </c>
      <c r="G122" s="7">
        <f>-_xlfn.XLOOKUP("DividendsPaidClassifiedAsFinancingActivities",LTI_HS_CONSOLIDATED!$C:$C,LTI_HS_CONSOLIDATED!F:F,0,0,1)</f>
        <v/>
      </c>
      <c r="H122" s="7">
        <f>-_xlfn.XLOOKUP("DividendsPaidClassifiedAsFinancingActivities",LTI_HS_CONSOLIDATED!$C:$C,LTI_HS_CONSOLIDATED!G:G,0,0,1)</f>
        <v/>
      </c>
      <c r="I122" s="7">
        <f>-_xlfn.XLOOKUP("DividendsPaidClassifiedAsFinancingActivities",LTI_HS_CONSOLIDATED!$C:$C,LTI_HS_CONSOLIDATED!H:H,0,0,1)</f>
        <v/>
      </c>
      <c r="J122" s="7">
        <f>-_xlfn.XLOOKUP("DividendsPaidClassifiedAsFinancingActivities",LTI_HS_CONSOLIDATED!$C:$C,LTI_HS_CONSOLIDATED!I:I,0,0,1)</f>
        <v/>
      </c>
    </row>
    <row r="123">
      <c r="D123" s="6" t="inlineStr">
        <is>
          <t>Interest paid</t>
        </is>
      </c>
      <c r="E123" s="7">
        <f>-_xlfn.XLOOKUP("InterestPaidClassifiedAsFinancingActivities",LTI_HS_CONSOLIDATED!$C:$C,LTI_HS_CONSOLIDATED!D:D,0,0,1)</f>
        <v/>
      </c>
      <c r="F123" s="7">
        <f>-_xlfn.XLOOKUP("InterestPaidClassifiedAsFinancingActivities",LTI_HS_CONSOLIDATED!$C:$C,LTI_HS_CONSOLIDATED!E:E,0,0,1)</f>
        <v/>
      </c>
      <c r="G123" s="7">
        <f>-_xlfn.XLOOKUP("InterestPaidClassifiedAsFinancingActivities",LTI_HS_CONSOLIDATED!$C:$C,LTI_HS_CONSOLIDATED!F:F,0,0,1)</f>
        <v/>
      </c>
      <c r="H123" s="7">
        <f>-_xlfn.XLOOKUP("InterestPaidClassifiedAsFinancingActivities",LTI_HS_CONSOLIDATED!$C:$C,LTI_HS_CONSOLIDATED!G:G,0,0,1)</f>
        <v/>
      </c>
      <c r="I123" s="7">
        <f>-_xlfn.XLOOKUP("InterestPaidClassifiedAsFinancingActivities",LTI_HS_CONSOLIDATED!$C:$C,LTI_HS_CONSOLIDATED!H:H,0,0,1)</f>
        <v/>
      </c>
      <c r="J123" s="7">
        <f>-_xlfn.XLOOKUP("InterestPaidClassifiedAsFinancingActivities",LTI_HS_CONSOLIDATED!$C:$C,LTI_HS_CONSOLIDATED!I:I,0,0,1)</f>
        <v/>
      </c>
    </row>
    <row r="124">
      <c r="D124" s="6" t="inlineStr">
        <is>
          <t>Other inflows (outflows) of cash</t>
        </is>
      </c>
      <c r="E124" s="7">
        <f>_xlfn.XLOOKUP("OtherInflowsOutflowsOfCashClassifiedAsFinancingActivities",LTI_HS_CONSOLIDATED!$C:$C,LTI_HS_CONSOLIDATED!D:D,0,0,1)</f>
        <v/>
      </c>
      <c r="F124" s="7">
        <f>_xlfn.XLOOKUP("OtherInflowsOutflowsOfCashClassifiedAsFinancingActivities",LTI_HS_CONSOLIDATED!$C:$C,LTI_HS_CONSOLIDATED!E:E,0,0,1)</f>
        <v/>
      </c>
      <c r="G124" s="7">
        <f>_xlfn.XLOOKUP("OtherInflowsOutflowsOfCashClassifiedAsFinancingActivities",LTI_HS_CONSOLIDATED!$C:$C,LTI_HS_CONSOLIDATED!F:F,0,0,1)</f>
        <v/>
      </c>
      <c r="H124" s="7">
        <f>_xlfn.XLOOKUP("OtherInflowsOutflowsOfCashClassifiedAsFinancingActivities",LTI_HS_CONSOLIDATED!$C:$C,LTI_HS_CONSOLIDATED!G:G,0,0,1)</f>
        <v/>
      </c>
      <c r="I124" s="7">
        <f>_xlfn.XLOOKUP("OtherInflowsOutflowsOfCashClassifiedAsFinancingActivities",LTI_HS_CONSOLIDATED!$C:$C,LTI_HS_CONSOLIDATED!H:H,0,0,1)</f>
        <v/>
      </c>
      <c r="J124" s="7">
        <f>_xlfn.XLOOKUP("OtherInflowsOutflowsOfCashClassifiedAsFinancingActivities",LTI_HS_CONSOLIDATED!$C:$C,LTI_HS_CONSOLIDATED!I:I,0,0,1)</f>
        <v/>
      </c>
    </row>
    <row r="125">
      <c r="D125" s="8" t="inlineStr">
        <is>
          <t>Net cash flows from (used in) financing activities</t>
        </is>
      </c>
      <c r="E125" s="9">
        <f>IFERROR(SUM(E118:E124),0)</f>
        <v/>
      </c>
      <c r="F125" s="9">
        <f>IFERROR(SUM(F118:F124),0)</f>
        <v/>
      </c>
      <c r="G125" s="9">
        <f>IFERROR(SUM(G118:G124),0)</f>
        <v/>
      </c>
      <c r="H125" s="9">
        <f>IFERROR(SUM(H118:H124),0)</f>
        <v/>
      </c>
      <c r="I125" s="9">
        <f>IFERROR(SUM(I118:I124),0)</f>
        <v/>
      </c>
      <c r="J125" s="9">
        <f>IFERROR(SUM(J118:J124),0)</f>
        <v/>
      </c>
    </row>
    <row r="126">
      <c r="D126" s="8" t="inlineStr">
        <is>
          <t>Net increase (decrease) in cash and cash equivalents before effect of exchange rate changes</t>
        </is>
      </c>
      <c r="E126" s="9">
        <f>IFERROR(E108+E116+E125,0)</f>
        <v/>
      </c>
      <c r="F126" s="9">
        <f>IFERROR(F108+F116+F125,0)</f>
        <v/>
      </c>
      <c r="G126" s="9">
        <f>IFERROR(G108+G116+G125,0)</f>
        <v/>
      </c>
      <c r="H126" s="9">
        <f>IFERROR(H108+H116+H125,0)</f>
        <v/>
      </c>
      <c r="I126" s="9">
        <f>IFERROR(I108+I116+I125,0)</f>
        <v/>
      </c>
      <c r="J126" s="9">
        <f>IFERROR(J108+J116+J125,0)</f>
        <v/>
      </c>
    </row>
    <row r="127">
      <c r="C127" s="5" t="inlineStr">
        <is>
          <t>Effect of exchange rate changes on cash and cash equivalents</t>
        </is>
      </c>
    </row>
    <row r="128">
      <c r="D128" s="6" t="inlineStr">
        <is>
          <t>Effect of exchange rate changes on cash and cash equivalents</t>
        </is>
      </c>
      <c r="E128" s="7">
        <f>_xlfn.XLOOKUP("EffectOfExchangeRateChangesOnCashAndCashEquivalents",LTI_HS_CONSOLIDATED!$C:$C,LTI_HS_CONSOLIDATED!D:D,0,0,1)</f>
        <v/>
      </c>
      <c r="F128" s="7">
        <f>_xlfn.XLOOKUP("EffectOfExchangeRateChangesOnCashAndCashEquivalents",LTI_HS_CONSOLIDATED!$C:$C,LTI_HS_CONSOLIDATED!E:E,0,0,1)</f>
        <v/>
      </c>
      <c r="G128" s="7">
        <f>_xlfn.XLOOKUP("EffectOfExchangeRateChangesOnCashAndCashEquivalents",LTI_HS_CONSOLIDATED!$C:$C,LTI_HS_CONSOLIDATED!F:F,0,0,1)</f>
        <v/>
      </c>
      <c r="H128" s="7">
        <f>_xlfn.XLOOKUP("EffectOfExchangeRateChangesOnCashAndCashEquivalents",LTI_HS_CONSOLIDATED!$C:$C,LTI_HS_CONSOLIDATED!G:G,0,0,1)</f>
        <v/>
      </c>
      <c r="I128" s="7">
        <f>_xlfn.XLOOKUP("EffectOfExchangeRateChangesOnCashAndCashEquivalents",LTI_HS_CONSOLIDATED!$C:$C,LTI_HS_CONSOLIDATED!H:H,0,0,1)</f>
        <v/>
      </c>
      <c r="J128" s="7">
        <f>_xlfn.XLOOKUP("EffectOfExchangeRateChangesOnCashAndCashEquivalents",LTI_HS_CONSOLIDATED!$C:$C,LTI_HS_CONSOLIDATED!I:I,0,0,1)</f>
        <v/>
      </c>
    </row>
    <row r="129">
      <c r="D129" s="8" t="inlineStr">
        <is>
          <t>Net increase (decrease) in cash and cash equivalents</t>
        </is>
      </c>
      <c r="E129" s="9">
        <f>IFERROR(E126+E128,0)</f>
        <v/>
      </c>
      <c r="F129" s="9">
        <f>IFERROR(F126+F128,0)</f>
        <v/>
      </c>
      <c r="G129" s="9">
        <f>IFERROR(G126+G128,0)</f>
        <v/>
      </c>
      <c r="H129" s="9">
        <f>IFERROR(H126+H128,0)</f>
        <v/>
      </c>
      <c r="I129" s="9">
        <f>IFERROR(I126+I128,0)</f>
        <v/>
      </c>
      <c r="J129" s="9">
        <f>IFERROR(J126+J128,0)</f>
        <v/>
      </c>
    </row>
    <row r="130">
      <c r="D130" s="8" t="inlineStr">
        <is>
          <t>Cash and cash equivalents cash flow statement at beginning of period</t>
        </is>
      </c>
      <c r="E130" s="9">
        <f>IFERROR(E131-E129,0)</f>
        <v/>
      </c>
      <c r="F130" s="9">
        <f>IFERROR(F131-F129,0)</f>
        <v/>
      </c>
      <c r="G130" s="9">
        <f>IFERROR(G131-G129,0)</f>
        <v/>
      </c>
      <c r="H130" s="9">
        <f>IFERROR(H131-H129,0)</f>
        <v/>
      </c>
      <c r="I130" s="9">
        <f>IFERROR(I131-I129,0)</f>
        <v/>
      </c>
      <c r="J130" s="9">
        <f>IFERROR(J131-J129,0)</f>
        <v/>
      </c>
    </row>
    <row r="131">
      <c r="D131" s="6" t="inlineStr">
        <is>
          <t>Cash and cash equivalents cash flow statement at end of period</t>
        </is>
      </c>
      <c r="E131" s="7">
        <f>_xlfn.XLOOKUP("CashAndCashEquivalentsCashFlowStatement",LTI_HS_CONSOLIDATED!$C:$C,LTI_HS_CONSOLIDATED!D:D,0,0,1)</f>
        <v/>
      </c>
      <c r="F131" s="7">
        <f>_xlfn.XLOOKUP("CashAndCashEquivalentsCashFlowStatement",LTI_HS_CONSOLIDATED!$C:$C,LTI_HS_CONSOLIDATED!E:E,0,0,1)</f>
        <v/>
      </c>
      <c r="G131" s="7">
        <f>_xlfn.XLOOKUP("CashAndCashEquivalentsCashFlowStatement",LTI_HS_CONSOLIDATED!$C:$C,LTI_HS_CONSOLIDATED!F:F,0,0,1)</f>
        <v/>
      </c>
      <c r="H131" s="7">
        <f>_xlfn.XLOOKUP("CashAndCashEquivalentsCashFlowStatement",LTI_HS_CONSOLIDATED!$C:$C,LTI_HS_CONSOLIDATED!G:G,0,0,1)</f>
        <v/>
      </c>
      <c r="I131" s="7">
        <f>_xlfn.XLOOKUP("CashAndCashEquivalentsCashFlowStatement",LTI_HS_CONSOLIDATED!$C:$C,LTI_HS_CONSOLIDATED!H:H,0,0,1)</f>
        <v/>
      </c>
      <c r="J131" s="7">
        <f>_xlfn.XLOOKUP("CashAndCashEquivalentsCashFlowStatement",LTI_HS_CONSOLIDATED!$C:$C,LTI_HS_CONSOLIDATED!I:I,0,0,1)</f>
        <v/>
      </c>
    </row>
  </sheetData>
  <mergeCells count="2">
    <mergeCell ref="A1:J1"/>
    <mergeCell ref="A2:J2"/>
  </mergeCells>
  <pageMargins left="0.75" right="0.75" top="1" bottom="1" header="0.5" footer="0.5"/>
</worksheet>
</file>

<file path=xl/worksheets/sheet15.xml><?xml version="1.0" encoding="utf-8"?>
<worksheet xmlns="http://schemas.openxmlformats.org/spreadsheetml/2006/main">
  <sheetPr>
    <tabColor rgb="001F4E78"/>
    <outlinePr summaryBelow="1" summaryRight="1"/>
    <pageSetUpPr/>
  </sheetPr>
  <dimension ref="A1:J132"/>
  <sheetViews>
    <sheetView showGridLines="0" workbookViewId="0">
      <selection activeCell="A1" sqref="A1"/>
    </sheetView>
  </sheetViews>
  <sheetFormatPr baseColWidth="8" defaultRowHeight="14.5"/>
  <cols>
    <col width="1.1796875" customWidth="1" style="203" min="1" max="3"/>
    <col width="55" customWidth="1" style="203" min="4" max="4"/>
    <col width="20" customWidth="1" style="203" min="5" max="10"/>
  </cols>
  <sheetData>
    <row r="1" ht="24" customHeight="1" s="203">
      <c r="A1" s="257" t="inlineStr">
        <is>
          <t>LTIMindtree  —  Derived Financial Model</t>
        </is>
      </c>
    </row>
    <row r="2">
      <c r="A2" s="258" t="inlineStr">
        <is>
          <t>Green = cross-sheet formula (XLOOKUP against raw data)   |   Black = same-sheet formula (subtotal/total)</t>
        </is>
      </c>
    </row>
    <row r="5" ht="15.5" customHeight="1" s="203">
      <c r="A5" s="2" t="inlineStr">
        <is>
          <t>#</t>
        </is>
      </c>
      <c r="B5" s="3" t="inlineStr">
        <is>
          <t>Statement of Profit and Loss</t>
        </is>
      </c>
      <c r="E5" s="4" t="inlineStr">
        <is>
          <t>FY2017</t>
        </is>
      </c>
      <c r="F5" s="4" t="inlineStr">
        <is>
          <t>FY2018</t>
        </is>
      </c>
      <c r="G5" s="4" t="inlineStr">
        <is>
          <t>FY2019</t>
        </is>
      </c>
      <c r="H5" s="4" t="inlineStr">
        <is>
          <t>FY2020</t>
        </is>
      </c>
      <c r="I5" s="4" t="inlineStr">
        <is>
          <t>FY2021</t>
        </is>
      </c>
      <c r="J5" s="4" t="inlineStr">
        <is>
          <t>FY2022</t>
        </is>
      </c>
    </row>
    <row r="6">
      <c r="B6" s="5" t="inlineStr">
        <is>
          <t>Income [Abstract]</t>
        </is>
      </c>
    </row>
    <row r="7">
      <c r="C7" s="6" t="inlineStr">
        <is>
          <t>Total revenue from operations</t>
        </is>
      </c>
      <c r="E7" s="7">
        <f>_xlfn.XLOOKUP("RevenueFromOperations",LTI_HS_STANDALONE!$C:$C,LTI_HS_STANDALONE!D:D,0,0,1)</f>
        <v/>
      </c>
      <c r="F7" s="7">
        <f>_xlfn.XLOOKUP("RevenueFromOperations",LTI_HS_STANDALONE!$C:$C,LTI_HS_STANDALONE!E:E,0,0,1)</f>
        <v/>
      </c>
      <c r="G7" s="7">
        <f>_xlfn.XLOOKUP("RevenueFromOperations",LTI_HS_STANDALONE!$C:$C,LTI_HS_STANDALONE!F:F,0,0,1)</f>
        <v/>
      </c>
      <c r="H7" s="7">
        <f>_xlfn.XLOOKUP("RevenueFromOperations",LTI_HS_STANDALONE!$C:$C,LTI_HS_STANDALONE!G:G,0,0,1)</f>
        <v/>
      </c>
      <c r="I7" s="7">
        <f>_xlfn.XLOOKUP("RevenueFromOperations",LTI_HS_STANDALONE!$C:$C,LTI_HS_STANDALONE!H:H,0,0,1)</f>
        <v/>
      </c>
      <c r="J7" s="7">
        <f>_xlfn.XLOOKUP("RevenueFromOperations",LTI_HS_STANDALONE!$C:$C,LTI_HS_STANDALONE!I:I,0,0,1)</f>
        <v/>
      </c>
    </row>
    <row r="8">
      <c r="C8" s="6" t="inlineStr">
        <is>
          <t>Total other income</t>
        </is>
      </c>
      <c r="E8" s="7">
        <f>_xlfn.XLOOKUP("OtherIncome",LTI_HS_STANDALONE!$C:$C,LTI_HS_STANDALONE!D:D,0,0,1)</f>
        <v/>
      </c>
      <c r="F8" s="7">
        <f>_xlfn.XLOOKUP("OtherIncome",LTI_HS_STANDALONE!$C:$C,LTI_HS_STANDALONE!E:E,0,0,1)</f>
        <v/>
      </c>
      <c r="G8" s="7">
        <f>_xlfn.XLOOKUP("OtherIncome",LTI_HS_STANDALONE!$C:$C,LTI_HS_STANDALONE!F:F,0,0,1)</f>
        <v/>
      </c>
      <c r="H8" s="7">
        <f>_xlfn.XLOOKUP("OtherIncome",LTI_HS_STANDALONE!$C:$C,LTI_HS_STANDALONE!G:G,0,0,1)</f>
        <v/>
      </c>
      <c r="I8" s="7">
        <f>_xlfn.XLOOKUP("OtherIncome",LTI_HS_STANDALONE!$C:$C,LTI_HS_STANDALONE!H:H,0,0,1)</f>
        <v/>
      </c>
      <c r="J8" s="7">
        <f>_xlfn.XLOOKUP("OtherIncome",LTI_HS_STANDALONE!$C:$C,LTI_HS_STANDALONE!I:I,0,0,1)</f>
        <v/>
      </c>
    </row>
    <row r="9">
      <c r="C9" s="8" t="inlineStr">
        <is>
          <t>Total income</t>
        </is>
      </c>
      <c r="E9" s="9">
        <f>IFERROR(SUM(E7:E8),0)</f>
        <v/>
      </c>
      <c r="F9" s="9">
        <f>IFERROR(SUM(F7:F8),0)</f>
        <v/>
      </c>
      <c r="G9" s="9">
        <f>IFERROR(SUM(G7:G8),0)</f>
        <v/>
      </c>
      <c r="H9" s="9">
        <f>IFERROR(SUM(H7:H8),0)</f>
        <v/>
      </c>
      <c r="I9" s="9">
        <f>IFERROR(SUM(I7:I8),0)</f>
        <v/>
      </c>
      <c r="J9" s="9">
        <f>IFERROR(SUM(J7:J8),0)</f>
        <v/>
      </c>
    </row>
    <row r="10">
      <c r="B10" s="5" t="inlineStr">
        <is>
          <t>COGS</t>
        </is>
      </c>
    </row>
    <row r="11">
      <c r="B11" s="10" t="inlineStr">
        <is>
          <t>Gross Profit</t>
        </is>
      </c>
      <c r="E11" s="11">
        <f>IFERROR(E9,0)</f>
        <v/>
      </c>
      <c r="F11" s="11">
        <f>IFERROR(F9,0)</f>
        <v/>
      </c>
      <c r="G11" s="11">
        <f>IFERROR(G9,0)</f>
        <v/>
      </c>
      <c r="H11" s="11">
        <f>IFERROR(H9,0)</f>
        <v/>
      </c>
      <c r="I11" s="11">
        <f>IFERROR(I9,0)</f>
        <v/>
      </c>
      <c r="J11" s="11">
        <f>IFERROR(J9,0)</f>
        <v/>
      </c>
    </row>
    <row r="12">
      <c r="C12" s="6" t="inlineStr">
        <is>
          <t>SG&amp;A</t>
        </is>
      </c>
      <c r="E12" s="7">
        <f>-_xlfn.XLOOKUP("EmployeeBenefitExpense",LTI_HS_STANDALONE!$C:$C,LTI_HS_STANDALONE!D:D,0,0,1)-_xlfn.XLOOKUP("ExpenditureOnProductionTransportationAndOtherExpenditurePertainingToExplorationAndProductionActivities",LTI_HS_STANDALONE!$C:$C,LTI_HS_STANDALONE!D:D,0,0,1)</f>
        <v/>
      </c>
      <c r="F12" s="7">
        <f>-_xlfn.XLOOKUP("EmployeeBenefitExpense",LTI_HS_STANDALONE!$C:$C,LTI_HS_STANDALONE!E:E,0,0,1)-_xlfn.XLOOKUP("ExpenditureOnProductionTransportationAndOtherExpenditurePertainingToExplorationAndProductionActivities",LTI_HS_STANDALONE!$C:$C,LTI_HS_STANDALONE!E:E,0,0,1)</f>
        <v/>
      </c>
      <c r="G12" s="7">
        <f>-_xlfn.XLOOKUP("EmployeeBenefitExpense",LTI_HS_STANDALONE!$C:$C,LTI_HS_STANDALONE!F:F,0,0,1)-_xlfn.XLOOKUP("ExpenditureOnProductionTransportationAndOtherExpenditurePertainingToExplorationAndProductionActivities",LTI_HS_STANDALONE!$C:$C,LTI_HS_STANDALONE!F:F,0,0,1)</f>
        <v/>
      </c>
      <c r="H12" s="7">
        <f>-_xlfn.XLOOKUP("EmployeeBenefitExpense",LTI_HS_STANDALONE!$C:$C,LTI_HS_STANDALONE!G:G,0,0,1)-_xlfn.XLOOKUP("ExpenditureOnProductionTransportationAndOtherExpenditurePertainingToExplorationAndProductionActivities",LTI_HS_STANDALONE!$C:$C,LTI_HS_STANDALONE!G:G,0,0,1)</f>
        <v/>
      </c>
      <c r="I12" s="7">
        <f>-_xlfn.XLOOKUP("EmployeeBenefitExpense",LTI_HS_STANDALONE!$C:$C,LTI_HS_STANDALONE!H:H,0,0,1)-_xlfn.XLOOKUP("ExpenditureOnProductionTransportationAndOtherExpenditurePertainingToExplorationAndProductionActivities",LTI_HS_STANDALONE!$C:$C,LTI_HS_STANDALONE!H:H,0,0,1)</f>
        <v/>
      </c>
      <c r="J12" s="7">
        <f>-_xlfn.XLOOKUP("EmployeeBenefitExpense",LTI_HS_STANDALONE!$C:$C,LTI_HS_STANDALONE!I:I,0,0,1)-_xlfn.XLOOKUP("ExpenditureOnProductionTransportationAndOtherExpenditurePertainingToExplorationAndProductionActivities",LTI_HS_STANDALONE!$C:$C,LTI_HS_STANDALONE!I:I,0,0,1)</f>
        <v/>
      </c>
    </row>
    <row r="13">
      <c r="C13" s="6" t="inlineStr">
        <is>
          <t>Total other expenses</t>
        </is>
      </c>
      <c r="E13" s="7">
        <f>-_xlfn.XLOOKUP("OtherExpenses",LTI_HS_STANDALONE!$C:$C,LTI_HS_STANDALONE!D:D,0,0,1)</f>
        <v/>
      </c>
      <c r="F13" s="7">
        <f>-_xlfn.XLOOKUP("OtherExpenses",LTI_HS_STANDALONE!$C:$C,LTI_HS_STANDALONE!E:E,0,0,1)</f>
        <v/>
      </c>
      <c r="G13" s="7">
        <f>-_xlfn.XLOOKUP("OtherExpenses",LTI_HS_STANDALONE!$C:$C,LTI_HS_STANDALONE!F:F,0,0,1)</f>
        <v/>
      </c>
      <c r="H13" s="7">
        <f>-_xlfn.XLOOKUP("OtherExpenses",LTI_HS_STANDALONE!$C:$C,LTI_HS_STANDALONE!G:G,0,0,1)</f>
        <v/>
      </c>
      <c r="I13" s="7">
        <f>-_xlfn.XLOOKUP("OtherExpenses",LTI_HS_STANDALONE!$C:$C,LTI_HS_STANDALONE!H:H,0,0,1)</f>
        <v/>
      </c>
      <c r="J13" s="7">
        <f>-_xlfn.XLOOKUP("OtherExpenses",LTI_HS_STANDALONE!$C:$C,LTI_HS_STANDALONE!I:I,0,0,1)</f>
        <v/>
      </c>
    </row>
    <row r="14">
      <c r="B14" s="10" t="inlineStr">
        <is>
          <t>EBITDA</t>
        </is>
      </c>
      <c r="E14" s="11">
        <f>IFERROR(SUM(E11:E13),0)</f>
        <v/>
      </c>
      <c r="F14" s="11">
        <f>IFERROR(SUM(F11:F13),0)</f>
        <v/>
      </c>
      <c r="G14" s="11">
        <f>IFERROR(SUM(G11:G13),0)</f>
        <v/>
      </c>
      <c r="H14" s="11">
        <f>IFERROR(SUM(H11:H13),0)</f>
        <v/>
      </c>
      <c r="I14" s="11">
        <f>IFERROR(SUM(I11:I13),0)</f>
        <v/>
      </c>
      <c r="J14" s="11">
        <f>IFERROR(SUM(J11:J13),0)</f>
        <v/>
      </c>
    </row>
    <row r="15">
      <c r="C15" s="6" t="inlineStr">
        <is>
          <t>D&amp;A</t>
        </is>
      </c>
      <c r="E15" s="7">
        <f>-_xlfn.XLOOKUP("DepreciationDepletionAndAmortisationExpense",LTI_HS_STANDALONE!$C:$C,LTI_HS_STANDALONE!D:D,0,0,1)</f>
        <v/>
      </c>
      <c r="F15" s="7">
        <f>-_xlfn.XLOOKUP("DepreciationDepletionAndAmortisationExpense",LTI_HS_STANDALONE!$C:$C,LTI_HS_STANDALONE!E:E,0,0,1)</f>
        <v/>
      </c>
      <c r="G15" s="7">
        <f>-_xlfn.XLOOKUP("DepreciationDepletionAndAmortisationExpense",LTI_HS_STANDALONE!$C:$C,LTI_HS_STANDALONE!F:F,0,0,1)</f>
        <v/>
      </c>
      <c r="H15" s="7">
        <f>-_xlfn.XLOOKUP("DepreciationDepletionAndAmortisationExpense",LTI_HS_STANDALONE!$C:$C,LTI_HS_STANDALONE!G:G,0,0,1)</f>
        <v/>
      </c>
      <c r="I15" s="7">
        <f>-_xlfn.XLOOKUP("DepreciationDepletionAndAmortisationExpense",LTI_HS_STANDALONE!$C:$C,LTI_HS_STANDALONE!H:H,0,0,1)</f>
        <v/>
      </c>
      <c r="J15" s="7">
        <f>-_xlfn.XLOOKUP("DepreciationDepletionAndAmortisationExpense",LTI_HS_STANDALONE!$C:$C,LTI_HS_STANDALONE!I:I,0,0,1)</f>
        <v/>
      </c>
    </row>
    <row r="16">
      <c r="B16" s="10" t="inlineStr">
        <is>
          <t>EBIT</t>
        </is>
      </c>
      <c r="E16" s="11">
        <f>IFERROR(SUM(E14:E15),0)</f>
        <v/>
      </c>
      <c r="F16" s="11">
        <f>IFERROR(SUM(F14:F15),0)</f>
        <v/>
      </c>
      <c r="G16" s="11">
        <f>IFERROR(SUM(G14:G15),0)</f>
        <v/>
      </c>
      <c r="H16" s="11">
        <f>IFERROR(SUM(H14:H15),0)</f>
        <v/>
      </c>
      <c r="I16" s="11">
        <f>IFERROR(SUM(I14:I15),0)</f>
        <v/>
      </c>
      <c r="J16" s="11">
        <f>IFERROR(SUM(J14:J15),0)</f>
        <v/>
      </c>
    </row>
    <row r="17">
      <c r="C17" s="6" t="inlineStr">
        <is>
          <t>Total finance costs</t>
        </is>
      </c>
      <c r="E17" s="7">
        <f>-_xlfn.XLOOKUP("FinanceCosts",LTI_HS_STANDALONE!$C:$C,LTI_HS_STANDALONE!D:D,0,0,1)</f>
        <v/>
      </c>
      <c r="F17" s="7">
        <f>-_xlfn.XLOOKUP("FinanceCosts",LTI_HS_STANDALONE!$C:$C,LTI_HS_STANDALONE!E:E,0,0,1)</f>
        <v/>
      </c>
      <c r="G17" s="7">
        <f>-_xlfn.XLOOKUP("FinanceCosts",LTI_HS_STANDALONE!$C:$C,LTI_HS_STANDALONE!F:F,0,0,1)</f>
        <v/>
      </c>
      <c r="H17" s="7">
        <f>-_xlfn.XLOOKUP("FinanceCosts",LTI_HS_STANDALONE!$C:$C,LTI_HS_STANDALONE!G:G,0,0,1)</f>
        <v/>
      </c>
      <c r="I17" s="7">
        <f>-_xlfn.XLOOKUP("FinanceCosts",LTI_HS_STANDALONE!$C:$C,LTI_HS_STANDALONE!H:H,0,0,1)</f>
        <v/>
      </c>
      <c r="J17" s="7">
        <f>-_xlfn.XLOOKUP("FinanceCosts",LTI_HS_STANDALONE!$C:$C,LTI_HS_STANDALONE!I:I,0,0,1)</f>
        <v/>
      </c>
    </row>
    <row r="18">
      <c r="B18" s="10" t="inlineStr">
        <is>
          <t>EBT</t>
        </is>
      </c>
      <c r="E18" s="11">
        <f>IFERROR(SUM(E16:E17),0)</f>
        <v/>
      </c>
      <c r="F18" s="11">
        <f>IFERROR(SUM(F16:F17),0)</f>
        <v/>
      </c>
      <c r="G18" s="11">
        <f>IFERROR(SUM(G16:G17),0)</f>
        <v/>
      </c>
      <c r="H18" s="11">
        <f>IFERROR(SUM(H16:H17),0)</f>
        <v/>
      </c>
      <c r="I18" s="11">
        <f>IFERROR(SUM(I16:I17),0)</f>
        <v/>
      </c>
      <c r="J18" s="11">
        <f>IFERROR(SUM(J16:J17),0)</f>
        <v/>
      </c>
    </row>
    <row r="19">
      <c r="C19" s="6" t="inlineStr">
        <is>
          <t>Total current tax</t>
        </is>
      </c>
      <c r="E19" s="7">
        <f>-_xlfn.XLOOKUP("CurrentTax",LTI_HS_STANDALONE!$C:$C,LTI_HS_STANDALONE!D:D,0,0,1)</f>
        <v/>
      </c>
      <c r="F19" s="7">
        <f>-_xlfn.XLOOKUP("CurrentTax",LTI_HS_STANDALONE!$C:$C,LTI_HS_STANDALONE!E:E,0,0,1)</f>
        <v/>
      </c>
      <c r="G19" s="7">
        <f>-_xlfn.XLOOKUP("CurrentTax",LTI_HS_STANDALONE!$C:$C,LTI_HS_STANDALONE!F:F,0,0,1)</f>
        <v/>
      </c>
      <c r="H19" s="7">
        <f>-_xlfn.XLOOKUP("CurrentTax",LTI_HS_STANDALONE!$C:$C,LTI_HS_STANDALONE!G:G,0,0,1)</f>
        <v/>
      </c>
      <c r="I19" s="7">
        <f>-_xlfn.XLOOKUP("CurrentTax",LTI_HS_STANDALONE!$C:$C,LTI_HS_STANDALONE!H:H,0,0,1)</f>
        <v/>
      </c>
      <c r="J19" s="7">
        <f>-_xlfn.XLOOKUP("CurrentTax",LTI_HS_STANDALONE!$C:$C,LTI_HS_STANDALONE!I:I,0,0,1)</f>
        <v/>
      </c>
    </row>
    <row r="20">
      <c r="C20" s="6" t="inlineStr">
        <is>
          <t>Deferred tax</t>
        </is>
      </c>
      <c r="E20" s="7">
        <f>-_xlfn.XLOOKUP("DeferredTax",LTI_HS_STANDALONE!$C:$C,LTI_HS_STANDALONE!D:D,0,0,1)</f>
        <v/>
      </c>
      <c r="F20" s="7">
        <f>-_xlfn.XLOOKUP("DeferredTax",LTI_HS_STANDALONE!$C:$C,LTI_HS_STANDALONE!E:E,0,0,1)</f>
        <v/>
      </c>
      <c r="G20" s="7">
        <f>-_xlfn.XLOOKUP("DeferredTax",LTI_HS_STANDALONE!$C:$C,LTI_HS_STANDALONE!F:F,0,0,1)</f>
        <v/>
      </c>
      <c r="H20" s="7">
        <f>-_xlfn.XLOOKUP("DeferredTax",LTI_HS_STANDALONE!$C:$C,LTI_HS_STANDALONE!G:G,0,0,1)</f>
        <v/>
      </c>
      <c r="I20" s="7">
        <f>-_xlfn.XLOOKUP("DeferredTax",LTI_HS_STANDALONE!$C:$C,LTI_HS_STANDALONE!H:H,0,0,1)</f>
        <v/>
      </c>
      <c r="J20" s="7">
        <f>-_xlfn.XLOOKUP("DeferredTax",LTI_HS_STANDALONE!$C:$C,LTI_HS_STANDALONE!I:I,0,0,1)</f>
        <v/>
      </c>
    </row>
    <row r="21">
      <c r="C21" s="8" t="inlineStr">
        <is>
          <t>Total tax expense</t>
        </is>
      </c>
      <c r="E21" s="9">
        <f>IFERROR(SUM(E19:E20),0)</f>
        <v/>
      </c>
      <c r="F21" s="9">
        <f>IFERROR(SUM(F19:F20),0)</f>
        <v/>
      </c>
      <c r="G21" s="9">
        <f>IFERROR(SUM(G19:G20),0)</f>
        <v/>
      </c>
      <c r="H21" s="9">
        <f>IFERROR(SUM(H19:H20),0)</f>
        <v/>
      </c>
      <c r="I21" s="9">
        <f>IFERROR(SUM(I19:I20),0)</f>
        <v/>
      </c>
      <c r="J21" s="9">
        <f>IFERROR(SUM(J19:J20),0)</f>
        <v/>
      </c>
    </row>
    <row r="22">
      <c r="B22" s="10" t="inlineStr">
        <is>
          <t>NETINCOME</t>
        </is>
      </c>
      <c r="E22" s="11">
        <f>IFERROR(E21+E18,0)</f>
        <v/>
      </c>
      <c r="F22" s="11">
        <f>IFERROR(F21+F18,0)</f>
        <v/>
      </c>
      <c r="G22" s="11">
        <f>IFERROR(G21+G18,0)</f>
        <v/>
      </c>
      <c r="H22" s="11">
        <f>IFERROR(H21+H18,0)</f>
        <v/>
      </c>
      <c r="I22" s="11">
        <f>IFERROR(I21+I18,0)</f>
        <v/>
      </c>
      <c r="J22" s="11">
        <f>IFERROR(J21+J18,0)</f>
        <v/>
      </c>
    </row>
    <row r="23" ht="15.5" customHeight="1" s="203">
      <c r="A23" s="2" t="inlineStr">
        <is>
          <t>#</t>
        </is>
      </c>
      <c r="B23" s="3" t="inlineStr">
        <is>
          <t>Balance Sheet</t>
        </is>
      </c>
    </row>
    <row r="24">
      <c r="B24" s="5" t="inlineStr">
        <is>
          <t>Assets [Abstract]</t>
        </is>
      </c>
    </row>
    <row r="25">
      <c r="B25" s="5" t="inlineStr">
        <is>
          <t>Non-current assets [Abstract]</t>
        </is>
      </c>
    </row>
    <row r="26">
      <c r="C26" s="5" t="inlineStr">
        <is>
          <t>Operating</t>
        </is>
      </c>
    </row>
    <row r="27">
      <c r="D27" s="6" t="inlineStr">
        <is>
          <t>Property, plant and equipment at end of period</t>
        </is>
      </c>
      <c r="E27" s="7">
        <f>_xlfn.XLOOKUP("PropertyPlantAndEquipment",LTI_HS_STANDALONE!$C:$C,LTI_HS_STANDALONE!D:D,0,0,1)</f>
        <v/>
      </c>
      <c r="F27" s="7">
        <f>_xlfn.XLOOKUP("PropertyPlantAndEquipment",LTI_HS_STANDALONE!$C:$C,LTI_HS_STANDALONE!E:E,0,0,1)</f>
        <v/>
      </c>
      <c r="G27" s="7">
        <f>_xlfn.XLOOKUP("PropertyPlantAndEquipment",LTI_HS_STANDALONE!$C:$C,LTI_HS_STANDALONE!F:F,0,0,1)</f>
        <v/>
      </c>
      <c r="H27" s="7">
        <f>_xlfn.XLOOKUP("PropertyPlantAndEquipment",LTI_HS_STANDALONE!$C:$C,LTI_HS_STANDALONE!G:G,0,0,1)</f>
        <v/>
      </c>
      <c r="I27" s="7">
        <f>_xlfn.XLOOKUP("PropertyPlantAndEquipment",LTI_HS_STANDALONE!$C:$C,LTI_HS_STANDALONE!H:H,0,0,1)</f>
        <v/>
      </c>
      <c r="J27" s="7">
        <f>_xlfn.XLOOKUP("PropertyPlantAndEquipment",LTI_HS_STANDALONE!$C:$C,LTI_HS_STANDALONE!I:I,0,0,1)</f>
        <v/>
      </c>
    </row>
    <row r="28">
      <c r="D28" s="6" t="inlineStr">
        <is>
          <t>Capital work-in-progress</t>
        </is>
      </c>
      <c r="E28" s="7">
        <f>_xlfn.XLOOKUP("CapitalWorkInProgress",LTI_HS_STANDALONE!$C:$C,LTI_HS_STANDALONE!D:D,0,0,1)</f>
        <v/>
      </c>
      <c r="F28" s="7">
        <f>_xlfn.XLOOKUP("CapitalWorkInProgress",LTI_HS_STANDALONE!$C:$C,LTI_HS_STANDALONE!E:E,0,0,1)</f>
        <v/>
      </c>
      <c r="G28" s="7">
        <f>_xlfn.XLOOKUP("CapitalWorkInProgress",LTI_HS_STANDALONE!$C:$C,LTI_HS_STANDALONE!F:F,0,0,1)</f>
        <v/>
      </c>
      <c r="H28" s="7">
        <f>_xlfn.XLOOKUP("CapitalWorkInProgress",LTI_HS_STANDALONE!$C:$C,LTI_HS_STANDALONE!G:G,0,0,1)</f>
        <v/>
      </c>
      <c r="I28" s="7">
        <f>_xlfn.XLOOKUP("CapitalWorkInProgress",LTI_HS_STANDALONE!$C:$C,LTI_HS_STANDALONE!H:H,0,0,1)</f>
        <v/>
      </c>
      <c r="J28" s="7">
        <f>_xlfn.XLOOKUP("CapitalWorkInProgress",LTI_HS_STANDALONE!$C:$C,LTI_HS_STANDALONE!I:I,0,0,1)</f>
        <v/>
      </c>
    </row>
    <row r="29">
      <c r="D29" s="6" t="inlineStr">
        <is>
          <t>Goodwill at end of period</t>
        </is>
      </c>
      <c r="E29" s="7">
        <f>_xlfn.XLOOKUP("Goodwill",LTI_HS_STANDALONE!$C:$C,LTI_HS_STANDALONE!D:D,0,0,1)</f>
        <v/>
      </c>
      <c r="F29" s="7">
        <f>_xlfn.XLOOKUP("Goodwill",LTI_HS_STANDALONE!$C:$C,LTI_HS_STANDALONE!E:E,0,0,1)</f>
        <v/>
      </c>
      <c r="G29" s="7">
        <f>_xlfn.XLOOKUP("Goodwill",LTI_HS_STANDALONE!$C:$C,LTI_HS_STANDALONE!F:F,0,0,1)</f>
        <v/>
      </c>
      <c r="H29" s="7">
        <f>_xlfn.XLOOKUP("Goodwill",LTI_HS_STANDALONE!$C:$C,LTI_HS_STANDALONE!G:G,0,0,1)</f>
        <v/>
      </c>
      <c r="I29" s="7">
        <f>_xlfn.XLOOKUP("Goodwill",LTI_HS_STANDALONE!$C:$C,LTI_HS_STANDALONE!H:H,0,0,1)</f>
        <v/>
      </c>
      <c r="J29" s="7">
        <f>_xlfn.XLOOKUP("Goodwill",LTI_HS_STANDALONE!$C:$C,LTI_HS_STANDALONE!I:I,0,0,1)</f>
        <v/>
      </c>
    </row>
    <row r="30">
      <c r="D30" s="6" t="inlineStr">
        <is>
          <t>Other intangible assets at end of period</t>
        </is>
      </c>
      <c r="E30" s="7">
        <f>_xlfn.XLOOKUP("OtherIntangibleAssets",LTI_HS_STANDALONE!$C:$C,LTI_HS_STANDALONE!D:D,0,0,1)</f>
        <v/>
      </c>
      <c r="F30" s="7">
        <f>_xlfn.XLOOKUP("OtherIntangibleAssets",LTI_HS_STANDALONE!$C:$C,LTI_HS_STANDALONE!E:E,0,0,1)</f>
        <v/>
      </c>
      <c r="G30" s="7">
        <f>_xlfn.XLOOKUP("OtherIntangibleAssets",LTI_HS_STANDALONE!$C:$C,LTI_HS_STANDALONE!F:F,0,0,1)</f>
        <v/>
      </c>
      <c r="H30" s="7">
        <f>_xlfn.XLOOKUP("OtherIntangibleAssets",LTI_HS_STANDALONE!$C:$C,LTI_HS_STANDALONE!G:G,0,0,1)</f>
        <v/>
      </c>
      <c r="I30" s="7">
        <f>_xlfn.XLOOKUP("OtherIntangibleAssets",LTI_HS_STANDALONE!$C:$C,LTI_HS_STANDALONE!H:H,0,0,1)</f>
        <v/>
      </c>
      <c r="J30" s="7">
        <f>_xlfn.XLOOKUP("OtherIntangibleAssets",LTI_HS_STANDALONE!$C:$C,LTI_HS_STANDALONE!I:I,0,0,1)</f>
        <v/>
      </c>
    </row>
    <row r="31">
      <c r="D31" s="6" t="inlineStr">
        <is>
          <t>Intangible assets under development</t>
        </is>
      </c>
      <c r="E31" s="7">
        <f>_xlfn.XLOOKUP("IntangibleAssetsUnderDevelopment",LTI_HS_STANDALONE!$C:$C,LTI_HS_STANDALONE!D:D,0,0,1)</f>
        <v/>
      </c>
      <c r="F31" s="7">
        <f>_xlfn.XLOOKUP("IntangibleAssetsUnderDevelopment",LTI_HS_STANDALONE!$C:$C,LTI_HS_STANDALONE!E:E,0,0,1)</f>
        <v/>
      </c>
      <c r="G31" s="7">
        <f>_xlfn.XLOOKUP("IntangibleAssetsUnderDevelopment",LTI_HS_STANDALONE!$C:$C,LTI_HS_STANDALONE!F:F,0,0,1)</f>
        <v/>
      </c>
      <c r="H31" s="7">
        <f>_xlfn.XLOOKUP("IntangibleAssetsUnderDevelopment",LTI_HS_STANDALONE!$C:$C,LTI_HS_STANDALONE!G:G,0,0,1)</f>
        <v/>
      </c>
      <c r="I31" s="7">
        <f>_xlfn.XLOOKUP("IntangibleAssetsUnderDevelopment",LTI_HS_STANDALONE!$C:$C,LTI_HS_STANDALONE!H:H,0,0,1)</f>
        <v/>
      </c>
      <c r="J31" s="7">
        <f>_xlfn.XLOOKUP("IntangibleAssetsUnderDevelopment",LTI_HS_STANDALONE!$C:$C,LTI_HS_STANDALONE!I:I,0,0,1)</f>
        <v/>
      </c>
    </row>
    <row r="32">
      <c r="D32" s="6" t="inlineStr">
        <is>
          <t>Total other non-current assets</t>
        </is>
      </c>
      <c r="E32" s="7">
        <f>_xlfn.XLOOKUP("OtherNoncurrentAssets",LTI_HS_STANDALONE!$C:$C,LTI_HS_STANDALONE!D:D,0,0,1)</f>
        <v/>
      </c>
      <c r="F32" s="7">
        <f>_xlfn.XLOOKUP("OtherNoncurrentAssets",LTI_HS_STANDALONE!$C:$C,LTI_HS_STANDALONE!E:E,0,0,1)</f>
        <v/>
      </c>
      <c r="G32" s="7">
        <f>_xlfn.XLOOKUP("OtherNoncurrentAssets",LTI_HS_STANDALONE!$C:$C,LTI_HS_STANDALONE!F:F,0,0,1)</f>
        <v/>
      </c>
      <c r="H32" s="7">
        <f>_xlfn.XLOOKUP("OtherNoncurrentAssets",LTI_HS_STANDALONE!$C:$C,LTI_HS_STANDALONE!G:G,0,0,1)</f>
        <v/>
      </c>
      <c r="I32" s="7">
        <f>_xlfn.XLOOKUP("OtherNoncurrentAssets",LTI_HS_STANDALONE!$C:$C,LTI_HS_STANDALONE!H:H,0,0,1)</f>
        <v/>
      </c>
      <c r="J32" s="7">
        <f>_xlfn.XLOOKUP("OtherNoncurrentAssets",LTI_HS_STANDALONE!$C:$C,LTI_HS_STANDALONE!I:I,0,0,1)</f>
        <v/>
      </c>
    </row>
    <row r="33">
      <c r="C33" s="8" t="inlineStr">
        <is>
          <t>Total Operating</t>
        </is>
      </c>
      <c r="E33" s="9">
        <f>IFERROR(SUM(E27:E32),0)</f>
        <v/>
      </c>
      <c r="F33" s="9">
        <f>IFERROR(SUM(F27:F32),0)</f>
        <v/>
      </c>
      <c r="G33" s="9">
        <f>IFERROR(SUM(G27:G32),0)</f>
        <v/>
      </c>
      <c r="H33" s="9">
        <f>IFERROR(SUM(H27:H32),0)</f>
        <v/>
      </c>
      <c r="I33" s="9">
        <f>IFERROR(SUM(I27:I32),0)</f>
        <v/>
      </c>
      <c r="J33" s="9">
        <f>IFERROR(SUM(J27:J32),0)</f>
        <v/>
      </c>
    </row>
    <row r="34">
      <c r="C34" s="5" t="inlineStr">
        <is>
          <t>Non-Operating</t>
        </is>
      </c>
    </row>
    <row r="35">
      <c r="D35" s="6" t="inlineStr">
        <is>
          <t>Non-current investments</t>
        </is>
      </c>
      <c r="E35" s="7">
        <f>_xlfn.XLOOKUP("NoncurrentInvestments",LTI_HS_STANDALONE!$C:$C,LTI_HS_STANDALONE!D:D,0,0,1)</f>
        <v/>
      </c>
      <c r="F35" s="7">
        <f>_xlfn.XLOOKUP("NoncurrentInvestments",LTI_HS_STANDALONE!$C:$C,LTI_HS_STANDALONE!E:E,0,0,1)</f>
        <v/>
      </c>
      <c r="G35" s="7">
        <f>_xlfn.XLOOKUP("NoncurrentInvestments",LTI_HS_STANDALONE!$C:$C,LTI_HS_STANDALONE!F:F,0,0,1)</f>
        <v/>
      </c>
      <c r="H35" s="7">
        <f>_xlfn.XLOOKUP("NoncurrentInvestments",LTI_HS_STANDALONE!$C:$C,LTI_HS_STANDALONE!G:G,0,0,1)</f>
        <v/>
      </c>
      <c r="I35" s="7">
        <f>_xlfn.XLOOKUP("NoncurrentInvestments",LTI_HS_STANDALONE!$C:$C,LTI_HS_STANDALONE!H:H,0,0,1)</f>
        <v/>
      </c>
      <c r="J35" s="7">
        <f>_xlfn.XLOOKUP("NoncurrentInvestments",LTI_HS_STANDALONE!$C:$C,LTI_HS_STANDALONE!I:I,0,0,1)</f>
        <v/>
      </c>
    </row>
    <row r="36">
      <c r="D36" s="6" t="inlineStr">
        <is>
          <t>Loans, non-current</t>
        </is>
      </c>
      <c r="E36" s="7">
        <f>_xlfn.XLOOKUP("LoansNoncurrent",LTI_HS_STANDALONE!$C:$C,LTI_HS_STANDALONE!D:D,0,0,1)</f>
        <v/>
      </c>
      <c r="F36" s="7">
        <f>_xlfn.XLOOKUP("LoansNoncurrent",LTI_HS_STANDALONE!$C:$C,LTI_HS_STANDALONE!E:E,0,0,1)</f>
        <v/>
      </c>
      <c r="G36" s="7">
        <f>_xlfn.XLOOKUP("LoansNoncurrent",LTI_HS_STANDALONE!$C:$C,LTI_HS_STANDALONE!F:F,0,0,1)</f>
        <v/>
      </c>
      <c r="H36" s="7">
        <f>_xlfn.XLOOKUP("LoansNoncurrent",LTI_HS_STANDALONE!$C:$C,LTI_HS_STANDALONE!G:G,0,0,1)</f>
        <v/>
      </c>
      <c r="I36" s="7">
        <f>_xlfn.XLOOKUP("LoansNoncurrent",LTI_HS_STANDALONE!$C:$C,LTI_HS_STANDALONE!H:H,0,0,1)</f>
        <v/>
      </c>
      <c r="J36" s="7">
        <f>_xlfn.XLOOKUP("LoansNoncurrent",LTI_HS_STANDALONE!$C:$C,LTI_HS_STANDALONE!I:I,0,0,1)</f>
        <v/>
      </c>
    </row>
    <row r="37">
      <c r="D37" s="6" t="inlineStr">
        <is>
          <t>Total other non-current financial assets</t>
        </is>
      </c>
      <c r="E37" s="7">
        <f>_xlfn.XLOOKUP("OtherNoncurrentFinancialAssets",LTI_HS_STANDALONE!$C:$C,LTI_HS_STANDALONE!D:D,0,0,1)</f>
        <v/>
      </c>
      <c r="F37" s="7">
        <f>_xlfn.XLOOKUP("OtherNoncurrentFinancialAssets",LTI_HS_STANDALONE!$C:$C,LTI_HS_STANDALONE!E:E,0,0,1)</f>
        <v/>
      </c>
      <c r="G37" s="7">
        <f>_xlfn.XLOOKUP("OtherNoncurrentFinancialAssets",LTI_HS_STANDALONE!$C:$C,LTI_HS_STANDALONE!F:F,0,0,1)</f>
        <v/>
      </c>
      <c r="H37" s="7">
        <f>_xlfn.XLOOKUP("OtherNoncurrentFinancialAssets",LTI_HS_STANDALONE!$C:$C,LTI_HS_STANDALONE!G:G,0,0,1)</f>
        <v/>
      </c>
      <c r="I37" s="7">
        <f>_xlfn.XLOOKUP("OtherNoncurrentFinancialAssets",LTI_HS_STANDALONE!$C:$C,LTI_HS_STANDALONE!H:H,0,0,1)</f>
        <v/>
      </c>
      <c r="J37" s="7">
        <f>_xlfn.XLOOKUP("OtherNoncurrentFinancialAssets",LTI_HS_STANDALONE!$C:$C,LTI_HS_STANDALONE!I:I,0,0,1)</f>
        <v/>
      </c>
    </row>
    <row r="38">
      <c r="D38" s="6" t="inlineStr">
        <is>
          <t>Deferred tax assets (net)</t>
        </is>
      </c>
      <c r="E38" s="7">
        <f>_xlfn.XLOOKUP("DeferredTaxAssetsNet",LTI_HS_STANDALONE!$C:$C,LTI_HS_STANDALONE!D:D,0,0,1)</f>
        <v/>
      </c>
      <c r="F38" s="7">
        <f>_xlfn.XLOOKUP("DeferredTaxAssetsNet",LTI_HS_STANDALONE!$C:$C,LTI_HS_STANDALONE!E:E,0,0,1)</f>
        <v/>
      </c>
      <c r="G38" s="7">
        <f>_xlfn.XLOOKUP("DeferredTaxAssetsNet",LTI_HS_STANDALONE!$C:$C,LTI_HS_STANDALONE!F:F,0,0,1)</f>
        <v/>
      </c>
      <c r="H38" s="7">
        <f>_xlfn.XLOOKUP("DeferredTaxAssetsNet",LTI_HS_STANDALONE!$C:$C,LTI_HS_STANDALONE!G:G,0,0,1)</f>
        <v/>
      </c>
      <c r="I38" s="7">
        <f>_xlfn.XLOOKUP("DeferredTaxAssetsNet",LTI_HS_STANDALONE!$C:$C,LTI_HS_STANDALONE!H:H,0,0,1)</f>
        <v/>
      </c>
      <c r="J38" s="7">
        <f>_xlfn.XLOOKUP("DeferredTaxAssetsNet",LTI_HS_STANDALONE!$C:$C,LTI_HS_STANDALONE!I:I,0,0,1)</f>
        <v/>
      </c>
    </row>
    <row r="39">
      <c r="C39" s="8" t="inlineStr">
        <is>
          <t>Total Non-Operating</t>
        </is>
      </c>
      <c r="E39" s="9">
        <f>IFERROR(SUM(E35:E38),0)</f>
        <v/>
      </c>
      <c r="F39" s="9">
        <f>IFERROR(SUM(F35:F38),0)</f>
        <v/>
      </c>
      <c r="G39" s="9">
        <f>IFERROR(SUM(G35:G38),0)</f>
        <v/>
      </c>
      <c r="H39" s="9">
        <f>IFERROR(SUM(H35:H38),0)</f>
        <v/>
      </c>
      <c r="I39" s="9">
        <f>IFERROR(SUM(I35:I38),0)</f>
        <v/>
      </c>
      <c r="J39" s="9">
        <f>IFERROR(SUM(J35:J38),0)</f>
        <v/>
      </c>
    </row>
    <row r="40">
      <c r="C40" s="6" t="inlineStr">
        <is>
          <t>Total non-current financial assets</t>
        </is>
      </c>
      <c r="E40" s="7">
        <f>_xlfn.XLOOKUP("NoncurrentFinancialAssets",LTI_HS_STANDALONE!$C:$C,LTI_HS_STANDALONE!D:D,0,0,1)</f>
        <v/>
      </c>
      <c r="F40" s="7">
        <f>_xlfn.XLOOKUP("NoncurrentFinancialAssets",LTI_HS_STANDALONE!$C:$C,LTI_HS_STANDALONE!E:E,0,0,1)</f>
        <v/>
      </c>
      <c r="G40" s="7">
        <f>_xlfn.XLOOKUP("NoncurrentFinancialAssets",LTI_HS_STANDALONE!$C:$C,LTI_HS_STANDALONE!F:F,0,0,1)</f>
        <v/>
      </c>
      <c r="H40" s="7">
        <f>_xlfn.XLOOKUP("NoncurrentFinancialAssets",LTI_HS_STANDALONE!$C:$C,LTI_HS_STANDALONE!G:G,0,0,1)</f>
        <v/>
      </c>
      <c r="I40" s="7">
        <f>_xlfn.XLOOKUP("NoncurrentFinancialAssets",LTI_HS_STANDALONE!$C:$C,LTI_HS_STANDALONE!H:H,0,0,1)</f>
        <v/>
      </c>
      <c r="J40" s="7">
        <f>_xlfn.XLOOKUP("NoncurrentFinancialAssets",LTI_HS_STANDALONE!$C:$C,LTI_HS_STANDALONE!I:I,0,0,1)</f>
        <v/>
      </c>
    </row>
    <row r="41">
      <c r="B41" s="10" t="inlineStr">
        <is>
          <t>Total Non-Current Assets</t>
        </is>
      </c>
      <c r="E41" s="11">
        <f>IFERROR(E39+E33,0)</f>
        <v/>
      </c>
      <c r="F41" s="11">
        <f>IFERROR(F39+F33,0)</f>
        <v/>
      </c>
      <c r="G41" s="11">
        <f>IFERROR(G39+G33,0)</f>
        <v/>
      </c>
      <c r="H41" s="11">
        <f>IFERROR(H39+H33,0)</f>
        <v/>
      </c>
      <c r="I41" s="11">
        <f>IFERROR(I39+I33,0)</f>
        <v/>
      </c>
      <c r="J41" s="11">
        <f>IFERROR(J39+J33,0)</f>
        <v/>
      </c>
    </row>
    <row r="42">
      <c r="B42" s="5" t="inlineStr">
        <is>
          <t>Current Assets</t>
        </is>
      </c>
    </row>
    <row r="43">
      <c r="C43" s="5" t="inlineStr">
        <is>
          <t>Operating</t>
        </is>
      </c>
    </row>
    <row r="44">
      <c r="D44" s="6" t="inlineStr">
        <is>
          <t>Trade receivables, current</t>
        </is>
      </c>
      <c r="E44" s="7">
        <f>_xlfn.XLOOKUP("TradeReceivablesCurrent",LTI_HS_STANDALONE!$C:$C,LTI_HS_STANDALONE!D:D,0,0,1)</f>
        <v/>
      </c>
      <c r="F44" s="7">
        <f>_xlfn.XLOOKUP("TradeReceivablesCurrent",LTI_HS_STANDALONE!$C:$C,LTI_HS_STANDALONE!E:E,0,0,1)</f>
        <v/>
      </c>
      <c r="G44" s="7">
        <f>_xlfn.XLOOKUP("TradeReceivablesCurrent",LTI_HS_STANDALONE!$C:$C,LTI_HS_STANDALONE!F:F,0,0,1)</f>
        <v/>
      </c>
      <c r="H44" s="7">
        <f>_xlfn.XLOOKUP("TradeReceivablesCurrent",LTI_HS_STANDALONE!$C:$C,LTI_HS_STANDALONE!G:G,0,0,1)</f>
        <v/>
      </c>
      <c r="I44" s="7">
        <f>_xlfn.XLOOKUP("TradeReceivablesCurrent",LTI_HS_STANDALONE!$C:$C,LTI_HS_STANDALONE!H:H,0,0,1)</f>
        <v/>
      </c>
      <c r="J44" s="7">
        <f>_xlfn.XLOOKUP("TradeReceivablesCurrent",LTI_HS_STANDALONE!$C:$C,LTI_HS_STANDALONE!I:I,0,0,1)</f>
        <v/>
      </c>
    </row>
    <row r="45">
      <c r="D45" s="6" t="inlineStr">
        <is>
          <t>Total other current assets</t>
        </is>
      </c>
      <c r="E45" s="7">
        <f>_xlfn.XLOOKUP("OtherCurrentAssets",LTI_HS_STANDALONE!$C:$C,LTI_HS_STANDALONE!D:D,0,0,1)</f>
        <v/>
      </c>
      <c r="F45" s="7">
        <f>_xlfn.XLOOKUP("OtherCurrentAssets",LTI_HS_STANDALONE!$C:$C,LTI_HS_STANDALONE!E:E,0,0,1)</f>
        <v/>
      </c>
      <c r="G45" s="7">
        <f>_xlfn.XLOOKUP("OtherCurrentAssets",LTI_HS_STANDALONE!$C:$C,LTI_HS_STANDALONE!F:F,0,0,1)</f>
        <v/>
      </c>
      <c r="H45" s="7">
        <f>_xlfn.XLOOKUP("OtherCurrentAssets",LTI_HS_STANDALONE!$C:$C,LTI_HS_STANDALONE!G:G,0,0,1)</f>
        <v/>
      </c>
      <c r="I45" s="7">
        <f>_xlfn.XLOOKUP("OtherCurrentAssets",LTI_HS_STANDALONE!$C:$C,LTI_HS_STANDALONE!H:H,0,0,1)</f>
        <v/>
      </c>
      <c r="J45" s="7">
        <f>_xlfn.XLOOKUP("OtherCurrentAssets",LTI_HS_STANDALONE!$C:$C,LTI_HS_STANDALONE!I:I,0,0,1)</f>
        <v/>
      </c>
    </row>
    <row r="46">
      <c r="C46" s="8" t="inlineStr">
        <is>
          <t>Total Operating</t>
        </is>
      </c>
      <c r="E46" s="9">
        <f>IFERROR(SUM(E44:E45),0)</f>
        <v/>
      </c>
      <c r="F46" s="9">
        <f>IFERROR(SUM(F44:F45),0)</f>
        <v/>
      </c>
      <c r="G46" s="9">
        <f>IFERROR(SUM(G44:G45),0)</f>
        <v/>
      </c>
      <c r="H46" s="9">
        <f>IFERROR(SUM(H44:H45),0)</f>
        <v/>
      </c>
      <c r="I46" s="9">
        <f>IFERROR(SUM(I44:I45),0)</f>
        <v/>
      </c>
      <c r="J46" s="9">
        <f>IFERROR(SUM(J44:J45),0)</f>
        <v/>
      </c>
    </row>
    <row r="47">
      <c r="C47" s="5" t="inlineStr">
        <is>
          <t>Non-Operating</t>
        </is>
      </c>
    </row>
    <row r="48">
      <c r="D48" s="6" t="inlineStr">
        <is>
          <t>Current investments</t>
        </is>
      </c>
      <c r="E48" s="7">
        <f>_xlfn.XLOOKUP("CurrentInvestments",LTI_HS_STANDALONE!$C:$C,LTI_HS_STANDALONE!D:D,0,0,1)</f>
        <v/>
      </c>
      <c r="F48" s="7">
        <f>_xlfn.XLOOKUP("CurrentInvestments",LTI_HS_STANDALONE!$C:$C,LTI_HS_STANDALONE!E:E,0,0,1)</f>
        <v/>
      </c>
      <c r="G48" s="7">
        <f>_xlfn.XLOOKUP("CurrentInvestments",LTI_HS_STANDALONE!$C:$C,LTI_HS_STANDALONE!F:F,0,0,1)</f>
        <v/>
      </c>
      <c r="H48" s="7">
        <f>_xlfn.XLOOKUP("CurrentInvestments",LTI_HS_STANDALONE!$C:$C,LTI_HS_STANDALONE!G:G,0,0,1)</f>
        <v/>
      </c>
      <c r="I48" s="7">
        <f>_xlfn.XLOOKUP("CurrentInvestments",LTI_HS_STANDALONE!$C:$C,LTI_HS_STANDALONE!H:H,0,0,1)</f>
        <v/>
      </c>
      <c r="J48" s="7">
        <f>_xlfn.XLOOKUP("CurrentInvestments",LTI_HS_STANDALONE!$C:$C,LTI_HS_STANDALONE!I:I,0,0,1)</f>
        <v/>
      </c>
    </row>
    <row r="49">
      <c r="D49" s="6" t="inlineStr">
        <is>
          <t>Cash and cash equivalents at end of period</t>
        </is>
      </c>
      <c r="E49" s="7">
        <f>_xlfn.XLOOKUP("CashAndCashEquivalents",LTI_HS_STANDALONE!$C:$C,LTI_HS_STANDALONE!D:D,0,0,1)</f>
        <v/>
      </c>
      <c r="F49" s="7">
        <f>_xlfn.XLOOKUP("CashAndCashEquivalents",LTI_HS_STANDALONE!$C:$C,LTI_HS_STANDALONE!E:E,0,0,1)</f>
        <v/>
      </c>
      <c r="G49" s="7">
        <f>_xlfn.XLOOKUP("CashAndCashEquivalents",LTI_HS_STANDALONE!$C:$C,LTI_HS_STANDALONE!F:F,0,0,1)</f>
        <v/>
      </c>
      <c r="H49" s="7">
        <f>_xlfn.XLOOKUP("CashAndCashEquivalents",LTI_HS_STANDALONE!$C:$C,LTI_HS_STANDALONE!G:G,0,0,1)</f>
        <v/>
      </c>
      <c r="I49" s="7">
        <f>_xlfn.XLOOKUP("CashAndCashEquivalents",LTI_HS_STANDALONE!$C:$C,LTI_HS_STANDALONE!H:H,0,0,1)</f>
        <v/>
      </c>
      <c r="J49" s="7">
        <f>_xlfn.XLOOKUP("CashAndCashEquivalents",LTI_HS_STANDALONE!$C:$C,LTI_HS_STANDALONE!I:I,0,0,1)</f>
        <v/>
      </c>
    </row>
    <row r="50">
      <c r="D50" s="6" t="inlineStr">
        <is>
          <t>Bank balance other than cash and cash equivalents</t>
        </is>
      </c>
      <c r="E50" s="7">
        <f>_xlfn.XLOOKUP("BankBalanceOtherThanCashAndCashEquivalents",LTI_HS_STANDALONE!$C:$C,LTI_HS_STANDALONE!D:D,0,0,1)</f>
        <v/>
      </c>
      <c r="F50" s="7">
        <f>_xlfn.XLOOKUP("BankBalanceOtherThanCashAndCashEquivalents",LTI_HS_STANDALONE!$C:$C,LTI_HS_STANDALONE!E:E,0,0,1)</f>
        <v/>
      </c>
      <c r="G50" s="7">
        <f>_xlfn.XLOOKUP("BankBalanceOtherThanCashAndCashEquivalents",LTI_HS_STANDALONE!$C:$C,LTI_HS_STANDALONE!F:F,0,0,1)</f>
        <v/>
      </c>
      <c r="H50" s="7">
        <f>_xlfn.XLOOKUP("BankBalanceOtherThanCashAndCashEquivalents",LTI_HS_STANDALONE!$C:$C,LTI_HS_STANDALONE!G:G,0,0,1)</f>
        <v/>
      </c>
      <c r="I50" s="7">
        <f>_xlfn.XLOOKUP("BankBalanceOtherThanCashAndCashEquivalents",LTI_HS_STANDALONE!$C:$C,LTI_HS_STANDALONE!H:H,0,0,1)</f>
        <v/>
      </c>
      <c r="J50" s="7">
        <f>_xlfn.XLOOKUP("BankBalanceOtherThanCashAndCashEquivalents",LTI_HS_STANDALONE!$C:$C,LTI_HS_STANDALONE!I:I,0,0,1)</f>
        <v/>
      </c>
    </row>
    <row r="51">
      <c r="D51" s="6" t="inlineStr">
        <is>
          <t>Loans, current</t>
        </is>
      </c>
      <c r="E51" s="7">
        <f>_xlfn.XLOOKUP("LoansCurrent",LTI_HS_STANDALONE!$C:$C,LTI_HS_STANDALONE!D:D,0,0,1)</f>
        <v/>
      </c>
      <c r="F51" s="7">
        <f>_xlfn.XLOOKUP("LoansCurrent",LTI_HS_STANDALONE!$C:$C,LTI_HS_STANDALONE!E:E,0,0,1)</f>
        <v/>
      </c>
      <c r="G51" s="7">
        <f>_xlfn.XLOOKUP("LoansCurrent",LTI_HS_STANDALONE!$C:$C,LTI_HS_STANDALONE!F:F,0,0,1)</f>
        <v/>
      </c>
      <c r="H51" s="7">
        <f>_xlfn.XLOOKUP("LoansCurrent",LTI_HS_STANDALONE!$C:$C,LTI_HS_STANDALONE!G:G,0,0,1)</f>
        <v/>
      </c>
      <c r="I51" s="7">
        <f>_xlfn.XLOOKUP("LoansCurrent",LTI_HS_STANDALONE!$C:$C,LTI_HS_STANDALONE!H:H,0,0,1)</f>
        <v/>
      </c>
      <c r="J51" s="7">
        <f>_xlfn.XLOOKUP("LoansCurrent",LTI_HS_STANDALONE!$C:$C,LTI_HS_STANDALONE!I:I,0,0,1)</f>
        <v/>
      </c>
    </row>
    <row r="52">
      <c r="D52" s="6" t="inlineStr">
        <is>
          <t>Total other current financial assets</t>
        </is>
      </c>
      <c r="E52" s="7">
        <f>_xlfn.XLOOKUP("OtherCurrentFinancialAssets",LTI_HS_STANDALONE!$C:$C,LTI_HS_STANDALONE!D:D,0,0,1)</f>
        <v/>
      </c>
      <c r="F52" s="7">
        <f>_xlfn.XLOOKUP("OtherCurrentFinancialAssets",LTI_HS_STANDALONE!$C:$C,LTI_HS_STANDALONE!E:E,0,0,1)</f>
        <v/>
      </c>
      <c r="G52" s="7">
        <f>_xlfn.XLOOKUP("OtherCurrentFinancialAssets",LTI_HS_STANDALONE!$C:$C,LTI_HS_STANDALONE!F:F,0,0,1)</f>
        <v/>
      </c>
      <c r="H52" s="7">
        <f>_xlfn.XLOOKUP("OtherCurrentFinancialAssets",LTI_HS_STANDALONE!$C:$C,LTI_HS_STANDALONE!G:G,0,0,1)</f>
        <v/>
      </c>
      <c r="I52" s="7">
        <f>_xlfn.XLOOKUP("OtherCurrentFinancialAssets",LTI_HS_STANDALONE!$C:$C,LTI_HS_STANDALONE!H:H,0,0,1)</f>
        <v/>
      </c>
      <c r="J52" s="7">
        <f>_xlfn.XLOOKUP("OtherCurrentFinancialAssets",LTI_HS_STANDALONE!$C:$C,LTI_HS_STANDALONE!I:I,0,0,1)</f>
        <v/>
      </c>
    </row>
    <row r="53">
      <c r="D53" s="6" t="inlineStr">
        <is>
          <t>Current tax assets, Current</t>
        </is>
      </c>
      <c r="E53" s="7">
        <f>_xlfn.XLOOKUP("CurrentTaxAssetsCurrent",LTI_HS_STANDALONE!$C:$C,LTI_HS_STANDALONE!D:D,0,0,1)</f>
        <v/>
      </c>
      <c r="F53" s="7">
        <f>_xlfn.XLOOKUP("CurrentTaxAssetsCurrent",LTI_HS_STANDALONE!$C:$C,LTI_HS_STANDALONE!E:E,0,0,1)</f>
        <v/>
      </c>
      <c r="G53" s="7">
        <f>_xlfn.XLOOKUP("CurrentTaxAssetsCurrent",LTI_HS_STANDALONE!$C:$C,LTI_HS_STANDALONE!F:F,0,0,1)</f>
        <v/>
      </c>
      <c r="H53" s="7">
        <f>_xlfn.XLOOKUP("CurrentTaxAssetsCurrent",LTI_HS_STANDALONE!$C:$C,LTI_HS_STANDALONE!G:G,0,0,1)</f>
        <v/>
      </c>
      <c r="I53" s="7">
        <f>_xlfn.XLOOKUP("CurrentTaxAssetsCurrent",LTI_HS_STANDALONE!$C:$C,LTI_HS_STANDALONE!H:H,0,0,1)</f>
        <v/>
      </c>
      <c r="J53" s="7">
        <f>_xlfn.XLOOKUP("CurrentTaxAssetsCurrent",LTI_HS_STANDALONE!$C:$C,LTI_HS_STANDALONE!I:I,0,0,1)</f>
        <v/>
      </c>
    </row>
    <row r="54">
      <c r="C54" s="8" t="inlineStr">
        <is>
          <t>Total Non-Operating</t>
        </is>
      </c>
      <c r="E54" s="9">
        <f>IFERROR(SUM(E48:E53),0)</f>
        <v/>
      </c>
      <c r="F54" s="9">
        <f>IFERROR(SUM(F48:F53),0)</f>
        <v/>
      </c>
      <c r="G54" s="9">
        <f>IFERROR(SUM(G48:G53),0)</f>
        <v/>
      </c>
      <c r="H54" s="9">
        <f>IFERROR(SUM(H48:H53),0)</f>
        <v/>
      </c>
      <c r="I54" s="9">
        <f>IFERROR(SUM(I48:I53),0)</f>
        <v/>
      </c>
      <c r="J54" s="9">
        <f>IFERROR(SUM(J48:J53),0)</f>
        <v/>
      </c>
    </row>
    <row r="55">
      <c r="C55" s="6" t="inlineStr">
        <is>
          <t>Total current financial assets</t>
        </is>
      </c>
      <c r="E55" s="7">
        <f>_xlfn.XLOOKUP("CurrentFinancialAssets",LTI_HS_STANDALONE!$C:$C,LTI_HS_STANDALONE!D:D,0,0,1)</f>
        <v/>
      </c>
      <c r="F55" s="7">
        <f>_xlfn.XLOOKUP("CurrentFinancialAssets",LTI_HS_STANDALONE!$C:$C,LTI_HS_STANDALONE!E:E,0,0,1)</f>
        <v/>
      </c>
      <c r="G55" s="7">
        <f>_xlfn.XLOOKUP("CurrentFinancialAssets",LTI_HS_STANDALONE!$C:$C,LTI_HS_STANDALONE!F:F,0,0,1)</f>
        <v/>
      </c>
      <c r="H55" s="7">
        <f>_xlfn.XLOOKUP("CurrentFinancialAssets",LTI_HS_STANDALONE!$C:$C,LTI_HS_STANDALONE!G:G,0,0,1)</f>
        <v/>
      </c>
      <c r="I55" s="7">
        <f>_xlfn.XLOOKUP("CurrentFinancialAssets",LTI_HS_STANDALONE!$C:$C,LTI_HS_STANDALONE!H:H,0,0,1)</f>
        <v/>
      </c>
      <c r="J55" s="7">
        <f>_xlfn.XLOOKUP("CurrentFinancialAssets",LTI_HS_STANDALONE!$C:$C,LTI_HS_STANDALONE!I:I,0,0,1)</f>
        <v/>
      </c>
    </row>
    <row r="56">
      <c r="B56" s="10" t="inlineStr">
        <is>
          <t>Total Current Assets</t>
        </is>
      </c>
      <c r="E56" s="11">
        <f>IFERROR(E54+E46,0)</f>
        <v/>
      </c>
      <c r="F56" s="11">
        <f>IFERROR(F54+F46,0)</f>
        <v/>
      </c>
      <c r="G56" s="11">
        <f>IFERROR(G54+G46,0)</f>
        <v/>
      </c>
      <c r="H56" s="11">
        <f>IFERROR(H54+H46,0)</f>
        <v/>
      </c>
      <c r="I56" s="11">
        <f>IFERROR(I54+I46,0)</f>
        <v/>
      </c>
      <c r="J56" s="11">
        <f>IFERROR(J54+J46,0)</f>
        <v/>
      </c>
    </row>
    <row r="57">
      <c r="B57" s="10" t="inlineStr">
        <is>
          <t>Total Assets</t>
        </is>
      </c>
      <c r="E57" s="11">
        <f>IFERROR(SUM(E56:E56)+E41,0)</f>
        <v/>
      </c>
      <c r="F57" s="11">
        <f>IFERROR(SUM(F56:F56)+F41,0)</f>
        <v/>
      </c>
      <c r="G57" s="11">
        <f>IFERROR(SUM(G56:G56)+G41,0)</f>
        <v/>
      </c>
      <c r="H57" s="11">
        <f>IFERROR(SUM(H56:H56)+H41,0)</f>
        <v/>
      </c>
      <c r="I57" s="11">
        <f>IFERROR(SUM(I56:I56)+I41,0)</f>
        <v/>
      </c>
      <c r="J57" s="11">
        <f>IFERROR(SUM(J56:J56)+J41,0)</f>
        <v/>
      </c>
    </row>
    <row r="58">
      <c r="B58" s="5" t="inlineStr">
        <is>
          <t>Equity and Liabilities</t>
        </is>
      </c>
    </row>
    <row r="59">
      <c r="B59" s="5" t="inlineStr">
        <is>
          <t>Equity attributable to owners of parent</t>
        </is>
      </c>
    </row>
    <row r="60">
      <c r="C60" s="6" t="inlineStr">
        <is>
          <t>Equity share capital at end of period</t>
        </is>
      </c>
      <c r="E60" s="7">
        <f>_xlfn.XLOOKUP("EquityShareCapital",LTI_HS_STANDALONE!$C:$C,LTI_HS_STANDALONE!D:D,0,0,1)</f>
        <v/>
      </c>
      <c r="F60" s="7">
        <f>_xlfn.XLOOKUP("EquityShareCapital",LTI_HS_STANDALONE!$C:$C,LTI_HS_STANDALONE!E:E,0,0,1)</f>
        <v/>
      </c>
      <c r="G60" s="7">
        <f>_xlfn.XLOOKUP("EquityShareCapital",LTI_HS_STANDALONE!$C:$C,LTI_HS_STANDALONE!F:F,0,0,1)</f>
        <v/>
      </c>
      <c r="H60" s="7">
        <f>_xlfn.XLOOKUP("EquityShareCapital",LTI_HS_STANDALONE!$C:$C,LTI_HS_STANDALONE!G:G,0,0,1)</f>
        <v/>
      </c>
      <c r="I60" s="7">
        <f>_xlfn.XLOOKUP("EquityShareCapital",LTI_HS_STANDALONE!$C:$C,LTI_HS_STANDALONE!H:H,0,0,1)</f>
        <v/>
      </c>
      <c r="J60" s="7">
        <f>_xlfn.XLOOKUP("EquityShareCapital",LTI_HS_STANDALONE!$C:$C,LTI_HS_STANDALONE!I:I,0,0,1)</f>
        <v/>
      </c>
    </row>
    <row r="61">
      <c r="C61" s="6" t="inlineStr">
        <is>
          <t>Other equity</t>
        </is>
      </c>
      <c r="E61" s="7">
        <f>_xlfn.XLOOKUP("OtherEquity",LTI_HS_STANDALONE!$C:$C,LTI_HS_STANDALONE!D:D,0,0,1)</f>
        <v/>
      </c>
      <c r="F61" s="7">
        <f>_xlfn.XLOOKUP("OtherEquity",LTI_HS_STANDALONE!$C:$C,LTI_HS_STANDALONE!E:E,0,0,1)</f>
        <v/>
      </c>
      <c r="G61" s="7">
        <f>_xlfn.XLOOKUP("OtherEquity",LTI_HS_STANDALONE!$C:$C,LTI_HS_STANDALONE!F:F,0,0,1)</f>
        <v/>
      </c>
      <c r="H61" s="7">
        <f>_xlfn.XLOOKUP("OtherEquity",LTI_HS_STANDALONE!$C:$C,LTI_HS_STANDALONE!G:G,0,0,1)</f>
        <v/>
      </c>
      <c r="I61" s="7">
        <f>_xlfn.XLOOKUP("OtherEquity",LTI_HS_STANDALONE!$C:$C,LTI_HS_STANDALONE!H:H,0,0,1)</f>
        <v/>
      </c>
      <c r="J61" s="7">
        <f>_xlfn.XLOOKUP("OtherEquity",LTI_HS_STANDALONE!$C:$C,LTI_HS_STANDALONE!I:I,0,0,1)</f>
        <v/>
      </c>
    </row>
    <row r="62">
      <c r="B62" s="10" t="inlineStr">
        <is>
          <t>Total equity attributable to owners of parent</t>
        </is>
      </c>
      <c r="E62" s="11">
        <f>IFERROR(SUM(E60:E61),0)</f>
        <v/>
      </c>
      <c r="F62" s="11">
        <f>IFERROR(SUM(F60:F61),0)</f>
        <v/>
      </c>
      <c r="G62" s="11">
        <f>IFERROR(SUM(G60:G61),0)</f>
        <v/>
      </c>
      <c r="H62" s="11">
        <f>IFERROR(SUM(H60:H61),0)</f>
        <v/>
      </c>
      <c r="I62" s="11">
        <f>IFERROR(SUM(I60:I61),0)</f>
        <v/>
      </c>
      <c r="J62" s="11">
        <f>IFERROR(SUM(J60:J61),0)</f>
        <v/>
      </c>
    </row>
    <row r="63">
      <c r="B63" s="10" t="inlineStr">
        <is>
          <t>Equity at end of period</t>
        </is>
      </c>
      <c r="E63" s="11">
        <f>IFERROR(SUM(E62:E62),0)</f>
        <v/>
      </c>
      <c r="F63" s="11">
        <f>IFERROR(SUM(F62:F62),0)</f>
        <v/>
      </c>
      <c r="G63" s="11">
        <f>IFERROR(SUM(G62:G62),0)</f>
        <v/>
      </c>
      <c r="H63" s="11">
        <f>IFERROR(SUM(H62:H62),0)</f>
        <v/>
      </c>
      <c r="I63" s="11">
        <f>IFERROR(SUM(I62:I62),0)</f>
        <v/>
      </c>
      <c r="J63" s="11">
        <f>IFERROR(SUM(J62:J62),0)</f>
        <v/>
      </c>
    </row>
    <row r="64">
      <c r="B64" s="5" t="inlineStr">
        <is>
          <t>Liabilities</t>
        </is>
      </c>
    </row>
    <row r="65">
      <c r="B65" s="5" t="inlineStr">
        <is>
          <t xml:space="preserve">Non-current liabilities </t>
        </is>
      </c>
    </row>
    <row r="66">
      <c r="B66" s="5" t="inlineStr">
        <is>
          <t xml:space="preserve">Non-current financial liabilities </t>
        </is>
      </c>
    </row>
    <row r="67">
      <c r="C67" s="5" t="inlineStr">
        <is>
          <t xml:space="preserve">Trade payables, non-current </t>
        </is>
      </c>
    </row>
    <row r="68">
      <c r="C68" s="6" t="inlineStr">
        <is>
          <t>Total other non-current financial liabilities</t>
        </is>
      </c>
      <c r="E68" s="7">
        <f>_xlfn.XLOOKUP("OtherNoncurrentFinancialLiabilities",LTI_HS_STANDALONE!$C:$C,LTI_HS_STANDALONE!D:D,0,0,1)</f>
        <v/>
      </c>
      <c r="F68" s="7">
        <f>_xlfn.XLOOKUP("OtherNoncurrentFinancialLiabilities",LTI_HS_STANDALONE!$C:$C,LTI_HS_STANDALONE!E:E,0,0,1)</f>
        <v/>
      </c>
      <c r="G68" s="7">
        <f>_xlfn.XLOOKUP("OtherNoncurrentFinancialLiabilities",LTI_HS_STANDALONE!$C:$C,LTI_HS_STANDALONE!F:F,0,0,1)</f>
        <v/>
      </c>
      <c r="H68" s="7">
        <f>_xlfn.XLOOKUP("OtherNoncurrentFinancialLiabilities",LTI_HS_STANDALONE!$C:$C,LTI_HS_STANDALONE!G:G,0,0,1)</f>
        <v/>
      </c>
      <c r="I68" s="7">
        <f>_xlfn.XLOOKUP("OtherNoncurrentFinancialLiabilities",LTI_HS_STANDALONE!$C:$C,LTI_HS_STANDALONE!H:H,0,0,1)</f>
        <v/>
      </c>
      <c r="J68" s="7">
        <f>_xlfn.XLOOKUP("OtherNoncurrentFinancialLiabilities",LTI_HS_STANDALONE!$C:$C,LTI_HS_STANDALONE!I:I,0,0,1)</f>
        <v/>
      </c>
    </row>
    <row r="69">
      <c r="C69" s="6" t="inlineStr">
        <is>
          <t>Total non-current financial liabilities</t>
        </is>
      </c>
      <c r="E69" s="7">
        <f>_xlfn.XLOOKUP("NoncurrentFinancialLiabilities",LTI_HS_STANDALONE!$C:$C,LTI_HS_STANDALONE!D:D,0,0,1)</f>
        <v/>
      </c>
      <c r="F69" s="7">
        <f>_xlfn.XLOOKUP("NoncurrentFinancialLiabilities",LTI_HS_STANDALONE!$C:$C,LTI_HS_STANDALONE!E:E,0,0,1)</f>
        <v/>
      </c>
      <c r="G69" s="7">
        <f>_xlfn.XLOOKUP("NoncurrentFinancialLiabilities",LTI_HS_STANDALONE!$C:$C,LTI_HS_STANDALONE!F:F,0,0,1)</f>
        <v/>
      </c>
      <c r="H69" s="7">
        <f>_xlfn.XLOOKUP("NoncurrentFinancialLiabilities",LTI_HS_STANDALONE!$C:$C,LTI_HS_STANDALONE!G:G,0,0,1)</f>
        <v/>
      </c>
      <c r="I69" s="7">
        <f>_xlfn.XLOOKUP("NoncurrentFinancialLiabilities",LTI_HS_STANDALONE!$C:$C,LTI_HS_STANDALONE!H:H,0,0,1)</f>
        <v/>
      </c>
      <c r="J69" s="7">
        <f>_xlfn.XLOOKUP("NoncurrentFinancialLiabilities",LTI_HS_STANDALONE!$C:$C,LTI_HS_STANDALONE!I:I,0,0,1)</f>
        <v/>
      </c>
    </row>
    <row r="70">
      <c r="D70" s="6" t="inlineStr">
        <is>
          <t>Provisions, non-current</t>
        </is>
      </c>
      <c r="E70" s="7">
        <f>_xlfn.XLOOKUP("ProvisionsNoncurrent",LTI_HS_STANDALONE!$C:$C,LTI_HS_STANDALONE!D:D,0,0,1)</f>
        <v/>
      </c>
      <c r="F70" s="7">
        <f>_xlfn.XLOOKUP("ProvisionsNoncurrent",LTI_HS_STANDALONE!$C:$C,LTI_HS_STANDALONE!E:E,0,0,1)</f>
        <v/>
      </c>
      <c r="G70" s="7">
        <f>_xlfn.XLOOKUP("ProvisionsNoncurrent",LTI_HS_STANDALONE!$C:$C,LTI_HS_STANDALONE!F:F,0,0,1)</f>
        <v/>
      </c>
      <c r="H70" s="7">
        <f>_xlfn.XLOOKUP("ProvisionsNoncurrent",LTI_HS_STANDALONE!$C:$C,LTI_HS_STANDALONE!G:G,0,0,1)</f>
        <v/>
      </c>
      <c r="I70" s="7">
        <f>_xlfn.XLOOKUP("ProvisionsNoncurrent",LTI_HS_STANDALONE!$C:$C,LTI_HS_STANDALONE!H:H,0,0,1)</f>
        <v/>
      </c>
      <c r="J70" s="7">
        <f>_xlfn.XLOOKUP("ProvisionsNoncurrent",LTI_HS_STANDALONE!$C:$C,LTI_HS_STANDALONE!I:I,0,0,1)</f>
        <v/>
      </c>
    </row>
    <row r="71">
      <c r="D71" s="6" t="inlineStr">
        <is>
          <t>Total other non-current liabilities</t>
        </is>
      </c>
      <c r="E71" s="7">
        <f>_xlfn.XLOOKUP("OtherNoncurrentLiabilities",LTI_HS_STANDALONE!$C:$C,LTI_HS_STANDALONE!D:D,0,0,1)</f>
        <v/>
      </c>
      <c r="F71" s="7">
        <f>_xlfn.XLOOKUP("OtherNoncurrentLiabilities",LTI_HS_STANDALONE!$C:$C,LTI_HS_STANDALONE!E:E,0,0,1)</f>
        <v/>
      </c>
      <c r="G71" s="7">
        <f>_xlfn.XLOOKUP("OtherNoncurrentLiabilities",LTI_HS_STANDALONE!$C:$C,LTI_HS_STANDALONE!F:F,0,0,1)</f>
        <v/>
      </c>
      <c r="H71" s="7">
        <f>_xlfn.XLOOKUP("OtherNoncurrentLiabilities",LTI_HS_STANDALONE!$C:$C,LTI_HS_STANDALONE!G:G,0,0,1)</f>
        <v/>
      </c>
      <c r="I71" s="7">
        <f>_xlfn.XLOOKUP("OtherNoncurrentLiabilities",LTI_HS_STANDALONE!$C:$C,LTI_HS_STANDALONE!H:H,0,0,1)</f>
        <v/>
      </c>
      <c r="J71" s="7">
        <f>_xlfn.XLOOKUP("OtherNoncurrentLiabilities",LTI_HS_STANDALONE!$C:$C,LTI_HS_STANDALONE!I:I,0,0,1)</f>
        <v/>
      </c>
    </row>
    <row r="72">
      <c r="B72" s="10" t="inlineStr">
        <is>
          <t>Total non-current liabilities</t>
        </is>
      </c>
      <c r="E72" s="11">
        <f>IFERROR(SUM(E68:E68)+SUM(E70:E71),0)</f>
        <v/>
      </c>
      <c r="F72" s="11">
        <f>IFERROR(SUM(F68:F68)+SUM(F70:F71),0)</f>
        <v/>
      </c>
      <c r="G72" s="11">
        <f>IFERROR(SUM(G68:G68)+SUM(G70:G71),0)</f>
        <v/>
      </c>
      <c r="H72" s="11">
        <f>IFERROR(SUM(H68:H68)+SUM(H70:H71),0)</f>
        <v/>
      </c>
      <c r="I72" s="11">
        <f>IFERROR(SUM(I68:I68)+SUM(I70:I71),0)</f>
        <v/>
      </c>
      <c r="J72" s="11">
        <f>IFERROR(SUM(J68:J68)+SUM(J70:J71),0)</f>
        <v/>
      </c>
    </row>
    <row r="73">
      <c r="B73" s="5" t="inlineStr">
        <is>
          <t xml:space="preserve">Current liabilities </t>
        </is>
      </c>
    </row>
    <row r="74">
      <c r="B74" s="5" t="inlineStr">
        <is>
          <t xml:space="preserve">Current financial liabilities </t>
        </is>
      </c>
    </row>
    <row r="75">
      <c r="C75" s="5" t="inlineStr">
        <is>
          <t xml:space="preserve">Trade payables, current </t>
        </is>
      </c>
    </row>
    <row r="76">
      <c r="D76" s="6" t="inlineStr">
        <is>
          <t>Total trade payables, current</t>
        </is>
      </c>
      <c r="E76" s="7">
        <f>_xlfn.XLOOKUP("TradePayablesCurrent",LTI_HS_STANDALONE!$C:$C,LTI_HS_STANDALONE!D:D,0,0,1)</f>
        <v/>
      </c>
      <c r="F76" s="7">
        <f>_xlfn.XLOOKUP("TradePayablesCurrent",LTI_HS_STANDALONE!$C:$C,LTI_HS_STANDALONE!E:E,0,0,1)</f>
        <v/>
      </c>
      <c r="G76" s="7">
        <f>_xlfn.XLOOKUP("TradePayablesCurrent",LTI_HS_STANDALONE!$C:$C,LTI_HS_STANDALONE!F:F,0,0,1)</f>
        <v/>
      </c>
      <c r="H76" s="7">
        <f>_xlfn.XLOOKUP("TradePayablesCurrent",LTI_HS_STANDALONE!$C:$C,LTI_HS_STANDALONE!G:G,0,0,1)</f>
        <v/>
      </c>
      <c r="I76" s="7">
        <f>_xlfn.XLOOKUP("TradePayablesCurrent",LTI_HS_STANDALONE!$C:$C,LTI_HS_STANDALONE!H:H,0,0,1)</f>
        <v/>
      </c>
      <c r="J76" s="7">
        <f>_xlfn.XLOOKUP("TradePayablesCurrent",LTI_HS_STANDALONE!$C:$C,LTI_HS_STANDALONE!I:I,0,0,1)</f>
        <v/>
      </c>
    </row>
    <row r="77">
      <c r="C77" s="6" t="inlineStr">
        <is>
          <t>Total other current financial liabilities</t>
        </is>
      </c>
      <c r="E77" s="7">
        <f>_xlfn.XLOOKUP("OtherCurrentFinancialLiabilities",LTI_HS_STANDALONE!$C:$C,LTI_HS_STANDALONE!D:D,0,0,1)</f>
        <v/>
      </c>
      <c r="F77" s="7">
        <f>_xlfn.XLOOKUP("OtherCurrentFinancialLiabilities",LTI_HS_STANDALONE!$C:$C,LTI_HS_STANDALONE!E:E,0,0,1)</f>
        <v/>
      </c>
      <c r="G77" s="7">
        <f>_xlfn.XLOOKUP("OtherCurrentFinancialLiabilities",LTI_HS_STANDALONE!$C:$C,LTI_HS_STANDALONE!F:F,0,0,1)</f>
        <v/>
      </c>
      <c r="H77" s="7">
        <f>_xlfn.XLOOKUP("OtherCurrentFinancialLiabilities",LTI_HS_STANDALONE!$C:$C,LTI_HS_STANDALONE!G:G,0,0,1)</f>
        <v/>
      </c>
      <c r="I77" s="7">
        <f>_xlfn.XLOOKUP("OtherCurrentFinancialLiabilities",LTI_HS_STANDALONE!$C:$C,LTI_HS_STANDALONE!H:H,0,0,1)</f>
        <v/>
      </c>
      <c r="J77" s="7">
        <f>_xlfn.XLOOKUP("OtherCurrentFinancialLiabilities",LTI_HS_STANDALONE!$C:$C,LTI_HS_STANDALONE!I:I,0,0,1)</f>
        <v/>
      </c>
    </row>
    <row r="78">
      <c r="B78" s="6" t="inlineStr">
        <is>
          <t>Total current financial liabilities</t>
        </is>
      </c>
      <c r="E78" s="7">
        <f>_xlfn.XLOOKUP("CurrentFinancialLiabilities",LTI_HS_STANDALONE!$C:$C,LTI_HS_STANDALONE!D:D,0,0,1)</f>
        <v/>
      </c>
      <c r="F78" s="7">
        <f>_xlfn.XLOOKUP("CurrentFinancialLiabilities",LTI_HS_STANDALONE!$C:$C,LTI_HS_STANDALONE!E:E,0,0,1)</f>
        <v/>
      </c>
      <c r="G78" s="7">
        <f>_xlfn.XLOOKUP("CurrentFinancialLiabilities",LTI_HS_STANDALONE!$C:$C,LTI_HS_STANDALONE!F:F,0,0,1)</f>
        <v/>
      </c>
      <c r="H78" s="7">
        <f>_xlfn.XLOOKUP("CurrentFinancialLiabilities",LTI_HS_STANDALONE!$C:$C,LTI_HS_STANDALONE!G:G,0,0,1)</f>
        <v/>
      </c>
      <c r="I78" s="7">
        <f>_xlfn.XLOOKUP("CurrentFinancialLiabilities",LTI_HS_STANDALONE!$C:$C,LTI_HS_STANDALONE!H:H,0,0,1)</f>
        <v/>
      </c>
      <c r="J78" s="7">
        <f>_xlfn.XLOOKUP("CurrentFinancialLiabilities",LTI_HS_STANDALONE!$C:$C,LTI_HS_STANDALONE!I:I,0,0,1)</f>
        <v/>
      </c>
    </row>
    <row r="79">
      <c r="C79" s="6" t="inlineStr">
        <is>
          <t>Total other current liabilities</t>
        </is>
      </c>
      <c r="E79" s="7">
        <f>_xlfn.XLOOKUP("OtherCurrentLiabilities",LTI_HS_STANDALONE!$C:$C,LTI_HS_STANDALONE!D:D,0,0,1)</f>
        <v/>
      </c>
      <c r="F79" s="7">
        <f>_xlfn.XLOOKUP("OtherCurrentLiabilities",LTI_HS_STANDALONE!$C:$C,LTI_HS_STANDALONE!E:E,0,0,1)</f>
        <v/>
      </c>
      <c r="G79" s="7">
        <f>_xlfn.XLOOKUP("OtherCurrentLiabilities",LTI_HS_STANDALONE!$C:$C,LTI_HS_STANDALONE!F:F,0,0,1)</f>
        <v/>
      </c>
      <c r="H79" s="7">
        <f>_xlfn.XLOOKUP("OtherCurrentLiabilities",LTI_HS_STANDALONE!$C:$C,LTI_HS_STANDALONE!G:G,0,0,1)</f>
        <v/>
      </c>
      <c r="I79" s="7">
        <f>_xlfn.XLOOKUP("OtherCurrentLiabilities",LTI_HS_STANDALONE!$C:$C,LTI_HS_STANDALONE!H:H,0,0,1)</f>
        <v/>
      </c>
      <c r="J79" s="7">
        <f>_xlfn.XLOOKUP("OtherCurrentLiabilities",LTI_HS_STANDALONE!$C:$C,LTI_HS_STANDALONE!I:I,0,0,1)</f>
        <v/>
      </c>
    </row>
    <row r="80">
      <c r="C80" s="6" t="inlineStr">
        <is>
          <t>Provisions, current</t>
        </is>
      </c>
      <c r="E80" s="7">
        <f>_xlfn.XLOOKUP("ProvisionsCurrent",LTI_HS_STANDALONE!$C:$C,LTI_HS_STANDALONE!D:D,0,0,1)</f>
        <v/>
      </c>
      <c r="F80" s="7">
        <f>_xlfn.XLOOKUP("ProvisionsCurrent",LTI_HS_STANDALONE!$C:$C,LTI_HS_STANDALONE!E:E,0,0,1)</f>
        <v/>
      </c>
      <c r="G80" s="7">
        <f>_xlfn.XLOOKUP("ProvisionsCurrent",LTI_HS_STANDALONE!$C:$C,LTI_HS_STANDALONE!F:F,0,0,1)</f>
        <v/>
      </c>
      <c r="H80" s="7">
        <f>_xlfn.XLOOKUP("ProvisionsCurrent",LTI_HS_STANDALONE!$C:$C,LTI_HS_STANDALONE!G:G,0,0,1)</f>
        <v/>
      </c>
      <c r="I80" s="7">
        <f>_xlfn.XLOOKUP("ProvisionsCurrent",LTI_HS_STANDALONE!$C:$C,LTI_HS_STANDALONE!H:H,0,0,1)</f>
        <v/>
      </c>
      <c r="J80" s="7">
        <f>_xlfn.XLOOKUP("ProvisionsCurrent",LTI_HS_STANDALONE!$C:$C,LTI_HS_STANDALONE!I:I,0,0,1)</f>
        <v/>
      </c>
    </row>
    <row r="81">
      <c r="C81" s="6" t="inlineStr">
        <is>
          <t>Current tax liabilities</t>
        </is>
      </c>
      <c r="E81" s="7">
        <f>_xlfn.XLOOKUP("CurrentTaxLiabilities",LTI_HS_STANDALONE!$C:$C,LTI_HS_STANDALONE!D:D,0,0,1)</f>
        <v/>
      </c>
      <c r="F81" s="7">
        <f>_xlfn.XLOOKUP("CurrentTaxLiabilities",LTI_HS_STANDALONE!$C:$C,LTI_HS_STANDALONE!E:E,0,0,1)</f>
        <v/>
      </c>
      <c r="G81" s="7">
        <f>_xlfn.XLOOKUP("CurrentTaxLiabilities",LTI_HS_STANDALONE!$C:$C,LTI_HS_STANDALONE!F:F,0,0,1)</f>
        <v/>
      </c>
      <c r="H81" s="7">
        <f>_xlfn.XLOOKUP("CurrentTaxLiabilities",LTI_HS_STANDALONE!$C:$C,LTI_HS_STANDALONE!G:G,0,0,1)</f>
        <v/>
      </c>
      <c r="I81" s="7">
        <f>_xlfn.XLOOKUP("CurrentTaxLiabilities",LTI_HS_STANDALONE!$C:$C,LTI_HS_STANDALONE!H:H,0,0,1)</f>
        <v/>
      </c>
      <c r="J81" s="7">
        <f>_xlfn.XLOOKUP("CurrentTaxLiabilities",LTI_HS_STANDALONE!$C:$C,LTI_HS_STANDALONE!I:I,0,0,1)</f>
        <v/>
      </c>
    </row>
    <row r="82">
      <c r="B82" s="10" t="inlineStr">
        <is>
          <t>Total current liabilities</t>
        </is>
      </c>
      <c r="E82" s="11">
        <f>IFERROR(SUM(E76:E77)+SUM(E79:E81),0)</f>
        <v/>
      </c>
      <c r="F82" s="11">
        <f>IFERROR(SUM(F76:F77)+SUM(F79:F81),0)</f>
        <v/>
      </c>
      <c r="G82" s="11">
        <f>IFERROR(SUM(G76:G77)+SUM(G79:G81),0)</f>
        <v/>
      </c>
      <c r="H82" s="11">
        <f>IFERROR(SUM(H76:H77)+SUM(H79:H81),0)</f>
        <v/>
      </c>
      <c r="I82" s="11">
        <f>IFERROR(SUM(I76:I77)+SUM(I79:I81),0)</f>
        <v/>
      </c>
      <c r="J82" s="11">
        <f>IFERROR(SUM(J76:J77)+SUM(J79:J81),0)</f>
        <v/>
      </c>
    </row>
    <row r="83">
      <c r="B83" s="10" t="inlineStr">
        <is>
          <t>Liabilities</t>
        </is>
      </c>
      <c r="E83" s="11">
        <f>IFERROR(SUM(E82:E82)+E72,0)</f>
        <v/>
      </c>
      <c r="F83" s="11">
        <f>IFERROR(SUM(F82:F82)+F72,0)</f>
        <v/>
      </c>
      <c r="G83" s="11">
        <f>IFERROR(SUM(G82:G82)+G72,0)</f>
        <v/>
      </c>
      <c r="H83" s="11">
        <f>IFERROR(SUM(H82:H82)+H72,0)</f>
        <v/>
      </c>
      <c r="I83" s="11">
        <f>IFERROR(SUM(I82:I82)+I72,0)</f>
        <v/>
      </c>
      <c r="J83" s="11">
        <f>IFERROR(SUM(J82:J82)+J72,0)</f>
        <v/>
      </c>
    </row>
    <row r="84">
      <c r="B84" s="10" t="inlineStr">
        <is>
          <t>Total equity and liabilities</t>
        </is>
      </c>
      <c r="E84" s="11">
        <f>IFERROR(E63+E83,0)</f>
        <v/>
      </c>
      <c r="F84" s="11">
        <f>IFERROR(F63+F83,0)</f>
        <v/>
      </c>
      <c r="G84" s="11">
        <f>IFERROR(G63+G83,0)</f>
        <v/>
      </c>
      <c r="H84" s="11">
        <f>IFERROR(H63+H83,0)</f>
        <v/>
      </c>
      <c r="I84" s="11">
        <f>IFERROR(I63+I83,0)</f>
        <v/>
      </c>
      <c r="J84" s="11">
        <f>IFERROR(J63+J83,0)</f>
        <v/>
      </c>
    </row>
    <row r="85">
      <c r="B85" s="12" t="inlineStr">
        <is>
          <t>BALANCE CHECK (Total Assets − Total Equity &amp; Liabilities)</t>
        </is>
      </c>
      <c r="E85" s="13">
        <f>E57-E84</f>
        <v/>
      </c>
      <c r="F85" s="13">
        <f>F57-F84</f>
        <v/>
      </c>
      <c r="G85" s="13">
        <f>G57-G84</f>
        <v/>
      </c>
      <c r="H85" s="13">
        <f>H57-H84</f>
        <v/>
      </c>
      <c r="I85" s="13">
        <f>I57-I84</f>
        <v/>
      </c>
      <c r="J85" s="13">
        <f>J57-J84</f>
        <v/>
      </c>
    </row>
    <row r="86" ht="15.5" customHeight="1" s="203">
      <c r="A86" s="2" t="inlineStr">
        <is>
          <t>#</t>
        </is>
      </c>
      <c r="B86" s="3" t="inlineStr">
        <is>
          <t>Statement of Cash Flows</t>
        </is>
      </c>
    </row>
    <row r="87">
      <c r="B87" s="5" t="inlineStr">
        <is>
          <t>Cash flows from used in operating activities</t>
        </is>
      </c>
    </row>
    <row r="88">
      <c r="C88" s="6" t="inlineStr">
        <is>
          <t>Total profit before tax</t>
        </is>
      </c>
      <c r="E88" s="7">
        <f>_xlfn.XLOOKUP("ProfitBeforeTax",LTI_HS_STANDALONE!$C:$C,LTI_HS_STANDALONE!D:D,0,0,1)</f>
        <v/>
      </c>
      <c r="F88" s="7">
        <f>_xlfn.XLOOKUP("ProfitBeforeTax",LTI_HS_STANDALONE!$C:$C,LTI_HS_STANDALONE!E:E,0,0,1)</f>
        <v/>
      </c>
      <c r="G88" s="7">
        <f>_xlfn.XLOOKUP("ProfitBeforeTax",LTI_HS_STANDALONE!$C:$C,LTI_HS_STANDALONE!F:F,0,0,1)</f>
        <v/>
      </c>
      <c r="H88" s="7">
        <f>_xlfn.XLOOKUP("ProfitBeforeTax",LTI_HS_STANDALONE!$C:$C,LTI_HS_STANDALONE!G:G,0,0,1)</f>
        <v/>
      </c>
      <c r="I88" s="7">
        <f>_xlfn.XLOOKUP("ProfitBeforeTax",LTI_HS_STANDALONE!$C:$C,LTI_HS_STANDALONE!H:H,0,0,1)</f>
        <v/>
      </c>
      <c r="J88" s="7">
        <f>_xlfn.XLOOKUP("ProfitBeforeTax",LTI_HS_STANDALONE!$C:$C,LTI_HS_STANDALONE!I:I,0,0,1)</f>
        <v/>
      </c>
    </row>
    <row r="89">
      <c r="C89" s="5" t="inlineStr">
        <is>
          <t xml:space="preserve">Adjustments for reconcile profit (loss) </t>
        </is>
      </c>
    </row>
    <row r="90">
      <c r="D90" s="6" t="inlineStr">
        <is>
          <t>Adjustments for finance costs</t>
        </is>
      </c>
      <c r="E90" s="7">
        <f>_xlfn.XLOOKUP("AdjustmentsForFinanceCosts",LTI_HS_STANDALONE!$C:$C,LTI_HS_STANDALONE!D:D,0,0,1)</f>
        <v/>
      </c>
      <c r="F90" s="7">
        <f>_xlfn.XLOOKUP("AdjustmentsForFinanceCosts",LTI_HS_STANDALONE!$C:$C,LTI_HS_STANDALONE!E:E,0,0,1)</f>
        <v/>
      </c>
      <c r="G90" s="7">
        <f>_xlfn.XLOOKUP("AdjustmentsForFinanceCosts",LTI_HS_STANDALONE!$C:$C,LTI_HS_STANDALONE!F:F,0,0,1)</f>
        <v/>
      </c>
      <c r="H90" s="7">
        <f>_xlfn.XLOOKUP("AdjustmentsForFinanceCosts",LTI_HS_STANDALONE!$C:$C,LTI_HS_STANDALONE!G:G,0,0,1)</f>
        <v/>
      </c>
      <c r="I90" s="7">
        <f>_xlfn.XLOOKUP("AdjustmentsForFinanceCosts",LTI_HS_STANDALONE!$C:$C,LTI_HS_STANDALONE!H:H,0,0,1)</f>
        <v/>
      </c>
      <c r="J90" s="7">
        <f>_xlfn.XLOOKUP("AdjustmentsForFinanceCosts",LTI_HS_STANDALONE!$C:$C,LTI_HS_STANDALONE!I:I,0,0,1)</f>
        <v/>
      </c>
    </row>
    <row r="91">
      <c r="D91" s="6" t="inlineStr">
        <is>
          <t>Adjustments for decrease (increase) in trade receivables, current</t>
        </is>
      </c>
      <c r="E91" s="7">
        <f>_xlfn.XLOOKUP("AdjustmentsForDecreaseIncreaseInTradeReceivablesCurrent",LTI_HS_STANDALONE!$C:$C,LTI_HS_STANDALONE!D:D,0,0,1)</f>
        <v/>
      </c>
      <c r="F91" s="7">
        <f>_xlfn.XLOOKUP("AdjustmentsForDecreaseIncreaseInTradeReceivablesCurrent",LTI_HS_STANDALONE!$C:$C,LTI_HS_STANDALONE!E:E,0,0,1)</f>
        <v/>
      </c>
      <c r="G91" s="7">
        <f>_xlfn.XLOOKUP("AdjustmentsForDecreaseIncreaseInTradeReceivablesCurrent",LTI_HS_STANDALONE!$C:$C,LTI_HS_STANDALONE!F:F,0,0,1)</f>
        <v/>
      </c>
      <c r="H91" s="7">
        <f>_xlfn.XLOOKUP("AdjustmentsForDecreaseIncreaseInTradeReceivablesCurrent",LTI_HS_STANDALONE!$C:$C,LTI_HS_STANDALONE!G:G,0,0,1)</f>
        <v/>
      </c>
      <c r="I91" s="7">
        <f>_xlfn.XLOOKUP("AdjustmentsForDecreaseIncreaseInTradeReceivablesCurrent",LTI_HS_STANDALONE!$C:$C,LTI_HS_STANDALONE!H:H,0,0,1)</f>
        <v/>
      </c>
      <c r="J91" s="7">
        <f>_xlfn.XLOOKUP("AdjustmentsForDecreaseIncreaseInTradeReceivablesCurrent",LTI_HS_STANDALONE!$C:$C,LTI_HS_STANDALONE!I:I,0,0,1)</f>
        <v/>
      </c>
    </row>
    <row r="92">
      <c r="D92" s="6" t="inlineStr">
        <is>
          <t>Adjustments for decrease (increase) in other current assets</t>
        </is>
      </c>
      <c r="E92" s="7">
        <f>_xlfn.XLOOKUP("AdjustmentsForDecreaseIncreaseInOtherCurrentAssets",LTI_HS_STANDALONE!$C:$C,LTI_HS_STANDALONE!D:D,0,0,1)</f>
        <v/>
      </c>
      <c r="F92" s="7">
        <f>_xlfn.XLOOKUP("AdjustmentsForDecreaseIncreaseInOtherCurrentAssets",LTI_HS_STANDALONE!$C:$C,LTI_HS_STANDALONE!E:E,0,0,1)</f>
        <v/>
      </c>
      <c r="G92" s="7">
        <f>_xlfn.XLOOKUP("AdjustmentsForDecreaseIncreaseInOtherCurrentAssets",LTI_HS_STANDALONE!$C:$C,LTI_HS_STANDALONE!F:F,0,0,1)</f>
        <v/>
      </c>
      <c r="H92" s="7">
        <f>_xlfn.XLOOKUP("AdjustmentsForDecreaseIncreaseInOtherCurrentAssets",LTI_HS_STANDALONE!$C:$C,LTI_HS_STANDALONE!G:G,0,0,1)</f>
        <v/>
      </c>
      <c r="I92" s="7">
        <f>_xlfn.XLOOKUP("AdjustmentsForDecreaseIncreaseInOtherCurrentAssets",LTI_HS_STANDALONE!$C:$C,LTI_HS_STANDALONE!H:H,0,0,1)</f>
        <v/>
      </c>
      <c r="J92" s="7">
        <f>_xlfn.XLOOKUP("AdjustmentsForDecreaseIncreaseInOtherCurrentAssets",LTI_HS_STANDALONE!$C:$C,LTI_HS_STANDALONE!I:I,0,0,1)</f>
        <v/>
      </c>
    </row>
    <row r="93">
      <c r="D93" s="6" t="inlineStr">
        <is>
          <t>Adjustments for decrease (increase) in other non-current assets</t>
        </is>
      </c>
      <c r="E93" s="7">
        <f>_xlfn.XLOOKUP("AdjustmentsForDecreaseIncreaseInOtherNoncurrentAssets",LTI_HS_STANDALONE!$C:$C,LTI_HS_STANDALONE!D:D,0,0,1)</f>
        <v/>
      </c>
      <c r="F93" s="7">
        <f>_xlfn.XLOOKUP("AdjustmentsForDecreaseIncreaseInOtherNoncurrentAssets",LTI_HS_STANDALONE!$C:$C,LTI_HS_STANDALONE!E:E,0,0,1)</f>
        <v/>
      </c>
      <c r="G93" s="7">
        <f>_xlfn.XLOOKUP("AdjustmentsForDecreaseIncreaseInOtherNoncurrentAssets",LTI_HS_STANDALONE!$C:$C,LTI_HS_STANDALONE!F:F,0,0,1)</f>
        <v/>
      </c>
      <c r="H93" s="7">
        <f>_xlfn.XLOOKUP("AdjustmentsForDecreaseIncreaseInOtherNoncurrentAssets",LTI_HS_STANDALONE!$C:$C,LTI_HS_STANDALONE!G:G,0,0,1)</f>
        <v/>
      </c>
      <c r="I93" s="7">
        <f>_xlfn.XLOOKUP("AdjustmentsForDecreaseIncreaseInOtherNoncurrentAssets",LTI_HS_STANDALONE!$C:$C,LTI_HS_STANDALONE!H:H,0,0,1)</f>
        <v/>
      </c>
      <c r="J93" s="7">
        <f>_xlfn.XLOOKUP("AdjustmentsForDecreaseIncreaseInOtherNoncurrentAssets",LTI_HS_STANDALONE!$C:$C,LTI_HS_STANDALONE!I:I,0,0,1)</f>
        <v/>
      </c>
    </row>
    <row r="94">
      <c r="D94" s="6" t="inlineStr">
        <is>
          <t>Adjustments for increase (decrease) in trade payables, current</t>
        </is>
      </c>
      <c r="E94" s="7">
        <f>_xlfn.XLOOKUP("AdjustmentsForIncreaseDecreaseInTradePayablesCurrent",LTI_HS_STANDALONE!$C:$C,LTI_HS_STANDALONE!D:D,0,0,1)</f>
        <v/>
      </c>
      <c r="F94" s="7">
        <f>_xlfn.XLOOKUP("AdjustmentsForIncreaseDecreaseInTradePayablesCurrent",LTI_HS_STANDALONE!$C:$C,LTI_HS_STANDALONE!E:E,0,0,1)</f>
        <v/>
      </c>
      <c r="G94" s="7">
        <f>_xlfn.XLOOKUP("AdjustmentsForIncreaseDecreaseInTradePayablesCurrent",LTI_HS_STANDALONE!$C:$C,LTI_HS_STANDALONE!F:F,0,0,1)</f>
        <v/>
      </c>
      <c r="H94" s="7">
        <f>_xlfn.XLOOKUP("AdjustmentsForIncreaseDecreaseInTradePayablesCurrent",LTI_HS_STANDALONE!$C:$C,LTI_HS_STANDALONE!G:G,0,0,1)</f>
        <v/>
      </c>
      <c r="I94" s="7">
        <f>_xlfn.XLOOKUP("AdjustmentsForIncreaseDecreaseInTradePayablesCurrent",LTI_HS_STANDALONE!$C:$C,LTI_HS_STANDALONE!H:H,0,0,1)</f>
        <v/>
      </c>
      <c r="J94" s="7">
        <f>_xlfn.XLOOKUP("AdjustmentsForIncreaseDecreaseInTradePayablesCurrent",LTI_HS_STANDALONE!$C:$C,LTI_HS_STANDALONE!I:I,0,0,1)</f>
        <v/>
      </c>
    </row>
    <row r="95">
      <c r="D95" s="6" t="inlineStr">
        <is>
          <t>Adjustments for depreciation and amortisation expense</t>
        </is>
      </c>
      <c r="E95" s="7">
        <f>_xlfn.XLOOKUP("AdjustmentsForDepreciationAndAmortisationExpense",LTI_HS_STANDALONE!$C:$C,LTI_HS_STANDALONE!D:D,0,0,1)</f>
        <v/>
      </c>
      <c r="F95" s="7">
        <f>_xlfn.XLOOKUP("AdjustmentsForDepreciationAndAmortisationExpense",LTI_HS_STANDALONE!$C:$C,LTI_HS_STANDALONE!E:E,0,0,1)</f>
        <v/>
      </c>
      <c r="G95" s="7">
        <f>_xlfn.XLOOKUP("AdjustmentsForDepreciationAndAmortisationExpense",LTI_HS_STANDALONE!$C:$C,LTI_HS_STANDALONE!F:F,0,0,1)</f>
        <v/>
      </c>
      <c r="H95" s="7">
        <f>_xlfn.XLOOKUP("AdjustmentsForDepreciationAndAmortisationExpense",LTI_HS_STANDALONE!$C:$C,LTI_HS_STANDALONE!G:G,0,0,1)</f>
        <v/>
      </c>
      <c r="I95" s="7">
        <f>_xlfn.XLOOKUP("AdjustmentsForDepreciationAndAmortisationExpense",LTI_HS_STANDALONE!$C:$C,LTI_HS_STANDALONE!H:H,0,0,1)</f>
        <v/>
      </c>
      <c r="J95" s="7">
        <f>_xlfn.XLOOKUP("AdjustmentsForDepreciationAndAmortisationExpense",LTI_HS_STANDALONE!$C:$C,LTI_HS_STANDALONE!I:I,0,0,1)</f>
        <v/>
      </c>
    </row>
    <row r="96">
      <c r="D96" s="6" t="inlineStr">
        <is>
          <t>Adjustments for unrealised foreign exchange losses gains</t>
        </is>
      </c>
      <c r="E96" s="7">
        <f>_xlfn.XLOOKUP("AdjustmentsForUnrealisedForeignExchangeLossesGains",LTI_HS_STANDALONE!$C:$C,LTI_HS_STANDALONE!D:D,0,0,1)</f>
        <v/>
      </c>
      <c r="F96" s="7">
        <f>_xlfn.XLOOKUP("AdjustmentsForUnrealisedForeignExchangeLossesGains",LTI_HS_STANDALONE!$C:$C,LTI_HS_STANDALONE!E:E,0,0,1)</f>
        <v/>
      </c>
      <c r="G96" s="7">
        <f>_xlfn.XLOOKUP("AdjustmentsForUnrealisedForeignExchangeLossesGains",LTI_HS_STANDALONE!$C:$C,LTI_HS_STANDALONE!F:F,0,0,1)</f>
        <v/>
      </c>
      <c r="H96" s="7">
        <f>_xlfn.XLOOKUP("AdjustmentsForUnrealisedForeignExchangeLossesGains",LTI_HS_STANDALONE!$C:$C,LTI_HS_STANDALONE!G:G,0,0,1)</f>
        <v/>
      </c>
      <c r="I96" s="7">
        <f>_xlfn.XLOOKUP("AdjustmentsForUnrealisedForeignExchangeLossesGains",LTI_HS_STANDALONE!$C:$C,LTI_HS_STANDALONE!H:H,0,0,1)</f>
        <v/>
      </c>
      <c r="J96" s="7">
        <f>_xlfn.XLOOKUP("AdjustmentsForUnrealisedForeignExchangeLossesGains",LTI_HS_STANDALONE!$C:$C,LTI_HS_STANDALONE!I:I,0,0,1)</f>
        <v/>
      </c>
    </row>
    <row r="97">
      <c r="D97" s="6" t="inlineStr">
        <is>
          <t>Adjustments for dividend income</t>
        </is>
      </c>
      <c r="E97" s="7">
        <f>_xlfn.XLOOKUP("AdjustmentsForDividendIncome",LTI_HS_STANDALONE!$C:$C,LTI_HS_STANDALONE!D:D,0,0,1)</f>
        <v/>
      </c>
      <c r="F97" s="7">
        <f>_xlfn.XLOOKUP("AdjustmentsForDividendIncome",LTI_HS_STANDALONE!$C:$C,LTI_HS_STANDALONE!E:E,0,0,1)</f>
        <v/>
      </c>
      <c r="G97" s="7">
        <f>_xlfn.XLOOKUP("AdjustmentsForDividendIncome",LTI_HS_STANDALONE!$C:$C,LTI_HS_STANDALONE!F:F,0,0,1)</f>
        <v/>
      </c>
      <c r="H97" s="7">
        <f>_xlfn.XLOOKUP("AdjustmentsForDividendIncome",LTI_HS_STANDALONE!$C:$C,LTI_HS_STANDALONE!G:G,0,0,1)</f>
        <v/>
      </c>
      <c r="I97" s="7">
        <f>_xlfn.XLOOKUP("AdjustmentsForDividendIncome",LTI_HS_STANDALONE!$C:$C,LTI_HS_STANDALONE!H:H,0,0,1)</f>
        <v/>
      </c>
      <c r="J97" s="7">
        <f>_xlfn.XLOOKUP("AdjustmentsForDividendIncome",LTI_HS_STANDALONE!$C:$C,LTI_HS_STANDALONE!I:I,0,0,1)</f>
        <v/>
      </c>
    </row>
    <row r="98">
      <c r="D98" s="6" t="inlineStr">
        <is>
          <t>Adjustments for interest income</t>
        </is>
      </c>
      <c r="E98" s="7">
        <f>_xlfn.XLOOKUP("AdjustmentsForInterestIncome",LTI_HS_STANDALONE!$C:$C,LTI_HS_STANDALONE!D:D,0,0,1)</f>
        <v/>
      </c>
      <c r="F98" s="7">
        <f>_xlfn.XLOOKUP("AdjustmentsForInterestIncome",LTI_HS_STANDALONE!$C:$C,LTI_HS_STANDALONE!E:E,0,0,1)</f>
        <v/>
      </c>
      <c r="G98" s="7">
        <f>_xlfn.XLOOKUP("AdjustmentsForInterestIncome",LTI_HS_STANDALONE!$C:$C,LTI_HS_STANDALONE!F:F,0,0,1)</f>
        <v/>
      </c>
      <c r="H98" s="7">
        <f>_xlfn.XLOOKUP("AdjustmentsForInterestIncome",LTI_HS_STANDALONE!$C:$C,LTI_HS_STANDALONE!G:G,0,0,1)</f>
        <v/>
      </c>
      <c r="I98" s="7">
        <f>_xlfn.XLOOKUP("AdjustmentsForInterestIncome",LTI_HS_STANDALONE!$C:$C,LTI_HS_STANDALONE!H:H,0,0,1)</f>
        <v/>
      </c>
      <c r="J98" s="7">
        <f>_xlfn.XLOOKUP("AdjustmentsForInterestIncome",LTI_HS_STANDALONE!$C:$C,LTI_HS_STANDALONE!I:I,0,0,1)</f>
        <v/>
      </c>
    </row>
    <row r="99">
      <c r="D99" s="6" t="inlineStr">
        <is>
          <t>Adjustments for share-based payments</t>
        </is>
      </c>
      <c r="E99" s="7">
        <f>_xlfn.XLOOKUP("AdjustmentsForSharebasedPayments",LTI_HS_STANDALONE!$C:$C,LTI_HS_STANDALONE!D:D,0,0,1)</f>
        <v/>
      </c>
      <c r="F99" s="7">
        <f>_xlfn.XLOOKUP("AdjustmentsForSharebasedPayments",LTI_HS_STANDALONE!$C:$C,LTI_HS_STANDALONE!E:E,0,0,1)</f>
        <v/>
      </c>
      <c r="G99" s="7">
        <f>_xlfn.XLOOKUP("AdjustmentsForSharebasedPayments",LTI_HS_STANDALONE!$C:$C,LTI_HS_STANDALONE!F:F,0,0,1)</f>
        <v/>
      </c>
      <c r="H99" s="7">
        <f>_xlfn.XLOOKUP("AdjustmentsForSharebasedPayments",LTI_HS_STANDALONE!$C:$C,LTI_HS_STANDALONE!G:G,0,0,1)</f>
        <v/>
      </c>
      <c r="I99" s="7">
        <f>_xlfn.XLOOKUP("AdjustmentsForSharebasedPayments",LTI_HS_STANDALONE!$C:$C,LTI_HS_STANDALONE!H:H,0,0,1)</f>
        <v/>
      </c>
      <c r="J99" s="7">
        <f>_xlfn.XLOOKUP("AdjustmentsForSharebasedPayments",LTI_HS_STANDALONE!$C:$C,LTI_HS_STANDALONE!I:I,0,0,1)</f>
        <v/>
      </c>
    </row>
    <row r="100">
      <c r="D100" s="6" t="inlineStr">
        <is>
          <t>Other adjustments for which cash effects are investing or financing cash flow</t>
        </is>
      </c>
      <c r="E100" s="7">
        <f>_xlfn.XLOOKUP("OtherAdjustmentsForWhichCashEffectsAreInvestingOrFinancingCashFlow",LTI_HS_STANDALONE!$C:$C,LTI_HS_STANDALONE!D:D,0,0,1)</f>
        <v/>
      </c>
      <c r="F100" s="7">
        <f>_xlfn.XLOOKUP("OtherAdjustmentsForWhichCashEffectsAreInvestingOrFinancingCashFlow",LTI_HS_STANDALONE!$C:$C,LTI_HS_STANDALONE!E:E,0,0,1)</f>
        <v/>
      </c>
      <c r="G100" s="7">
        <f>_xlfn.XLOOKUP("OtherAdjustmentsForWhichCashEffectsAreInvestingOrFinancingCashFlow",LTI_HS_STANDALONE!$C:$C,LTI_HS_STANDALONE!F:F,0,0,1)</f>
        <v/>
      </c>
      <c r="H100" s="7">
        <f>_xlfn.XLOOKUP("OtherAdjustmentsForWhichCashEffectsAreInvestingOrFinancingCashFlow",LTI_HS_STANDALONE!$C:$C,LTI_HS_STANDALONE!G:G,0,0,1)</f>
        <v/>
      </c>
      <c r="I100" s="7">
        <f>_xlfn.XLOOKUP("OtherAdjustmentsForWhichCashEffectsAreInvestingOrFinancingCashFlow",LTI_HS_STANDALONE!$C:$C,LTI_HS_STANDALONE!H:H,0,0,1)</f>
        <v/>
      </c>
      <c r="J100" s="7">
        <f>_xlfn.XLOOKUP("OtherAdjustmentsForWhichCashEffectsAreInvestingOrFinancingCashFlow",LTI_HS_STANDALONE!$C:$C,LTI_HS_STANDALONE!I:I,0,0,1)</f>
        <v/>
      </c>
    </row>
    <row r="101">
      <c r="D101" s="6" t="inlineStr">
        <is>
          <t>Other adjustments to reconcile profit (loss)</t>
        </is>
      </c>
      <c r="E101" s="7">
        <f>_xlfn.XLOOKUP("OtherAdjustmentsToReconcileProfitLoss",LTI_HS_STANDALONE!$C:$C,LTI_HS_STANDALONE!D:D,0,0,1)</f>
        <v/>
      </c>
      <c r="F101" s="7">
        <f>_xlfn.XLOOKUP("OtherAdjustmentsToReconcileProfitLoss",LTI_HS_STANDALONE!$C:$C,LTI_HS_STANDALONE!E:E,0,0,1)</f>
        <v/>
      </c>
      <c r="G101" s="7">
        <f>_xlfn.XLOOKUP("OtherAdjustmentsToReconcileProfitLoss",LTI_HS_STANDALONE!$C:$C,LTI_HS_STANDALONE!F:F,0,0,1)</f>
        <v/>
      </c>
      <c r="H101" s="7">
        <f>_xlfn.XLOOKUP("OtherAdjustmentsToReconcileProfitLoss",LTI_HS_STANDALONE!$C:$C,LTI_HS_STANDALONE!G:G,0,0,1)</f>
        <v/>
      </c>
      <c r="I101" s="7">
        <f>_xlfn.XLOOKUP("OtherAdjustmentsToReconcileProfitLoss",LTI_HS_STANDALONE!$C:$C,LTI_HS_STANDALONE!H:H,0,0,1)</f>
        <v/>
      </c>
      <c r="J101" s="7">
        <f>_xlfn.XLOOKUP("OtherAdjustmentsToReconcileProfitLoss",LTI_HS_STANDALONE!$C:$C,LTI_HS_STANDALONE!I:I,0,0,1)</f>
        <v/>
      </c>
    </row>
    <row r="102">
      <c r="D102" s="6" t="inlineStr">
        <is>
          <t>Other adjustments for non-cash items</t>
        </is>
      </c>
      <c r="E102" s="7">
        <f>_xlfn.XLOOKUP("OtherAdjustmentsForNoncashItems",LTI_HS_STANDALONE!$C:$C,LTI_HS_STANDALONE!D:D,0,0,1)</f>
        <v/>
      </c>
      <c r="F102" s="7">
        <f>_xlfn.XLOOKUP("OtherAdjustmentsForNoncashItems",LTI_HS_STANDALONE!$C:$C,LTI_HS_STANDALONE!E:E,0,0,1)</f>
        <v/>
      </c>
      <c r="G102" s="7">
        <f>_xlfn.XLOOKUP("OtherAdjustmentsForNoncashItems",LTI_HS_STANDALONE!$C:$C,LTI_HS_STANDALONE!F:F,0,0,1)</f>
        <v/>
      </c>
      <c r="H102" s="7">
        <f>_xlfn.XLOOKUP("OtherAdjustmentsForNoncashItems",LTI_HS_STANDALONE!$C:$C,LTI_HS_STANDALONE!G:G,0,0,1)</f>
        <v/>
      </c>
      <c r="I102" s="7">
        <f>_xlfn.XLOOKUP("OtherAdjustmentsForNoncashItems",LTI_HS_STANDALONE!$C:$C,LTI_HS_STANDALONE!H:H,0,0,1)</f>
        <v/>
      </c>
      <c r="J102" s="7">
        <f>_xlfn.XLOOKUP("OtherAdjustmentsForNoncashItems",LTI_HS_STANDALONE!$C:$C,LTI_HS_STANDALONE!I:I,0,0,1)</f>
        <v/>
      </c>
    </row>
    <row r="103">
      <c r="D103" s="6" t="inlineStr">
        <is>
          <t>Total adjustments for reconcile profit (loss)</t>
        </is>
      </c>
      <c r="E103" s="7">
        <f>_xlfn.XLOOKUP("AdjustmentsForReconcileProfitLoss",LTI_HS_STANDALONE!$C:$C,LTI_HS_STANDALONE!D:D,0,0,1)</f>
        <v/>
      </c>
      <c r="F103" s="7">
        <f>_xlfn.XLOOKUP("AdjustmentsForReconcileProfitLoss",LTI_HS_STANDALONE!$C:$C,LTI_HS_STANDALONE!E:E,0,0,1)</f>
        <v/>
      </c>
      <c r="G103" s="7">
        <f>_xlfn.XLOOKUP("AdjustmentsForReconcileProfitLoss",LTI_HS_STANDALONE!$C:$C,LTI_HS_STANDALONE!F:F,0,0,1)</f>
        <v/>
      </c>
      <c r="H103" s="7">
        <f>_xlfn.XLOOKUP("AdjustmentsForReconcileProfitLoss",LTI_HS_STANDALONE!$C:$C,LTI_HS_STANDALONE!G:G,0,0,1)</f>
        <v/>
      </c>
      <c r="I103" s="7">
        <f>_xlfn.XLOOKUP("AdjustmentsForReconcileProfitLoss",LTI_HS_STANDALONE!$C:$C,LTI_HS_STANDALONE!H:H,0,0,1)</f>
        <v/>
      </c>
      <c r="J103" s="7">
        <f>_xlfn.XLOOKUP("AdjustmentsForReconcileProfitLoss",LTI_HS_STANDALONE!$C:$C,LTI_HS_STANDALONE!I:I,0,0,1)</f>
        <v/>
      </c>
    </row>
    <row r="104">
      <c r="C104" s="8" t="inlineStr">
        <is>
          <t>Net cash flows from (used in) operations</t>
        </is>
      </c>
      <c r="E104" s="9">
        <f>IFERROR(E103+E88,0)</f>
        <v/>
      </c>
      <c r="F104" s="9">
        <f>IFERROR(F103+F88,0)</f>
        <v/>
      </c>
      <c r="G104" s="9">
        <f>IFERROR(G103+G88,0)</f>
        <v/>
      </c>
      <c r="H104" s="9">
        <f>IFERROR(H103+H88,0)</f>
        <v/>
      </c>
      <c r="I104" s="9">
        <f>IFERROR(I103+I88,0)</f>
        <v/>
      </c>
      <c r="J104" s="9">
        <f>IFERROR(J103+J88,0)</f>
        <v/>
      </c>
    </row>
    <row r="105">
      <c r="C105" s="6" t="inlineStr">
        <is>
          <t>Income taxes paid (refund)</t>
        </is>
      </c>
      <c r="E105" s="7">
        <f>-_xlfn.XLOOKUP("IncomeTaxesPaidRefundClassifiedAsOperatingActivities",LTI_HS_STANDALONE!$C:$C,LTI_HS_STANDALONE!D:D,0,0,1)</f>
        <v/>
      </c>
      <c r="F105" s="7">
        <f>-_xlfn.XLOOKUP("IncomeTaxesPaidRefundClassifiedAsOperatingActivities",LTI_HS_STANDALONE!$C:$C,LTI_HS_STANDALONE!E:E,0,0,1)</f>
        <v/>
      </c>
      <c r="G105" s="7">
        <f>-_xlfn.XLOOKUP("IncomeTaxesPaidRefundClassifiedAsOperatingActivities",LTI_HS_STANDALONE!$C:$C,LTI_HS_STANDALONE!F:F,0,0,1)</f>
        <v/>
      </c>
      <c r="H105" s="7">
        <f>-_xlfn.XLOOKUP("IncomeTaxesPaidRefundClassifiedAsOperatingActivities",LTI_HS_STANDALONE!$C:$C,LTI_HS_STANDALONE!G:G,0,0,1)</f>
        <v/>
      </c>
      <c r="I105" s="7">
        <f>-_xlfn.XLOOKUP("IncomeTaxesPaidRefundClassifiedAsOperatingActivities",LTI_HS_STANDALONE!$C:$C,LTI_HS_STANDALONE!H:H,0,0,1)</f>
        <v/>
      </c>
      <c r="J105" s="7">
        <f>-_xlfn.XLOOKUP("IncomeTaxesPaidRefundClassifiedAsOperatingActivities",LTI_HS_STANDALONE!$C:$C,LTI_HS_STANDALONE!I:I,0,0,1)</f>
        <v/>
      </c>
    </row>
    <row r="106">
      <c r="C106" s="8" t="inlineStr">
        <is>
          <t>Net cash flows from (used in) operating activities</t>
        </is>
      </c>
      <c r="E106" s="9">
        <f>IFERROR(SUM(E104:E105),0)</f>
        <v/>
      </c>
      <c r="F106" s="9">
        <f>IFERROR(SUM(F104:F105),0)</f>
        <v/>
      </c>
      <c r="G106" s="9">
        <f>IFERROR(SUM(G104:G105),0)</f>
        <v/>
      </c>
      <c r="H106" s="9">
        <f>IFERROR(SUM(H104:H105),0)</f>
        <v/>
      </c>
      <c r="I106" s="9">
        <f>IFERROR(SUM(I104:I105),0)</f>
        <v/>
      </c>
      <c r="J106" s="9">
        <f>IFERROR(SUM(J104:J105),0)</f>
        <v/>
      </c>
    </row>
    <row r="107">
      <c r="C107" s="5" t="inlineStr">
        <is>
          <t>Cash flows from used in investing activities [Abstract]</t>
        </is>
      </c>
    </row>
    <row r="108">
      <c r="D108" s="6" t="inlineStr">
        <is>
          <t>Cash flows from losing control of subsidiaries or other businesses</t>
        </is>
      </c>
      <c r="E108" s="7">
        <f>_xlfn.XLOOKUP("CashFlowsFromLosingControlOfSubsidiariesOrOtherBusinessesClassifiedAsInvestingActivities",LTI_HS_STANDALONE!$C:$C,LTI_HS_STANDALONE!D:D,0,0,1)</f>
        <v/>
      </c>
      <c r="F108" s="7">
        <f>_xlfn.XLOOKUP("CashFlowsFromLosingControlOfSubsidiariesOrOtherBusinessesClassifiedAsInvestingActivities",LTI_HS_STANDALONE!$C:$C,LTI_HS_STANDALONE!E:E,0,0,1)</f>
        <v/>
      </c>
      <c r="G108" s="7">
        <f>_xlfn.XLOOKUP("CashFlowsFromLosingControlOfSubsidiariesOrOtherBusinessesClassifiedAsInvestingActivities",LTI_HS_STANDALONE!$C:$C,LTI_HS_STANDALONE!F:F,0,0,1)</f>
        <v/>
      </c>
      <c r="H108" s="7">
        <f>_xlfn.XLOOKUP("CashFlowsFromLosingControlOfSubsidiariesOrOtherBusinessesClassifiedAsInvestingActivities",LTI_HS_STANDALONE!$C:$C,LTI_HS_STANDALONE!G:G,0,0,1)</f>
        <v/>
      </c>
      <c r="I108" s="7">
        <f>_xlfn.XLOOKUP("CashFlowsFromLosingControlOfSubsidiariesOrOtherBusinessesClassifiedAsInvestingActivities",LTI_HS_STANDALONE!$C:$C,LTI_HS_STANDALONE!H:H,0,0,1)</f>
        <v/>
      </c>
      <c r="J108" s="7">
        <f>_xlfn.XLOOKUP("CashFlowsFromLosingControlOfSubsidiariesOrOtherBusinessesClassifiedAsInvestingActivities",LTI_HS_STANDALONE!$C:$C,LTI_HS_STANDALONE!I:I,0,0,1)</f>
        <v/>
      </c>
    </row>
    <row r="109">
      <c r="D109" s="6" t="inlineStr">
        <is>
          <t>Cash flows used in obtaining control of subsidiaries or other businesses</t>
        </is>
      </c>
      <c r="E109" s="7">
        <f>-_xlfn.XLOOKUP("CashFlowsUsedInObtainingControlOfSubsidiariesOrOtherBusinessesClassifiedAsInvestingActivities",LTI_HS_STANDALONE!$C:$C,LTI_HS_STANDALONE!D:D,0,0,1)</f>
        <v/>
      </c>
      <c r="F109" s="7">
        <f>-_xlfn.XLOOKUP("CashFlowsUsedInObtainingControlOfSubsidiariesOrOtherBusinessesClassifiedAsInvestingActivities",LTI_HS_STANDALONE!$C:$C,LTI_HS_STANDALONE!E:E,0,0,1)</f>
        <v/>
      </c>
      <c r="G109" s="7">
        <f>-_xlfn.XLOOKUP("CashFlowsUsedInObtainingControlOfSubsidiariesOrOtherBusinessesClassifiedAsInvestingActivities",LTI_HS_STANDALONE!$C:$C,LTI_HS_STANDALONE!F:F,0,0,1)</f>
        <v/>
      </c>
      <c r="H109" s="7">
        <f>-_xlfn.XLOOKUP("CashFlowsUsedInObtainingControlOfSubsidiariesOrOtherBusinessesClassifiedAsInvestingActivities",LTI_HS_STANDALONE!$C:$C,LTI_HS_STANDALONE!G:G,0,0,1)</f>
        <v/>
      </c>
      <c r="I109" s="7">
        <f>-_xlfn.XLOOKUP("CashFlowsUsedInObtainingControlOfSubsidiariesOrOtherBusinessesClassifiedAsInvestingActivities",LTI_HS_STANDALONE!$C:$C,LTI_HS_STANDALONE!H:H,0,0,1)</f>
        <v/>
      </c>
      <c r="J109" s="7">
        <f>-_xlfn.XLOOKUP("CashFlowsUsedInObtainingControlOfSubsidiariesOrOtherBusinessesClassifiedAsInvestingActivities",LTI_HS_STANDALONE!$C:$C,LTI_HS_STANDALONE!I:I,0,0,1)</f>
        <v/>
      </c>
    </row>
    <row r="110">
      <c r="D110" s="6" t="inlineStr">
        <is>
          <t>Other cash receipts from sales of equity or debt instruments of other entities</t>
        </is>
      </c>
      <c r="E110" s="7">
        <f>_xlfn.XLOOKUP("OtherCashReceiptsFromSalesOfEquityOrDebtInstrumentsOfOtherEntitiesClassifiedAsInvestingActivities",LTI_HS_STANDALONE!$C:$C,LTI_HS_STANDALONE!D:D,0,0,1)</f>
        <v/>
      </c>
      <c r="F110" s="7">
        <f>_xlfn.XLOOKUP("OtherCashReceiptsFromSalesOfEquityOrDebtInstrumentsOfOtherEntitiesClassifiedAsInvestingActivities",LTI_HS_STANDALONE!$C:$C,LTI_HS_STANDALONE!E:E,0,0,1)</f>
        <v/>
      </c>
      <c r="G110" s="7">
        <f>_xlfn.XLOOKUP("OtherCashReceiptsFromSalesOfEquityOrDebtInstrumentsOfOtherEntitiesClassifiedAsInvestingActivities",LTI_HS_STANDALONE!$C:$C,LTI_HS_STANDALONE!F:F,0,0,1)</f>
        <v/>
      </c>
      <c r="H110" s="7">
        <f>_xlfn.XLOOKUP("OtherCashReceiptsFromSalesOfEquityOrDebtInstrumentsOfOtherEntitiesClassifiedAsInvestingActivities",LTI_HS_STANDALONE!$C:$C,LTI_HS_STANDALONE!G:G,0,0,1)</f>
        <v/>
      </c>
      <c r="I110" s="7">
        <f>_xlfn.XLOOKUP("OtherCashReceiptsFromSalesOfEquityOrDebtInstrumentsOfOtherEntitiesClassifiedAsInvestingActivities",LTI_HS_STANDALONE!$C:$C,LTI_HS_STANDALONE!H:H,0,0,1)</f>
        <v/>
      </c>
      <c r="J110" s="7">
        <f>_xlfn.XLOOKUP("OtherCashReceiptsFromSalesOfEquityOrDebtInstrumentsOfOtherEntitiesClassifiedAsInvestingActivities",LTI_HS_STANDALONE!$C:$C,LTI_HS_STANDALONE!I:I,0,0,1)</f>
        <v/>
      </c>
    </row>
    <row r="111">
      <c r="D111" s="6" t="inlineStr">
        <is>
          <t>Other cash payments to acquire equity or debt instruments of other entities</t>
        </is>
      </c>
      <c r="E111" s="7">
        <f>-_xlfn.XLOOKUP("OtherCashPaymentsToAcquireEquityOrDebtInstrumentsOfOtherEntitiesClassifiedAsInvestingActivities",LTI_HS_STANDALONE!$C:$C,LTI_HS_STANDALONE!D:D,0,0,1)</f>
        <v/>
      </c>
      <c r="F111" s="7">
        <f>-_xlfn.XLOOKUP("OtherCashPaymentsToAcquireEquityOrDebtInstrumentsOfOtherEntitiesClassifiedAsInvestingActivities",LTI_HS_STANDALONE!$C:$C,LTI_HS_STANDALONE!E:E,0,0,1)</f>
        <v/>
      </c>
      <c r="G111" s="7">
        <f>-_xlfn.XLOOKUP("OtherCashPaymentsToAcquireEquityOrDebtInstrumentsOfOtherEntitiesClassifiedAsInvestingActivities",LTI_HS_STANDALONE!$C:$C,LTI_HS_STANDALONE!F:F,0,0,1)</f>
        <v/>
      </c>
      <c r="H111" s="7">
        <f>-_xlfn.XLOOKUP("OtherCashPaymentsToAcquireEquityOrDebtInstrumentsOfOtherEntitiesClassifiedAsInvestingActivities",LTI_HS_STANDALONE!$C:$C,LTI_HS_STANDALONE!G:G,0,0,1)</f>
        <v/>
      </c>
      <c r="I111" s="7">
        <f>-_xlfn.XLOOKUP("OtherCashPaymentsToAcquireEquityOrDebtInstrumentsOfOtherEntitiesClassifiedAsInvestingActivities",LTI_HS_STANDALONE!$C:$C,LTI_HS_STANDALONE!H:H,0,0,1)</f>
        <v/>
      </c>
      <c r="J111" s="7">
        <f>-_xlfn.XLOOKUP("OtherCashPaymentsToAcquireEquityOrDebtInstrumentsOfOtherEntitiesClassifiedAsInvestingActivities",LTI_HS_STANDALONE!$C:$C,LTI_HS_STANDALONE!I:I,0,0,1)</f>
        <v/>
      </c>
    </row>
    <row r="112">
      <c r="D112" s="6" t="inlineStr">
        <is>
          <t>Proceeds from sales of property, plant and equipment</t>
        </is>
      </c>
      <c r="E112" s="7">
        <f>_xlfn.XLOOKUP("ProceedsFromSalesOfPropertyPlantAndEquipmentClassifiedAsInvestingActivities",LTI_HS_STANDALONE!$C:$C,LTI_HS_STANDALONE!D:D,0,0,1)</f>
        <v/>
      </c>
      <c r="F112" s="7">
        <f>_xlfn.XLOOKUP("ProceedsFromSalesOfPropertyPlantAndEquipmentClassifiedAsInvestingActivities",LTI_HS_STANDALONE!$C:$C,LTI_HS_STANDALONE!E:E,0,0,1)</f>
        <v/>
      </c>
      <c r="G112" s="7">
        <f>_xlfn.XLOOKUP("ProceedsFromSalesOfPropertyPlantAndEquipmentClassifiedAsInvestingActivities",LTI_HS_STANDALONE!$C:$C,LTI_HS_STANDALONE!F:F,0,0,1)</f>
        <v/>
      </c>
      <c r="H112" s="7">
        <f>_xlfn.XLOOKUP("ProceedsFromSalesOfPropertyPlantAndEquipmentClassifiedAsInvestingActivities",LTI_HS_STANDALONE!$C:$C,LTI_HS_STANDALONE!G:G,0,0,1)</f>
        <v/>
      </c>
      <c r="I112" s="7">
        <f>_xlfn.XLOOKUP("ProceedsFromSalesOfPropertyPlantAndEquipmentClassifiedAsInvestingActivities",LTI_HS_STANDALONE!$C:$C,LTI_HS_STANDALONE!H:H,0,0,1)</f>
        <v/>
      </c>
      <c r="J112" s="7">
        <f>_xlfn.XLOOKUP("ProceedsFromSalesOfPropertyPlantAndEquipmentClassifiedAsInvestingActivities",LTI_HS_STANDALONE!$C:$C,LTI_HS_STANDALONE!I:I,0,0,1)</f>
        <v/>
      </c>
    </row>
    <row r="113">
      <c r="D113" s="6" t="inlineStr">
        <is>
          <t>Purchase of property, plant and equipment</t>
        </is>
      </c>
      <c r="E113" s="7">
        <f>-_xlfn.XLOOKUP("PurchaseOfPropertyPlantAndEquipmentClassifiedAsInvestingActivities",LTI_HS_STANDALONE!$C:$C,LTI_HS_STANDALONE!D:D,0,0,1)</f>
        <v/>
      </c>
      <c r="F113" s="7">
        <f>-_xlfn.XLOOKUP("PurchaseOfPropertyPlantAndEquipmentClassifiedAsInvestingActivities",LTI_HS_STANDALONE!$C:$C,LTI_HS_STANDALONE!E:E,0,0,1)</f>
        <v/>
      </c>
      <c r="G113" s="7">
        <f>-_xlfn.XLOOKUP("PurchaseOfPropertyPlantAndEquipmentClassifiedAsInvestingActivities",LTI_HS_STANDALONE!$C:$C,LTI_HS_STANDALONE!F:F,0,0,1)</f>
        <v/>
      </c>
      <c r="H113" s="7">
        <f>-_xlfn.XLOOKUP("PurchaseOfPropertyPlantAndEquipmentClassifiedAsInvestingActivities",LTI_HS_STANDALONE!$C:$C,LTI_HS_STANDALONE!G:G,0,0,1)</f>
        <v/>
      </c>
      <c r="I113" s="7">
        <f>-_xlfn.XLOOKUP("PurchaseOfPropertyPlantAndEquipmentClassifiedAsInvestingActivities",LTI_HS_STANDALONE!$C:$C,LTI_HS_STANDALONE!H:H,0,0,1)</f>
        <v/>
      </c>
      <c r="J113" s="7">
        <f>-_xlfn.XLOOKUP("PurchaseOfPropertyPlantAndEquipmentClassifiedAsInvestingActivities",LTI_HS_STANDALONE!$C:$C,LTI_HS_STANDALONE!I:I,0,0,1)</f>
        <v/>
      </c>
    </row>
    <row r="114">
      <c r="D114" s="6" t="inlineStr">
        <is>
          <t>Proceeds from sales of investment property</t>
        </is>
      </c>
      <c r="E114" s="7">
        <f>_xlfn.XLOOKUP("ProceedsFromSalesOfInvestmentPropertyClassifiedAsInvestingActivities",LTI_HS_STANDALONE!$C:$C,LTI_HS_STANDALONE!D:D,0,0,1)</f>
        <v/>
      </c>
      <c r="F114" s="7">
        <f>_xlfn.XLOOKUP("ProceedsFromSalesOfInvestmentPropertyClassifiedAsInvestingActivities",LTI_HS_STANDALONE!$C:$C,LTI_HS_STANDALONE!E:E,0,0,1)</f>
        <v/>
      </c>
      <c r="G114" s="7">
        <f>_xlfn.XLOOKUP("ProceedsFromSalesOfInvestmentPropertyClassifiedAsInvestingActivities",LTI_HS_STANDALONE!$C:$C,LTI_HS_STANDALONE!F:F,0,0,1)</f>
        <v/>
      </c>
      <c r="H114" s="7">
        <f>_xlfn.XLOOKUP("ProceedsFromSalesOfInvestmentPropertyClassifiedAsInvestingActivities",LTI_HS_STANDALONE!$C:$C,LTI_HS_STANDALONE!G:G,0,0,1)</f>
        <v/>
      </c>
      <c r="I114" s="7">
        <f>_xlfn.XLOOKUP("ProceedsFromSalesOfInvestmentPropertyClassifiedAsInvestingActivities",LTI_HS_STANDALONE!$C:$C,LTI_HS_STANDALONE!H:H,0,0,1)</f>
        <v/>
      </c>
      <c r="J114" s="7">
        <f>_xlfn.XLOOKUP("ProceedsFromSalesOfInvestmentPropertyClassifiedAsInvestingActivities",LTI_HS_STANDALONE!$C:$C,LTI_HS_STANDALONE!I:I,0,0,1)</f>
        <v/>
      </c>
    </row>
    <row r="115">
      <c r="D115" s="6" t="inlineStr">
        <is>
          <t>Dividends received</t>
        </is>
      </c>
      <c r="E115" s="7">
        <f>_xlfn.XLOOKUP("DividendsReceivedClassifiedAsInvestingActivities",LTI_HS_STANDALONE!$C:$C,LTI_HS_STANDALONE!D:D,0,0,1)</f>
        <v/>
      </c>
      <c r="F115" s="7">
        <f>_xlfn.XLOOKUP("DividendsReceivedClassifiedAsInvestingActivities",LTI_HS_STANDALONE!$C:$C,LTI_HS_STANDALONE!E:E,0,0,1)</f>
        <v/>
      </c>
      <c r="G115" s="7">
        <f>_xlfn.XLOOKUP("DividendsReceivedClassifiedAsInvestingActivities",LTI_HS_STANDALONE!$C:$C,LTI_HS_STANDALONE!F:F,0,0,1)</f>
        <v/>
      </c>
      <c r="H115" s="7">
        <f>_xlfn.XLOOKUP("DividendsReceivedClassifiedAsInvestingActivities",LTI_HS_STANDALONE!$C:$C,LTI_HS_STANDALONE!G:G,0,0,1)</f>
        <v/>
      </c>
      <c r="I115" s="7">
        <f>_xlfn.XLOOKUP("DividendsReceivedClassifiedAsInvestingActivities",LTI_HS_STANDALONE!$C:$C,LTI_HS_STANDALONE!H:H,0,0,1)</f>
        <v/>
      </c>
      <c r="J115" s="7">
        <f>_xlfn.XLOOKUP("DividendsReceivedClassifiedAsInvestingActivities",LTI_HS_STANDALONE!$C:$C,LTI_HS_STANDALONE!I:I,0,0,1)</f>
        <v/>
      </c>
    </row>
    <row r="116">
      <c r="D116" s="6" t="inlineStr">
        <is>
          <t>Interest received</t>
        </is>
      </c>
      <c r="E116" s="7">
        <f>_xlfn.XLOOKUP("InterestReceivedClassifiedAsInvestingActivities",LTI_HS_STANDALONE!$C:$C,LTI_HS_STANDALONE!D:D,0,0,1)</f>
        <v/>
      </c>
      <c r="F116" s="7">
        <f>_xlfn.XLOOKUP("InterestReceivedClassifiedAsInvestingActivities",LTI_HS_STANDALONE!$C:$C,LTI_HS_STANDALONE!E:E,0,0,1)</f>
        <v/>
      </c>
      <c r="G116" s="7">
        <f>_xlfn.XLOOKUP("InterestReceivedClassifiedAsInvestingActivities",LTI_HS_STANDALONE!$C:$C,LTI_HS_STANDALONE!F:F,0,0,1)</f>
        <v/>
      </c>
      <c r="H116" s="7">
        <f>_xlfn.XLOOKUP("InterestReceivedClassifiedAsInvestingActivities",LTI_HS_STANDALONE!$C:$C,LTI_HS_STANDALONE!G:G,0,0,1)</f>
        <v/>
      </c>
      <c r="I116" s="7">
        <f>_xlfn.XLOOKUP("InterestReceivedClassifiedAsInvestingActivities",LTI_HS_STANDALONE!$C:$C,LTI_HS_STANDALONE!H:H,0,0,1)</f>
        <v/>
      </c>
      <c r="J116" s="7">
        <f>_xlfn.XLOOKUP("InterestReceivedClassifiedAsInvestingActivities",LTI_HS_STANDALONE!$C:$C,LTI_HS_STANDALONE!I:I,0,0,1)</f>
        <v/>
      </c>
    </row>
    <row r="117">
      <c r="D117" s="6" t="inlineStr">
        <is>
          <t>Other inflows (outflows) of cash</t>
        </is>
      </c>
      <c r="E117" s="7">
        <f>_xlfn.XLOOKUP("OtherInflowsOutflowsOfCashClassifiedAsInvestingActivities",LTI_HS_STANDALONE!$C:$C,LTI_HS_STANDALONE!D:D,0,0,1)</f>
        <v/>
      </c>
      <c r="F117" s="7">
        <f>_xlfn.XLOOKUP("OtherInflowsOutflowsOfCashClassifiedAsInvestingActivities",LTI_HS_STANDALONE!$C:$C,LTI_HS_STANDALONE!E:E,0,0,1)</f>
        <v/>
      </c>
      <c r="G117" s="7">
        <f>_xlfn.XLOOKUP("OtherInflowsOutflowsOfCashClassifiedAsInvestingActivities",LTI_HS_STANDALONE!$C:$C,LTI_HS_STANDALONE!F:F,0,0,1)</f>
        <v/>
      </c>
      <c r="H117" s="7">
        <f>_xlfn.XLOOKUP("OtherInflowsOutflowsOfCashClassifiedAsInvestingActivities",LTI_HS_STANDALONE!$C:$C,LTI_HS_STANDALONE!G:G,0,0,1)</f>
        <v/>
      </c>
      <c r="I117" s="7">
        <f>_xlfn.XLOOKUP("OtherInflowsOutflowsOfCashClassifiedAsInvestingActivities",LTI_HS_STANDALONE!$C:$C,LTI_HS_STANDALONE!H:H,0,0,1)</f>
        <v/>
      </c>
      <c r="J117" s="7">
        <f>_xlfn.XLOOKUP("OtherInflowsOutflowsOfCashClassifiedAsInvestingActivities",LTI_HS_STANDALONE!$C:$C,LTI_HS_STANDALONE!I:I,0,0,1)</f>
        <v/>
      </c>
    </row>
    <row r="118">
      <c r="D118" s="8" t="inlineStr">
        <is>
          <t>Net cash flows from (used in) investing activities</t>
        </is>
      </c>
      <c r="E118" s="9">
        <f>IFERROR(SUM(E108:E117),0)</f>
        <v/>
      </c>
      <c r="F118" s="9">
        <f>IFERROR(SUM(F108:F117),0)</f>
        <v/>
      </c>
      <c r="G118" s="9">
        <f>IFERROR(SUM(G108:G117),0)</f>
        <v/>
      </c>
      <c r="H118" s="9">
        <f>IFERROR(SUM(H108:H117),0)</f>
        <v/>
      </c>
      <c r="I118" s="9">
        <f>IFERROR(SUM(I108:I117),0)</f>
        <v/>
      </c>
      <c r="J118" s="9">
        <f>IFERROR(SUM(J108:J117),0)</f>
        <v/>
      </c>
    </row>
    <row r="119">
      <c r="C119" s="5" t="inlineStr">
        <is>
          <t>Cash flows from used in financing activities [Abstract]</t>
        </is>
      </c>
    </row>
    <row r="120">
      <c r="D120" s="6" t="inlineStr">
        <is>
          <t>Proceeds from issuing shares</t>
        </is>
      </c>
      <c r="E120" s="7">
        <f>_xlfn.XLOOKUP("ProceedsFromIssuingSharesClassifiedAsFinancingActivities",LTI_HS_STANDALONE!$C:$C,LTI_HS_STANDALONE!D:D,0,0,1)</f>
        <v/>
      </c>
      <c r="F120" s="7">
        <f>_xlfn.XLOOKUP("ProceedsFromIssuingSharesClassifiedAsFinancingActivities",LTI_HS_STANDALONE!$C:$C,LTI_HS_STANDALONE!E:E,0,0,1)</f>
        <v/>
      </c>
      <c r="G120" s="7">
        <f>_xlfn.XLOOKUP("ProceedsFromIssuingSharesClassifiedAsFinancingActivities",LTI_HS_STANDALONE!$C:$C,LTI_HS_STANDALONE!F:F,0,0,1)</f>
        <v/>
      </c>
      <c r="H120" s="7">
        <f>_xlfn.XLOOKUP("ProceedsFromIssuingSharesClassifiedAsFinancingActivities",LTI_HS_STANDALONE!$C:$C,LTI_HS_STANDALONE!G:G,0,0,1)</f>
        <v/>
      </c>
      <c r="I120" s="7">
        <f>_xlfn.XLOOKUP("ProceedsFromIssuingSharesClassifiedAsFinancingActivities",LTI_HS_STANDALONE!$C:$C,LTI_HS_STANDALONE!H:H,0,0,1)</f>
        <v/>
      </c>
      <c r="J120" s="7">
        <f>_xlfn.XLOOKUP("ProceedsFromIssuingSharesClassifiedAsFinancingActivities",LTI_HS_STANDALONE!$C:$C,LTI_HS_STANDALONE!I:I,0,0,1)</f>
        <v/>
      </c>
    </row>
    <row r="121">
      <c r="D121" s="6" t="inlineStr">
        <is>
          <t>Repayments of borrowings</t>
        </is>
      </c>
      <c r="E121" s="7">
        <f>-_xlfn.XLOOKUP("RepaymentsOfBorrowingsClassifiedAsFinancingActivities",LTI_HS_STANDALONE!$C:$C,LTI_HS_STANDALONE!D:D,0,0,1)</f>
        <v/>
      </c>
      <c r="F121" s="7">
        <f>-_xlfn.XLOOKUP("RepaymentsOfBorrowingsClassifiedAsFinancingActivities",LTI_HS_STANDALONE!$C:$C,LTI_HS_STANDALONE!E:E,0,0,1)</f>
        <v/>
      </c>
      <c r="G121" s="7">
        <f>-_xlfn.XLOOKUP("RepaymentsOfBorrowingsClassifiedAsFinancingActivities",LTI_HS_STANDALONE!$C:$C,LTI_HS_STANDALONE!F:F,0,0,1)</f>
        <v/>
      </c>
      <c r="H121" s="7">
        <f>-_xlfn.XLOOKUP("RepaymentsOfBorrowingsClassifiedAsFinancingActivities",LTI_HS_STANDALONE!$C:$C,LTI_HS_STANDALONE!G:G,0,0,1)</f>
        <v/>
      </c>
      <c r="I121" s="7">
        <f>-_xlfn.XLOOKUP("RepaymentsOfBorrowingsClassifiedAsFinancingActivities",LTI_HS_STANDALONE!$C:$C,LTI_HS_STANDALONE!H:H,0,0,1)</f>
        <v/>
      </c>
      <c r="J121" s="7">
        <f>-_xlfn.XLOOKUP("RepaymentsOfBorrowingsClassifiedAsFinancingActivities",LTI_HS_STANDALONE!$C:$C,LTI_HS_STANDALONE!I:I,0,0,1)</f>
        <v/>
      </c>
    </row>
    <row r="122">
      <c r="D122" s="6" t="inlineStr">
        <is>
          <t>Payments of lease liabilities</t>
        </is>
      </c>
      <c r="E122" s="7">
        <f>-_xlfn.XLOOKUP("PaymentsOfLeaseLiabilitiesClassifiedAsFinancingActivities",LTI_HS_STANDALONE!$C:$C,LTI_HS_STANDALONE!D:D,0,0,1)</f>
        <v/>
      </c>
      <c r="F122" s="7">
        <f>-_xlfn.XLOOKUP("PaymentsOfLeaseLiabilitiesClassifiedAsFinancingActivities",LTI_HS_STANDALONE!$C:$C,LTI_HS_STANDALONE!E:E,0,0,1)</f>
        <v/>
      </c>
      <c r="G122" s="7">
        <f>-_xlfn.XLOOKUP("PaymentsOfLeaseLiabilitiesClassifiedAsFinancingActivities",LTI_HS_STANDALONE!$C:$C,LTI_HS_STANDALONE!F:F,0,0,1)</f>
        <v/>
      </c>
      <c r="H122" s="7">
        <f>-_xlfn.XLOOKUP("PaymentsOfLeaseLiabilitiesClassifiedAsFinancingActivities",LTI_HS_STANDALONE!$C:$C,LTI_HS_STANDALONE!G:G,0,0,1)</f>
        <v/>
      </c>
      <c r="I122" s="7">
        <f>-_xlfn.XLOOKUP("PaymentsOfLeaseLiabilitiesClassifiedAsFinancingActivities",LTI_HS_STANDALONE!$C:$C,LTI_HS_STANDALONE!H:H,0,0,1)</f>
        <v/>
      </c>
      <c r="J122" s="7">
        <f>-_xlfn.XLOOKUP("PaymentsOfLeaseLiabilitiesClassifiedAsFinancingActivities",LTI_HS_STANDALONE!$C:$C,LTI_HS_STANDALONE!I:I,0,0,1)</f>
        <v/>
      </c>
    </row>
    <row r="123">
      <c r="D123" s="6" t="inlineStr">
        <is>
          <t>Dividends paid</t>
        </is>
      </c>
      <c r="E123" s="7">
        <f>-_xlfn.XLOOKUP("DividendsPaidClassifiedAsFinancingActivities",LTI_HS_STANDALONE!$C:$C,LTI_HS_STANDALONE!D:D,0,0,1)</f>
        <v/>
      </c>
      <c r="F123" s="7">
        <f>-_xlfn.XLOOKUP("DividendsPaidClassifiedAsFinancingActivities",LTI_HS_STANDALONE!$C:$C,LTI_HS_STANDALONE!E:E,0,0,1)</f>
        <v/>
      </c>
      <c r="G123" s="7">
        <f>-_xlfn.XLOOKUP("DividendsPaidClassifiedAsFinancingActivities",LTI_HS_STANDALONE!$C:$C,LTI_HS_STANDALONE!F:F,0,0,1)</f>
        <v/>
      </c>
      <c r="H123" s="7">
        <f>-_xlfn.XLOOKUP("DividendsPaidClassifiedAsFinancingActivities",LTI_HS_STANDALONE!$C:$C,LTI_HS_STANDALONE!G:G,0,0,1)</f>
        <v/>
      </c>
      <c r="I123" s="7">
        <f>-_xlfn.XLOOKUP("DividendsPaidClassifiedAsFinancingActivities",LTI_HS_STANDALONE!$C:$C,LTI_HS_STANDALONE!H:H,0,0,1)</f>
        <v/>
      </c>
      <c r="J123" s="7">
        <f>-_xlfn.XLOOKUP("DividendsPaidClassifiedAsFinancingActivities",LTI_HS_STANDALONE!$C:$C,LTI_HS_STANDALONE!I:I,0,0,1)</f>
        <v/>
      </c>
    </row>
    <row r="124">
      <c r="D124" s="6" t="inlineStr">
        <is>
          <t>Interest paid</t>
        </is>
      </c>
      <c r="E124" s="7">
        <f>-_xlfn.XLOOKUP("InterestPaidClassifiedAsFinancingActivities",LTI_HS_STANDALONE!$C:$C,LTI_HS_STANDALONE!D:D,0,0,1)</f>
        <v/>
      </c>
      <c r="F124" s="7">
        <f>-_xlfn.XLOOKUP("InterestPaidClassifiedAsFinancingActivities",LTI_HS_STANDALONE!$C:$C,LTI_HS_STANDALONE!E:E,0,0,1)</f>
        <v/>
      </c>
      <c r="G124" s="7">
        <f>-_xlfn.XLOOKUP("InterestPaidClassifiedAsFinancingActivities",LTI_HS_STANDALONE!$C:$C,LTI_HS_STANDALONE!F:F,0,0,1)</f>
        <v/>
      </c>
      <c r="H124" s="7">
        <f>-_xlfn.XLOOKUP("InterestPaidClassifiedAsFinancingActivities",LTI_HS_STANDALONE!$C:$C,LTI_HS_STANDALONE!G:G,0,0,1)</f>
        <v/>
      </c>
      <c r="I124" s="7">
        <f>-_xlfn.XLOOKUP("InterestPaidClassifiedAsFinancingActivities",LTI_HS_STANDALONE!$C:$C,LTI_HS_STANDALONE!H:H,0,0,1)</f>
        <v/>
      </c>
      <c r="J124" s="7">
        <f>-_xlfn.XLOOKUP("InterestPaidClassifiedAsFinancingActivities",LTI_HS_STANDALONE!$C:$C,LTI_HS_STANDALONE!I:I,0,0,1)</f>
        <v/>
      </c>
    </row>
    <row r="125">
      <c r="D125" s="6" t="inlineStr">
        <is>
          <t>Other inflows (outflows) of cash</t>
        </is>
      </c>
      <c r="E125" s="7">
        <f>_xlfn.XLOOKUP("OtherInflowsOutflowsOfCashClassifiedAsFinancingActivities",LTI_HS_STANDALONE!$C:$C,LTI_HS_STANDALONE!D:D,0,0,1)</f>
        <v/>
      </c>
      <c r="F125" s="7">
        <f>_xlfn.XLOOKUP("OtherInflowsOutflowsOfCashClassifiedAsFinancingActivities",LTI_HS_STANDALONE!$C:$C,LTI_HS_STANDALONE!E:E,0,0,1)</f>
        <v/>
      </c>
      <c r="G125" s="7">
        <f>_xlfn.XLOOKUP("OtherInflowsOutflowsOfCashClassifiedAsFinancingActivities",LTI_HS_STANDALONE!$C:$C,LTI_HS_STANDALONE!F:F,0,0,1)</f>
        <v/>
      </c>
      <c r="H125" s="7">
        <f>_xlfn.XLOOKUP("OtherInflowsOutflowsOfCashClassifiedAsFinancingActivities",LTI_HS_STANDALONE!$C:$C,LTI_HS_STANDALONE!G:G,0,0,1)</f>
        <v/>
      </c>
      <c r="I125" s="7">
        <f>_xlfn.XLOOKUP("OtherInflowsOutflowsOfCashClassifiedAsFinancingActivities",LTI_HS_STANDALONE!$C:$C,LTI_HS_STANDALONE!H:H,0,0,1)</f>
        <v/>
      </c>
      <c r="J125" s="7">
        <f>_xlfn.XLOOKUP("OtherInflowsOutflowsOfCashClassifiedAsFinancingActivities",LTI_HS_STANDALONE!$C:$C,LTI_HS_STANDALONE!I:I,0,0,1)</f>
        <v/>
      </c>
    </row>
    <row r="126">
      <c r="D126" s="8" t="inlineStr">
        <is>
          <t>Net cash flows from (used in) financing activities</t>
        </is>
      </c>
      <c r="E126" s="9">
        <f>IFERROR(SUM(E120:E125),0)</f>
        <v/>
      </c>
      <c r="F126" s="9">
        <f>IFERROR(SUM(F120:F125),0)</f>
        <v/>
      </c>
      <c r="G126" s="9">
        <f>IFERROR(SUM(G120:G125),0)</f>
        <v/>
      </c>
      <c r="H126" s="9">
        <f>IFERROR(SUM(H120:H125),0)</f>
        <v/>
      </c>
      <c r="I126" s="9">
        <f>IFERROR(SUM(I120:I125),0)</f>
        <v/>
      </c>
      <c r="J126" s="9">
        <f>IFERROR(SUM(J120:J125),0)</f>
        <v/>
      </c>
    </row>
    <row r="127">
      <c r="D127" s="8" t="inlineStr">
        <is>
          <t>Net increase (decrease) in cash and cash equivalents before effect of exchange rate changes</t>
        </is>
      </c>
      <c r="E127" s="9">
        <f>IFERROR(E106+E118+E126,0)</f>
        <v/>
      </c>
      <c r="F127" s="9">
        <f>IFERROR(F106+F118+F126,0)</f>
        <v/>
      </c>
      <c r="G127" s="9">
        <f>IFERROR(G106+G118+G126,0)</f>
        <v/>
      </c>
      <c r="H127" s="9">
        <f>IFERROR(H106+H118+H126,0)</f>
        <v/>
      </c>
      <c r="I127" s="9">
        <f>IFERROR(I106+I118+I126,0)</f>
        <v/>
      </c>
      <c r="J127" s="9">
        <f>IFERROR(J106+J118+J126,0)</f>
        <v/>
      </c>
    </row>
    <row r="128">
      <c r="C128" s="5" t="inlineStr">
        <is>
          <t>Effect of exchange rate changes on cash and cash equivalents</t>
        </is>
      </c>
    </row>
    <row r="129">
      <c r="D129" s="6" t="inlineStr">
        <is>
          <t>Effect of exchange rate changes on cash and cash equivalents</t>
        </is>
      </c>
      <c r="E129" s="7">
        <f>_xlfn.XLOOKUP("EffectOfExchangeRateChangesOnCashAndCashEquivalents",LTI_HS_STANDALONE!$C:$C,LTI_HS_STANDALONE!D:D,0,0,1)</f>
        <v/>
      </c>
      <c r="F129" s="7">
        <f>_xlfn.XLOOKUP("EffectOfExchangeRateChangesOnCashAndCashEquivalents",LTI_HS_STANDALONE!$C:$C,LTI_HS_STANDALONE!E:E,0,0,1)</f>
        <v/>
      </c>
      <c r="G129" s="7">
        <f>_xlfn.XLOOKUP("EffectOfExchangeRateChangesOnCashAndCashEquivalents",LTI_HS_STANDALONE!$C:$C,LTI_HS_STANDALONE!F:F,0,0,1)</f>
        <v/>
      </c>
      <c r="H129" s="7">
        <f>_xlfn.XLOOKUP("EffectOfExchangeRateChangesOnCashAndCashEquivalents",LTI_HS_STANDALONE!$C:$C,LTI_HS_STANDALONE!G:G,0,0,1)</f>
        <v/>
      </c>
      <c r="I129" s="7">
        <f>_xlfn.XLOOKUP("EffectOfExchangeRateChangesOnCashAndCashEquivalents",LTI_HS_STANDALONE!$C:$C,LTI_HS_STANDALONE!H:H,0,0,1)</f>
        <v/>
      </c>
      <c r="J129" s="7">
        <f>_xlfn.XLOOKUP("EffectOfExchangeRateChangesOnCashAndCashEquivalents",LTI_HS_STANDALONE!$C:$C,LTI_HS_STANDALONE!I:I,0,0,1)</f>
        <v/>
      </c>
    </row>
    <row r="130">
      <c r="D130" s="8" t="inlineStr">
        <is>
          <t>Net increase (decrease) in cash and cash equivalents</t>
        </is>
      </c>
      <c r="E130" s="9">
        <f>IFERROR(E127+E129,0)</f>
        <v/>
      </c>
      <c r="F130" s="9">
        <f>IFERROR(F127+F129,0)</f>
        <v/>
      </c>
      <c r="G130" s="9">
        <f>IFERROR(G127+G129,0)</f>
        <v/>
      </c>
      <c r="H130" s="9">
        <f>IFERROR(H127+H129,0)</f>
        <v/>
      </c>
      <c r="I130" s="9">
        <f>IFERROR(I127+I129,0)</f>
        <v/>
      </c>
      <c r="J130" s="9">
        <f>IFERROR(J127+J129,0)</f>
        <v/>
      </c>
    </row>
    <row r="131">
      <c r="D131" s="8" t="inlineStr">
        <is>
          <t>Cash and cash equivalents cash flow statement at beginning of period</t>
        </is>
      </c>
      <c r="E131" s="9">
        <f>IFERROR(E132-E130,0)</f>
        <v/>
      </c>
      <c r="F131" s="9">
        <f>IFERROR(F132-F130,0)</f>
        <v/>
      </c>
      <c r="G131" s="9">
        <f>IFERROR(G132-G130,0)</f>
        <v/>
      </c>
      <c r="H131" s="9">
        <f>IFERROR(H132-H130,0)</f>
        <v/>
      </c>
      <c r="I131" s="9">
        <f>IFERROR(I132-I130,0)</f>
        <v/>
      </c>
      <c r="J131" s="9">
        <f>IFERROR(J132-J130,0)</f>
        <v/>
      </c>
    </row>
    <row r="132">
      <c r="D132" s="6" t="inlineStr">
        <is>
          <t>Cash and cash equivalents cash flow statement at end of period</t>
        </is>
      </c>
      <c r="E132" s="7">
        <f>_xlfn.XLOOKUP("CashAndCashEquivalentsCashFlowStatement",LTI_HS_STANDALONE!$C:$C,LTI_HS_STANDALONE!D:D,0,0,1)</f>
        <v/>
      </c>
      <c r="F132" s="7">
        <f>_xlfn.XLOOKUP("CashAndCashEquivalentsCashFlowStatement",LTI_HS_STANDALONE!$C:$C,LTI_HS_STANDALONE!E:E,0,0,1)</f>
        <v/>
      </c>
      <c r="G132" s="7">
        <f>_xlfn.XLOOKUP("CashAndCashEquivalentsCashFlowStatement",LTI_HS_STANDALONE!$C:$C,LTI_HS_STANDALONE!F:F,0,0,1)</f>
        <v/>
      </c>
      <c r="H132" s="7">
        <f>_xlfn.XLOOKUP("CashAndCashEquivalentsCashFlowStatement",LTI_HS_STANDALONE!$C:$C,LTI_HS_STANDALONE!G:G,0,0,1)</f>
        <v/>
      </c>
      <c r="I132" s="7">
        <f>_xlfn.XLOOKUP("CashAndCashEquivalentsCashFlowStatement",LTI_HS_STANDALONE!$C:$C,LTI_HS_STANDALONE!H:H,0,0,1)</f>
        <v/>
      </c>
      <c r="J132" s="7">
        <f>_xlfn.XLOOKUP("CashAndCashEquivalentsCashFlowStatement",LTI_HS_STANDALONE!$C:$C,LTI_HS_STANDALONE!I:I,0,0,1)</f>
        <v/>
      </c>
    </row>
  </sheetData>
  <mergeCells count="2">
    <mergeCell ref="A1:J1"/>
    <mergeCell ref="A2:J2"/>
  </mergeCells>
  <pageMargins left="0.75" right="0.75" top="1" bottom="1" header="0.5" footer="0.5"/>
</worksheet>
</file>

<file path=xl/worksheets/sheet16.xml><?xml version="1.0" encoding="utf-8"?>
<worksheet xmlns="http://schemas.openxmlformats.org/spreadsheetml/2006/main">
  <sheetPr>
    <tabColor rgb="001F4E78"/>
    <outlinePr summaryBelow="1" summaryRight="1"/>
    <pageSetUpPr/>
  </sheetPr>
  <dimension ref="A1:R143"/>
  <sheetViews>
    <sheetView showGridLines="0" workbookViewId="0">
      <selection activeCell="A1" sqref="A1"/>
    </sheetView>
  </sheetViews>
  <sheetFormatPr baseColWidth="8" defaultRowHeight="14.5"/>
  <cols>
    <col width="3" customWidth="1" style="203" min="1" max="1"/>
    <col width="26" customWidth="1" style="203" min="2" max="2"/>
    <col width="3" customWidth="1" style="203" min="3" max="3"/>
    <col width="38" customWidth="1" style="203" min="4" max="4"/>
    <col width="3" customWidth="1" style="203" min="5" max="5"/>
    <col width="18" customWidth="1" style="203" min="6" max="11"/>
    <col width="3" customWidth="1" style="203" min="12" max="12"/>
    <col width="16" customWidth="1" style="203" min="13" max="18"/>
  </cols>
  <sheetData>
    <row r="1" ht="24" customHeight="1" s="203">
      <c r="A1" s="257" t="inlineStr">
        <is>
          <t>LTIMindtree  —  Ratio Analysis (Consolidated)</t>
        </is>
      </c>
    </row>
    <row r="2">
      <c r="A2" s="258" t="inlineStr">
        <is>
          <t>Each ratio shown as Name = Numerator / Denominator, values computed once and reused (Green = first pull/computation from Derived Sheet, Black = same-sheet reuse) | Result appears on the right | Single-year figures (no opening/closing average)</t>
        </is>
      </c>
    </row>
    <row r="5">
      <c r="A5" s="14" t="inlineStr">
        <is>
          <t>#</t>
        </is>
      </c>
      <c r="F5" s="15" t="inlineStr">
        <is>
          <t>FY2017</t>
        </is>
      </c>
      <c r="G5" s="15" t="inlineStr">
        <is>
          <t>FY2018</t>
        </is>
      </c>
      <c r="H5" s="15" t="inlineStr">
        <is>
          <t>FY2019</t>
        </is>
      </c>
      <c r="I5" s="15" t="inlineStr">
        <is>
          <t>FY2020</t>
        </is>
      </c>
      <c r="J5" s="15" t="inlineStr">
        <is>
          <t>FY2021</t>
        </is>
      </c>
      <c r="K5" s="15" t="inlineStr">
        <is>
          <t>FY2022</t>
        </is>
      </c>
      <c r="M5" s="15" t="inlineStr">
        <is>
          <t>FY2017</t>
        </is>
      </c>
      <c r="N5" s="15" t="inlineStr">
        <is>
          <t>FY2018</t>
        </is>
      </c>
      <c r="O5" s="15" t="inlineStr">
        <is>
          <t>FY2019</t>
        </is>
      </c>
      <c r="P5" s="15" t="inlineStr">
        <is>
          <t>FY2020</t>
        </is>
      </c>
      <c r="Q5" s="15" t="inlineStr">
        <is>
          <t>FY2021</t>
        </is>
      </c>
      <c r="R5" s="15" t="inlineStr">
        <is>
          <t>FY2022</t>
        </is>
      </c>
    </row>
    <row r="6" ht="15.5" customHeight="1" s="203">
      <c r="A6" s="14" t="inlineStr">
        <is>
          <t>#</t>
        </is>
      </c>
      <c r="B6" s="16" t="inlineStr">
        <is>
          <t>Profitability and Return Ratios</t>
        </is>
      </c>
    </row>
    <row r="7">
      <c r="B7" s="17" t="inlineStr">
        <is>
          <t>Return on Equity</t>
        </is>
      </c>
      <c r="C7" s="17" t="inlineStr">
        <is>
          <t>=</t>
        </is>
      </c>
      <c r="D7" s="18" t="inlineStr">
        <is>
          <t>Net Income</t>
        </is>
      </c>
      <c r="E7" s="18" t="inlineStr">
        <is>
          <t>=</t>
        </is>
      </c>
      <c r="F7" s="19">
        <f>LTI_HIST_CON!E22</f>
        <v/>
      </c>
      <c r="G7" s="19">
        <f>LTI_HIST_CON!F22</f>
        <v/>
      </c>
      <c r="H7" s="19">
        <f>LTI_HIST_CON!G22</f>
        <v/>
      </c>
      <c r="I7" s="19">
        <f>LTI_HIST_CON!H22</f>
        <v/>
      </c>
      <c r="J7" s="19">
        <f>LTI_HIST_CON!I22</f>
        <v/>
      </c>
      <c r="K7" s="19">
        <f>LTI_HIST_CON!J22</f>
        <v/>
      </c>
      <c r="L7" s="20" t="inlineStr">
        <is>
          <t>=</t>
        </is>
      </c>
      <c r="M7" s="21">
        <f>IFERROR(IF(F8=0,"",F7/F8),"")</f>
        <v/>
      </c>
      <c r="N7" s="21">
        <f>IFERROR(IF(G8=0,"",G7/G8),"")</f>
        <v/>
      </c>
      <c r="O7" s="21">
        <f>IFERROR(IF(H8=0,"",H7/H8),"")</f>
        <v/>
      </c>
      <c r="P7" s="21">
        <f>IFERROR(IF(I8=0,"",I7/I8),"")</f>
        <v/>
      </c>
      <c r="Q7" s="21">
        <f>IFERROR(IF(J8=0,"",J7/J8),"")</f>
        <v/>
      </c>
      <c r="R7" s="21">
        <f>IFERROR(IF(K8=0,"",K7/K8),"")</f>
        <v/>
      </c>
    </row>
    <row r="8">
      <c r="D8" s="6" t="inlineStr">
        <is>
          <t>Equity</t>
        </is>
      </c>
      <c r="F8" s="7">
        <f>LTI_HIST_CON!E64</f>
        <v/>
      </c>
      <c r="G8" s="7">
        <f>LTI_HIST_CON!F64</f>
        <v/>
      </c>
      <c r="H8" s="7">
        <f>LTI_HIST_CON!G64</f>
        <v/>
      </c>
      <c r="I8" s="7">
        <f>LTI_HIST_CON!H64</f>
        <v/>
      </c>
      <c r="J8" s="7">
        <f>LTI_HIST_CON!I64</f>
        <v/>
      </c>
      <c r="K8" s="7">
        <f>LTI_HIST_CON!J64</f>
        <v/>
      </c>
    </row>
    <row r="10">
      <c r="B10" s="17" t="inlineStr">
        <is>
          <t>Return on Assets</t>
        </is>
      </c>
      <c r="C10" s="17" t="inlineStr">
        <is>
          <t>=</t>
        </is>
      </c>
      <c r="D10" s="18" t="inlineStr">
        <is>
          <t>Net Income</t>
        </is>
      </c>
      <c r="E10" s="18" t="inlineStr">
        <is>
          <t>=</t>
        </is>
      </c>
      <c r="F10" s="22">
        <f>+F7</f>
        <v/>
      </c>
      <c r="G10" s="22">
        <f>+G7</f>
        <v/>
      </c>
      <c r="H10" s="22">
        <f>+H7</f>
        <v/>
      </c>
      <c r="I10" s="22">
        <f>+I7</f>
        <v/>
      </c>
      <c r="J10" s="22">
        <f>+J7</f>
        <v/>
      </c>
      <c r="K10" s="22">
        <f>+K7</f>
        <v/>
      </c>
      <c r="L10" s="20" t="inlineStr">
        <is>
          <t>=</t>
        </is>
      </c>
      <c r="M10" s="21">
        <f>IFERROR(IF(F11=0,"",F10/F11),"")</f>
        <v/>
      </c>
      <c r="N10" s="21">
        <f>IFERROR(IF(G11=0,"",G10/G11),"")</f>
        <v/>
      </c>
      <c r="O10" s="21">
        <f>IFERROR(IF(H11=0,"",H10/H11),"")</f>
        <v/>
      </c>
      <c r="P10" s="21">
        <f>IFERROR(IF(I11=0,"",I10/I11),"")</f>
        <v/>
      </c>
      <c r="Q10" s="21">
        <f>IFERROR(IF(J11=0,"",J10/J11),"")</f>
        <v/>
      </c>
      <c r="R10" s="21">
        <f>IFERROR(IF(K11=0,"",K10/K11),"")</f>
        <v/>
      </c>
    </row>
    <row r="11">
      <c r="D11" s="6" t="inlineStr">
        <is>
          <t>Total Assets</t>
        </is>
      </c>
      <c r="F11" s="7">
        <f>LTI_HIST_CON!E57</f>
        <v/>
      </c>
      <c r="G11" s="7">
        <f>LTI_HIST_CON!F57</f>
        <v/>
      </c>
      <c r="H11" s="7">
        <f>LTI_HIST_CON!G57</f>
        <v/>
      </c>
      <c r="I11" s="7">
        <f>LTI_HIST_CON!H57</f>
        <v/>
      </c>
      <c r="J11" s="7">
        <f>LTI_HIST_CON!I57</f>
        <v/>
      </c>
      <c r="K11" s="7">
        <f>LTI_HIST_CON!J57</f>
        <v/>
      </c>
    </row>
    <row r="13">
      <c r="B13" s="17" t="inlineStr">
        <is>
          <t>Return on Net Assets</t>
        </is>
      </c>
      <c r="C13" s="17" t="inlineStr">
        <is>
          <t>=</t>
        </is>
      </c>
      <c r="D13" s="18" t="inlineStr">
        <is>
          <t>Net Income</t>
        </is>
      </c>
      <c r="E13" s="18" t="inlineStr">
        <is>
          <t>=</t>
        </is>
      </c>
      <c r="F13" s="22">
        <f>+F7</f>
        <v/>
      </c>
      <c r="G13" s="22">
        <f>+G7</f>
        <v/>
      </c>
      <c r="H13" s="22">
        <f>+H7</f>
        <v/>
      </c>
      <c r="I13" s="22">
        <f>+I7</f>
        <v/>
      </c>
      <c r="J13" s="22">
        <f>+J7</f>
        <v/>
      </c>
      <c r="K13" s="22">
        <f>+K7</f>
        <v/>
      </c>
      <c r="L13" s="20" t="inlineStr">
        <is>
          <t>=</t>
        </is>
      </c>
      <c r="M13" s="21">
        <f>IFERROR(IF(F14=0,"",F13/F14),"")</f>
        <v/>
      </c>
      <c r="N13" s="21">
        <f>IFERROR(IF(G14=0,"",G13/G14),"")</f>
        <v/>
      </c>
      <c r="O13" s="21">
        <f>IFERROR(IF(H14=0,"",H13/H14),"")</f>
        <v/>
      </c>
      <c r="P13" s="21">
        <f>IFERROR(IF(I14=0,"",I13/I14),"")</f>
        <v/>
      </c>
      <c r="Q13" s="21">
        <f>IFERROR(IF(J14=0,"",J13/J14),"")</f>
        <v/>
      </c>
      <c r="R13" s="21">
        <f>IFERROR(IF(K14=0,"",K13/K14),"")</f>
        <v/>
      </c>
    </row>
    <row r="14">
      <c r="D14" s="6" t="inlineStr">
        <is>
          <t>Net PP&amp;E + Net Working Capital</t>
        </is>
      </c>
      <c r="F14" s="7">
        <f>LTI_HIST_CON!E27+(LTI_HIST_CON!E56-LTI_HIST_CON!E85)</f>
        <v/>
      </c>
      <c r="G14" s="7">
        <f>LTI_HIST_CON!F27+(LTI_HIST_CON!F56-LTI_HIST_CON!F85)</f>
        <v/>
      </c>
      <c r="H14" s="7">
        <f>LTI_HIST_CON!G27+(LTI_HIST_CON!G56-LTI_HIST_CON!G85)</f>
        <v/>
      </c>
      <c r="I14" s="7">
        <f>LTI_HIST_CON!H27+(LTI_HIST_CON!H56-LTI_HIST_CON!H85)</f>
        <v/>
      </c>
      <c r="J14" s="7">
        <f>LTI_HIST_CON!I27+(LTI_HIST_CON!I56-LTI_HIST_CON!I85)</f>
        <v/>
      </c>
      <c r="K14" s="7">
        <f>LTI_HIST_CON!J27+(LTI_HIST_CON!J56-LTI_HIST_CON!J85)</f>
        <v/>
      </c>
    </row>
    <row r="16">
      <c r="B16" s="17" t="inlineStr">
        <is>
          <t>Return on Invested Capital</t>
        </is>
      </c>
      <c r="C16" s="17" t="inlineStr">
        <is>
          <t>=</t>
        </is>
      </c>
      <c r="D16" s="18" t="inlineStr">
        <is>
          <t>NOPAT (= EBIT × (1 − Tax Expense / EBT))</t>
        </is>
      </c>
      <c r="E16" s="18" t="inlineStr">
        <is>
          <t>=</t>
        </is>
      </c>
      <c r="F16" s="19">
        <f>LTI_HIST_CON!E16*(1-(-LTI_HIST_CON!E21/LTI_HIST_CON!E18))</f>
        <v/>
      </c>
      <c r="G16" s="19">
        <f>LTI_HIST_CON!F16*(1-(-LTI_HIST_CON!F21/LTI_HIST_CON!F18))</f>
        <v/>
      </c>
      <c r="H16" s="19">
        <f>LTI_HIST_CON!G16*(1-(-LTI_HIST_CON!G21/LTI_HIST_CON!G18))</f>
        <v/>
      </c>
      <c r="I16" s="19">
        <f>LTI_HIST_CON!H16*(1-(-LTI_HIST_CON!H21/LTI_HIST_CON!H18))</f>
        <v/>
      </c>
      <c r="J16" s="19">
        <f>LTI_HIST_CON!I16*(1-(-LTI_HIST_CON!I21/LTI_HIST_CON!I18))</f>
        <v/>
      </c>
      <c r="K16" s="19">
        <f>LTI_HIST_CON!J16*(1-(-LTI_HIST_CON!J21/LTI_HIST_CON!J18))</f>
        <v/>
      </c>
      <c r="L16" s="20" t="inlineStr">
        <is>
          <t>=</t>
        </is>
      </c>
      <c r="M16" s="21">
        <f>IFERROR(IF(F17=0,"",F16/F17),"")</f>
        <v/>
      </c>
      <c r="N16" s="21">
        <f>IFERROR(IF(G17=0,"",G16/G17),"")</f>
        <v/>
      </c>
      <c r="O16" s="21">
        <f>IFERROR(IF(H17=0,"",H16/H17),"")</f>
        <v/>
      </c>
      <c r="P16" s="21">
        <f>IFERROR(IF(I17=0,"",I16/I17),"")</f>
        <v/>
      </c>
      <c r="Q16" s="21">
        <f>IFERROR(IF(J17=0,"",J16/J17),"")</f>
        <v/>
      </c>
      <c r="R16" s="21">
        <f>IFERROR(IF(K17=0,"",K16/K17),"")</f>
        <v/>
      </c>
    </row>
    <row r="17">
      <c r="D17" s="6" t="inlineStr">
        <is>
          <t>Invested Capital (= Debt + Equity − Cash)</t>
        </is>
      </c>
      <c r="F17" s="7">
        <f>(0+LTI_HIST_CON!E77+0+0)+LTI_HIST_CON!E64-LTI_HIST_CON!E49</f>
        <v/>
      </c>
      <c r="G17" s="7">
        <f>(0+LTI_HIST_CON!F77+0+0)+LTI_HIST_CON!F64-LTI_HIST_CON!F49</f>
        <v/>
      </c>
      <c r="H17" s="7">
        <f>(0+LTI_HIST_CON!G77+0+0)+LTI_HIST_CON!G64-LTI_HIST_CON!G49</f>
        <v/>
      </c>
      <c r="I17" s="7">
        <f>(0+LTI_HIST_CON!H77+0+0)+LTI_HIST_CON!H64-LTI_HIST_CON!H49</f>
        <v/>
      </c>
      <c r="J17" s="7">
        <f>(0+LTI_HIST_CON!I77+0+0)+LTI_HIST_CON!I64-LTI_HIST_CON!I49</f>
        <v/>
      </c>
      <c r="K17" s="7">
        <f>(0+LTI_HIST_CON!J77+0+0)+LTI_HIST_CON!J64-LTI_HIST_CON!J49</f>
        <v/>
      </c>
    </row>
    <row r="19">
      <c r="B19" s="17" t="inlineStr">
        <is>
          <t>Gross Margin</t>
        </is>
      </c>
      <c r="C19" s="17" t="inlineStr">
        <is>
          <t>=</t>
        </is>
      </c>
      <c r="D19" s="18" t="inlineStr">
        <is>
          <t>Gross Profit</t>
        </is>
      </c>
      <c r="E19" s="18" t="inlineStr">
        <is>
          <t>=</t>
        </is>
      </c>
      <c r="F19" s="19">
        <f>LTI_HIST_CON!E11</f>
        <v/>
      </c>
      <c r="G19" s="19">
        <f>LTI_HIST_CON!F11</f>
        <v/>
      </c>
      <c r="H19" s="19">
        <f>LTI_HIST_CON!G11</f>
        <v/>
      </c>
      <c r="I19" s="19">
        <f>LTI_HIST_CON!H11</f>
        <v/>
      </c>
      <c r="J19" s="19">
        <f>LTI_HIST_CON!I11</f>
        <v/>
      </c>
      <c r="K19" s="19">
        <f>LTI_HIST_CON!J11</f>
        <v/>
      </c>
      <c r="L19" s="20" t="inlineStr">
        <is>
          <t>=</t>
        </is>
      </c>
      <c r="M19" s="21">
        <f>IFERROR(IF(F20=0,"",F19/F20),"")</f>
        <v/>
      </c>
      <c r="N19" s="21">
        <f>IFERROR(IF(G20=0,"",G19/G20),"")</f>
        <v/>
      </c>
      <c r="O19" s="21">
        <f>IFERROR(IF(H20=0,"",H19/H20),"")</f>
        <v/>
      </c>
      <c r="P19" s="21">
        <f>IFERROR(IF(I20=0,"",I19/I20),"")</f>
        <v/>
      </c>
      <c r="Q19" s="21">
        <f>IFERROR(IF(J20=0,"",J19/J20),"")</f>
        <v/>
      </c>
      <c r="R19" s="21">
        <f>IFERROR(IF(K20=0,"",K19/K20),"")</f>
        <v/>
      </c>
    </row>
    <row r="20">
      <c r="D20" s="6" t="inlineStr">
        <is>
          <t>Revenue</t>
        </is>
      </c>
      <c r="F20" s="7">
        <f>LTI_HIST_CON!E7</f>
        <v/>
      </c>
      <c r="G20" s="7">
        <f>LTI_HIST_CON!F7</f>
        <v/>
      </c>
      <c r="H20" s="7">
        <f>LTI_HIST_CON!G7</f>
        <v/>
      </c>
      <c r="I20" s="7">
        <f>LTI_HIST_CON!H7</f>
        <v/>
      </c>
      <c r="J20" s="7">
        <f>LTI_HIST_CON!I7</f>
        <v/>
      </c>
      <c r="K20" s="7">
        <f>LTI_HIST_CON!J7</f>
        <v/>
      </c>
    </row>
    <row r="22">
      <c r="B22" s="17" t="inlineStr">
        <is>
          <t>SG&amp;A % of Revenue</t>
        </is>
      </c>
      <c r="C22" s="17" t="inlineStr">
        <is>
          <t>=</t>
        </is>
      </c>
      <c r="D22" s="18" t="inlineStr">
        <is>
          <t>SG&amp;A</t>
        </is>
      </c>
      <c r="E22" s="18" t="inlineStr">
        <is>
          <t>=</t>
        </is>
      </c>
      <c r="F22" s="19">
        <f>-LTI_HIST_CON!E12</f>
        <v/>
      </c>
      <c r="G22" s="19">
        <f>-LTI_HIST_CON!F12</f>
        <v/>
      </c>
      <c r="H22" s="19">
        <f>-LTI_HIST_CON!G12</f>
        <v/>
      </c>
      <c r="I22" s="19">
        <f>-LTI_HIST_CON!H12</f>
        <v/>
      </c>
      <c r="J22" s="19">
        <f>-LTI_HIST_CON!I12</f>
        <v/>
      </c>
      <c r="K22" s="19">
        <f>-LTI_HIST_CON!J12</f>
        <v/>
      </c>
      <c r="L22" s="20" t="inlineStr">
        <is>
          <t>=</t>
        </is>
      </c>
      <c r="M22" s="21">
        <f>IFERROR(IF(F23=0,"",F22/F23),"")</f>
        <v/>
      </c>
      <c r="N22" s="21">
        <f>IFERROR(IF(G23=0,"",G22/G23),"")</f>
        <v/>
      </c>
      <c r="O22" s="21">
        <f>IFERROR(IF(H23=0,"",H22/H23),"")</f>
        <v/>
      </c>
      <c r="P22" s="21">
        <f>IFERROR(IF(I23=0,"",I22/I23),"")</f>
        <v/>
      </c>
      <c r="Q22" s="21">
        <f>IFERROR(IF(J23=0,"",J22/J23),"")</f>
        <v/>
      </c>
      <c r="R22" s="21">
        <f>IFERROR(IF(K23=0,"",K22/K23),"")</f>
        <v/>
      </c>
    </row>
    <row r="23">
      <c r="D23" s="6" t="inlineStr">
        <is>
          <t>Revenue</t>
        </is>
      </c>
      <c r="F23" s="23">
        <f>+F20</f>
        <v/>
      </c>
      <c r="G23" s="23">
        <f>+G20</f>
        <v/>
      </c>
      <c r="H23" s="23">
        <f>+H20</f>
        <v/>
      </c>
      <c r="I23" s="23">
        <f>+I20</f>
        <v/>
      </c>
      <c r="J23" s="23">
        <f>+J20</f>
        <v/>
      </c>
      <c r="K23" s="23">
        <f>+K20</f>
        <v/>
      </c>
    </row>
    <row r="25">
      <c r="B25" s="17" t="inlineStr">
        <is>
          <t>Other Operating Expenses % of Revenue</t>
        </is>
      </c>
      <c r="C25" s="17" t="inlineStr">
        <is>
          <t>=</t>
        </is>
      </c>
      <c r="D25" s="18" t="inlineStr">
        <is>
          <t>Other Operating Expenses</t>
        </is>
      </c>
      <c r="E25" s="18" t="inlineStr">
        <is>
          <t>=</t>
        </is>
      </c>
      <c r="F25" s="19">
        <f>-LTI_HIST_CON!E13</f>
        <v/>
      </c>
      <c r="G25" s="19">
        <f>-LTI_HIST_CON!F13</f>
        <v/>
      </c>
      <c r="H25" s="19">
        <f>-LTI_HIST_CON!G13</f>
        <v/>
      </c>
      <c r="I25" s="19">
        <f>-LTI_HIST_CON!H13</f>
        <v/>
      </c>
      <c r="J25" s="19">
        <f>-LTI_HIST_CON!I13</f>
        <v/>
      </c>
      <c r="K25" s="19">
        <f>-LTI_HIST_CON!J13</f>
        <v/>
      </c>
      <c r="L25" s="20" t="inlineStr">
        <is>
          <t>=</t>
        </is>
      </c>
      <c r="M25" s="21">
        <f>IFERROR(IF(F26=0,"",F25/F26),"")</f>
        <v/>
      </c>
      <c r="N25" s="21">
        <f>IFERROR(IF(G26=0,"",G25/G26),"")</f>
        <v/>
      </c>
      <c r="O25" s="21">
        <f>IFERROR(IF(H26=0,"",H25/H26),"")</f>
        <v/>
      </c>
      <c r="P25" s="21">
        <f>IFERROR(IF(I26=0,"",I25/I26),"")</f>
        <v/>
      </c>
      <c r="Q25" s="21">
        <f>IFERROR(IF(J26=0,"",J25/J26),"")</f>
        <v/>
      </c>
      <c r="R25" s="21">
        <f>IFERROR(IF(K26=0,"",K25/K26),"")</f>
        <v/>
      </c>
    </row>
    <row r="26">
      <c r="D26" s="6" t="inlineStr">
        <is>
          <t>Revenue</t>
        </is>
      </c>
      <c r="F26" s="23">
        <f>+F20</f>
        <v/>
      </c>
      <c r="G26" s="23">
        <f>+G20</f>
        <v/>
      </c>
      <c r="H26" s="23">
        <f>+H20</f>
        <v/>
      </c>
      <c r="I26" s="23">
        <f>+I20</f>
        <v/>
      </c>
      <c r="J26" s="23">
        <f>+J20</f>
        <v/>
      </c>
      <c r="K26" s="23">
        <f>+K20</f>
        <v/>
      </c>
    </row>
    <row r="28">
      <c r="B28" s="17" t="inlineStr">
        <is>
          <t>EBITDA Margin</t>
        </is>
      </c>
      <c r="C28" s="17" t="inlineStr">
        <is>
          <t>=</t>
        </is>
      </c>
      <c r="D28" s="18" t="inlineStr">
        <is>
          <t>EBITDA</t>
        </is>
      </c>
      <c r="E28" s="18" t="inlineStr">
        <is>
          <t>=</t>
        </is>
      </c>
      <c r="F28" s="19">
        <f>LTI_HIST_CON!E14</f>
        <v/>
      </c>
      <c r="G28" s="19">
        <f>LTI_HIST_CON!F14</f>
        <v/>
      </c>
      <c r="H28" s="19">
        <f>LTI_HIST_CON!G14</f>
        <v/>
      </c>
      <c r="I28" s="19">
        <f>LTI_HIST_CON!H14</f>
        <v/>
      </c>
      <c r="J28" s="19">
        <f>LTI_HIST_CON!I14</f>
        <v/>
      </c>
      <c r="K28" s="19">
        <f>LTI_HIST_CON!J14</f>
        <v/>
      </c>
      <c r="L28" s="20" t="inlineStr">
        <is>
          <t>=</t>
        </is>
      </c>
      <c r="M28" s="21">
        <f>IFERROR(IF(F29=0,"",F28/F29),"")</f>
        <v/>
      </c>
      <c r="N28" s="21">
        <f>IFERROR(IF(G29=0,"",G28/G29),"")</f>
        <v/>
      </c>
      <c r="O28" s="21">
        <f>IFERROR(IF(H29=0,"",H28/H29),"")</f>
        <v/>
      </c>
      <c r="P28" s="21">
        <f>IFERROR(IF(I29=0,"",I28/I29),"")</f>
        <v/>
      </c>
      <c r="Q28" s="21">
        <f>IFERROR(IF(J29=0,"",J28/J29),"")</f>
        <v/>
      </c>
      <c r="R28" s="21">
        <f>IFERROR(IF(K29=0,"",K28/K29),"")</f>
        <v/>
      </c>
    </row>
    <row r="29">
      <c r="D29" s="6" t="inlineStr">
        <is>
          <t>Revenue</t>
        </is>
      </c>
      <c r="F29" s="23">
        <f>+F20</f>
        <v/>
      </c>
      <c r="G29" s="23">
        <f>+G20</f>
        <v/>
      </c>
      <c r="H29" s="23">
        <f>+H20</f>
        <v/>
      </c>
      <c r="I29" s="23">
        <f>+I20</f>
        <v/>
      </c>
      <c r="J29" s="23">
        <f>+J20</f>
        <v/>
      </c>
      <c r="K29" s="23">
        <f>+K20</f>
        <v/>
      </c>
    </row>
    <row r="31">
      <c r="B31" s="12" t="inlineStr">
        <is>
          <t>Check</t>
        </is>
      </c>
      <c r="M31" s="24">
        <f>IF(ABS(M19-M22-M25-M28)&lt;0.0001,"OK","Error")</f>
        <v/>
      </c>
      <c r="N31" s="24">
        <f>IF(ABS(N19-N22-N25-N28)&lt;0.0001,"OK","Error")</f>
        <v/>
      </c>
      <c r="O31" s="24">
        <f>IF(ABS(O19-O22-O25-O28)&lt;0.0001,"OK","Error")</f>
        <v/>
      </c>
      <c r="P31" s="24">
        <f>IF(ABS(P19-P22-P25-P28)&lt;0.0001,"OK","Error")</f>
        <v/>
      </c>
      <c r="Q31" s="24">
        <f>IF(ABS(Q19-Q22-Q25-Q28)&lt;0.0001,"OK","Error")</f>
        <v/>
      </c>
      <c r="R31" s="24">
        <f>IF(ABS(R19-R22-R25-R28)&lt;0.0001,"OK","Error")</f>
        <v/>
      </c>
    </row>
    <row r="33">
      <c r="B33" s="17" t="inlineStr">
        <is>
          <t>Depreciation % of Revenue</t>
        </is>
      </c>
      <c r="C33" s="17" t="inlineStr">
        <is>
          <t>=</t>
        </is>
      </c>
      <c r="D33" s="18" t="inlineStr">
        <is>
          <t>Depreciation &amp; Amortisation</t>
        </is>
      </c>
      <c r="E33" s="18" t="inlineStr">
        <is>
          <t>=</t>
        </is>
      </c>
      <c r="F33" s="19">
        <f>-LTI_HIST_CON!E15</f>
        <v/>
      </c>
      <c r="G33" s="19">
        <f>-LTI_HIST_CON!F15</f>
        <v/>
      </c>
      <c r="H33" s="19">
        <f>-LTI_HIST_CON!G15</f>
        <v/>
      </c>
      <c r="I33" s="19">
        <f>-LTI_HIST_CON!H15</f>
        <v/>
      </c>
      <c r="J33" s="19">
        <f>-LTI_HIST_CON!I15</f>
        <v/>
      </c>
      <c r="K33" s="19">
        <f>-LTI_HIST_CON!J15</f>
        <v/>
      </c>
      <c r="L33" s="20" t="inlineStr">
        <is>
          <t>=</t>
        </is>
      </c>
      <c r="M33" s="21">
        <f>IFERROR(IF(F34=0,"",F33/F34),"")</f>
        <v/>
      </c>
      <c r="N33" s="21">
        <f>IFERROR(IF(G34=0,"",G33/G34),"")</f>
        <v/>
      </c>
      <c r="O33" s="21">
        <f>IFERROR(IF(H34=0,"",H33/H34),"")</f>
        <v/>
      </c>
      <c r="P33" s="21">
        <f>IFERROR(IF(I34=0,"",I33/I34),"")</f>
        <v/>
      </c>
      <c r="Q33" s="21">
        <f>IFERROR(IF(J34=0,"",J33/J34),"")</f>
        <v/>
      </c>
      <c r="R33" s="21">
        <f>IFERROR(IF(K34=0,"",K33/K34),"")</f>
        <v/>
      </c>
    </row>
    <row r="34">
      <c r="D34" s="6" t="inlineStr">
        <is>
          <t>Revenue</t>
        </is>
      </c>
      <c r="F34" s="23">
        <f>+F20</f>
        <v/>
      </c>
      <c r="G34" s="23">
        <f>+G20</f>
        <v/>
      </c>
      <c r="H34" s="23">
        <f>+H20</f>
        <v/>
      </c>
      <c r="I34" s="23">
        <f>+I20</f>
        <v/>
      </c>
      <c r="J34" s="23">
        <f>+J20</f>
        <v/>
      </c>
      <c r="K34" s="23">
        <f>+K20</f>
        <v/>
      </c>
    </row>
    <row r="36">
      <c r="B36" s="17" t="inlineStr">
        <is>
          <t>EBIT Margin</t>
        </is>
      </c>
      <c r="C36" s="17" t="inlineStr">
        <is>
          <t>=</t>
        </is>
      </c>
      <c r="D36" s="18" t="inlineStr">
        <is>
          <t>EBIT</t>
        </is>
      </c>
      <c r="E36" s="18" t="inlineStr">
        <is>
          <t>=</t>
        </is>
      </c>
      <c r="F36" s="19">
        <f>LTI_HIST_CON!E16</f>
        <v/>
      </c>
      <c r="G36" s="19">
        <f>LTI_HIST_CON!F16</f>
        <v/>
      </c>
      <c r="H36" s="19">
        <f>LTI_HIST_CON!G16</f>
        <v/>
      </c>
      <c r="I36" s="19">
        <f>LTI_HIST_CON!H16</f>
        <v/>
      </c>
      <c r="J36" s="19">
        <f>LTI_HIST_CON!I16</f>
        <v/>
      </c>
      <c r="K36" s="19">
        <f>LTI_HIST_CON!J16</f>
        <v/>
      </c>
      <c r="L36" s="20" t="inlineStr">
        <is>
          <t>=</t>
        </is>
      </c>
      <c r="M36" s="21">
        <f>IFERROR(IF(F37=0,"",F36/F37),"")</f>
        <v/>
      </c>
      <c r="N36" s="21">
        <f>IFERROR(IF(G37=0,"",G36/G37),"")</f>
        <v/>
      </c>
      <c r="O36" s="21">
        <f>IFERROR(IF(H37=0,"",H36/H37),"")</f>
        <v/>
      </c>
      <c r="P36" s="21">
        <f>IFERROR(IF(I37=0,"",I36/I37),"")</f>
        <v/>
      </c>
      <c r="Q36" s="21">
        <f>IFERROR(IF(J37=0,"",J36/J37),"")</f>
        <v/>
      </c>
      <c r="R36" s="21">
        <f>IFERROR(IF(K37=0,"",K36/K37),"")</f>
        <v/>
      </c>
    </row>
    <row r="37">
      <c r="D37" s="6" t="inlineStr">
        <is>
          <t>Revenue</t>
        </is>
      </c>
      <c r="F37" s="23">
        <f>+F20</f>
        <v/>
      </c>
      <c r="G37" s="23">
        <f>+G20</f>
        <v/>
      </c>
      <c r="H37" s="23">
        <f>+H20</f>
        <v/>
      </c>
      <c r="I37" s="23">
        <f>+I20</f>
        <v/>
      </c>
      <c r="J37" s="23">
        <f>+J20</f>
        <v/>
      </c>
      <c r="K37" s="23">
        <f>+K20</f>
        <v/>
      </c>
    </row>
    <row r="39">
      <c r="B39" s="12" t="inlineStr">
        <is>
          <t>Check</t>
        </is>
      </c>
      <c r="M39" s="24">
        <f>IF(ABS(M28-M33-M36)&lt;0.0001,"OK","Error")</f>
        <v/>
      </c>
      <c r="N39" s="24">
        <f>IF(ABS(N28-N33-N36)&lt;0.0001,"OK","Error")</f>
        <v/>
      </c>
      <c r="O39" s="24">
        <f>IF(ABS(O28-O33-O36)&lt;0.0001,"OK","Error")</f>
        <v/>
      </c>
      <c r="P39" s="24">
        <f>IF(ABS(P28-P33-P36)&lt;0.0001,"OK","Error")</f>
        <v/>
      </c>
      <c r="Q39" s="24">
        <f>IF(ABS(Q28-Q33-Q36)&lt;0.0001,"OK","Error")</f>
        <v/>
      </c>
      <c r="R39" s="24">
        <f>IF(ABS(R28-R33-R36)&lt;0.0001,"OK","Error")</f>
        <v/>
      </c>
    </row>
    <row r="41">
      <c r="B41" s="17" t="inlineStr">
        <is>
          <t>Other Non-Operating Expense % of Revenue</t>
        </is>
      </c>
      <c r="C41" s="17" t="inlineStr">
        <is>
          <t>=</t>
        </is>
      </c>
      <c r="D41" s="18" t="inlineStr">
        <is>
          <t>Finance Costs + Exceptional Items (net)</t>
        </is>
      </c>
      <c r="E41" s="18" t="inlineStr">
        <is>
          <t>=</t>
        </is>
      </c>
      <c r="F41" s="19">
        <f>-(LTI_HIST_CON!E17+0)</f>
        <v/>
      </c>
      <c r="G41" s="19">
        <f>-(LTI_HIST_CON!F17+0)</f>
        <v/>
      </c>
      <c r="H41" s="19">
        <f>-(LTI_HIST_CON!G17+0)</f>
        <v/>
      </c>
      <c r="I41" s="19">
        <f>-(LTI_HIST_CON!H17+0)</f>
        <v/>
      </c>
      <c r="J41" s="19">
        <f>-(LTI_HIST_CON!I17+0)</f>
        <v/>
      </c>
      <c r="K41" s="19">
        <f>-(LTI_HIST_CON!J17+0)</f>
        <v/>
      </c>
      <c r="L41" s="20" t="inlineStr">
        <is>
          <t>=</t>
        </is>
      </c>
      <c r="M41" s="21">
        <f>IFERROR(IF(F42=0,"",F41/F42),"")</f>
        <v/>
      </c>
      <c r="N41" s="21">
        <f>IFERROR(IF(G42=0,"",G41/G42),"")</f>
        <v/>
      </c>
      <c r="O41" s="21">
        <f>IFERROR(IF(H42=0,"",H41/H42),"")</f>
        <v/>
      </c>
      <c r="P41" s="21">
        <f>IFERROR(IF(I42=0,"",I41/I42),"")</f>
        <v/>
      </c>
      <c r="Q41" s="21">
        <f>IFERROR(IF(J42=0,"",J41/J42),"")</f>
        <v/>
      </c>
      <c r="R41" s="21">
        <f>IFERROR(IF(K42=0,"",K41/K42),"")</f>
        <v/>
      </c>
    </row>
    <row r="42">
      <c r="D42" s="6" t="inlineStr">
        <is>
          <t>Revenue</t>
        </is>
      </c>
      <c r="F42" s="23">
        <f>+F20</f>
        <v/>
      </c>
      <c r="G42" s="23">
        <f>+G20</f>
        <v/>
      </c>
      <c r="H42" s="23">
        <f>+H20</f>
        <v/>
      </c>
      <c r="I42" s="23">
        <f>+I20</f>
        <v/>
      </c>
      <c r="J42" s="23">
        <f>+J20</f>
        <v/>
      </c>
      <c r="K42" s="23">
        <f>+K20</f>
        <v/>
      </c>
    </row>
    <row r="44">
      <c r="B44" s="17" t="inlineStr">
        <is>
          <t>EBT Margin</t>
        </is>
      </c>
      <c r="C44" s="17" t="inlineStr">
        <is>
          <t>=</t>
        </is>
      </c>
      <c r="D44" s="18" t="inlineStr">
        <is>
          <t>EBT (Pre-Tax Income)</t>
        </is>
      </c>
      <c r="E44" s="18" t="inlineStr">
        <is>
          <t>=</t>
        </is>
      </c>
      <c r="F44" s="19">
        <f>LTI_HIST_CON!E18</f>
        <v/>
      </c>
      <c r="G44" s="19">
        <f>LTI_HIST_CON!F18</f>
        <v/>
      </c>
      <c r="H44" s="19">
        <f>LTI_HIST_CON!G18</f>
        <v/>
      </c>
      <c r="I44" s="19">
        <f>LTI_HIST_CON!H18</f>
        <v/>
      </c>
      <c r="J44" s="19">
        <f>LTI_HIST_CON!I18</f>
        <v/>
      </c>
      <c r="K44" s="19">
        <f>LTI_HIST_CON!J18</f>
        <v/>
      </c>
      <c r="L44" s="20" t="inlineStr">
        <is>
          <t>=</t>
        </is>
      </c>
      <c r="M44" s="21">
        <f>IFERROR(IF(F45=0,"",F44/F45),"")</f>
        <v/>
      </c>
      <c r="N44" s="21">
        <f>IFERROR(IF(G45=0,"",G44/G45),"")</f>
        <v/>
      </c>
      <c r="O44" s="21">
        <f>IFERROR(IF(H45=0,"",H44/H45),"")</f>
        <v/>
      </c>
      <c r="P44" s="21">
        <f>IFERROR(IF(I45=0,"",I44/I45),"")</f>
        <v/>
      </c>
      <c r="Q44" s="21">
        <f>IFERROR(IF(J45=0,"",J44/J45),"")</f>
        <v/>
      </c>
      <c r="R44" s="21">
        <f>IFERROR(IF(K45=0,"",K44/K45),"")</f>
        <v/>
      </c>
    </row>
    <row r="45">
      <c r="D45" s="6" t="inlineStr">
        <is>
          <t>Revenue</t>
        </is>
      </c>
      <c r="F45" s="23">
        <f>+F20</f>
        <v/>
      </c>
      <c r="G45" s="23">
        <f>+G20</f>
        <v/>
      </c>
      <c r="H45" s="23">
        <f>+H20</f>
        <v/>
      </c>
      <c r="I45" s="23">
        <f>+I20</f>
        <v/>
      </c>
      <c r="J45" s="23">
        <f>+J20</f>
        <v/>
      </c>
      <c r="K45" s="23">
        <f>+K20</f>
        <v/>
      </c>
    </row>
    <row r="47">
      <c r="B47" s="12" t="inlineStr">
        <is>
          <t>Check</t>
        </is>
      </c>
      <c r="M47" s="24">
        <f>IF(ABS(M36-M41-M44)&lt;0.0001,"OK","Error")</f>
        <v/>
      </c>
      <c r="N47" s="24">
        <f>IF(ABS(N36-N41-N44)&lt;0.0001,"OK","Error")</f>
        <v/>
      </c>
      <c r="O47" s="24">
        <f>IF(ABS(O36-O41-O44)&lt;0.0001,"OK","Error")</f>
        <v/>
      </c>
      <c r="P47" s="24">
        <f>IF(ABS(P36-P41-P44)&lt;0.0001,"OK","Error")</f>
        <v/>
      </c>
      <c r="Q47" s="24">
        <f>IF(ABS(Q36-Q41-Q44)&lt;0.0001,"OK","Error")</f>
        <v/>
      </c>
      <c r="R47" s="24">
        <f>IF(ABS(R36-R41-R44)&lt;0.0001,"OK","Error")</f>
        <v/>
      </c>
    </row>
    <row r="49">
      <c r="B49" s="17" t="inlineStr">
        <is>
          <t>Tax % of Revenue</t>
        </is>
      </c>
      <c r="C49" s="17" t="inlineStr">
        <is>
          <t>=</t>
        </is>
      </c>
      <c r="D49" s="18" t="inlineStr">
        <is>
          <t>Total Tax Expense</t>
        </is>
      </c>
      <c r="E49" s="18" t="inlineStr">
        <is>
          <t>=</t>
        </is>
      </c>
      <c r="F49" s="19">
        <f>-LTI_HIST_CON!E21</f>
        <v/>
      </c>
      <c r="G49" s="19">
        <f>-LTI_HIST_CON!F21</f>
        <v/>
      </c>
      <c r="H49" s="19">
        <f>-LTI_HIST_CON!G21</f>
        <v/>
      </c>
      <c r="I49" s="19">
        <f>-LTI_HIST_CON!H21</f>
        <v/>
      </c>
      <c r="J49" s="19">
        <f>-LTI_HIST_CON!I21</f>
        <v/>
      </c>
      <c r="K49" s="19">
        <f>-LTI_HIST_CON!J21</f>
        <v/>
      </c>
      <c r="L49" s="20" t="inlineStr">
        <is>
          <t>=</t>
        </is>
      </c>
      <c r="M49" s="21">
        <f>IFERROR(IF(F50=0,"",F49/F50),"")</f>
        <v/>
      </c>
      <c r="N49" s="21">
        <f>IFERROR(IF(G50=0,"",G49/G50),"")</f>
        <v/>
      </c>
      <c r="O49" s="21">
        <f>IFERROR(IF(H50=0,"",H49/H50),"")</f>
        <v/>
      </c>
      <c r="P49" s="21">
        <f>IFERROR(IF(I50=0,"",I49/I50),"")</f>
        <v/>
      </c>
      <c r="Q49" s="21">
        <f>IFERROR(IF(J50=0,"",J49/J50),"")</f>
        <v/>
      </c>
      <c r="R49" s="21">
        <f>IFERROR(IF(K50=0,"",K49/K50),"")</f>
        <v/>
      </c>
    </row>
    <row r="50">
      <c r="D50" s="6" t="inlineStr">
        <is>
          <t>Revenue</t>
        </is>
      </c>
      <c r="F50" s="23">
        <f>+F20</f>
        <v/>
      </c>
      <c r="G50" s="23">
        <f>+G20</f>
        <v/>
      </c>
      <c r="H50" s="23">
        <f>+H20</f>
        <v/>
      </c>
      <c r="I50" s="23">
        <f>+I20</f>
        <v/>
      </c>
      <c r="J50" s="23">
        <f>+J20</f>
        <v/>
      </c>
      <c r="K50" s="23">
        <f>+K20</f>
        <v/>
      </c>
    </row>
    <row r="52">
      <c r="B52" s="17" t="inlineStr">
        <is>
          <t>Net Profit Margin</t>
        </is>
      </c>
      <c r="C52" s="17" t="inlineStr">
        <is>
          <t>=</t>
        </is>
      </c>
      <c r="D52" s="18" t="inlineStr">
        <is>
          <t>Net Income</t>
        </is>
      </c>
      <c r="E52" s="18" t="inlineStr">
        <is>
          <t>=</t>
        </is>
      </c>
      <c r="F52" s="22">
        <f>+F7</f>
        <v/>
      </c>
      <c r="G52" s="22">
        <f>+G7</f>
        <v/>
      </c>
      <c r="H52" s="22">
        <f>+H7</f>
        <v/>
      </c>
      <c r="I52" s="22">
        <f>+I7</f>
        <v/>
      </c>
      <c r="J52" s="22">
        <f>+J7</f>
        <v/>
      </c>
      <c r="K52" s="22">
        <f>+K7</f>
        <v/>
      </c>
      <c r="L52" s="20" t="inlineStr">
        <is>
          <t>=</t>
        </is>
      </c>
      <c r="M52" s="21">
        <f>IFERROR(IF(F53=0,"",F52/F53),"")</f>
        <v/>
      </c>
      <c r="N52" s="21">
        <f>IFERROR(IF(G53=0,"",G52/G53),"")</f>
        <v/>
      </c>
      <c r="O52" s="21">
        <f>IFERROR(IF(H53=0,"",H52/H53),"")</f>
        <v/>
      </c>
      <c r="P52" s="21">
        <f>IFERROR(IF(I53=0,"",I52/I53),"")</f>
        <v/>
      </c>
      <c r="Q52" s="21">
        <f>IFERROR(IF(J53=0,"",J52/J53),"")</f>
        <v/>
      </c>
      <c r="R52" s="21">
        <f>IFERROR(IF(K53=0,"",K52/K53),"")</f>
        <v/>
      </c>
    </row>
    <row r="53">
      <c r="D53" s="6" t="inlineStr">
        <is>
          <t>Revenue</t>
        </is>
      </c>
      <c r="F53" s="23">
        <f>+F20</f>
        <v/>
      </c>
      <c r="G53" s="23">
        <f>+G20</f>
        <v/>
      </c>
      <c r="H53" s="23">
        <f>+H20</f>
        <v/>
      </c>
      <c r="I53" s="23">
        <f>+I20</f>
        <v/>
      </c>
      <c r="J53" s="23">
        <f>+J20</f>
        <v/>
      </c>
      <c r="K53" s="23">
        <f>+K20</f>
        <v/>
      </c>
    </row>
    <row r="55">
      <c r="B55" s="12" t="inlineStr">
        <is>
          <t>Check</t>
        </is>
      </c>
      <c r="M55" s="24">
        <f>IF(ABS(M44-M49-M52)&lt;0.0001,"OK","Error")</f>
        <v/>
      </c>
      <c r="N55" s="24">
        <f>IF(ABS(N44-N49-N52)&lt;0.0001,"OK","Error")</f>
        <v/>
      </c>
      <c r="O55" s="24">
        <f>IF(ABS(O44-O49-O52)&lt;0.0001,"OK","Error")</f>
        <v/>
      </c>
      <c r="P55" s="24">
        <f>IF(ABS(P44-P49-P52)&lt;0.0001,"OK","Error")</f>
        <v/>
      </c>
      <c r="Q55" s="24">
        <f>IF(ABS(Q44-Q49-Q52)&lt;0.0001,"OK","Error")</f>
        <v/>
      </c>
      <c r="R55" s="24">
        <f>IF(ABS(R44-R49-R52)&lt;0.0001,"OK","Error")</f>
        <v/>
      </c>
    </row>
    <row r="57">
      <c r="B57" s="17" t="inlineStr">
        <is>
          <t>Effective Tax Rate</t>
        </is>
      </c>
      <c r="C57" s="17" t="inlineStr">
        <is>
          <t>=</t>
        </is>
      </c>
      <c r="D57" s="18" t="inlineStr">
        <is>
          <t>Total Tax Expense</t>
        </is>
      </c>
      <c r="E57" s="18" t="inlineStr">
        <is>
          <t>=</t>
        </is>
      </c>
      <c r="F57" s="22">
        <f>+F49</f>
        <v/>
      </c>
      <c r="G57" s="22">
        <f>+G49</f>
        <v/>
      </c>
      <c r="H57" s="22">
        <f>+H49</f>
        <v/>
      </c>
      <c r="I57" s="22">
        <f>+I49</f>
        <v/>
      </c>
      <c r="J57" s="22">
        <f>+J49</f>
        <v/>
      </c>
      <c r="K57" s="22">
        <f>+K49</f>
        <v/>
      </c>
      <c r="L57" s="20" t="inlineStr">
        <is>
          <t>=</t>
        </is>
      </c>
      <c r="M57" s="21">
        <f>IFERROR(IF(F58=0,"",F57/F58),"")</f>
        <v/>
      </c>
      <c r="N57" s="21">
        <f>IFERROR(IF(G58=0,"",G57/G58),"")</f>
        <v/>
      </c>
      <c r="O57" s="21">
        <f>IFERROR(IF(H58=0,"",H57/H58),"")</f>
        <v/>
      </c>
      <c r="P57" s="21">
        <f>IFERROR(IF(I58=0,"",I57/I58),"")</f>
        <v/>
      </c>
      <c r="Q57" s="21">
        <f>IFERROR(IF(J58=0,"",J57/J58),"")</f>
        <v/>
      </c>
      <c r="R57" s="21">
        <f>IFERROR(IF(K58=0,"",K57/K58),"")</f>
        <v/>
      </c>
    </row>
    <row r="58">
      <c r="D58" s="6" t="inlineStr">
        <is>
          <t>EBT (Pre-Tax Income)</t>
        </is>
      </c>
      <c r="F58" s="23">
        <f>+F44</f>
        <v/>
      </c>
      <c r="G58" s="23">
        <f>+G44</f>
        <v/>
      </c>
      <c r="H58" s="23">
        <f>+H44</f>
        <v/>
      </c>
      <c r="I58" s="23">
        <f>+I44</f>
        <v/>
      </c>
      <c r="J58" s="23">
        <f>+J44</f>
        <v/>
      </c>
      <c r="K58" s="23">
        <f>+K44</f>
        <v/>
      </c>
    </row>
    <row r="60">
      <c r="B60" s="17" t="inlineStr">
        <is>
          <t>Tax Burden</t>
        </is>
      </c>
      <c r="C60" s="17" t="inlineStr">
        <is>
          <t>=</t>
        </is>
      </c>
      <c r="D60" s="18" t="inlineStr">
        <is>
          <t>Net Income</t>
        </is>
      </c>
      <c r="E60" s="18" t="inlineStr">
        <is>
          <t>=</t>
        </is>
      </c>
      <c r="F60" s="22">
        <f>+F7</f>
        <v/>
      </c>
      <c r="G60" s="22">
        <f>+G7</f>
        <v/>
      </c>
      <c r="H60" s="22">
        <f>+H7</f>
        <v/>
      </c>
      <c r="I60" s="22">
        <f>+I7</f>
        <v/>
      </c>
      <c r="J60" s="22">
        <f>+J7</f>
        <v/>
      </c>
      <c r="K60" s="22">
        <f>+K7</f>
        <v/>
      </c>
      <c r="L60" s="20" t="inlineStr">
        <is>
          <t>=</t>
        </is>
      </c>
      <c r="M60" s="21">
        <f>IFERROR(IF(F61=0,"",F60/F61),"")</f>
        <v/>
      </c>
      <c r="N60" s="21">
        <f>IFERROR(IF(G61=0,"",G60/G61),"")</f>
        <v/>
      </c>
      <c r="O60" s="21">
        <f>IFERROR(IF(H61=0,"",H60/H61),"")</f>
        <v/>
      </c>
      <c r="P60" s="21">
        <f>IFERROR(IF(I61=0,"",I60/I61),"")</f>
        <v/>
      </c>
      <c r="Q60" s="21">
        <f>IFERROR(IF(J61=0,"",J60/J61),"")</f>
        <v/>
      </c>
      <c r="R60" s="21">
        <f>IFERROR(IF(K61=0,"",K60/K61),"")</f>
        <v/>
      </c>
    </row>
    <row r="61">
      <c r="D61" s="6" t="inlineStr">
        <is>
          <t>EBT (Pre-Tax Income)</t>
        </is>
      </c>
      <c r="F61" s="23">
        <f>+F44</f>
        <v/>
      </c>
      <c r="G61" s="23">
        <f>+G44</f>
        <v/>
      </c>
      <c r="H61" s="23">
        <f>+H44</f>
        <v/>
      </c>
      <c r="I61" s="23">
        <f>+I44</f>
        <v/>
      </c>
      <c r="J61" s="23">
        <f>+J44</f>
        <v/>
      </c>
      <c r="K61" s="23">
        <f>+K44</f>
        <v/>
      </c>
    </row>
    <row r="63">
      <c r="B63" s="17" t="inlineStr">
        <is>
          <t>Effective Interest Rate</t>
        </is>
      </c>
      <c r="C63" s="17" t="inlineStr">
        <is>
          <t>=</t>
        </is>
      </c>
      <c r="D63" s="18" t="inlineStr">
        <is>
          <t>Finance Costs (absolute)</t>
        </is>
      </c>
      <c r="E63" s="18" t="inlineStr">
        <is>
          <t>=</t>
        </is>
      </c>
      <c r="F63" s="19">
        <f>ABS(LTI_HIST_CON!E17)</f>
        <v/>
      </c>
      <c r="G63" s="19">
        <f>ABS(LTI_HIST_CON!F17)</f>
        <v/>
      </c>
      <c r="H63" s="19">
        <f>ABS(LTI_HIST_CON!G17)</f>
        <v/>
      </c>
      <c r="I63" s="19">
        <f>ABS(LTI_HIST_CON!H17)</f>
        <v/>
      </c>
      <c r="J63" s="19">
        <f>ABS(LTI_HIST_CON!I17)</f>
        <v/>
      </c>
      <c r="K63" s="19">
        <f>ABS(LTI_HIST_CON!J17)</f>
        <v/>
      </c>
      <c r="L63" s="20" t="inlineStr">
        <is>
          <t>=</t>
        </is>
      </c>
      <c r="M63" s="21">
        <f>IFERROR(IF(F64=0,"",F63/F64),"")</f>
        <v/>
      </c>
      <c r="N63" s="21">
        <f>IFERROR(IF(G64=0,"",G63/G64),"")</f>
        <v/>
      </c>
      <c r="O63" s="21">
        <f>IFERROR(IF(H64=0,"",H63/H64),"")</f>
        <v/>
      </c>
      <c r="P63" s="21">
        <f>IFERROR(IF(I64=0,"",I63/I64),"")</f>
        <v/>
      </c>
      <c r="Q63" s="21">
        <f>IFERROR(IF(J64=0,"",J63/J64),"")</f>
        <v/>
      </c>
      <c r="R63" s="21">
        <f>IFERROR(IF(K64=0,"",K63/K64),"")</f>
        <v/>
      </c>
    </row>
    <row r="64">
      <c r="D64" s="6" t="inlineStr">
        <is>
          <t>Total Debt (= Borrowings + Lease Liabilities)</t>
        </is>
      </c>
      <c r="F64" s="7">
        <f>(0+LTI_HIST_CON!E77+0+0)</f>
        <v/>
      </c>
      <c r="G64" s="7">
        <f>(0+LTI_HIST_CON!F77+0+0)</f>
        <v/>
      </c>
      <c r="H64" s="7">
        <f>(0+LTI_HIST_CON!G77+0+0)</f>
        <v/>
      </c>
      <c r="I64" s="7">
        <f>(0+LTI_HIST_CON!H77+0+0)</f>
        <v/>
      </c>
      <c r="J64" s="7">
        <f>(0+LTI_HIST_CON!I77+0+0)</f>
        <v/>
      </c>
      <c r="K64" s="7">
        <f>(0+LTI_HIST_CON!J77+0+0)</f>
        <v/>
      </c>
    </row>
    <row r="66">
      <c r="B66" s="17" t="inlineStr">
        <is>
          <t>Interest Burden</t>
        </is>
      </c>
      <c r="C66" s="17" t="inlineStr">
        <is>
          <t>=</t>
        </is>
      </c>
      <c r="D66" s="18" t="inlineStr">
        <is>
          <t>EBT (Pre-Tax Income)</t>
        </is>
      </c>
      <c r="E66" s="18" t="inlineStr">
        <is>
          <t>=</t>
        </is>
      </c>
      <c r="F66" s="22">
        <f>+F44</f>
        <v/>
      </c>
      <c r="G66" s="22">
        <f>+G44</f>
        <v/>
      </c>
      <c r="H66" s="22">
        <f>+H44</f>
        <v/>
      </c>
      <c r="I66" s="22">
        <f>+I44</f>
        <v/>
      </c>
      <c r="J66" s="22">
        <f>+J44</f>
        <v/>
      </c>
      <c r="K66" s="22">
        <f>+K44</f>
        <v/>
      </c>
      <c r="L66" s="20" t="inlineStr">
        <is>
          <t>=</t>
        </is>
      </c>
      <c r="M66" s="21">
        <f>IFERROR(IF(F67=0,"",F66/F67),"")</f>
        <v/>
      </c>
      <c r="N66" s="21">
        <f>IFERROR(IF(G67=0,"",G66/G67),"")</f>
        <v/>
      </c>
      <c r="O66" s="21">
        <f>IFERROR(IF(H67=0,"",H66/H67),"")</f>
        <v/>
      </c>
      <c r="P66" s="21">
        <f>IFERROR(IF(I67=0,"",I66/I67),"")</f>
        <v/>
      </c>
      <c r="Q66" s="21">
        <f>IFERROR(IF(J67=0,"",J66/J67),"")</f>
        <v/>
      </c>
      <c r="R66" s="21">
        <f>IFERROR(IF(K67=0,"",K66/K67),"")</f>
        <v/>
      </c>
    </row>
    <row r="67">
      <c r="D67" s="6" t="inlineStr">
        <is>
          <t>EBIT</t>
        </is>
      </c>
      <c r="F67" s="23">
        <f>+F36</f>
        <v/>
      </c>
      <c r="G67" s="23">
        <f>+G36</f>
        <v/>
      </c>
      <c r="H67" s="23">
        <f>+H36</f>
        <v/>
      </c>
      <c r="I67" s="23">
        <f>+I36</f>
        <v/>
      </c>
      <c r="J67" s="23">
        <f>+J36</f>
        <v/>
      </c>
      <c r="K67" s="23">
        <f>+K36</f>
        <v/>
      </c>
    </row>
    <row r="69" ht="15.5" customHeight="1" s="203">
      <c r="A69" s="14" t="inlineStr">
        <is>
          <t>#</t>
        </is>
      </c>
      <c r="B69" s="16" t="inlineStr">
        <is>
          <t>Asset Utilization Ratios</t>
        </is>
      </c>
    </row>
    <row r="70">
      <c r="B70" s="17" t="inlineStr">
        <is>
          <t>Asset Turnover</t>
        </is>
      </c>
      <c r="C70" s="17" t="inlineStr">
        <is>
          <t>=</t>
        </is>
      </c>
      <c r="D70" s="18" t="inlineStr">
        <is>
          <t>Revenue</t>
        </is>
      </c>
      <c r="E70" s="18" t="inlineStr">
        <is>
          <t>=</t>
        </is>
      </c>
      <c r="F70" s="22">
        <f>+F20</f>
        <v/>
      </c>
      <c r="G70" s="22">
        <f>+G20</f>
        <v/>
      </c>
      <c r="H70" s="22">
        <f>+H20</f>
        <v/>
      </c>
      <c r="I70" s="22">
        <f>+I20</f>
        <v/>
      </c>
      <c r="J70" s="22">
        <f>+J20</f>
        <v/>
      </c>
      <c r="K70" s="22">
        <f>+K20</f>
        <v/>
      </c>
      <c r="L70" s="20" t="inlineStr">
        <is>
          <t>=</t>
        </is>
      </c>
      <c r="M70" s="25">
        <f>IFERROR(IF(F71=0,"",F70/F71),"")</f>
        <v/>
      </c>
      <c r="N70" s="25">
        <f>IFERROR(IF(G71=0,"",G70/G71),"")</f>
        <v/>
      </c>
      <c r="O70" s="25">
        <f>IFERROR(IF(H71=0,"",H70/H71),"")</f>
        <v/>
      </c>
      <c r="P70" s="25">
        <f>IFERROR(IF(I71=0,"",I70/I71),"")</f>
        <v/>
      </c>
      <c r="Q70" s="25">
        <f>IFERROR(IF(J71=0,"",J70/J71),"")</f>
        <v/>
      </c>
      <c r="R70" s="25">
        <f>IFERROR(IF(K71=0,"",K70/K71),"")</f>
        <v/>
      </c>
    </row>
    <row r="71">
      <c r="D71" s="6" t="inlineStr">
        <is>
          <t>Total Assets</t>
        </is>
      </c>
      <c r="F71" s="23">
        <f>+F11</f>
        <v/>
      </c>
      <c r="G71" s="23">
        <f>+G11</f>
        <v/>
      </c>
      <c r="H71" s="23">
        <f>+H11</f>
        <v/>
      </c>
      <c r="I71" s="23">
        <f>+I11</f>
        <v/>
      </c>
      <c r="J71" s="23">
        <f>+J11</f>
        <v/>
      </c>
      <c r="K71" s="23">
        <f>+K11</f>
        <v/>
      </c>
    </row>
    <row r="73">
      <c r="B73" s="17" t="inlineStr">
        <is>
          <t>PPE Turnover</t>
        </is>
      </c>
      <c r="C73" s="17" t="inlineStr">
        <is>
          <t>=</t>
        </is>
      </c>
      <c r="D73" s="18" t="inlineStr">
        <is>
          <t>Revenue</t>
        </is>
      </c>
      <c r="E73" s="18" t="inlineStr">
        <is>
          <t>=</t>
        </is>
      </c>
      <c r="F73" s="22">
        <f>+F20</f>
        <v/>
      </c>
      <c r="G73" s="22">
        <f>+G20</f>
        <v/>
      </c>
      <c r="H73" s="22">
        <f>+H20</f>
        <v/>
      </c>
      <c r="I73" s="22">
        <f>+I20</f>
        <v/>
      </c>
      <c r="J73" s="22">
        <f>+J20</f>
        <v/>
      </c>
      <c r="K73" s="22">
        <f>+K20</f>
        <v/>
      </c>
      <c r="L73" s="20" t="inlineStr">
        <is>
          <t>=</t>
        </is>
      </c>
      <c r="M73" s="25">
        <f>IFERROR(IF(F74=0,"",F73/F74),"")</f>
        <v/>
      </c>
      <c r="N73" s="25">
        <f>IFERROR(IF(G74=0,"",G73/G74),"")</f>
        <v/>
      </c>
      <c r="O73" s="25">
        <f>IFERROR(IF(H74=0,"",H73/H74),"")</f>
        <v/>
      </c>
      <c r="P73" s="25">
        <f>IFERROR(IF(I74=0,"",I73/I74),"")</f>
        <v/>
      </c>
      <c r="Q73" s="25">
        <f>IFERROR(IF(J74=0,"",J73/J74),"")</f>
        <v/>
      </c>
      <c r="R73" s="25">
        <f>IFERROR(IF(K74=0,"",K73/K74),"")</f>
        <v/>
      </c>
    </row>
    <row r="74">
      <c r="D74" s="6" t="inlineStr">
        <is>
          <t>Net PP&amp;E</t>
        </is>
      </c>
      <c r="F74" s="7">
        <f>LTI_HIST_CON!E27</f>
        <v/>
      </c>
      <c r="G74" s="7">
        <f>LTI_HIST_CON!F27</f>
        <v/>
      </c>
      <c r="H74" s="7">
        <f>LTI_HIST_CON!G27</f>
        <v/>
      </c>
      <c r="I74" s="7">
        <f>LTI_HIST_CON!H27</f>
        <v/>
      </c>
      <c r="J74" s="7">
        <f>LTI_HIST_CON!I27</f>
        <v/>
      </c>
      <c r="K74" s="7">
        <f>LTI_HIST_CON!J27</f>
        <v/>
      </c>
    </row>
    <row r="76">
      <c r="B76" s="17" t="inlineStr">
        <is>
          <t>Cash Turnover</t>
        </is>
      </c>
      <c r="C76" s="17" t="inlineStr">
        <is>
          <t>=</t>
        </is>
      </c>
      <c r="D76" s="18" t="inlineStr">
        <is>
          <t>Revenue</t>
        </is>
      </c>
      <c r="E76" s="18" t="inlineStr">
        <is>
          <t>=</t>
        </is>
      </c>
      <c r="F76" s="22">
        <f>+F20</f>
        <v/>
      </c>
      <c r="G76" s="22">
        <f>+G20</f>
        <v/>
      </c>
      <c r="H76" s="22">
        <f>+H20</f>
        <v/>
      </c>
      <c r="I76" s="22">
        <f>+I20</f>
        <v/>
      </c>
      <c r="J76" s="22">
        <f>+J20</f>
        <v/>
      </c>
      <c r="K76" s="22">
        <f>+K20</f>
        <v/>
      </c>
      <c r="L76" s="20" t="inlineStr">
        <is>
          <t>=</t>
        </is>
      </c>
      <c r="M76" s="25">
        <f>IFERROR(IF(F77=0,"",F76/F77),"")</f>
        <v/>
      </c>
      <c r="N76" s="25">
        <f>IFERROR(IF(G77=0,"",G76/G77),"")</f>
        <v/>
      </c>
      <c r="O76" s="25">
        <f>IFERROR(IF(H77=0,"",H76/H77),"")</f>
        <v/>
      </c>
      <c r="P76" s="25">
        <f>IFERROR(IF(I77=0,"",I76/I77),"")</f>
        <v/>
      </c>
      <c r="Q76" s="25">
        <f>IFERROR(IF(J77=0,"",J76/J77),"")</f>
        <v/>
      </c>
      <c r="R76" s="25">
        <f>IFERROR(IF(K77=0,"",K76/K77),"")</f>
        <v/>
      </c>
    </row>
    <row r="77">
      <c r="D77" s="6" t="inlineStr">
        <is>
          <t>Cash &amp; Cash Equivalents</t>
        </is>
      </c>
      <c r="F77" s="7">
        <f>LTI_HIST_CON!E49</f>
        <v/>
      </c>
      <c r="G77" s="7">
        <f>LTI_HIST_CON!F49</f>
        <v/>
      </c>
      <c r="H77" s="7">
        <f>LTI_HIST_CON!G49</f>
        <v/>
      </c>
      <c r="I77" s="7">
        <f>LTI_HIST_CON!H49</f>
        <v/>
      </c>
      <c r="J77" s="7">
        <f>LTI_HIST_CON!I49</f>
        <v/>
      </c>
      <c r="K77" s="7">
        <f>LTI_HIST_CON!J49</f>
        <v/>
      </c>
    </row>
    <row r="79">
      <c r="B79" s="17" t="inlineStr">
        <is>
          <t>Cash Days</t>
        </is>
      </c>
      <c r="C79" s="17" t="inlineStr">
        <is>
          <t>=</t>
        </is>
      </c>
      <c r="D79" s="18" t="inlineStr">
        <is>
          <t>365 (days)</t>
        </is>
      </c>
      <c r="E79" s="18" t="inlineStr">
        <is>
          <t>=</t>
        </is>
      </c>
      <c r="F79" s="26" t="n">
        <v>365</v>
      </c>
      <c r="G79" s="26" t="n">
        <v>365</v>
      </c>
      <c r="H79" s="26" t="n">
        <v>365</v>
      </c>
      <c r="I79" s="26" t="n">
        <v>365</v>
      </c>
      <c r="J79" s="26" t="n">
        <v>365</v>
      </c>
      <c r="K79" s="26" t="n">
        <v>365</v>
      </c>
      <c r="L79" s="20" t="inlineStr">
        <is>
          <t>=</t>
        </is>
      </c>
      <c r="M79" s="27">
        <f>IFERROR(IF(F80=0,"",F79/F80),"")</f>
        <v/>
      </c>
      <c r="N79" s="27">
        <f>IFERROR(IF(G80=0,"",G79/G80),"")</f>
        <v/>
      </c>
      <c r="O79" s="27">
        <f>IFERROR(IF(H80=0,"",H79/H80),"")</f>
        <v/>
      </c>
      <c r="P79" s="27">
        <f>IFERROR(IF(I80=0,"",I79/I80),"")</f>
        <v/>
      </c>
      <c r="Q79" s="27">
        <f>IFERROR(IF(J80=0,"",J79/J80),"")</f>
        <v/>
      </c>
      <c r="R79" s="27">
        <f>IFERROR(IF(K80=0,"",K79/K80),"")</f>
        <v/>
      </c>
    </row>
    <row r="80">
      <c r="D80" s="6" t="inlineStr">
        <is>
          <t>Turnover (above)</t>
        </is>
      </c>
      <c r="F80" s="28">
        <f>+M76</f>
        <v/>
      </c>
      <c r="G80" s="28">
        <f>+N76</f>
        <v/>
      </c>
      <c r="H80" s="28">
        <f>+O76</f>
        <v/>
      </c>
      <c r="I80" s="28">
        <f>+P76</f>
        <v/>
      </c>
      <c r="J80" s="28">
        <f>+Q76</f>
        <v/>
      </c>
      <c r="K80" s="28">
        <f>+R76</f>
        <v/>
      </c>
    </row>
    <row r="82">
      <c r="B82" s="17" t="inlineStr">
        <is>
          <t>A/R Turnover</t>
        </is>
      </c>
      <c r="C82" s="17" t="inlineStr">
        <is>
          <t>=</t>
        </is>
      </c>
      <c r="D82" s="18" t="inlineStr">
        <is>
          <t>Revenue</t>
        </is>
      </c>
      <c r="E82" s="18" t="inlineStr">
        <is>
          <t>=</t>
        </is>
      </c>
      <c r="F82" s="22">
        <f>+F20</f>
        <v/>
      </c>
      <c r="G82" s="22">
        <f>+G20</f>
        <v/>
      </c>
      <c r="H82" s="22">
        <f>+H20</f>
        <v/>
      </c>
      <c r="I82" s="22">
        <f>+I20</f>
        <v/>
      </c>
      <c r="J82" s="22">
        <f>+J20</f>
        <v/>
      </c>
      <c r="K82" s="22">
        <f>+K20</f>
        <v/>
      </c>
      <c r="L82" s="20" t="inlineStr">
        <is>
          <t>=</t>
        </is>
      </c>
      <c r="M82" s="25">
        <f>IFERROR(IF(F83=0,"",F82/F83),"")</f>
        <v/>
      </c>
      <c r="N82" s="25">
        <f>IFERROR(IF(G83=0,"",G82/G83),"")</f>
        <v/>
      </c>
      <c r="O82" s="25">
        <f>IFERROR(IF(H83=0,"",H82/H83),"")</f>
        <v/>
      </c>
      <c r="P82" s="25">
        <f>IFERROR(IF(I83=0,"",I82/I83),"")</f>
        <v/>
      </c>
      <c r="Q82" s="25">
        <f>IFERROR(IF(J83=0,"",J82/J83),"")</f>
        <v/>
      </c>
      <c r="R82" s="25">
        <f>IFERROR(IF(K83=0,"",K82/K83),"")</f>
        <v/>
      </c>
    </row>
    <row r="83">
      <c r="D83" s="6" t="inlineStr">
        <is>
          <t>Trade Receivables, Current</t>
        </is>
      </c>
      <c r="F83" s="7">
        <f>LTI_HIST_CON!E44</f>
        <v/>
      </c>
      <c r="G83" s="7">
        <f>LTI_HIST_CON!F44</f>
        <v/>
      </c>
      <c r="H83" s="7">
        <f>LTI_HIST_CON!G44</f>
        <v/>
      </c>
      <c r="I83" s="7">
        <f>LTI_HIST_CON!H44</f>
        <v/>
      </c>
      <c r="J83" s="7">
        <f>LTI_HIST_CON!I44</f>
        <v/>
      </c>
      <c r="K83" s="7">
        <f>LTI_HIST_CON!J44</f>
        <v/>
      </c>
    </row>
    <row r="85">
      <c r="B85" s="17" t="inlineStr">
        <is>
          <t>A/R Days</t>
        </is>
      </c>
      <c r="C85" s="17" t="inlineStr">
        <is>
          <t>=</t>
        </is>
      </c>
      <c r="D85" s="18" t="inlineStr">
        <is>
          <t>365 (days)</t>
        </is>
      </c>
      <c r="E85" s="18" t="inlineStr">
        <is>
          <t>=</t>
        </is>
      </c>
      <c r="F85" s="26" t="n">
        <v>365</v>
      </c>
      <c r="G85" s="26" t="n">
        <v>365</v>
      </c>
      <c r="H85" s="26" t="n">
        <v>365</v>
      </c>
      <c r="I85" s="26" t="n">
        <v>365</v>
      </c>
      <c r="J85" s="26" t="n">
        <v>365</v>
      </c>
      <c r="K85" s="26" t="n">
        <v>365</v>
      </c>
      <c r="L85" s="20" t="inlineStr">
        <is>
          <t>=</t>
        </is>
      </c>
      <c r="M85" s="27">
        <f>IFERROR(IF(F86=0,"",F85/F86),"")</f>
        <v/>
      </c>
      <c r="N85" s="27">
        <f>IFERROR(IF(G86=0,"",G85/G86),"")</f>
        <v/>
      </c>
      <c r="O85" s="27">
        <f>IFERROR(IF(H86=0,"",H85/H86),"")</f>
        <v/>
      </c>
      <c r="P85" s="27">
        <f>IFERROR(IF(I86=0,"",I85/I86),"")</f>
        <v/>
      </c>
      <c r="Q85" s="27">
        <f>IFERROR(IF(J86=0,"",J85/J86),"")</f>
        <v/>
      </c>
      <c r="R85" s="27">
        <f>IFERROR(IF(K86=0,"",K85/K86),"")</f>
        <v/>
      </c>
    </row>
    <row r="86">
      <c r="D86" s="6" t="inlineStr">
        <is>
          <t>Turnover (above)</t>
        </is>
      </c>
      <c r="F86" s="28">
        <f>+M82</f>
        <v/>
      </c>
      <c r="G86" s="28">
        <f>+N82</f>
        <v/>
      </c>
      <c r="H86" s="28">
        <f>+O82</f>
        <v/>
      </c>
      <c r="I86" s="28">
        <f>+P82</f>
        <v/>
      </c>
      <c r="J86" s="28">
        <f>+Q82</f>
        <v/>
      </c>
      <c r="K86" s="28">
        <f>+R82</f>
        <v/>
      </c>
    </row>
    <row r="88">
      <c r="B88" s="17" t="inlineStr">
        <is>
          <t>Inventory Turnover</t>
        </is>
      </c>
      <c r="C88" s="17" t="inlineStr">
        <is>
          <t>=</t>
        </is>
      </c>
      <c r="D88" s="18" t="inlineStr">
        <is>
          <t>COGS (= Revenue − Gross Profit)</t>
        </is>
      </c>
      <c r="E88" s="18" t="inlineStr">
        <is>
          <t>=</t>
        </is>
      </c>
      <c r="F88" s="19">
        <f>LTI_HIST_CON!E7-LTI_HIST_CON!E11</f>
        <v/>
      </c>
      <c r="G88" s="19">
        <f>LTI_HIST_CON!F7-LTI_HIST_CON!F11</f>
        <v/>
      </c>
      <c r="H88" s="19">
        <f>LTI_HIST_CON!G7-LTI_HIST_CON!G11</f>
        <v/>
      </c>
      <c r="I88" s="19">
        <f>LTI_HIST_CON!H7-LTI_HIST_CON!H11</f>
        <v/>
      </c>
      <c r="J88" s="19">
        <f>LTI_HIST_CON!I7-LTI_HIST_CON!I11</f>
        <v/>
      </c>
      <c r="K88" s="19">
        <f>LTI_HIST_CON!J7-LTI_HIST_CON!J11</f>
        <v/>
      </c>
      <c r="L88" s="20" t="inlineStr">
        <is>
          <t>=</t>
        </is>
      </c>
      <c r="M88" s="25">
        <f>IFERROR(IF(F89=0,"",F88/F89),"")</f>
        <v/>
      </c>
      <c r="N88" s="25">
        <f>IFERROR(IF(G89=0,"",G88/G89),"")</f>
        <v/>
      </c>
      <c r="O88" s="25">
        <f>IFERROR(IF(H89=0,"",H88/H89),"")</f>
        <v/>
      </c>
      <c r="P88" s="25">
        <f>IFERROR(IF(I89=0,"",I88/I89),"")</f>
        <v/>
      </c>
      <c r="Q88" s="25">
        <f>IFERROR(IF(J89=0,"",J88/J89),"")</f>
        <v/>
      </c>
      <c r="R88" s="25">
        <f>IFERROR(IF(K89=0,"",K88/K89),"")</f>
        <v/>
      </c>
    </row>
    <row r="89">
      <c r="D89" s="6" t="inlineStr">
        <is>
          <t>Inventory</t>
        </is>
      </c>
      <c r="F89" s="7">
        <f>0</f>
        <v/>
      </c>
      <c r="G89" s="7">
        <f>0</f>
        <v/>
      </c>
      <c r="H89" s="7">
        <f>0</f>
        <v/>
      </c>
      <c r="I89" s="7">
        <f>0</f>
        <v/>
      </c>
      <c r="J89" s="7">
        <f>0</f>
        <v/>
      </c>
      <c r="K89" s="7">
        <f>0</f>
        <v/>
      </c>
    </row>
    <row r="91">
      <c r="B91" s="17" t="inlineStr">
        <is>
          <t>Inventory Days</t>
        </is>
      </c>
      <c r="C91" s="17" t="inlineStr">
        <is>
          <t>=</t>
        </is>
      </c>
      <c r="D91" s="18" t="inlineStr">
        <is>
          <t>365 (days)</t>
        </is>
      </c>
      <c r="E91" s="18" t="inlineStr">
        <is>
          <t>=</t>
        </is>
      </c>
      <c r="F91" s="26" t="n">
        <v>365</v>
      </c>
      <c r="G91" s="26" t="n">
        <v>365</v>
      </c>
      <c r="H91" s="26" t="n">
        <v>365</v>
      </c>
      <c r="I91" s="26" t="n">
        <v>365</v>
      </c>
      <c r="J91" s="26" t="n">
        <v>365</v>
      </c>
      <c r="K91" s="26" t="n">
        <v>365</v>
      </c>
      <c r="L91" s="20" t="inlineStr">
        <is>
          <t>=</t>
        </is>
      </c>
      <c r="M91" s="27">
        <f>IFERROR(IF(F92=0,"",F91/F92),"")</f>
        <v/>
      </c>
      <c r="N91" s="27">
        <f>IFERROR(IF(G92=0,"",G91/G92),"")</f>
        <v/>
      </c>
      <c r="O91" s="27">
        <f>IFERROR(IF(H92=0,"",H91/H92),"")</f>
        <v/>
      </c>
      <c r="P91" s="27">
        <f>IFERROR(IF(I92=0,"",I91/I92),"")</f>
        <v/>
      </c>
      <c r="Q91" s="27">
        <f>IFERROR(IF(J92=0,"",J91/J92),"")</f>
        <v/>
      </c>
      <c r="R91" s="27">
        <f>IFERROR(IF(K92=0,"",K91/K92),"")</f>
        <v/>
      </c>
    </row>
    <row r="92">
      <c r="D92" s="6" t="inlineStr">
        <is>
          <t>Turnover (above)</t>
        </is>
      </c>
      <c r="F92" s="28">
        <f>+M88</f>
        <v/>
      </c>
      <c r="G92" s="28">
        <f>+N88</f>
        <v/>
      </c>
      <c r="H92" s="28">
        <f>+O88</f>
        <v/>
      </c>
      <c r="I92" s="28">
        <f>+P88</f>
        <v/>
      </c>
      <c r="J92" s="28">
        <f>+Q88</f>
        <v/>
      </c>
      <c r="K92" s="28">
        <f>+R88</f>
        <v/>
      </c>
    </row>
    <row r="94">
      <c r="B94" s="17" t="inlineStr">
        <is>
          <t>A/P Turnover</t>
        </is>
      </c>
      <c r="C94" s="17" t="inlineStr">
        <is>
          <t>=</t>
        </is>
      </c>
      <c r="D94" s="18" t="inlineStr">
        <is>
          <t>COGS (= Revenue − Gross Profit)</t>
        </is>
      </c>
      <c r="E94" s="18" t="inlineStr">
        <is>
          <t>=</t>
        </is>
      </c>
      <c r="F94" s="22">
        <f>+F88</f>
        <v/>
      </c>
      <c r="G94" s="22">
        <f>+G88</f>
        <v/>
      </c>
      <c r="H94" s="22">
        <f>+H88</f>
        <v/>
      </c>
      <c r="I94" s="22">
        <f>+I88</f>
        <v/>
      </c>
      <c r="J94" s="22">
        <f>+J88</f>
        <v/>
      </c>
      <c r="K94" s="22">
        <f>+K88</f>
        <v/>
      </c>
      <c r="L94" s="20" t="inlineStr">
        <is>
          <t>=</t>
        </is>
      </c>
      <c r="M94" s="25">
        <f>IFERROR(IF(F95=0,"",F94/F95),"")</f>
        <v/>
      </c>
      <c r="N94" s="25">
        <f>IFERROR(IF(G95=0,"",G94/G95),"")</f>
        <v/>
      </c>
      <c r="O94" s="25">
        <f>IFERROR(IF(H95=0,"",H94/H95),"")</f>
        <v/>
      </c>
      <c r="P94" s="25">
        <f>IFERROR(IF(I95=0,"",I94/I95),"")</f>
        <v/>
      </c>
      <c r="Q94" s="25">
        <f>IFERROR(IF(J95=0,"",J94/J95),"")</f>
        <v/>
      </c>
      <c r="R94" s="25">
        <f>IFERROR(IF(K95=0,"",K94/K95),"")</f>
        <v/>
      </c>
    </row>
    <row r="95">
      <c r="D95" s="6" t="inlineStr">
        <is>
          <t>Trade Payables, Current</t>
        </is>
      </c>
      <c r="F95" s="7">
        <f>LTI_HIST_CON!E79</f>
        <v/>
      </c>
      <c r="G95" s="7">
        <f>LTI_HIST_CON!F79</f>
        <v/>
      </c>
      <c r="H95" s="7">
        <f>LTI_HIST_CON!G79</f>
        <v/>
      </c>
      <c r="I95" s="7">
        <f>LTI_HIST_CON!H79</f>
        <v/>
      </c>
      <c r="J95" s="7">
        <f>LTI_HIST_CON!I79</f>
        <v/>
      </c>
      <c r="K95" s="7">
        <f>LTI_HIST_CON!J79</f>
        <v/>
      </c>
    </row>
    <row r="97">
      <c r="B97" s="17" t="inlineStr">
        <is>
          <t>A/P Days</t>
        </is>
      </c>
      <c r="C97" s="17" t="inlineStr">
        <is>
          <t>=</t>
        </is>
      </c>
      <c r="D97" s="18" t="inlineStr">
        <is>
          <t>365 (days)</t>
        </is>
      </c>
      <c r="E97" s="18" t="inlineStr">
        <is>
          <t>=</t>
        </is>
      </c>
      <c r="F97" s="26" t="n">
        <v>365</v>
      </c>
      <c r="G97" s="26" t="n">
        <v>365</v>
      </c>
      <c r="H97" s="26" t="n">
        <v>365</v>
      </c>
      <c r="I97" s="26" t="n">
        <v>365</v>
      </c>
      <c r="J97" s="26" t="n">
        <v>365</v>
      </c>
      <c r="K97" s="26" t="n">
        <v>365</v>
      </c>
      <c r="L97" s="20" t="inlineStr">
        <is>
          <t>=</t>
        </is>
      </c>
      <c r="M97" s="27">
        <f>IFERROR(IF(F98=0,"",F97/F98),"")</f>
        <v/>
      </c>
      <c r="N97" s="27">
        <f>IFERROR(IF(G98=0,"",G97/G98),"")</f>
        <v/>
      </c>
      <c r="O97" s="27">
        <f>IFERROR(IF(H98=0,"",H97/H98),"")</f>
        <v/>
      </c>
      <c r="P97" s="27">
        <f>IFERROR(IF(I98=0,"",I97/I98),"")</f>
        <v/>
      </c>
      <c r="Q97" s="27">
        <f>IFERROR(IF(J98=0,"",J97/J98),"")</f>
        <v/>
      </c>
      <c r="R97" s="27">
        <f>IFERROR(IF(K98=0,"",K97/K98),"")</f>
        <v/>
      </c>
    </row>
    <row r="98">
      <c r="D98" s="6" t="inlineStr">
        <is>
          <t>Turnover (above)</t>
        </is>
      </c>
      <c r="F98" s="28">
        <f>+M94</f>
        <v/>
      </c>
      <c r="G98" s="28">
        <f>+N94</f>
        <v/>
      </c>
      <c r="H98" s="28">
        <f>+O94</f>
        <v/>
      </c>
      <c r="I98" s="28">
        <f>+P94</f>
        <v/>
      </c>
      <c r="J98" s="28">
        <f>+Q94</f>
        <v/>
      </c>
      <c r="K98" s="28">
        <f>+R94</f>
        <v/>
      </c>
    </row>
    <row r="100">
      <c r="B100" s="20" t="inlineStr">
        <is>
          <t>Cash Conversion Cycle</t>
        </is>
      </c>
      <c r="D100" s="211" t="inlineStr">
        <is>
          <t>(A/R Days + Inventory Days − A/P Days)</t>
        </is>
      </c>
      <c r="L100" s="20" t="inlineStr">
        <is>
          <t>=</t>
        </is>
      </c>
      <c r="M100" s="27">
        <f>N(M85)+N(M91)-N(M97)</f>
        <v/>
      </c>
      <c r="N100" s="27">
        <f>N(N85)+N(N91)-N(N97)</f>
        <v/>
      </c>
      <c r="O100" s="27">
        <f>N(O85)+N(O91)-N(O97)</f>
        <v/>
      </c>
      <c r="P100" s="27">
        <f>N(P85)+N(P91)-N(P97)</f>
        <v/>
      </c>
      <c r="Q100" s="27">
        <f>N(Q85)+N(Q91)-N(Q97)</f>
        <v/>
      </c>
      <c r="R100" s="27">
        <f>N(R85)+N(R91)-N(R97)</f>
        <v/>
      </c>
    </row>
    <row r="102" ht="15.5" customHeight="1" s="203">
      <c r="A102" s="14" t="inlineStr">
        <is>
          <t>#</t>
        </is>
      </c>
      <c r="B102" s="16" t="inlineStr">
        <is>
          <t>Leverage Ratios</t>
        </is>
      </c>
    </row>
    <row r="103">
      <c r="B103" s="17" t="inlineStr">
        <is>
          <t>Total Asset to Equity</t>
        </is>
      </c>
      <c r="C103" s="17" t="inlineStr">
        <is>
          <t>=</t>
        </is>
      </c>
      <c r="D103" s="18" t="inlineStr">
        <is>
          <t>Total Assets</t>
        </is>
      </c>
      <c r="E103" s="18" t="inlineStr">
        <is>
          <t>=</t>
        </is>
      </c>
      <c r="F103" s="22">
        <f>+F11</f>
        <v/>
      </c>
      <c r="G103" s="22">
        <f>+G11</f>
        <v/>
      </c>
      <c r="H103" s="22">
        <f>+H11</f>
        <v/>
      </c>
      <c r="I103" s="22">
        <f>+I11</f>
        <v/>
      </c>
      <c r="J103" s="22">
        <f>+J11</f>
        <v/>
      </c>
      <c r="K103" s="22">
        <f>+K11</f>
        <v/>
      </c>
      <c r="L103" s="20" t="inlineStr">
        <is>
          <t>=</t>
        </is>
      </c>
      <c r="M103" s="25">
        <f>IFERROR(IF(F104=0,"",F103/F104),"")</f>
        <v/>
      </c>
      <c r="N103" s="25">
        <f>IFERROR(IF(G104=0,"",G103/G104),"")</f>
        <v/>
      </c>
      <c r="O103" s="25">
        <f>IFERROR(IF(H104=0,"",H103/H104),"")</f>
        <v/>
      </c>
      <c r="P103" s="25">
        <f>IFERROR(IF(I104=0,"",I103/I104),"")</f>
        <v/>
      </c>
      <c r="Q103" s="25">
        <f>IFERROR(IF(J104=0,"",J103/J104),"")</f>
        <v/>
      </c>
      <c r="R103" s="25">
        <f>IFERROR(IF(K104=0,"",K103/K104),"")</f>
        <v/>
      </c>
    </row>
    <row r="104">
      <c r="D104" s="6" t="inlineStr">
        <is>
          <t>Equity</t>
        </is>
      </c>
      <c r="F104" s="23">
        <f>+F8</f>
        <v/>
      </c>
      <c r="G104" s="23">
        <f>+G8</f>
        <v/>
      </c>
      <c r="H104" s="23">
        <f>+H8</f>
        <v/>
      </c>
      <c r="I104" s="23">
        <f>+I8</f>
        <v/>
      </c>
      <c r="J104" s="23">
        <f>+J8</f>
        <v/>
      </c>
      <c r="K104" s="23">
        <f>+K8</f>
        <v/>
      </c>
    </row>
    <row r="106">
      <c r="B106" s="17" t="inlineStr">
        <is>
          <t>Total Liabilities to Equity</t>
        </is>
      </c>
      <c r="C106" s="17" t="inlineStr">
        <is>
          <t>=</t>
        </is>
      </c>
      <c r="D106" s="18" t="inlineStr">
        <is>
          <t>Total Liabilities (= Total Assets − Equity)</t>
        </is>
      </c>
      <c r="E106" s="18" t="inlineStr">
        <is>
          <t>=</t>
        </is>
      </c>
      <c r="F106" s="19">
        <f>LTI_HIST_CON!E57-LTI_HIST_CON!E64</f>
        <v/>
      </c>
      <c r="G106" s="19">
        <f>LTI_HIST_CON!F57-LTI_HIST_CON!F64</f>
        <v/>
      </c>
      <c r="H106" s="19">
        <f>LTI_HIST_CON!G57-LTI_HIST_CON!G64</f>
        <v/>
      </c>
      <c r="I106" s="19">
        <f>LTI_HIST_CON!H57-LTI_HIST_CON!H64</f>
        <v/>
      </c>
      <c r="J106" s="19">
        <f>LTI_HIST_CON!I57-LTI_HIST_CON!I64</f>
        <v/>
      </c>
      <c r="K106" s="19">
        <f>LTI_HIST_CON!J57-LTI_HIST_CON!J64</f>
        <v/>
      </c>
      <c r="L106" s="20" t="inlineStr">
        <is>
          <t>=</t>
        </is>
      </c>
      <c r="M106" s="25">
        <f>IFERROR(IF(F107=0,"",F106/F107),"")</f>
        <v/>
      </c>
      <c r="N106" s="25">
        <f>IFERROR(IF(G107=0,"",G106/G107),"")</f>
        <v/>
      </c>
      <c r="O106" s="25">
        <f>IFERROR(IF(H107=0,"",H106/H107),"")</f>
        <v/>
      </c>
      <c r="P106" s="25">
        <f>IFERROR(IF(I107=0,"",I106/I107),"")</f>
        <v/>
      </c>
      <c r="Q106" s="25">
        <f>IFERROR(IF(J107=0,"",J106/J107),"")</f>
        <v/>
      </c>
      <c r="R106" s="25">
        <f>IFERROR(IF(K107=0,"",K106/K107),"")</f>
        <v/>
      </c>
    </row>
    <row r="107">
      <c r="D107" s="6" t="inlineStr">
        <is>
          <t>Equity</t>
        </is>
      </c>
      <c r="F107" s="23">
        <f>+F8</f>
        <v/>
      </c>
      <c r="G107" s="23">
        <f>+G8</f>
        <v/>
      </c>
      <c r="H107" s="23">
        <f>+H8</f>
        <v/>
      </c>
      <c r="I107" s="23">
        <f>+I8</f>
        <v/>
      </c>
      <c r="J107" s="23">
        <f>+J8</f>
        <v/>
      </c>
      <c r="K107" s="23">
        <f>+K8</f>
        <v/>
      </c>
    </row>
    <row r="109">
      <c r="B109" s="17" t="inlineStr">
        <is>
          <t>Debt to Equity</t>
        </is>
      </c>
      <c r="C109" s="17" t="inlineStr">
        <is>
          <t>=</t>
        </is>
      </c>
      <c r="D109" s="18" t="inlineStr">
        <is>
          <t>Total Debt (= Borrowings + Lease Liabilities)</t>
        </is>
      </c>
      <c r="E109" s="18" t="inlineStr">
        <is>
          <t>=</t>
        </is>
      </c>
      <c r="F109" s="22">
        <f>+F64</f>
        <v/>
      </c>
      <c r="G109" s="22">
        <f>+G64</f>
        <v/>
      </c>
      <c r="H109" s="22">
        <f>+H64</f>
        <v/>
      </c>
      <c r="I109" s="22">
        <f>+I64</f>
        <v/>
      </c>
      <c r="J109" s="22">
        <f>+J64</f>
        <v/>
      </c>
      <c r="K109" s="22">
        <f>+K64</f>
        <v/>
      </c>
      <c r="L109" s="20" t="inlineStr">
        <is>
          <t>=</t>
        </is>
      </c>
      <c r="M109" s="25">
        <f>IFERROR(IF(F110=0,"",F109/F110),"")</f>
        <v/>
      </c>
      <c r="N109" s="25">
        <f>IFERROR(IF(G110=0,"",G109/G110),"")</f>
        <v/>
      </c>
      <c r="O109" s="25">
        <f>IFERROR(IF(H110=0,"",H109/H110),"")</f>
        <v/>
      </c>
      <c r="P109" s="25">
        <f>IFERROR(IF(I110=0,"",I109/I110),"")</f>
        <v/>
      </c>
      <c r="Q109" s="25">
        <f>IFERROR(IF(J110=0,"",J109/J110),"")</f>
        <v/>
      </c>
      <c r="R109" s="25">
        <f>IFERROR(IF(K110=0,"",K109/K110),"")</f>
        <v/>
      </c>
    </row>
    <row r="110">
      <c r="D110" s="6" t="inlineStr">
        <is>
          <t>Equity</t>
        </is>
      </c>
      <c r="F110" s="23">
        <f>+F8</f>
        <v/>
      </c>
      <c r="G110" s="23">
        <f>+G8</f>
        <v/>
      </c>
      <c r="H110" s="23">
        <f>+H8</f>
        <v/>
      </c>
      <c r="I110" s="23">
        <f>+I8</f>
        <v/>
      </c>
      <c r="J110" s="23">
        <f>+J8</f>
        <v/>
      </c>
      <c r="K110" s="23">
        <f>+K8</f>
        <v/>
      </c>
    </row>
    <row r="112">
      <c r="B112" s="17" t="inlineStr">
        <is>
          <t>Debt to EBITDA</t>
        </is>
      </c>
      <c r="C112" s="17" t="inlineStr">
        <is>
          <t>=</t>
        </is>
      </c>
      <c r="D112" s="18" t="inlineStr">
        <is>
          <t>Total Debt (= Borrowings + Lease Liabilities)</t>
        </is>
      </c>
      <c r="E112" s="18" t="inlineStr">
        <is>
          <t>=</t>
        </is>
      </c>
      <c r="F112" s="22">
        <f>+F64</f>
        <v/>
      </c>
      <c r="G112" s="22">
        <f>+G64</f>
        <v/>
      </c>
      <c r="H112" s="22">
        <f>+H64</f>
        <v/>
      </c>
      <c r="I112" s="22">
        <f>+I64</f>
        <v/>
      </c>
      <c r="J112" s="22">
        <f>+J64</f>
        <v/>
      </c>
      <c r="K112" s="22">
        <f>+K64</f>
        <v/>
      </c>
      <c r="L112" s="20" t="inlineStr">
        <is>
          <t>=</t>
        </is>
      </c>
      <c r="M112" s="25">
        <f>IFERROR(IF(F113=0,"",F112/F113),"")</f>
        <v/>
      </c>
      <c r="N112" s="25">
        <f>IFERROR(IF(G113=0,"",G112/G113),"")</f>
        <v/>
      </c>
      <c r="O112" s="25">
        <f>IFERROR(IF(H113=0,"",H112/H113),"")</f>
        <v/>
      </c>
      <c r="P112" s="25">
        <f>IFERROR(IF(I113=0,"",I112/I113),"")</f>
        <v/>
      </c>
      <c r="Q112" s="25">
        <f>IFERROR(IF(J113=0,"",J112/J113),"")</f>
        <v/>
      </c>
      <c r="R112" s="25">
        <f>IFERROR(IF(K113=0,"",K112/K113),"")</f>
        <v/>
      </c>
    </row>
    <row r="113">
      <c r="D113" s="6" t="inlineStr">
        <is>
          <t>EBITDA</t>
        </is>
      </c>
      <c r="F113" s="23">
        <f>+F28</f>
        <v/>
      </c>
      <c r="G113" s="23">
        <f>+G28</f>
        <v/>
      </c>
      <c r="H113" s="23">
        <f>+H28</f>
        <v/>
      </c>
      <c r="I113" s="23">
        <f>+I28</f>
        <v/>
      </c>
      <c r="J113" s="23">
        <f>+J28</f>
        <v/>
      </c>
      <c r="K113" s="23">
        <f>+K28</f>
        <v/>
      </c>
    </row>
    <row r="115">
      <c r="B115" s="17" t="inlineStr">
        <is>
          <t>Net Debt to EBITDA</t>
        </is>
      </c>
      <c r="C115" s="17" t="inlineStr">
        <is>
          <t>=</t>
        </is>
      </c>
      <c r="D115" s="18" t="inlineStr">
        <is>
          <t>Net Debt (= Total Debt − Cash)</t>
        </is>
      </c>
      <c r="E115" s="18" t="inlineStr">
        <is>
          <t>=</t>
        </is>
      </c>
      <c r="F115" s="19">
        <f>(0+LTI_HIST_CON!E77+0+0)-LTI_HIST_CON!E49</f>
        <v/>
      </c>
      <c r="G115" s="19">
        <f>(0+LTI_HIST_CON!F77+0+0)-LTI_HIST_CON!F49</f>
        <v/>
      </c>
      <c r="H115" s="19">
        <f>(0+LTI_HIST_CON!G77+0+0)-LTI_HIST_CON!G49</f>
        <v/>
      </c>
      <c r="I115" s="19">
        <f>(0+LTI_HIST_CON!H77+0+0)-LTI_HIST_CON!H49</f>
        <v/>
      </c>
      <c r="J115" s="19">
        <f>(0+LTI_HIST_CON!I77+0+0)-LTI_HIST_CON!I49</f>
        <v/>
      </c>
      <c r="K115" s="19">
        <f>(0+LTI_HIST_CON!J77+0+0)-LTI_HIST_CON!J49</f>
        <v/>
      </c>
      <c r="L115" s="20" t="inlineStr">
        <is>
          <t>=</t>
        </is>
      </c>
      <c r="M115" s="25">
        <f>IFERROR(IF(F116=0,"",F115/F116),"")</f>
        <v/>
      </c>
      <c r="N115" s="25">
        <f>IFERROR(IF(G116=0,"",G115/G116),"")</f>
        <v/>
      </c>
      <c r="O115" s="25">
        <f>IFERROR(IF(H116=0,"",H115/H116),"")</f>
        <v/>
      </c>
      <c r="P115" s="25">
        <f>IFERROR(IF(I116=0,"",I115/I116),"")</f>
        <v/>
      </c>
      <c r="Q115" s="25">
        <f>IFERROR(IF(J116=0,"",J115/J116),"")</f>
        <v/>
      </c>
      <c r="R115" s="25">
        <f>IFERROR(IF(K116=0,"",K115/K116),"")</f>
        <v/>
      </c>
    </row>
    <row r="116">
      <c r="D116" s="6" t="inlineStr">
        <is>
          <t>EBITDA</t>
        </is>
      </c>
      <c r="F116" s="23">
        <f>+F28</f>
        <v/>
      </c>
      <c r="G116" s="23">
        <f>+G28</f>
        <v/>
      </c>
      <c r="H116" s="23">
        <f>+H28</f>
        <v/>
      </c>
      <c r="I116" s="23">
        <f>+I28</f>
        <v/>
      </c>
      <c r="J116" s="23">
        <f>+J28</f>
        <v/>
      </c>
      <c r="K116" s="23">
        <f>+K28</f>
        <v/>
      </c>
    </row>
    <row r="118" ht="15.5" customHeight="1" s="203">
      <c r="A118" s="14" t="inlineStr">
        <is>
          <t>#</t>
        </is>
      </c>
      <c r="B118" s="16" t="inlineStr">
        <is>
          <t>Liquidity Ratios</t>
        </is>
      </c>
    </row>
    <row r="119">
      <c r="B119" s="17" t="inlineStr">
        <is>
          <t>Current Ratio</t>
        </is>
      </c>
      <c r="C119" s="17" t="inlineStr">
        <is>
          <t>=</t>
        </is>
      </c>
      <c r="D119" s="18" t="inlineStr">
        <is>
          <t>Total Current Assets</t>
        </is>
      </c>
      <c r="E119" s="18" t="inlineStr">
        <is>
          <t>=</t>
        </is>
      </c>
      <c r="F119" s="19">
        <f>LTI_HIST_CON!E56</f>
        <v/>
      </c>
      <c r="G119" s="19">
        <f>LTI_HIST_CON!F56</f>
        <v/>
      </c>
      <c r="H119" s="19">
        <f>LTI_HIST_CON!G56</f>
        <v/>
      </c>
      <c r="I119" s="19">
        <f>LTI_HIST_CON!H56</f>
        <v/>
      </c>
      <c r="J119" s="19">
        <f>LTI_HIST_CON!I56</f>
        <v/>
      </c>
      <c r="K119" s="19">
        <f>LTI_HIST_CON!J56</f>
        <v/>
      </c>
      <c r="L119" s="20" t="inlineStr">
        <is>
          <t>=</t>
        </is>
      </c>
      <c r="M119" s="25">
        <f>IFERROR(IF(F120=0,"",F119/F120),"")</f>
        <v/>
      </c>
      <c r="N119" s="25">
        <f>IFERROR(IF(G120=0,"",G119/G120),"")</f>
        <v/>
      </c>
      <c r="O119" s="25">
        <f>IFERROR(IF(H120=0,"",H119/H120),"")</f>
        <v/>
      </c>
      <c r="P119" s="25">
        <f>IFERROR(IF(I120=0,"",I119/I120),"")</f>
        <v/>
      </c>
      <c r="Q119" s="25">
        <f>IFERROR(IF(J120=0,"",J119/J120),"")</f>
        <v/>
      </c>
      <c r="R119" s="25">
        <f>IFERROR(IF(K120=0,"",K119/K120),"")</f>
        <v/>
      </c>
    </row>
    <row r="120">
      <c r="D120" s="6" t="inlineStr">
        <is>
          <t>Total Current Liabilities</t>
        </is>
      </c>
      <c r="F120" s="7">
        <f>LTI_HIST_CON!E85</f>
        <v/>
      </c>
      <c r="G120" s="7">
        <f>LTI_HIST_CON!F85</f>
        <v/>
      </c>
      <c r="H120" s="7">
        <f>LTI_HIST_CON!G85</f>
        <v/>
      </c>
      <c r="I120" s="7">
        <f>LTI_HIST_CON!H85</f>
        <v/>
      </c>
      <c r="J120" s="7">
        <f>LTI_HIST_CON!I85</f>
        <v/>
      </c>
      <c r="K120" s="7">
        <f>LTI_HIST_CON!J85</f>
        <v/>
      </c>
    </row>
    <row r="122">
      <c r="B122" s="17" t="inlineStr">
        <is>
          <t>Quick Ratio</t>
        </is>
      </c>
      <c r="C122" s="17" t="inlineStr">
        <is>
          <t>=</t>
        </is>
      </c>
      <c r="D122" s="18" t="inlineStr">
        <is>
          <t>Quick Assets (= Current Assets − Inventory)</t>
        </is>
      </c>
      <c r="E122" s="18" t="inlineStr">
        <is>
          <t>=</t>
        </is>
      </c>
      <c r="F122" s="19">
        <f>LTI_HIST_CON!E56-0</f>
        <v/>
      </c>
      <c r="G122" s="19">
        <f>LTI_HIST_CON!F56-0</f>
        <v/>
      </c>
      <c r="H122" s="19">
        <f>LTI_HIST_CON!G56-0</f>
        <v/>
      </c>
      <c r="I122" s="19">
        <f>LTI_HIST_CON!H56-0</f>
        <v/>
      </c>
      <c r="J122" s="19">
        <f>LTI_HIST_CON!I56-0</f>
        <v/>
      </c>
      <c r="K122" s="19">
        <f>LTI_HIST_CON!J56-0</f>
        <v/>
      </c>
      <c r="L122" s="20" t="inlineStr">
        <is>
          <t>=</t>
        </is>
      </c>
      <c r="M122" s="25">
        <f>IFERROR(IF(F123=0,"",F122/F123),"")</f>
        <v/>
      </c>
      <c r="N122" s="25">
        <f>IFERROR(IF(G123=0,"",G122/G123),"")</f>
        <v/>
      </c>
      <c r="O122" s="25">
        <f>IFERROR(IF(H123=0,"",H122/H123),"")</f>
        <v/>
      </c>
      <c r="P122" s="25">
        <f>IFERROR(IF(I123=0,"",I122/I123),"")</f>
        <v/>
      </c>
      <c r="Q122" s="25">
        <f>IFERROR(IF(J123=0,"",J122/J123),"")</f>
        <v/>
      </c>
      <c r="R122" s="25">
        <f>IFERROR(IF(K123=0,"",K122/K123),"")</f>
        <v/>
      </c>
    </row>
    <row r="123">
      <c r="D123" s="6" t="inlineStr">
        <is>
          <t>Total Current Liabilities</t>
        </is>
      </c>
      <c r="F123" s="23">
        <f>+F120</f>
        <v/>
      </c>
      <c r="G123" s="23">
        <f>+G120</f>
        <v/>
      </c>
      <c r="H123" s="23">
        <f>+H120</f>
        <v/>
      </c>
      <c r="I123" s="23">
        <f>+I120</f>
        <v/>
      </c>
      <c r="J123" s="23">
        <f>+J120</f>
        <v/>
      </c>
      <c r="K123" s="23">
        <f>+K120</f>
        <v/>
      </c>
    </row>
    <row r="125">
      <c r="B125" s="17" t="inlineStr">
        <is>
          <t>Interest Coverage</t>
        </is>
      </c>
      <c r="C125" s="17" t="inlineStr">
        <is>
          <t>=</t>
        </is>
      </c>
      <c r="D125" s="18" t="inlineStr">
        <is>
          <t>EBITDA</t>
        </is>
      </c>
      <c r="E125" s="18" t="inlineStr">
        <is>
          <t>=</t>
        </is>
      </c>
      <c r="F125" s="22">
        <f>+F28</f>
        <v/>
      </c>
      <c r="G125" s="22">
        <f>+G28</f>
        <v/>
      </c>
      <c r="H125" s="22">
        <f>+H28</f>
        <v/>
      </c>
      <c r="I125" s="22">
        <f>+I28</f>
        <v/>
      </c>
      <c r="J125" s="22">
        <f>+J28</f>
        <v/>
      </c>
      <c r="K125" s="22">
        <f>+K28</f>
        <v/>
      </c>
      <c r="L125" s="20" t="inlineStr">
        <is>
          <t>=</t>
        </is>
      </c>
      <c r="M125" s="25">
        <f>IFERROR(IF(F126=0,"",F125/F126),"")</f>
        <v/>
      </c>
      <c r="N125" s="25">
        <f>IFERROR(IF(G126=0,"",G125/G126),"")</f>
        <v/>
      </c>
      <c r="O125" s="25">
        <f>IFERROR(IF(H126=0,"",H125/H126),"")</f>
        <v/>
      </c>
      <c r="P125" s="25">
        <f>IFERROR(IF(I126=0,"",I125/I126),"")</f>
        <v/>
      </c>
      <c r="Q125" s="25">
        <f>IFERROR(IF(J126=0,"",J125/J126),"")</f>
        <v/>
      </c>
      <c r="R125" s="25">
        <f>IFERROR(IF(K126=0,"",K125/K126),"")</f>
        <v/>
      </c>
    </row>
    <row r="126">
      <c r="D126" s="6" t="inlineStr">
        <is>
          <t>Finance Costs (absolute)</t>
        </is>
      </c>
      <c r="F126" s="23">
        <f>+F63</f>
        <v/>
      </c>
      <c r="G126" s="23">
        <f>+G63</f>
        <v/>
      </c>
      <c r="H126" s="23">
        <f>+H63</f>
        <v/>
      </c>
      <c r="I126" s="23">
        <f>+I63</f>
        <v/>
      </c>
      <c r="J126" s="23">
        <f>+J63</f>
        <v/>
      </c>
      <c r="K126" s="23">
        <f>+K63</f>
        <v/>
      </c>
    </row>
    <row r="128" ht="15.5" customHeight="1" s="203">
      <c r="A128" s="14" t="inlineStr">
        <is>
          <t>#</t>
        </is>
      </c>
      <c r="B128" s="16" t="inlineStr">
        <is>
          <t>Growth Trends (Year-over-Year)</t>
        </is>
      </c>
    </row>
    <row r="129">
      <c r="B129" s="20" t="inlineStr">
        <is>
          <t>Revenue Growth %</t>
        </is>
      </c>
      <c r="L129" s="20" t="inlineStr">
        <is>
          <t>=</t>
        </is>
      </c>
      <c r="M129" s="29" t="inlineStr">
        <is>
          <t>n/a</t>
        </is>
      </c>
      <c r="N129" s="21">
        <f>IFERROR(IF(F20=0,"",(G20-F20)/F20),"")</f>
        <v/>
      </c>
      <c r="O129" s="21">
        <f>IFERROR(IF(G20=0,"",(H20-G20)/G20),"")</f>
        <v/>
      </c>
      <c r="P129" s="21">
        <f>IFERROR(IF(H20=0,"",(I20-H20)/H20),"")</f>
        <v/>
      </c>
      <c r="Q129" s="21">
        <f>IFERROR(IF(I20=0,"",(J20-I20)/I20),"")</f>
        <v/>
      </c>
      <c r="R129" s="21">
        <f>IFERROR(IF(J20=0,"",(K20-J20)/J20),"")</f>
        <v/>
      </c>
    </row>
    <row r="131">
      <c r="B131" s="20" t="inlineStr">
        <is>
          <t>EBITDA Growth %</t>
        </is>
      </c>
      <c r="L131" s="20" t="inlineStr">
        <is>
          <t>=</t>
        </is>
      </c>
      <c r="M131" s="29" t="inlineStr">
        <is>
          <t>n/a</t>
        </is>
      </c>
      <c r="N131" s="21">
        <f>IFERROR(IF(F28=0,"",(G28-F28)/F28),"")</f>
        <v/>
      </c>
      <c r="O131" s="21">
        <f>IFERROR(IF(G28=0,"",(H28-G28)/G28),"")</f>
        <v/>
      </c>
      <c r="P131" s="21">
        <f>IFERROR(IF(H28=0,"",(I28-H28)/H28),"")</f>
        <v/>
      </c>
      <c r="Q131" s="21">
        <f>IFERROR(IF(I28=0,"",(J28-I28)/I28),"")</f>
        <v/>
      </c>
      <c r="R131" s="21">
        <f>IFERROR(IF(J28=0,"",(K28-J28)/J28),"")</f>
        <v/>
      </c>
    </row>
    <row r="133">
      <c r="B133" s="20" t="inlineStr">
        <is>
          <t>EBIT Growth %</t>
        </is>
      </c>
      <c r="L133" s="20" t="inlineStr">
        <is>
          <t>=</t>
        </is>
      </c>
      <c r="M133" s="29" t="inlineStr">
        <is>
          <t>n/a</t>
        </is>
      </c>
      <c r="N133" s="21">
        <f>IFERROR(IF(F36=0,"",(G36-F36)/F36),"")</f>
        <v/>
      </c>
      <c r="O133" s="21">
        <f>IFERROR(IF(G36=0,"",(H36-G36)/G36),"")</f>
        <v/>
      </c>
      <c r="P133" s="21">
        <f>IFERROR(IF(H36=0,"",(I36-H36)/H36),"")</f>
        <v/>
      </c>
      <c r="Q133" s="21">
        <f>IFERROR(IF(I36=0,"",(J36-I36)/I36),"")</f>
        <v/>
      </c>
      <c r="R133" s="21">
        <f>IFERROR(IF(J36=0,"",(K36-J36)/J36),"")</f>
        <v/>
      </c>
    </row>
    <row r="135">
      <c r="B135" s="20" t="inlineStr">
        <is>
          <t>Net Income Growth %</t>
        </is>
      </c>
      <c r="L135" s="20" t="inlineStr">
        <is>
          <t>=</t>
        </is>
      </c>
      <c r="M135" s="29" t="inlineStr">
        <is>
          <t>n/a</t>
        </is>
      </c>
      <c r="N135" s="21">
        <f>IFERROR(IF(F7=0,"",(G7-F7)/F7),"")</f>
        <v/>
      </c>
      <c r="O135" s="21">
        <f>IFERROR(IF(G7=0,"",(H7-G7)/G7),"")</f>
        <v/>
      </c>
      <c r="P135" s="21">
        <f>IFERROR(IF(H7=0,"",(I7-H7)/H7),"")</f>
        <v/>
      </c>
      <c r="Q135" s="21">
        <f>IFERROR(IF(I7=0,"",(J7-I7)/I7),"")</f>
        <v/>
      </c>
      <c r="R135" s="21">
        <f>IFERROR(IF(J7=0,"",(K7-J7)/J7),"")</f>
        <v/>
      </c>
    </row>
    <row r="137">
      <c r="B137" s="20" t="inlineStr">
        <is>
          <t>Total Assets Growth %</t>
        </is>
      </c>
      <c r="L137" s="20" t="inlineStr">
        <is>
          <t>=</t>
        </is>
      </c>
      <c r="M137" s="29" t="inlineStr">
        <is>
          <t>n/a</t>
        </is>
      </c>
      <c r="N137" s="21">
        <f>IFERROR(IF(F11=0,"",(G11-F11)/F11),"")</f>
        <v/>
      </c>
      <c r="O137" s="21">
        <f>IFERROR(IF(G11=0,"",(H11-G11)/G11),"")</f>
        <v/>
      </c>
      <c r="P137" s="21">
        <f>IFERROR(IF(H11=0,"",(I11-H11)/H11),"")</f>
        <v/>
      </c>
      <c r="Q137" s="21">
        <f>IFERROR(IF(I11=0,"",(J11-I11)/I11),"")</f>
        <v/>
      </c>
      <c r="R137" s="21">
        <f>IFERROR(IF(J11=0,"",(K11-J11)/J11),"")</f>
        <v/>
      </c>
    </row>
    <row r="139">
      <c r="B139" s="20" t="inlineStr">
        <is>
          <t>Degree of Operating Leverage</t>
        </is>
      </c>
      <c r="L139" s="20" t="inlineStr">
        <is>
          <t>=</t>
        </is>
      </c>
      <c r="M139" s="25">
        <f>IF(OR(NOT(ISNUMBER(M129)),NOT(ISNUMBER(M133)),M129=0),"",M133/M129)</f>
        <v/>
      </c>
      <c r="N139" s="25">
        <f>IF(OR(NOT(ISNUMBER(N129)),NOT(ISNUMBER(N133)),N129=0),"",N133/N129)</f>
        <v/>
      </c>
      <c r="O139" s="25">
        <f>IF(OR(NOT(ISNUMBER(O129)),NOT(ISNUMBER(O133)),O129=0),"",O133/O129)</f>
        <v/>
      </c>
      <c r="P139" s="25">
        <f>IF(OR(NOT(ISNUMBER(P129)),NOT(ISNUMBER(P133)),P129=0),"",P133/P129)</f>
        <v/>
      </c>
      <c r="Q139" s="25">
        <f>IF(OR(NOT(ISNUMBER(Q129)),NOT(ISNUMBER(Q133)),Q129=0),"",Q133/Q129)</f>
        <v/>
      </c>
      <c r="R139" s="25">
        <f>IF(OR(NOT(ISNUMBER(R129)),NOT(ISNUMBER(R133)),R129=0),"",R133/R129)</f>
        <v/>
      </c>
    </row>
    <row r="141">
      <c r="B141" s="20" t="inlineStr">
        <is>
          <t>Degree of Financial Leverage</t>
        </is>
      </c>
      <c r="L141" s="20" t="inlineStr">
        <is>
          <t>=</t>
        </is>
      </c>
      <c r="M141" s="25">
        <f>IF(OR(NOT(ISNUMBER(M133)),NOT(ISNUMBER(M135)),M133=0),"",M135/M133)</f>
        <v/>
      </c>
      <c r="N141" s="25">
        <f>IF(OR(NOT(ISNUMBER(N133)),NOT(ISNUMBER(N135)),N133=0),"",N135/N133)</f>
        <v/>
      </c>
      <c r="O141" s="25">
        <f>IF(OR(NOT(ISNUMBER(O133)),NOT(ISNUMBER(O135)),O133=0),"",O135/O133)</f>
        <v/>
      </c>
      <c r="P141" s="25">
        <f>IF(OR(NOT(ISNUMBER(P133)),NOT(ISNUMBER(P135)),P133=0),"",P135/P133)</f>
        <v/>
      </c>
      <c r="Q141" s="25">
        <f>IF(OR(NOT(ISNUMBER(Q133)),NOT(ISNUMBER(Q135)),Q133=0),"",Q135/Q133)</f>
        <v/>
      </c>
      <c r="R141" s="25">
        <f>IF(OR(NOT(ISNUMBER(R133)),NOT(ISNUMBER(R135)),R133=0),"",R135/R133)</f>
        <v/>
      </c>
    </row>
    <row r="143">
      <c r="B143" s="20" t="inlineStr">
        <is>
          <t>Degree of Total Leverage</t>
        </is>
      </c>
      <c r="L143" s="20" t="inlineStr">
        <is>
          <t>=</t>
        </is>
      </c>
      <c r="M143" s="25">
        <f>IF(OR(NOT(ISNUMBER(M129)),NOT(ISNUMBER(M135)),M129=0),"",M135/M129)</f>
        <v/>
      </c>
      <c r="N143" s="25">
        <f>IF(OR(NOT(ISNUMBER(N129)),NOT(ISNUMBER(N135)),N129=0),"",N135/N129)</f>
        <v/>
      </c>
      <c r="O143" s="25">
        <f>IF(OR(NOT(ISNUMBER(O129)),NOT(ISNUMBER(O135)),O129=0),"",O135/O129)</f>
        <v/>
      </c>
      <c r="P143" s="25">
        <f>IF(OR(NOT(ISNUMBER(P129)),NOT(ISNUMBER(P135)),P129=0),"",P135/P129)</f>
        <v/>
      </c>
      <c r="Q143" s="25">
        <f>IF(OR(NOT(ISNUMBER(Q129)),NOT(ISNUMBER(Q135)),Q129=0),"",Q135/Q129)</f>
        <v/>
      </c>
      <c r="R143" s="25">
        <f>IF(OR(NOT(ISNUMBER(R129)),NOT(ISNUMBER(R135)),R129=0),"",R135/R129)</f>
        <v/>
      </c>
    </row>
  </sheetData>
  <mergeCells count="2">
    <mergeCell ref="A2:R2"/>
    <mergeCell ref="A1:R1"/>
  </mergeCells>
  <pageMargins left="0.75" right="0.75" top="1" bottom="1" header="0.5" footer="0.5"/>
</worksheet>
</file>

<file path=xl/worksheets/sheet17.xml><?xml version="1.0" encoding="utf-8"?>
<worksheet xmlns="http://schemas.openxmlformats.org/spreadsheetml/2006/main">
  <sheetPr>
    <tabColor rgb="001F4E78"/>
    <outlinePr summaryBelow="1" summaryRight="1"/>
    <pageSetUpPr/>
  </sheetPr>
  <dimension ref="A1:AU108"/>
  <sheetViews>
    <sheetView showGridLines="0" workbookViewId="0">
      <selection activeCell="A1" sqref="A1"/>
    </sheetView>
  </sheetViews>
  <sheetFormatPr baseColWidth="8" defaultRowHeight="14.5"/>
  <cols>
    <col width="3" customWidth="1" style="203" min="1" max="1"/>
    <col width="26" customWidth="1" style="203" min="2" max="2"/>
    <col width="13" customWidth="1" style="203" min="3" max="47"/>
  </cols>
  <sheetData>
    <row r="1" ht="24" customHeight="1" s="203">
      <c r="A1" s="257" t="inlineStr">
        <is>
          <t>LTIMindtree  —  DuPont Analysis (Table + 3-Step &amp; 5-Step Pyramids)</t>
        </is>
      </c>
    </row>
    <row r="2">
      <c r="A2" s="258" t="inlineStr">
        <is>
          <t>Showing the most recent 6 years   |   Table: Green = pulled from Derived Sheet, Black = computed, Check row confirms all three tie out   |   Pyramids: Green = pulled from Ratio Analysis sheet, blue shading = magnitude heat-map</t>
        </is>
      </c>
    </row>
    <row r="5">
      <c r="A5" s="30" t="inlineStr">
        <is>
          <t>#</t>
        </is>
      </c>
      <c r="B5" s="31" t="inlineStr">
        <is>
          <t>Inputs (from Derived Sheet)</t>
        </is>
      </c>
      <c r="C5" s="4" t="inlineStr">
        <is>
          <t>FY2017</t>
        </is>
      </c>
      <c r="D5" s="4" t="inlineStr">
        <is>
          <t>FY2018</t>
        </is>
      </c>
      <c r="E5" s="4" t="inlineStr">
        <is>
          <t>FY2019</t>
        </is>
      </c>
      <c r="F5" s="4" t="inlineStr">
        <is>
          <t>FY2020</t>
        </is>
      </c>
      <c r="G5" s="4" t="inlineStr">
        <is>
          <t>FY2021</t>
        </is>
      </c>
      <c r="H5" s="4" t="inlineStr">
        <is>
          <t>FY2022</t>
        </is>
      </c>
    </row>
    <row r="6">
      <c r="B6" s="32" t="inlineStr">
        <is>
          <t>Revenue</t>
        </is>
      </c>
      <c r="C6" s="7">
        <f>LTI_HIST_CON!E7</f>
        <v/>
      </c>
      <c r="D6" s="7">
        <f>LTI_HIST_CON!F7</f>
        <v/>
      </c>
      <c r="E6" s="7">
        <f>LTI_HIST_CON!G7</f>
        <v/>
      </c>
      <c r="F6" s="7">
        <f>LTI_HIST_CON!H7</f>
        <v/>
      </c>
      <c r="G6" s="7">
        <f>LTI_HIST_CON!I7</f>
        <v/>
      </c>
      <c r="H6" s="7">
        <f>LTI_HIST_CON!J7</f>
        <v/>
      </c>
    </row>
    <row r="7">
      <c r="B7" s="32" t="inlineStr">
        <is>
          <t>Net Income</t>
        </is>
      </c>
      <c r="C7" s="7">
        <f>LTI_HIST_CON!E22</f>
        <v/>
      </c>
      <c r="D7" s="7">
        <f>LTI_HIST_CON!F22</f>
        <v/>
      </c>
      <c r="E7" s="7">
        <f>LTI_HIST_CON!G22</f>
        <v/>
      </c>
      <c r="F7" s="7">
        <f>LTI_HIST_CON!H22</f>
        <v/>
      </c>
      <c r="G7" s="7">
        <f>LTI_HIST_CON!I22</f>
        <v/>
      </c>
      <c r="H7" s="7">
        <f>LTI_HIST_CON!J22</f>
        <v/>
      </c>
    </row>
    <row r="8">
      <c r="B8" s="32" t="inlineStr">
        <is>
          <t>EBT (Pre-Tax Income)</t>
        </is>
      </c>
      <c r="C8" s="7">
        <f>LTI_HIST_CON!E18</f>
        <v/>
      </c>
      <c r="D8" s="7">
        <f>LTI_HIST_CON!F18</f>
        <v/>
      </c>
      <c r="E8" s="7">
        <f>LTI_HIST_CON!G18</f>
        <v/>
      </c>
      <c r="F8" s="7">
        <f>LTI_HIST_CON!H18</f>
        <v/>
      </c>
      <c r="G8" s="7">
        <f>LTI_HIST_CON!I18</f>
        <v/>
      </c>
      <c r="H8" s="7">
        <f>LTI_HIST_CON!J18</f>
        <v/>
      </c>
    </row>
    <row r="9">
      <c r="B9" s="32" t="inlineStr">
        <is>
          <t>EBIT</t>
        </is>
      </c>
      <c r="C9" s="7">
        <f>LTI_HIST_CON!E16</f>
        <v/>
      </c>
      <c r="D9" s="7">
        <f>LTI_HIST_CON!F16</f>
        <v/>
      </c>
      <c r="E9" s="7">
        <f>LTI_HIST_CON!G16</f>
        <v/>
      </c>
      <c r="F9" s="7">
        <f>LTI_HIST_CON!H16</f>
        <v/>
      </c>
      <c r="G9" s="7">
        <f>LTI_HIST_CON!I16</f>
        <v/>
      </c>
      <c r="H9" s="7">
        <f>LTI_HIST_CON!J16</f>
        <v/>
      </c>
    </row>
    <row r="10">
      <c r="B10" s="32" t="inlineStr">
        <is>
          <t>Total Assets</t>
        </is>
      </c>
      <c r="C10" s="7">
        <f>LTI_HIST_CON!E57</f>
        <v/>
      </c>
      <c r="D10" s="7">
        <f>LTI_HIST_CON!F57</f>
        <v/>
      </c>
      <c r="E10" s="7">
        <f>LTI_HIST_CON!G57</f>
        <v/>
      </c>
      <c r="F10" s="7">
        <f>LTI_HIST_CON!H57</f>
        <v/>
      </c>
      <c r="G10" s="7">
        <f>LTI_HIST_CON!I57</f>
        <v/>
      </c>
      <c r="H10" s="7">
        <f>LTI_HIST_CON!J57</f>
        <v/>
      </c>
    </row>
    <row r="11">
      <c r="B11" s="32" t="inlineStr">
        <is>
          <t>Total Equity</t>
        </is>
      </c>
      <c r="C11" s="7">
        <f>LTI_HIST_CON!E64</f>
        <v/>
      </c>
      <c r="D11" s="7">
        <f>LTI_HIST_CON!F64</f>
        <v/>
      </c>
      <c r="E11" s="7">
        <f>LTI_HIST_CON!G64</f>
        <v/>
      </c>
      <c r="F11" s="7">
        <f>LTI_HIST_CON!H64</f>
        <v/>
      </c>
      <c r="G11" s="7">
        <f>LTI_HIST_CON!I64</f>
        <v/>
      </c>
      <c r="H11" s="7">
        <f>LTI_HIST_CON!J64</f>
        <v/>
      </c>
    </row>
    <row r="13">
      <c r="A13" s="30" t="inlineStr">
        <is>
          <t>#</t>
        </is>
      </c>
      <c r="B13" s="31" t="inlineStr">
        <is>
          <t>3-Step DuPont (ROE = Net Margin × Asset Turnover × Equity Multiplier)</t>
        </is>
      </c>
    </row>
    <row r="14" ht="29" customHeight="1" s="203">
      <c r="B14" s="33" t="inlineStr">
        <is>
          <t>Net Profit Margin (Net Income / Revenue)</t>
        </is>
      </c>
      <c r="C14" s="21">
        <f>IFERROR(C7/C6,0)</f>
        <v/>
      </c>
      <c r="D14" s="21">
        <f>IFERROR(D7/D6,0)</f>
        <v/>
      </c>
      <c r="E14" s="21">
        <f>IFERROR(E7/E6,0)</f>
        <v/>
      </c>
      <c r="F14" s="21">
        <f>IFERROR(F7/F6,0)</f>
        <v/>
      </c>
      <c r="G14" s="21">
        <f>IFERROR(G7/G6,0)</f>
        <v/>
      </c>
      <c r="H14" s="21">
        <f>IFERROR(H7/H6,0)</f>
        <v/>
      </c>
    </row>
    <row r="15" ht="29" customHeight="1" s="203">
      <c r="B15" s="33" t="inlineStr">
        <is>
          <t>Asset Turnover (Revenue / Total Assets)</t>
        </is>
      </c>
      <c r="C15" s="25">
        <f>IFERROR(C6/C10,0)</f>
        <v/>
      </c>
      <c r="D15" s="25">
        <f>IFERROR(D6/D10,0)</f>
        <v/>
      </c>
      <c r="E15" s="25">
        <f>IFERROR(E6/E10,0)</f>
        <v/>
      </c>
      <c r="F15" s="25">
        <f>IFERROR(F6/F10,0)</f>
        <v/>
      </c>
      <c r="G15" s="25">
        <f>IFERROR(G6/G10,0)</f>
        <v/>
      </c>
      <c r="H15" s="25">
        <f>IFERROR(H6/H10,0)</f>
        <v/>
      </c>
    </row>
    <row r="16" ht="29" customHeight="1" s="203">
      <c r="B16" s="33" t="inlineStr">
        <is>
          <t>Equity Multiplier (Total Assets / Total Equity)</t>
        </is>
      </c>
      <c r="C16" s="25">
        <f>IFERROR(C10/C11,0)</f>
        <v/>
      </c>
      <c r="D16" s="25">
        <f>IFERROR(D10/D11,0)</f>
        <v/>
      </c>
      <c r="E16" s="25">
        <f>IFERROR(E10/E11,0)</f>
        <v/>
      </c>
      <c r="F16" s="25">
        <f>IFERROR(F10/F11,0)</f>
        <v/>
      </c>
      <c r="G16" s="25">
        <f>IFERROR(G10/G11,0)</f>
        <v/>
      </c>
      <c r="H16" s="25">
        <f>IFERROR(H10/H11,0)</f>
        <v/>
      </c>
    </row>
    <row r="17">
      <c r="B17" s="34" t="inlineStr">
        <is>
          <t>ROE — 3-Step DuPont</t>
        </is>
      </c>
      <c r="C17" s="35">
        <f>IFERROR(C14*C15*C16,0)</f>
        <v/>
      </c>
      <c r="D17" s="35">
        <f>IFERROR(D14*D15*D16,0)</f>
        <v/>
      </c>
      <c r="E17" s="35">
        <f>IFERROR(E14*E15*E16,0)</f>
        <v/>
      </c>
      <c r="F17" s="35">
        <f>IFERROR(F14*F15*F16,0)</f>
        <v/>
      </c>
      <c r="G17" s="35">
        <f>IFERROR(G14*G15*G16,0)</f>
        <v/>
      </c>
      <c r="H17" s="35">
        <f>IFERROR(H14*H15*H16,0)</f>
        <v/>
      </c>
    </row>
    <row r="19">
      <c r="A19" s="30" t="inlineStr">
        <is>
          <t>#</t>
        </is>
      </c>
      <c r="B19" s="31" t="inlineStr">
        <is>
          <t>5-Step DuPont (ROE = Tax Burden × Interest Burden × Operating Margin × Asset Turnover × Equity Multiplier)</t>
        </is>
      </c>
    </row>
    <row r="20" ht="29" customHeight="1" s="203">
      <c r="B20" s="33" t="inlineStr">
        <is>
          <t>Tax Burden (Net Income / EBT)</t>
        </is>
      </c>
      <c r="C20" s="21">
        <f>IFERROR(C7/C8,0)</f>
        <v/>
      </c>
      <c r="D20" s="21">
        <f>IFERROR(D7/D8,0)</f>
        <v/>
      </c>
      <c r="E20" s="21">
        <f>IFERROR(E7/E8,0)</f>
        <v/>
      </c>
      <c r="F20" s="21">
        <f>IFERROR(F7/F8,0)</f>
        <v/>
      </c>
      <c r="G20" s="21">
        <f>IFERROR(G7/G8,0)</f>
        <v/>
      </c>
      <c r="H20" s="21">
        <f>IFERROR(H7/H8,0)</f>
        <v/>
      </c>
    </row>
    <row r="21">
      <c r="B21" s="33" t="inlineStr">
        <is>
          <t>Interest Burden (EBT / EBIT)</t>
        </is>
      </c>
      <c r="C21" s="21">
        <f>IFERROR(C8/C9,0)</f>
        <v/>
      </c>
      <c r="D21" s="21">
        <f>IFERROR(D8/D9,0)</f>
        <v/>
      </c>
      <c r="E21" s="21">
        <f>IFERROR(E8/E9,0)</f>
        <v/>
      </c>
      <c r="F21" s="21">
        <f>IFERROR(F8/F9,0)</f>
        <v/>
      </c>
      <c r="G21" s="21">
        <f>IFERROR(G8/G9,0)</f>
        <v/>
      </c>
      <c r="H21" s="21">
        <f>IFERROR(H8/H9,0)</f>
        <v/>
      </c>
    </row>
    <row r="22" ht="29" customHeight="1" s="203">
      <c r="B22" s="33" t="inlineStr">
        <is>
          <t>Operating Margin (EBIT / Revenue)</t>
        </is>
      </c>
      <c r="C22" s="21">
        <f>IFERROR(C9/C6,0)</f>
        <v/>
      </c>
      <c r="D22" s="21">
        <f>IFERROR(D9/D6,0)</f>
        <v/>
      </c>
      <c r="E22" s="21">
        <f>IFERROR(E9/E6,0)</f>
        <v/>
      </c>
      <c r="F22" s="21">
        <f>IFERROR(F9/F6,0)</f>
        <v/>
      </c>
      <c r="G22" s="21">
        <f>IFERROR(G9/G6,0)</f>
        <v/>
      </c>
      <c r="H22" s="21">
        <f>IFERROR(H9/H6,0)</f>
        <v/>
      </c>
    </row>
    <row r="23" ht="29" customHeight="1" s="203">
      <c r="B23" s="33" t="inlineStr">
        <is>
          <t>Asset Turnover (Revenue / Total Assets)</t>
        </is>
      </c>
      <c r="C23" s="25">
        <f>IFERROR(C6/C10,0)</f>
        <v/>
      </c>
      <c r="D23" s="25">
        <f>IFERROR(D6/D10,0)</f>
        <v/>
      </c>
      <c r="E23" s="25">
        <f>IFERROR(E6/E10,0)</f>
        <v/>
      </c>
      <c r="F23" s="25">
        <f>IFERROR(F6/F10,0)</f>
        <v/>
      </c>
      <c r="G23" s="25">
        <f>IFERROR(G6/G10,0)</f>
        <v/>
      </c>
      <c r="H23" s="25">
        <f>IFERROR(H6/H10,0)</f>
        <v/>
      </c>
    </row>
    <row r="24" ht="29" customHeight="1" s="203">
      <c r="B24" s="33" t="inlineStr">
        <is>
          <t>Equity Multiplier (Total Assets / Total Equity)</t>
        </is>
      </c>
      <c r="C24" s="25">
        <f>IFERROR(C10/C11,0)</f>
        <v/>
      </c>
      <c r="D24" s="25">
        <f>IFERROR(D10/D11,0)</f>
        <v/>
      </c>
      <c r="E24" s="25">
        <f>IFERROR(E10/E11,0)</f>
        <v/>
      </c>
      <c r="F24" s="25">
        <f>IFERROR(F10/F11,0)</f>
        <v/>
      </c>
      <c r="G24" s="25">
        <f>IFERROR(G10/G11,0)</f>
        <v/>
      </c>
      <c r="H24" s="25">
        <f>IFERROR(H10/H11,0)</f>
        <v/>
      </c>
    </row>
    <row r="25">
      <c r="B25" s="34" t="inlineStr">
        <is>
          <t>ROE — 5-Step DuPont</t>
        </is>
      </c>
      <c r="C25" s="35">
        <f>IFERROR(C20*C21*C22*C23*C24,0)</f>
        <v/>
      </c>
      <c r="D25" s="35">
        <f>IFERROR(D20*D21*D22*D23*D24,0)</f>
        <v/>
      </c>
      <c r="E25" s="35">
        <f>IFERROR(E20*E21*E22*E23*E24,0)</f>
        <v/>
      </c>
      <c r="F25" s="35">
        <f>IFERROR(F20*F21*F22*F23*F24,0)</f>
        <v/>
      </c>
      <c r="G25" s="35">
        <f>IFERROR(G20*G21*G22*G23*G24,0)</f>
        <v/>
      </c>
      <c r="H25" s="35">
        <f>IFERROR(H20*H21*H22*H23*H24,0)</f>
        <v/>
      </c>
    </row>
    <row r="27">
      <c r="A27" s="30" t="inlineStr">
        <is>
          <t>#</t>
        </is>
      </c>
      <c r="B27" s="31" t="inlineStr">
        <is>
          <t>Reconciliation Check</t>
        </is>
      </c>
    </row>
    <row r="28" ht="29" customHeight="1" s="203">
      <c r="B28" s="33" t="inlineStr">
        <is>
          <t>Direct ROE (Net Income / Total Equity)</t>
        </is>
      </c>
      <c r="C28" s="21">
        <f>IFERROR(C7/C11,0)</f>
        <v/>
      </c>
      <c r="D28" s="21">
        <f>IFERROR(D7/D11,0)</f>
        <v/>
      </c>
      <c r="E28" s="21">
        <f>IFERROR(E7/E11,0)</f>
        <v/>
      </c>
      <c r="F28" s="21">
        <f>IFERROR(F7/F11,0)</f>
        <v/>
      </c>
      <c r="G28" s="21">
        <f>IFERROR(G7/G11,0)</f>
        <v/>
      </c>
      <c r="H28" s="21">
        <f>IFERROR(H7/H11,0)</f>
        <v/>
      </c>
    </row>
    <row r="29">
      <c r="B29" s="12" t="inlineStr">
        <is>
          <t>CHECK: Direct − 3-Step − 5-Step ROE (should all tie to ~0)</t>
        </is>
      </c>
      <c r="C29" s="36">
        <f>ROUND(C28-C17,6)+ROUND(C28-C25,6)</f>
        <v/>
      </c>
      <c r="D29" s="36">
        <f>ROUND(D28-D17,6)+ROUND(D28-D25,6)</f>
        <v/>
      </c>
      <c r="E29" s="36">
        <f>ROUND(E28-E17,6)+ROUND(E28-E25,6)</f>
        <v/>
      </c>
      <c r="F29" s="36">
        <f>ROUND(F28-F17,6)+ROUND(F28-F25,6)</f>
        <v/>
      </c>
      <c r="G29" s="36">
        <f>ROUND(G28-G17,6)+ROUND(G28-G25,6)</f>
        <v/>
      </c>
      <c r="H29" s="36">
        <f>ROUND(H28-H17,6)+ROUND(H28-H25,6)</f>
        <v/>
      </c>
    </row>
    <row r="31" ht="17" customHeight="1" s="203">
      <c r="B31" s="37" t="inlineStr">
        <is>
          <t>3-Step DuPont Pyramid</t>
        </is>
      </c>
    </row>
    <row r="33" ht="15.5" customHeight="1" s="203">
      <c r="N33" s="212" t="inlineStr">
        <is>
          <t>Return on Equity</t>
        </is>
      </c>
      <c r="O33" s="213" t="n"/>
      <c r="P33" s="213" t="n"/>
      <c r="Q33" s="213" t="n"/>
      <c r="R33" s="213" t="n"/>
      <c r="S33" s="214" t="n"/>
      <c r="AH33" s="38" t="inlineStr">
        <is>
          <t>Working Capital Analysis</t>
        </is>
      </c>
    </row>
    <row r="34">
      <c r="N34" s="39" t="inlineStr">
        <is>
          <t>FY2017</t>
        </is>
      </c>
      <c r="O34" s="40" t="inlineStr">
        <is>
          <t>FY2018</t>
        </is>
      </c>
      <c r="P34" s="40" t="inlineStr">
        <is>
          <t>FY2019</t>
        </is>
      </c>
      <c r="Q34" s="40" t="inlineStr">
        <is>
          <t>FY2020</t>
        </is>
      </c>
      <c r="R34" s="40" t="inlineStr">
        <is>
          <t>FY2021</t>
        </is>
      </c>
      <c r="S34" s="41" t="inlineStr">
        <is>
          <t>FY2022</t>
        </is>
      </c>
    </row>
    <row r="35">
      <c r="N35" s="42">
        <f>LTI_RATIO_ANALYSIS!M7</f>
        <v/>
      </c>
      <c r="O35" s="43">
        <f>LTI_RATIO_ANALYSIS!N7</f>
        <v/>
      </c>
      <c r="P35" s="43">
        <f>LTI_RATIO_ANALYSIS!O7</f>
        <v/>
      </c>
      <c r="Q35" s="43">
        <f>LTI_RATIO_ANALYSIS!P7</f>
        <v/>
      </c>
      <c r="R35" s="43">
        <f>LTI_RATIO_ANALYSIS!Q7</f>
        <v/>
      </c>
      <c r="S35" s="44">
        <f>LTI_RATIO_ANALYSIS!R7</f>
        <v/>
      </c>
      <c r="AH35" s="212" t="inlineStr">
        <is>
          <t>Cash Days</t>
        </is>
      </c>
      <c r="AI35" s="213" t="n"/>
      <c r="AJ35" s="213" t="n"/>
      <c r="AK35" s="213" t="n"/>
      <c r="AL35" s="213" t="n"/>
      <c r="AM35" s="214" t="n"/>
    </row>
    <row r="36">
      <c r="AH36" s="39" t="inlineStr">
        <is>
          <t>FY2017</t>
        </is>
      </c>
      <c r="AI36" s="40" t="inlineStr">
        <is>
          <t>FY2018</t>
        </is>
      </c>
      <c r="AJ36" s="40" t="inlineStr">
        <is>
          <t>FY2019</t>
        </is>
      </c>
      <c r="AK36" s="40" t="inlineStr">
        <is>
          <t>FY2020</t>
        </is>
      </c>
      <c r="AL36" s="40" t="inlineStr">
        <is>
          <t>FY2021</t>
        </is>
      </c>
      <c r="AM36" s="41" t="inlineStr">
        <is>
          <t>FY2022</t>
        </is>
      </c>
    </row>
    <row r="37">
      <c r="AH37" s="45">
        <f>LTI_RATIO_ANALYSIS!M79</f>
        <v/>
      </c>
      <c r="AI37" s="46">
        <f>LTI_RATIO_ANALYSIS!N79</f>
        <v/>
      </c>
      <c r="AJ37" s="46">
        <f>LTI_RATIO_ANALYSIS!O79</f>
        <v/>
      </c>
      <c r="AK37" s="46">
        <f>LTI_RATIO_ANALYSIS!P79</f>
        <v/>
      </c>
      <c r="AL37" s="46">
        <f>LTI_RATIO_ANALYSIS!Q79</f>
        <v/>
      </c>
      <c r="AM37" s="47">
        <f>LTI_RATIO_ANALYSIS!R79</f>
        <v/>
      </c>
    </row>
    <row r="38">
      <c r="B38" s="212" t="inlineStr">
        <is>
          <t>Net Profit Margin</t>
        </is>
      </c>
      <c r="C38" s="213" t="n"/>
      <c r="D38" s="213" t="n"/>
      <c r="E38" s="213" t="n"/>
      <c r="F38" s="213" t="n"/>
      <c r="G38" s="214" t="n"/>
      <c r="J38" s="212" t="inlineStr">
        <is>
          <t>Tax % of Revenue</t>
        </is>
      </c>
      <c r="K38" s="213" t="n"/>
      <c r="L38" s="213" t="n"/>
      <c r="M38" s="213" t="n"/>
      <c r="N38" s="213" t="n"/>
      <c r="O38" s="214" t="n"/>
      <c r="R38" s="212" t="inlineStr">
        <is>
          <t>Total Asset to Equity</t>
        </is>
      </c>
      <c r="S38" s="213" t="n"/>
      <c r="T38" s="213" t="n"/>
      <c r="U38" s="213" t="n"/>
      <c r="V38" s="213" t="n"/>
      <c r="W38" s="214" t="n"/>
      <c r="Z38" s="212" t="inlineStr">
        <is>
          <t>Asset Turnover</t>
        </is>
      </c>
      <c r="AA38" s="213" t="n"/>
      <c r="AB38" s="213" t="n"/>
      <c r="AC38" s="213" t="n"/>
      <c r="AD38" s="213" t="n"/>
      <c r="AE38" s="214" t="n"/>
    </row>
    <row r="39">
      <c r="B39" s="39" t="inlineStr">
        <is>
          <t>FY2017</t>
        </is>
      </c>
      <c r="C39" s="40" t="inlineStr">
        <is>
          <t>FY2018</t>
        </is>
      </c>
      <c r="D39" s="40" t="inlineStr">
        <is>
          <t>FY2019</t>
        </is>
      </c>
      <c r="E39" s="40" t="inlineStr">
        <is>
          <t>FY2020</t>
        </is>
      </c>
      <c r="F39" s="40" t="inlineStr">
        <is>
          <t>FY2021</t>
        </is>
      </c>
      <c r="G39" s="41" t="inlineStr">
        <is>
          <t>FY2022</t>
        </is>
      </c>
      <c r="J39" s="39" t="inlineStr">
        <is>
          <t>FY2017</t>
        </is>
      </c>
      <c r="K39" s="40" t="inlineStr">
        <is>
          <t>FY2018</t>
        </is>
      </c>
      <c r="L39" s="40" t="inlineStr">
        <is>
          <t>FY2019</t>
        </is>
      </c>
      <c r="M39" s="40" t="inlineStr">
        <is>
          <t>FY2020</t>
        </is>
      </c>
      <c r="N39" s="40" t="inlineStr">
        <is>
          <t>FY2021</t>
        </is>
      </c>
      <c r="O39" s="41" t="inlineStr">
        <is>
          <t>FY2022</t>
        </is>
      </c>
      <c r="R39" s="39" t="inlineStr">
        <is>
          <t>FY2017</t>
        </is>
      </c>
      <c r="S39" s="40" t="inlineStr">
        <is>
          <t>FY2018</t>
        </is>
      </c>
      <c r="T39" s="40" t="inlineStr">
        <is>
          <t>FY2019</t>
        </is>
      </c>
      <c r="U39" s="40" t="inlineStr">
        <is>
          <t>FY2020</t>
        </is>
      </c>
      <c r="V39" s="40" t="inlineStr">
        <is>
          <t>FY2021</t>
        </is>
      </c>
      <c r="W39" s="41" t="inlineStr">
        <is>
          <t>FY2022</t>
        </is>
      </c>
      <c r="Z39" s="39" t="inlineStr">
        <is>
          <t>FY2017</t>
        </is>
      </c>
      <c r="AA39" s="40" t="inlineStr">
        <is>
          <t>FY2018</t>
        </is>
      </c>
      <c r="AB39" s="40" t="inlineStr">
        <is>
          <t>FY2019</t>
        </is>
      </c>
      <c r="AC39" s="40" t="inlineStr">
        <is>
          <t>FY2020</t>
        </is>
      </c>
      <c r="AD39" s="40" t="inlineStr">
        <is>
          <t>FY2021</t>
        </is>
      </c>
      <c r="AE39" s="41" t="inlineStr">
        <is>
          <t>FY2022</t>
        </is>
      </c>
      <c r="AH39" s="212" t="inlineStr">
        <is>
          <t>A/R Days</t>
        </is>
      </c>
      <c r="AI39" s="213" t="n"/>
      <c r="AJ39" s="213" t="n"/>
      <c r="AK39" s="213" t="n"/>
      <c r="AL39" s="213" t="n"/>
      <c r="AM39" s="214" t="n"/>
    </row>
    <row r="40">
      <c r="B40" s="42">
        <f>LTI_RATIO_ANALYSIS!M52</f>
        <v/>
      </c>
      <c r="C40" s="43">
        <f>LTI_RATIO_ANALYSIS!N52</f>
        <v/>
      </c>
      <c r="D40" s="43">
        <f>LTI_RATIO_ANALYSIS!O52</f>
        <v/>
      </c>
      <c r="E40" s="43">
        <f>LTI_RATIO_ANALYSIS!P52</f>
        <v/>
      </c>
      <c r="F40" s="43">
        <f>LTI_RATIO_ANALYSIS!Q52</f>
        <v/>
      </c>
      <c r="G40" s="44">
        <f>LTI_RATIO_ANALYSIS!R52</f>
        <v/>
      </c>
      <c r="J40" s="42">
        <f>LTI_RATIO_ANALYSIS!M49</f>
        <v/>
      </c>
      <c r="K40" s="43">
        <f>LTI_RATIO_ANALYSIS!N49</f>
        <v/>
      </c>
      <c r="L40" s="43">
        <f>LTI_RATIO_ANALYSIS!O49</f>
        <v/>
      </c>
      <c r="M40" s="43">
        <f>LTI_RATIO_ANALYSIS!P49</f>
        <v/>
      </c>
      <c r="N40" s="43">
        <f>LTI_RATIO_ANALYSIS!Q49</f>
        <v/>
      </c>
      <c r="O40" s="44">
        <f>LTI_RATIO_ANALYSIS!R49</f>
        <v/>
      </c>
      <c r="R40" s="48">
        <f>LTI_RATIO_ANALYSIS!M103</f>
        <v/>
      </c>
      <c r="S40" s="49">
        <f>LTI_RATIO_ANALYSIS!N103</f>
        <v/>
      </c>
      <c r="T40" s="49">
        <f>LTI_RATIO_ANALYSIS!O103</f>
        <v/>
      </c>
      <c r="U40" s="49">
        <f>LTI_RATIO_ANALYSIS!P103</f>
        <v/>
      </c>
      <c r="V40" s="49">
        <f>LTI_RATIO_ANALYSIS!Q103</f>
        <v/>
      </c>
      <c r="W40" s="50">
        <f>LTI_RATIO_ANALYSIS!R103</f>
        <v/>
      </c>
      <c r="Z40" s="48">
        <f>LTI_RATIO_ANALYSIS!M70</f>
        <v/>
      </c>
      <c r="AA40" s="49">
        <f>LTI_RATIO_ANALYSIS!N70</f>
        <v/>
      </c>
      <c r="AB40" s="49">
        <f>LTI_RATIO_ANALYSIS!O70</f>
        <v/>
      </c>
      <c r="AC40" s="49">
        <f>LTI_RATIO_ANALYSIS!P70</f>
        <v/>
      </c>
      <c r="AD40" s="49">
        <f>LTI_RATIO_ANALYSIS!Q70</f>
        <v/>
      </c>
      <c r="AE40" s="50">
        <f>LTI_RATIO_ANALYSIS!R70</f>
        <v/>
      </c>
      <c r="AH40" s="39" t="inlineStr">
        <is>
          <t>FY2017</t>
        </is>
      </c>
      <c r="AI40" s="40" t="inlineStr">
        <is>
          <t>FY2018</t>
        </is>
      </c>
      <c r="AJ40" s="40" t="inlineStr">
        <is>
          <t>FY2019</t>
        </is>
      </c>
      <c r="AK40" s="40" t="inlineStr">
        <is>
          <t>FY2020</t>
        </is>
      </c>
      <c r="AL40" s="40" t="inlineStr">
        <is>
          <t>FY2021</t>
        </is>
      </c>
      <c r="AM40" s="41" t="inlineStr">
        <is>
          <t>FY2022</t>
        </is>
      </c>
    </row>
    <row r="41">
      <c r="AH41" s="45">
        <f>LTI_RATIO_ANALYSIS!M85</f>
        <v/>
      </c>
      <c r="AI41" s="46">
        <f>LTI_RATIO_ANALYSIS!N85</f>
        <v/>
      </c>
      <c r="AJ41" s="46">
        <f>LTI_RATIO_ANALYSIS!O85</f>
        <v/>
      </c>
      <c r="AK41" s="46">
        <f>LTI_RATIO_ANALYSIS!P85</f>
        <v/>
      </c>
      <c r="AL41" s="46">
        <f>LTI_RATIO_ANALYSIS!Q85</f>
        <v/>
      </c>
      <c r="AM41" s="47">
        <f>LTI_RATIO_ANALYSIS!R85</f>
        <v/>
      </c>
    </row>
    <row r="42">
      <c r="B42" s="212" t="inlineStr">
        <is>
          <t>EBT Margin</t>
        </is>
      </c>
      <c r="C42" s="213" t="n"/>
      <c r="D42" s="213" t="n"/>
      <c r="E42" s="213" t="n"/>
      <c r="F42" s="213" t="n"/>
      <c r="G42" s="214" t="n"/>
      <c r="J42" s="212" t="inlineStr">
        <is>
          <t>Other Non-Op. Expense %</t>
        </is>
      </c>
      <c r="K42" s="213" t="n"/>
      <c r="L42" s="213" t="n"/>
      <c r="M42" s="213" t="n"/>
      <c r="N42" s="213" t="n"/>
      <c r="O42" s="214" t="n"/>
      <c r="Z42" s="212" t="inlineStr">
        <is>
          <t>PPE Turnover</t>
        </is>
      </c>
      <c r="AA42" s="213" t="n"/>
      <c r="AB42" s="213" t="n"/>
      <c r="AC42" s="213" t="n"/>
      <c r="AD42" s="213" t="n"/>
      <c r="AE42" s="214" t="n"/>
    </row>
    <row r="43">
      <c r="B43" s="39" t="inlineStr">
        <is>
          <t>FY2017</t>
        </is>
      </c>
      <c r="C43" s="40" t="inlineStr">
        <is>
          <t>FY2018</t>
        </is>
      </c>
      <c r="D43" s="40" t="inlineStr">
        <is>
          <t>FY2019</t>
        </is>
      </c>
      <c r="E43" s="40" t="inlineStr">
        <is>
          <t>FY2020</t>
        </is>
      </c>
      <c r="F43" s="40" t="inlineStr">
        <is>
          <t>FY2021</t>
        </is>
      </c>
      <c r="G43" s="41" t="inlineStr">
        <is>
          <t>FY2022</t>
        </is>
      </c>
      <c r="J43" s="39" t="inlineStr">
        <is>
          <t>FY2017</t>
        </is>
      </c>
      <c r="K43" s="40" t="inlineStr">
        <is>
          <t>FY2018</t>
        </is>
      </c>
      <c r="L43" s="40" t="inlineStr">
        <is>
          <t>FY2019</t>
        </is>
      </c>
      <c r="M43" s="40" t="inlineStr">
        <is>
          <t>FY2020</t>
        </is>
      </c>
      <c r="N43" s="40" t="inlineStr">
        <is>
          <t>FY2021</t>
        </is>
      </c>
      <c r="O43" s="41" t="inlineStr">
        <is>
          <t>FY2022</t>
        </is>
      </c>
      <c r="Z43" s="39" t="inlineStr">
        <is>
          <t>FY2017</t>
        </is>
      </c>
      <c r="AA43" s="40" t="inlineStr">
        <is>
          <t>FY2018</t>
        </is>
      </c>
      <c r="AB43" s="40" t="inlineStr">
        <is>
          <t>FY2019</t>
        </is>
      </c>
      <c r="AC43" s="40" t="inlineStr">
        <is>
          <t>FY2020</t>
        </is>
      </c>
      <c r="AD43" s="40" t="inlineStr">
        <is>
          <t>FY2021</t>
        </is>
      </c>
      <c r="AE43" s="41" t="inlineStr">
        <is>
          <t>FY2022</t>
        </is>
      </c>
      <c r="AH43" s="212" t="inlineStr">
        <is>
          <t>Inventory Days</t>
        </is>
      </c>
      <c r="AI43" s="213" t="n"/>
      <c r="AJ43" s="213" t="n"/>
      <c r="AK43" s="213" t="n"/>
      <c r="AL43" s="213" t="n"/>
      <c r="AM43" s="214" t="n"/>
    </row>
    <row r="44">
      <c r="B44" s="42">
        <f>LTI_RATIO_ANALYSIS!M44</f>
        <v/>
      </c>
      <c r="C44" s="43">
        <f>LTI_RATIO_ANALYSIS!N44</f>
        <v/>
      </c>
      <c r="D44" s="43">
        <f>LTI_RATIO_ANALYSIS!O44</f>
        <v/>
      </c>
      <c r="E44" s="43">
        <f>LTI_RATIO_ANALYSIS!P44</f>
        <v/>
      </c>
      <c r="F44" s="43">
        <f>LTI_RATIO_ANALYSIS!Q44</f>
        <v/>
      </c>
      <c r="G44" s="44">
        <f>LTI_RATIO_ANALYSIS!R44</f>
        <v/>
      </c>
      <c r="J44" s="42">
        <f>LTI_RATIO_ANALYSIS!M41</f>
        <v/>
      </c>
      <c r="K44" s="43">
        <f>LTI_RATIO_ANALYSIS!N41</f>
        <v/>
      </c>
      <c r="L44" s="43">
        <f>LTI_RATIO_ANALYSIS!O41</f>
        <v/>
      </c>
      <c r="M44" s="43">
        <f>LTI_RATIO_ANALYSIS!P41</f>
        <v/>
      </c>
      <c r="N44" s="43">
        <f>LTI_RATIO_ANALYSIS!Q41</f>
        <v/>
      </c>
      <c r="O44" s="44">
        <f>LTI_RATIO_ANALYSIS!R41</f>
        <v/>
      </c>
      <c r="Z44" s="48">
        <f>LTI_RATIO_ANALYSIS!M73</f>
        <v/>
      </c>
      <c r="AA44" s="49">
        <f>LTI_RATIO_ANALYSIS!N73</f>
        <v/>
      </c>
      <c r="AB44" s="49">
        <f>LTI_RATIO_ANALYSIS!O73</f>
        <v/>
      </c>
      <c r="AC44" s="49">
        <f>LTI_RATIO_ANALYSIS!P73</f>
        <v/>
      </c>
      <c r="AD44" s="49">
        <f>LTI_RATIO_ANALYSIS!Q73</f>
        <v/>
      </c>
      <c r="AE44" s="50">
        <f>LTI_RATIO_ANALYSIS!R73</f>
        <v/>
      </c>
      <c r="AH44" s="39" t="inlineStr">
        <is>
          <t>FY2017</t>
        </is>
      </c>
      <c r="AI44" s="40" t="inlineStr">
        <is>
          <t>FY2018</t>
        </is>
      </c>
      <c r="AJ44" s="40" t="inlineStr">
        <is>
          <t>FY2019</t>
        </is>
      </c>
      <c r="AK44" s="40" t="inlineStr">
        <is>
          <t>FY2020</t>
        </is>
      </c>
      <c r="AL44" s="40" t="inlineStr">
        <is>
          <t>FY2021</t>
        </is>
      </c>
      <c r="AM44" s="41" t="inlineStr">
        <is>
          <t>FY2022</t>
        </is>
      </c>
    </row>
    <row r="45">
      <c r="AH45" s="45">
        <f>LTI_RATIO_ANALYSIS!M91</f>
        <v/>
      </c>
      <c r="AI45" s="46">
        <f>LTI_RATIO_ANALYSIS!N91</f>
        <v/>
      </c>
      <c r="AJ45" s="46">
        <f>LTI_RATIO_ANALYSIS!O91</f>
        <v/>
      </c>
      <c r="AK45" s="46">
        <f>LTI_RATIO_ANALYSIS!P91</f>
        <v/>
      </c>
      <c r="AL45" s="46">
        <f>LTI_RATIO_ANALYSIS!Q91</f>
        <v/>
      </c>
      <c r="AM45" s="47">
        <f>LTI_RATIO_ANALYSIS!R91</f>
        <v/>
      </c>
    </row>
    <row r="46">
      <c r="B46" s="212" t="inlineStr">
        <is>
          <t>EBIT Margin</t>
        </is>
      </c>
      <c r="C46" s="213" t="n"/>
      <c r="D46" s="213" t="n"/>
      <c r="E46" s="213" t="n"/>
      <c r="F46" s="213" t="n"/>
      <c r="G46" s="214" t="n"/>
      <c r="J46" s="212" t="inlineStr">
        <is>
          <t>Depreciation % of Revenue</t>
        </is>
      </c>
      <c r="K46" s="213" t="n"/>
      <c r="L46" s="213" t="n"/>
      <c r="M46" s="213" t="n"/>
      <c r="N46" s="213" t="n"/>
      <c r="O46" s="214" t="n"/>
      <c r="Z46" s="212" t="inlineStr">
        <is>
          <t>Cash Turnover</t>
        </is>
      </c>
      <c r="AA46" s="213" t="n"/>
      <c r="AB46" s="213" t="n"/>
      <c r="AC46" s="213" t="n"/>
      <c r="AD46" s="213" t="n"/>
      <c r="AE46" s="214" t="n"/>
    </row>
    <row r="47">
      <c r="B47" s="39" t="inlineStr">
        <is>
          <t>FY2017</t>
        </is>
      </c>
      <c r="C47" s="40" t="inlineStr">
        <is>
          <t>FY2018</t>
        </is>
      </c>
      <c r="D47" s="40" t="inlineStr">
        <is>
          <t>FY2019</t>
        </is>
      </c>
      <c r="E47" s="40" t="inlineStr">
        <is>
          <t>FY2020</t>
        </is>
      </c>
      <c r="F47" s="40" t="inlineStr">
        <is>
          <t>FY2021</t>
        </is>
      </c>
      <c r="G47" s="41" t="inlineStr">
        <is>
          <t>FY2022</t>
        </is>
      </c>
      <c r="J47" s="39" t="inlineStr">
        <is>
          <t>FY2017</t>
        </is>
      </c>
      <c r="K47" s="40" t="inlineStr">
        <is>
          <t>FY2018</t>
        </is>
      </c>
      <c r="L47" s="40" t="inlineStr">
        <is>
          <t>FY2019</t>
        </is>
      </c>
      <c r="M47" s="40" t="inlineStr">
        <is>
          <t>FY2020</t>
        </is>
      </c>
      <c r="N47" s="40" t="inlineStr">
        <is>
          <t>FY2021</t>
        </is>
      </c>
      <c r="O47" s="41" t="inlineStr">
        <is>
          <t>FY2022</t>
        </is>
      </c>
      <c r="Z47" s="39" t="inlineStr">
        <is>
          <t>FY2017</t>
        </is>
      </c>
      <c r="AA47" s="40" t="inlineStr">
        <is>
          <t>FY2018</t>
        </is>
      </c>
      <c r="AB47" s="40" t="inlineStr">
        <is>
          <t>FY2019</t>
        </is>
      </c>
      <c r="AC47" s="40" t="inlineStr">
        <is>
          <t>FY2020</t>
        </is>
      </c>
      <c r="AD47" s="40" t="inlineStr">
        <is>
          <t>FY2021</t>
        </is>
      </c>
      <c r="AE47" s="41" t="inlineStr">
        <is>
          <t>FY2022</t>
        </is>
      </c>
      <c r="AH47" s="212" t="inlineStr">
        <is>
          <t>A/P Days</t>
        </is>
      </c>
      <c r="AI47" s="213" t="n"/>
      <c r="AJ47" s="213" t="n"/>
      <c r="AK47" s="213" t="n"/>
      <c r="AL47" s="213" t="n"/>
      <c r="AM47" s="214" t="n"/>
    </row>
    <row r="48">
      <c r="B48" s="42">
        <f>LTI_RATIO_ANALYSIS!M36</f>
        <v/>
      </c>
      <c r="C48" s="43">
        <f>LTI_RATIO_ANALYSIS!N36</f>
        <v/>
      </c>
      <c r="D48" s="43">
        <f>LTI_RATIO_ANALYSIS!O36</f>
        <v/>
      </c>
      <c r="E48" s="43">
        <f>LTI_RATIO_ANALYSIS!P36</f>
        <v/>
      </c>
      <c r="F48" s="43">
        <f>LTI_RATIO_ANALYSIS!Q36</f>
        <v/>
      </c>
      <c r="G48" s="44">
        <f>LTI_RATIO_ANALYSIS!R36</f>
        <v/>
      </c>
      <c r="J48" s="42">
        <f>LTI_RATIO_ANALYSIS!M33</f>
        <v/>
      </c>
      <c r="K48" s="43">
        <f>LTI_RATIO_ANALYSIS!N33</f>
        <v/>
      </c>
      <c r="L48" s="43">
        <f>LTI_RATIO_ANALYSIS!O33</f>
        <v/>
      </c>
      <c r="M48" s="43">
        <f>LTI_RATIO_ANALYSIS!P33</f>
        <v/>
      </c>
      <c r="N48" s="43">
        <f>LTI_RATIO_ANALYSIS!Q33</f>
        <v/>
      </c>
      <c r="O48" s="44">
        <f>LTI_RATIO_ANALYSIS!R33</f>
        <v/>
      </c>
      <c r="Z48" s="48">
        <f>LTI_RATIO_ANALYSIS!M76</f>
        <v/>
      </c>
      <c r="AA48" s="49">
        <f>LTI_RATIO_ANALYSIS!N76</f>
        <v/>
      </c>
      <c r="AB48" s="49">
        <f>LTI_RATIO_ANALYSIS!O76</f>
        <v/>
      </c>
      <c r="AC48" s="49">
        <f>LTI_RATIO_ANALYSIS!P76</f>
        <v/>
      </c>
      <c r="AD48" s="49">
        <f>LTI_RATIO_ANALYSIS!Q76</f>
        <v/>
      </c>
      <c r="AE48" s="50">
        <f>LTI_RATIO_ANALYSIS!R76</f>
        <v/>
      </c>
      <c r="AH48" s="39" t="inlineStr">
        <is>
          <t>FY2017</t>
        </is>
      </c>
      <c r="AI48" s="40" t="inlineStr">
        <is>
          <t>FY2018</t>
        </is>
      </c>
      <c r="AJ48" s="40" t="inlineStr">
        <is>
          <t>FY2019</t>
        </is>
      </c>
      <c r="AK48" s="40" t="inlineStr">
        <is>
          <t>FY2020</t>
        </is>
      </c>
      <c r="AL48" s="40" t="inlineStr">
        <is>
          <t>FY2021</t>
        </is>
      </c>
      <c r="AM48" s="41" t="inlineStr">
        <is>
          <t>FY2022</t>
        </is>
      </c>
    </row>
    <row r="49">
      <c r="AH49" s="45">
        <f>LTI_RATIO_ANALYSIS!M97</f>
        <v/>
      </c>
      <c r="AI49" s="46">
        <f>LTI_RATIO_ANALYSIS!N97</f>
        <v/>
      </c>
      <c r="AJ49" s="46">
        <f>LTI_RATIO_ANALYSIS!O97</f>
        <v/>
      </c>
      <c r="AK49" s="46">
        <f>LTI_RATIO_ANALYSIS!P97</f>
        <v/>
      </c>
      <c r="AL49" s="46">
        <f>LTI_RATIO_ANALYSIS!Q97</f>
        <v/>
      </c>
      <c r="AM49" s="47">
        <f>LTI_RATIO_ANALYSIS!R97</f>
        <v/>
      </c>
    </row>
    <row r="50">
      <c r="B50" s="212" t="inlineStr">
        <is>
          <t>EBITDA Margin</t>
        </is>
      </c>
      <c r="C50" s="213" t="n"/>
      <c r="D50" s="213" t="n"/>
      <c r="E50" s="213" t="n"/>
      <c r="F50" s="213" t="n"/>
      <c r="G50" s="214" t="n"/>
      <c r="J50" s="212" t="inlineStr">
        <is>
          <t>SG&amp;A % of Revenue</t>
        </is>
      </c>
      <c r="K50" s="213" t="n"/>
      <c r="L50" s="213" t="n"/>
      <c r="M50" s="213" t="n"/>
      <c r="N50" s="213" t="n"/>
      <c r="O50" s="214" t="n"/>
      <c r="Z50" s="212" t="inlineStr">
        <is>
          <t>A/R Turnover</t>
        </is>
      </c>
      <c r="AA50" s="213" t="n"/>
      <c r="AB50" s="213" t="n"/>
      <c r="AC50" s="213" t="n"/>
      <c r="AD50" s="213" t="n"/>
      <c r="AE50" s="214" t="n"/>
    </row>
    <row r="51">
      <c r="B51" s="39" t="inlineStr">
        <is>
          <t>FY2017</t>
        </is>
      </c>
      <c r="C51" s="40" t="inlineStr">
        <is>
          <t>FY2018</t>
        </is>
      </c>
      <c r="D51" s="40" t="inlineStr">
        <is>
          <t>FY2019</t>
        </is>
      </c>
      <c r="E51" s="40" t="inlineStr">
        <is>
          <t>FY2020</t>
        </is>
      </c>
      <c r="F51" s="40" t="inlineStr">
        <is>
          <t>FY2021</t>
        </is>
      </c>
      <c r="G51" s="41" t="inlineStr">
        <is>
          <t>FY2022</t>
        </is>
      </c>
      <c r="J51" s="39" t="inlineStr">
        <is>
          <t>FY2017</t>
        </is>
      </c>
      <c r="K51" s="40" t="inlineStr">
        <is>
          <t>FY2018</t>
        </is>
      </c>
      <c r="L51" s="40" t="inlineStr">
        <is>
          <t>FY2019</t>
        </is>
      </c>
      <c r="M51" s="40" t="inlineStr">
        <is>
          <t>FY2020</t>
        </is>
      </c>
      <c r="N51" s="40" t="inlineStr">
        <is>
          <t>FY2021</t>
        </is>
      </c>
      <c r="O51" s="41" t="inlineStr">
        <is>
          <t>FY2022</t>
        </is>
      </c>
      <c r="Z51" s="39" t="inlineStr">
        <is>
          <t>FY2017</t>
        </is>
      </c>
      <c r="AA51" s="40" t="inlineStr">
        <is>
          <t>FY2018</t>
        </is>
      </c>
      <c r="AB51" s="40" t="inlineStr">
        <is>
          <t>FY2019</t>
        </is>
      </c>
      <c r="AC51" s="40" t="inlineStr">
        <is>
          <t>FY2020</t>
        </is>
      </c>
      <c r="AD51" s="40" t="inlineStr">
        <is>
          <t>FY2021</t>
        </is>
      </c>
      <c r="AE51" s="41" t="inlineStr">
        <is>
          <t>FY2022</t>
        </is>
      </c>
      <c r="AH51" s="212" t="inlineStr">
        <is>
          <t>Cash Conversion Cycle / WC Funding Gap</t>
        </is>
      </c>
      <c r="AI51" s="213" t="n"/>
      <c r="AJ51" s="213" t="n"/>
      <c r="AK51" s="213" t="n"/>
      <c r="AL51" s="213" t="n"/>
      <c r="AM51" s="214" t="n"/>
    </row>
    <row r="52">
      <c r="B52" s="42">
        <f>LTI_RATIO_ANALYSIS!M28</f>
        <v/>
      </c>
      <c r="C52" s="43">
        <f>LTI_RATIO_ANALYSIS!N28</f>
        <v/>
      </c>
      <c r="D52" s="43">
        <f>LTI_RATIO_ANALYSIS!O28</f>
        <v/>
      </c>
      <c r="E52" s="43">
        <f>LTI_RATIO_ANALYSIS!P28</f>
        <v/>
      </c>
      <c r="F52" s="43">
        <f>LTI_RATIO_ANALYSIS!Q28</f>
        <v/>
      </c>
      <c r="G52" s="44">
        <f>LTI_RATIO_ANALYSIS!R28</f>
        <v/>
      </c>
      <c r="J52" s="42">
        <f>LTI_RATIO_ANALYSIS!M22</f>
        <v/>
      </c>
      <c r="K52" s="43">
        <f>LTI_RATIO_ANALYSIS!N22</f>
        <v/>
      </c>
      <c r="L52" s="43">
        <f>LTI_RATIO_ANALYSIS!O22</f>
        <v/>
      </c>
      <c r="M52" s="43">
        <f>LTI_RATIO_ANALYSIS!P22</f>
        <v/>
      </c>
      <c r="N52" s="43">
        <f>LTI_RATIO_ANALYSIS!Q22</f>
        <v/>
      </c>
      <c r="O52" s="44">
        <f>LTI_RATIO_ANALYSIS!R22</f>
        <v/>
      </c>
      <c r="Z52" s="48">
        <f>LTI_RATIO_ANALYSIS!M82</f>
        <v/>
      </c>
      <c r="AA52" s="49">
        <f>LTI_RATIO_ANALYSIS!N82</f>
        <v/>
      </c>
      <c r="AB52" s="49">
        <f>LTI_RATIO_ANALYSIS!O82</f>
        <v/>
      </c>
      <c r="AC52" s="49">
        <f>LTI_RATIO_ANALYSIS!P82</f>
        <v/>
      </c>
      <c r="AD52" s="49">
        <f>LTI_RATIO_ANALYSIS!Q82</f>
        <v/>
      </c>
      <c r="AE52" s="50">
        <f>LTI_RATIO_ANALYSIS!R82</f>
        <v/>
      </c>
      <c r="AH52" s="39" t="inlineStr">
        <is>
          <t>FY2017</t>
        </is>
      </c>
      <c r="AI52" s="40" t="inlineStr">
        <is>
          <t>FY2018</t>
        </is>
      </c>
      <c r="AJ52" s="40" t="inlineStr">
        <is>
          <t>FY2019</t>
        </is>
      </c>
      <c r="AK52" s="40" t="inlineStr">
        <is>
          <t>FY2020</t>
        </is>
      </c>
      <c r="AL52" s="40" t="inlineStr">
        <is>
          <t>FY2021</t>
        </is>
      </c>
      <c r="AM52" s="41" t="inlineStr">
        <is>
          <t>FY2022</t>
        </is>
      </c>
    </row>
    <row r="53">
      <c r="AH53" s="45">
        <f>LTI_RATIO_ANALYSIS!M100</f>
        <v/>
      </c>
      <c r="AI53" s="46">
        <f>LTI_RATIO_ANALYSIS!N100</f>
        <v/>
      </c>
      <c r="AJ53" s="46">
        <f>LTI_RATIO_ANALYSIS!O100</f>
        <v/>
      </c>
      <c r="AK53" s="46">
        <f>LTI_RATIO_ANALYSIS!P100</f>
        <v/>
      </c>
      <c r="AL53" s="46">
        <f>LTI_RATIO_ANALYSIS!Q100</f>
        <v/>
      </c>
      <c r="AM53" s="47">
        <f>LTI_RATIO_ANALYSIS!R100</f>
        <v/>
      </c>
    </row>
    <row r="54">
      <c r="B54" s="212" t="inlineStr">
        <is>
          <t>Gross Margin</t>
        </is>
      </c>
      <c r="C54" s="213" t="n"/>
      <c r="D54" s="213" t="n"/>
      <c r="E54" s="213" t="n"/>
      <c r="F54" s="213" t="n"/>
      <c r="G54" s="214" t="n"/>
      <c r="J54" s="212" t="inlineStr">
        <is>
          <t>Other Op. Expenses %</t>
        </is>
      </c>
      <c r="K54" s="213" t="n"/>
      <c r="L54" s="213" t="n"/>
      <c r="M54" s="213" t="n"/>
      <c r="N54" s="213" t="n"/>
      <c r="O54" s="214" t="n"/>
      <c r="Z54" s="212" t="inlineStr">
        <is>
          <t>Inventory Turnover</t>
        </is>
      </c>
      <c r="AA54" s="213" t="n"/>
      <c r="AB54" s="213" t="n"/>
      <c r="AC54" s="213" t="n"/>
      <c r="AD54" s="213" t="n"/>
      <c r="AE54" s="214" t="n"/>
    </row>
    <row r="55">
      <c r="B55" s="39" t="inlineStr">
        <is>
          <t>FY2017</t>
        </is>
      </c>
      <c r="C55" s="40" t="inlineStr">
        <is>
          <t>FY2018</t>
        </is>
      </c>
      <c r="D55" s="40" t="inlineStr">
        <is>
          <t>FY2019</t>
        </is>
      </c>
      <c r="E55" s="40" t="inlineStr">
        <is>
          <t>FY2020</t>
        </is>
      </c>
      <c r="F55" s="40" t="inlineStr">
        <is>
          <t>FY2021</t>
        </is>
      </c>
      <c r="G55" s="41" t="inlineStr">
        <is>
          <t>FY2022</t>
        </is>
      </c>
      <c r="J55" s="39" t="inlineStr">
        <is>
          <t>FY2017</t>
        </is>
      </c>
      <c r="K55" s="40" t="inlineStr">
        <is>
          <t>FY2018</t>
        </is>
      </c>
      <c r="L55" s="40" t="inlineStr">
        <is>
          <t>FY2019</t>
        </is>
      </c>
      <c r="M55" s="40" t="inlineStr">
        <is>
          <t>FY2020</t>
        </is>
      </c>
      <c r="N55" s="40" t="inlineStr">
        <is>
          <t>FY2021</t>
        </is>
      </c>
      <c r="O55" s="41" t="inlineStr">
        <is>
          <t>FY2022</t>
        </is>
      </c>
      <c r="Z55" s="39" t="inlineStr">
        <is>
          <t>FY2017</t>
        </is>
      </c>
      <c r="AA55" s="40" t="inlineStr">
        <is>
          <t>FY2018</t>
        </is>
      </c>
      <c r="AB55" s="40" t="inlineStr">
        <is>
          <t>FY2019</t>
        </is>
      </c>
      <c r="AC55" s="40" t="inlineStr">
        <is>
          <t>FY2020</t>
        </is>
      </c>
      <c r="AD55" s="40" t="inlineStr">
        <is>
          <t>FY2021</t>
        </is>
      </c>
      <c r="AE55" s="41" t="inlineStr">
        <is>
          <t>FY2022</t>
        </is>
      </c>
    </row>
    <row r="56">
      <c r="B56" s="42">
        <f>LTI_RATIO_ANALYSIS!M19</f>
        <v/>
      </c>
      <c r="C56" s="43">
        <f>LTI_RATIO_ANALYSIS!N19</f>
        <v/>
      </c>
      <c r="D56" s="43">
        <f>LTI_RATIO_ANALYSIS!O19</f>
        <v/>
      </c>
      <c r="E56" s="43">
        <f>LTI_RATIO_ANALYSIS!P19</f>
        <v/>
      </c>
      <c r="F56" s="43">
        <f>LTI_RATIO_ANALYSIS!Q19</f>
        <v/>
      </c>
      <c r="G56" s="44">
        <f>LTI_RATIO_ANALYSIS!R19</f>
        <v/>
      </c>
      <c r="J56" s="42">
        <f>LTI_RATIO_ANALYSIS!M25</f>
        <v/>
      </c>
      <c r="K56" s="43">
        <f>LTI_RATIO_ANALYSIS!N25</f>
        <v/>
      </c>
      <c r="L56" s="43">
        <f>LTI_RATIO_ANALYSIS!O25</f>
        <v/>
      </c>
      <c r="M56" s="43">
        <f>LTI_RATIO_ANALYSIS!P25</f>
        <v/>
      </c>
      <c r="N56" s="43">
        <f>LTI_RATIO_ANALYSIS!Q25</f>
        <v/>
      </c>
      <c r="O56" s="44">
        <f>LTI_RATIO_ANALYSIS!R25</f>
        <v/>
      </c>
      <c r="Z56" s="48">
        <f>LTI_RATIO_ANALYSIS!M88</f>
        <v/>
      </c>
      <c r="AA56" s="49">
        <f>LTI_RATIO_ANALYSIS!N88</f>
        <v/>
      </c>
      <c r="AB56" s="49">
        <f>LTI_RATIO_ANALYSIS!O88</f>
        <v/>
      </c>
      <c r="AC56" s="49">
        <f>LTI_RATIO_ANALYSIS!P88</f>
        <v/>
      </c>
      <c r="AD56" s="49">
        <f>LTI_RATIO_ANALYSIS!Q88</f>
        <v/>
      </c>
      <c r="AE56" s="50">
        <f>LTI_RATIO_ANALYSIS!R88</f>
        <v/>
      </c>
    </row>
    <row r="60" ht="15.5" customHeight="1" s="203">
      <c r="B60" s="38" t="inlineStr">
        <is>
          <t>Growth Analysis</t>
        </is>
      </c>
      <c r="J60" s="38" t="inlineStr">
        <is>
          <t>Leverage Analysis</t>
        </is>
      </c>
    </row>
    <row r="62">
      <c r="B62" s="212" t="inlineStr">
        <is>
          <t>Revenue Growth</t>
        </is>
      </c>
      <c r="C62" s="213" t="n"/>
      <c r="D62" s="213" t="n"/>
      <c r="E62" s="213" t="n"/>
      <c r="F62" s="213" t="n"/>
      <c r="G62" s="214" t="n"/>
      <c r="J62" s="212" t="inlineStr">
        <is>
          <t>Debt to Equity</t>
        </is>
      </c>
      <c r="K62" s="213" t="n"/>
      <c r="L62" s="213" t="n"/>
      <c r="M62" s="213" t="n"/>
      <c r="N62" s="213" t="n"/>
      <c r="O62" s="214" t="n"/>
    </row>
    <row r="63">
      <c r="B63" s="39" t="inlineStr">
        <is>
          <t>FY2017</t>
        </is>
      </c>
      <c r="C63" s="40" t="inlineStr">
        <is>
          <t>FY2018</t>
        </is>
      </c>
      <c r="D63" s="40" t="inlineStr">
        <is>
          <t>FY2019</t>
        </is>
      </c>
      <c r="E63" s="40" t="inlineStr">
        <is>
          <t>FY2020</t>
        </is>
      </c>
      <c r="F63" s="40" t="inlineStr">
        <is>
          <t>FY2021</t>
        </is>
      </c>
      <c r="G63" s="41" t="inlineStr">
        <is>
          <t>FY2022</t>
        </is>
      </c>
      <c r="J63" s="39" t="inlineStr">
        <is>
          <t>FY2017</t>
        </is>
      </c>
      <c r="K63" s="40" t="inlineStr">
        <is>
          <t>FY2018</t>
        </is>
      </c>
      <c r="L63" s="40" t="inlineStr">
        <is>
          <t>FY2019</t>
        </is>
      </c>
      <c r="M63" s="40" t="inlineStr">
        <is>
          <t>FY2020</t>
        </is>
      </c>
      <c r="N63" s="40" t="inlineStr">
        <is>
          <t>FY2021</t>
        </is>
      </c>
      <c r="O63" s="41" t="inlineStr">
        <is>
          <t>FY2022</t>
        </is>
      </c>
    </row>
    <row r="64">
      <c r="B64" s="42">
        <f>LTI_RATIO_ANALYSIS!M129</f>
        <v/>
      </c>
      <c r="C64" s="43">
        <f>LTI_RATIO_ANALYSIS!N129</f>
        <v/>
      </c>
      <c r="D64" s="43">
        <f>LTI_RATIO_ANALYSIS!O129</f>
        <v/>
      </c>
      <c r="E64" s="43">
        <f>LTI_RATIO_ANALYSIS!P129</f>
        <v/>
      </c>
      <c r="F64" s="43">
        <f>LTI_RATIO_ANALYSIS!Q129</f>
        <v/>
      </c>
      <c r="G64" s="44">
        <f>LTI_RATIO_ANALYSIS!R129</f>
        <v/>
      </c>
      <c r="J64" s="48">
        <f>LTI_RATIO_ANALYSIS!M109</f>
        <v/>
      </c>
      <c r="K64" s="49">
        <f>LTI_RATIO_ANALYSIS!N109</f>
        <v/>
      </c>
      <c r="L64" s="49">
        <f>LTI_RATIO_ANALYSIS!O109</f>
        <v/>
      </c>
      <c r="M64" s="49">
        <f>LTI_RATIO_ANALYSIS!P109</f>
        <v/>
      </c>
      <c r="N64" s="49">
        <f>LTI_RATIO_ANALYSIS!Q109</f>
        <v/>
      </c>
      <c r="O64" s="50">
        <f>LTI_RATIO_ANALYSIS!R109</f>
        <v/>
      </c>
    </row>
    <row r="66">
      <c r="B66" s="212" t="inlineStr">
        <is>
          <t>EBITDA Growth</t>
        </is>
      </c>
      <c r="C66" s="213" t="n"/>
      <c r="D66" s="213" t="n"/>
      <c r="E66" s="213" t="n"/>
      <c r="F66" s="213" t="n"/>
      <c r="G66" s="214" t="n"/>
      <c r="J66" s="212" t="inlineStr">
        <is>
          <t>Debt to EBITDA</t>
        </is>
      </c>
      <c r="K66" s="213" t="n"/>
      <c r="L66" s="213" t="n"/>
      <c r="M66" s="213" t="n"/>
      <c r="N66" s="213" t="n"/>
      <c r="O66" s="214" t="n"/>
    </row>
    <row r="67">
      <c r="B67" s="39" t="inlineStr">
        <is>
          <t>FY2017</t>
        </is>
      </c>
      <c r="C67" s="40" t="inlineStr">
        <is>
          <t>FY2018</t>
        </is>
      </c>
      <c r="D67" s="40" t="inlineStr">
        <is>
          <t>FY2019</t>
        </is>
      </c>
      <c r="E67" s="40" t="inlineStr">
        <is>
          <t>FY2020</t>
        </is>
      </c>
      <c r="F67" s="40" t="inlineStr">
        <is>
          <t>FY2021</t>
        </is>
      </c>
      <c r="G67" s="41" t="inlineStr">
        <is>
          <t>FY2022</t>
        </is>
      </c>
      <c r="J67" s="39" t="inlineStr">
        <is>
          <t>FY2017</t>
        </is>
      </c>
      <c r="K67" s="40" t="inlineStr">
        <is>
          <t>FY2018</t>
        </is>
      </c>
      <c r="L67" s="40" t="inlineStr">
        <is>
          <t>FY2019</t>
        </is>
      </c>
      <c r="M67" s="40" t="inlineStr">
        <is>
          <t>FY2020</t>
        </is>
      </c>
      <c r="N67" s="40" t="inlineStr">
        <is>
          <t>FY2021</t>
        </is>
      </c>
      <c r="O67" s="41" t="inlineStr">
        <is>
          <t>FY2022</t>
        </is>
      </c>
    </row>
    <row r="68">
      <c r="B68" s="42">
        <f>LTI_RATIO_ANALYSIS!M131</f>
        <v/>
      </c>
      <c r="C68" s="43">
        <f>LTI_RATIO_ANALYSIS!N131</f>
        <v/>
      </c>
      <c r="D68" s="43">
        <f>LTI_RATIO_ANALYSIS!O131</f>
        <v/>
      </c>
      <c r="E68" s="43">
        <f>LTI_RATIO_ANALYSIS!P131</f>
        <v/>
      </c>
      <c r="F68" s="43">
        <f>LTI_RATIO_ANALYSIS!Q131</f>
        <v/>
      </c>
      <c r="G68" s="44">
        <f>LTI_RATIO_ANALYSIS!R131</f>
        <v/>
      </c>
      <c r="J68" s="48">
        <f>LTI_RATIO_ANALYSIS!M112</f>
        <v/>
      </c>
      <c r="K68" s="49">
        <f>LTI_RATIO_ANALYSIS!N112</f>
        <v/>
      </c>
      <c r="L68" s="49">
        <f>LTI_RATIO_ANALYSIS!O112</f>
        <v/>
      </c>
      <c r="M68" s="49">
        <f>LTI_RATIO_ANALYSIS!P112</f>
        <v/>
      </c>
      <c r="N68" s="49">
        <f>LTI_RATIO_ANALYSIS!Q112</f>
        <v/>
      </c>
      <c r="O68" s="50">
        <f>LTI_RATIO_ANALYSIS!R112</f>
        <v/>
      </c>
    </row>
    <row r="70">
      <c r="B70" s="212" t="inlineStr">
        <is>
          <t>Net Income Growth</t>
        </is>
      </c>
      <c r="C70" s="213" t="n"/>
      <c r="D70" s="213" t="n"/>
      <c r="E70" s="213" t="n"/>
      <c r="F70" s="213" t="n"/>
      <c r="G70" s="214" t="n"/>
      <c r="J70" s="212" t="inlineStr">
        <is>
          <t>Current Ratio</t>
        </is>
      </c>
      <c r="K70" s="213" t="n"/>
      <c r="L70" s="213" t="n"/>
      <c r="M70" s="213" t="n"/>
      <c r="N70" s="213" t="n"/>
      <c r="O70" s="214" t="n"/>
    </row>
    <row r="71">
      <c r="B71" s="39" t="inlineStr">
        <is>
          <t>FY2017</t>
        </is>
      </c>
      <c r="C71" s="40" t="inlineStr">
        <is>
          <t>FY2018</t>
        </is>
      </c>
      <c r="D71" s="40" t="inlineStr">
        <is>
          <t>FY2019</t>
        </is>
      </c>
      <c r="E71" s="40" t="inlineStr">
        <is>
          <t>FY2020</t>
        </is>
      </c>
      <c r="F71" s="40" t="inlineStr">
        <is>
          <t>FY2021</t>
        </is>
      </c>
      <c r="G71" s="41" t="inlineStr">
        <is>
          <t>FY2022</t>
        </is>
      </c>
      <c r="J71" s="39" t="inlineStr">
        <is>
          <t>FY2017</t>
        </is>
      </c>
      <c r="K71" s="40" t="inlineStr">
        <is>
          <t>FY2018</t>
        </is>
      </c>
      <c r="L71" s="40" t="inlineStr">
        <is>
          <t>FY2019</t>
        </is>
      </c>
      <c r="M71" s="40" t="inlineStr">
        <is>
          <t>FY2020</t>
        </is>
      </c>
      <c r="N71" s="40" t="inlineStr">
        <is>
          <t>FY2021</t>
        </is>
      </c>
      <c r="O71" s="41" t="inlineStr">
        <is>
          <t>FY2022</t>
        </is>
      </c>
    </row>
    <row r="72">
      <c r="B72" s="42">
        <f>LTI_RATIO_ANALYSIS!M135</f>
        <v/>
      </c>
      <c r="C72" s="43">
        <f>LTI_RATIO_ANALYSIS!N135</f>
        <v/>
      </c>
      <c r="D72" s="43">
        <f>LTI_RATIO_ANALYSIS!O135</f>
        <v/>
      </c>
      <c r="E72" s="43">
        <f>LTI_RATIO_ANALYSIS!P135</f>
        <v/>
      </c>
      <c r="F72" s="43">
        <f>LTI_RATIO_ANALYSIS!Q135</f>
        <v/>
      </c>
      <c r="G72" s="44">
        <f>LTI_RATIO_ANALYSIS!R135</f>
        <v/>
      </c>
      <c r="J72" s="48">
        <f>LTI_RATIO_ANALYSIS!M119</f>
        <v/>
      </c>
      <c r="K72" s="49">
        <f>LTI_RATIO_ANALYSIS!N119</f>
        <v/>
      </c>
      <c r="L72" s="49">
        <f>LTI_RATIO_ANALYSIS!O119</f>
        <v/>
      </c>
      <c r="M72" s="49">
        <f>LTI_RATIO_ANALYSIS!P119</f>
        <v/>
      </c>
      <c r="N72" s="49">
        <f>LTI_RATIO_ANALYSIS!Q119</f>
        <v/>
      </c>
      <c r="O72" s="50">
        <f>LTI_RATIO_ANALYSIS!R119</f>
        <v/>
      </c>
    </row>
    <row r="74">
      <c r="B74" s="212" t="inlineStr">
        <is>
          <t>Total Asset Growth</t>
        </is>
      </c>
      <c r="C74" s="213" t="n"/>
      <c r="D74" s="213" t="n"/>
      <c r="E74" s="213" t="n"/>
      <c r="F74" s="213" t="n"/>
      <c r="G74" s="214" t="n"/>
      <c r="J74" s="212" t="inlineStr">
        <is>
          <t>Quick Ratio</t>
        </is>
      </c>
      <c r="K74" s="213" t="n"/>
      <c r="L74" s="213" t="n"/>
      <c r="M74" s="213" t="n"/>
      <c r="N74" s="213" t="n"/>
      <c r="O74" s="214" t="n"/>
    </row>
    <row r="75">
      <c r="B75" s="39" t="inlineStr">
        <is>
          <t>FY2017</t>
        </is>
      </c>
      <c r="C75" s="40" t="inlineStr">
        <is>
          <t>FY2018</t>
        </is>
      </c>
      <c r="D75" s="40" t="inlineStr">
        <is>
          <t>FY2019</t>
        </is>
      </c>
      <c r="E75" s="40" t="inlineStr">
        <is>
          <t>FY2020</t>
        </is>
      </c>
      <c r="F75" s="40" t="inlineStr">
        <is>
          <t>FY2021</t>
        </is>
      </c>
      <c r="G75" s="41" t="inlineStr">
        <is>
          <t>FY2022</t>
        </is>
      </c>
      <c r="J75" s="39" t="inlineStr">
        <is>
          <t>FY2017</t>
        </is>
      </c>
      <c r="K75" s="40" t="inlineStr">
        <is>
          <t>FY2018</t>
        </is>
      </c>
      <c r="L75" s="40" t="inlineStr">
        <is>
          <t>FY2019</t>
        </is>
      </c>
      <c r="M75" s="40" t="inlineStr">
        <is>
          <t>FY2020</t>
        </is>
      </c>
      <c r="N75" s="40" t="inlineStr">
        <is>
          <t>FY2021</t>
        </is>
      </c>
      <c r="O75" s="41" t="inlineStr">
        <is>
          <t>FY2022</t>
        </is>
      </c>
    </row>
    <row r="76">
      <c r="B76" s="42">
        <f>LTI_RATIO_ANALYSIS!M137</f>
        <v/>
      </c>
      <c r="C76" s="43">
        <f>LTI_RATIO_ANALYSIS!N137</f>
        <v/>
      </c>
      <c r="D76" s="43">
        <f>LTI_RATIO_ANALYSIS!O137</f>
        <v/>
      </c>
      <c r="E76" s="43">
        <f>LTI_RATIO_ANALYSIS!P137</f>
        <v/>
      </c>
      <c r="F76" s="43">
        <f>LTI_RATIO_ANALYSIS!Q137</f>
        <v/>
      </c>
      <c r="G76" s="44">
        <f>LTI_RATIO_ANALYSIS!R137</f>
        <v/>
      </c>
      <c r="J76" s="48">
        <f>LTI_RATIO_ANALYSIS!M122</f>
        <v/>
      </c>
      <c r="K76" s="49">
        <f>LTI_RATIO_ANALYSIS!N122</f>
        <v/>
      </c>
      <c r="L76" s="49">
        <f>LTI_RATIO_ANALYSIS!O122</f>
        <v/>
      </c>
      <c r="M76" s="49">
        <f>LTI_RATIO_ANALYSIS!P122</f>
        <v/>
      </c>
      <c r="N76" s="49">
        <f>LTI_RATIO_ANALYSIS!Q122</f>
        <v/>
      </c>
      <c r="O76" s="50">
        <f>LTI_RATIO_ANALYSIS!R122</f>
        <v/>
      </c>
    </row>
    <row r="78">
      <c r="B78" s="212" t="inlineStr">
        <is>
          <t>Degree of Total Leverage</t>
        </is>
      </c>
      <c r="C78" s="213" t="n"/>
      <c r="D78" s="213" t="n"/>
      <c r="E78" s="213" t="n"/>
      <c r="F78" s="213" t="n"/>
      <c r="G78" s="214" t="n"/>
      <c r="J78" s="212" t="inlineStr">
        <is>
          <t>Interest Coverage</t>
        </is>
      </c>
      <c r="K78" s="213" t="n"/>
      <c r="L78" s="213" t="n"/>
      <c r="M78" s="213" t="n"/>
      <c r="N78" s="213" t="n"/>
      <c r="O78" s="214" t="n"/>
    </row>
    <row r="79">
      <c r="B79" s="39" t="inlineStr">
        <is>
          <t>FY2017</t>
        </is>
      </c>
      <c r="C79" s="40" t="inlineStr">
        <is>
          <t>FY2018</t>
        </is>
      </c>
      <c r="D79" s="40" t="inlineStr">
        <is>
          <t>FY2019</t>
        </is>
      </c>
      <c r="E79" s="40" t="inlineStr">
        <is>
          <t>FY2020</t>
        </is>
      </c>
      <c r="F79" s="40" t="inlineStr">
        <is>
          <t>FY2021</t>
        </is>
      </c>
      <c r="G79" s="41" t="inlineStr">
        <is>
          <t>FY2022</t>
        </is>
      </c>
      <c r="J79" s="39" t="inlineStr">
        <is>
          <t>FY2017</t>
        </is>
      </c>
      <c r="K79" s="40" t="inlineStr">
        <is>
          <t>FY2018</t>
        </is>
      </c>
      <c r="L79" s="40" t="inlineStr">
        <is>
          <t>FY2019</t>
        </is>
      </c>
      <c r="M79" s="40" t="inlineStr">
        <is>
          <t>FY2020</t>
        </is>
      </c>
      <c r="N79" s="40" t="inlineStr">
        <is>
          <t>FY2021</t>
        </is>
      </c>
      <c r="O79" s="41" t="inlineStr">
        <is>
          <t>FY2022</t>
        </is>
      </c>
    </row>
    <row r="80">
      <c r="B80" s="48">
        <f>LTI_RATIO_ANALYSIS!M143</f>
        <v/>
      </c>
      <c r="C80" s="49">
        <f>LTI_RATIO_ANALYSIS!N143</f>
        <v/>
      </c>
      <c r="D80" s="49">
        <f>LTI_RATIO_ANALYSIS!O143</f>
        <v/>
      </c>
      <c r="E80" s="49">
        <f>LTI_RATIO_ANALYSIS!P143</f>
        <v/>
      </c>
      <c r="F80" s="49">
        <f>LTI_RATIO_ANALYSIS!Q143</f>
        <v/>
      </c>
      <c r="G80" s="50">
        <f>LTI_RATIO_ANALYSIS!R143</f>
        <v/>
      </c>
      <c r="J80" s="48">
        <f>LTI_RATIO_ANALYSIS!M125</f>
        <v/>
      </c>
      <c r="K80" s="49">
        <f>LTI_RATIO_ANALYSIS!N125</f>
        <v/>
      </c>
      <c r="L80" s="49">
        <f>LTI_RATIO_ANALYSIS!O125</f>
        <v/>
      </c>
      <c r="M80" s="49">
        <f>LTI_RATIO_ANALYSIS!P125</f>
        <v/>
      </c>
      <c r="N80" s="49">
        <f>LTI_RATIO_ANALYSIS!Q125</f>
        <v/>
      </c>
      <c r="O80" s="50">
        <f>LTI_RATIO_ANALYSIS!R125</f>
        <v/>
      </c>
    </row>
    <row r="83" ht="17" customHeight="1" s="203">
      <c r="B83" s="37" t="inlineStr">
        <is>
          <t>5-Step DuPont Pyramid</t>
        </is>
      </c>
    </row>
    <row r="85">
      <c r="V85" s="212" t="inlineStr">
        <is>
          <t>Return on Equity</t>
        </is>
      </c>
      <c r="W85" s="213" t="n"/>
      <c r="X85" s="213" t="n"/>
      <c r="Y85" s="213" t="n"/>
      <c r="Z85" s="213" t="n"/>
      <c r="AA85" s="214" t="n"/>
    </row>
    <row r="86">
      <c r="V86" s="39" t="inlineStr">
        <is>
          <t>FY2017</t>
        </is>
      </c>
      <c r="W86" s="40" t="inlineStr">
        <is>
          <t>FY2018</t>
        </is>
      </c>
      <c r="X86" s="40" t="inlineStr">
        <is>
          <t>FY2019</t>
        </is>
      </c>
      <c r="Y86" s="40" t="inlineStr">
        <is>
          <t>FY2020</t>
        </is>
      </c>
      <c r="Z86" s="40" t="inlineStr">
        <is>
          <t>FY2021</t>
        </is>
      </c>
      <c r="AA86" s="41" t="inlineStr">
        <is>
          <t>FY2022</t>
        </is>
      </c>
    </row>
    <row r="87">
      <c r="V87" s="42">
        <f>LTI_RATIO_ANALYSIS!M7</f>
        <v/>
      </c>
      <c r="W87" s="43">
        <f>LTI_RATIO_ANALYSIS!N7</f>
        <v/>
      </c>
      <c r="X87" s="43">
        <f>LTI_RATIO_ANALYSIS!O7</f>
        <v/>
      </c>
      <c r="Y87" s="43">
        <f>LTI_RATIO_ANALYSIS!P7</f>
        <v/>
      </c>
      <c r="Z87" s="43">
        <f>LTI_RATIO_ANALYSIS!Q7</f>
        <v/>
      </c>
      <c r="AA87" s="44">
        <f>LTI_RATIO_ANALYSIS!R7</f>
        <v/>
      </c>
    </row>
    <row r="90">
      <c r="B90" s="212" t="inlineStr">
        <is>
          <t>Tax Burden</t>
        </is>
      </c>
      <c r="C90" s="213" t="n"/>
      <c r="D90" s="213" t="n"/>
      <c r="E90" s="213" t="n"/>
      <c r="F90" s="213" t="n"/>
      <c r="G90" s="214" t="n"/>
      <c r="J90" s="212" t="inlineStr">
        <is>
          <t>Interest Burden</t>
        </is>
      </c>
      <c r="K90" s="213" t="n"/>
      <c r="L90" s="213" t="n"/>
      <c r="M90" s="213" t="n"/>
      <c r="N90" s="213" t="n"/>
      <c r="O90" s="214" t="n"/>
      <c r="R90" s="212" t="inlineStr">
        <is>
          <t>EBIT Margin</t>
        </is>
      </c>
      <c r="S90" s="213" t="n"/>
      <c r="T90" s="213" t="n"/>
      <c r="U90" s="213" t="n"/>
      <c r="V90" s="213" t="n"/>
      <c r="W90" s="214" t="n"/>
      <c r="Z90" s="212" t="inlineStr">
        <is>
          <t>Depreciation % of Revenue</t>
        </is>
      </c>
      <c r="AA90" s="213" t="n"/>
      <c r="AB90" s="213" t="n"/>
      <c r="AC90" s="213" t="n"/>
      <c r="AD90" s="213" t="n"/>
      <c r="AE90" s="214" t="n"/>
      <c r="AH90" s="212" t="inlineStr">
        <is>
          <t>Total Asset to Equity</t>
        </is>
      </c>
      <c r="AI90" s="213" t="n"/>
      <c r="AJ90" s="213" t="n"/>
      <c r="AK90" s="213" t="n"/>
      <c r="AL90" s="213" t="n"/>
      <c r="AM90" s="214" t="n"/>
      <c r="AP90" s="212" t="inlineStr">
        <is>
          <t>Asset Turnover</t>
        </is>
      </c>
      <c r="AQ90" s="213" t="n"/>
      <c r="AR90" s="213" t="n"/>
      <c r="AS90" s="213" t="n"/>
      <c r="AT90" s="213" t="n"/>
      <c r="AU90" s="214" t="n"/>
    </row>
    <row r="91">
      <c r="B91" s="39" t="inlineStr">
        <is>
          <t>FY2017</t>
        </is>
      </c>
      <c r="C91" s="40" t="inlineStr">
        <is>
          <t>FY2018</t>
        </is>
      </c>
      <c r="D91" s="40" t="inlineStr">
        <is>
          <t>FY2019</t>
        </is>
      </c>
      <c r="E91" s="40" t="inlineStr">
        <is>
          <t>FY2020</t>
        </is>
      </c>
      <c r="F91" s="40" t="inlineStr">
        <is>
          <t>FY2021</t>
        </is>
      </c>
      <c r="G91" s="41" t="inlineStr">
        <is>
          <t>FY2022</t>
        </is>
      </c>
      <c r="J91" s="39" t="inlineStr">
        <is>
          <t>FY2017</t>
        </is>
      </c>
      <c r="K91" s="40" t="inlineStr">
        <is>
          <t>FY2018</t>
        </is>
      </c>
      <c r="L91" s="40" t="inlineStr">
        <is>
          <t>FY2019</t>
        </is>
      </c>
      <c r="M91" s="40" t="inlineStr">
        <is>
          <t>FY2020</t>
        </is>
      </c>
      <c r="N91" s="40" t="inlineStr">
        <is>
          <t>FY2021</t>
        </is>
      </c>
      <c r="O91" s="41" t="inlineStr">
        <is>
          <t>FY2022</t>
        </is>
      </c>
      <c r="R91" s="39" t="inlineStr">
        <is>
          <t>FY2017</t>
        </is>
      </c>
      <c r="S91" s="40" t="inlineStr">
        <is>
          <t>FY2018</t>
        </is>
      </c>
      <c r="T91" s="40" t="inlineStr">
        <is>
          <t>FY2019</t>
        </is>
      </c>
      <c r="U91" s="40" t="inlineStr">
        <is>
          <t>FY2020</t>
        </is>
      </c>
      <c r="V91" s="40" t="inlineStr">
        <is>
          <t>FY2021</t>
        </is>
      </c>
      <c r="W91" s="41" t="inlineStr">
        <is>
          <t>FY2022</t>
        </is>
      </c>
      <c r="Z91" s="39" t="inlineStr">
        <is>
          <t>FY2017</t>
        </is>
      </c>
      <c r="AA91" s="40" t="inlineStr">
        <is>
          <t>FY2018</t>
        </is>
      </c>
      <c r="AB91" s="40" t="inlineStr">
        <is>
          <t>FY2019</t>
        </is>
      </c>
      <c r="AC91" s="40" t="inlineStr">
        <is>
          <t>FY2020</t>
        </is>
      </c>
      <c r="AD91" s="40" t="inlineStr">
        <is>
          <t>FY2021</t>
        </is>
      </c>
      <c r="AE91" s="41" t="inlineStr">
        <is>
          <t>FY2022</t>
        </is>
      </c>
      <c r="AH91" s="39" t="inlineStr">
        <is>
          <t>FY2017</t>
        </is>
      </c>
      <c r="AI91" s="40" t="inlineStr">
        <is>
          <t>FY2018</t>
        </is>
      </c>
      <c r="AJ91" s="40" t="inlineStr">
        <is>
          <t>FY2019</t>
        </is>
      </c>
      <c r="AK91" s="40" t="inlineStr">
        <is>
          <t>FY2020</t>
        </is>
      </c>
      <c r="AL91" s="40" t="inlineStr">
        <is>
          <t>FY2021</t>
        </is>
      </c>
      <c r="AM91" s="41" t="inlineStr">
        <is>
          <t>FY2022</t>
        </is>
      </c>
      <c r="AP91" s="39" t="inlineStr">
        <is>
          <t>FY2017</t>
        </is>
      </c>
      <c r="AQ91" s="40" t="inlineStr">
        <is>
          <t>FY2018</t>
        </is>
      </c>
      <c r="AR91" s="40" t="inlineStr">
        <is>
          <t>FY2019</t>
        </is>
      </c>
      <c r="AS91" s="40" t="inlineStr">
        <is>
          <t>FY2020</t>
        </is>
      </c>
      <c r="AT91" s="40" t="inlineStr">
        <is>
          <t>FY2021</t>
        </is>
      </c>
      <c r="AU91" s="41" t="inlineStr">
        <is>
          <t>FY2022</t>
        </is>
      </c>
    </row>
    <row r="92">
      <c r="B92" s="42">
        <f>LTI_RATIO_ANALYSIS!M60</f>
        <v/>
      </c>
      <c r="C92" s="43">
        <f>LTI_RATIO_ANALYSIS!N60</f>
        <v/>
      </c>
      <c r="D92" s="43">
        <f>LTI_RATIO_ANALYSIS!O60</f>
        <v/>
      </c>
      <c r="E92" s="43">
        <f>LTI_RATIO_ANALYSIS!P60</f>
        <v/>
      </c>
      <c r="F92" s="43">
        <f>LTI_RATIO_ANALYSIS!Q60</f>
        <v/>
      </c>
      <c r="G92" s="44">
        <f>LTI_RATIO_ANALYSIS!R60</f>
        <v/>
      </c>
      <c r="J92" s="42">
        <f>LTI_RATIO_ANALYSIS!M66</f>
        <v/>
      </c>
      <c r="K92" s="43">
        <f>LTI_RATIO_ANALYSIS!N66</f>
        <v/>
      </c>
      <c r="L92" s="43">
        <f>LTI_RATIO_ANALYSIS!O66</f>
        <v/>
      </c>
      <c r="M92" s="43">
        <f>LTI_RATIO_ANALYSIS!P66</f>
        <v/>
      </c>
      <c r="N92" s="43">
        <f>LTI_RATIO_ANALYSIS!Q66</f>
        <v/>
      </c>
      <c r="O92" s="44">
        <f>LTI_RATIO_ANALYSIS!R66</f>
        <v/>
      </c>
      <c r="R92" s="42">
        <f>LTI_RATIO_ANALYSIS!M36</f>
        <v/>
      </c>
      <c r="S92" s="43">
        <f>LTI_RATIO_ANALYSIS!N36</f>
        <v/>
      </c>
      <c r="T92" s="43">
        <f>LTI_RATIO_ANALYSIS!O36</f>
        <v/>
      </c>
      <c r="U92" s="43">
        <f>LTI_RATIO_ANALYSIS!P36</f>
        <v/>
      </c>
      <c r="V92" s="43">
        <f>LTI_RATIO_ANALYSIS!Q36</f>
        <v/>
      </c>
      <c r="W92" s="44">
        <f>LTI_RATIO_ANALYSIS!R36</f>
        <v/>
      </c>
      <c r="Z92" s="42">
        <f>LTI_RATIO_ANALYSIS!M33</f>
        <v/>
      </c>
      <c r="AA92" s="43">
        <f>LTI_RATIO_ANALYSIS!N33</f>
        <v/>
      </c>
      <c r="AB92" s="43">
        <f>LTI_RATIO_ANALYSIS!O33</f>
        <v/>
      </c>
      <c r="AC92" s="43">
        <f>LTI_RATIO_ANALYSIS!P33</f>
        <v/>
      </c>
      <c r="AD92" s="43">
        <f>LTI_RATIO_ANALYSIS!Q33</f>
        <v/>
      </c>
      <c r="AE92" s="44">
        <f>LTI_RATIO_ANALYSIS!R33</f>
        <v/>
      </c>
      <c r="AH92" s="48">
        <f>LTI_RATIO_ANALYSIS!M103</f>
        <v/>
      </c>
      <c r="AI92" s="49">
        <f>LTI_RATIO_ANALYSIS!N103</f>
        <v/>
      </c>
      <c r="AJ92" s="49">
        <f>LTI_RATIO_ANALYSIS!O103</f>
        <v/>
      </c>
      <c r="AK92" s="49">
        <f>LTI_RATIO_ANALYSIS!P103</f>
        <v/>
      </c>
      <c r="AL92" s="49">
        <f>LTI_RATIO_ANALYSIS!Q103</f>
        <v/>
      </c>
      <c r="AM92" s="50">
        <f>LTI_RATIO_ANALYSIS!R103</f>
        <v/>
      </c>
      <c r="AP92" s="48">
        <f>LTI_RATIO_ANALYSIS!M70</f>
        <v/>
      </c>
      <c r="AQ92" s="49">
        <f>LTI_RATIO_ANALYSIS!N70</f>
        <v/>
      </c>
      <c r="AR92" s="49">
        <f>LTI_RATIO_ANALYSIS!O70</f>
        <v/>
      </c>
      <c r="AS92" s="49">
        <f>LTI_RATIO_ANALYSIS!P70</f>
        <v/>
      </c>
      <c r="AT92" s="49">
        <f>LTI_RATIO_ANALYSIS!Q70</f>
        <v/>
      </c>
      <c r="AU92" s="50">
        <f>LTI_RATIO_ANALYSIS!R70</f>
        <v/>
      </c>
    </row>
    <row r="94">
      <c r="R94" s="212" t="inlineStr">
        <is>
          <t>EBITDA Margin</t>
        </is>
      </c>
      <c r="S94" s="213" t="n"/>
      <c r="T94" s="213" t="n"/>
      <c r="U94" s="213" t="n"/>
      <c r="V94" s="213" t="n"/>
      <c r="W94" s="214" t="n"/>
      <c r="Z94" s="212" t="inlineStr">
        <is>
          <t>SG&amp;A % of Revenue</t>
        </is>
      </c>
      <c r="AA94" s="213" t="n"/>
      <c r="AB94" s="213" t="n"/>
      <c r="AC94" s="213" t="n"/>
      <c r="AD94" s="213" t="n"/>
      <c r="AE94" s="214" t="n"/>
      <c r="AP94" s="212" t="inlineStr">
        <is>
          <t>PPE Turnover</t>
        </is>
      </c>
      <c r="AQ94" s="213" t="n"/>
      <c r="AR94" s="213" t="n"/>
      <c r="AS94" s="213" t="n"/>
      <c r="AT94" s="213" t="n"/>
      <c r="AU94" s="214" t="n"/>
    </row>
    <row r="95">
      <c r="R95" s="39" t="inlineStr">
        <is>
          <t>FY2017</t>
        </is>
      </c>
      <c r="S95" s="40" t="inlineStr">
        <is>
          <t>FY2018</t>
        </is>
      </c>
      <c r="T95" s="40" t="inlineStr">
        <is>
          <t>FY2019</t>
        </is>
      </c>
      <c r="U95" s="40" t="inlineStr">
        <is>
          <t>FY2020</t>
        </is>
      </c>
      <c r="V95" s="40" t="inlineStr">
        <is>
          <t>FY2021</t>
        </is>
      </c>
      <c r="W95" s="41" t="inlineStr">
        <is>
          <t>FY2022</t>
        </is>
      </c>
      <c r="Z95" s="39" t="inlineStr">
        <is>
          <t>FY2017</t>
        </is>
      </c>
      <c r="AA95" s="40" t="inlineStr">
        <is>
          <t>FY2018</t>
        </is>
      </c>
      <c r="AB95" s="40" t="inlineStr">
        <is>
          <t>FY2019</t>
        </is>
      </c>
      <c r="AC95" s="40" t="inlineStr">
        <is>
          <t>FY2020</t>
        </is>
      </c>
      <c r="AD95" s="40" t="inlineStr">
        <is>
          <t>FY2021</t>
        </is>
      </c>
      <c r="AE95" s="41" t="inlineStr">
        <is>
          <t>FY2022</t>
        </is>
      </c>
      <c r="AP95" s="39" t="inlineStr">
        <is>
          <t>FY2017</t>
        </is>
      </c>
      <c r="AQ95" s="40" t="inlineStr">
        <is>
          <t>FY2018</t>
        </is>
      </c>
      <c r="AR95" s="40" t="inlineStr">
        <is>
          <t>FY2019</t>
        </is>
      </c>
      <c r="AS95" s="40" t="inlineStr">
        <is>
          <t>FY2020</t>
        </is>
      </c>
      <c r="AT95" s="40" t="inlineStr">
        <is>
          <t>FY2021</t>
        </is>
      </c>
      <c r="AU95" s="41" t="inlineStr">
        <is>
          <t>FY2022</t>
        </is>
      </c>
    </row>
    <row r="96">
      <c r="R96" s="42">
        <f>LTI_RATIO_ANALYSIS!M28</f>
        <v/>
      </c>
      <c r="S96" s="43">
        <f>LTI_RATIO_ANALYSIS!N28</f>
        <v/>
      </c>
      <c r="T96" s="43">
        <f>LTI_RATIO_ANALYSIS!O28</f>
        <v/>
      </c>
      <c r="U96" s="43">
        <f>LTI_RATIO_ANALYSIS!P28</f>
        <v/>
      </c>
      <c r="V96" s="43">
        <f>LTI_RATIO_ANALYSIS!Q28</f>
        <v/>
      </c>
      <c r="W96" s="44">
        <f>LTI_RATIO_ANALYSIS!R28</f>
        <v/>
      </c>
      <c r="Z96" s="42">
        <f>LTI_RATIO_ANALYSIS!M22</f>
        <v/>
      </c>
      <c r="AA96" s="43">
        <f>LTI_RATIO_ANALYSIS!N22</f>
        <v/>
      </c>
      <c r="AB96" s="43">
        <f>LTI_RATIO_ANALYSIS!O22</f>
        <v/>
      </c>
      <c r="AC96" s="43">
        <f>LTI_RATIO_ANALYSIS!P22</f>
        <v/>
      </c>
      <c r="AD96" s="43">
        <f>LTI_RATIO_ANALYSIS!Q22</f>
        <v/>
      </c>
      <c r="AE96" s="44">
        <f>LTI_RATIO_ANALYSIS!R22</f>
        <v/>
      </c>
      <c r="AP96" s="48">
        <f>LTI_RATIO_ANALYSIS!M73</f>
        <v/>
      </c>
      <c r="AQ96" s="49">
        <f>LTI_RATIO_ANALYSIS!N73</f>
        <v/>
      </c>
      <c r="AR96" s="49">
        <f>LTI_RATIO_ANALYSIS!O73</f>
        <v/>
      </c>
      <c r="AS96" s="49">
        <f>LTI_RATIO_ANALYSIS!P73</f>
        <v/>
      </c>
      <c r="AT96" s="49">
        <f>LTI_RATIO_ANALYSIS!Q73</f>
        <v/>
      </c>
      <c r="AU96" s="50">
        <f>LTI_RATIO_ANALYSIS!R73</f>
        <v/>
      </c>
    </row>
    <row r="98">
      <c r="R98" s="212" t="inlineStr">
        <is>
          <t>Gross Margin</t>
        </is>
      </c>
      <c r="S98" s="213" t="n"/>
      <c r="T98" s="213" t="n"/>
      <c r="U98" s="213" t="n"/>
      <c r="V98" s="213" t="n"/>
      <c r="W98" s="214" t="n"/>
      <c r="Z98" s="212" t="inlineStr">
        <is>
          <t>Other Op. Expenses %</t>
        </is>
      </c>
      <c r="AA98" s="213" t="n"/>
      <c r="AB98" s="213" t="n"/>
      <c r="AC98" s="213" t="n"/>
      <c r="AD98" s="213" t="n"/>
      <c r="AE98" s="214" t="n"/>
      <c r="AP98" s="212" t="inlineStr">
        <is>
          <t>Cash Turnover</t>
        </is>
      </c>
      <c r="AQ98" s="213" t="n"/>
      <c r="AR98" s="213" t="n"/>
      <c r="AS98" s="213" t="n"/>
      <c r="AT98" s="213" t="n"/>
      <c r="AU98" s="214" t="n"/>
    </row>
    <row r="99">
      <c r="R99" s="39" t="inlineStr">
        <is>
          <t>FY2017</t>
        </is>
      </c>
      <c r="S99" s="40" t="inlineStr">
        <is>
          <t>FY2018</t>
        </is>
      </c>
      <c r="T99" s="40" t="inlineStr">
        <is>
          <t>FY2019</t>
        </is>
      </c>
      <c r="U99" s="40" t="inlineStr">
        <is>
          <t>FY2020</t>
        </is>
      </c>
      <c r="V99" s="40" t="inlineStr">
        <is>
          <t>FY2021</t>
        </is>
      </c>
      <c r="W99" s="41" t="inlineStr">
        <is>
          <t>FY2022</t>
        </is>
      </c>
      <c r="Z99" s="39" t="inlineStr">
        <is>
          <t>FY2017</t>
        </is>
      </c>
      <c r="AA99" s="40" t="inlineStr">
        <is>
          <t>FY2018</t>
        </is>
      </c>
      <c r="AB99" s="40" t="inlineStr">
        <is>
          <t>FY2019</t>
        </is>
      </c>
      <c r="AC99" s="40" t="inlineStr">
        <is>
          <t>FY2020</t>
        </is>
      </c>
      <c r="AD99" s="40" t="inlineStr">
        <is>
          <t>FY2021</t>
        </is>
      </c>
      <c r="AE99" s="41" t="inlineStr">
        <is>
          <t>FY2022</t>
        </is>
      </c>
      <c r="AP99" s="39" t="inlineStr">
        <is>
          <t>FY2017</t>
        </is>
      </c>
      <c r="AQ99" s="40" t="inlineStr">
        <is>
          <t>FY2018</t>
        </is>
      </c>
      <c r="AR99" s="40" t="inlineStr">
        <is>
          <t>FY2019</t>
        </is>
      </c>
      <c r="AS99" s="40" t="inlineStr">
        <is>
          <t>FY2020</t>
        </is>
      </c>
      <c r="AT99" s="40" t="inlineStr">
        <is>
          <t>FY2021</t>
        </is>
      </c>
      <c r="AU99" s="41" t="inlineStr">
        <is>
          <t>FY2022</t>
        </is>
      </c>
    </row>
    <row r="100">
      <c r="R100" s="42">
        <f>LTI_RATIO_ANALYSIS!M19</f>
        <v/>
      </c>
      <c r="S100" s="43">
        <f>LTI_RATIO_ANALYSIS!N19</f>
        <v/>
      </c>
      <c r="T100" s="43">
        <f>LTI_RATIO_ANALYSIS!O19</f>
        <v/>
      </c>
      <c r="U100" s="43">
        <f>LTI_RATIO_ANALYSIS!P19</f>
        <v/>
      </c>
      <c r="V100" s="43">
        <f>LTI_RATIO_ANALYSIS!Q19</f>
        <v/>
      </c>
      <c r="W100" s="44">
        <f>LTI_RATIO_ANALYSIS!R19</f>
        <v/>
      </c>
      <c r="Z100" s="42">
        <f>LTI_RATIO_ANALYSIS!M25</f>
        <v/>
      </c>
      <c r="AA100" s="43">
        <f>LTI_RATIO_ANALYSIS!N25</f>
        <v/>
      </c>
      <c r="AB100" s="43">
        <f>LTI_RATIO_ANALYSIS!O25</f>
        <v/>
      </c>
      <c r="AC100" s="43">
        <f>LTI_RATIO_ANALYSIS!P25</f>
        <v/>
      </c>
      <c r="AD100" s="43">
        <f>LTI_RATIO_ANALYSIS!Q25</f>
        <v/>
      </c>
      <c r="AE100" s="44">
        <f>LTI_RATIO_ANALYSIS!R25</f>
        <v/>
      </c>
      <c r="AP100" s="48">
        <f>LTI_RATIO_ANALYSIS!M76</f>
        <v/>
      </c>
      <c r="AQ100" s="49">
        <f>LTI_RATIO_ANALYSIS!N76</f>
        <v/>
      </c>
      <c r="AR100" s="49">
        <f>LTI_RATIO_ANALYSIS!O76</f>
        <v/>
      </c>
      <c r="AS100" s="49">
        <f>LTI_RATIO_ANALYSIS!P76</f>
        <v/>
      </c>
      <c r="AT100" s="49">
        <f>LTI_RATIO_ANALYSIS!Q76</f>
        <v/>
      </c>
      <c r="AU100" s="50">
        <f>LTI_RATIO_ANALYSIS!R76</f>
        <v/>
      </c>
    </row>
    <row r="102">
      <c r="AP102" s="212" t="inlineStr">
        <is>
          <t>A/R Turnover</t>
        </is>
      </c>
      <c r="AQ102" s="213" t="n"/>
      <c r="AR102" s="213" t="n"/>
      <c r="AS102" s="213" t="n"/>
      <c r="AT102" s="213" t="n"/>
      <c r="AU102" s="214" t="n"/>
    </row>
    <row r="103">
      <c r="AP103" s="39" t="inlineStr">
        <is>
          <t>FY2017</t>
        </is>
      </c>
      <c r="AQ103" s="40" t="inlineStr">
        <is>
          <t>FY2018</t>
        </is>
      </c>
      <c r="AR103" s="40" t="inlineStr">
        <is>
          <t>FY2019</t>
        </is>
      </c>
      <c r="AS103" s="40" t="inlineStr">
        <is>
          <t>FY2020</t>
        </is>
      </c>
      <c r="AT103" s="40" t="inlineStr">
        <is>
          <t>FY2021</t>
        </is>
      </c>
      <c r="AU103" s="41" t="inlineStr">
        <is>
          <t>FY2022</t>
        </is>
      </c>
    </row>
    <row r="104">
      <c r="AP104" s="48">
        <f>LTI_RATIO_ANALYSIS!M82</f>
        <v/>
      </c>
      <c r="AQ104" s="49">
        <f>LTI_RATIO_ANALYSIS!N82</f>
        <v/>
      </c>
      <c r="AR104" s="49">
        <f>LTI_RATIO_ANALYSIS!O82</f>
        <v/>
      </c>
      <c r="AS104" s="49">
        <f>LTI_RATIO_ANALYSIS!P82</f>
        <v/>
      </c>
      <c r="AT104" s="49">
        <f>LTI_RATIO_ANALYSIS!Q82</f>
        <v/>
      </c>
      <c r="AU104" s="50">
        <f>LTI_RATIO_ANALYSIS!R82</f>
        <v/>
      </c>
    </row>
    <row r="106">
      <c r="AP106" s="212" t="inlineStr">
        <is>
          <t>Inventory Turnover</t>
        </is>
      </c>
      <c r="AQ106" s="213" t="n"/>
      <c r="AR106" s="213" t="n"/>
      <c r="AS106" s="213" t="n"/>
      <c r="AT106" s="213" t="n"/>
      <c r="AU106" s="214" t="n"/>
    </row>
    <row r="107">
      <c r="AP107" s="39" t="inlineStr">
        <is>
          <t>FY2017</t>
        </is>
      </c>
      <c r="AQ107" s="40" t="inlineStr">
        <is>
          <t>FY2018</t>
        </is>
      </c>
      <c r="AR107" s="40" t="inlineStr">
        <is>
          <t>FY2019</t>
        </is>
      </c>
      <c r="AS107" s="40" t="inlineStr">
        <is>
          <t>FY2020</t>
        </is>
      </c>
      <c r="AT107" s="40" t="inlineStr">
        <is>
          <t>FY2021</t>
        </is>
      </c>
      <c r="AU107" s="41" t="inlineStr">
        <is>
          <t>FY2022</t>
        </is>
      </c>
    </row>
    <row r="108">
      <c r="AP108" s="48">
        <f>LTI_RATIO_ANALYSIS!M88</f>
        <v/>
      </c>
      <c r="AQ108" s="49">
        <f>LTI_RATIO_ANALYSIS!N88</f>
        <v/>
      </c>
      <c r="AR108" s="49">
        <f>LTI_RATIO_ANALYSIS!O88</f>
        <v/>
      </c>
      <c r="AS108" s="49">
        <f>LTI_RATIO_ANALYSIS!P88</f>
        <v/>
      </c>
      <c r="AT108" s="49">
        <f>LTI_RATIO_ANALYSIS!Q88</f>
        <v/>
      </c>
      <c r="AU108" s="50">
        <f>LTI_RATIO_ANALYSIS!R88</f>
        <v/>
      </c>
    </row>
  </sheetData>
  <mergeCells count="49">
    <mergeCell ref="AH35:AM35"/>
    <mergeCell ref="R90:W90"/>
    <mergeCell ref="AH43:AM43"/>
    <mergeCell ref="B42:G42"/>
    <mergeCell ref="Z50:AE50"/>
    <mergeCell ref="AP94:AU94"/>
    <mergeCell ref="N33:S33"/>
    <mergeCell ref="J74:O74"/>
    <mergeCell ref="J70:O70"/>
    <mergeCell ref="B78:G78"/>
    <mergeCell ref="AH39:AM39"/>
    <mergeCell ref="B38:G38"/>
    <mergeCell ref="J54:O54"/>
    <mergeCell ref="AP90:AU90"/>
    <mergeCell ref="Z98:AE98"/>
    <mergeCell ref="Z42:AE42"/>
    <mergeCell ref="Z38:AE38"/>
    <mergeCell ref="AH51:AM51"/>
    <mergeCell ref="J66:O66"/>
    <mergeCell ref="Z94:AE94"/>
    <mergeCell ref="A1:AU1"/>
    <mergeCell ref="B74:G74"/>
    <mergeCell ref="J50:O50"/>
    <mergeCell ref="J90:O90"/>
    <mergeCell ref="J46:O46"/>
    <mergeCell ref="Z90:AE90"/>
    <mergeCell ref="J62:O62"/>
    <mergeCell ref="J42:O42"/>
    <mergeCell ref="AH90:AM90"/>
    <mergeCell ref="Z46:AE46"/>
    <mergeCell ref="R98:W98"/>
    <mergeCell ref="B50:G50"/>
    <mergeCell ref="AH47:AM47"/>
    <mergeCell ref="AP102:AU102"/>
    <mergeCell ref="B62:G62"/>
    <mergeCell ref="J38:O38"/>
    <mergeCell ref="B54:G54"/>
    <mergeCell ref="R38:W38"/>
    <mergeCell ref="AP106:AU106"/>
    <mergeCell ref="B90:G90"/>
    <mergeCell ref="V85:AA85"/>
    <mergeCell ref="B46:G46"/>
    <mergeCell ref="B66:G66"/>
    <mergeCell ref="A2:AU2"/>
    <mergeCell ref="Z54:AE54"/>
    <mergeCell ref="R94:W94"/>
    <mergeCell ref="AP98:AU98"/>
    <mergeCell ref="J78:O78"/>
    <mergeCell ref="B70:G70"/>
  </mergeCells>
  <pageMargins left="0.75" right="0.75" top="1" bottom="1" header="0.5" footer="0.5"/>
</worksheet>
</file>

<file path=xl/worksheets/sheet18.xml><?xml version="1.0" encoding="utf-8"?>
<worksheet xmlns="http://schemas.openxmlformats.org/spreadsheetml/2006/main">
  <sheetPr>
    <tabColor rgb="001F4E78"/>
    <outlinePr summaryBelow="1" summaryRight="1"/>
    <pageSetUpPr/>
  </sheetPr>
  <dimension ref="B6:B6"/>
  <sheetViews>
    <sheetView showGridLines="0" workbookViewId="0">
      <selection activeCell="A1" sqref="A1"/>
    </sheetView>
  </sheetViews>
  <sheetFormatPr baseColWidth="8" defaultRowHeight="14.5"/>
  <cols>
    <col width="3" customWidth="1" style="203" min="1" max="1"/>
    <col width="30" customWidth="1" style="203" min="2" max="2"/>
  </cols>
  <sheetData>
    <row r="6" ht="23.5" customHeight="1" s="203">
      <c r="B6" s="51" t="inlineStr">
        <is>
          <t>RAW DATA  →</t>
        </is>
      </c>
    </row>
  </sheetData>
  <pageMargins left="0.75" right="0.75" top="1" bottom="1" header="0.5" footer="0.5"/>
</worksheet>
</file>

<file path=xl/worksheets/sheet19.xml><?xml version="1.0" encoding="utf-8"?>
<worksheet xmlns="http://schemas.openxmlformats.org/spreadsheetml/2006/main">
  <sheetPr>
    <tabColor rgb="001F4E78"/>
    <outlinePr summaryBelow="1" summaryRight="1"/>
    <pageSetUpPr/>
  </sheetPr>
  <dimension ref="A1:I811"/>
  <sheetViews>
    <sheetView workbookViewId="0">
      <selection activeCell="A1" sqref="A1"/>
    </sheetView>
  </sheetViews>
  <sheetFormatPr baseColWidth="8" defaultRowHeight="14.5"/>
  <cols>
    <col width="3" customWidth="1" style="203" min="1" max="1"/>
    <col width="62" customWidth="1" style="203" min="2" max="2"/>
    <col width="42" customWidth="1" style="203" min="3" max="3"/>
    <col width="22" customWidth="1" style="203" min="4" max="9"/>
  </cols>
  <sheetData>
    <row r="1" ht="18.5" customHeight="1" s="203">
      <c r="B1" s="52" t="inlineStr">
        <is>
          <t>LTIMindtree</t>
        </is>
      </c>
    </row>
    <row r="3">
      <c r="A3" t="inlineStr">
        <is>
          <t>#</t>
        </is>
      </c>
      <c r="B3" s="20" t="inlineStr">
        <is>
          <t>Statement of Profit and Loss</t>
        </is>
      </c>
    </row>
    <row r="4">
      <c r="B4" t="inlineStr">
        <is>
          <t>Raw units, no conversion applied -- source varies by year, see Output/XBRL_Files filenames (_MCA = MCA XBRL, _NSE = NSE Integrated Filing XBRL)</t>
        </is>
      </c>
    </row>
    <row r="6">
      <c r="C6" s="53" t="inlineStr">
        <is>
          <t>Concept Tag</t>
        </is>
      </c>
      <c r="D6" s="20" t="inlineStr">
        <is>
          <t>FY2017</t>
        </is>
      </c>
      <c r="E6" s="20" t="inlineStr">
        <is>
          <t>FY2018</t>
        </is>
      </c>
      <c r="F6" s="20" t="inlineStr">
        <is>
          <t>FY2019</t>
        </is>
      </c>
      <c r="G6" s="20" t="inlineStr">
        <is>
          <t>FY2020</t>
        </is>
      </c>
      <c r="H6" s="20" t="inlineStr">
        <is>
          <t>FY2021</t>
        </is>
      </c>
      <c r="I6" s="20" t="inlineStr">
        <is>
          <t>FY2022</t>
        </is>
      </c>
    </row>
    <row r="7" ht="15.5" customHeight="1" s="203">
      <c r="B7" s="38" t="inlineStr">
        <is>
          <t>Income [Abstract]</t>
        </is>
      </c>
    </row>
    <row r="8">
      <c r="B8" s="54" t="inlineStr">
        <is>
          <t>Total revenue from operations</t>
        </is>
      </c>
      <c r="C8" s="55" t="inlineStr">
        <is>
          <t>RevenueFromOperations</t>
        </is>
      </c>
      <c r="D8" s="56" t="n">
        <v>65009000000</v>
      </c>
      <c r="E8" s="56" t="n">
        <v>73065000000</v>
      </c>
      <c r="F8" s="56" t="n">
        <v>94458000000</v>
      </c>
      <c r="G8" s="56" t="n">
        <v>108786000000</v>
      </c>
      <c r="H8" s="56" t="n">
        <v>123698000000</v>
      </c>
      <c r="I8" s="56" t="n">
        <v>156687000000</v>
      </c>
    </row>
    <row r="9">
      <c r="B9" s="54" t="inlineStr">
        <is>
          <t>Total other income</t>
        </is>
      </c>
      <c r="C9" s="55" t="inlineStr">
        <is>
          <t>OtherIncome</t>
        </is>
      </c>
      <c r="D9" s="56" t="n">
        <v>1867000000</v>
      </c>
      <c r="E9" s="56" t="n">
        <v>4261000000</v>
      </c>
      <c r="F9" s="56" t="n">
        <v>3023000000</v>
      </c>
      <c r="G9" s="56" t="n">
        <v>3292000000</v>
      </c>
      <c r="H9" s="56" t="n">
        <v>2744000000</v>
      </c>
      <c r="I9" s="56" t="n">
        <v>4667000000</v>
      </c>
    </row>
    <row r="10">
      <c r="B10" s="57" t="inlineStr">
        <is>
          <t>Total income</t>
        </is>
      </c>
      <c r="C10" s="55" t="inlineStr">
        <is>
          <t>Income</t>
        </is>
      </c>
      <c r="D10" s="58" t="n">
        <v>66876000000</v>
      </c>
      <c r="E10" s="58" t="n">
        <v>77326000000</v>
      </c>
      <c r="F10" s="58" t="n">
        <v>97481000000</v>
      </c>
      <c r="G10" s="58" t="n">
        <v>112078000000</v>
      </c>
      <c r="H10" s="58" t="n">
        <v>126442000000</v>
      </c>
      <c r="I10" s="58" t="n">
        <v>161354000000</v>
      </c>
    </row>
    <row r="11" ht="15.5" customHeight="1" s="203">
      <c r="B11" s="38" t="inlineStr">
        <is>
          <t>Expenses [Abstract]</t>
        </is>
      </c>
    </row>
    <row r="12">
      <c r="B12" s="54" t="inlineStr">
        <is>
          <t>Total employee benefit expense</t>
        </is>
      </c>
      <c r="C12" s="55" t="inlineStr">
        <is>
          <t>EmployeeBenefitExpense</t>
        </is>
      </c>
      <c r="D12" s="56" t="n">
        <v>37758000000</v>
      </c>
      <c r="E12" s="56" t="n">
        <v>43289000000</v>
      </c>
      <c r="F12" s="56" t="n">
        <v>54668000000</v>
      </c>
      <c r="G12" s="56" t="n">
        <v>65166000000</v>
      </c>
      <c r="H12" s="56" t="n">
        <v>74289000000</v>
      </c>
      <c r="I12" s="56" t="n">
        <v>97007000000</v>
      </c>
    </row>
    <row r="13">
      <c r="B13" s="54" t="inlineStr">
        <is>
          <t>Total finance costs</t>
        </is>
      </c>
      <c r="C13" s="55" t="inlineStr">
        <is>
          <t>FinanceCosts</t>
        </is>
      </c>
      <c r="D13" s="56" t="n">
        <v>32000000</v>
      </c>
      <c r="E13" s="56" t="n">
        <v>157000000</v>
      </c>
      <c r="F13" s="56" t="n">
        <v>106000000</v>
      </c>
      <c r="G13" s="56" t="n">
        <v>826000000</v>
      </c>
      <c r="H13" s="56" t="n">
        <v>788000000</v>
      </c>
      <c r="I13" s="56" t="n">
        <v>728000000</v>
      </c>
    </row>
    <row r="14">
      <c r="B14" s="54" t="inlineStr">
        <is>
          <t>Total depreciation, depletion and amortisation expense</t>
        </is>
      </c>
      <c r="C14" s="55" t="inlineStr">
        <is>
          <t>DepreciationDepletionAndAmortisationExpense</t>
        </is>
      </c>
      <c r="D14" s="56" t="n">
        <v>1779000000</v>
      </c>
      <c r="E14" s="56" t="n">
        <v>1563000000</v>
      </c>
      <c r="F14" s="56" t="n">
        <v>1472000000</v>
      </c>
      <c r="G14" s="56" t="n">
        <v>2730000000</v>
      </c>
      <c r="H14" s="56" t="n">
        <v>3325000000</v>
      </c>
      <c r="I14" s="56" t="n">
        <v>3549000000</v>
      </c>
    </row>
    <row r="15">
      <c r="B15" s="54" t="inlineStr">
        <is>
          <t>Total other expenses</t>
        </is>
      </c>
      <c r="C15" s="55" t="inlineStr">
        <is>
          <t>OtherExpenses</t>
        </is>
      </c>
      <c r="D15" s="56" t="n">
        <v>14949000000</v>
      </c>
      <c r="E15" s="56" t="n">
        <v>17902000000</v>
      </c>
      <c r="F15" s="56" t="n">
        <v>20957000000</v>
      </c>
      <c r="G15" s="56" t="n">
        <v>23327000000</v>
      </c>
      <c r="H15" s="56" t="n">
        <v>22158000000</v>
      </c>
      <c r="I15" s="56" t="n">
        <v>29096000000</v>
      </c>
    </row>
    <row r="16">
      <c r="B16" s="57" t="inlineStr">
        <is>
          <t>Total expenses</t>
        </is>
      </c>
      <c r="C16" s="55" t="inlineStr">
        <is>
          <t>Expenses</t>
        </is>
      </c>
      <c r="D16" s="58" t="n">
        <v>54518000000</v>
      </c>
      <c r="E16" s="58" t="n">
        <v>62911000000</v>
      </c>
      <c r="F16" s="58" t="n">
        <v>77203000000</v>
      </c>
      <c r="G16" s="58" t="n">
        <v>92049000000</v>
      </c>
      <c r="H16" s="58" t="n">
        <v>100560000000</v>
      </c>
      <c r="I16" s="58" t="n">
        <v>130380000000</v>
      </c>
    </row>
    <row r="17">
      <c r="B17" s="8" t="inlineStr">
        <is>
          <t>Profit before exceptional items and tax</t>
        </is>
      </c>
      <c r="C17" s="55" t="inlineStr">
        <is>
          <t>ProfitBeforeExceptionalItemsAndTax</t>
        </is>
      </c>
      <c r="D17" s="58" t="n">
        <v>12358000000</v>
      </c>
      <c r="E17" s="58" t="n">
        <v>14415000000</v>
      </c>
      <c r="F17" s="58" t="n">
        <v>20278000000</v>
      </c>
      <c r="G17" s="58" t="n">
        <v>20029000000</v>
      </c>
      <c r="H17" s="58" t="n">
        <v>25882000000</v>
      </c>
      <c r="I17" s="58" t="n">
        <v>30974000000</v>
      </c>
    </row>
    <row r="18">
      <c r="B18" s="8" t="inlineStr">
        <is>
          <t>Total profit before tax</t>
        </is>
      </c>
      <c r="C18" s="55" t="inlineStr">
        <is>
          <t>ProfitBeforeTax</t>
        </is>
      </c>
      <c r="D18" s="58" t="n">
        <v>12358000000</v>
      </c>
      <c r="E18" s="58" t="n">
        <v>14415000000</v>
      </c>
      <c r="F18" s="58" t="n">
        <v>20278000000</v>
      </c>
      <c r="G18" s="58" t="n">
        <v>20029000000</v>
      </c>
      <c r="H18" s="58" t="n">
        <v>25882000000</v>
      </c>
      <c r="I18" s="58" t="n">
        <v>30974000000</v>
      </c>
    </row>
    <row r="19" ht="15.5" customHeight="1" s="203">
      <c r="B19" s="38" t="inlineStr">
        <is>
          <t>Tax expense [Abstract]</t>
        </is>
      </c>
    </row>
    <row r="20">
      <c r="B20" s="54" t="inlineStr">
        <is>
          <t>Total current tax</t>
        </is>
      </c>
      <c r="C20" s="55" t="inlineStr">
        <is>
          <t>CurrentTax</t>
        </is>
      </c>
      <c r="D20" s="56" t="n">
        <v>3181000000</v>
      </c>
      <c r="E20" s="56" t="n">
        <v>3654000000</v>
      </c>
      <c r="F20" s="56" t="n">
        <v>4875000000</v>
      </c>
      <c r="G20" s="56" t="n">
        <v>3913000000</v>
      </c>
      <c r="H20" s="56" t="n">
        <v>6314000000</v>
      </c>
      <c r="I20" s="56" t="n">
        <v>8181000000</v>
      </c>
    </row>
    <row r="21">
      <c r="B21" s="54" t="inlineStr">
        <is>
          <t>Deferred tax</t>
        </is>
      </c>
      <c r="C21" s="55" t="inlineStr">
        <is>
          <t>DeferredTax</t>
        </is>
      </c>
      <c r="D21" s="56" t="n">
        <v>-532000000</v>
      </c>
      <c r="E21" s="56" t="n">
        <v>-363000000</v>
      </c>
      <c r="F21" s="56" t="n">
        <v>248000000</v>
      </c>
      <c r="G21" s="56" t="n">
        <v>911000000</v>
      </c>
      <c r="H21" s="56" t="n">
        <v>186000000</v>
      </c>
      <c r="I21" s="56" t="n">
        <v>-192000000</v>
      </c>
    </row>
    <row r="22">
      <c r="B22" s="57" t="inlineStr">
        <is>
          <t>Total tax expense</t>
        </is>
      </c>
      <c r="C22" s="55" t="inlineStr">
        <is>
          <t>TaxExpense</t>
        </is>
      </c>
      <c r="D22" s="58" t="n">
        <v>2649000000</v>
      </c>
      <c r="E22" s="58" t="n">
        <v>3291000000</v>
      </c>
      <c r="F22" s="58" t="n">
        <v>5123000000</v>
      </c>
      <c r="G22" s="58" t="n">
        <v>4824000000</v>
      </c>
      <c r="H22" s="58" t="n">
        <v>6500000000</v>
      </c>
      <c r="I22" s="58" t="n">
        <v>7989000000</v>
      </c>
    </row>
    <row r="23">
      <c r="B23" s="8" t="inlineStr">
        <is>
          <t>Total profit (loss) for period from continuing operations</t>
        </is>
      </c>
      <c r="C23" s="55" t="inlineStr">
        <is>
          <t>ProfitLossForPeriodFromContinuingOperations</t>
        </is>
      </c>
      <c r="D23" s="58" t="n">
        <v>9709000000</v>
      </c>
      <c r="E23" s="58" t="n">
        <v>11124000000</v>
      </c>
      <c r="F23" s="58" t="n">
        <v>15155000000</v>
      </c>
      <c r="G23" s="58" t="n">
        <v>15205000000</v>
      </c>
      <c r="H23" s="58" t="n">
        <v>19382000000</v>
      </c>
      <c r="I23" s="58" t="n">
        <v>22985000000</v>
      </c>
    </row>
    <row r="24">
      <c r="B24" s="8" t="inlineStr">
        <is>
          <t>Total profit (loss) for period</t>
        </is>
      </c>
      <c r="C24" s="55" t="inlineStr">
        <is>
          <t>ProfitLossForPeriod</t>
        </is>
      </c>
      <c r="D24" s="58" t="n">
        <v>9709000000</v>
      </c>
      <c r="E24" s="58" t="n">
        <v>11124000000</v>
      </c>
      <c r="F24" s="58" t="n">
        <v>15155000000</v>
      </c>
      <c r="G24" s="58" t="n">
        <v>15205000000</v>
      </c>
      <c r="H24" s="58" t="n">
        <v>19382000000</v>
      </c>
      <c r="I24" s="58" t="n">
        <v>22985000000</v>
      </c>
    </row>
    <row r="25">
      <c r="B25" s="54" t="inlineStr">
        <is>
          <t>Profit or loss, attributable to owners of parent</t>
        </is>
      </c>
      <c r="C25" s="55" t="inlineStr">
        <is>
          <t>ProfitOrLossAttributableToOwnersOfParent</t>
        </is>
      </c>
      <c r="D25" s="56" t="n">
        <v>9707000000</v>
      </c>
      <c r="E25" s="56" t="n">
        <v>11120000000</v>
      </c>
      <c r="F25" s="56" t="n">
        <v>0</v>
      </c>
      <c r="G25" s="56" t="n">
        <v>0</v>
      </c>
      <c r="H25" s="56" t="n">
        <v>19361000000</v>
      </c>
      <c r="I25" s="56" t="n">
        <v>22968000000</v>
      </c>
    </row>
    <row r="26">
      <c r="B26" s="54" t="inlineStr">
        <is>
          <t>Profit or loss, attributable to non-controlling interests</t>
        </is>
      </c>
      <c r="C26" s="55" t="inlineStr">
        <is>
          <t>ProfitOrLossAttributableToNonControllingInterests</t>
        </is>
      </c>
      <c r="D26" s="56" t="n">
        <v>2000000</v>
      </c>
      <c r="E26" s="56" t="n">
        <v>4000000</v>
      </c>
      <c r="F26" s="56" t="n">
        <v>0</v>
      </c>
      <c r="G26" s="56" t="n">
        <v>0</v>
      </c>
      <c r="H26" s="56" t="n">
        <v>21000000</v>
      </c>
      <c r="I26" s="56" t="n">
        <v>17000000</v>
      </c>
    </row>
    <row r="27">
      <c r="B27" s="6" t="inlineStr">
        <is>
          <t>Profit or loss, attributable to owners of parent</t>
        </is>
      </c>
      <c r="C27" s="55" t="inlineStr">
        <is>
          <t>ProfitOrLossAttributableToOwnersOfParent</t>
        </is>
      </c>
      <c r="D27" s="56" t="n">
        <v>9707000000</v>
      </c>
      <c r="E27" s="56" t="n">
        <v>11120000000</v>
      </c>
      <c r="F27" s="56" t="n">
        <v>0</v>
      </c>
      <c r="G27" s="56" t="n">
        <v>0</v>
      </c>
      <c r="H27" s="56" t="n">
        <v>19361000000</v>
      </c>
      <c r="I27" s="56" t="n">
        <v>22968000000</v>
      </c>
    </row>
    <row r="28">
      <c r="B28" s="6" t="inlineStr">
        <is>
          <t>Profit or loss, attributable to non-controlling interests</t>
        </is>
      </c>
      <c r="C28" s="55" t="inlineStr">
        <is>
          <t>ProfitOrLossAttributableToNonControllingInterests</t>
        </is>
      </c>
      <c r="D28" s="56" t="n">
        <v>2000000</v>
      </c>
      <c r="E28" s="56" t="n">
        <v>4000000</v>
      </c>
      <c r="F28" s="56" t="n">
        <v>0</v>
      </c>
      <c r="G28" s="56" t="n">
        <v>0</v>
      </c>
      <c r="H28" s="56" t="n">
        <v>21000000</v>
      </c>
      <c r="I28" s="56" t="n">
        <v>17000000</v>
      </c>
    </row>
    <row r="29" ht="15.5" customHeight="1" s="203">
      <c r="B29" s="38" t="inlineStr">
        <is>
          <t>Comprehensive income OCI components presented net of tax [Abstract]</t>
        </is>
      </c>
    </row>
    <row r="30">
      <c r="B30" s="59" t="inlineStr">
        <is>
          <t>Other comprehensive income net of tax [Abstract]</t>
        </is>
      </c>
    </row>
    <row r="31">
      <c r="B31" s="60" t="inlineStr">
        <is>
          <t>Components of other comprehensive income that will not be reclassified to profit or loss, net of tax [Abstract]</t>
        </is>
      </c>
    </row>
    <row r="32">
      <c r="B32" s="61" t="inlineStr">
        <is>
          <t>Other comprehensive income, net of tax, gains (losses) on remeasurements of defined benefit plans</t>
        </is>
      </c>
      <c r="C32" s="55" t="inlineStr">
        <is>
          <t>OtherComprehensiveIncomeNetOfTaxGainsLossesOnRemeasurementsOfDefinedBenefitPlans</t>
        </is>
      </c>
      <c r="D32" s="56" t="n">
        <v>0</v>
      </c>
      <c r="E32" s="56" t="n">
        <v>0</v>
      </c>
      <c r="F32" s="56" t="n">
        <v>41000000</v>
      </c>
      <c r="G32" s="56" t="n">
        <v>0</v>
      </c>
      <c r="H32" s="56" t="n">
        <v>0</v>
      </c>
      <c r="I32" s="56" t="n">
        <v>0</v>
      </c>
    </row>
    <row r="33">
      <c r="B33" s="62" t="inlineStr">
        <is>
          <t>Total other comprehensive income that will not be reclassified to profit or loss, net of tax</t>
        </is>
      </c>
      <c r="C33" s="55" t="inlineStr">
        <is>
          <t>OtherComprehensiveIncomeThatWillNotBeReclassifiedToProfitOrLossNetOfTax</t>
        </is>
      </c>
      <c r="D33" s="56" t="n">
        <v>0</v>
      </c>
      <c r="E33" s="56" t="n">
        <v>0</v>
      </c>
      <c r="F33" s="56" t="n">
        <v>41000000</v>
      </c>
      <c r="G33" s="56" t="n">
        <v>0</v>
      </c>
      <c r="H33" s="56" t="n">
        <v>0</v>
      </c>
      <c r="I33" s="56" t="n">
        <v>0</v>
      </c>
    </row>
    <row r="34">
      <c r="B34" s="60" t="inlineStr">
        <is>
          <t>Components of other comprehensive income that will be reclassified to profit or loss, net of tax [Abstract]</t>
        </is>
      </c>
    </row>
    <row r="35">
      <c r="B35" s="63" t="inlineStr">
        <is>
          <t>Exchange differences on translation net of tax [Abstract]</t>
        </is>
      </c>
    </row>
    <row r="36">
      <c r="B36" s="64" t="inlineStr">
        <is>
          <t>Gains (losses) on exchange differences on translation, net of tax</t>
        </is>
      </c>
      <c r="C36" s="55" t="inlineStr">
        <is>
          <t>GainsLossesOnExchangeDifferencesOnTranslationNetOfTax</t>
        </is>
      </c>
      <c r="D36" s="56" t="n">
        <v>0</v>
      </c>
      <c r="E36" s="56" t="n">
        <v>0</v>
      </c>
      <c r="F36" s="56" t="n">
        <v>120000000</v>
      </c>
      <c r="G36" s="56" t="n">
        <v>0</v>
      </c>
      <c r="H36" s="56" t="n">
        <v>0</v>
      </c>
      <c r="I36" s="56" t="n">
        <v>0</v>
      </c>
    </row>
    <row r="37">
      <c r="B37" s="64" t="inlineStr">
        <is>
          <t>Total other comprehensive income, net of tax, exchange differences on translation</t>
        </is>
      </c>
      <c r="C37" s="55" t="inlineStr">
        <is>
          <t>OtherComprehensiveIncomeNetOfTaxExchangeDifferencesOnTranslation</t>
        </is>
      </c>
      <c r="D37" s="56" t="n">
        <v>0</v>
      </c>
      <c r="E37" s="56" t="n">
        <v>0</v>
      </c>
      <c r="F37" s="56" t="n">
        <v>120000000</v>
      </c>
      <c r="G37" s="56" t="n">
        <v>0</v>
      </c>
      <c r="H37" s="56" t="n">
        <v>0</v>
      </c>
      <c r="I37" s="56" t="n">
        <v>0</v>
      </c>
    </row>
    <row r="38">
      <c r="B38" s="63" t="inlineStr">
        <is>
          <t>Cash flow hedges net of tax [Abstract]</t>
        </is>
      </c>
    </row>
    <row r="39">
      <c r="B39" s="64" t="inlineStr">
        <is>
          <t>Gains (losses) on cash flow hedges, net of tax</t>
        </is>
      </c>
      <c r="C39" s="55" t="inlineStr">
        <is>
          <t>GainsLossesOnCashFlowHedgesNetOfTax</t>
        </is>
      </c>
      <c r="D39" s="56" t="n">
        <v>0</v>
      </c>
      <c r="E39" s="56" t="n">
        <v>0</v>
      </c>
      <c r="F39" s="56" t="n">
        <v>217000000</v>
      </c>
      <c r="G39" s="56" t="n">
        <v>0</v>
      </c>
      <c r="H39" s="56" t="n">
        <v>0</v>
      </c>
      <c r="I39" s="56" t="n">
        <v>0</v>
      </c>
    </row>
    <row r="40">
      <c r="B40" s="64" t="inlineStr">
        <is>
          <t>Total other comprehensive income, net of tax, cash flow hedges</t>
        </is>
      </c>
      <c r="C40" s="55" t="inlineStr">
        <is>
          <t>OtherComprehensiveIncomeNetOfTaxCashFlowHedges</t>
        </is>
      </c>
      <c r="D40" s="56" t="n">
        <v>0</v>
      </c>
      <c r="E40" s="56" t="n">
        <v>0</v>
      </c>
      <c r="F40" s="56" t="n">
        <v>217000000</v>
      </c>
      <c r="G40" s="56" t="n">
        <v>0</v>
      </c>
      <c r="H40" s="56" t="n">
        <v>0</v>
      </c>
      <c r="I40" s="56" t="n">
        <v>0</v>
      </c>
    </row>
    <row r="41">
      <c r="B41" s="62" t="inlineStr">
        <is>
          <t>Total other comprehensive income that will be reclassified to profit or loss, net of tax</t>
        </is>
      </c>
      <c r="C41" s="55" t="inlineStr">
        <is>
          <t>OtherComprehensiveIncomeThatWillBeReclassifiedToProfitOrLossNetOfTax</t>
        </is>
      </c>
      <c r="D41" s="56" t="n">
        <v>0</v>
      </c>
      <c r="E41" s="56" t="n">
        <v>0</v>
      </c>
      <c r="F41" s="56" t="n">
        <v>337000000</v>
      </c>
      <c r="G41" s="56" t="n">
        <v>0</v>
      </c>
      <c r="H41" s="56" t="n">
        <v>0</v>
      </c>
      <c r="I41" s="56" t="n">
        <v>0</v>
      </c>
    </row>
    <row r="42">
      <c r="B42" s="62" t="inlineStr">
        <is>
          <t>Total other comprehensive income</t>
        </is>
      </c>
      <c r="C42" s="55" t="inlineStr">
        <is>
          <t>OtherComprehensiveIncome</t>
        </is>
      </c>
      <c r="D42" s="56" t="n">
        <v>1945000000</v>
      </c>
      <c r="E42" s="56" t="n">
        <v>-835000000</v>
      </c>
      <c r="F42" s="56" t="n">
        <v>378000000</v>
      </c>
      <c r="G42" s="56" t="n">
        <v>-4099000000</v>
      </c>
      <c r="H42" s="56" t="n">
        <v>4788000000</v>
      </c>
      <c r="I42" s="56" t="n">
        <v>787000000</v>
      </c>
    </row>
    <row r="43">
      <c r="B43" s="60" t="inlineStr">
        <is>
          <t>Other comprehensive income attributable to net of tax [Abstract]</t>
        </is>
      </c>
    </row>
    <row r="44">
      <c r="B44" s="61" t="inlineStr">
        <is>
          <t>Other Comprehensive income, attributable to owners of parent</t>
        </is>
      </c>
      <c r="C44" s="55" t="inlineStr">
        <is>
          <t>OtherComprehensiveIncomeAttributableToOwnersOfParent</t>
        </is>
      </c>
      <c r="D44" s="56" t="n">
        <v>0</v>
      </c>
      <c r="E44" s="56" t="n">
        <v>0</v>
      </c>
      <c r="F44" s="56" t="n">
        <v>0</v>
      </c>
      <c r="G44" s="56" t="n">
        <v>11103000000</v>
      </c>
      <c r="H44" s="56" t="n">
        <v>24146000000</v>
      </c>
      <c r="I44" s="56" t="n">
        <v>784000000</v>
      </c>
    </row>
    <row r="45">
      <c r="B45" s="61" t="inlineStr">
        <is>
          <t>Other Comprehensive income, attributable to non-controlling interests</t>
        </is>
      </c>
      <c r="C45" s="55" t="inlineStr">
        <is>
          <t>OtherComprehensiveIncomeAttributableToNoncontrollingInterests</t>
        </is>
      </c>
      <c r="D45" s="56" t="n">
        <v>0</v>
      </c>
      <c r="E45" s="56" t="n">
        <v>0</v>
      </c>
      <c r="F45" s="56" t="n">
        <v>0</v>
      </c>
      <c r="G45" s="56" t="n">
        <v>3000000</v>
      </c>
      <c r="H45" s="56" t="n">
        <v>24000000</v>
      </c>
      <c r="I45" s="56" t="n">
        <v>3000000</v>
      </c>
    </row>
    <row r="46">
      <c r="B46" s="61" t="inlineStr">
        <is>
          <t>Total comprehensive income</t>
        </is>
      </c>
      <c r="C46" s="55" t="inlineStr">
        <is>
          <t>ComprehensiveIncome</t>
        </is>
      </c>
      <c r="D46" s="56" t="n">
        <v>11654000000</v>
      </c>
      <c r="E46" s="56" t="n">
        <v>10289000000</v>
      </c>
      <c r="F46" s="56" t="n">
        <v>15533000000</v>
      </c>
      <c r="G46" s="56" t="n">
        <v>11106000000</v>
      </c>
      <c r="H46" s="56" t="n">
        <v>24170000000</v>
      </c>
      <c r="I46" s="56" t="n">
        <v>23772000000</v>
      </c>
    </row>
    <row r="47">
      <c r="B47" s="63" t="inlineStr">
        <is>
          <t>Comprehensive income attributable to net of tax [Abstract]</t>
        </is>
      </c>
    </row>
    <row r="48">
      <c r="B48" s="64" t="inlineStr">
        <is>
          <t>Comprehensive income, attributable to owners of parent</t>
        </is>
      </c>
      <c r="C48" s="55" t="inlineStr">
        <is>
          <t>ComprehensiveIncomeAttributableToOwnersOfParent</t>
        </is>
      </c>
      <c r="D48" s="56" t="n">
        <v>11652000000</v>
      </c>
      <c r="E48" s="56" t="n">
        <v>10283000000</v>
      </c>
      <c r="F48" s="56" t="n">
        <v>0</v>
      </c>
      <c r="G48" s="56" t="n">
        <v>0</v>
      </c>
      <c r="H48" s="56" t="n">
        <v>24146000000</v>
      </c>
      <c r="I48" s="56" t="n">
        <v>23752000000</v>
      </c>
    </row>
    <row r="49">
      <c r="B49" s="64" t="inlineStr">
        <is>
          <t>Comprehensive income, attributable to non-controlling interests</t>
        </is>
      </c>
      <c r="C49" s="55" t="inlineStr">
        <is>
          <t>ComprehensiveIncomeAttributableToNoncontrollingInterests</t>
        </is>
      </c>
      <c r="D49" s="56" t="n">
        <v>2000000</v>
      </c>
      <c r="E49" s="56" t="n">
        <v>6000000</v>
      </c>
      <c r="F49" s="56" t="n">
        <v>0</v>
      </c>
      <c r="G49" s="56" t="n">
        <v>0</v>
      </c>
      <c r="H49" s="56" t="n">
        <v>24000000</v>
      </c>
      <c r="I49" s="56" t="n">
        <v>20000000</v>
      </c>
    </row>
    <row r="50">
      <c r="B50" s="54" t="inlineStr">
        <is>
          <t>Total comprehensive income</t>
        </is>
      </c>
      <c r="C50" s="55" t="inlineStr">
        <is>
          <t>ComprehensiveIncome</t>
        </is>
      </c>
      <c r="D50" s="56" t="n">
        <v>11654000000</v>
      </c>
      <c r="E50" s="56" t="n">
        <v>10289000000</v>
      </c>
      <c r="F50" s="56" t="n">
        <v>15533000000</v>
      </c>
      <c r="G50" s="56" t="n">
        <v>11106000000</v>
      </c>
      <c r="H50" s="56" t="n">
        <v>24170000000</v>
      </c>
      <c r="I50" s="56" t="n">
        <v>23772000000</v>
      </c>
    </row>
    <row r="51">
      <c r="B51" s="59" t="inlineStr">
        <is>
          <t>Comprehensive income attributable to net of tax [Abstract]</t>
        </is>
      </c>
    </row>
    <row r="52">
      <c r="B52" s="62" t="inlineStr">
        <is>
          <t>Comprehensive income, attributable to owners of parent</t>
        </is>
      </c>
      <c r="C52" s="55" t="inlineStr">
        <is>
          <t>ComprehensiveIncomeAttributableToOwnersOfParent</t>
        </is>
      </c>
      <c r="D52" s="56" t="n">
        <v>11652000000</v>
      </c>
      <c r="E52" s="56" t="n">
        <v>10283000000</v>
      </c>
      <c r="F52" s="56" t="n">
        <v>0</v>
      </c>
      <c r="G52" s="56" t="n">
        <v>0</v>
      </c>
      <c r="H52" s="56" t="n">
        <v>24146000000</v>
      </c>
      <c r="I52" s="56" t="n">
        <v>23752000000</v>
      </c>
    </row>
    <row r="53">
      <c r="B53" s="62" t="inlineStr">
        <is>
          <t>Comprehensive income, attributable to non-controlling interests</t>
        </is>
      </c>
      <c r="C53" s="55" t="inlineStr">
        <is>
          <t>ComprehensiveIncomeAttributableToNoncontrollingInterests</t>
        </is>
      </c>
      <c r="D53" s="56" t="n">
        <v>2000000</v>
      </c>
      <c r="E53" s="56" t="n">
        <v>6000000</v>
      </c>
      <c r="F53" s="56" t="n">
        <v>0</v>
      </c>
      <c r="G53" s="56" t="n">
        <v>0</v>
      </c>
      <c r="H53" s="56" t="n">
        <v>24000000</v>
      </c>
      <c r="I53" s="56" t="n">
        <v>20000000</v>
      </c>
    </row>
    <row r="54" ht="15.5" customHeight="1" s="203">
      <c r="B54" s="38" t="inlineStr">
        <is>
          <t>Comprehensive income OCI components presented before tax [Abstract]</t>
        </is>
      </c>
    </row>
    <row r="55">
      <c r="B55" s="59" t="inlineStr">
        <is>
          <t>Other comprehensive income before tax [Abstract]</t>
        </is>
      </c>
    </row>
    <row r="56">
      <c r="B56" s="60" t="inlineStr">
        <is>
          <t>Components of other comprehensive income that will not be reclassified to profit or loss, before tax [Abstract]</t>
        </is>
      </c>
    </row>
    <row r="57">
      <c r="B57" s="61" t="inlineStr">
        <is>
          <t>Other comprehensive income, before tax, gains (losses) on remeasurements of defined benefit plans</t>
        </is>
      </c>
      <c r="C57" s="55" t="inlineStr">
        <is>
          <t>OtherComprehensiveIncomeBeforeTaxGainsLossesOnRemeasurementsOfDefinedBenefitPlans</t>
        </is>
      </c>
      <c r="D57" s="56" t="n">
        <v>-57000000</v>
      </c>
      <c r="E57" s="56" t="n">
        <v>80000000</v>
      </c>
      <c r="F57" s="56" t="n">
        <v>55000000</v>
      </c>
      <c r="G57" s="56" t="n">
        <v>14000000</v>
      </c>
      <c r="H57" s="56" t="n">
        <v>48000000</v>
      </c>
      <c r="I57" s="56" t="n">
        <v>33000000</v>
      </c>
    </row>
    <row r="58">
      <c r="B58" s="62" t="inlineStr">
        <is>
          <t>Total other comprehensive income that will not be reclassified to profit or loss, before tax</t>
        </is>
      </c>
      <c r="C58" s="55" t="inlineStr">
        <is>
          <t>OtherComprehensiveIncomeThatWillNotBeReclassifiedToProfitOrLossBeforeTax</t>
        </is>
      </c>
      <c r="D58" s="56" t="n">
        <v>-57000000</v>
      </c>
      <c r="E58" s="56" t="n">
        <v>80000000</v>
      </c>
      <c r="F58" s="56" t="n">
        <v>55000000</v>
      </c>
      <c r="G58" s="56" t="n">
        <v>14000000</v>
      </c>
      <c r="H58" s="56" t="n">
        <v>48000000</v>
      </c>
      <c r="I58" s="56" t="n">
        <v>33000000</v>
      </c>
    </row>
    <row r="59">
      <c r="B59" s="60" t="inlineStr">
        <is>
          <t>Components of other comprehensive income that will be reclassified to profit or loss, before tax [Abstract]</t>
        </is>
      </c>
    </row>
    <row r="60">
      <c r="B60" s="63" t="inlineStr">
        <is>
          <t>Exchange differences on translation before tax [Abstract]</t>
        </is>
      </c>
    </row>
    <row r="61">
      <c r="B61" s="64" t="inlineStr">
        <is>
          <t>Gains (losses) on exchange differences on translation, before tax</t>
        </is>
      </c>
      <c r="C61" s="55" t="inlineStr">
        <is>
          <t>GainsLossesOnExchangeDifferencesOnTranslationBeforeTax</t>
        </is>
      </c>
      <c r="D61" s="56" t="n">
        <v>-214000000</v>
      </c>
      <c r="E61" s="56" t="n">
        <v>159000000</v>
      </c>
      <c r="F61" s="56" t="n">
        <v>120000000</v>
      </c>
      <c r="G61" s="56" t="n">
        <v>282000000</v>
      </c>
      <c r="H61" s="56" t="n">
        <v>403000000</v>
      </c>
      <c r="I61" s="56" t="n">
        <v>144000000</v>
      </c>
    </row>
    <row r="62">
      <c r="B62" s="64" t="inlineStr">
        <is>
          <t>Total other comprehensive income, before tax, exchange differences on translation</t>
        </is>
      </c>
      <c r="C62" s="55" t="inlineStr">
        <is>
          <t>OtherComprehensiveIncomeBeforeTaxExchangeDifferencesOnTranslation</t>
        </is>
      </c>
      <c r="D62" s="56" t="n">
        <v>-214000000</v>
      </c>
      <c r="E62" s="56" t="n">
        <v>159000000</v>
      </c>
      <c r="F62" s="56" t="n">
        <v>120000000</v>
      </c>
      <c r="G62" s="56" t="n">
        <v>282000000</v>
      </c>
      <c r="H62" s="56" t="n">
        <v>403000000</v>
      </c>
      <c r="I62" s="56" t="n">
        <v>144000000</v>
      </c>
    </row>
    <row r="63">
      <c r="B63" s="63" t="inlineStr">
        <is>
          <t>Cash flow hedges before tax [Abstract]</t>
        </is>
      </c>
    </row>
    <row r="64">
      <c r="B64" s="64" t="inlineStr">
        <is>
          <t>Gains (losses) on cash flow hedges, before tax</t>
        </is>
      </c>
      <c r="C64" s="55" t="inlineStr">
        <is>
          <t>GainsLossesOnCashFlowHedgesBeforeTax</t>
        </is>
      </c>
      <c r="D64" s="56" t="n">
        <v>3181000000</v>
      </c>
      <c r="E64" s="56" t="n">
        <v>-1489000000</v>
      </c>
      <c r="F64" s="56" t="n">
        <v>83000000</v>
      </c>
      <c r="G64" s="56" t="n">
        <v>-5791000000</v>
      </c>
      <c r="H64" s="56" t="n">
        <v>5812000000</v>
      </c>
      <c r="I64" s="56" t="n">
        <v>826000000</v>
      </c>
    </row>
    <row r="65">
      <c r="B65" s="64" t="inlineStr">
        <is>
          <t>Total other comprehensive income, before tax, cash flow hedges</t>
        </is>
      </c>
      <c r="C65" s="55" t="inlineStr">
        <is>
          <t>OtherComprehensiveIncomeBeforeTaxCashFlowHedges</t>
        </is>
      </c>
      <c r="D65" s="56" t="n">
        <v>3181000000</v>
      </c>
      <c r="E65" s="56" t="n">
        <v>-1489000000</v>
      </c>
      <c r="F65" s="56" t="n">
        <v>83000000</v>
      </c>
      <c r="G65" s="56" t="n">
        <v>-5791000000</v>
      </c>
      <c r="H65" s="56" t="n">
        <v>5812000000</v>
      </c>
      <c r="I65" s="56" t="n">
        <v>826000000</v>
      </c>
    </row>
    <row r="66">
      <c r="B66" s="62" t="inlineStr">
        <is>
          <t>Total other comprehensive income that will be reclassified to profit or loss, before tax</t>
        </is>
      </c>
      <c r="C66" s="55" t="inlineStr">
        <is>
          <t>OtherComprehensiveIncomeThatWillBeReclassifiedToProfitOrLossBeforeTax</t>
        </is>
      </c>
      <c r="D66" s="56" t="n">
        <v>2967000000</v>
      </c>
      <c r="E66" s="56" t="n">
        <v>-1330000000</v>
      </c>
      <c r="F66" s="56" t="n">
        <v>203000000</v>
      </c>
      <c r="G66" s="56" t="n">
        <v>-5509000000</v>
      </c>
      <c r="H66" s="56" t="n">
        <v>6215000000</v>
      </c>
      <c r="I66" s="56" t="n">
        <v>970000000</v>
      </c>
    </row>
    <row r="67">
      <c r="B67" s="62" t="inlineStr">
        <is>
          <t>Total other comprehensive income, before tax</t>
        </is>
      </c>
      <c r="C67" s="55" t="inlineStr">
        <is>
          <t>OtherComprehensiveIncomeBeforeTax</t>
        </is>
      </c>
      <c r="D67" s="56" t="n">
        <v>2910000000</v>
      </c>
      <c r="E67" s="56" t="n">
        <v>-1250000000</v>
      </c>
      <c r="F67" s="56" t="n">
        <v>258000000</v>
      </c>
      <c r="G67" s="56" t="n">
        <v>-5495000000</v>
      </c>
      <c r="H67" s="56" t="n">
        <v>6263000000</v>
      </c>
      <c r="I67" s="56" t="n">
        <v>1003000000</v>
      </c>
    </row>
    <row r="68">
      <c r="B68" s="60" t="inlineStr">
        <is>
          <t>Income tax relating to components of other comprehensive income that will not be reclassified to profit or loss [Abstract]</t>
        </is>
      </c>
    </row>
    <row r="69">
      <c r="B69" s="61" t="inlineStr">
        <is>
          <t>Income tax relating to remeasurements of defined benefit plans of other comprehensive income</t>
        </is>
      </c>
      <c r="C69" s="55" t="inlineStr">
        <is>
          <t>IncomeTaxRelatingToRemeasurementsOfDefinedBenefitPlansOfOtherComprehensiveIncome</t>
        </is>
      </c>
      <c r="D69" s="56" t="n">
        <v>-12000000</v>
      </c>
      <c r="E69" s="56" t="n">
        <v>18000000</v>
      </c>
      <c r="F69" s="56" t="n">
        <v>14000000</v>
      </c>
      <c r="G69" s="56" t="n">
        <v>3000000</v>
      </c>
      <c r="H69" s="56" t="n">
        <v>12000000</v>
      </c>
      <c r="I69" s="56" t="n">
        <v>8000000</v>
      </c>
    </row>
    <row r="70">
      <c r="B70" s="61" t="inlineStr">
        <is>
          <t>Aggregated income tax relating to components of other comprehensive income that will not be reclassified to profit or loss</t>
        </is>
      </c>
      <c r="C70" s="55" t="inlineStr">
        <is>
          <t>IncomeTaxRelatingToComponentsOfOtherComprehensiveIncomeThatWillNotBeReclassifiedToProfitOrLoss</t>
        </is>
      </c>
      <c r="D70" s="56" t="n">
        <v>-12000000</v>
      </c>
      <c r="E70" s="56" t="n">
        <v>18000000</v>
      </c>
      <c r="F70" s="56" t="n">
        <v>14000000</v>
      </c>
      <c r="G70" s="56" t="n">
        <v>3000000</v>
      </c>
      <c r="H70" s="56" t="n">
        <v>12000000</v>
      </c>
      <c r="I70" s="56" t="n">
        <v>8000000</v>
      </c>
    </row>
    <row r="71">
      <c r="B71" s="60" t="inlineStr">
        <is>
          <t>Income tax relating to components of other comprehensive income that will be reclassified to profit or loss [Abstract]</t>
        </is>
      </c>
    </row>
    <row r="72">
      <c r="B72" s="61" t="inlineStr">
        <is>
          <t>Income tax relating to cash flow hedges of other comprehensive income</t>
        </is>
      </c>
      <c r="C72" s="55" t="inlineStr">
        <is>
          <t>IncomeTaxRelatingToCashFlowHedgesOfOtherComprehensiveIncome</t>
        </is>
      </c>
      <c r="D72" s="56" t="n">
        <v>0</v>
      </c>
      <c r="E72" s="56" t="n">
        <v>0</v>
      </c>
      <c r="F72" s="56" t="n">
        <v>-134000000</v>
      </c>
      <c r="G72" s="56" t="n">
        <v>-1399000000</v>
      </c>
      <c r="H72" s="56" t="n">
        <v>1463000000</v>
      </c>
      <c r="I72" s="56" t="n">
        <v>208000000</v>
      </c>
    </row>
    <row r="73">
      <c r="B73" s="61" t="inlineStr">
        <is>
          <t>Others income tax relating to components of other comprehensive income that will be reclassified to profit or loss</t>
        </is>
      </c>
      <c r="C73" s="55" t="inlineStr">
        <is>
          <t>OthersIncomeTaxRelatingToComponentsOfOtherComprehensiveIncomeThatWillBeReclassifiedToProfitOrLoss</t>
        </is>
      </c>
      <c r="D73" s="56" t="n">
        <v>977000000</v>
      </c>
      <c r="E73" s="56" t="n">
        <v>-433000000</v>
      </c>
      <c r="F73" s="56" t="n">
        <v>0</v>
      </c>
      <c r="G73" s="56" t="n">
        <v>0</v>
      </c>
      <c r="H73" s="56" t="n">
        <v>0</v>
      </c>
      <c r="I73" s="56" t="n">
        <v>0</v>
      </c>
    </row>
    <row r="74">
      <c r="B74" s="61" t="inlineStr">
        <is>
          <t>Aggregated income tax relating to components of other comprehensive income that will be reclassified to profit or loss</t>
        </is>
      </c>
      <c r="C74" s="55" t="inlineStr">
        <is>
          <t>IncomeTaxRelatingToComponentsOfOtherComprehensiveIncomeThatWillBeReclassifiedToProfitOrLoss</t>
        </is>
      </c>
      <c r="D74" s="56" t="n">
        <v>977000000</v>
      </c>
      <c r="E74" s="56" t="n">
        <v>-433000000</v>
      </c>
      <c r="F74" s="56" t="n">
        <v>-134000000</v>
      </c>
      <c r="G74" s="56" t="n">
        <v>-1399000000</v>
      </c>
      <c r="H74" s="56" t="n">
        <v>1463000000</v>
      </c>
      <c r="I74" s="56" t="n">
        <v>208000000</v>
      </c>
    </row>
    <row r="75">
      <c r="B75" s="62" t="inlineStr">
        <is>
          <t>Total other comprehensive income</t>
        </is>
      </c>
      <c r="C75" s="55" t="inlineStr">
        <is>
          <t>OtherComprehensiveIncome</t>
        </is>
      </c>
      <c r="D75" s="56" t="n">
        <v>1945000000</v>
      </c>
      <c r="E75" s="56" t="n">
        <v>-835000000</v>
      </c>
      <c r="F75" s="56" t="n">
        <v>378000000</v>
      </c>
      <c r="G75" s="56" t="n">
        <v>-4099000000</v>
      </c>
      <c r="H75" s="56" t="n">
        <v>4788000000</v>
      </c>
      <c r="I75" s="56" t="n">
        <v>787000000</v>
      </c>
    </row>
    <row r="76">
      <c r="B76" s="60" t="inlineStr">
        <is>
          <t>Other comprehensive income attributable to [Abstract]</t>
        </is>
      </c>
    </row>
    <row r="77">
      <c r="B77" s="61" t="inlineStr">
        <is>
          <t>Other Comprehensive income, attributable to owners of parent</t>
        </is>
      </c>
      <c r="C77" s="55" t="inlineStr">
        <is>
          <t>OtherComprehensiveIncomeAttributableToOwnersOfParent</t>
        </is>
      </c>
      <c r="D77" s="56" t="n">
        <v>0</v>
      </c>
      <c r="E77" s="56" t="n">
        <v>0</v>
      </c>
      <c r="F77" s="56" t="n">
        <v>0</v>
      </c>
      <c r="G77" s="56" t="n">
        <v>11103000000</v>
      </c>
      <c r="H77" s="56" t="n">
        <v>24146000000</v>
      </c>
      <c r="I77" s="56" t="n">
        <v>784000000</v>
      </c>
    </row>
    <row r="78">
      <c r="B78" s="61" t="inlineStr">
        <is>
          <t>Other Comprehensive income, attributable to non-controlling interests</t>
        </is>
      </c>
      <c r="C78" s="55" t="inlineStr">
        <is>
          <t>OtherComprehensiveIncomeAttributableToNoncontrollingInterests</t>
        </is>
      </c>
      <c r="D78" s="56" t="n">
        <v>0</v>
      </c>
      <c r="E78" s="56" t="n">
        <v>0</v>
      </c>
      <c r="F78" s="56" t="n">
        <v>0</v>
      </c>
      <c r="G78" s="56" t="n">
        <v>3000000</v>
      </c>
      <c r="H78" s="56" t="n">
        <v>24000000</v>
      </c>
      <c r="I78" s="56" t="n">
        <v>3000000</v>
      </c>
    </row>
    <row r="79">
      <c r="B79" s="61" t="inlineStr">
        <is>
          <t>Total comprehensive income</t>
        </is>
      </c>
      <c r="C79" s="55" t="inlineStr">
        <is>
          <t>ComprehensiveIncome</t>
        </is>
      </c>
      <c r="D79" s="56" t="n">
        <v>11654000000</v>
      </c>
      <c r="E79" s="56" t="n">
        <v>10289000000</v>
      </c>
      <c r="F79" s="56" t="n">
        <v>15533000000</v>
      </c>
      <c r="G79" s="56" t="n">
        <v>11106000000</v>
      </c>
      <c r="H79" s="56" t="n">
        <v>24170000000</v>
      </c>
      <c r="I79" s="56" t="n">
        <v>23772000000</v>
      </c>
    </row>
    <row r="80">
      <c r="B80" s="63" t="inlineStr">
        <is>
          <t>Comprehensive income attributable to [Abstract]</t>
        </is>
      </c>
    </row>
    <row r="81">
      <c r="B81" s="64" t="inlineStr">
        <is>
          <t>Comprehensive income, attributable to owners of parent</t>
        </is>
      </c>
      <c r="C81" s="55" t="inlineStr">
        <is>
          <t>ComprehensiveIncomeAttributableToOwnersOfParent</t>
        </is>
      </c>
      <c r="D81" s="56" t="n">
        <v>11652000000</v>
      </c>
      <c r="E81" s="56" t="n">
        <v>10283000000</v>
      </c>
      <c r="F81" s="56" t="n">
        <v>0</v>
      </c>
      <c r="G81" s="56" t="n">
        <v>0</v>
      </c>
      <c r="H81" s="56" t="n">
        <v>24146000000</v>
      </c>
      <c r="I81" s="56" t="n">
        <v>23752000000</v>
      </c>
    </row>
    <row r="82">
      <c r="B82" s="64" t="inlineStr">
        <is>
          <t>Comprehensive income, attributable to non-controlling interests</t>
        </is>
      </c>
      <c r="C82" s="55" t="inlineStr">
        <is>
          <t>ComprehensiveIncomeAttributableToNoncontrollingInterests</t>
        </is>
      </c>
      <c r="D82" s="56" t="n">
        <v>2000000</v>
      </c>
      <c r="E82" s="56" t="n">
        <v>6000000</v>
      </c>
      <c r="F82" s="56" t="n">
        <v>0</v>
      </c>
      <c r="G82" s="56" t="n">
        <v>0</v>
      </c>
      <c r="H82" s="56" t="n">
        <v>24000000</v>
      </c>
      <c r="I82" s="56" t="n">
        <v>20000000</v>
      </c>
    </row>
    <row r="83">
      <c r="B83" s="60" t="inlineStr">
        <is>
          <t>Basic earnings per share [Abstract]</t>
        </is>
      </c>
    </row>
    <row r="84">
      <c r="B84" s="61" t="inlineStr">
        <is>
          <t>Basic earnings (loss) per share from continuing operations</t>
        </is>
      </c>
      <c r="C84" s="55" t="inlineStr">
        <is>
          <t>BasicEarningsLossPerShareFromContinuingOperations</t>
        </is>
      </c>
      <c r="D84" s="56" t="n">
        <v>57.08</v>
      </c>
      <c r="E84" s="56" t="n">
        <v>64.93000000000001</v>
      </c>
      <c r="F84" s="56" t="n">
        <v>87.67</v>
      </c>
      <c r="G84" s="56" t="n">
        <v>87.45</v>
      </c>
      <c r="H84" s="56" t="n">
        <v>110.98</v>
      </c>
      <c r="I84" s="56" t="n">
        <v>131.19</v>
      </c>
    </row>
    <row r="85">
      <c r="B85" s="65" t="inlineStr">
        <is>
          <t>Total basic earnings (loss) per share</t>
        </is>
      </c>
      <c r="C85" s="55" t="inlineStr">
        <is>
          <t>BasicEarningsLossPerShare</t>
        </is>
      </c>
      <c r="D85" s="58" t="n">
        <v>57.08</v>
      </c>
      <c r="E85" s="58" t="n">
        <v>64.93000000000001</v>
      </c>
      <c r="F85" s="58" t="n">
        <v>87.67</v>
      </c>
      <c r="G85" s="58" t="n">
        <v>87.45</v>
      </c>
      <c r="H85" s="58" t="n">
        <v>110.98</v>
      </c>
      <c r="I85" s="58" t="n">
        <v>131.19</v>
      </c>
    </row>
    <row r="86">
      <c r="B86" s="60" t="inlineStr">
        <is>
          <t>Diluted earnings per share [Abstract]</t>
        </is>
      </c>
    </row>
    <row r="87">
      <c r="B87" s="61" t="inlineStr">
        <is>
          <t>Diluted earnings (loss) per share from continuing operations</t>
        </is>
      </c>
      <c r="C87" s="55" t="inlineStr">
        <is>
          <t>DilutedEarningsLossPerShareFromContinuingOperations</t>
        </is>
      </c>
      <c r="D87" s="56" t="n">
        <v>55.8</v>
      </c>
      <c r="E87" s="56" t="n">
        <v>63.48</v>
      </c>
      <c r="F87" s="56" t="n">
        <v>86.43000000000001</v>
      </c>
      <c r="G87" s="56" t="n">
        <v>86.61</v>
      </c>
      <c r="H87" s="56" t="n">
        <v>110.26</v>
      </c>
      <c r="I87" s="56" t="n">
        <v>130.81</v>
      </c>
    </row>
    <row r="88">
      <c r="B88" s="65" t="inlineStr">
        <is>
          <t>Total diluted earnings (loss) per share</t>
        </is>
      </c>
      <c r="C88" s="55" t="inlineStr">
        <is>
          <t>DilutedEarningsLossPerShare</t>
        </is>
      </c>
      <c r="D88" s="58" t="n">
        <v>55.8</v>
      </c>
      <c r="E88" s="58" t="n">
        <v>63.48</v>
      </c>
      <c r="F88" s="58" t="n">
        <v>86.43000000000001</v>
      </c>
      <c r="G88" s="58" t="n">
        <v>86.61</v>
      </c>
      <c r="H88" s="58" t="n">
        <v>110.26</v>
      </c>
      <c r="I88" s="58" t="n">
        <v>130.81</v>
      </c>
    </row>
    <row r="89">
      <c r="B89" s="54" t="inlineStr">
        <is>
          <t>Total comprehensive income</t>
        </is>
      </c>
      <c r="C89" s="55" t="inlineStr">
        <is>
          <t>ComprehensiveIncome</t>
        </is>
      </c>
      <c r="D89" s="56" t="n">
        <v>11654000000</v>
      </c>
      <c r="E89" s="56" t="n">
        <v>10289000000</v>
      </c>
      <c r="F89" s="56" t="n">
        <v>15533000000</v>
      </c>
      <c r="G89" s="56" t="n">
        <v>11106000000</v>
      </c>
      <c r="H89" s="56" t="n">
        <v>24170000000</v>
      </c>
      <c r="I89" s="56" t="n">
        <v>23772000000</v>
      </c>
    </row>
    <row r="90">
      <c r="B90" s="59" t="inlineStr">
        <is>
          <t>Comprehensive income attributable to [Abstract]</t>
        </is>
      </c>
    </row>
    <row r="91">
      <c r="B91" s="62" t="inlineStr">
        <is>
          <t>Comprehensive income, attributable to owners of parent</t>
        </is>
      </c>
      <c r="C91" s="55" t="inlineStr">
        <is>
          <t>ComprehensiveIncomeAttributableToOwnersOfParent</t>
        </is>
      </c>
      <c r="D91" s="56" t="n">
        <v>11652000000</v>
      </c>
      <c r="E91" s="56" t="n">
        <v>10283000000</v>
      </c>
      <c r="F91" s="56" t="n">
        <v>0</v>
      </c>
      <c r="G91" s="56" t="n">
        <v>0</v>
      </c>
      <c r="H91" s="56" t="n">
        <v>24146000000</v>
      </c>
      <c r="I91" s="56" t="n">
        <v>23752000000</v>
      </c>
    </row>
    <row r="92">
      <c r="B92" s="62" t="inlineStr">
        <is>
          <t>Comprehensive income, attributable to non-controlling interests</t>
        </is>
      </c>
      <c r="C92" s="55" t="inlineStr">
        <is>
          <t>ComprehensiveIncomeAttributableToNoncontrollingInterests</t>
        </is>
      </c>
      <c r="D92" s="56" t="n">
        <v>2000000</v>
      </c>
      <c r="E92" s="56" t="n">
        <v>6000000</v>
      </c>
      <c r="F92" s="56" t="n">
        <v>0</v>
      </c>
      <c r="G92" s="56" t="n">
        <v>0</v>
      </c>
      <c r="H92" s="56" t="n">
        <v>24000000</v>
      </c>
      <c r="I92" s="56" t="n">
        <v>20000000</v>
      </c>
    </row>
    <row r="93" ht="15.5" customHeight="1" s="203">
      <c r="B93" s="38" t="inlineStr">
        <is>
          <t>Additional disclosure on discontinued operations [Abstract]</t>
        </is>
      </c>
    </row>
    <row r="94">
      <c r="B94" s="59" t="inlineStr">
        <is>
          <t>Earnings per share [Abstract]</t>
        </is>
      </c>
    </row>
    <row r="95">
      <c r="B95" s="60" t="inlineStr">
        <is>
          <t>Earnings per share [Line items]</t>
        </is>
      </c>
    </row>
    <row r="96">
      <c r="B96" s="63" t="inlineStr">
        <is>
          <t>Basic earnings per share [Abstract]</t>
        </is>
      </c>
    </row>
    <row r="97">
      <c r="B97" s="64" t="inlineStr">
        <is>
          <t>Basic earnings (loss) per share from continuing operations</t>
        </is>
      </c>
      <c r="C97" s="55" t="inlineStr">
        <is>
          <t>BasicEarningsLossPerShareFromContinuingOperations</t>
        </is>
      </c>
      <c r="D97" s="56" t="n">
        <v>57.08</v>
      </c>
      <c r="E97" s="56" t="n">
        <v>64.93000000000001</v>
      </c>
      <c r="F97" s="56" t="n">
        <v>87.67</v>
      </c>
      <c r="G97" s="56" t="n">
        <v>87.45</v>
      </c>
      <c r="H97" s="56" t="n">
        <v>110.98</v>
      </c>
      <c r="I97" s="56" t="n">
        <v>131.19</v>
      </c>
    </row>
    <row r="98">
      <c r="B98" s="66" t="inlineStr">
        <is>
          <t>Total basic earnings (loss) per share</t>
        </is>
      </c>
      <c r="C98" s="55" t="inlineStr">
        <is>
          <t>BasicEarningsLossPerShare</t>
        </is>
      </c>
      <c r="D98" s="58" t="n">
        <v>57.08</v>
      </c>
      <c r="E98" s="58" t="n">
        <v>64.93000000000001</v>
      </c>
      <c r="F98" s="58" t="n">
        <v>87.67</v>
      </c>
      <c r="G98" s="58" t="n">
        <v>87.45</v>
      </c>
      <c r="H98" s="58" t="n">
        <v>110.98</v>
      </c>
      <c r="I98" s="58" t="n">
        <v>131.19</v>
      </c>
    </row>
    <row r="99">
      <c r="B99" s="63" t="inlineStr">
        <is>
          <t>Diluted earnings per share [Abstract]</t>
        </is>
      </c>
    </row>
    <row r="100">
      <c r="B100" s="64" t="inlineStr">
        <is>
          <t>Diluted earnings (loss) per share from continuing operations</t>
        </is>
      </c>
      <c r="C100" s="55" t="inlineStr">
        <is>
          <t>DilutedEarningsLossPerShareFromContinuingOperations</t>
        </is>
      </c>
      <c r="D100" s="56" t="n">
        <v>55.8</v>
      </c>
      <c r="E100" s="56" t="n">
        <v>63.48</v>
      </c>
      <c r="F100" s="56" t="n">
        <v>86.43000000000001</v>
      </c>
      <c r="G100" s="56" t="n">
        <v>86.61</v>
      </c>
      <c r="H100" s="56" t="n">
        <v>110.26</v>
      </c>
      <c r="I100" s="56" t="n">
        <v>130.81</v>
      </c>
    </row>
    <row r="101">
      <c r="B101" s="66" t="inlineStr">
        <is>
          <t>Total diluted earnings (loss) per share</t>
        </is>
      </c>
      <c r="C101" s="55" t="inlineStr">
        <is>
          <t>DilutedEarningsLossPerShare</t>
        </is>
      </c>
      <c r="D101" s="58" t="n">
        <v>55.8</v>
      </c>
      <c r="E101" s="58" t="n">
        <v>63.48</v>
      </c>
      <c r="F101" s="58" t="n">
        <v>86.43000000000001</v>
      </c>
      <c r="G101" s="58" t="n">
        <v>86.61</v>
      </c>
      <c r="H101" s="58" t="n">
        <v>110.26</v>
      </c>
      <c r="I101" s="58" t="n">
        <v>130.81</v>
      </c>
    </row>
    <row r="104">
      <c r="A104" t="inlineStr">
        <is>
          <t>#</t>
        </is>
      </c>
      <c r="B104" s="20" t="inlineStr">
        <is>
          <t>Balance Sheet</t>
        </is>
      </c>
    </row>
    <row r="105">
      <c r="B105" t="inlineStr">
        <is>
          <t>Raw units, no conversion applied -- source varies by year, see Output/XBRL_Files filenames (_MCA = MCA XBRL, _NSE = NSE Integrated Filing XBRL)</t>
        </is>
      </c>
    </row>
    <row r="107">
      <c r="C107" s="53" t="inlineStr">
        <is>
          <t>Concept Tag</t>
        </is>
      </c>
      <c r="D107" s="20" t="inlineStr">
        <is>
          <t>FY2017</t>
        </is>
      </c>
      <c r="E107" s="20" t="inlineStr">
        <is>
          <t>FY2018</t>
        </is>
      </c>
      <c r="F107" s="20" t="inlineStr">
        <is>
          <t>FY2019</t>
        </is>
      </c>
      <c r="G107" s="20" t="inlineStr">
        <is>
          <t>FY2020</t>
        </is>
      </c>
      <c r="H107" s="20" t="inlineStr">
        <is>
          <t>FY2021</t>
        </is>
      </c>
      <c r="I107" s="20" t="inlineStr">
        <is>
          <t>FY2022</t>
        </is>
      </c>
    </row>
    <row r="108" ht="15.5" customHeight="1" s="203">
      <c r="B108" s="38" t="inlineStr">
        <is>
          <t>Assets [Abstract]</t>
        </is>
      </c>
    </row>
    <row r="109">
      <c r="B109" s="59" t="inlineStr">
        <is>
          <t>Non-current assets [Abstract]</t>
        </is>
      </c>
    </row>
    <row r="110">
      <c r="B110" s="62" t="inlineStr">
        <is>
          <t>Property, plant and equipment at end of period</t>
        </is>
      </c>
      <c r="C110" s="55" t="inlineStr">
        <is>
          <t>PropertyPlantAndEquipment</t>
        </is>
      </c>
      <c r="D110" s="56" t="n">
        <v>2578000000</v>
      </c>
      <c r="E110" s="56" t="n">
        <v>2508000000</v>
      </c>
      <c r="F110" s="56" t="n">
        <v>3052000000</v>
      </c>
      <c r="G110" s="56" t="n">
        <v>4031000000</v>
      </c>
      <c r="H110" s="56" t="n">
        <v>3857000000</v>
      </c>
      <c r="I110" s="56" t="n">
        <v>4968000000</v>
      </c>
    </row>
    <row r="111">
      <c r="B111" s="62" t="inlineStr">
        <is>
          <t>Capital work-in-progress</t>
        </is>
      </c>
      <c r="C111" s="55" t="inlineStr">
        <is>
          <t>CapitalWorkInProgress</t>
        </is>
      </c>
      <c r="D111" s="56" t="n">
        <v>9000000</v>
      </c>
      <c r="E111" s="56" t="n">
        <v>10000000</v>
      </c>
      <c r="F111" s="56" t="n">
        <v>32000000</v>
      </c>
      <c r="G111" s="56" t="n">
        <v>8074000000</v>
      </c>
      <c r="H111" s="56" t="n">
        <v>6624000000</v>
      </c>
      <c r="I111" s="56" t="n">
        <v>10765000000</v>
      </c>
    </row>
    <row r="112">
      <c r="B112" s="62" t="inlineStr">
        <is>
          <t>Goodwill at end of period</t>
        </is>
      </c>
      <c r="C112" s="55" t="inlineStr">
        <is>
          <t>Goodwill</t>
        </is>
      </c>
      <c r="D112" s="56" t="n">
        <v>993000000</v>
      </c>
      <c r="E112" s="56" t="n">
        <v>2763000000</v>
      </c>
      <c r="F112" s="56" t="n">
        <v>4947000000</v>
      </c>
      <c r="G112" s="56" t="n">
        <v>6368000000</v>
      </c>
      <c r="H112" s="56" t="n">
        <v>6574000000</v>
      </c>
      <c r="I112" s="56" t="n">
        <v>6900000000</v>
      </c>
    </row>
    <row r="113">
      <c r="B113" s="62" t="inlineStr">
        <is>
          <t>Other intangible assets at end of period</t>
        </is>
      </c>
      <c r="C113" s="55" t="inlineStr">
        <is>
          <t>OtherIntangibleAssets</t>
        </is>
      </c>
      <c r="D113" s="56" t="n">
        <v>1848000000</v>
      </c>
      <c r="E113" s="56" t="n">
        <v>1535000000</v>
      </c>
      <c r="F113" s="56" t="n">
        <v>1300000000</v>
      </c>
      <c r="G113" s="56" t="n">
        <v>1106000000</v>
      </c>
      <c r="H113" s="56" t="n">
        <v>2408000000</v>
      </c>
      <c r="I113" s="56" t="n">
        <v>2718000000</v>
      </c>
    </row>
    <row r="114">
      <c r="B114" s="62" t="inlineStr">
        <is>
          <t>Intangible assets under development</t>
        </is>
      </c>
      <c r="C114" s="55" t="inlineStr">
        <is>
          <t>IntangibleAssetsUnderDevelopment</t>
        </is>
      </c>
      <c r="D114" s="56" t="n">
        <v>4000000</v>
      </c>
      <c r="E114" s="56" t="n">
        <v>58000000</v>
      </c>
      <c r="F114" s="56" t="n">
        <v>83000000</v>
      </c>
      <c r="G114" s="56" t="n">
        <v>210000000</v>
      </c>
      <c r="H114" s="56" t="n">
        <v>259000000</v>
      </c>
      <c r="I114" s="56" t="n">
        <v>439000000</v>
      </c>
    </row>
    <row r="115">
      <c r="B115" s="60" t="inlineStr">
        <is>
          <t>Non-current financial assets [Abstract]</t>
        </is>
      </c>
    </row>
    <row r="116">
      <c r="B116" s="61" t="inlineStr">
        <is>
          <t>Non-current investments</t>
        </is>
      </c>
      <c r="C116" s="55" t="inlineStr">
        <is>
          <t>NoncurrentInvestments</t>
        </is>
      </c>
      <c r="D116" s="56" t="n">
        <v>0</v>
      </c>
      <c r="E116" s="56" t="n">
        <v>1000000</v>
      </c>
      <c r="F116" s="56" t="n">
        <v>1000000</v>
      </c>
      <c r="G116" s="56" t="n">
        <v>2000000</v>
      </c>
      <c r="H116" s="56" t="n">
        <v>1013000000</v>
      </c>
      <c r="I116" s="56" t="n">
        <v>3454000000</v>
      </c>
    </row>
    <row r="117">
      <c r="B117" s="61" t="inlineStr">
        <is>
          <t>Loans, non-current</t>
        </is>
      </c>
      <c r="C117" s="55" t="inlineStr">
        <is>
          <t>LoansNoncurrent</t>
        </is>
      </c>
      <c r="D117" s="56" t="n">
        <v>0</v>
      </c>
      <c r="E117" s="56" t="n">
        <v>387000000</v>
      </c>
      <c r="F117" s="56" t="n">
        <v>473000000</v>
      </c>
      <c r="G117" s="56" t="n">
        <v>560000000</v>
      </c>
      <c r="H117" s="56" t="n">
        <v>457000000</v>
      </c>
      <c r="I117" s="56" t="n">
        <v>0</v>
      </c>
    </row>
    <row r="118">
      <c r="B118" s="61" t="inlineStr">
        <is>
          <t>Total other non-current financial assets</t>
        </is>
      </c>
      <c r="C118" s="55" t="inlineStr">
        <is>
          <t>OtherNoncurrentFinancialAssets</t>
        </is>
      </c>
      <c r="D118" s="56" t="n">
        <v>2177000000</v>
      </c>
      <c r="E118" s="56" t="n">
        <v>721000000</v>
      </c>
      <c r="F118" s="56" t="n">
        <v>1606000000</v>
      </c>
      <c r="G118" s="56" t="n">
        <v>118000000</v>
      </c>
      <c r="H118" s="56" t="n">
        <v>1595000000</v>
      </c>
      <c r="I118" s="56" t="n">
        <v>3020000000</v>
      </c>
    </row>
    <row r="119">
      <c r="B119" s="65" t="inlineStr">
        <is>
          <t>Total non-current financial assets</t>
        </is>
      </c>
      <c r="C119" s="55" t="inlineStr">
        <is>
          <t>NoncurrentFinancialAssets</t>
        </is>
      </c>
      <c r="D119" s="58" t="n">
        <v>2177000000</v>
      </c>
      <c r="E119" s="58" t="n">
        <v>1109000000</v>
      </c>
      <c r="F119" s="58" t="n">
        <v>2080000000</v>
      </c>
      <c r="G119" s="58" t="n">
        <v>680000000</v>
      </c>
      <c r="H119" s="58" t="n">
        <v>3065000000</v>
      </c>
      <c r="I119" s="58" t="n">
        <v>6474000000</v>
      </c>
    </row>
    <row r="120">
      <c r="B120" s="62" t="inlineStr">
        <is>
          <t>Deferred tax assets (net)</t>
        </is>
      </c>
      <c r="C120" s="55" t="inlineStr">
        <is>
          <t>DeferredTaxAssetsNet</t>
        </is>
      </c>
      <c r="D120" s="56" t="n">
        <v>2156000000</v>
      </c>
      <c r="E120" s="56" t="n">
        <v>1921000000</v>
      </c>
      <c r="F120" s="56" t="n">
        <v>1545000000</v>
      </c>
      <c r="G120" s="56" t="n">
        <v>2222000000</v>
      </c>
      <c r="H120" s="56" t="n">
        <v>546000000</v>
      </c>
      <c r="I120" s="56" t="n">
        <v>549000000</v>
      </c>
    </row>
    <row r="121">
      <c r="B121" s="62" t="inlineStr">
        <is>
          <t>Total other non-current assets</t>
        </is>
      </c>
      <c r="C121" s="55" t="inlineStr">
        <is>
          <t>OtherNoncurrentAssets</t>
        </is>
      </c>
      <c r="D121" s="56" t="n">
        <v>1292000000</v>
      </c>
      <c r="E121" s="56" t="n">
        <v>1980000000</v>
      </c>
      <c r="F121" s="56" t="n">
        <v>1952000000</v>
      </c>
      <c r="G121" s="56" t="n">
        <v>2268000000</v>
      </c>
      <c r="H121" s="56" t="n">
        <v>2445000000</v>
      </c>
      <c r="I121" s="56" t="n">
        <v>3224000000</v>
      </c>
    </row>
    <row r="122">
      <c r="B122" s="67" t="inlineStr">
        <is>
          <t>Total non-current assets</t>
        </is>
      </c>
      <c r="C122" s="55" t="inlineStr">
        <is>
          <t>NoncurrentAssets</t>
        </is>
      </c>
      <c r="D122" s="58" t="n">
        <v>11057000000</v>
      </c>
      <c r="E122" s="58" t="n">
        <v>11884000000</v>
      </c>
      <c r="F122" s="58" t="n">
        <v>14991000000</v>
      </c>
      <c r="G122" s="58" t="n">
        <v>24959000000</v>
      </c>
      <c r="H122" s="58" t="n">
        <v>25778000000</v>
      </c>
      <c r="I122" s="58" t="n">
        <v>36037000000</v>
      </c>
    </row>
    <row r="123">
      <c r="B123" s="59" t="inlineStr">
        <is>
          <t>Current assets [Abstract]</t>
        </is>
      </c>
    </row>
    <row r="124">
      <c r="B124" s="60" t="inlineStr">
        <is>
          <t>Current financial assets [Abstract]</t>
        </is>
      </c>
    </row>
    <row r="125">
      <c r="B125" s="61" t="inlineStr">
        <is>
          <t>Current investments</t>
        </is>
      </c>
      <c r="C125" s="55" t="inlineStr">
        <is>
          <t>CurrentInvestments</t>
        </is>
      </c>
      <c r="D125" s="56" t="n">
        <v>9406000000</v>
      </c>
      <c r="E125" s="56" t="n">
        <v>12643000000</v>
      </c>
      <c r="F125" s="56" t="n">
        <v>17402000000</v>
      </c>
      <c r="G125" s="56" t="n">
        <v>22186000000</v>
      </c>
      <c r="H125" s="56" t="n">
        <v>36282000000</v>
      </c>
      <c r="I125" s="56" t="n">
        <v>31366000000</v>
      </c>
    </row>
    <row r="126">
      <c r="B126" s="61" t="inlineStr">
        <is>
          <t>Trade receivables, current</t>
        </is>
      </c>
      <c r="C126" s="55" t="inlineStr">
        <is>
          <t>TradeReceivablesCurrent</t>
        </is>
      </c>
      <c r="D126" s="56" t="n">
        <v>11697000000</v>
      </c>
      <c r="E126" s="56" t="n">
        <v>13962000000</v>
      </c>
      <c r="F126" s="56" t="n">
        <v>18263000000</v>
      </c>
      <c r="G126" s="56" t="n">
        <v>23121000000</v>
      </c>
      <c r="H126" s="56" t="n">
        <v>20835000000</v>
      </c>
      <c r="I126" s="56" t="n">
        <v>28335000000</v>
      </c>
    </row>
    <row r="127">
      <c r="B127" s="61" t="inlineStr">
        <is>
          <t>Cash and cash equivalents at end of period</t>
        </is>
      </c>
      <c r="C127" s="55" t="inlineStr">
        <is>
          <t>CashAndCashEquivalents</t>
        </is>
      </c>
      <c r="D127" s="56" t="n">
        <v>3761000000</v>
      </c>
      <c r="E127" s="56" t="n">
        <v>3323000000</v>
      </c>
      <c r="F127" s="56" t="n">
        <v>3499000000</v>
      </c>
      <c r="G127" s="56" t="n">
        <v>4853000000</v>
      </c>
      <c r="H127" s="56" t="n">
        <v>6759000000</v>
      </c>
      <c r="I127" s="56" t="n">
        <v>3949000000</v>
      </c>
    </row>
    <row r="128">
      <c r="B128" s="61" t="inlineStr">
        <is>
          <t>Bank balance other than cash and cash equivalents</t>
        </is>
      </c>
      <c r="C128" s="55" t="inlineStr">
        <is>
          <t>BankBalanceOtherThanCashAndCashEquivalents</t>
        </is>
      </c>
      <c r="D128" s="56" t="n">
        <v>34000000</v>
      </c>
      <c r="E128" s="56" t="n">
        <v>310000000</v>
      </c>
      <c r="F128" s="56" t="n">
        <v>651000000</v>
      </c>
      <c r="G128" s="56" t="n">
        <v>399000000</v>
      </c>
      <c r="H128" s="56" t="n">
        <v>835000000</v>
      </c>
      <c r="I128" s="56" t="n">
        <v>3824000000</v>
      </c>
    </row>
    <row r="129">
      <c r="B129" s="61" t="inlineStr">
        <is>
          <t>Loans, current</t>
        </is>
      </c>
      <c r="C129" s="55" t="inlineStr">
        <is>
          <t>LoansCurrent</t>
        </is>
      </c>
      <c r="D129" s="56" t="n">
        <v>0</v>
      </c>
      <c r="E129" s="56" t="n">
        <v>238000000</v>
      </c>
      <c r="F129" s="56" t="n">
        <v>71000000</v>
      </c>
      <c r="G129" s="56" t="n">
        <v>129000000</v>
      </c>
      <c r="H129" s="56" t="n">
        <v>300000000</v>
      </c>
      <c r="I129" s="56" t="n">
        <v>0</v>
      </c>
    </row>
    <row r="130">
      <c r="B130" s="61" t="inlineStr">
        <is>
          <t>Total other current financial assets</t>
        </is>
      </c>
      <c r="C130" s="55" t="inlineStr">
        <is>
          <t>OtherCurrentFinancialAssets</t>
        </is>
      </c>
      <c r="D130" s="56" t="n">
        <v>7401000000</v>
      </c>
      <c r="E130" s="56" t="n">
        <v>10341000000</v>
      </c>
      <c r="F130" s="56" t="n">
        <v>7285000000</v>
      </c>
      <c r="G130" s="56" t="n">
        <v>6033000000</v>
      </c>
      <c r="H130" s="56" t="n">
        <v>7929000000</v>
      </c>
      <c r="I130" s="56" t="n">
        <v>11863000000</v>
      </c>
    </row>
    <row r="131">
      <c r="B131" s="65" t="inlineStr">
        <is>
          <t>Total current financial assets</t>
        </is>
      </c>
      <c r="C131" s="55" t="inlineStr">
        <is>
          <t>CurrentFinancialAssets</t>
        </is>
      </c>
      <c r="D131" s="58" t="n">
        <v>32299000000</v>
      </c>
      <c r="E131" s="58" t="n">
        <v>40817000000</v>
      </c>
      <c r="F131" s="58" t="n">
        <v>47171000000</v>
      </c>
      <c r="G131" s="58" t="n">
        <v>56721000000</v>
      </c>
      <c r="H131" s="58" t="n">
        <v>72940000000</v>
      </c>
      <c r="I131" s="58" t="n">
        <v>79337000000</v>
      </c>
    </row>
    <row r="132">
      <c r="B132" s="62" t="inlineStr">
        <is>
          <t>Current tax assets, Current</t>
        </is>
      </c>
      <c r="C132" s="55" t="inlineStr">
        <is>
          <t>CurrentTaxAssetsCurrent</t>
        </is>
      </c>
      <c r="D132" s="56" t="n">
        <v>0</v>
      </c>
      <c r="E132" s="56" t="n">
        <v>0</v>
      </c>
      <c r="F132" s="56" t="n">
        <v>37000000</v>
      </c>
      <c r="G132" s="56" t="n">
        <v>7000000</v>
      </c>
      <c r="H132" s="56" t="n">
        <v>0</v>
      </c>
      <c r="I132" s="56" t="n">
        <v>0</v>
      </c>
    </row>
    <row r="133">
      <c r="B133" s="62" t="inlineStr">
        <is>
          <t>Total other current assets</t>
        </is>
      </c>
      <c r="C133" s="55" t="inlineStr">
        <is>
          <t>OtherCurrentAssets</t>
        </is>
      </c>
      <c r="D133" s="56" t="n">
        <v>988000000</v>
      </c>
      <c r="E133" s="56" t="n">
        <v>1125000000</v>
      </c>
      <c r="F133" s="56" t="n">
        <v>4493000000</v>
      </c>
      <c r="G133" s="56" t="n">
        <v>6562000000</v>
      </c>
      <c r="H133" s="56" t="n">
        <v>8373000000</v>
      </c>
      <c r="I133" s="56" t="n">
        <v>9319000000</v>
      </c>
    </row>
    <row r="134">
      <c r="B134" s="67" t="inlineStr">
        <is>
          <t>Total current assets</t>
        </is>
      </c>
      <c r="C134" s="55" t="inlineStr">
        <is>
          <t>CurrentAssets</t>
        </is>
      </c>
      <c r="D134" s="58" t="n">
        <v>33287000000</v>
      </c>
      <c r="E134" s="58" t="n">
        <v>41942000000</v>
      </c>
      <c r="F134" s="58" t="n">
        <v>51701000000</v>
      </c>
      <c r="G134" s="58" t="n">
        <v>63290000000</v>
      </c>
      <c r="H134" s="58" t="n">
        <v>81313000000</v>
      </c>
      <c r="I134" s="58" t="n">
        <v>88656000000</v>
      </c>
    </row>
    <row r="135">
      <c r="B135" s="57" t="inlineStr">
        <is>
          <t>Assets at end of period</t>
        </is>
      </c>
      <c r="C135" s="55" t="inlineStr">
        <is>
          <t>Assets</t>
        </is>
      </c>
      <c r="D135" s="58" t="n">
        <v>44344000000</v>
      </c>
      <c r="E135" s="58" t="n">
        <v>53826000000</v>
      </c>
      <c r="F135" s="58" t="n">
        <v>66692000000</v>
      </c>
      <c r="G135" s="58" t="n">
        <v>88249000000</v>
      </c>
      <c r="H135" s="58" t="n">
        <v>107091000000</v>
      </c>
      <c r="I135" s="58" t="n">
        <v>124693000000</v>
      </c>
    </row>
    <row r="136" ht="15.5" customHeight="1" s="203">
      <c r="B136" s="38" t="inlineStr">
        <is>
          <t>Equity and liabilities [Abstract]</t>
        </is>
      </c>
    </row>
    <row r="137">
      <c r="B137" s="59" t="inlineStr">
        <is>
          <t>Equity [Abstract]</t>
        </is>
      </c>
    </row>
    <row r="138">
      <c r="B138" s="60" t="inlineStr">
        <is>
          <t>Equity attributable to owners of parent [Abstract]</t>
        </is>
      </c>
    </row>
    <row r="139">
      <c r="B139" s="61" t="inlineStr">
        <is>
          <t>Equity share capital at end of period</t>
        </is>
      </c>
      <c r="C139" s="55" t="inlineStr">
        <is>
          <t>EquityShareCapital</t>
        </is>
      </c>
      <c r="D139" s="56" t="n">
        <v>171000000</v>
      </c>
      <c r="E139" s="56" t="n">
        <v>172000000</v>
      </c>
      <c r="F139" s="56" t="n">
        <v>174000000</v>
      </c>
      <c r="G139" s="56" t="n">
        <v>174000000</v>
      </c>
      <c r="H139" s="56" t="n">
        <v>175000000</v>
      </c>
      <c r="I139" s="56" t="n">
        <v>175000000</v>
      </c>
    </row>
    <row r="140">
      <c r="B140" s="61" t="inlineStr">
        <is>
          <t>Other equity</t>
        </is>
      </c>
      <c r="C140" s="55" t="inlineStr">
        <is>
          <t>OtherEquity</t>
        </is>
      </c>
      <c r="D140" s="56" t="n">
        <v>31272000000</v>
      </c>
      <c r="E140" s="56" t="n">
        <v>38426000000</v>
      </c>
      <c r="F140" s="56" t="n">
        <v>48764000000</v>
      </c>
      <c r="G140" s="56" t="n">
        <v>53866000000</v>
      </c>
      <c r="H140" s="56" t="n">
        <v>72859000000</v>
      </c>
      <c r="I140" s="56" t="n">
        <v>87971000000</v>
      </c>
    </row>
    <row r="141">
      <c r="B141" s="65" t="inlineStr">
        <is>
          <t>Total equity attributable to owners of parent</t>
        </is>
      </c>
      <c r="C141" s="55" t="inlineStr">
        <is>
          <t>EquityAttributableToOwnersOfParent</t>
        </is>
      </c>
      <c r="D141" s="58" t="n">
        <v>31443000000</v>
      </c>
      <c r="E141" s="58" t="n">
        <v>38598000000</v>
      </c>
      <c r="F141" s="58" t="n">
        <v>48938000000</v>
      </c>
      <c r="G141" s="58" t="n">
        <v>54040000000</v>
      </c>
      <c r="H141" s="58" t="n">
        <v>73034000000</v>
      </c>
      <c r="I141" s="58" t="n">
        <v>88146000000</v>
      </c>
    </row>
    <row r="142">
      <c r="B142" s="62" t="inlineStr">
        <is>
          <t>Non controlling interest</t>
        </is>
      </c>
      <c r="C142" s="55" t="inlineStr">
        <is>
          <t>NonControllingInterest</t>
        </is>
      </c>
      <c r="D142" s="56" t="n">
        <v>8000000</v>
      </c>
      <c r="E142" s="56" t="n">
        <v>13000000</v>
      </c>
      <c r="F142" s="56" t="n">
        <v>8000000</v>
      </c>
      <c r="G142" s="56" t="n">
        <v>11000000</v>
      </c>
      <c r="H142" s="56" t="n">
        <v>37000000</v>
      </c>
      <c r="I142" s="56" t="n">
        <v>57000000</v>
      </c>
    </row>
    <row r="143">
      <c r="B143" s="67" t="inlineStr">
        <is>
          <t>Equity at end of period</t>
        </is>
      </c>
      <c r="C143" s="55" t="inlineStr">
        <is>
          <t>Equity</t>
        </is>
      </c>
      <c r="D143" s="58" t="n">
        <v>31451000000</v>
      </c>
      <c r="E143" s="58" t="n">
        <v>38611000000</v>
      </c>
      <c r="F143" s="58" t="n">
        <v>48946000000</v>
      </c>
      <c r="G143" s="58" t="n">
        <v>54051000000</v>
      </c>
      <c r="H143" s="58" t="n">
        <v>73071000000</v>
      </c>
      <c r="I143" s="58" t="n">
        <v>88203000000</v>
      </c>
    </row>
    <row r="144">
      <c r="B144" s="59" t="inlineStr">
        <is>
          <t>Liabilities [Abstract]</t>
        </is>
      </c>
    </row>
    <row r="145">
      <c r="B145" s="60" t="inlineStr">
        <is>
          <t>Non-current liabilities [Abstract]</t>
        </is>
      </c>
    </row>
    <row r="146">
      <c r="B146" s="63" t="inlineStr">
        <is>
          <t>Non-current financial liabilities [Abstract]</t>
        </is>
      </c>
    </row>
    <row r="147">
      <c r="B147" s="64" t="inlineStr">
        <is>
          <t>Total other non-current financial liabilities</t>
        </is>
      </c>
      <c r="C147" s="55" t="inlineStr">
        <is>
          <t>OtherNoncurrentFinancialLiabilities</t>
        </is>
      </c>
      <c r="D147" s="56" t="n">
        <v>0</v>
      </c>
      <c r="E147" s="56" t="n">
        <v>1042000000</v>
      </c>
      <c r="F147" s="56" t="n">
        <v>936000000</v>
      </c>
      <c r="G147" s="56" t="n">
        <v>10455000000</v>
      </c>
      <c r="H147" s="56" t="n">
        <v>6820000000</v>
      </c>
      <c r="I147" s="56" t="n">
        <v>6809000000</v>
      </c>
    </row>
    <row r="148">
      <c r="B148" s="66" t="inlineStr">
        <is>
          <t>Total non-current financial liabilities</t>
        </is>
      </c>
      <c r="C148" s="55" t="inlineStr">
        <is>
          <t>NoncurrentFinancialLiabilities</t>
        </is>
      </c>
      <c r="D148" s="58" t="n">
        <v>0</v>
      </c>
      <c r="E148" s="58" t="n">
        <v>1042000000</v>
      </c>
      <c r="F148" s="58" t="n">
        <v>936000000</v>
      </c>
      <c r="G148" s="58" t="n">
        <v>10455000000</v>
      </c>
      <c r="H148" s="58" t="n">
        <v>6820000000</v>
      </c>
      <c r="I148" s="58" t="n">
        <v>6809000000</v>
      </c>
    </row>
    <row r="149">
      <c r="B149" s="61" t="inlineStr">
        <is>
          <t>Provisions, non-current</t>
        </is>
      </c>
      <c r="C149" s="55" t="inlineStr">
        <is>
          <t>ProvisionsNoncurrent</t>
        </is>
      </c>
      <c r="D149" s="56" t="n">
        <v>285000000</v>
      </c>
      <c r="E149" s="56" t="n">
        <v>279000000</v>
      </c>
      <c r="F149" s="56" t="n">
        <v>291000000</v>
      </c>
      <c r="G149" s="56" t="n">
        <v>330000000</v>
      </c>
      <c r="H149" s="56" t="n">
        <v>363000000</v>
      </c>
      <c r="I149" s="56" t="n">
        <v>393000000</v>
      </c>
    </row>
    <row r="150">
      <c r="B150" s="61" t="inlineStr">
        <is>
          <t>Deferred tax liabilities (net)</t>
        </is>
      </c>
      <c r="C150" s="55" t="inlineStr">
        <is>
          <t>DeferredTaxLiabilitiesNet</t>
        </is>
      </c>
      <c r="D150" s="56" t="n">
        <v>171000000</v>
      </c>
      <c r="E150" s="56" t="n">
        <v>132000000</v>
      </c>
      <c r="F150" s="56" t="n">
        <v>56000000</v>
      </c>
      <c r="G150" s="56" t="n">
        <v>101000000</v>
      </c>
      <c r="H150" s="56" t="n">
        <v>35000000</v>
      </c>
      <c r="I150" s="56" t="n">
        <v>105000000</v>
      </c>
    </row>
    <row r="151">
      <c r="B151" s="61" t="inlineStr">
        <is>
          <t>Total other non-current liabilities</t>
        </is>
      </c>
      <c r="C151" s="55" t="inlineStr">
        <is>
          <t>OtherNoncurrentLiabilities</t>
        </is>
      </c>
      <c r="D151" s="56" t="n">
        <v>0</v>
      </c>
      <c r="E151" s="56" t="n">
        <v>0</v>
      </c>
      <c r="F151" s="56" t="n">
        <v>0</v>
      </c>
      <c r="G151" s="56" t="n">
        <v>0</v>
      </c>
      <c r="H151" s="56" t="n">
        <v>479000000</v>
      </c>
      <c r="I151" s="56" t="n">
        <v>0</v>
      </c>
    </row>
    <row r="152">
      <c r="B152" s="65" t="inlineStr">
        <is>
          <t>Total non-current liabilities</t>
        </is>
      </c>
      <c r="C152" s="55" t="inlineStr">
        <is>
          <t>NoncurrentLiabilities</t>
        </is>
      </c>
      <c r="D152" s="58" t="n">
        <v>456000000</v>
      </c>
      <c r="E152" s="58" t="n">
        <v>1453000000</v>
      </c>
      <c r="F152" s="58" t="n">
        <v>1283000000</v>
      </c>
      <c r="G152" s="58" t="n">
        <v>10886000000</v>
      </c>
      <c r="H152" s="58" t="n">
        <v>7697000000</v>
      </c>
      <c r="I152" s="58" t="n">
        <v>7307000000</v>
      </c>
    </row>
    <row r="153">
      <c r="B153" s="60" t="inlineStr">
        <is>
          <t>Current liabilities [Abstract]</t>
        </is>
      </c>
    </row>
    <row r="154">
      <c r="B154" s="63" t="inlineStr">
        <is>
          <t>Current financial liabilities [Abstract]</t>
        </is>
      </c>
    </row>
    <row r="155">
      <c r="B155" s="64" t="inlineStr">
        <is>
          <t>Borrowings, current</t>
        </is>
      </c>
      <c r="C155" s="55" t="inlineStr">
        <is>
          <t>BorrowingsCurrent</t>
        </is>
      </c>
      <c r="D155" s="56" t="n">
        <v>0</v>
      </c>
      <c r="E155" s="56" t="n">
        <v>0</v>
      </c>
      <c r="F155" s="56" t="n">
        <v>0</v>
      </c>
      <c r="G155" s="56" t="n">
        <v>320000000</v>
      </c>
      <c r="H155" s="56" t="n">
        <v>414000000</v>
      </c>
      <c r="I155" s="56" t="n">
        <v>519000000</v>
      </c>
    </row>
    <row r="156">
      <c r="B156" s="68" t="inlineStr">
        <is>
          <t>Trade payables, current [Abstract]</t>
        </is>
      </c>
    </row>
    <row r="157">
      <c r="B157" s="69" t="inlineStr">
        <is>
          <t>Total trade payables, current</t>
        </is>
      </c>
      <c r="C157" s="55" t="inlineStr">
        <is>
          <t>TradePayablesCurrent</t>
        </is>
      </c>
      <c r="D157" s="58" t="n">
        <v>3366000000</v>
      </c>
      <c r="E157" s="58" t="n">
        <v>3888000000</v>
      </c>
      <c r="F157" s="58" t="n">
        <v>4669000000</v>
      </c>
      <c r="G157" s="58" t="n">
        <v>6950000000</v>
      </c>
      <c r="H157" s="58" t="n">
        <v>8277000000</v>
      </c>
      <c r="I157" s="58" t="n">
        <v>8028000000</v>
      </c>
    </row>
    <row r="158">
      <c r="B158" s="64" t="inlineStr">
        <is>
          <t>Total other current financial liabilities</t>
        </is>
      </c>
      <c r="C158" s="55" t="inlineStr">
        <is>
          <t>OtherCurrentFinancialLiabilities</t>
        </is>
      </c>
      <c r="D158" s="56" t="n">
        <v>5841000000</v>
      </c>
      <c r="E158" s="56" t="n">
        <v>6106000000</v>
      </c>
      <c r="F158" s="56" t="n">
        <v>6730000000</v>
      </c>
      <c r="G158" s="56" t="n">
        <v>9239000000</v>
      </c>
      <c r="H158" s="56" t="n">
        <v>9025000000</v>
      </c>
      <c r="I158" s="56" t="n">
        <v>10521000000</v>
      </c>
    </row>
    <row r="159">
      <c r="B159" s="66" t="inlineStr">
        <is>
          <t>Total current financial liabilities</t>
        </is>
      </c>
      <c r="C159" s="55" t="inlineStr">
        <is>
          <t>CurrentFinancialLiabilities</t>
        </is>
      </c>
      <c r="D159" s="58" t="n">
        <v>9207000000</v>
      </c>
      <c r="E159" s="58" t="n">
        <v>9994000000</v>
      </c>
      <c r="F159" s="58" t="n">
        <v>11399000000</v>
      </c>
      <c r="G159" s="58" t="n">
        <v>16509000000</v>
      </c>
      <c r="H159" s="58" t="n">
        <v>17716000000</v>
      </c>
      <c r="I159" s="58" t="n">
        <v>19068000000</v>
      </c>
    </row>
    <row r="160">
      <c r="B160" s="61" t="inlineStr">
        <is>
          <t>Total other current liabilities</t>
        </is>
      </c>
      <c r="C160" s="55" t="inlineStr">
        <is>
          <t>OtherCurrentLiabilities</t>
        </is>
      </c>
      <c r="D160" s="56" t="n">
        <v>1158000000</v>
      </c>
      <c r="E160" s="56" t="n">
        <v>1617000000</v>
      </c>
      <c r="F160" s="56" t="n">
        <v>2582000000</v>
      </c>
      <c r="G160" s="56" t="n">
        <v>4134000000</v>
      </c>
      <c r="H160" s="56" t="n">
        <v>4921000000</v>
      </c>
      <c r="I160" s="56" t="n">
        <v>5812000000</v>
      </c>
    </row>
    <row r="161">
      <c r="B161" s="61" t="inlineStr">
        <is>
          <t>Provisions, current</t>
        </is>
      </c>
      <c r="C161" s="55" t="inlineStr">
        <is>
          <t>ProvisionsCurrent</t>
        </is>
      </c>
      <c r="D161" s="56" t="n">
        <v>1771000000</v>
      </c>
      <c r="E161" s="56" t="n">
        <v>1844000000</v>
      </c>
      <c r="F161" s="56" t="n">
        <v>2108000000</v>
      </c>
      <c r="G161" s="56" t="n">
        <v>2588000000</v>
      </c>
      <c r="H161" s="56" t="n">
        <v>3542000000</v>
      </c>
      <c r="I161" s="56" t="n">
        <v>3874000000</v>
      </c>
    </row>
    <row r="162">
      <c r="B162" s="61" t="inlineStr">
        <is>
          <t>Current tax liabilities</t>
        </is>
      </c>
      <c r="C162" s="55" t="inlineStr">
        <is>
          <t>CurrentTaxLiabilities</t>
        </is>
      </c>
      <c r="D162" s="56" t="n">
        <v>301000000</v>
      </c>
      <c r="E162" s="56" t="n">
        <v>307000000</v>
      </c>
      <c r="F162" s="56" t="n">
        <v>374000000</v>
      </c>
      <c r="G162" s="56" t="n">
        <v>81000000</v>
      </c>
      <c r="H162" s="56" t="n">
        <v>144000000</v>
      </c>
      <c r="I162" s="56" t="n">
        <v>429000000</v>
      </c>
    </row>
    <row r="163">
      <c r="B163" s="65" t="inlineStr">
        <is>
          <t>Total current liabilities</t>
        </is>
      </c>
      <c r="C163" s="55" t="inlineStr">
        <is>
          <t>CurrentLiabilities</t>
        </is>
      </c>
      <c r="D163" s="58" t="n">
        <v>12437000000</v>
      </c>
      <c r="E163" s="58" t="n">
        <v>13762000000</v>
      </c>
      <c r="F163" s="58" t="n">
        <v>16463000000</v>
      </c>
      <c r="G163" s="58" t="n">
        <v>23312000000</v>
      </c>
      <c r="H163" s="58" t="n">
        <v>26323000000</v>
      </c>
      <c r="I163" s="58" t="n">
        <v>29183000000</v>
      </c>
    </row>
    <row r="164">
      <c r="B164" s="67" t="inlineStr">
        <is>
          <t>Liabilities</t>
        </is>
      </c>
      <c r="C164" s="55" t="inlineStr">
        <is>
          <t>Liabilities</t>
        </is>
      </c>
      <c r="D164" s="58" t="n">
        <v>12893000000</v>
      </c>
      <c r="E164" s="58" t="n">
        <v>15215000000</v>
      </c>
      <c r="F164" s="58" t="n">
        <v>17746000000</v>
      </c>
      <c r="G164" s="58" t="n">
        <v>34198000000</v>
      </c>
      <c r="H164" s="58" t="n">
        <v>34020000000</v>
      </c>
      <c r="I164" s="58" t="n">
        <v>36490000000</v>
      </c>
    </row>
    <row r="165">
      <c r="B165" s="57" t="inlineStr">
        <is>
          <t>Total equity and liabilities</t>
        </is>
      </c>
      <c r="C165" s="55" t="inlineStr">
        <is>
          <t>EquityAndLiabilities</t>
        </is>
      </c>
      <c r="D165" s="58" t="n">
        <v>44344000000</v>
      </c>
      <c r="E165" s="58" t="n">
        <v>53826000000</v>
      </c>
      <c r="F165" s="58" t="n">
        <v>66692000000</v>
      </c>
      <c r="G165" s="58" t="n">
        <v>88249000000</v>
      </c>
      <c r="H165" s="58" t="n">
        <v>107091000000</v>
      </c>
      <c r="I165" s="58" t="n">
        <v>124693000000</v>
      </c>
    </row>
    <row r="168">
      <c r="A168" t="inlineStr">
        <is>
          <t>#</t>
        </is>
      </c>
      <c r="B168" s="20" t="inlineStr">
        <is>
          <t>Statement of Cash Flows</t>
        </is>
      </c>
    </row>
    <row r="169">
      <c r="B169" t="inlineStr">
        <is>
          <t>Raw units, no conversion applied -- source varies by year, see Output/XBRL_Files filenames (_MCA = MCA XBRL, _NSE = NSE Integrated Filing XBRL)</t>
        </is>
      </c>
    </row>
    <row r="171">
      <c r="C171" s="53" t="inlineStr">
        <is>
          <t>Concept Tag</t>
        </is>
      </c>
      <c r="D171" s="20" t="inlineStr">
        <is>
          <t>FY2017</t>
        </is>
      </c>
      <c r="E171" s="20" t="inlineStr">
        <is>
          <t>FY2018</t>
        </is>
      </c>
      <c r="F171" s="20" t="inlineStr">
        <is>
          <t>FY2019</t>
        </is>
      </c>
      <c r="G171" s="20" t="inlineStr">
        <is>
          <t>FY2020</t>
        </is>
      </c>
      <c r="H171" s="20" t="inlineStr">
        <is>
          <t>FY2021</t>
        </is>
      </c>
      <c r="I171" s="20" t="inlineStr">
        <is>
          <t>FY2022</t>
        </is>
      </c>
    </row>
    <row r="172" ht="15.5" customHeight="1" s="203">
      <c r="B172" s="38" t="inlineStr">
        <is>
          <t>Cash flows from used in operating activities [Abstract]</t>
        </is>
      </c>
    </row>
    <row r="173">
      <c r="B173" s="54" t="inlineStr">
        <is>
          <t>Total profit before tax</t>
        </is>
      </c>
      <c r="C173" s="55" t="inlineStr">
        <is>
          <t>ProfitBeforeTax</t>
        </is>
      </c>
      <c r="D173" s="56" t="n">
        <v>12358000000</v>
      </c>
      <c r="E173" s="56" t="n">
        <v>14415000000</v>
      </c>
      <c r="F173" s="56" t="n">
        <v>20278000000</v>
      </c>
      <c r="G173" s="56" t="n">
        <v>20029000000</v>
      </c>
      <c r="H173" s="56" t="n">
        <v>25882000000</v>
      </c>
      <c r="I173" s="56" t="n">
        <v>30974000000</v>
      </c>
    </row>
    <row r="174">
      <c r="B174" s="59" t="inlineStr">
        <is>
          <t>Adjustments for reconcile profit (loss) [Abstract]</t>
        </is>
      </c>
    </row>
    <row r="175">
      <c r="B175" s="62" t="inlineStr">
        <is>
          <t>Adjustments for finance costs</t>
        </is>
      </c>
      <c r="C175" s="55" t="inlineStr">
        <is>
          <t>AdjustmentsForFinanceCosts</t>
        </is>
      </c>
      <c r="D175" s="56" t="n">
        <v>32000000</v>
      </c>
      <c r="E175" s="56" t="n">
        <v>157000000</v>
      </c>
      <c r="F175" s="56" t="n">
        <v>106000000</v>
      </c>
      <c r="G175" s="56" t="n">
        <v>826000000</v>
      </c>
      <c r="H175" s="56" t="n">
        <v>788000000</v>
      </c>
      <c r="I175" s="56" t="n">
        <v>728000000</v>
      </c>
    </row>
    <row r="176">
      <c r="B176" s="62" t="inlineStr">
        <is>
          <t>Adjustments for decrease (increase) in trade receivables, current</t>
        </is>
      </c>
      <c r="C176" s="55" t="inlineStr">
        <is>
          <t>AdjustmentsForDecreaseIncreaseInTradeReceivablesCurrent</t>
        </is>
      </c>
      <c r="D176" s="56" t="n">
        <v>-1162000000</v>
      </c>
      <c r="E176" s="56" t="n">
        <v>-5531000000</v>
      </c>
      <c r="F176" s="56" t="n">
        <v>-1442000000</v>
      </c>
      <c r="G176" s="56" t="n">
        <v>-3131000000</v>
      </c>
      <c r="H176" s="56" t="n">
        <v>-203000000</v>
      </c>
      <c r="I176" s="56" t="n">
        <v>-10600000000</v>
      </c>
    </row>
    <row r="177">
      <c r="B177" s="62" t="inlineStr">
        <is>
          <t>Adjustments for decrease (increase) in other current assets</t>
        </is>
      </c>
      <c r="C177" s="55" t="inlineStr">
        <is>
          <t>AdjustmentsForDecreaseIncreaseInOtherCurrentAssets</t>
        </is>
      </c>
      <c r="D177" s="56" t="n">
        <v>57000000</v>
      </c>
      <c r="E177" s="56" t="n">
        <v>-230000000</v>
      </c>
      <c r="F177" s="56" t="n">
        <v>-3985000000</v>
      </c>
      <c r="G177" s="56" t="n">
        <v>-2786000000</v>
      </c>
      <c r="H177" s="56" t="n">
        <v>-1968000000</v>
      </c>
      <c r="I177" s="56" t="n">
        <v>-1507000000</v>
      </c>
    </row>
    <row r="178">
      <c r="B178" s="62" t="inlineStr">
        <is>
          <t>Adjustments for decrease (increase) in other non-current assets</t>
        </is>
      </c>
      <c r="C178" s="55" t="inlineStr">
        <is>
          <t>AdjustmentsForDecreaseIncreaseInOtherNoncurrentAssets</t>
        </is>
      </c>
      <c r="D178" s="56" t="n">
        <v>15000000</v>
      </c>
      <c r="E178" s="56" t="n">
        <v>0</v>
      </c>
      <c r="F178" s="56" t="n">
        <v>0</v>
      </c>
      <c r="G178" s="56" t="n">
        <v>0</v>
      </c>
      <c r="H178" s="56" t="n">
        <v>0</v>
      </c>
      <c r="I178" s="56" t="n">
        <v>0</v>
      </c>
    </row>
    <row r="179">
      <c r="B179" s="62" t="inlineStr">
        <is>
          <t>Adjustments for increase (decrease) in trade payables, current</t>
        </is>
      </c>
      <c r="C179" s="55" t="inlineStr">
        <is>
          <t>AdjustmentsForIncreaseDecreaseInTradePayablesCurrent</t>
        </is>
      </c>
      <c r="D179" s="56" t="n">
        <v>2711000000</v>
      </c>
      <c r="E179" s="56" t="n">
        <v>2001000000</v>
      </c>
      <c r="F179" s="56" t="n">
        <v>2366000000</v>
      </c>
      <c r="G179" s="56" t="n">
        <v>3604000000</v>
      </c>
      <c r="H179" s="56" t="n">
        <v>4875000000</v>
      </c>
      <c r="I179" s="56" t="n">
        <v>2565000000</v>
      </c>
    </row>
    <row r="180">
      <c r="B180" s="62" t="inlineStr">
        <is>
          <t>Adjustments for depreciation and amortisation expense</t>
        </is>
      </c>
      <c r="C180" s="55" t="inlineStr">
        <is>
          <t>AdjustmentsForDepreciationAndAmortisationExpense</t>
        </is>
      </c>
      <c r="D180" s="56" t="n">
        <v>1779000000</v>
      </c>
      <c r="E180" s="56" t="n">
        <v>1563000000</v>
      </c>
      <c r="F180" s="56" t="n">
        <v>1472000000</v>
      </c>
      <c r="G180" s="56" t="n">
        <v>2730000000</v>
      </c>
      <c r="H180" s="56" t="n">
        <v>3325000000</v>
      </c>
      <c r="I180" s="56" t="n">
        <v>3549000000</v>
      </c>
    </row>
    <row r="181">
      <c r="B181" s="62" t="inlineStr">
        <is>
          <t>Adjustments for unrealised foreign exchange losses gains</t>
        </is>
      </c>
      <c r="C181" s="55" t="inlineStr">
        <is>
          <t>AdjustmentsForUnrealisedForeignExchangeLossesGains</t>
        </is>
      </c>
      <c r="D181" s="56" t="n">
        <v>-49000000</v>
      </c>
      <c r="E181" s="56" t="n">
        <v>-1000000</v>
      </c>
      <c r="F181" s="56" t="n">
        <v>368000000</v>
      </c>
      <c r="G181" s="56" t="n">
        <v>-3000000</v>
      </c>
      <c r="H181" s="56" t="n">
        <v>-176000000</v>
      </c>
      <c r="I181" s="56" t="n">
        <v>2000000</v>
      </c>
    </row>
    <row r="182">
      <c r="B182" s="62" t="inlineStr">
        <is>
          <t>Adjustments for interest income</t>
        </is>
      </c>
      <c r="C182" s="55" t="inlineStr">
        <is>
          <t>AdjustmentsForInterestIncome</t>
        </is>
      </c>
      <c r="D182" s="56" t="n">
        <v>27000000</v>
      </c>
      <c r="E182" s="56" t="n">
        <v>23000000</v>
      </c>
      <c r="F182" s="56" t="n">
        <v>19000000</v>
      </c>
      <c r="G182" s="56" t="n">
        <v>64000000</v>
      </c>
      <c r="H182" s="56" t="n">
        <v>162000000</v>
      </c>
      <c r="I182" s="56" t="n">
        <v>393000000</v>
      </c>
    </row>
    <row r="183">
      <c r="B183" s="62" t="inlineStr">
        <is>
          <t>Adjustments for share-based payments</t>
        </is>
      </c>
      <c r="C183" s="55" t="inlineStr">
        <is>
          <t>AdjustmentsForSharebasedPayments</t>
        </is>
      </c>
      <c r="D183" s="56" t="n">
        <v>428000000</v>
      </c>
      <c r="E183" s="56" t="n">
        <v>400000000</v>
      </c>
      <c r="F183" s="56" t="n">
        <v>281000000</v>
      </c>
      <c r="G183" s="56" t="n">
        <v>319000000</v>
      </c>
      <c r="H183" s="56" t="n">
        <v>168000000</v>
      </c>
      <c r="I183" s="56" t="n">
        <v>108000000</v>
      </c>
    </row>
    <row r="184">
      <c r="B184" s="62" t="inlineStr">
        <is>
          <t>Other adjustments for which cash effects are investing or financing cash flow</t>
        </is>
      </c>
      <c r="C184" s="55" t="inlineStr">
        <is>
          <t>OtherAdjustmentsForWhichCashEffectsAreInvestingOrFinancingCashFlow</t>
        </is>
      </c>
      <c r="D184" s="56" t="n">
        <v>-194000000</v>
      </c>
      <c r="E184" s="56" t="n">
        <v>-732000000</v>
      </c>
      <c r="F184" s="56" t="n">
        <v>-724000000</v>
      </c>
      <c r="G184" s="56" t="n">
        <v>-1207000000</v>
      </c>
      <c r="H184" s="56" t="n">
        <v>-2365000000</v>
      </c>
      <c r="I184" s="56" t="n">
        <v>-1177000000</v>
      </c>
    </row>
    <row r="185">
      <c r="B185" s="62" t="inlineStr">
        <is>
          <t>Other adjustments to reconcile profit (loss)</t>
        </is>
      </c>
      <c r="C185" s="55" t="inlineStr">
        <is>
          <t>OtherAdjustmentsToReconcileProfitLoss</t>
        </is>
      </c>
      <c r="D185" s="56" t="n">
        <v>0</v>
      </c>
      <c r="E185" s="56" t="n">
        <v>0</v>
      </c>
      <c r="F185" s="56" t="n">
        <v>0</v>
      </c>
      <c r="G185" s="56" t="n">
        <v>-4824000000</v>
      </c>
      <c r="H185" s="56" t="n">
        <v>-6500000000</v>
      </c>
      <c r="I185" s="56" t="n">
        <v>0</v>
      </c>
    </row>
    <row r="186">
      <c r="B186" s="62" t="inlineStr">
        <is>
          <t>Other adjustments for non-cash items</t>
        </is>
      </c>
      <c r="C186" s="55" t="inlineStr">
        <is>
          <t>OtherAdjustmentsForNoncashItems</t>
        </is>
      </c>
      <c r="D186" s="56" t="n">
        <v>228000000</v>
      </c>
      <c r="E186" s="56" t="n">
        <v>0</v>
      </c>
      <c r="F186" s="56" t="n">
        <v>1000000</v>
      </c>
      <c r="G186" s="56" t="n">
        <v>5060000000</v>
      </c>
      <c r="H186" s="56" t="n">
        <v>6732000000</v>
      </c>
      <c r="I186" s="56" t="n">
        <v>384000000</v>
      </c>
    </row>
    <row r="187">
      <c r="B187" s="67" t="inlineStr">
        <is>
          <t>Total adjustments for reconcile profit (loss)</t>
        </is>
      </c>
      <c r="C187" s="55" t="inlineStr">
        <is>
          <t>AdjustmentsForReconcileProfitLoss</t>
        </is>
      </c>
      <c r="D187" s="58" t="n">
        <v>3818000000</v>
      </c>
      <c r="E187" s="58" t="n">
        <v>-2396000000</v>
      </c>
      <c r="F187" s="58" t="n">
        <v>-1576000000</v>
      </c>
      <c r="G187" s="58" t="n">
        <v>524000000</v>
      </c>
      <c r="H187" s="58" t="n">
        <v>4514000000</v>
      </c>
      <c r="I187" s="58" t="n">
        <v>-6341000000</v>
      </c>
    </row>
    <row r="188">
      <c r="B188" s="57" t="inlineStr">
        <is>
          <t>Net cash flows from (used in) operations</t>
        </is>
      </c>
      <c r="C188" s="55" t="inlineStr">
        <is>
          <t>CashFlowsFromUsedInOperations</t>
        </is>
      </c>
      <c r="D188" s="58" t="n">
        <v>16176000000</v>
      </c>
      <c r="E188" s="58" t="n">
        <v>12019000000</v>
      </c>
      <c r="F188" s="58" t="n">
        <v>18702000000</v>
      </c>
      <c r="G188" s="58" t="n">
        <v>20553000000</v>
      </c>
      <c r="H188" s="58" t="n">
        <v>30396000000</v>
      </c>
      <c r="I188" s="58" t="n">
        <v>24633000000</v>
      </c>
    </row>
    <row r="189">
      <c r="B189" s="54" t="inlineStr">
        <is>
          <t>Income taxes paid (refund)</t>
        </is>
      </c>
      <c r="C189" s="55" t="inlineStr">
        <is>
          <t>IncomeTaxesPaidRefundClassifiedAsOperatingActivities</t>
        </is>
      </c>
      <c r="D189" s="56" t="n">
        <v>2459000000</v>
      </c>
      <c r="E189" s="56" t="n">
        <v>3581000000</v>
      </c>
      <c r="F189" s="56" t="n">
        <v>4751000000</v>
      </c>
      <c r="G189" s="56" t="n">
        <v>4118000000</v>
      </c>
      <c r="H189" s="56" t="n">
        <v>6400000000</v>
      </c>
      <c r="I189" s="56" t="n">
        <v>8113000000</v>
      </c>
    </row>
    <row r="190">
      <c r="B190" s="57" t="inlineStr">
        <is>
          <t>Net cash flows from (used in) operating activities</t>
        </is>
      </c>
      <c r="C190" s="55" t="inlineStr">
        <is>
          <t>CashFlowsFromUsedInOperatingActivities</t>
        </is>
      </c>
      <c r="D190" s="58" t="n">
        <v>13717000000</v>
      </c>
      <c r="E190" s="58" t="n">
        <v>8438000000</v>
      </c>
      <c r="F190" s="58" t="n">
        <v>13951000000</v>
      </c>
      <c r="G190" s="58" t="n">
        <v>16435000000</v>
      </c>
      <c r="H190" s="58" t="n">
        <v>23996000000</v>
      </c>
      <c r="I190" s="58" t="n">
        <v>16520000000</v>
      </c>
    </row>
    <row r="191" ht="15.5" customHeight="1" s="203">
      <c r="B191" s="38" t="inlineStr">
        <is>
          <t>Cash flows from used in investing activities [Abstract]</t>
        </is>
      </c>
    </row>
    <row r="192">
      <c r="B192" s="54" t="inlineStr">
        <is>
          <t>Cash flows used in obtaining control of subsidiaries or other businesses</t>
        </is>
      </c>
      <c r="C192" s="55" t="inlineStr">
        <is>
          <t>CashFlowsUsedInObtainingControlOfSubsidiariesOrOtherBusinessesClassifiedAsInvestingActivities</t>
        </is>
      </c>
      <c r="D192" s="56" t="n">
        <v>0</v>
      </c>
      <c r="E192" s="56" t="n">
        <v>1146000000</v>
      </c>
      <c r="F192" s="56" t="n">
        <v>2092000000</v>
      </c>
      <c r="G192" s="56" t="n">
        <v>488000000</v>
      </c>
      <c r="H192" s="56" t="n">
        <v>18000000</v>
      </c>
      <c r="I192" s="56" t="n">
        <v>352000000</v>
      </c>
    </row>
    <row r="193">
      <c r="B193" s="54" t="inlineStr">
        <is>
          <t>Other cash payments to acquire equity or debt instruments of other entities</t>
        </is>
      </c>
      <c r="C193" s="55" t="inlineStr">
        <is>
          <t>OtherCashPaymentsToAcquireEquityOrDebtInstrumentsOfOtherEntitiesClassifiedAsInvestingActivities</t>
        </is>
      </c>
      <c r="D193" s="56" t="n">
        <v>8977000000</v>
      </c>
      <c r="E193" s="56" t="n">
        <v>3016000000</v>
      </c>
      <c r="F193" s="56" t="n">
        <v>4512000000</v>
      </c>
      <c r="G193" s="56" t="n">
        <v>4603000000</v>
      </c>
      <c r="H193" s="56" t="n">
        <v>14611000000</v>
      </c>
      <c r="I193" s="56" t="n">
        <v>1635000000</v>
      </c>
    </row>
    <row r="194">
      <c r="B194" s="54" t="inlineStr">
        <is>
          <t>Proceeds from sales of property, plant and equipment</t>
        </is>
      </c>
      <c r="C194" s="55" t="inlineStr">
        <is>
          <t>ProceedsFromSalesOfPropertyPlantAndEquipmentClassifiedAsInvestingActivities</t>
        </is>
      </c>
      <c r="D194" s="56" t="n">
        <v>41000000</v>
      </c>
      <c r="E194" s="56" t="n">
        <v>37000000</v>
      </c>
      <c r="F194" s="56" t="n">
        <v>35000000</v>
      </c>
      <c r="G194" s="56" t="n">
        <v>39000000</v>
      </c>
      <c r="H194" s="56" t="n">
        <v>54000000</v>
      </c>
      <c r="I194" s="56" t="n">
        <v>34000000</v>
      </c>
    </row>
    <row r="195">
      <c r="B195" s="54" t="inlineStr">
        <is>
          <t>Purchase of property, plant and equipment</t>
        </is>
      </c>
      <c r="C195" s="55" t="inlineStr">
        <is>
          <t>PurchaseOfPropertyPlantAndEquipmentClassifiedAsInvestingActivities</t>
        </is>
      </c>
      <c r="D195" s="56" t="n">
        <v>795000000</v>
      </c>
      <c r="E195" s="56" t="n">
        <v>1019000000</v>
      </c>
      <c r="F195" s="56" t="n">
        <v>1566000000</v>
      </c>
      <c r="G195" s="56" t="n">
        <v>2465000000</v>
      </c>
      <c r="H195" s="56" t="n">
        <v>2719000000</v>
      </c>
      <c r="I195" s="56" t="n">
        <v>8590000000</v>
      </c>
    </row>
    <row r="196">
      <c r="B196" s="54" t="inlineStr">
        <is>
          <t>Interest received</t>
        </is>
      </c>
      <c r="C196" s="55" t="inlineStr">
        <is>
          <t>InterestReceivedClassifiedAsInvestingActivities</t>
        </is>
      </c>
      <c r="D196" s="56" t="n">
        <v>27000000</v>
      </c>
      <c r="E196" s="56" t="n">
        <v>23000000</v>
      </c>
      <c r="F196" s="56" t="n">
        <v>19000000</v>
      </c>
      <c r="G196" s="56" t="n">
        <v>64000000</v>
      </c>
      <c r="H196" s="56" t="n">
        <v>160000000</v>
      </c>
      <c r="I196" s="56" t="n">
        <v>300000000</v>
      </c>
    </row>
    <row r="197">
      <c r="B197" s="54" t="inlineStr">
        <is>
          <t>Other inflows (outflows) of cash</t>
        </is>
      </c>
      <c r="C197" s="55" t="inlineStr">
        <is>
          <t>OtherInflowsOutflowsOfCashClassifiedAsInvestingActivities</t>
        </is>
      </c>
      <c r="D197" s="56" t="n">
        <v>194000000</v>
      </c>
      <c r="E197" s="56" t="n">
        <v>515000000</v>
      </c>
      <c r="F197" s="56" t="n">
        <v>678000000</v>
      </c>
      <c r="G197" s="56" t="n">
        <v>933000000</v>
      </c>
      <c r="H197" s="56" t="n">
        <v>574000000</v>
      </c>
      <c r="I197" s="56" t="n">
        <v>649000000</v>
      </c>
    </row>
    <row r="198">
      <c r="B198" s="57" t="inlineStr">
        <is>
          <t>Net cash flows from (used in) investing activities</t>
        </is>
      </c>
      <c r="C198" s="55" t="inlineStr">
        <is>
          <t>CashFlowsFromUsedInInvestingActivities</t>
        </is>
      </c>
      <c r="D198" s="58" t="n">
        <v>-9510000000</v>
      </c>
      <c r="E198" s="58" t="n">
        <v>-4606000000</v>
      </c>
      <c r="F198" s="58" t="n">
        <v>-7438000000</v>
      </c>
      <c r="G198" s="58" t="n">
        <v>-6520000000</v>
      </c>
      <c r="H198" s="58" t="n">
        <v>-16560000000</v>
      </c>
      <c r="I198" s="58" t="n">
        <v>-9594000000</v>
      </c>
    </row>
    <row r="199" ht="15.5" customHeight="1" s="203">
      <c r="B199" s="38" t="inlineStr">
        <is>
          <t>Cash flows from used in financing activities [Abstract]</t>
        </is>
      </c>
    </row>
    <row r="200">
      <c r="B200" s="54" t="inlineStr">
        <is>
          <t>Proceeds from issuing shares</t>
        </is>
      </c>
      <c r="C200" s="55" t="inlineStr">
        <is>
          <t>ProceedsFromIssuingSharesClassifiedAsFinancingActivities</t>
        </is>
      </c>
      <c r="D200" s="56" t="n">
        <v>4000000</v>
      </c>
      <c r="E200" s="56" t="n">
        <v>3000000</v>
      </c>
      <c r="F200" s="56" t="n">
        <v>3000000</v>
      </c>
      <c r="G200" s="56" t="n">
        <v>0</v>
      </c>
      <c r="H200" s="56" t="n">
        <v>1000000</v>
      </c>
      <c r="I200" s="56" t="n">
        <v>0</v>
      </c>
    </row>
    <row r="201">
      <c r="B201" s="54" t="inlineStr">
        <is>
          <t>Proceeds from borrowings</t>
        </is>
      </c>
      <c r="C201" s="55" t="inlineStr">
        <is>
          <t>ProceedsFromBorrowingsClassifiedAsFinancingActivities</t>
        </is>
      </c>
      <c r="D201" s="56" t="n">
        <v>0</v>
      </c>
      <c r="E201" s="56" t="n">
        <v>0</v>
      </c>
      <c r="F201" s="56" t="n">
        <v>0</v>
      </c>
      <c r="G201" s="56" t="n">
        <v>320000000</v>
      </c>
      <c r="H201" s="56" t="n">
        <v>94000000</v>
      </c>
      <c r="I201" s="56" t="n">
        <v>105000000</v>
      </c>
    </row>
    <row r="202">
      <c r="B202" s="54" t="inlineStr">
        <is>
          <t>Repayments of borrowings</t>
        </is>
      </c>
      <c r="C202" s="55" t="inlineStr">
        <is>
          <t>RepaymentsOfBorrowingsClassifiedAsFinancingActivities</t>
        </is>
      </c>
      <c r="D202" s="56" t="n">
        <v>437000000</v>
      </c>
      <c r="E202" s="56" t="n">
        <v>0</v>
      </c>
      <c r="F202" s="56" t="n">
        <v>0</v>
      </c>
      <c r="G202" s="56" t="n">
        <v>0</v>
      </c>
      <c r="H202" s="56" t="n">
        <v>0</v>
      </c>
      <c r="I202" s="56" t="n">
        <v>0</v>
      </c>
    </row>
    <row r="203">
      <c r="B203" s="54" t="inlineStr">
        <is>
          <t>Payments of lease liabilities</t>
        </is>
      </c>
      <c r="C203" s="55" t="inlineStr">
        <is>
          <t>PaymentsOfLeaseLiabilitiesClassifiedAsFinancingActivities</t>
        </is>
      </c>
      <c r="D203" s="56" t="n">
        <v>0</v>
      </c>
      <c r="E203" s="56" t="n">
        <v>0</v>
      </c>
      <c r="F203" s="56" t="n">
        <v>0</v>
      </c>
      <c r="G203" s="56" t="n">
        <v>1397000000</v>
      </c>
      <c r="H203" s="56" t="n">
        <v>1602000000</v>
      </c>
      <c r="I203" s="56" t="n">
        <v>1677000000</v>
      </c>
    </row>
    <row r="204">
      <c r="B204" s="54" t="inlineStr">
        <is>
          <t>Dividends paid</t>
        </is>
      </c>
      <c r="C204" s="55" t="inlineStr">
        <is>
          <t>DividendsPaidClassifiedAsFinancingActivities</t>
        </is>
      </c>
      <c r="D204" s="56" t="n">
        <v>1888000000</v>
      </c>
      <c r="E204" s="56" t="n">
        <v>3534000000</v>
      </c>
      <c r="F204" s="56" t="n">
        <v>5341000000</v>
      </c>
      <c r="G204" s="56" t="n">
        <v>5679000000</v>
      </c>
      <c r="H204" s="56" t="n">
        <v>5319000000</v>
      </c>
      <c r="I204" s="56" t="n">
        <v>8749000000</v>
      </c>
    </row>
    <row r="205">
      <c r="B205" s="54" t="inlineStr">
        <is>
          <t>Interest paid</t>
        </is>
      </c>
      <c r="C205" s="55" t="inlineStr">
        <is>
          <t>InterestPaidClassifiedAsFinancingActivities</t>
        </is>
      </c>
      <c r="D205" s="56" t="n">
        <v>32000000</v>
      </c>
      <c r="E205" s="56" t="n">
        <v>138000000</v>
      </c>
      <c r="F205" s="56" t="n">
        <v>16000000</v>
      </c>
      <c r="G205" s="56" t="n">
        <v>40000000</v>
      </c>
      <c r="H205" s="56" t="n">
        <v>21000000</v>
      </c>
      <c r="I205" s="56" t="n">
        <v>48000000</v>
      </c>
    </row>
    <row r="206">
      <c r="B206" s="54" t="inlineStr">
        <is>
          <t>Other inflows (outflows) of cash</t>
        </is>
      </c>
      <c r="C206" s="55" t="inlineStr">
        <is>
          <t>OtherInflowsOutflowsOfCashClassifiedAsFinancingActivities</t>
        </is>
      </c>
      <c r="D206" s="56" t="n">
        <v>0</v>
      </c>
      <c r="E206" s="56" t="n">
        <v>-407000000</v>
      </c>
      <c r="F206" s="56" t="n">
        <v>-589000000</v>
      </c>
      <c r="G206" s="56" t="n">
        <v>-2104000000</v>
      </c>
      <c r="H206" s="56" t="n">
        <v>1759000000</v>
      </c>
      <c r="I206" s="56" t="n">
        <v>-89000000</v>
      </c>
    </row>
    <row r="207">
      <c r="B207" s="57" t="inlineStr">
        <is>
          <t>Net cash flows from (used in) financing activities</t>
        </is>
      </c>
      <c r="C207" s="55" t="inlineStr">
        <is>
          <t>CashFlowsFromUsedInFinancingActivities</t>
        </is>
      </c>
      <c r="D207" s="58" t="n">
        <v>-2353000000</v>
      </c>
      <c r="E207" s="58" t="n">
        <v>-4076000000</v>
      </c>
      <c r="F207" s="58" t="n">
        <v>-5943000000</v>
      </c>
      <c r="G207" s="58" t="n">
        <v>-8900000000</v>
      </c>
      <c r="H207" s="58" t="n">
        <v>-5088000000</v>
      </c>
      <c r="I207" s="58" t="n">
        <v>-10458000000</v>
      </c>
    </row>
    <row r="208">
      <c r="B208" s="8" t="inlineStr">
        <is>
          <t>Net increase (decrease) in cash and cash equivalents before effect of exchange rate changes</t>
        </is>
      </c>
      <c r="C208" s="55" t="inlineStr">
        <is>
          <t>IncreaseDecreaseInCashAndCashEquivalentsBeforeEffectOfExchangeRateChanges</t>
        </is>
      </c>
      <c r="D208" s="58" t="n">
        <v>1854000000</v>
      </c>
      <c r="E208" s="58" t="n">
        <v>-244000000</v>
      </c>
      <c r="F208" s="58" t="n">
        <v>570000000</v>
      </c>
      <c r="G208" s="58" t="n">
        <v>1015000000</v>
      </c>
      <c r="H208" s="58" t="n">
        <v>2348000000</v>
      </c>
      <c r="I208" s="58" t="n">
        <v>-3532000000</v>
      </c>
    </row>
    <row r="209" ht="15.5" customHeight="1" s="203">
      <c r="B209" s="38" t="inlineStr">
        <is>
          <t>Effect of exchange rate changes on cash and cash equivalents [Abstract]</t>
        </is>
      </c>
    </row>
    <row r="210">
      <c r="B210" s="54" t="inlineStr">
        <is>
          <t>Effect of exchange rate changes on cash and cash equivalents</t>
        </is>
      </c>
      <c r="C210" s="55" t="inlineStr">
        <is>
          <t>EffectOfExchangeRateChangesOnCashAndCashEquivalents</t>
        </is>
      </c>
      <c r="D210" s="56" t="n">
        <v>-94000000</v>
      </c>
      <c r="E210" s="56" t="n">
        <v>82000000</v>
      </c>
      <c r="F210" s="56" t="n">
        <v>-53000000</v>
      </c>
      <c r="G210" s="56" t="n">
        <v>87000000</v>
      </c>
      <c r="H210" s="56" t="n">
        <v>-6000000</v>
      </c>
      <c r="I210" s="56" t="n">
        <v>-113000000</v>
      </c>
    </row>
    <row r="211">
      <c r="B211" s="8" t="inlineStr">
        <is>
          <t>Net increase (decrease) in cash and cash equivalents</t>
        </is>
      </c>
      <c r="C211" s="55" t="inlineStr">
        <is>
          <t>IncreaseDecreaseInCashAndCashEquivalents</t>
        </is>
      </c>
      <c r="D211" s="58" t="n">
        <v>1760000000</v>
      </c>
      <c r="E211" s="58" t="n">
        <v>-162000000</v>
      </c>
      <c r="F211" s="58" t="n">
        <v>517000000</v>
      </c>
      <c r="G211" s="58" t="n">
        <v>1102000000</v>
      </c>
      <c r="H211" s="58" t="n">
        <v>2342000000</v>
      </c>
      <c r="I211" s="58" t="n">
        <v>-3645000000</v>
      </c>
    </row>
    <row r="214" ht="21" customHeight="1" s="203">
      <c r="A214" t="inlineStr">
        <is>
          <t>#</t>
        </is>
      </c>
      <c r="B214" s="70" t="inlineStr">
        <is>
          <t>NOTES TO ACCOUNTS</t>
        </is>
      </c>
    </row>
    <row r="216" ht="15.5" customHeight="1" s="203">
      <c r="A216" t="inlineStr">
        <is>
          <t>#</t>
        </is>
      </c>
      <c r="B216" s="38" t="inlineStr">
        <is>
          <t>Notes to Statement of Profit and Loss: Additional Information Statement Of Profit And Loss</t>
        </is>
      </c>
    </row>
    <row r="218">
      <c r="C218" s="53" t="inlineStr">
        <is>
          <t>Concept Tag</t>
        </is>
      </c>
      <c r="D218" s="20" t="inlineStr">
        <is>
          <t>FY2017</t>
        </is>
      </c>
      <c r="E218" s="20" t="inlineStr">
        <is>
          <t>FY2018</t>
        </is>
      </c>
      <c r="F218" s="20" t="inlineStr">
        <is>
          <t>FY2019</t>
        </is>
      </c>
      <c r="G218" s="20" t="inlineStr">
        <is>
          <t>FY2020</t>
        </is>
      </c>
      <c r="H218" s="20" t="inlineStr">
        <is>
          <t>FY2021</t>
        </is>
      </c>
      <c r="I218" s="20" t="inlineStr">
        <is>
          <t>FY2022</t>
        </is>
      </c>
    </row>
    <row r="219" ht="15.5" customHeight="1" s="203">
      <c r="B219" s="38" t="inlineStr">
        <is>
          <t>Additional information on profit and loss account [Abstract]</t>
        </is>
      </c>
    </row>
    <row r="220">
      <c r="B220" s="59" t="inlineStr">
        <is>
          <t>Miscellaneous other comprehensive income [Abstract]</t>
        </is>
      </c>
    </row>
    <row r="221">
      <c r="B221" s="62" t="inlineStr">
        <is>
          <t>Other Comprehensive income, attributable to owners of parent</t>
        </is>
      </c>
      <c r="C221" s="55" t="inlineStr">
        <is>
          <t>OtherComprehensiveIncomeAttributableToOwnersOfParent</t>
        </is>
      </c>
      <c r="D221" s="56" t="n">
        <v>0</v>
      </c>
      <c r="E221" s="56" t="n">
        <v>0</v>
      </c>
      <c r="F221" s="56" t="n">
        <v>0</v>
      </c>
      <c r="G221" s="56" t="n">
        <v>11103000000</v>
      </c>
      <c r="H221" s="56" t="n">
        <v>24146000000</v>
      </c>
      <c r="I221" s="56" t="n">
        <v>784000000</v>
      </c>
    </row>
    <row r="222">
      <c r="B222" s="62" t="inlineStr">
        <is>
          <t>Other Comprehensive income, attributable to non-controlling interests</t>
        </is>
      </c>
      <c r="C222" s="55" t="inlineStr">
        <is>
          <t>OtherComprehensiveIncomeAttributableToNoncontrollingInterests</t>
        </is>
      </c>
      <c r="D222" s="56" t="n">
        <v>0</v>
      </c>
      <c r="E222" s="56" t="n">
        <v>0</v>
      </c>
      <c r="F222" s="56" t="n">
        <v>0</v>
      </c>
      <c r="G222" s="56" t="n">
        <v>3000000</v>
      </c>
      <c r="H222" s="56" t="n">
        <v>24000000</v>
      </c>
      <c r="I222" s="56" t="n">
        <v>3000000</v>
      </c>
    </row>
    <row r="223">
      <c r="B223" s="59" t="inlineStr">
        <is>
          <t>Income tax relating to components of other comprehensive income [Abstract]</t>
        </is>
      </c>
    </row>
    <row r="224">
      <c r="B224" s="62" t="inlineStr">
        <is>
          <t>Aggregated income tax relating to components of other comprehensive income that will not be reclassified to profit or loss</t>
        </is>
      </c>
      <c r="C224" s="55" t="inlineStr">
        <is>
          <t>IncomeTaxRelatingToComponentsOfOtherComprehensiveIncomeThatWillNotBeReclassifiedToProfitOrLoss</t>
        </is>
      </c>
      <c r="D224" s="56" t="n">
        <v>-12000000</v>
      </c>
      <c r="E224" s="56" t="n">
        <v>18000000</v>
      </c>
      <c r="F224" s="56" t="n">
        <v>14000000</v>
      </c>
      <c r="G224" s="56" t="n">
        <v>3000000</v>
      </c>
      <c r="H224" s="56" t="n">
        <v>12000000</v>
      </c>
      <c r="I224" s="56" t="n">
        <v>8000000</v>
      </c>
    </row>
    <row r="225">
      <c r="B225" s="62" t="inlineStr">
        <is>
          <t>Aggregated income tax relating to components of other comprehensive income that will be reclassified to profit or loss</t>
        </is>
      </c>
      <c r="C225" s="55" t="inlineStr">
        <is>
          <t>IncomeTaxRelatingToComponentsOfOtherComprehensiveIncomeThatWillBeReclassifiedToProfitOrLoss</t>
        </is>
      </c>
      <c r="D225" s="56" t="n">
        <v>977000000</v>
      </c>
      <c r="E225" s="56" t="n">
        <v>-433000000</v>
      </c>
      <c r="F225" s="56" t="n">
        <v>-134000000</v>
      </c>
      <c r="G225" s="56" t="n">
        <v>-1399000000</v>
      </c>
      <c r="H225" s="56" t="n">
        <v>1463000000</v>
      </c>
      <c r="I225" s="56" t="n">
        <v>208000000</v>
      </c>
    </row>
    <row r="226">
      <c r="B226" s="67" t="inlineStr">
        <is>
          <t>Total aggregated income tax relating to components of other comprehensive income</t>
        </is>
      </c>
      <c r="C226" s="55" t="inlineStr">
        <is>
          <t>IncomeTaxRelatingToComponentsOfOtherComprehensiveIncome</t>
        </is>
      </c>
      <c r="D226" s="58" t="n">
        <v>965000000</v>
      </c>
      <c r="E226" s="58" t="n">
        <v>-415000000</v>
      </c>
      <c r="F226" s="58" t="n">
        <v>-120000000</v>
      </c>
      <c r="G226" s="58" t="n">
        <v>-1396000000</v>
      </c>
      <c r="H226" s="58" t="n">
        <v>1475000000</v>
      </c>
      <c r="I226" s="58" t="n">
        <v>216000000</v>
      </c>
    </row>
    <row r="227">
      <c r="B227" s="59" t="inlineStr">
        <is>
          <t>Details of cost incurred for issuing options or shares under employee stock option or stock purchase scheme [Abstract]</t>
        </is>
      </c>
    </row>
    <row r="228">
      <c r="B228" s="60" t="inlineStr">
        <is>
          <t>Revenue from sale of products [Abstract]</t>
        </is>
      </c>
    </row>
    <row r="229">
      <c r="B229" s="65" t="inlineStr">
        <is>
          <t>Total revenue from sale of products</t>
        </is>
      </c>
      <c r="C229" s="55" t="inlineStr">
        <is>
          <t>RevenueFromSaleOfProducts</t>
        </is>
      </c>
      <c r="D229" s="58" t="n">
        <v>0</v>
      </c>
      <c r="E229" s="58" t="n">
        <v>0</v>
      </c>
      <c r="F229" s="58" t="n">
        <v>0</v>
      </c>
      <c r="G229" s="58" t="n">
        <v>0</v>
      </c>
      <c r="H229" s="58" t="n">
        <v>0</v>
      </c>
      <c r="I229" s="58" t="n">
        <v>7430000000</v>
      </c>
    </row>
    <row r="230">
      <c r="B230" s="60" t="inlineStr">
        <is>
          <t>Revenue from sale of services [Abstract]</t>
        </is>
      </c>
    </row>
    <row r="231">
      <c r="B231" s="65" t="inlineStr">
        <is>
          <t>Total revenue from sale of services</t>
        </is>
      </c>
      <c r="C231" s="55" t="inlineStr">
        <is>
          <t>RevenueFromSaleOfServices</t>
        </is>
      </c>
      <c r="D231" s="58" t="n">
        <v>65009000000</v>
      </c>
      <c r="E231" s="58" t="n">
        <v>73065000000</v>
      </c>
      <c r="F231" s="58" t="n">
        <v>94458000000</v>
      </c>
      <c r="G231" s="58" t="n">
        <v>108786000000</v>
      </c>
      <c r="H231" s="58" t="n">
        <v>123698000000</v>
      </c>
      <c r="I231" s="58" t="n">
        <v>149257000000</v>
      </c>
    </row>
    <row r="236" ht="15.5" customHeight="1" s="203">
      <c r="A236" t="inlineStr">
        <is>
          <t>#</t>
        </is>
      </c>
      <c r="B236" s="38" t="inlineStr">
        <is>
          <t>Notes to Statement of Profit and Loss: Earnings Per Share</t>
        </is>
      </c>
    </row>
    <row r="238">
      <c r="C238" s="53" t="inlineStr">
        <is>
          <t>Concept Tag</t>
        </is>
      </c>
      <c r="D238" s="20" t="inlineStr">
        <is>
          <t>FY2017</t>
        </is>
      </c>
      <c r="E238" s="20" t="inlineStr">
        <is>
          <t>FY2018</t>
        </is>
      </c>
      <c r="F238" s="20" t="inlineStr">
        <is>
          <t>FY2019</t>
        </is>
      </c>
      <c r="G238" s="20" t="inlineStr">
        <is>
          <t>FY2020</t>
        </is>
      </c>
      <c r="H238" s="20" t="inlineStr">
        <is>
          <t>FY2021</t>
        </is>
      </c>
      <c r="I238" s="20" t="inlineStr">
        <is>
          <t>FY2022</t>
        </is>
      </c>
    </row>
    <row r="239">
      <c r="B239" s="59" t="inlineStr">
        <is>
          <t>Earnings per share [Abstract]</t>
        </is>
      </c>
    </row>
    <row r="240">
      <c r="B240" s="60" t="inlineStr">
        <is>
          <t>Earnings per share [Line items]</t>
        </is>
      </c>
    </row>
    <row r="241">
      <c r="B241" s="63" t="inlineStr">
        <is>
          <t>Basic earnings per share [Abstract]</t>
        </is>
      </c>
    </row>
    <row r="242">
      <c r="B242" s="64" t="inlineStr">
        <is>
          <t>Basic earnings (loss) per share from continuing operations</t>
        </is>
      </c>
      <c r="C242" s="55" t="inlineStr">
        <is>
          <t>BasicEarningsLossPerShareFromContinuingOperations</t>
        </is>
      </c>
      <c r="D242" s="56" t="n">
        <v>57.08</v>
      </c>
      <c r="E242" s="56" t="n">
        <v>64.93000000000001</v>
      </c>
      <c r="F242" s="56" t="n">
        <v>87.67</v>
      </c>
      <c r="G242" s="56" t="n">
        <v>87.45</v>
      </c>
      <c r="H242" s="56" t="n">
        <v>110.98</v>
      </c>
      <c r="I242" s="56" t="n">
        <v>131.19</v>
      </c>
    </row>
    <row r="243">
      <c r="B243" s="66" t="inlineStr">
        <is>
          <t>Total basic earnings (loss) per share</t>
        </is>
      </c>
      <c r="C243" s="55" t="inlineStr">
        <is>
          <t>BasicEarningsLossPerShare</t>
        </is>
      </c>
      <c r="D243" s="58" t="n">
        <v>57.08</v>
      </c>
      <c r="E243" s="58" t="n">
        <v>64.93000000000001</v>
      </c>
      <c r="F243" s="58" t="n">
        <v>87.67</v>
      </c>
      <c r="G243" s="58" t="n">
        <v>87.45</v>
      </c>
      <c r="H243" s="58" t="n">
        <v>110.98</v>
      </c>
      <c r="I243" s="58" t="n">
        <v>131.19</v>
      </c>
    </row>
    <row r="244">
      <c r="B244" s="63" t="inlineStr">
        <is>
          <t>Diluted earnings per share [Abstract]</t>
        </is>
      </c>
    </row>
    <row r="245">
      <c r="B245" s="64" t="inlineStr">
        <is>
          <t>Diluted earnings (loss) per share from continuing operations</t>
        </is>
      </c>
      <c r="C245" s="55" t="inlineStr">
        <is>
          <t>DilutedEarningsLossPerShareFromContinuingOperations</t>
        </is>
      </c>
      <c r="D245" s="56" t="n">
        <v>55.8</v>
      </c>
      <c r="E245" s="56" t="n">
        <v>63.48</v>
      </c>
      <c r="F245" s="56" t="n">
        <v>86.43000000000001</v>
      </c>
      <c r="G245" s="56" t="n">
        <v>86.61</v>
      </c>
      <c r="H245" s="56" t="n">
        <v>110.26</v>
      </c>
      <c r="I245" s="56" t="n">
        <v>130.81</v>
      </c>
    </row>
    <row r="246">
      <c r="B246" s="66" t="inlineStr">
        <is>
          <t>Total diluted earnings (loss) per share</t>
        </is>
      </c>
      <c r="C246" s="55" t="inlineStr">
        <is>
          <t>DilutedEarningsLossPerShare</t>
        </is>
      </c>
      <c r="D246" s="58" t="n">
        <v>55.8</v>
      </c>
      <c r="E246" s="58" t="n">
        <v>63.48</v>
      </c>
      <c r="F246" s="58" t="n">
        <v>86.43000000000001</v>
      </c>
      <c r="G246" s="58" t="n">
        <v>86.61</v>
      </c>
      <c r="H246" s="58" t="n">
        <v>110.26</v>
      </c>
      <c r="I246" s="58" t="n">
        <v>130.81</v>
      </c>
    </row>
    <row r="247">
      <c r="B247" s="63" t="inlineStr">
        <is>
          <t>Profit (loss), attributable to ordinary equity holders of parent entity [Abstract]</t>
        </is>
      </c>
    </row>
    <row r="248">
      <c r="B248" s="64" t="inlineStr">
        <is>
          <t>Profit (loss), attributable to ordinary equity holders of parent entity, used in calculating basic earnings per share</t>
        </is>
      </c>
      <c r="C248" s="55" t="inlineStr">
        <is>
          <t>ProfitLossAttributableToOrdinaryEquityHoldersOfParentEntity</t>
        </is>
      </c>
      <c r="D248" s="56" t="n">
        <v>9707000000</v>
      </c>
      <c r="E248" s="56" t="n">
        <v>11120000000</v>
      </c>
      <c r="F248" s="56" t="n">
        <v>15159000000</v>
      </c>
      <c r="G248" s="56" t="n">
        <v>15201000000</v>
      </c>
      <c r="H248" s="56" t="n">
        <v>19361000000</v>
      </c>
      <c r="I248" s="56" t="n">
        <v>22968000000</v>
      </c>
    </row>
    <row r="249">
      <c r="B249" s="64" t="inlineStr">
        <is>
          <t>Profit (loss), attributable to ordinary equity holders of parent entity, used in calculating diluted earnings per share</t>
        </is>
      </c>
      <c r="C249" s="55" t="inlineStr">
        <is>
          <t>ProfitLossAttributableToOrdinaryEquityHoldersOfParentEntityIncludingDilutiveEffects</t>
        </is>
      </c>
      <c r="D249" s="56" t="n">
        <v>9707000000</v>
      </c>
      <c r="E249" s="56" t="n">
        <v>11120000000</v>
      </c>
      <c r="F249" s="56" t="n">
        <v>15159000000</v>
      </c>
      <c r="G249" s="56" t="n">
        <v>15201000000</v>
      </c>
      <c r="H249" s="56" t="n">
        <v>19361000000</v>
      </c>
      <c r="I249" s="56" t="n">
        <v>22968000000</v>
      </c>
    </row>
    <row r="250">
      <c r="B250" s="63" t="inlineStr">
        <is>
          <t>Weighted average shares and adjusted weighted average shares [Abstract]</t>
        </is>
      </c>
    </row>
    <row r="251">
      <c r="B251" s="64" t="inlineStr">
        <is>
          <t>Weighted average number of ordinary shares outstanding</t>
        </is>
      </c>
      <c r="C251" s="55" t="inlineStr">
        <is>
          <t>WeightedAverageShares</t>
        </is>
      </c>
      <c r="D251" s="56" t="n">
        <v>173992482</v>
      </c>
      <c r="E251" s="56" t="n">
        <v>175177533</v>
      </c>
      <c r="F251" s="56" t="n">
        <v>175381719</v>
      </c>
      <c r="G251" s="56" t="n">
        <v>175508270</v>
      </c>
      <c r="H251" s="56" t="n">
        <v>175596111</v>
      </c>
      <c r="I251" s="56" t="n">
        <v>175578203</v>
      </c>
    </row>
    <row r="252">
      <c r="B252" s="64" t="inlineStr">
        <is>
          <t>Adjusted weighted average shares</t>
        </is>
      </c>
      <c r="C252" s="55" t="inlineStr">
        <is>
          <t>AdjustedWeightedAverageShares</t>
        </is>
      </c>
      <c r="D252" s="56" t="n">
        <v>0</v>
      </c>
      <c r="E252" s="56" t="n">
        <v>0</v>
      </c>
      <c r="F252" s="56" t="n">
        <v>0</v>
      </c>
      <c r="G252" s="56" t="n">
        <v>0</v>
      </c>
      <c r="H252" s="56" t="n">
        <v>1135891</v>
      </c>
      <c r="I252" s="56" t="n">
        <v>505078</v>
      </c>
    </row>
    <row r="254" ht="15.5" customHeight="1" s="203">
      <c r="B254" s="38" t="inlineStr">
        <is>
          <t>Adjustments to reconcile profit (loss) to numerator used in calculating earnings per share [abstract]</t>
        </is>
      </c>
    </row>
    <row r="255">
      <c r="B255" s="54" t="inlineStr">
        <is>
          <t>Profit (loss), attributable to ordinary equity holders of parent entity, used in calculating basic earnings per share</t>
        </is>
      </c>
      <c r="C255" s="55" t="inlineStr">
        <is>
          <t>ProfitLossAttributableToOrdinaryEquityHoldersOfParentEntity</t>
        </is>
      </c>
      <c r="D255" s="56" t="n">
        <v>9707000000</v>
      </c>
      <c r="E255" s="56" t="n">
        <v>11120000000</v>
      </c>
      <c r="F255" s="56" t="n">
        <v>15159000000</v>
      </c>
      <c r="G255" s="56" t="n">
        <v>15201000000</v>
      </c>
      <c r="H255" s="56" t="n">
        <v>19361000000</v>
      </c>
      <c r="I255" s="56" t="n">
        <v>22968000000</v>
      </c>
    </row>
    <row r="256">
      <c r="B256" s="54" t="inlineStr">
        <is>
          <t>Profit (loss), attributable to ordinary equity holders of parent entity, used in calculating diluted earnings per share</t>
        </is>
      </c>
      <c r="C256" s="55" t="inlineStr">
        <is>
          <t>ProfitLossAttributableToOrdinaryEquityHoldersOfParentEntityIncludingDilutiveEffects</t>
        </is>
      </c>
      <c r="D256" s="56" t="n">
        <v>9707000000</v>
      </c>
      <c r="E256" s="56" t="n">
        <v>11120000000</v>
      </c>
      <c r="F256" s="56" t="n">
        <v>15159000000</v>
      </c>
      <c r="G256" s="56" t="n">
        <v>15201000000</v>
      </c>
      <c r="H256" s="56" t="n">
        <v>19361000000</v>
      </c>
      <c r="I256" s="56" t="n">
        <v>22968000000</v>
      </c>
    </row>
    <row r="258" ht="15.5" customHeight="1" s="203">
      <c r="B258" s="38" t="inlineStr">
        <is>
          <t>Participating equity instruments other than ordinary shares [abstract]</t>
        </is>
      </c>
    </row>
    <row r="259">
      <c r="B259" s="59" t="inlineStr">
        <is>
          <t>Disclosure of depositary receipts [abstract]</t>
        </is>
      </c>
    </row>
    <row r="260">
      <c r="B260" s="60" t="inlineStr">
        <is>
          <t>Disclosure of depositary receipts [Line items]</t>
        </is>
      </c>
    </row>
    <row r="261">
      <c r="B261" s="63" t="inlineStr">
        <is>
          <t>Basic earnings per share [Abstract]</t>
        </is>
      </c>
    </row>
    <row r="262">
      <c r="B262" s="64" t="inlineStr">
        <is>
          <t>Basic earnings (loss) per share from continuing operations</t>
        </is>
      </c>
      <c r="C262" s="55" t="inlineStr">
        <is>
          <t>BasicEarningsLossPerShareFromContinuingOperations</t>
        </is>
      </c>
      <c r="D262" s="56" t="n">
        <v>57.08</v>
      </c>
      <c r="E262" s="56" t="n">
        <v>64.93000000000001</v>
      </c>
      <c r="F262" s="56" t="n">
        <v>87.67</v>
      </c>
      <c r="G262" s="56" t="n">
        <v>87.45</v>
      </c>
      <c r="H262" s="56" t="n">
        <v>110.98</v>
      </c>
      <c r="I262" s="56" t="n">
        <v>131.19</v>
      </c>
    </row>
    <row r="263">
      <c r="B263" s="66" t="inlineStr">
        <is>
          <t>Total basic earnings (loss) per share</t>
        </is>
      </c>
      <c r="C263" s="55" t="inlineStr">
        <is>
          <t>BasicEarningsLossPerShare</t>
        </is>
      </c>
      <c r="D263" s="58" t="n">
        <v>57.08</v>
      </c>
      <c r="E263" s="58" t="n">
        <v>64.93000000000001</v>
      </c>
      <c r="F263" s="58" t="n">
        <v>87.67</v>
      </c>
      <c r="G263" s="58" t="n">
        <v>87.45</v>
      </c>
      <c r="H263" s="58" t="n">
        <v>110.98</v>
      </c>
      <c r="I263" s="58" t="n">
        <v>131.19</v>
      </c>
    </row>
    <row r="264">
      <c r="B264" s="63" t="inlineStr">
        <is>
          <t>Diluted earnings per share [Abstract]</t>
        </is>
      </c>
    </row>
    <row r="265">
      <c r="B265" s="64" t="inlineStr">
        <is>
          <t>Diluted earnings (loss) per share from continuing operations</t>
        </is>
      </c>
      <c r="C265" s="55" t="inlineStr">
        <is>
          <t>DilutedEarningsLossPerShareFromContinuingOperations</t>
        </is>
      </c>
      <c r="D265" s="56" t="n">
        <v>55.8</v>
      </c>
      <c r="E265" s="56" t="n">
        <v>63.48</v>
      </c>
      <c r="F265" s="56" t="n">
        <v>86.43000000000001</v>
      </c>
      <c r="G265" s="56" t="n">
        <v>86.61</v>
      </c>
      <c r="H265" s="56" t="n">
        <v>110.26</v>
      </c>
      <c r="I265" s="56" t="n">
        <v>130.81</v>
      </c>
    </row>
    <row r="266">
      <c r="B266" s="66" t="inlineStr">
        <is>
          <t>Total diluted earnings (loss) per share</t>
        </is>
      </c>
      <c r="C266" s="55" t="inlineStr">
        <is>
          <t>DilutedEarningsLossPerShare</t>
        </is>
      </c>
      <c r="D266" s="58" t="n">
        <v>55.8</v>
      </c>
      <c r="E266" s="58" t="n">
        <v>63.48</v>
      </c>
      <c r="F266" s="58" t="n">
        <v>86.43000000000001</v>
      </c>
      <c r="G266" s="58" t="n">
        <v>86.61</v>
      </c>
      <c r="H266" s="58" t="n">
        <v>110.26</v>
      </c>
      <c r="I266" s="58" t="n">
        <v>130.81</v>
      </c>
    </row>
    <row r="267">
      <c r="B267" s="63" t="inlineStr">
        <is>
          <t>Weighted average shares and adjusted weighted average shares [Abstract]</t>
        </is>
      </c>
    </row>
    <row r="268">
      <c r="B268" s="64" t="inlineStr">
        <is>
          <t>Weighted average number of ordinary shares outstanding</t>
        </is>
      </c>
      <c r="C268" s="55" t="inlineStr">
        <is>
          <t>WeightedAverageShares</t>
        </is>
      </c>
      <c r="D268" s="56" t="n">
        <v>173992482</v>
      </c>
      <c r="E268" s="56" t="n">
        <v>175177533</v>
      </c>
      <c r="F268" s="56" t="n">
        <v>175381719</v>
      </c>
      <c r="G268" s="56" t="n">
        <v>175508270</v>
      </c>
      <c r="H268" s="56" t="n">
        <v>175596111</v>
      </c>
      <c r="I268" s="56" t="n">
        <v>175578203</v>
      </c>
    </row>
    <row r="269">
      <c r="B269" s="64" t="inlineStr">
        <is>
          <t>Adjusted weighted average shares</t>
        </is>
      </c>
      <c r="C269" s="55" t="inlineStr">
        <is>
          <t>AdjustedWeightedAverageShares</t>
        </is>
      </c>
      <c r="D269" s="56" t="n">
        <v>0</v>
      </c>
      <c r="E269" s="56" t="n">
        <v>0</v>
      </c>
      <c r="F269" s="56" t="n">
        <v>0</v>
      </c>
      <c r="G269" s="56" t="n">
        <v>0</v>
      </c>
      <c r="H269" s="56" t="n">
        <v>1135891</v>
      </c>
      <c r="I269" s="56" t="n">
        <v>505078</v>
      </c>
    </row>
    <row r="272" ht="15.5" customHeight="1" s="203">
      <c r="A272" t="inlineStr">
        <is>
          <t>#</t>
        </is>
      </c>
      <c r="B272" s="38" t="inlineStr">
        <is>
          <t>Notes to Statement of Profit and Loss: Income Taxes</t>
        </is>
      </c>
    </row>
    <row r="274">
      <c r="C274" s="53" t="inlineStr">
        <is>
          <t>Concept Tag</t>
        </is>
      </c>
      <c r="D274" s="20" t="inlineStr">
        <is>
          <t>FY2017</t>
        </is>
      </c>
      <c r="E274" s="20" t="inlineStr">
        <is>
          <t>FY2018</t>
        </is>
      </c>
      <c r="F274" s="20" t="inlineStr">
        <is>
          <t>FY2019</t>
        </is>
      </c>
      <c r="G274" s="20" t="inlineStr">
        <is>
          <t>FY2020</t>
        </is>
      </c>
      <c r="H274" s="20" t="inlineStr">
        <is>
          <t>FY2021</t>
        </is>
      </c>
      <c r="I274" s="20" t="inlineStr">
        <is>
          <t>FY2022</t>
        </is>
      </c>
    </row>
    <row r="275" ht="15.5" customHeight="1" s="203">
      <c r="B275" s="38" t="inlineStr">
        <is>
          <t>Major components of tax expense (income) [Abstract]</t>
        </is>
      </c>
    </row>
    <row r="276">
      <c r="B276" s="59" t="inlineStr">
        <is>
          <t>Current tax expense (income) and adjustments for current tax of prior periods [Abstract]</t>
        </is>
      </c>
    </row>
    <row r="277">
      <c r="B277" s="62" t="inlineStr">
        <is>
          <t>Current tax expense (income)</t>
        </is>
      </c>
      <c r="C277" s="55" t="inlineStr">
        <is>
          <t>CurrentTaxExpenseIncome</t>
        </is>
      </c>
      <c r="D277" s="56" t="n">
        <v>3160000000</v>
      </c>
      <c r="E277" s="56" t="n">
        <v>3754000000</v>
      </c>
      <c r="F277" s="56" t="n">
        <v>4879000000</v>
      </c>
      <c r="G277" s="56" t="n">
        <v>3835000000</v>
      </c>
      <c r="H277" s="56" t="n">
        <v>6360000000</v>
      </c>
      <c r="I277" s="56" t="n">
        <v>8115000000</v>
      </c>
    </row>
    <row r="278">
      <c r="B278" s="62" t="inlineStr">
        <is>
          <t>Adjustments for current tax of prior periods</t>
        </is>
      </c>
      <c r="C278" s="55" t="inlineStr">
        <is>
          <t>AdjustmentsForCurrentTaxOfPriorPeriod</t>
        </is>
      </c>
      <c r="D278" s="56" t="n">
        <v>21000000</v>
      </c>
      <c r="E278" s="56" t="n">
        <v>-100000000</v>
      </c>
      <c r="F278" s="56" t="n">
        <v>-4000000</v>
      </c>
      <c r="G278" s="56" t="n">
        <v>78000000</v>
      </c>
      <c r="H278" s="56" t="n">
        <v>-46000000</v>
      </c>
      <c r="I278" s="56" t="n">
        <v>66000000</v>
      </c>
    </row>
    <row r="279">
      <c r="B279" s="67" t="inlineStr">
        <is>
          <t>Total current tax expense (income) and adjustments for current tax of prior periods</t>
        </is>
      </c>
      <c r="C279" s="55" t="inlineStr">
        <is>
          <t>CurrentTaxExpenseIncomeAndAdjustmentsForCurrentTaxOfPriorPeriods</t>
        </is>
      </c>
      <c r="D279" s="58" t="n">
        <v>3181000000</v>
      </c>
      <c r="E279" s="58" t="n">
        <v>3654000000</v>
      </c>
      <c r="F279" s="58" t="n">
        <v>4875000000</v>
      </c>
      <c r="G279" s="58" t="n">
        <v>3913000000</v>
      </c>
      <c r="H279" s="58" t="n">
        <v>6314000000</v>
      </c>
      <c r="I279" s="58" t="n">
        <v>8181000000</v>
      </c>
    </row>
    <row r="280">
      <c r="B280" s="54" t="inlineStr">
        <is>
          <t>Deferred tax expense (income) relating to origination and reversal of temporary differences</t>
        </is>
      </c>
      <c r="C280" s="55" t="inlineStr">
        <is>
          <t>DeferredTaxExpenseIncomeRelatingToOriginationAndReversalOfTemporaryDifferences</t>
        </is>
      </c>
      <c r="D280" s="56" t="n">
        <v>-92000000</v>
      </c>
      <c r="E280" s="56" t="n">
        <v>-409000000</v>
      </c>
      <c r="F280" s="56" t="n">
        <v>-152000000</v>
      </c>
      <c r="G280" s="56" t="n">
        <v>-725000000</v>
      </c>
      <c r="H280" s="56" t="n">
        <v>-307000000</v>
      </c>
      <c r="I280" s="56" t="n">
        <v>-192000000</v>
      </c>
    </row>
    <row r="281">
      <c r="B281" s="54" t="inlineStr">
        <is>
          <t>Tax benefit arising from previously unrecognised tax loss, tax credit or temporary difference of prior period used to reduce deferred tax expense</t>
        </is>
      </c>
      <c r="C281" s="55" t="inlineStr">
        <is>
          <t>TaxBenefitArisingFromPreviouslyUnrecognisedTaxLossTaxCreditOrTemporaryDifferenceOfPriorPeriodUsedToReduceDeferredTaxExpense</t>
        </is>
      </c>
      <c r="D281" s="56" t="n">
        <v>0</v>
      </c>
      <c r="E281" s="56" t="n">
        <v>0</v>
      </c>
      <c r="F281" s="56" t="n">
        <v>-400000000</v>
      </c>
      <c r="G281" s="56" t="n">
        <v>0</v>
      </c>
      <c r="H281" s="56" t="n">
        <v>0</v>
      </c>
      <c r="I281" s="56" t="n">
        <v>0</v>
      </c>
    </row>
    <row r="282">
      <c r="B282" s="54" t="inlineStr">
        <is>
          <t>Other components of deferred tax expense (income)</t>
        </is>
      </c>
      <c r="C282" s="55" t="inlineStr">
        <is>
          <t>OtherComponentsOfDeferredTaxExpenseIncome</t>
        </is>
      </c>
      <c r="D282" s="56" t="n">
        <v>-440000000</v>
      </c>
      <c r="E282" s="56" t="n">
        <v>46000000</v>
      </c>
      <c r="F282" s="56" t="n">
        <v>0</v>
      </c>
      <c r="G282" s="56" t="n">
        <v>1636000000</v>
      </c>
      <c r="H282" s="56" t="n">
        <v>493000000</v>
      </c>
      <c r="I282" s="56" t="n">
        <v>0</v>
      </c>
    </row>
    <row r="283">
      <c r="B283" s="57" t="inlineStr">
        <is>
          <t>Total tax expense (income)</t>
        </is>
      </c>
      <c r="C283" s="55" t="inlineStr">
        <is>
          <t>IncomeTaxExpenseContinuingOperations</t>
        </is>
      </c>
      <c r="D283" s="58" t="n">
        <v>2649000000</v>
      </c>
      <c r="E283" s="58" t="n">
        <v>3291000000</v>
      </c>
      <c r="F283" s="58" t="n">
        <v>5123000000</v>
      </c>
      <c r="G283" s="58" t="n">
        <v>4824000000</v>
      </c>
      <c r="H283" s="58" t="n">
        <v>6500000000</v>
      </c>
      <c r="I283" s="58" t="n">
        <v>7989000000</v>
      </c>
    </row>
    <row r="285" ht="15.5" customHeight="1" s="203">
      <c r="B285" s="38" t="inlineStr">
        <is>
          <t>Current and deferred tax relating to items charged or credited directly to equity [Abstract]</t>
        </is>
      </c>
    </row>
    <row r="286">
      <c r="B286" s="54" t="inlineStr">
        <is>
          <t>Deferred tax relating to items credited (charged) directly to equity</t>
        </is>
      </c>
      <c r="C286" s="55" t="inlineStr">
        <is>
          <t>DeferredTaxRelatingToItemsChargedOrCreditedDirectlyToEquity</t>
        </is>
      </c>
      <c r="D286" s="56" t="n">
        <v>1229000000</v>
      </c>
      <c r="E286" s="56" t="n">
        <v>-170000000</v>
      </c>
      <c r="F286" s="56" t="n">
        <v>0</v>
      </c>
      <c r="G286" s="56" t="n">
        <v>0</v>
      </c>
      <c r="H286" s="56" t="n">
        <v>0</v>
      </c>
      <c r="I286" s="56" t="n">
        <v>0</v>
      </c>
    </row>
    <row r="287">
      <c r="B287" s="57" t="inlineStr">
        <is>
          <t>Total aggregate current and deferred tax relating to items credited (charged) directly to equity</t>
        </is>
      </c>
      <c r="C287" s="55" t="inlineStr">
        <is>
          <t>CurrentAndDeferredTaxRelatingToItemsChargedOrCreditedDirectlyToEquity</t>
        </is>
      </c>
      <c r="D287" s="58" t="n">
        <v>0</v>
      </c>
      <c r="E287" s="58" t="n">
        <v>-170000000</v>
      </c>
      <c r="F287" s="58" t="n">
        <v>0</v>
      </c>
      <c r="G287" s="58" t="n">
        <v>0</v>
      </c>
      <c r="H287" s="58" t="n">
        <v>0</v>
      </c>
      <c r="I287" s="58" t="n">
        <v>0</v>
      </c>
    </row>
    <row r="289" ht="15.5" customHeight="1" s="203">
      <c r="B289" s="38" t="inlineStr">
        <is>
          <t>Income tax relating to components of other comprehensive income [Abstract]</t>
        </is>
      </c>
    </row>
    <row r="290">
      <c r="B290" s="54" t="inlineStr">
        <is>
          <t>Income tax relating to cash flow hedges of other comprehensive income</t>
        </is>
      </c>
      <c r="C290" s="55" t="inlineStr">
        <is>
          <t>IncomeTaxRelatingToCashFlowHedgesOfOtherComprehensiveIncome</t>
        </is>
      </c>
      <c r="D290" s="56" t="n">
        <v>0</v>
      </c>
      <c r="E290" s="56" t="n">
        <v>0</v>
      </c>
      <c r="F290" s="56" t="n">
        <v>-134000000</v>
      </c>
      <c r="G290" s="56" t="n">
        <v>-1399000000</v>
      </c>
      <c r="H290" s="56" t="n">
        <v>1463000000</v>
      </c>
      <c r="I290" s="56" t="n">
        <v>208000000</v>
      </c>
    </row>
    <row r="291">
      <c r="B291" s="54" t="inlineStr">
        <is>
          <t>Income tax relating to remeasurements of defined benefit plans of other comprehensive income</t>
        </is>
      </c>
      <c r="C291" s="55" t="inlineStr">
        <is>
          <t>IncomeTaxRelatingToRemeasurementsOfDefinedBenefitPlansOfOtherComprehensiveIncome</t>
        </is>
      </c>
      <c r="D291" s="56" t="n">
        <v>-12000000</v>
      </c>
      <c r="E291" s="56" t="n">
        <v>18000000</v>
      </c>
      <c r="F291" s="56" t="n">
        <v>14000000</v>
      </c>
      <c r="G291" s="56" t="n">
        <v>3000000</v>
      </c>
      <c r="H291" s="56" t="n">
        <v>12000000</v>
      </c>
      <c r="I291" s="56" t="n">
        <v>8000000</v>
      </c>
    </row>
    <row r="292">
      <c r="B292" s="54" t="inlineStr">
        <is>
          <t>Others income tax relating to components of other comprehensive income that will be reclassified to profit or loss</t>
        </is>
      </c>
      <c r="C292" s="55" t="inlineStr">
        <is>
          <t>OthersIncomeTaxRelatingToComponentsOfOtherComprehensiveIncomeThatWillBeReclassifiedToProfitOrLoss</t>
        </is>
      </c>
      <c r="D292" s="56" t="n">
        <v>977000000</v>
      </c>
      <c r="E292" s="56" t="n">
        <v>-433000000</v>
      </c>
      <c r="F292" s="56" t="n">
        <v>0</v>
      </c>
      <c r="G292" s="56" t="n">
        <v>0</v>
      </c>
      <c r="H292" s="56" t="n">
        <v>0</v>
      </c>
      <c r="I292" s="56" t="n">
        <v>0</v>
      </c>
    </row>
    <row r="293">
      <c r="B293" s="57" t="inlineStr">
        <is>
          <t>Total aggregated income tax relating to components of other comprehensive income</t>
        </is>
      </c>
      <c r="C293" s="55" t="inlineStr">
        <is>
          <t>IncomeTaxRelatingToComponentsOfOtherComprehensiveIncome</t>
        </is>
      </c>
      <c r="D293" s="58" t="n">
        <v>965000000</v>
      </c>
      <c r="E293" s="58" t="n">
        <v>-415000000</v>
      </c>
      <c r="F293" s="58" t="n">
        <v>-120000000</v>
      </c>
      <c r="G293" s="58" t="n">
        <v>-1396000000</v>
      </c>
      <c r="H293" s="58" t="n">
        <v>1475000000</v>
      </c>
      <c r="I293" s="58" t="n">
        <v>216000000</v>
      </c>
    </row>
    <row r="295">
      <c r="B295" s="59" t="inlineStr">
        <is>
          <t>Disclosure of temporary difference, unused tax losses and unused tax credits [Abstract]</t>
        </is>
      </c>
    </row>
    <row r="296">
      <c r="B296" s="60" t="inlineStr">
        <is>
          <t>Disclosure of temporary difference, unused tax losses and unused tax credits [Line items]</t>
        </is>
      </c>
    </row>
    <row r="297">
      <c r="B297" s="63" t="inlineStr">
        <is>
          <t>Deferred tax assets and liabilities [Abstract]</t>
        </is>
      </c>
    </row>
    <row r="298">
      <c r="B298" s="64" t="inlineStr">
        <is>
          <t>Deferred tax assets</t>
        </is>
      </c>
      <c r="C298" s="55" t="inlineStr">
        <is>
          <t>DeferredTaxAssets</t>
        </is>
      </c>
      <c r="D298" s="56" t="n">
        <v>2895000000</v>
      </c>
      <c r="E298" s="56" t="n">
        <v>3211000000</v>
      </c>
      <c r="F298" s="56" t="n">
        <v>2905000000</v>
      </c>
      <c r="G298" s="56" t="n">
        <v>3047000000</v>
      </c>
      <c r="H298" s="56" t="n">
        <v>2133000000</v>
      </c>
      <c r="I298" s="56" t="n">
        <v>2340000000</v>
      </c>
    </row>
    <row r="299">
      <c r="B299" s="64" t="inlineStr">
        <is>
          <t>Deferred tax liabilities</t>
        </is>
      </c>
      <c r="C299" s="55" t="inlineStr">
        <is>
          <t>DeferredTaxLiabilities</t>
        </is>
      </c>
      <c r="D299" s="56" t="n">
        <v>1632000000</v>
      </c>
      <c r="E299" s="56" t="n">
        <v>1422000000</v>
      </c>
      <c r="F299" s="56" t="n">
        <v>1416000000</v>
      </c>
      <c r="G299" s="56" t="n">
        <v>825000000</v>
      </c>
      <c r="H299" s="56" t="n">
        <v>1587000000</v>
      </c>
      <c r="I299" s="56" t="n">
        <v>1791000000</v>
      </c>
    </row>
    <row r="300">
      <c r="B300" s="66" t="inlineStr">
        <is>
          <t>Deferred tax liability (assets) at end of period</t>
        </is>
      </c>
      <c r="C300" s="55" t="inlineStr">
        <is>
          <t>DeferredTaxLiabilityAssets</t>
        </is>
      </c>
      <c r="D300" s="58" t="n">
        <v>-1263000000</v>
      </c>
      <c r="E300" s="58" t="n">
        <v>-1789000000</v>
      </c>
      <c r="F300" s="58" t="n">
        <v>-1489000000</v>
      </c>
      <c r="G300" s="58" t="n">
        <v>-2222000000</v>
      </c>
      <c r="H300" s="58" t="n">
        <v>-546000000</v>
      </c>
      <c r="I300" s="58" t="n">
        <v>-549000000</v>
      </c>
    </row>
    <row r="301">
      <c r="B301" s="63" t="inlineStr">
        <is>
          <t>Deferred tax expense (income) [Abstract]</t>
        </is>
      </c>
    </row>
    <row r="302">
      <c r="B302" s="71" t="inlineStr">
        <is>
          <t>Deferred tax expense (income) recognised in profit or loss</t>
        </is>
      </c>
      <c r="C302" s="55" t="inlineStr">
        <is>
          <t>DeferredTaxExpenseIncomeRecognisedInProfitOrLoss</t>
        </is>
      </c>
      <c r="D302" s="56" t="n">
        <v>-532000000</v>
      </c>
      <c r="E302" s="56" t="n">
        <v>-362000000</v>
      </c>
      <c r="F302" s="56" t="n">
        <v>248000000</v>
      </c>
      <c r="G302" s="56" t="n">
        <v>918000000</v>
      </c>
      <c r="H302" s="56" t="n">
        <v>251000000</v>
      </c>
      <c r="I302" s="56" t="n">
        <v>-220000000</v>
      </c>
    </row>
    <row r="303">
      <c r="B303" s="63" t="inlineStr">
        <is>
          <t>Reconciliation of changes in deferred tax liability (assets) [Abstract]</t>
        </is>
      </c>
    </row>
    <row r="304">
      <c r="B304" s="66" t="inlineStr">
        <is>
          <t>Deferred tax liability (assets) at end of period</t>
        </is>
      </c>
      <c r="C304" s="55" t="inlineStr">
        <is>
          <t>DeferredTaxLiabilityAssets</t>
        </is>
      </c>
      <c r="D304" s="58" t="n">
        <v>-1263000000</v>
      </c>
      <c r="E304" s="58" t="n">
        <v>-1789000000</v>
      </c>
      <c r="F304" s="58" t="n">
        <v>-1489000000</v>
      </c>
      <c r="G304" s="58" t="n">
        <v>-2222000000</v>
      </c>
      <c r="H304" s="58" t="n">
        <v>-546000000</v>
      </c>
      <c r="I304" s="58" t="n">
        <v>-549000000</v>
      </c>
    </row>
    <row r="305">
      <c r="B305" s="68" t="inlineStr">
        <is>
          <t>Changes in deferred tax liability (assets) [Abstract]</t>
        </is>
      </c>
    </row>
    <row r="306">
      <c r="B306" s="71" t="inlineStr">
        <is>
          <t>Deferred tax expense (income) recognised in profit or loss</t>
        </is>
      </c>
      <c r="C306" s="55" t="inlineStr">
        <is>
          <t>DeferredTaxExpenseIncomeRecognisedInProfitOrLoss</t>
        </is>
      </c>
      <c r="D306" s="56" t="n">
        <v>-532000000</v>
      </c>
      <c r="E306" s="56" t="n">
        <v>-362000000</v>
      </c>
      <c r="F306" s="56" t="n">
        <v>248000000</v>
      </c>
      <c r="G306" s="56" t="n">
        <v>918000000</v>
      </c>
      <c r="H306" s="56" t="n">
        <v>251000000</v>
      </c>
      <c r="I306" s="56" t="n">
        <v>-220000000</v>
      </c>
    </row>
    <row r="307">
      <c r="B307" s="71" t="inlineStr">
        <is>
          <t>Deferred tax relating to items credited (charged) directly to equity</t>
        </is>
      </c>
      <c r="C307" s="55" t="inlineStr">
        <is>
          <t>DeferredTaxRelatingToItemsChargedOrCreditedDirectlyToEquity</t>
        </is>
      </c>
      <c r="D307" s="56" t="n">
        <v>1229000000</v>
      </c>
      <c r="E307" s="56" t="n">
        <v>-170000000</v>
      </c>
      <c r="F307" s="56" t="n">
        <v>0</v>
      </c>
      <c r="G307" s="56" t="n">
        <v>0</v>
      </c>
      <c r="H307" s="56" t="n">
        <v>0</v>
      </c>
      <c r="I307" s="56" t="n">
        <v>0</v>
      </c>
    </row>
    <row r="308">
      <c r="B308" s="71" t="inlineStr">
        <is>
          <t>Aggregated income tax relating to components of other comprehensive income</t>
        </is>
      </c>
      <c r="C308" s="55" t="inlineStr">
        <is>
          <t>AggregatedIncomeTaxRelatingToComponentsOfOtherComprehensiveIncome</t>
        </is>
      </c>
      <c r="D308" s="56" t="n">
        <v>0</v>
      </c>
      <c r="E308" s="56" t="n">
        <v>0</v>
      </c>
      <c r="F308" s="56" t="n">
        <v>-13000000</v>
      </c>
      <c r="G308" s="56" t="n">
        <v>-1399000000</v>
      </c>
      <c r="H308" s="56" t="n">
        <v>1463000000</v>
      </c>
      <c r="I308" s="56" t="n">
        <v>208000000</v>
      </c>
    </row>
    <row r="309">
      <c r="B309" s="71" t="inlineStr">
        <is>
          <t>Increase (decrease) through business combinations, deferred tax liability (assets)</t>
        </is>
      </c>
      <c r="C309" s="55" t="inlineStr">
        <is>
          <t>IncreaseDecreaseThroughBusinessCombinationsDeferredTaxLiabilityAssets</t>
        </is>
      </c>
      <c r="D309" s="56" t="n">
        <v>0</v>
      </c>
      <c r="E309" s="56" t="n">
        <v>0</v>
      </c>
      <c r="F309" s="56" t="n">
        <v>0</v>
      </c>
      <c r="G309" s="56" t="n">
        <v>-21000000</v>
      </c>
      <c r="H309" s="56" t="n">
        <v>0</v>
      </c>
      <c r="I309" s="56" t="n">
        <v>0</v>
      </c>
    </row>
    <row r="310">
      <c r="B310" s="71" t="inlineStr">
        <is>
          <t>Increase (decrease) through net exchange differences, deferred tax liability (assets)</t>
        </is>
      </c>
      <c r="C310" s="55" t="inlineStr">
        <is>
          <t>IncreaseDecreaseThroughNetExchangeDifferencesDeferredTaxLiabilityAssets</t>
        </is>
      </c>
      <c r="D310" s="56" t="n">
        <v>5000000</v>
      </c>
      <c r="E310" s="56" t="n">
        <v>6000000</v>
      </c>
      <c r="F310" s="56" t="n">
        <v>64000000</v>
      </c>
      <c r="G310" s="56" t="n">
        <v>-175000000</v>
      </c>
      <c r="H310" s="56" t="n">
        <v>-38000000</v>
      </c>
      <c r="I310" s="56" t="n">
        <v>9000000</v>
      </c>
    </row>
    <row r="311">
      <c r="B311" s="69" t="inlineStr">
        <is>
          <t>Total increase (decrease) in deferred tax liability (assets)</t>
        </is>
      </c>
      <c r="C311" s="55" t="inlineStr">
        <is>
          <t>IncreaseDecreaseInDeferredTaxLiabilityAssets</t>
        </is>
      </c>
      <c r="D311" s="58" t="n">
        <v>702000000</v>
      </c>
      <c r="E311" s="58" t="n">
        <v>-526000000</v>
      </c>
      <c r="F311" s="58" t="n">
        <v>299000000</v>
      </c>
      <c r="G311" s="58" t="n">
        <v>-677000000</v>
      </c>
      <c r="H311" s="58" t="n">
        <v>1676000000</v>
      </c>
      <c r="I311" s="58" t="n">
        <v>-3000000</v>
      </c>
    </row>
    <row r="312">
      <c r="B312" s="66" t="inlineStr">
        <is>
          <t>Deferred tax liability (assets) at end of period</t>
        </is>
      </c>
      <c r="C312" s="55" t="inlineStr">
        <is>
          <t>DeferredTaxLiabilityAssets</t>
        </is>
      </c>
      <c r="D312" s="58" t="n">
        <v>-1263000000</v>
      </c>
      <c r="E312" s="58" t="n">
        <v>-1789000000</v>
      </c>
      <c r="F312" s="58" t="n">
        <v>-1489000000</v>
      </c>
      <c r="G312" s="58" t="n">
        <v>-2222000000</v>
      </c>
      <c r="H312" s="58" t="n">
        <v>-546000000</v>
      </c>
      <c r="I312" s="58" t="n">
        <v>-549000000</v>
      </c>
    </row>
    <row r="314" ht="15.5" customHeight="1" s="203">
      <c r="B314" s="38" t="inlineStr">
        <is>
          <t>Reconciliation of accounting profit multiplied by applicable tax rates [Abstract]</t>
        </is>
      </c>
    </row>
    <row r="315">
      <c r="B315" s="54" t="inlineStr">
        <is>
          <t>Accounting profit</t>
        </is>
      </c>
      <c r="C315" s="55" t="inlineStr">
        <is>
          <t>AccountingProfit</t>
        </is>
      </c>
      <c r="D315" s="56" t="n">
        <v>12358000000</v>
      </c>
      <c r="E315" s="56" t="n">
        <v>14415000000</v>
      </c>
      <c r="F315" s="56" t="n">
        <v>20278000000</v>
      </c>
      <c r="G315" s="56" t="n">
        <v>20029000000</v>
      </c>
      <c r="H315" s="56" t="n">
        <v>25882000000</v>
      </c>
      <c r="I315" s="56" t="n">
        <v>30974000000</v>
      </c>
    </row>
    <row r="316">
      <c r="B316" s="54" t="inlineStr">
        <is>
          <t>Tax expense (income) at applicable tax rate</t>
        </is>
      </c>
      <c r="C316" s="55" t="inlineStr">
        <is>
          <t>TaxExpenseIncomeAtApplicableTaxRate</t>
        </is>
      </c>
      <c r="D316" s="56" t="n">
        <v>4277000000</v>
      </c>
      <c r="E316" s="56" t="n">
        <v>4989000000</v>
      </c>
      <c r="F316" s="56" t="n">
        <v>7086000000</v>
      </c>
      <c r="G316" s="56" t="n">
        <v>6999000000</v>
      </c>
      <c r="H316" s="56" t="n">
        <v>9044000000</v>
      </c>
      <c r="I316" s="56" t="n">
        <v>7795000000</v>
      </c>
    </row>
    <row r="317">
      <c r="B317" s="54" t="inlineStr">
        <is>
          <t>Tax effect of revenues exempt from taxation</t>
        </is>
      </c>
      <c r="C317" s="55" t="inlineStr">
        <is>
          <t>TaxEffectOfRevenuesExemptFromTaxation2011</t>
        </is>
      </c>
      <c r="D317" s="56" t="n">
        <v>1360000000</v>
      </c>
      <c r="E317" s="56" t="n">
        <v>1817000000</v>
      </c>
      <c r="F317" s="56" t="n">
        <v>2035000000</v>
      </c>
      <c r="G317" s="56" t="n">
        <v>2116000000</v>
      </c>
      <c r="H317" s="56" t="n">
        <v>2225000000</v>
      </c>
      <c r="I317" s="56" t="n">
        <v>13000000</v>
      </c>
    </row>
    <row r="318">
      <c r="B318" s="54" t="inlineStr">
        <is>
          <t>Tax effect of expense not deductible in determining taxable profit (tax loss)</t>
        </is>
      </c>
      <c r="C318" s="55" t="inlineStr">
        <is>
          <t>TaxEffectOfExpenseNotDeductibleInDeterminingTaxableProfitTaxLoss</t>
        </is>
      </c>
      <c r="D318" s="56" t="n">
        <v>480000000</v>
      </c>
      <c r="E318" s="56" t="n">
        <v>772000000</v>
      </c>
      <c r="F318" s="56" t="n">
        <v>687000000</v>
      </c>
      <c r="G318" s="56" t="n">
        <v>1667000000</v>
      </c>
      <c r="H318" s="56" t="n">
        <v>52000000</v>
      </c>
      <c r="I318" s="56" t="n">
        <v>100000000</v>
      </c>
    </row>
    <row r="319">
      <c r="B319" s="54" t="inlineStr">
        <is>
          <t>Tax effect of foreign tax rates</t>
        </is>
      </c>
      <c r="C319" s="55" t="inlineStr">
        <is>
          <t>TaxEffectOfForeignTaxRates</t>
        </is>
      </c>
      <c r="D319" s="56" t="n">
        <v>0</v>
      </c>
      <c r="E319" s="56" t="n">
        <v>0</v>
      </c>
      <c r="F319" s="56" t="n">
        <v>380000000</v>
      </c>
      <c r="G319" s="56" t="n">
        <v>306000000</v>
      </c>
      <c r="H319" s="56" t="n">
        <v>92000000</v>
      </c>
      <c r="I319" s="56" t="n">
        <v>52000000</v>
      </c>
    </row>
    <row r="320">
      <c r="B320" s="54" t="inlineStr">
        <is>
          <t>Tax effect from change in tax rate</t>
        </is>
      </c>
      <c r="C320" s="55" t="inlineStr">
        <is>
          <t>TaxEffectFromChangeInTaxRate</t>
        </is>
      </c>
      <c r="D320" s="56" t="n">
        <v>0</v>
      </c>
      <c r="E320" s="56" t="n">
        <v>0</v>
      </c>
      <c r="F320" s="56" t="n">
        <v>-153000000</v>
      </c>
      <c r="G320" s="56" t="n">
        <v>-676000000</v>
      </c>
      <c r="H320" s="56" t="n">
        <v>0</v>
      </c>
      <c r="I320" s="56" t="n">
        <v>0</v>
      </c>
    </row>
    <row r="321">
      <c r="B321" s="54" t="inlineStr">
        <is>
          <t>Other tax effects for reconciliation between accounting profit and tax expense (income)</t>
        </is>
      </c>
      <c r="C321" s="55" t="inlineStr">
        <is>
          <t>OtherTaxEffectsForReconciliationBetweenAccountingProfitAndTaxExpenseIncome</t>
        </is>
      </c>
      <c r="D321" s="56" t="n">
        <v>-748000000</v>
      </c>
      <c r="E321" s="56" t="n">
        <v>-653000000</v>
      </c>
      <c r="F321" s="56" t="n">
        <v>-842000000</v>
      </c>
      <c r="G321" s="56" t="n">
        <v>-1356000000</v>
      </c>
      <c r="H321" s="56" t="n">
        <v>-463000000</v>
      </c>
      <c r="I321" s="56" t="n">
        <v>55000000</v>
      </c>
    </row>
    <row r="322">
      <c r="B322" s="57" t="inlineStr">
        <is>
          <t>Total tax expense (income)</t>
        </is>
      </c>
      <c r="C322" s="55" t="inlineStr">
        <is>
          <t>IncomeTaxExpenseContinuingOperations</t>
        </is>
      </c>
      <c r="D322" s="58" t="n">
        <v>2649000000</v>
      </c>
      <c r="E322" s="58" t="n">
        <v>3291000000</v>
      </c>
      <c r="F322" s="58" t="n">
        <v>5123000000</v>
      </c>
      <c r="G322" s="58" t="n">
        <v>4824000000</v>
      </c>
      <c r="H322" s="58" t="n">
        <v>6500000000</v>
      </c>
      <c r="I322" s="58" t="n">
        <v>7989000000</v>
      </c>
    </row>
    <row r="324" ht="15.5" customHeight="1" s="203">
      <c r="B324" s="38" t="inlineStr">
        <is>
          <t>Reconciliation of average effective tax rate and applicable tax rate [Abstract]</t>
        </is>
      </c>
    </row>
    <row r="325">
      <c r="B325" s="54" t="inlineStr">
        <is>
          <t>Accounting profit</t>
        </is>
      </c>
      <c r="C325" s="55" t="inlineStr">
        <is>
          <t>AccountingProfit</t>
        </is>
      </c>
      <c r="D325" s="56" t="n">
        <v>12358000000</v>
      </c>
      <c r="E325" s="56" t="n">
        <v>14415000000</v>
      </c>
      <c r="F325" s="56" t="n">
        <v>20278000000</v>
      </c>
      <c r="G325" s="56" t="n">
        <v>20029000000</v>
      </c>
      <c r="H325" s="56" t="n">
        <v>25882000000</v>
      </c>
      <c r="I325" s="56" t="n">
        <v>30974000000</v>
      </c>
    </row>
    <row r="326">
      <c r="B326" s="54" t="inlineStr">
        <is>
          <t>Applicable tax rate</t>
        </is>
      </c>
      <c r="C326" s="55" t="inlineStr">
        <is>
          <t>ApplicableTaxRate</t>
        </is>
      </c>
      <c r="D326" s="56" t="n">
        <v>0.3461</v>
      </c>
      <c r="E326" s="56" t="n">
        <v>0.3461</v>
      </c>
      <c r="F326" s="56" t="n">
        <v>0</v>
      </c>
      <c r="G326" s="56" t="n">
        <v>0.3494</v>
      </c>
      <c r="H326" s="56" t="n">
        <v>0.3494</v>
      </c>
      <c r="I326" s="56" t="n">
        <v>0.2517</v>
      </c>
    </row>
    <row r="327">
      <c r="B327" s="57" t="inlineStr">
        <is>
          <t>Total average effective tax rate</t>
        </is>
      </c>
      <c r="C327" s="55" t="inlineStr">
        <is>
          <t>AverageEffectiveTaxRate</t>
        </is>
      </c>
      <c r="D327" s="58" t="n">
        <v>0.3461</v>
      </c>
      <c r="E327" s="58" t="n">
        <v>0.3461</v>
      </c>
      <c r="F327" s="58" t="n">
        <v>0</v>
      </c>
      <c r="G327" s="58" t="n">
        <v>0.3494</v>
      </c>
      <c r="H327" s="58" t="n">
        <v>0.3494</v>
      </c>
      <c r="I327" s="58" t="n">
        <v>0.2517</v>
      </c>
    </row>
    <row r="330" ht="15.5" customHeight="1" s="203">
      <c r="A330" t="inlineStr">
        <is>
          <t>#</t>
        </is>
      </c>
      <c r="B330" s="38" t="inlineStr">
        <is>
          <t>Notes to Statement of Profit and Loss: Subclassification And Notes On Income And Expenses</t>
        </is>
      </c>
    </row>
    <row r="332">
      <c r="C332" s="53" t="inlineStr">
        <is>
          <t>Concept Tag</t>
        </is>
      </c>
      <c r="D332" s="20" t="inlineStr">
        <is>
          <t>FY2017</t>
        </is>
      </c>
      <c r="E332" s="20" t="inlineStr">
        <is>
          <t>FY2018</t>
        </is>
      </c>
      <c r="F332" s="20" t="inlineStr">
        <is>
          <t>FY2019</t>
        </is>
      </c>
      <c r="G332" s="20" t="inlineStr">
        <is>
          <t>FY2020</t>
        </is>
      </c>
      <c r="H332" s="20" t="inlineStr">
        <is>
          <t>FY2021</t>
        </is>
      </c>
      <c r="I332" s="20" t="inlineStr">
        <is>
          <t>FY2022</t>
        </is>
      </c>
    </row>
    <row r="333" ht="15.5" customHeight="1" s="203">
      <c r="B333" s="38" t="inlineStr">
        <is>
          <t>Disclosure of revenue from operations [Abstract]</t>
        </is>
      </c>
    </row>
    <row r="334">
      <c r="B334" s="59" t="inlineStr">
        <is>
          <t>Disclosure of revenue from operations for other than finance company [Abstract]</t>
        </is>
      </c>
    </row>
    <row r="335">
      <c r="B335" s="62" t="inlineStr">
        <is>
          <t>Total revenue from sale of products</t>
        </is>
      </c>
      <c r="C335" s="55" t="inlineStr">
        <is>
          <t>RevenueFromSaleOfProducts</t>
        </is>
      </c>
      <c r="D335" s="56" t="n">
        <v>0</v>
      </c>
      <c r="E335" s="56" t="n">
        <v>0</v>
      </c>
      <c r="F335" s="56" t="n">
        <v>0</v>
      </c>
      <c r="G335" s="56" t="n">
        <v>0</v>
      </c>
      <c r="H335" s="56" t="n">
        <v>0</v>
      </c>
      <c r="I335" s="56" t="n">
        <v>7430000000</v>
      </c>
    </row>
    <row r="336">
      <c r="B336" s="62" t="inlineStr">
        <is>
          <t>Total revenue from sale of services</t>
        </is>
      </c>
      <c r="C336" s="55" t="inlineStr">
        <is>
          <t>RevenueFromSaleOfServices</t>
        </is>
      </c>
      <c r="D336" s="56" t="n">
        <v>65009000000</v>
      </c>
      <c r="E336" s="56" t="n">
        <v>73065000000</v>
      </c>
      <c r="F336" s="56" t="n">
        <v>94458000000</v>
      </c>
      <c r="G336" s="56" t="n">
        <v>108786000000</v>
      </c>
      <c r="H336" s="56" t="n">
        <v>123698000000</v>
      </c>
      <c r="I336" s="56" t="n">
        <v>149257000000</v>
      </c>
    </row>
    <row r="337">
      <c r="B337" s="67" t="inlineStr">
        <is>
          <t>Total revenue from operations other than finance company</t>
        </is>
      </c>
      <c r="C337" s="55" t="inlineStr">
        <is>
          <t>RevenueFromOperationsOtherThanFinanceCompany</t>
        </is>
      </c>
      <c r="D337" s="58" t="n">
        <v>65009000000</v>
      </c>
      <c r="E337" s="58" t="n">
        <v>73065000000</v>
      </c>
      <c r="F337" s="58" t="n">
        <v>94458000000</v>
      </c>
      <c r="G337" s="58" t="n">
        <v>108786000000</v>
      </c>
      <c r="H337" s="58" t="n">
        <v>123698000000</v>
      </c>
      <c r="I337" s="58" t="n">
        <v>156687000000</v>
      </c>
    </row>
    <row r="338">
      <c r="B338" s="57" t="inlineStr">
        <is>
          <t>Total revenue from operations</t>
        </is>
      </c>
      <c r="C338" s="55" t="inlineStr">
        <is>
          <t>RevenueFromOperations</t>
        </is>
      </c>
      <c r="D338" s="58" t="n">
        <v>65009000000</v>
      </c>
      <c r="E338" s="58" t="n">
        <v>73065000000</v>
      </c>
      <c r="F338" s="58" t="n">
        <v>94458000000</v>
      </c>
      <c r="G338" s="58" t="n">
        <v>108786000000</v>
      </c>
      <c r="H338" s="58" t="n">
        <v>123698000000</v>
      </c>
      <c r="I338" s="58" t="n">
        <v>156687000000</v>
      </c>
    </row>
    <row r="341" ht="15.5" customHeight="1" s="203">
      <c r="B341" s="38" t="inlineStr">
        <is>
          <t>Disclosure of other income [Abstract]</t>
        </is>
      </c>
    </row>
    <row r="342">
      <c r="B342" s="59" t="inlineStr">
        <is>
          <t>Interest income [Abstract]</t>
        </is>
      </c>
    </row>
    <row r="343">
      <c r="B343" s="60" t="inlineStr">
        <is>
          <t>Interest income on current investments [Abstract]</t>
        </is>
      </c>
    </row>
    <row r="344">
      <c r="B344" s="61" t="inlineStr">
        <is>
          <t>Interest on other current investments</t>
        </is>
      </c>
      <c r="C344" s="55" t="inlineStr">
        <is>
          <t>InterestOnOtherCurrentInvestments</t>
        </is>
      </c>
      <c r="D344" s="56" t="n">
        <v>27000000</v>
      </c>
      <c r="E344" s="56" t="n">
        <v>23000000</v>
      </c>
      <c r="F344" s="56" t="n">
        <v>19000000</v>
      </c>
      <c r="G344" s="56" t="n">
        <v>64000000</v>
      </c>
      <c r="H344" s="56" t="n">
        <v>162000000</v>
      </c>
      <c r="I344" s="56" t="n">
        <v>393000000</v>
      </c>
    </row>
    <row r="345">
      <c r="B345" s="65" t="inlineStr">
        <is>
          <t>Total interest income on current investments</t>
        </is>
      </c>
      <c r="C345" s="55" t="inlineStr">
        <is>
          <t>InterestIncomeOnCurrentInvestments</t>
        </is>
      </c>
      <c r="D345" s="58" t="n">
        <v>27000000</v>
      </c>
      <c r="E345" s="58" t="n">
        <v>23000000</v>
      </c>
      <c r="F345" s="58" t="n">
        <v>19000000</v>
      </c>
      <c r="G345" s="58" t="n">
        <v>64000000</v>
      </c>
      <c r="H345" s="58" t="n">
        <v>162000000</v>
      </c>
      <c r="I345" s="58" t="n">
        <v>393000000</v>
      </c>
    </row>
    <row r="346">
      <c r="B346" s="67" t="inlineStr">
        <is>
          <t>Total interest income</t>
        </is>
      </c>
      <c r="C346" s="55" t="inlineStr">
        <is>
          <t>InterestIncome</t>
        </is>
      </c>
      <c r="D346" s="58" t="n">
        <v>27000000</v>
      </c>
      <c r="E346" s="58" t="n">
        <v>23000000</v>
      </c>
      <c r="F346" s="58" t="n">
        <v>19000000</v>
      </c>
      <c r="G346" s="58" t="n">
        <v>64000000</v>
      </c>
      <c r="H346" s="58" t="n">
        <v>162000000</v>
      </c>
      <c r="I346" s="58" t="n">
        <v>393000000</v>
      </c>
    </row>
    <row r="347">
      <c r="B347" s="59" t="inlineStr">
        <is>
          <t>Net gain/loss on sale of investments [Abstract]</t>
        </is>
      </c>
    </row>
    <row r="348">
      <c r="B348" s="62" t="inlineStr">
        <is>
          <t>Net gain/loss on sale of current investments</t>
        </is>
      </c>
      <c r="C348" s="55" t="inlineStr">
        <is>
          <t>NetGainLossOnSaleOfCurrentInvestments</t>
        </is>
      </c>
      <c r="D348" s="56" t="n">
        <v>194000000</v>
      </c>
      <c r="E348" s="56" t="n">
        <v>738000000</v>
      </c>
      <c r="F348" s="56" t="n">
        <v>990000000</v>
      </c>
      <c r="G348" s="56" t="n">
        <v>1217000000</v>
      </c>
      <c r="H348" s="56" t="n">
        <v>1542000000</v>
      </c>
      <c r="I348" s="56" t="n">
        <v>1209000000</v>
      </c>
    </row>
    <row r="349">
      <c r="B349" s="67" t="inlineStr">
        <is>
          <t>Total net gain/loss on sale of investments</t>
        </is>
      </c>
      <c r="C349" s="55" t="inlineStr">
        <is>
          <t>NetGainLossOnSaleOfInvestments</t>
        </is>
      </c>
      <c r="D349" s="58" t="n">
        <v>194000000</v>
      </c>
      <c r="E349" s="58" t="n">
        <v>738000000</v>
      </c>
      <c r="F349" s="58" t="n">
        <v>990000000</v>
      </c>
      <c r="G349" s="58" t="n">
        <v>1217000000</v>
      </c>
      <c r="H349" s="58" t="n">
        <v>1542000000</v>
      </c>
      <c r="I349" s="58" t="n">
        <v>1209000000</v>
      </c>
    </row>
    <row r="350">
      <c r="B350" s="59" t="inlineStr">
        <is>
          <t>Other non-operating income [Abstract]</t>
        </is>
      </c>
    </row>
    <row r="351">
      <c r="B351" s="60" t="inlineStr">
        <is>
          <t>Net gain (loss) on foreign currency fluctuations treated as other income [Abstract]</t>
        </is>
      </c>
    </row>
    <row r="352">
      <c r="B352" s="61" t="inlineStr">
        <is>
          <t>Net gain (loss) on foreign currency translation</t>
        </is>
      </c>
      <c r="C352" s="55" t="inlineStr">
        <is>
          <t>NetGainLossOnForeignCurrencyTranslation</t>
        </is>
      </c>
      <c r="D352" s="56" t="n">
        <v>1539000000</v>
      </c>
      <c r="E352" s="56" t="n">
        <v>3427000000</v>
      </c>
      <c r="F352" s="56" t="n">
        <v>1785000000</v>
      </c>
      <c r="G352" s="56" t="n">
        <v>1889000000</v>
      </c>
      <c r="H352" s="56" t="n">
        <v>62000000</v>
      </c>
      <c r="I352" s="56" t="n">
        <v>2854000000</v>
      </c>
    </row>
    <row r="353">
      <c r="B353" s="65" t="inlineStr">
        <is>
          <t>Total net gain/loss on foreign currency fluctuations treated as other income</t>
        </is>
      </c>
      <c r="C353" s="55" t="inlineStr">
        <is>
          <t>NetGainLossOnForeignCurrencyFluctuationsTreatedAsOtherIncome</t>
        </is>
      </c>
      <c r="D353" s="58" t="n">
        <v>1539000000</v>
      </c>
      <c r="E353" s="58" t="n">
        <v>3427000000</v>
      </c>
      <c r="F353" s="58" t="n">
        <v>1785000000</v>
      </c>
      <c r="G353" s="58" t="n">
        <v>1889000000</v>
      </c>
      <c r="H353" s="58" t="n">
        <v>62000000</v>
      </c>
      <c r="I353" s="58" t="n">
        <v>2854000000</v>
      </c>
    </row>
    <row r="354">
      <c r="B354" s="62" t="inlineStr">
        <is>
          <t>Surplus on disposal, discard, demolishment and destruction of depreciable property, plant and equipment</t>
        </is>
      </c>
      <c r="C354" s="55" t="inlineStr">
        <is>
          <t>SurplusOnDisposalDiscardDemolishmentAndDestructionOfDepreciablePropertyPlantAndEquipment</t>
        </is>
      </c>
      <c r="D354" s="56" t="n">
        <v>0</v>
      </c>
      <c r="E354" s="56" t="n">
        <v>2000000</v>
      </c>
      <c r="F354" s="56" t="n">
        <v>0</v>
      </c>
      <c r="G354" s="56" t="n">
        <v>0</v>
      </c>
      <c r="H354" s="56" t="n">
        <v>0</v>
      </c>
      <c r="I354" s="56" t="n">
        <v>0</v>
      </c>
    </row>
    <row r="355">
      <c r="B355" s="62" t="inlineStr">
        <is>
          <t>Miscellaneous other non-operating income</t>
        </is>
      </c>
      <c r="C355" s="55" t="inlineStr">
        <is>
          <t>MiscellaneousOtherNonoperatingIncome</t>
        </is>
      </c>
      <c r="D355" s="56" t="n">
        <v>107000000</v>
      </c>
      <c r="E355" s="56" t="n">
        <v>71000000</v>
      </c>
      <c r="F355" s="56" t="n">
        <v>229000000</v>
      </c>
      <c r="G355" s="56" t="n">
        <v>122000000</v>
      </c>
      <c r="H355" s="56" t="n">
        <v>978000000</v>
      </c>
      <c r="I355" s="56" t="n">
        <v>211000000</v>
      </c>
    </row>
    <row r="356">
      <c r="B356" s="67" t="inlineStr">
        <is>
          <t>Total other non-operating income</t>
        </is>
      </c>
      <c r="C356" s="55" t="inlineStr">
        <is>
          <t>OtherNonoperatingIncome</t>
        </is>
      </c>
      <c r="D356" s="58" t="n">
        <v>1646000000</v>
      </c>
      <c r="E356" s="58" t="n">
        <v>3500000000</v>
      </c>
      <c r="F356" s="58" t="n">
        <v>2014000000</v>
      </c>
      <c r="G356" s="58" t="n">
        <v>2011000000</v>
      </c>
      <c r="H356" s="58" t="n">
        <v>1040000000</v>
      </c>
      <c r="I356" s="58" t="n">
        <v>3065000000</v>
      </c>
    </row>
    <row r="357">
      <c r="B357" s="57" t="inlineStr">
        <is>
          <t>Total other income</t>
        </is>
      </c>
      <c r="C357" s="55" t="inlineStr">
        <is>
          <t>OtherIncome</t>
        </is>
      </c>
      <c r="D357" s="58" t="n">
        <v>1867000000</v>
      </c>
      <c r="E357" s="58" t="n">
        <v>4261000000</v>
      </c>
      <c r="F357" s="58" t="n">
        <v>3023000000</v>
      </c>
      <c r="G357" s="58" t="n">
        <v>3292000000</v>
      </c>
      <c r="H357" s="58" t="n">
        <v>2744000000</v>
      </c>
      <c r="I357" s="58" t="n">
        <v>4667000000</v>
      </c>
    </row>
    <row r="359" ht="15.5" customHeight="1" s="203">
      <c r="B359" s="38" t="inlineStr">
        <is>
          <t>Disclosure of finance cost [Abstract]</t>
        </is>
      </c>
    </row>
    <row r="360">
      <c r="B360" s="59" t="inlineStr">
        <is>
          <t>Interest expense [Abstract]</t>
        </is>
      </c>
    </row>
    <row r="361">
      <c r="B361" s="60" t="inlineStr">
        <is>
          <t>Interest expense non-current loans [Abstract]</t>
        </is>
      </c>
    </row>
    <row r="362">
      <c r="B362" s="61" t="inlineStr">
        <is>
          <t>Interest expense non-current loans, others</t>
        </is>
      </c>
      <c r="C362" s="55" t="inlineStr">
        <is>
          <t>InterestExpenseNoncurrentLoansOthers</t>
        </is>
      </c>
      <c r="D362" s="56" t="n">
        <v>3000000</v>
      </c>
      <c r="E362" s="56" t="n">
        <v>4000000</v>
      </c>
      <c r="F362" s="56" t="n">
        <v>0</v>
      </c>
      <c r="G362" s="56" t="n">
        <v>0</v>
      </c>
      <c r="H362" s="56" t="n">
        <v>0</v>
      </c>
      <c r="I362" s="56" t="n">
        <v>0</v>
      </c>
    </row>
    <row r="363">
      <c r="B363" s="65" t="inlineStr">
        <is>
          <t>Total interest expense non-current loans</t>
        </is>
      </c>
      <c r="C363" s="55" t="inlineStr">
        <is>
          <t>InterestExpenseNoncurrentLoans</t>
        </is>
      </c>
      <c r="D363" s="58" t="n">
        <v>3000000</v>
      </c>
      <c r="E363" s="58" t="n">
        <v>4000000</v>
      </c>
      <c r="F363" s="58" t="n">
        <v>0</v>
      </c>
      <c r="G363" s="58" t="n">
        <v>0</v>
      </c>
      <c r="H363" s="58" t="n">
        <v>0</v>
      </c>
      <c r="I363" s="58" t="n">
        <v>0</v>
      </c>
    </row>
    <row r="364">
      <c r="B364" s="62" t="inlineStr">
        <is>
          <t>Interest expense deposits</t>
        </is>
      </c>
      <c r="C364" s="55" t="inlineStr">
        <is>
          <t>InterestExpenseDeposits</t>
        </is>
      </c>
      <c r="D364" s="56" t="n">
        <v>0</v>
      </c>
      <c r="E364" s="56" t="n">
        <v>0</v>
      </c>
      <c r="F364" s="56" t="n">
        <v>42000000</v>
      </c>
      <c r="G364" s="56" t="n">
        <v>16000000</v>
      </c>
      <c r="H364" s="56" t="n">
        <v>2000000</v>
      </c>
      <c r="I364" s="56" t="n">
        <v>21000000</v>
      </c>
    </row>
    <row r="365">
      <c r="B365" s="62" t="inlineStr">
        <is>
          <t>Interest expense on lease liabilities</t>
        </is>
      </c>
      <c r="C365" s="55" t="inlineStr">
        <is>
          <t>InterestExpenseOnLeaseLiabilities</t>
        </is>
      </c>
      <c r="D365" s="56" t="n">
        <v>0</v>
      </c>
      <c r="E365" s="56" t="n">
        <v>0</v>
      </c>
      <c r="F365" s="56" t="n">
        <v>0</v>
      </c>
      <c r="G365" s="56" t="n">
        <v>681000000</v>
      </c>
      <c r="H365" s="56" t="n">
        <v>699000000</v>
      </c>
      <c r="I365" s="56" t="n">
        <v>601000000</v>
      </c>
    </row>
    <row r="366">
      <c r="B366" s="62" t="inlineStr">
        <is>
          <t>Other interest charges</t>
        </is>
      </c>
      <c r="C366" s="55" t="inlineStr">
        <is>
          <t>OtherInterestCharges</t>
        </is>
      </c>
      <c r="D366" s="56" t="n">
        <v>29000000</v>
      </c>
      <c r="E366" s="56" t="n">
        <v>153000000</v>
      </c>
      <c r="F366" s="56" t="n">
        <v>64000000</v>
      </c>
      <c r="G366" s="56" t="n">
        <v>129000000</v>
      </c>
      <c r="H366" s="56" t="n">
        <v>87000000</v>
      </c>
      <c r="I366" s="56" t="n">
        <v>106000000</v>
      </c>
    </row>
    <row r="367">
      <c r="B367" s="67" t="inlineStr">
        <is>
          <t>Total interest expense</t>
        </is>
      </c>
      <c r="C367" s="55" t="inlineStr">
        <is>
          <t>InterestExpense</t>
        </is>
      </c>
      <c r="D367" s="58" t="n">
        <v>32000000</v>
      </c>
      <c r="E367" s="58" t="n">
        <v>157000000</v>
      </c>
      <c r="F367" s="58" t="n">
        <v>106000000</v>
      </c>
      <c r="G367" s="58" t="n">
        <v>826000000</v>
      </c>
      <c r="H367" s="58" t="n">
        <v>788000000</v>
      </c>
      <c r="I367" s="58" t="n">
        <v>728000000</v>
      </c>
    </row>
    <row r="368">
      <c r="B368" s="57" t="inlineStr">
        <is>
          <t>Total finance costs</t>
        </is>
      </c>
      <c r="C368" s="55" t="inlineStr">
        <is>
          <t>FinanceCosts</t>
        </is>
      </c>
      <c r="D368" s="58" t="n">
        <v>32000000</v>
      </c>
      <c r="E368" s="58" t="n">
        <v>157000000</v>
      </c>
      <c r="F368" s="58" t="n">
        <v>106000000</v>
      </c>
      <c r="G368" s="58" t="n">
        <v>826000000</v>
      </c>
      <c r="H368" s="58" t="n">
        <v>788000000</v>
      </c>
      <c r="I368" s="58" t="n">
        <v>728000000</v>
      </c>
    </row>
    <row r="370" ht="15.5" customHeight="1" s="203">
      <c r="B370" s="38" t="inlineStr">
        <is>
          <t>Employee benefit expense [Abstract]</t>
        </is>
      </c>
    </row>
    <row r="371">
      <c r="B371" s="54" t="inlineStr">
        <is>
          <t>Salaries and wages</t>
        </is>
      </c>
      <c r="C371" s="55" t="inlineStr">
        <is>
          <t>SalariesAndWages</t>
        </is>
      </c>
      <c r="D371" s="56" t="n">
        <v>33924000000</v>
      </c>
      <c r="E371" s="56" t="n">
        <v>39754000000</v>
      </c>
      <c r="F371" s="56" t="n">
        <v>50627000000</v>
      </c>
      <c r="G371" s="56" t="n">
        <v>60343000000</v>
      </c>
      <c r="H371" s="56" t="n">
        <v>69168000000</v>
      </c>
      <c r="I371" s="56" t="n">
        <v>90753000000</v>
      </c>
    </row>
    <row r="372">
      <c r="B372" s="59" t="inlineStr">
        <is>
          <t>Contribution to provident and other funds [Abstract]</t>
        </is>
      </c>
    </row>
    <row r="373">
      <c r="B373" s="62" t="inlineStr">
        <is>
          <t>Contribution to provident and other funds for others</t>
        </is>
      </c>
      <c r="C373" s="55" t="inlineStr">
        <is>
          <t>ContributionToProvidentAndOtherFundsForOthers</t>
        </is>
      </c>
      <c r="D373" s="56" t="n">
        <v>377000000</v>
      </c>
      <c r="E373" s="56" t="n">
        <v>542000000</v>
      </c>
      <c r="F373" s="56" t="n">
        <v>670000000</v>
      </c>
      <c r="G373" s="56" t="n">
        <v>839000000</v>
      </c>
      <c r="H373" s="56" t="n">
        <v>1023000000</v>
      </c>
      <c r="I373" s="56" t="n">
        <v>1612000000</v>
      </c>
    </row>
    <row r="374">
      <c r="B374" s="67" t="inlineStr">
        <is>
          <t>Total contribution to provident and other funds</t>
        </is>
      </c>
      <c r="C374" s="55" t="inlineStr">
        <is>
          <t>ContributionToProvidentAndOtherFunds</t>
        </is>
      </c>
      <c r="D374" s="58" t="n">
        <v>377000000</v>
      </c>
      <c r="E374" s="58" t="n">
        <v>542000000</v>
      </c>
      <c r="F374" s="58" t="n">
        <v>670000000</v>
      </c>
      <c r="G374" s="58" t="n">
        <v>839000000</v>
      </c>
      <c r="H374" s="58" t="n">
        <v>1023000000</v>
      </c>
      <c r="I374" s="58" t="n">
        <v>1612000000</v>
      </c>
    </row>
    <row r="375">
      <c r="B375" s="59" t="inlineStr">
        <is>
          <t>Employee share based payment [Abstract]</t>
        </is>
      </c>
    </row>
    <row r="376">
      <c r="B376" s="62" t="inlineStr">
        <is>
          <t>Employee share based payment- Equity settled</t>
        </is>
      </c>
      <c r="C376" s="55" t="inlineStr">
        <is>
          <t>EmployeeShareBasedPaymentEquitySettled</t>
        </is>
      </c>
      <c r="D376" s="56" t="n">
        <v>428000000</v>
      </c>
      <c r="E376" s="56" t="n">
        <v>400000000</v>
      </c>
      <c r="F376" s="56" t="n">
        <v>281000000</v>
      </c>
      <c r="G376" s="56" t="n">
        <v>319000000</v>
      </c>
      <c r="H376" s="56" t="n">
        <v>168000000</v>
      </c>
      <c r="I376" s="56" t="n">
        <v>108000000</v>
      </c>
    </row>
    <row r="377">
      <c r="B377" s="67" t="inlineStr">
        <is>
          <t>Total employee share based payment</t>
        </is>
      </c>
      <c r="C377" s="55" t="inlineStr">
        <is>
          <t>EmployeeShareBasedPayment</t>
        </is>
      </c>
      <c r="D377" s="58" t="n">
        <v>428000000</v>
      </c>
      <c r="E377" s="58" t="n">
        <v>400000000</v>
      </c>
      <c r="F377" s="58" t="n">
        <v>281000000</v>
      </c>
      <c r="G377" s="58" t="n">
        <v>319000000</v>
      </c>
      <c r="H377" s="58" t="n">
        <v>168000000</v>
      </c>
      <c r="I377" s="58" t="n">
        <v>108000000</v>
      </c>
    </row>
    <row r="378">
      <c r="B378" s="54" t="inlineStr">
        <is>
          <t>Gratuity</t>
        </is>
      </c>
      <c r="C378" s="55" t="inlineStr">
        <is>
          <t>Gratuity</t>
        </is>
      </c>
      <c r="D378" s="56" t="n">
        <v>115000000</v>
      </c>
      <c r="E378" s="56" t="n">
        <v>155000000</v>
      </c>
      <c r="F378" s="56" t="n">
        <v>178000000</v>
      </c>
      <c r="G378" s="56" t="n">
        <v>206000000</v>
      </c>
      <c r="H378" s="56" t="n">
        <v>277000000</v>
      </c>
      <c r="I378" s="56" t="n">
        <v>346000000</v>
      </c>
    </row>
    <row r="379">
      <c r="B379" s="54" t="inlineStr">
        <is>
          <t>Other retirement benefits</t>
        </is>
      </c>
      <c r="C379" s="55" t="inlineStr">
        <is>
          <t>OtherRetirementBenefits</t>
        </is>
      </c>
      <c r="D379" s="56" t="n">
        <v>54000000</v>
      </c>
      <c r="E379" s="56" t="n">
        <v>45000000</v>
      </c>
      <c r="F379" s="56" t="n">
        <v>41000000</v>
      </c>
      <c r="G379" s="56" t="n">
        <v>39000000</v>
      </c>
      <c r="H379" s="56" t="n">
        <v>37000000</v>
      </c>
      <c r="I379" s="56" t="n">
        <v>39000000</v>
      </c>
    </row>
    <row r="380">
      <c r="B380" s="54" t="inlineStr">
        <is>
          <t>Staff welfare expense</t>
        </is>
      </c>
      <c r="C380" s="55" t="inlineStr">
        <is>
          <t>StaffWelfareExpense</t>
        </is>
      </c>
      <c r="D380" s="56" t="n">
        <v>1146000000</v>
      </c>
      <c r="E380" s="56" t="n">
        <v>439000000</v>
      </c>
      <c r="F380" s="56" t="n">
        <v>490000000</v>
      </c>
      <c r="G380" s="56" t="n">
        <v>600000000</v>
      </c>
      <c r="H380" s="56" t="n">
        <v>622000000</v>
      </c>
      <c r="I380" s="56" t="n">
        <v>688000000</v>
      </c>
    </row>
    <row r="381">
      <c r="B381" s="54" t="inlineStr">
        <is>
          <t>Other employee related expenses</t>
        </is>
      </c>
      <c r="C381" s="55" t="inlineStr">
        <is>
          <t>OtherEmployeeRelatedExpenses</t>
        </is>
      </c>
      <c r="D381" s="56" t="n">
        <v>1714000000</v>
      </c>
      <c r="E381" s="56" t="n">
        <v>1954000000</v>
      </c>
      <c r="F381" s="56" t="n">
        <v>2381000000</v>
      </c>
      <c r="G381" s="56" t="n">
        <v>2820000000</v>
      </c>
      <c r="H381" s="56" t="n">
        <v>2994000000</v>
      </c>
      <c r="I381" s="56" t="n">
        <v>3461000000</v>
      </c>
    </row>
    <row r="382">
      <c r="B382" s="57" t="inlineStr">
        <is>
          <t>Total employee benefit expense</t>
        </is>
      </c>
      <c r="C382" s="55" t="inlineStr">
        <is>
          <t>EmployeeBenefitExpense</t>
        </is>
      </c>
      <c r="D382" s="58" t="n">
        <v>37758000000</v>
      </c>
      <c r="E382" s="58" t="n">
        <v>43289000000</v>
      </c>
      <c r="F382" s="58" t="n">
        <v>54668000000</v>
      </c>
      <c r="G382" s="58" t="n">
        <v>65166000000</v>
      </c>
      <c r="H382" s="58" t="n">
        <v>74289000000</v>
      </c>
      <c r="I382" s="58" t="n">
        <v>97007000000</v>
      </c>
    </row>
    <row r="384" ht="15.5" customHeight="1" s="203">
      <c r="B384" s="38" t="inlineStr">
        <is>
          <t>Depreciation, depletion and amortisation expense [Abstract]</t>
        </is>
      </c>
    </row>
    <row r="385">
      <c r="B385" s="54" t="inlineStr">
        <is>
          <t>Depreciation expense</t>
        </is>
      </c>
      <c r="C385" s="55" t="inlineStr">
        <is>
          <t>DepreciationExpense</t>
        </is>
      </c>
      <c r="D385" s="56" t="n">
        <v>714000000</v>
      </c>
      <c r="E385" s="56" t="n">
        <v>705000000</v>
      </c>
      <c r="F385" s="56" t="n">
        <v>722000000</v>
      </c>
      <c r="G385" s="56" t="n">
        <v>1980000000</v>
      </c>
      <c r="H385" s="56" t="n">
        <v>2547000000</v>
      </c>
      <c r="I385" s="56" t="n">
        <v>2599000000</v>
      </c>
    </row>
    <row r="386">
      <c r="B386" s="54" t="inlineStr">
        <is>
          <t>Amortisation expense</t>
        </is>
      </c>
      <c r="C386" s="55" t="inlineStr">
        <is>
          <t>AmortisationExpense</t>
        </is>
      </c>
      <c r="D386" s="56" t="n">
        <v>1065000000</v>
      </c>
      <c r="E386" s="56" t="n">
        <v>858000000</v>
      </c>
      <c r="F386" s="56" t="n">
        <v>750000000</v>
      </c>
      <c r="G386" s="56" t="n">
        <v>750000000</v>
      </c>
      <c r="H386" s="56" t="n">
        <v>778000000</v>
      </c>
      <c r="I386" s="56" t="n">
        <v>950000000</v>
      </c>
    </row>
    <row r="387">
      <c r="B387" s="57" t="inlineStr">
        <is>
          <t>Total depreciation, depletion and amortisation expense</t>
        </is>
      </c>
      <c r="C387" s="55" t="inlineStr">
        <is>
          <t>DepreciationDepletionAndAmortisationExpense</t>
        </is>
      </c>
      <c r="D387" s="58" t="n">
        <v>1779000000</v>
      </c>
      <c r="E387" s="58" t="n">
        <v>1563000000</v>
      </c>
      <c r="F387" s="58" t="n">
        <v>1472000000</v>
      </c>
      <c r="G387" s="58" t="n">
        <v>2730000000</v>
      </c>
      <c r="H387" s="58" t="n">
        <v>3325000000</v>
      </c>
      <c r="I387" s="58" t="n">
        <v>3549000000</v>
      </c>
    </row>
    <row r="389" ht="15.5" customHeight="1" s="203">
      <c r="B389" s="38" t="inlineStr">
        <is>
          <t>Breakup of other expenses [Abstract]</t>
        </is>
      </c>
    </row>
    <row r="390">
      <c r="B390" s="54" t="inlineStr">
        <is>
          <t>Power and fuel</t>
        </is>
      </c>
      <c r="C390" s="55" t="inlineStr">
        <is>
          <t>PowerAndFuel</t>
        </is>
      </c>
      <c r="D390" s="56" t="n">
        <v>318000000</v>
      </c>
      <c r="E390" s="56" t="n">
        <v>330000000</v>
      </c>
      <c r="F390" s="56" t="n">
        <v>310000000</v>
      </c>
      <c r="G390" s="56" t="n">
        <v>329000000</v>
      </c>
      <c r="H390" s="56" t="n">
        <v>208000000</v>
      </c>
      <c r="I390" s="56" t="n">
        <v>216000000</v>
      </c>
    </row>
    <row r="391">
      <c r="B391" s="54" t="inlineStr">
        <is>
          <t>Rent</t>
        </is>
      </c>
      <c r="C391" s="55" t="inlineStr">
        <is>
          <t>Rent</t>
        </is>
      </c>
      <c r="D391" s="56" t="n">
        <v>1627000000</v>
      </c>
      <c r="E391" s="56" t="n">
        <v>1842000000</v>
      </c>
      <c r="F391" s="56" t="n">
        <v>1941000000</v>
      </c>
      <c r="G391" s="56" t="n">
        <v>730000000</v>
      </c>
      <c r="H391" s="56" t="n">
        <v>859000000</v>
      </c>
      <c r="I391" s="56" t="n">
        <v>1018000000</v>
      </c>
    </row>
    <row r="392">
      <c r="B392" s="54" t="inlineStr">
        <is>
          <t>Repairs to building</t>
        </is>
      </c>
      <c r="C392" s="55" t="inlineStr">
        <is>
          <t>RepairsToBuilding</t>
        </is>
      </c>
      <c r="D392" s="56" t="n">
        <v>133000000</v>
      </c>
      <c r="E392" s="56" t="n">
        <v>0</v>
      </c>
      <c r="F392" s="56" t="n">
        <v>0</v>
      </c>
      <c r="G392" s="56" t="n">
        <v>0</v>
      </c>
      <c r="H392" s="56" t="n">
        <v>0</v>
      </c>
      <c r="I392" s="56" t="n">
        <v>0</v>
      </c>
    </row>
    <row r="393">
      <c r="B393" s="54" t="inlineStr">
        <is>
          <t>Insurance</t>
        </is>
      </c>
      <c r="C393" s="55" t="inlineStr">
        <is>
          <t>Insurance</t>
        </is>
      </c>
      <c r="D393" s="56" t="n">
        <v>164000000</v>
      </c>
      <c r="E393" s="56" t="n">
        <v>58000000</v>
      </c>
      <c r="F393" s="56" t="n">
        <v>63000000</v>
      </c>
      <c r="G393" s="56" t="n">
        <v>80000000</v>
      </c>
      <c r="H393" s="56" t="n">
        <v>92000000</v>
      </c>
      <c r="I393" s="56" t="n">
        <v>94000000</v>
      </c>
    </row>
    <row r="394">
      <c r="B394" s="59" t="inlineStr">
        <is>
          <t>Rates and taxes excluding taxes on income [Abstract]</t>
        </is>
      </c>
    </row>
    <row r="395">
      <c r="B395" s="62" t="inlineStr">
        <is>
          <t>Other cess taxes</t>
        </is>
      </c>
      <c r="C395" s="55" t="inlineStr">
        <is>
          <t>OtherCessTaxes</t>
        </is>
      </c>
      <c r="D395" s="56" t="n">
        <v>200000000</v>
      </c>
      <c r="E395" s="56" t="n">
        <v>254000000</v>
      </c>
      <c r="F395" s="56" t="n">
        <v>0</v>
      </c>
      <c r="G395" s="56" t="n">
        <v>0</v>
      </c>
      <c r="H395" s="56" t="n">
        <v>0</v>
      </c>
      <c r="I395" s="56" t="n">
        <v>0</v>
      </c>
    </row>
    <row r="396">
      <c r="B396" s="62" t="inlineStr">
        <is>
          <t>Cost taxes other levies by government local authorities</t>
        </is>
      </c>
      <c r="C396" s="55" t="inlineStr">
        <is>
          <t>CostTaxesOtherLeviesByGovernmentLocalAuthorities</t>
        </is>
      </c>
      <c r="D396" s="56" t="n">
        <v>0</v>
      </c>
      <c r="E396" s="56" t="n">
        <v>0</v>
      </c>
      <c r="F396" s="56" t="n">
        <v>294000000</v>
      </c>
      <c r="G396" s="56" t="n">
        <v>260000000</v>
      </c>
      <c r="H396" s="56" t="n">
        <v>383000000</v>
      </c>
      <c r="I396" s="56" t="n">
        <v>305000000</v>
      </c>
    </row>
    <row r="397">
      <c r="B397" s="67" t="inlineStr">
        <is>
          <t>Total rates and taxes excluding taxes on income</t>
        </is>
      </c>
      <c r="C397" s="55" t="inlineStr">
        <is>
          <t>RatesAndTaxesExcludingTaxesOnIncome</t>
        </is>
      </c>
      <c r="D397" s="58" t="n">
        <v>200000000</v>
      </c>
      <c r="E397" s="58" t="n">
        <v>254000000</v>
      </c>
      <c r="F397" s="58" t="n">
        <v>294000000</v>
      </c>
      <c r="G397" s="58" t="n">
        <v>260000000</v>
      </c>
      <c r="H397" s="58" t="n">
        <v>383000000</v>
      </c>
      <c r="I397" s="58" t="n">
        <v>305000000</v>
      </c>
    </row>
    <row r="398">
      <c r="B398" s="54" t="inlineStr">
        <is>
          <t>Telephone postage</t>
        </is>
      </c>
      <c r="C398" s="55" t="inlineStr">
        <is>
          <t>TelephonePostage</t>
        </is>
      </c>
      <c r="D398" s="56" t="n">
        <v>569000000</v>
      </c>
      <c r="E398" s="56" t="n">
        <v>554000000</v>
      </c>
      <c r="F398" s="56" t="n">
        <v>523000000</v>
      </c>
      <c r="G398" s="56" t="n">
        <v>646000000</v>
      </c>
      <c r="H398" s="56" t="n">
        <v>659000000</v>
      </c>
      <c r="I398" s="56" t="n">
        <v>775000000</v>
      </c>
    </row>
    <row r="399">
      <c r="B399" s="54" t="inlineStr">
        <is>
          <t>Printing stationery</t>
        </is>
      </c>
      <c r="C399" s="55" t="inlineStr">
        <is>
          <t>PrintingStationery</t>
        </is>
      </c>
      <c r="D399" s="56" t="n">
        <v>39000000</v>
      </c>
      <c r="E399" s="56" t="n">
        <v>0</v>
      </c>
      <c r="F399" s="56" t="n">
        <v>0</v>
      </c>
      <c r="G399" s="56" t="n">
        <v>0</v>
      </c>
      <c r="H399" s="56" t="n">
        <v>0</v>
      </c>
      <c r="I399" s="56" t="n">
        <v>0</v>
      </c>
    </row>
    <row r="400">
      <c r="B400" s="54" t="inlineStr">
        <is>
          <t>Information technology expenses</t>
        </is>
      </c>
      <c r="C400" s="55" t="inlineStr">
        <is>
          <t>InformationTechnologyExpenses</t>
        </is>
      </c>
      <c r="D400" s="56" t="n">
        <v>3363000000</v>
      </c>
      <c r="E400" s="56" t="n">
        <v>3474000000</v>
      </c>
      <c r="F400" s="56" t="n">
        <v>3639000000</v>
      </c>
      <c r="G400" s="56" t="n">
        <v>4260000000</v>
      </c>
      <c r="H400" s="56" t="n">
        <v>5701000000</v>
      </c>
      <c r="I400" s="56" t="n">
        <v>6473000000</v>
      </c>
    </row>
    <row r="401">
      <c r="B401" s="54" t="inlineStr">
        <is>
          <t>Travelling conveyance</t>
        </is>
      </c>
      <c r="C401" s="55" t="inlineStr">
        <is>
          <t>TravellingConveyance</t>
        </is>
      </c>
      <c r="D401" s="56" t="n">
        <v>1665000000</v>
      </c>
      <c r="E401" s="56" t="n">
        <v>2375000000</v>
      </c>
      <c r="F401" s="56" t="n">
        <v>3270000000</v>
      </c>
      <c r="G401" s="56" t="n">
        <v>3518000000</v>
      </c>
      <c r="H401" s="56" t="n">
        <v>675000000</v>
      </c>
      <c r="I401" s="56" t="n">
        <v>1263000000</v>
      </c>
    </row>
    <row r="402">
      <c r="B402" s="54" t="inlineStr">
        <is>
          <t>Entertainment expenses</t>
        </is>
      </c>
      <c r="C402" s="55" t="inlineStr">
        <is>
          <t>EntertainmentExpenses</t>
        </is>
      </c>
      <c r="D402" s="56" t="n">
        <v>72000000</v>
      </c>
      <c r="E402" s="56" t="n">
        <v>0</v>
      </c>
      <c r="F402" s="56" t="n">
        <v>0</v>
      </c>
      <c r="G402" s="56" t="n">
        <v>0</v>
      </c>
      <c r="H402" s="56" t="n">
        <v>0</v>
      </c>
      <c r="I402" s="56" t="n">
        <v>0</v>
      </c>
    </row>
    <row r="403">
      <c r="B403" s="54" t="inlineStr">
        <is>
          <t>Legal professional charges</t>
        </is>
      </c>
      <c r="C403" s="55" t="inlineStr">
        <is>
          <t>LegalProfessionalCharges</t>
        </is>
      </c>
      <c r="D403" s="56" t="n">
        <v>5297000000</v>
      </c>
      <c r="E403" s="56" t="n">
        <v>5360000000</v>
      </c>
      <c r="F403" s="56" t="n">
        <v>8317000000</v>
      </c>
      <c r="G403" s="56" t="n">
        <v>10180000000</v>
      </c>
      <c r="H403" s="56" t="n">
        <v>11112000000</v>
      </c>
      <c r="I403" s="56" t="n">
        <v>15181000000</v>
      </c>
    </row>
    <row r="404">
      <c r="B404" s="54" t="inlineStr">
        <is>
          <t>Training recruitment expenses</t>
        </is>
      </c>
      <c r="C404" s="55" t="inlineStr">
        <is>
          <t>TrainingRecruitmentExpenses</t>
        </is>
      </c>
      <c r="D404" s="56" t="n">
        <v>211000000</v>
      </c>
      <c r="E404" s="56" t="n">
        <v>359000000</v>
      </c>
      <c r="F404" s="56" t="n">
        <v>536000000</v>
      </c>
      <c r="G404" s="56" t="n">
        <v>563000000</v>
      </c>
      <c r="H404" s="56" t="n">
        <v>452000000</v>
      </c>
      <c r="I404" s="56" t="n">
        <v>1267000000</v>
      </c>
    </row>
    <row r="405">
      <c r="B405" s="54" t="inlineStr">
        <is>
          <t>Directors sitting fees</t>
        </is>
      </c>
      <c r="C405" s="55" t="inlineStr">
        <is>
          <t>DirectorsSittingFees</t>
        </is>
      </c>
      <c r="D405" s="56" t="n">
        <v>1000000</v>
      </c>
      <c r="E405" s="56" t="n">
        <v>0</v>
      </c>
      <c r="F405" s="56" t="n">
        <v>21000000</v>
      </c>
      <c r="G405" s="56" t="n">
        <v>25000000</v>
      </c>
      <c r="H405" s="56" t="n">
        <v>26000000</v>
      </c>
      <c r="I405" s="56" t="n">
        <v>22000000</v>
      </c>
    </row>
    <row r="406">
      <c r="B406" s="54" t="inlineStr">
        <is>
          <t>Commission to directors other than whole time director or managing director or manager</t>
        </is>
      </c>
      <c r="C406" s="55" t="inlineStr">
        <is>
          <t>CommissionToDirectorsOtherThanWholeTimeDirectorOrManagingDirectorOrManager</t>
        </is>
      </c>
      <c r="D406" s="56" t="n">
        <v>9000000</v>
      </c>
      <c r="E406" s="56" t="n">
        <v>0</v>
      </c>
      <c r="F406" s="56" t="n">
        <v>0</v>
      </c>
      <c r="G406" s="56" t="n">
        <v>0</v>
      </c>
      <c r="H406" s="56" t="n">
        <v>0</v>
      </c>
      <c r="I406" s="56" t="n">
        <v>0</v>
      </c>
    </row>
    <row r="407">
      <c r="B407" s="54" t="inlineStr">
        <is>
          <t>Books periodicals</t>
        </is>
      </c>
      <c r="C407" s="55" t="inlineStr">
        <is>
          <t>BooksPeriodicals</t>
        </is>
      </c>
      <c r="D407" s="56" t="n">
        <v>14000000</v>
      </c>
      <c r="E407" s="56" t="n">
        <v>0</v>
      </c>
      <c r="F407" s="56" t="n">
        <v>21000000</v>
      </c>
      <c r="G407" s="56" t="n">
        <v>26000000</v>
      </c>
      <c r="H407" s="56" t="n">
        <v>14000000</v>
      </c>
      <c r="I407" s="56" t="n">
        <v>17000000</v>
      </c>
    </row>
    <row r="408">
      <c r="B408" s="54" t="inlineStr">
        <is>
          <t>Advertising promotional expenses</t>
        </is>
      </c>
      <c r="C408" s="55" t="inlineStr">
        <is>
          <t>AdvertisingPromotionalExpenses</t>
        </is>
      </c>
      <c r="D408" s="56" t="n">
        <v>196000000</v>
      </c>
      <c r="E408" s="56" t="n">
        <v>222000000</v>
      </c>
      <c r="F408" s="56" t="n">
        <v>219000000</v>
      </c>
      <c r="G408" s="56" t="n">
        <v>304000000</v>
      </c>
      <c r="H408" s="56" t="n">
        <v>124000000</v>
      </c>
      <c r="I408" s="56" t="n">
        <v>274000000</v>
      </c>
    </row>
    <row r="409">
      <c r="B409" s="54" t="inlineStr">
        <is>
          <t>Commission paid other selling agents</t>
        </is>
      </c>
      <c r="C409" s="55" t="inlineStr">
        <is>
          <t>CommissionPaidOtherSellingAgents</t>
        </is>
      </c>
      <c r="D409" s="56" t="n">
        <v>0</v>
      </c>
      <c r="E409" s="56" t="n">
        <v>0</v>
      </c>
      <c r="F409" s="56" t="n">
        <v>0</v>
      </c>
      <c r="G409" s="56" t="n">
        <v>27000000</v>
      </c>
      <c r="H409" s="56" t="n">
        <v>45000000</v>
      </c>
      <c r="I409" s="56" t="n">
        <v>38000000</v>
      </c>
    </row>
    <row r="410">
      <c r="B410" s="54" t="inlineStr">
        <is>
          <t>Cost repairs maintenance other assets</t>
        </is>
      </c>
      <c r="C410" s="55" t="inlineStr">
        <is>
          <t>CostRepairsMaintenanceOtherAssets</t>
        </is>
      </c>
      <c r="D410" s="56" t="n">
        <v>478000000</v>
      </c>
      <c r="E410" s="56" t="n">
        <v>815000000</v>
      </c>
      <c r="F410" s="56" t="n">
        <v>885000000</v>
      </c>
      <c r="G410" s="56" t="n">
        <v>1135000000</v>
      </c>
      <c r="H410" s="56" t="n">
        <v>970000000</v>
      </c>
      <c r="I410" s="56" t="n">
        <v>883000000</v>
      </c>
    </row>
    <row r="411">
      <c r="B411" s="59" t="inlineStr">
        <is>
          <t>Net provisions charged [Abstract]</t>
        </is>
      </c>
    </row>
    <row r="412">
      <c r="B412" s="62" t="inlineStr">
        <is>
          <t>Other provisions created</t>
        </is>
      </c>
      <c r="C412" s="55" t="inlineStr">
        <is>
          <t>OtherProvisionsCreated</t>
        </is>
      </c>
      <c r="D412" s="56" t="n">
        <v>15000000</v>
      </c>
      <c r="E412" s="56" t="n">
        <v>0</v>
      </c>
      <c r="F412" s="56" t="n">
        <v>253000000</v>
      </c>
      <c r="G412" s="56" t="n">
        <v>0</v>
      </c>
      <c r="H412" s="56" t="n">
        <v>0</v>
      </c>
      <c r="I412" s="56" t="n">
        <v>0</v>
      </c>
    </row>
    <row r="413">
      <c r="B413" s="67" t="inlineStr">
        <is>
          <t>Total net provisions charged</t>
        </is>
      </c>
      <c r="C413" s="55" t="inlineStr">
        <is>
          <t>NetProvisionsCharged</t>
        </is>
      </c>
      <c r="D413" s="58" t="n">
        <v>15000000</v>
      </c>
      <c r="E413" s="58" t="n">
        <v>0</v>
      </c>
      <c r="F413" s="58" t="n">
        <v>253000000</v>
      </c>
      <c r="G413" s="58" t="n">
        <v>0</v>
      </c>
      <c r="H413" s="58" t="n">
        <v>0</v>
      </c>
      <c r="I413" s="58" t="n">
        <v>0</v>
      </c>
    </row>
    <row r="414">
      <c r="B414" s="54" t="inlineStr">
        <is>
          <t>Loss on disposal, discard, demolishment and destruction of depreciable property plant and equipment</t>
        </is>
      </c>
      <c r="C414" s="55" t="inlineStr">
        <is>
          <t>LossOnDisposalDiscardDemolishmentAndDestructionOfDepreciablePropertyPlantAndEquipment</t>
        </is>
      </c>
      <c r="D414" s="56" t="n">
        <v>15000000</v>
      </c>
      <c r="E414" s="56" t="n">
        <v>0</v>
      </c>
      <c r="F414" s="56" t="n">
        <v>0</v>
      </c>
      <c r="G414" s="56" t="n">
        <v>0</v>
      </c>
      <c r="H414" s="56" t="n">
        <v>0</v>
      </c>
      <c r="I414" s="56" t="n">
        <v>0</v>
      </c>
    </row>
    <row r="415">
      <c r="B415" s="59" t="inlineStr">
        <is>
          <t>Payments to auditor [Abstract]</t>
        </is>
      </c>
    </row>
    <row r="416">
      <c r="B416" s="62" t="inlineStr">
        <is>
          <t>Payment for audit services</t>
        </is>
      </c>
      <c r="C416" s="55" t="inlineStr">
        <is>
          <t>PaymentForAuditServices</t>
        </is>
      </c>
      <c r="D416" s="56" t="n">
        <v>0</v>
      </c>
      <c r="E416" s="56" t="n">
        <v>0</v>
      </c>
      <c r="F416" s="56" t="n">
        <v>2000000</v>
      </c>
      <c r="G416" s="56" t="n">
        <v>0</v>
      </c>
      <c r="H416" s="56" t="n">
        <v>0</v>
      </c>
      <c r="I416" s="56" t="n">
        <v>0</v>
      </c>
    </row>
    <row r="417">
      <c r="B417" s="62" t="inlineStr">
        <is>
          <t>Payment for taxation matters</t>
        </is>
      </c>
      <c r="C417" s="55" t="inlineStr">
        <is>
          <t>PaymentForTaxationMatters</t>
        </is>
      </c>
      <c r="D417" s="56" t="n">
        <v>0</v>
      </c>
      <c r="E417" s="56" t="n">
        <v>0</v>
      </c>
      <c r="F417" s="56" t="n">
        <v>1000000</v>
      </c>
      <c r="G417" s="56" t="n">
        <v>0</v>
      </c>
      <c r="H417" s="56" t="n">
        <v>0</v>
      </c>
      <c r="I417" s="56" t="n">
        <v>0</v>
      </c>
    </row>
    <row r="418">
      <c r="B418" s="62" t="inlineStr">
        <is>
          <t>Payment for other services</t>
        </is>
      </c>
      <c r="C418" s="55" t="inlineStr">
        <is>
          <t>PaymentForOtherServices</t>
        </is>
      </c>
      <c r="D418" s="56" t="n">
        <v>0</v>
      </c>
      <c r="E418" s="56" t="n">
        <v>0</v>
      </c>
      <c r="F418" s="56" t="n">
        <v>2000000</v>
      </c>
      <c r="G418" s="56" t="n">
        <v>0</v>
      </c>
      <c r="H418" s="56" t="n">
        <v>0</v>
      </c>
      <c r="I418" s="56" t="n">
        <v>0</v>
      </c>
    </row>
    <row r="419">
      <c r="B419" s="67" t="inlineStr">
        <is>
          <t>Total payments to auditor</t>
        </is>
      </c>
      <c r="C419" s="55" t="inlineStr">
        <is>
          <t>PaymentsToAuditor</t>
        </is>
      </c>
      <c r="D419" s="58" t="n">
        <v>0</v>
      </c>
      <c r="E419" s="58" t="n">
        <v>0</v>
      </c>
      <c r="F419" s="58" t="n">
        <v>5000000</v>
      </c>
      <c r="G419" s="58" t="n">
        <v>0</v>
      </c>
      <c r="H419" s="58" t="n">
        <v>0</v>
      </c>
      <c r="I419" s="58" t="n">
        <v>0</v>
      </c>
    </row>
    <row r="420">
      <c r="B420" s="54" t="inlineStr">
        <is>
          <t>Corporate social responsibility expenditure</t>
        </is>
      </c>
      <c r="C420" s="55" t="inlineStr">
        <is>
          <t>CSRExpenditure</t>
        </is>
      </c>
      <c r="D420" s="56" t="n">
        <v>0</v>
      </c>
      <c r="E420" s="56" t="n">
        <v>0</v>
      </c>
      <c r="F420" s="56" t="n">
        <v>223850000</v>
      </c>
      <c r="G420" s="56" t="n">
        <v>460000000</v>
      </c>
      <c r="H420" s="56" t="n">
        <v>141000000</v>
      </c>
      <c r="I420" s="56" t="n">
        <v>383000000</v>
      </c>
    </row>
    <row r="421">
      <c r="B421" s="54" t="inlineStr">
        <is>
          <t>Miscellaneous expenses</t>
        </is>
      </c>
      <c r="C421" s="55" t="inlineStr">
        <is>
          <t>MiscellaneousExpenses</t>
        </is>
      </c>
      <c r="D421" s="56" t="n">
        <v>550000000</v>
      </c>
      <c r="E421" s="56" t="n">
        <v>2259000000</v>
      </c>
      <c r="F421" s="56" t="n">
        <v>436150000</v>
      </c>
      <c r="G421" s="56" t="n">
        <v>784000000</v>
      </c>
      <c r="H421" s="56" t="n">
        <v>697000000</v>
      </c>
      <c r="I421" s="56" t="n">
        <v>887000000</v>
      </c>
    </row>
    <row r="422">
      <c r="B422" s="57" t="inlineStr">
        <is>
          <t>Total other expenses</t>
        </is>
      </c>
      <c r="C422" s="55" t="inlineStr">
        <is>
          <t>OtherExpenses</t>
        </is>
      </c>
      <c r="D422" s="58" t="n">
        <v>14949000000</v>
      </c>
      <c r="E422" s="58" t="n">
        <v>17902000000</v>
      </c>
      <c r="F422" s="58" t="n">
        <v>20957000000</v>
      </c>
      <c r="G422" s="58" t="n">
        <v>23327000000</v>
      </c>
      <c r="H422" s="58" t="n">
        <v>22158000000</v>
      </c>
      <c r="I422" s="58" t="n">
        <v>29096000000</v>
      </c>
    </row>
    <row r="425" ht="15.5" customHeight="1" s="203">
      <c r="B425" s="38" t="inlineStr">
        <is>
          <t>Current tax [Abstract]</t>
        </is>
      </c>
    </row>
    <row r="426">
      <c r="B426" s="54" t="inlineStr">
        <is>
          <t>Current tax pertaining to previous years</t>
        </is>
      </c>
      <c r="C426" s="55" t="inlineStr">
        <is>
          <t>CurrentTaxPertainingToPreviousYears</t>
        </is>
      </c>
      <c r="D426" s="56" t="n">
        <v>0</v>
      </c>
      <c r="E426" s="56" t="n">
        <v>-100000000</v>
      </c>
      <c r="F426" s="56" t="n">
        <v>-4000000</v>
      </c>
      <c r="G426" s="56" t="n">
        <v>78000000</v>
      </c>
      <c r="H426" s="56" t="n">
        <v>-46000000</v>
      </c>
      <c r="I426" s="56" t="n">
        <v>66000000</v>
      </c>
    </row>
    <row r="427">
      <c r="B427" s="54" t="inlineStr">
        <is>
          <t>Current tax pertaining to current year</t>
        </is>
      </c>
      <c r="C427" s="55" t="inlineStr">
        <is>
          <t>CurrentTaxPertainingToCurrentYear</t>
        </is>
      </c>
      <c r="D427" s="56" t="n">
        <v>3181000000</v>
      </c>
      <c r="E427" s="56" t="n">
        <v>3754000000</v>
      </c>
      <c r="F427" s="56" t="n">
        <v>4879000000</v>
      </c>
      <c r="G427" s="56" t="n">
        <v>3835000000</v>
      </c>
      <c r="H427" s="56" t="n">
        <v>6360000000</v>
      </c>
      <c r="I427" s="56" t="n">
        <v>8115000000</v>
      </c>
    </row>
    <row r="428">
      <c r="B428" s="57" t="inlineStr">
        <is>
          <t>Total current tax</t>
        </is>
      </c>
      <c r="C428" s="55" t="inlineStr">
        <is>
          <t>CurrentTax</t>
        </is>
      </c>
      <c r="D428" s="58" t="n">
        <v>3181000000</v>
      </c>
      <c r="E428" s="58" t="n">
        <v>3654000000</v>
      </c>
      <c r="F428" s="58" t="n">
        <v>4875000000</v>
      </c>
      <c r="G428" s="58" t="n">
        <v>3913000000</v>
      </c>
      <c r="H428" s="58" t="n">
        <v>6314000000</v>
      </c>
      <c r="I428" s="58" t="n">
        <v>8181000000</v>
      </c>
    </row>
    <row r="431" ht="15.5" customHeight="1" s="203">
      <c r="B431" s="38" t="inlineStr">
        <is>
          <t>Additional Items (Taxonomy Vintage 2017-03-31)</t>
        </is>
      </c>
    </row>
    <row r="432">
      <c r="B432" s="54" t="inlineStr">
        <is>
          <t>Hire charges assets contracts</t>
        </is>
      </c>
      <c r="C432" s="55" t="inlineStr">
        <is>
          <t>HireChargesAssetsContracts</t>
        </is>
      </c>
      <c r="D432" s="56" t="n">
        <v>13000000</v>
      </c>
      <c r="E432" s="56" t="n">
        <v>0</v>
      </c>
      <c r="F432" s="56" t="n">
        <v>0</v>
      </c>
      <c r="G432" s="56" t="n">
        <v>0</v>
      </c>
      <c r="H432" s="56" t="n">
        <v>0</v>
      </c>
      <c r="I432" s="56" t="n">
        <v>0</v>
      </c>
    </row>
    <row r="433">
      <c r="B433" s="57" t="inlineStr">
        <is>
          <t>Total contract cost</t>
        </is>
      </c>
      <c r="C433" s="55" t="inlineStr">
        <is>
          <t>ContractCost</t>
        </is>
      </c>
      <c r="D433" s="58" t="n">
        <v>13000000</v>
      </c>
      <c r="E433" s="58" t="n">
        <v>0</v>
      </c>
      <c r="F433" s="58" t="n">
        <v>0</v>
      </c>
      <c r="G433" s="58" t="n">
        <v>0</v>
      </c>
      <c r="H433" s="58" t="n">
        <v>0</v>
      </c>
      <c r="I433" s="58" t="n">
        <v>0</v>
      </c>
    </row>
    <row r="436" ht="15.5" customHeight="1" s="203">
      <c r="A436" t="inlineStr">
        <is>
          <t>#</t>
        </is>
      </c>
      <c r="B436" s="38" t="inlineStr">
        <is>
          <t>Notes to Balance Sheet: Additional Disclosures On Balance Sheet</t>
        </is>
      </c>
    </row>
    <row r="438">
      <c r="C438" s="53" t="inlineStr">
        <is>
          <t>Concept Tag</t>
        </is>
      </c>
      <c r="D438" s="20" t="inlineStr">
        <is>
          <t>FY2017</t>
        </is>
      </c>
      <c r="E438" s="20" t="inlineStr">
        <is>
          <t>FY2018</t>
        </is>
      </c>
      <c r="F438" s="20" t="inlineStr">
        <is>
          <t>FY2019</t>
        </is>
      </c>
      <c r="G438" s="20" t="inlineStr">
        <is>
          <t>FY2020</t>
        </is>
      </c>
      <c r="H438" s="20" t="inlineStr">
        <is>
          <t>FY2021</t>
        </is>
      </c>
      <c r="I438" s="20" t="inlineStr">
        <is>
          <t>FY2022</t>
        </is>
      </c>
    </row>
    <row r="439" ht="15.5" customHeight="1" s="203">
      <c r="B439" s="38" t="inlineStr">
        <is>
          <t>Additional balance sheet notes [Abstract]</t>
        </is>
      </c>
    </row>
    <row r="440">
      <c r="B440" s="59" t="inlineStr">
        <is>
          <t>Contingent liabilities and commitments [Abstract]</t>
        </is>
      </c>
    </row>
    <row r="441">
      <c r="B441" s="60" t="inlineStr">
        <is>
          <t>Classification of contingent liabilities [Abstract]</t>
        </is>
      </c>
    </row>
    <row r="442">
      <c r="B442" s="61" t="inlineStr">
        <is>
          <t>Guarantees</t>
        </is>
      </c>
      <c r="C442" s="55" t="inlineStr">
        <is>
          <t>Guarantees</t>
        </is>
      </c>
      <c r="D442" s="56" t="n">
        <v>3726000000</v>
      </c>
      <c r="E442" s="56" t="n">
        <v>3546000000</v>
      </c>
      <c r="F442" s="56" t="n">
        <v>3608000000</v>
      </c>
      <c r="G442" s="56" t="n">
        <v>3716000000</v>
      </c>
      <c r="H442" s="56" t="n">
        <v>0</v>
      </c>
      <c r="I442" s="56" t="n">
        <v>764000000</v>
      </c>
    </row>
    <row r="443">
      <c r="B443" s="61" t="inlineStr">
        <is>
          <t>Other money for which company is contingently liable</t>
        </is>
      </c>
      <c r="C443" s="55" t="inlineStr">
        <is>
          <t>OtherMoneyForWhichCompanyIsContingentlyLiable</t>
        </is>
      </c>
      <c r="D443" s="56" t="n">
        <v>2052000000</v>
      </c>
      <c r="E443" s="56" t="n">
        <v>2483000000</v>
      </c>
      <c r="F443" s="56" t="n">
        <v>2504000000</v>
      </c>
      <c r="G443" s="56" t="n">
        <v>2874000000</v>
      </c>
      <c r="H443" s="56" t="n">
        <v>3055000000</v>
      </c>
      <c r="I443" s="56" t="n">
        <v>3039000000</v>
      </c>
    </row>
    <row r="444">
      <c r="B444" s="65" t="inlineStr">
        <is>
          <t>Total contingent liabilities</t>
        </is>
      </c>
      <c r="C444" s="55" t="inlineStr">
        <is>
          <t>ContingentLiabilities</t>
        </is>
      </c>
      <c r="D444" s="58" t="n">
        <v>5778000000</v>
      </c>
      <c r="E444" s="58" t="n">
        <v>6029000000</v>
      </c>
      <c r="F444" s="58" t="n">
        <v>6112000000</v>
      </c>
      <c r="G444" s="58" t="n">
        <v>6590000000</v>
      </c>
      <c r="H444" s="58" t="n">
        <v>3055000000</v>
      </c>
      <c r="I444" s="58" t="n">
        <v>3803000000</v>
      </c>
    </row>
    <row r="445">
      <c r="B445" s="60" t="inlineStr">
        <is>
          <t>Classification of commitments [Abstract]</t>
        </is>
      </c>
    </row>
    <row r="446">
      <c r="B446" s="61" t="inlineStr">
        <is>
          <t>Estimated amount of contracts remaining to be executed on capital account and not provided for</t>
        </is>
      </c>
      <c r="C446" s="55" t="inlineStr">
        <is>
          <t>EstimatedAmountOfContractsRemainingToBeExecutedOnCapitalAccountAndNotProvidedFor</t>
        </is>
      </c>
      <c r="D446" s="56" t="n">
        <v>151000000</v>
      </c>
      <c r="E446" s="56" t="n">
        <v>178000000</v>
      </c>
      <c r="F446" s="56" t="n">
        <v>49000000</v>
      </c>
      <c r="G446" s="56" t="n">
        <v>419000000</v>
      </c>
      <c r="H446" s="56" t="n">
        <v>118000000</v>
      </c>
      <c r="I446" s="56" t="n">
        <v>4048000000</v>
      </c>
    </row>
    <row r="447">
      <c r="B447" s="65" t="inlineStr">
        <is>
          <t>Total commitments</t>
        </is>
      </c>
      <c r="C447" s="55" t="inlineStr">
        <is>
          <t>Commitments</t>
        </is>
      </c>
      <c r="D447" s="58" t="n">
        <v>151000000</v>
      </c>
      <c r="E447" s="58" t="n">
        <v>178000000</v>
      </c>
      <c r="F447" s="58" t="n">
        <v>49000000</v>
      </c>
      <c r="G447" s="58" t="n">
        <v>419000000</v>
      </c>
      <c r="H447" s="58" t="n">
        <v>118000000</v>
      </c>
      <c r="I447" s="58" t="n">
        <v>4048000000</v>
      </c>
    </row>
    <row r="448">
      <c r="B448" s="67" t="inlineStr">
        <is>
          <t>Total contingent liabilities and commitments</t>
        </is>
      </c>
      <c r="C448" s="55" t="inlineStr">
        <is>
          <t>ContingentLiabilitiesAndCommitments</t>
        </is>
      </c>
      <c r="D448" s="58" t="n">
        <v>5929000000</v>
      </c>
      <c r="E448" s="58" t="n">
        <v>6207000000</v>
      </c>
      <c r="F448" s="58" t="n">
        <v>6161000000</v>
      </c>
      <c r="G448" s="58" t="n">
        <v>7009000000</v>
      </c>
      <c r="H448" s="58" t="n">
        <v>3173000000</v>
      </c>
      <c r="I448" s="58" t="n">
        <v>7851000000</v>
      </c>
    </row>
    <row r="449">
      <c r="B449" s="59" t="inlineStr">
        <is>
          <t>Details regarding dividends [Abstract]</t>
        </is>
      </c>
    </row>
    <row r="450">
      <c r="B450" s="62" t="inlineStr">
        <is>
          <t>Amount of dividends proposed to be distributed to equity shareholders</t>
        </is>
      </c>
      <c r="C450" s="55" t="inlineStr">
        <is>
          <t>AmountOfDividendsProposedToBeDistributedToEquityShareholders</t>
        </is>
      </c>
      <c r="D450" s="56" t="n">
        <v>0</v>
      </c>
      <c r="E450" s="56" t="n">
        <v>0</v>
      </c>
      <c r="F450" s="56" t="n">
        <v>2689000000</v>
      </c>
      <c r="G450" s="56" t="n">
        <v>2699000000</v>
      </c>
      <c r="H450" s="56" t="n">
        <v>4369000000</v>
      </c>
      <c r="I450" s="56" t="n">
        <v>5260000000</v>
      </c>
    </row>
    <row r="451">
      <c r="B451" s="62" t="inlineStr">
        <is>
          <t>Amount of per share dividend proposed to be distributed to equity shareholders</t>
        </is>
      </c>
      <c r="C451" s="55" t="inlineStr">
        <is>
          <t>AmountOfPerShareDividendProposedToBeDistributedToEquityShareholders</t>
        </is>
      </c>
      <c r="D451" s="56" t="n">
        <v>0</v>
      </c>
      <c r="E451" s="56" t="n">
        <v>0</v>
      </c>
      <c r="F451" s="56" t="n">
        <v>15.5</v>
      </c>
      <c r="G451" s="56" t="n">
        <v>15.5</v>
      </c>
      <c r="H451" s="56" t="n">
        <v>25</v>
      </c>
      <c r="I451" s="56" t="n">
        <v>30</v>
      </c>
    </row>
    <row r="452">
      <c r="B452" s="59" t="inlineStr">
        <is>
          <t>Details of acquisition and disposal of investments [Abstract]</t>
        </is>
      </c>
    </row>
    <row r="453">
      <c r="B453" s="62" t="inlineStr">
        <is>
          <t>Investment in subsidiary companies</t>
        </is>
      </c>
      <c r="C453" s="55" t="inlineStr">
        <is>
          <t>InvestmentInSubsidiaryCompanies</t>
        </is>
      </c>
      <c r="D453" s="56" t="n">
        <v>0</v>
      </c>
      <c r="E453" s="56" t="n">
        <v>0</v>
      </c>
      <c r="F453" s="56" t="n">
        <v>5197000000</v>
      </c>
      <c r="G453" s="56" t="n">
        <v>0</v>
      </c>
      <c r="H453" s="56" t="n">
        <v>0</v>
      </c>
      <c r="I453" s="56" t="n">
        <v>0</v>
      </c>
    </row>
    <row r="454">
      <c r="B454" s="59" t="inlineStr">
        <is>
          <t>Additional regulatory information [Abstract]</t>
        </is>
      </c>
    </row>
    <row r="455">
      <c r="B455" s="71" t="inlineStr">
        <is>
          <t>Capital work-in-progress</t>
        </is>
      </c>
      <c r="C455" s="55" t="inlineStr">
        <is>
          <t>CapitalWorkInProgress</t>
        </is>
      </c>
      <c r="D455" s="56" t="n">
        <v>9000000</v>
      </c>
      <c r="E455" s="56" t="n">
        <v>10000000</v>
      </c>
      <c r="F455" s="56" t="n">
        <v>32000000</v>
      </c>
      <c r="G455" s="56" t="n">
        <v>8074000000</v>
      </c>
      <c r="H455" s="56" t="n">
        <v>6624000000</v>
      </c>
      <c r="I455" s="56" t="n">
        <v>10765000000</v>
      </c>
    </row>
    <row r="456">
      <c r="B456" s="71" t="inlineStr">
        <is>
          <t>Intangible assets under development</t>
        </is>
      </c>
      <c r="C456" s="55" t="inlineStr">
        <is>
          <t>IntangibleAssetsUnderDevelopment</t>
        </is>
      </c>
      <c r="D456" s="56" t="n">
        <v>4000000</v>
      </c>
      <c r="E456" s="56" t="n">
        <v>58000000</v>
      </c>
      <c r="F456" s="56" t="n">
        <v>83000000</v>
      </c>
      <c r="G456" s="56" t="n">
        <v>210000000</v>
      </c>
      <c r="H456" s="56" t="n">
        <v>259000000</v>
      </c>
      <c r="I456" s="56" t="n">
        <v>439000000</v>
      </c>
    </row>
    <row r="461" ht="15.5" customHeight="1" s="203">
      <c r="A461" t="inlineStr">
        <is>
          <t>#</t>
        </is>
      </c>
      <c r="B461" s="38" t="inlineStr">
        <is>
          <t>Notes to Balance Sheet: Current Investments</t>
        </is>
      </c>
    </row>
    <row r="463">
      <c r="C463" s="53" t="inlineStr">
        <is>
          <t>Concept Tag</t>
        </is>
      </c>
      <c r="D463" s="20" t="inlineStr">
        <is>
          <t>FY2017</t>
        </is>
      </c>
      <c r="E463" s="20" t="inlineStr">
        <is>
          <t>FY2018</t>
        </is>
      </c>
      <c r="F463" s="20" t="inlineStr">
        <is>
          <t>FY2019</t>
        </is>
      </c>
      <c r="G463" s="20" t="inlineStr">
        <is>
          <t>FY2020</t>
        </is>
      </c>
      <c r="H463" s="20" t="inlineStr">
        <is>
          <t>FY2021</t>
        </is>
      </c>
      <c r="I463" s="20" t="inlineStr">
        <is>
          <t>FY2022</t>
        </is>
      </c>
    </row>
    <row r="464" ht="15.5" customHeight="1" s="203">
      <c r="B464" s="38" t="inlineStr">
        <is>
          <t>Current investments [Abstract]</t>
        </is>
      </c>
    </row>
    <row r="465">
      <c r="B465" s="59" t="inlineStr">
        <is>
          <t>Disclosure of details of current investments [Abstract]</t>
        </is>
      </c>
    </row>
    <row r="466">
      <c r="B466" s="60" t="inlineStr">
        <is>
          <t>Details of current investments [Line items]</t>
        </is>
      </c>
    </row>
    <row r="467">
      <c r="B467" s="61" t="inlineStr">
        <is>
          <t>Current investments</t>
        </is>
      </c>
      <c r="C467" s="55" t="inlineStr">
        <is>
          <t>CurrentInvestments</t>
        </is>
      </c>
      <c r="D467" s="56" t="n">
        <v>9406000000</v>
      </c>
      <c r="E467" s="56" t="n">
        <v>12643000000</v>
      </c>
      <c r="F467" s="56" t="n">
        <v>17402000000</v>
      </c>
      <c r="G467" s="56" t="n">
        <v>22186000000</v>
      </c>
      <c r="H467" s="56" t="n">
        <v>36282000000</v>
      </c>
      <c r="I467" s="56" t="n">
        <v>31366000000</v>
      </c>
    </row>
    <row r="468">
      <c r="B468" s="54" t="inlineStr">
        <is>
          <t>Aggregate amount of quoted current investments</t>
        </is>
      </c>
      <c r="C468" s="55" t="inlineStr">
        <is>
          <t>AggregateAmountOfQuotedCurrentInvestments</t>
        </is>
      </c>
      <c r="D468" s="56" t="n">
        <v>0</v>
      </c>
      <c r="E468" s="56" t="n">
        <v>0</v>
      </c>
      <c r="F468" s="56" t="n">
        <v>0</v>
      </c>
      <c r="G468" s="56" t="n">
        <v>21164000000</v>
      </c>
      <c r="H468" s="56" t="n">
        <v>33262000000</v>
      </c>
      <c r="I468" s="56" t="n">
        <v>28566000000</v>
      </c>
    </row>
    <row r="469">
      <c r="B469" s="54" t="inlineStr">
        <is>
          <t>Market value of quoted current investments</t>
        </is>
      </c>
      <c r="C469" s="55" t="inlineStr">
        <is>
          <t>MarketValueOfQuotedCurrentInvestments</t>
        </is>
      </c>
      <c r="D469" s="56" t="n">
        <v>0</v>
      </c>
      <c r="E469" s="56" t="n">
        <v>0</v>
      </c>
      <c r="F469" s="56" t="n">
        <v>0</v>
      </c>
      <c r="G469" s="56" t="n">
        <v>0</v>
      </c>
      <c r="H469" s="56" t="n">
        <v>0</v>
      </c>
      <c r="I469" s="56" t="n">
        <v>28541000000</v>
      </c>
    </row>
    <row r="470">
      <c r="B470" s="54" t="inlineStr">
        <is>
          <t>Aggregate amount of unquoted current investments</t>
        </is>
      </c>
      <c r="C470" s="55" t="inlineStr">
        <is>
          <t>AggregateAmountOfUnquotedCurrentInvestments</t>
        </is>
      </c>
      <c r="D470" s="56" t="n">
        <v>9406000000</v>
      </c>
      <c r="E470" s="56" t="n">
        <v>12643000000</v>
      </c>
      <c r="F470" s="56" t="n">
        <v>17402000000</v>
      </c>
      <c r="G470" s="56" t="n">
        <v>1022000000</v>
      </c>
      <c r="H470" s="56" t="n">
        <v>3020000000</v>
      </c>
      <c r="I470" s="56" t="n">
        <v>2800000000</v>
      </c>
    </row>
    <row r="473" ht="15.5" customHeight="1" s="203">
      <c r="A473" t="inlineStr">
        <is>
          <t>#</t>
        </is>
      </c>
      <c r="B473" s="38" t="inlineStr">
        <is>
          <t>Notes to Balance Sheet: Equity Share Capital</t>
        </is>
      </c>
    </row>
    <row r="475">
      <c r="C475" s="53" t="inlineStr">
        <is>
          <t>Concept Tag</t>
        </is>
      </c>
      <c r="D475" s="20" t="inlineStr">
        <is>
          <t>FY2017</t>
        </is>
      </c>
      <c r="E475" s="20" t="inlineStr">
        <is>
          <t>FY2018</t>
        </is>
      </c>
      <c r="F475" s="20" t="inlineStr">
        <is>
          <t>FY2019</t>
        </is>
      </c>
      <c r="G475" s="20" t="inlineStr">
        <is>
          <t>FY2020</t>
        </is>
      </c>
      <c r="H475" s="20" t="inlineStr">
        <is>
          <t>FY2021</t>
        </is>
      </c>
      <c r="I475" s="20" t="inlineStr">
        <is>
          <t>FY2022</t>
        </is>
      </c>
    </row>
    <row r="476" ht="15.5" customHeight="1" s="203">
      <c r="B476" s="38" t="inlineStr">
        <is>
          <t>Disclosure of classes of equity share capital [Abstract]</t>
        </is>
      </c>
    </row>
    <row r="477">
      <c r="B477" s="59" t="inlineStr">
        <is>
          <t>Disclosure of classes of equity share capital [Line items]</t>
        </is>
      </c>
    </row>
    <row r="478">
      <c r="B478" s="62" t="inlineStr">
        <is>
          <t>Number of shares authorised</t>
        </is>
      </c>
      <c r="C478" s="55" t="inlineStr">
        <is>
          <t>NumberOfSharesAuthorised</t>
        </is>
      </c>
      <c r="D478" s="56" t="n">
        <v>240000000</v>
      </c>
      <c r="E478" s="56" t="n">
        <v>260000000</v>
      </c>
      <c r="F478" s="56" t="n">
        <v>260000000</v>
      </c>
      <c r="G478" s="56" t="n">
        <v>260000000</v>
      </c>
      <c r="H478" s="56" t="n">
        <v>260000000</v>
      </c>
      <c r="I478" s="56" t="n">
        <v>274500000</v>
      </c>
    </row>
    <row r="479">
      <c r="B479" s="62" t="inlineStr">
        <is>
          <t>Value of shares authorised</t>
        </is>
      </c>
      <c r="C479" s="55" t="inlineStr">
        <is>
          <t>ValueOfSharesAuthorised</t>
        </is>
      </c>
      <c r="D479" s="56" t="n">
        <v>240000000</v>
      </c>
      <c r="E479" s="56" t="n">
        <v>260000000</v>
      </c>
      <c r="F479" s="56" t="n">
        <v>260000000</v>
      </c>
      <c r="G479" s="56" t="n">
        <v>260000000</v>
      </c>
      <c r="H479" s="56" t="n">
        <v>260000000</v>
      </c>
      <c r="I479" s="56" t="n">
        <v>275000000</v>
      </c>
    </row>
    <row r="480">
      <c r="B480" s="62" t="inlineStr">
        <is>
          <t>Number of shares issued</t>
        </is>
      </c>
      <c r="C480" s="55" t="inlineStr">
        <is>
          <t>NumberOfSharesIssued</t>
        </is>
      </c>
      <c r="D480" s="56" t="n">
        <v>170571113</v>
      </c>
      <c r="E480" s="56" t="n">
        <v>171999263</v>
      </c>
      <c r="F480" s="56" t="n">
        <v>173510084</v>
      </c>
      <c r="G480" s="56" t="n">
        <v>174126769</v>
      </c>
      <c r="H480" s="56" t="n">
        <v>174750608</v>
      </c>
      <c r="I480" s="56" t="n">
        <v>175270156</v>
      </c>
    </row>
    <row r="481">
      <c r="B481" s="62" t="inlineStr">
        <is>
          <t>Value of shares issued</t>
        </is>
      </c>
      <c r="C481" s="55" t="inlineStr">
        <is>
          <t>ValueOfSharesIssued</t>
        </is>
      </c>
      <c r="D481" s="56" t="n">
        <v>171000000</v>
      </c>
      <c r="E481" s="56" t="n">
        <v>172000000</v>
      </c>
      <c r="F481" s="56" t="n">
        <v>174000000</v>
      </c>
      <c r="G481" s="56" t="n">
        <v>174000000</v>
      </c>
      <c r="H481" s="56" t="n">
        <v>175000000</v>
      </c>
      <c r="I481" s="56" t="n">
        <v>175000000</v>
      </c>
    </row>
    <row r="482">
      <c r="B482" s="62" t="inlineStr">
        <is>
          <t>Number of shares subscribed and fully paid</t>
        </is>
      </c>
      <c r="C482" s="55" t="inlineStr">
        <is>
          <t>NumberOfSharesSubscribedAndFullyPaid</t>
        </is>
      </c>
      <c r="D482" s="56" t="n">
        <v>170571113</v>
      </c>
      <c r="E482" s="56" t="n">
        <v>171999263</v>
      </c>
      <c r="F482" s="56" t="n">
        <v>173510084</v>
      </c>
      <c r="G482" s="56" t="n">
        <v>174126769</v>
      </c>
      <c r="H482" s="56" t="n">
        <v>174750608</v>
      </c>
      <c r="I482" s="56" t="n">
        <v>175270156</v>
      </c>
    </row>
    <row r="483">
      <c r="B483" s="62" t="inlineStr">
        <is>
          <t>Value of shares subscribed and fully paid</t>
        </is>
      </c>
      <c r="C483" s="55" t="inlineStr">
        <is>
          <t>ValueOfSharesSubscribedAndFullyPaid</t>
        </is>
      </c>
      <c r="D483" s="56" t="n">
        <v>171000000</v>
      </c>
      <c r="E483" s="56" t="n">
        <v>172000000</v>
      </c>
      <c r="F483" s="56" t="n">
        <v>174000000</v>
      </c>
      <c r="G483" s="56" t="n">
        <v>174000000</v>
      </c>
      <c r="H483" s="56" t="n">
        <v>175000000</v>
      </c>
      <c r="I483" s="56" t="n">
        <v>175000000</v>
      </c>
    </row>
    <row r="484">
      <c r="B484" s="67" t="inlineStr">
        <is>
          <t>Total number of shares subscribed</t>
        </is>
      </c>
      <c r="C484" s="55" t="inlineStr">
        <is>
          <t>NumberOfSharesSubscribed</t>
        </is>
      </c>
      <c r="D484" s="58" t="n">
        <v>170571113</v>
      </c>
      <c r="E484" s="58" t="n">
        <v>171999263</v>
      </c>
      <c r="F484" s="58" t="n">
        <v>173510084</v>
      </c>
      <c r="G484" s="58" t="n">
        <v>174126769</v>
      </c>
      <c r="H484" s="58" t="n">
        <v>174750608</v>
      </c>
      <c r="I484" s="58" t="n">
        <v>175270156</v>
      </c>
    </row>
    <row r="485">
      <c r="B485" s="67" t="inlineStr">
        <is>
          <t>Total value of shares subscribed</t>
        </is>
      </c>
      <c r="C485" s="55" t="inlineStr">
        <is>
          <t>ValueOfSharesSubscribed</t>
        </is>
      </c>
      <c r="D485" s="58" t="n">
        <v>171000000</v>
      </c>
      <c r="E485" s="58" t="n">
        <v>172000000</v>
      </c>
      <c r="F485" s="58" t="n">
        <v>174000000</v>
      </c>
      <c r="G485" s="58" t="n">
        <v>174000000</v>
      </c>
      <c r="H485" s="58" t="n">
        <v>175000000</v>
      </c>
      <c r="I485" s="58" t="n">
        <v>175000000</v>
      </c>
    </row>
    <row r="486">
      <c r="B486" s="60" t="inlineStr">
        <is>
          <t>Value of shares paid-up [Abstract]</t>
        </is>
      </c>
    </row>
    <row r="487">
      <c r="B487" s="61" t="inlineStr">
        <is>
          <t>Number of shares paid-up</t>
        </is>
      </c>
      <c r="C487" s="55" t="inlineStr">
        <is>
          <t>NumberOfSharesPaidUp</t>
        </is>
      </c>
      <c r="D487" s="56" t="n">
        <v>170571113</v>
      </c>
      <c r="E487" s="56" t="n">
        <v>171999263</v>
      </c>
      <c r="F487" s="56" t="n">
        <v>173510084</v>
      </c>
      <c r="G487" s="56" t="n">
        <v>174126769</v>
      </c>
      <c r="H487" s="56" t="n">
        <v>174750608</v>
      </c>
      <c r="I487" s="56" t="n">
        <v>175270156</v>
      </c>
    </row>
    <row r="488">
      <c r="B488" s="61" t="inlineStr">
        <is>
          <t>Value of shares called</t>
        </is>
      </c>
      <c r="C488" s="55" t="inlineStr">
        <is>
          <t>ValueOfSharesCalled</t>
        </is>
      </c>
      <c r="D488" s="56" t="n">
        <v>171000000</v>
      </c>
      <c r="E488" s="56" t="n">
        <v>172000000</v>
      </c>
      <c r="F488" s="56" t="n">
        <v>174000000</v>
      </c>
      <c r="G488" s="56" t="n">
        <v>174000000</v>
      </c>
      <c r="H488" s="56" t="n">
        <v>175000000</v>
      </c>
      <c r="I488" s="56" t="n">
        <v>175000000</v>
      </c>
    </row>
    <row r="489">
      <c r="B489" s="65" t="inlineStr">
        <is>
          <t>Value of shares paid-up</t>
        </is>
      </c>
      <c r="C489" s="55" t="inlineStr">
        <is>
          <t>ValueOfSharesPaidUp</t>
        </is>
      </c>
      <c r="D489" s="58" t="n">
        <v>171000000</v>
      </c>
      <c r="E489" s="58" t="n">
        <v>172000000</v>
      </c>
      <c r="F489" s="58" t="n">
        <v>174000000</v>
      </c>
      <c r="G489" s="58" t="n">
        <v>174000000</v>
      </c>
      <c r="H489" s="58" t="n">
        <v>175000000</v>
      </c>
      <c r="I489" s="58" t="n">
        <v>175000000</v>
      </c>
    </row>
    <row r="490">
      <c r="B490" s="60" t="inlineStr">
        <is>
          <t>Reconciliation of number of shares outstanding [Abstract]</t>
        </is>
      </c>
    </row>
    <row r="491">
      <c r="B491" s="61" t="inlineStr">
        <is>
          <t>Number of shares outstanding at end of period</t>
        </is>
      </c>
      <c r="C491" s="55" t="inlineStr">
        <is>
          <t>NumberOfSharesOutstanding</t>
        </is>
      </c>
      <c r="D491" s="56" t="n">
        <v>170571113</v>
      </c>
      <c r="E491" s="56" t="n">
        <v>171999263</v>
      </c>
      <c r="F491" s="56" t="n">
        <v>173510084</v>
      </c>
      <c r="G491" s="56" t="n">
        <v>174126769</v>
      </c>
      <c r="H491" s="56" t="n">
        <v>174750608</v>
      </c>
      <c r="I491" s="56" t="n">
        <v>175270156</v>
      </c>
    </row>
    <row r="492">
      <c r="B492" s="63" t="inlineStr">
        <is>
          <t>Changes in number of shares outstanding [Abstract]</t>
        </is>
      </c>
    </row>
    <row r="493">
      <c r="B493" s="68" t="inlineStr">
        <is>
          <t>Increase in number of shares outstanding [Abstract]</t>
        </is>
      </c>
    </row>
    <row r="494">
      <c r="B494" s="69" t="inlineStr">
        <is>
          <t>Total aggregate number of shares issued during period</t>
        </is>
      </c>
      <c r="C494" s="55" t="inlineStr">
        <is>
          <t>AggregateNumberOfSharesIssuedDuringPeriod</t>
        </is>
      </c>
      <c r="D494" s="58" t="n">
        <v>754925</v>
      </c>
      <c r="E494" s="58" t="n">
        <v>1428150</v>
      </c>
      <c r="F494" s="58" t="n">
        <v>1510821</v>
      </c>
      <c r="G494" s="58" t="n">
        <v>616685</v>
      </c>
      <c r="H494" s="58" t="n">
        <v>623839</v>
      </c>
      <c r="I494" s="58" t="n">
        <v>519548</v>
      </c>
    </row>
    <row r="495">
      <c r="B495" s="66" t="inlineStr">
        <is>
          <t>Total increase (decrease) in number of shares outstanding</t>
        </is>
      </c>
      <c r="C495" s="55" t="inlineStr">
        <is>
          <t>IncreaseDecreaseInNumberOfSharesOutstanding</t>
        </is>
      </c>
      <c r="D495" s="58" t="n">
        <v>754925</v>
      </c>
      <c r="E495" s="58" t="n">
        <v>1428150</v>
      </c>
      <c r="F495" s="58" t="n">
        <v>1510821</v>
      </c>
      <c r="G495" s="58" t="n">
        <v>616685</v>
      </c>
      <c r="H495" s="58" t="n">
        <v>623839</v>
      </c>
      <c r="I495" s="58" t="n">
        <v>519548</v>
      </c>
    </row>
    <row r="496">
      <c r="B496" s="61" t="inlineStr">
        <is>
          <t>Number of shares outstanding at end of period</t>
        </is>
      </c>
      <c r="C496" s="55" t="inlineStr">
        <is>
          <t>NumberOfSharesOutstanding</t>
        </is>
      </c>
      <c r="D496" s="56" t="n">
        <v>170571113</v>
      </c>
      <c r="E496" s="56" t="n">
        <v>171999263</v>
      </c>
      <c r="F496" s="56" t="n">
        <v>173510084</v>
      </c>
      <c r="G496" s="56" t="n">
        <v>174126769</v>
      </c>
      <c r="H496" s="56" t="n">
        <v>174750608</v>
      </c>
      <c r="I496" s="56" t="n">
        <v>175270156</v>
      </c>
    </row>
    <row r="497">
      <c r="B497" s="60" t="inlineStr">
        <is>
          <t>Reconciliation of value of shares outstanding [Abstract]</t>
        </is>
      </c>
    </row>
    <row r="498">
      <c r="B498" s="61" t="inlineStr">
        <is>
          <t>Equity share capital at end of period</t>
        </is>
      </c>
      <c r="C498" s="55" t="inlineStr">
        <is>
          <t>EquityShareCapital</t>
        </is>
      </c>
      <c r="D498" s="56" t="n">
        <v>171000000</v>
      </c>
      <c r="E498" s="56" t="n">
        <v>172000000</v>
      </c>
      <c r="F498" s="56" t="n">
        <v>174000000</v>
      </c>
      <c r="G498" s="56" t="n">
        <v>174000000</v>
      </c>
      <c r="H498" s="56" t="n">
        <v>175000000</v>
      </c>
      <c r="I498" s="56" t="n">
        <v>175000000</v>
      </c>
    </row>
    <row r="499">
      <c r="B499" s="63" t="inlineStr">
        <is>
          <t>Changes in equity share capital [Abstract]</t>
        </is>
      </c>
    </row>
    <row r="500">
      <c r="B500" s="68" t="inlineStr">
        <is>
          <t>Increase in equity share capital during period [Abstract]</t>
        </is>
      </c>
    </row>
    <row r="501">
      <c r="B501" s="71" t="inlineStr">
        <is>
          <t>Amount of other issues during period</t>
        </is>
      </c>
      <c r="C501" s="55" t="inlineStr">
        <is>
          <t>AmountOfOtherIssuesDuringPeriod</t>
        </is>
      </c>
      <c r="D501" s="56" t="n">
        <v>1000000</v>
      </c>
      <c r="E501" s="56" t="n">
        <v>1000000</v>
      </c>
      <c r="F501" s="56" t="n">
        <v>0</v>
      </c>
      <c r="G501" s="56" t="n">
        <v>0</v>
      </c>
      <c r="H501" s="56" t="n">
        <v>0</v>
      </c>
      <c r="I501" s="56" t="n">
        <v>0</v>
      </c>
    </row>
    <row r="502">
      <c r="B502" s="71" t="inlineStr">
        <is>
          <t>Amount of shares issued under employee stock option plan</t>
        </is>
      </c>
      <c r="C502" s="55" t="inlineStr">
        <is>
          <t>AmountOfSharesIssuedUnderEmployeeStockOptionPlan</t>
        </is>
      </c>
      <c r="D502" s="56" t="n">
        <v>0</v>
      </c>
      <c r="E502" s="56" t="n">
        <v>0</v>
      </c>
      <c r="F502" s="56" t="n">
        <v>2000000</v>
      </c>
      <c r="G502" s="56" t="n">
        <v>0</v>
      </c>
      <c r="H502" s="56" t="n">
        <v>1000000</v>
      </c>
      <c r="I502" s="56" t="n">
        <v>0</v>
      </c>
    </row>
    <row r="503">
      <c r="B503" s="69" t="inlineStr">
        <is>
          <t>Total aggregate amount of increase in equity share capital during period</t>
        </is>
      </c>
      <c r="C503" s="55" t="inlineStr">
        <is>
          <t>AggregateAmountOfIncreaseInEquityShareCapitalDuringPeriod</t>
        </is>
      </c>
      <c r="D503" s="58" t="n">
        <v>1000000</v>
      </c>
      <c r="E503" s="58" t="n">
        <v>1000000</v>
      </c>
      <c r="F503" s="58" t="n">
        <v>2000000</v>
      </c>
      <c r="G503" s="58" t="n">
        <v>0</v>
      </c>
      <c r="H503" s="58" t="n">
        <v>1000000</v>
      </c>
      <c r="I503" s="58" t="n">
        <v>0</v>
      </c>
    </row>
    <row r="504">
      <c r="B504" s="66" t="inlineStr">
        <is>
          <t>Total increase (decrease) in share capital</t>
        </is>
      </c>
      <c r="C504" s="55" t="inlineStr">
        <is>
          <t>IncreaseDecreaseInEquityShareCapital</t>
        </is>
      </c>
      <c r="D504" s="58" t="n">
        <v>1000000</v>
      </c>
      <c r="E504" s="58" t="n">
        <v>1000000</v>
      </c>
      <c r="F504" s="58" t="n">
        <v>2000000</v>
      </c>
      <c r="G504" s="58" t="n">
        <v>0</v>
      </c>
      <c r="H504" s="58" t="n">
        <v>1000000</v>
      </c>
      <c r="I504" s="58" t="n">
        <v>0</v>
      </c>
    </row>
    <row r="505">
      <c r="B505" s="61" t="inlineStr">
        <is>
          <t>Equity share capital at end of period</t>
        </is>
      </c>
      <c r="C505" s="55" t="inlineStr">
        <is>
          <t>EquityShareCapital</t>
        </is>
      </c>
      <c r="D505" s="56" t="n">
        <v>171000000</v>
      </c>
      <c r="E505" s="56" t="n">
        <v>172000000</v>
      </c>
      <c r="F505" s="56" t="n">
        <v>174000000</v>
      </c>
      <c r="G505" s="56" t="n">
        <v>174000000</v>
      </c>
      <c r="H505" s="56" t="n">
        <v>175000000</v>
      </c>
      <c r="I505" s="56" t="n">
        <v>175000000</v>
      </c>
    </row>
    <row r="506">
      <c r="B506" s="60" t="inlineStr">
        <is>
          <t>Shares in company held by holding company or ultimate holding company or by its subsidiaries or associates [Abstract]</t>
        </is>
      </c>
    </row>
    <row r="507">
      <c r="B507" s="61" t="inlineStr">
        <is>
          <t>Shares in company held by holding company</t>
        </is>
      </c>
      <c r="C507" s="55" t="inlineStr">
        <is>
          <t>SharesInCompanyHeldByHoldingCompany</t>
        </is>
      </c>
      <c r="D507" s="56" t="n">
        <v>143750000</v>
      </c>
      <c r="E507" s="56" t="n">
        <v>142693637</v>
      </c>
      <c r="F507" s="56" t="n">
        <v>129784034</v>
      </c>
      <c r="G507" s="56" t="n">
        <v>129784034</v>
      </c>
      <c r="H507" s="56" t="n">
        <v>129784034</v>
      </c>
      <c r="I507" s="56" t="n">
        <v>129784034</v>
      </c>
    </row>
    <row r="508">
      <c r="B508" s="65" t="inlineStr">
        <is>
          <t>Total shares in company held by holding company or ultimate holding company or by its subsidiaries or associates</t>
        </is>
      </c>
      <c r="C508" s="55" t="inlineStr">
        <is>
          <t>SharesInCompanyHeldByHoldingCompanyOrUltimateHoldingCompanyOrByItsSubsidiariesOrAssociates</t>
        </is>
      </c>
      <c r="D508" s="58" t="n">
        <v>143750000</v>
      </c>
      <c r="E508" s="58" t="n">
        <v>142693637</v>
      </c>
      <c r="F508" s="58" t="n">
        <v>129784034</v>
      </c>
      <c r="G508" s="58" t="n">
        <v>129784034</v>
      </c>
      <c r="H508" s="58" t="n">
        <v>129784034</v>
      </c>
      <c r="I508" s="58" t="n">
        <v>129784034</v>
      </c>
    </row>
    <row r="512" ht="15.5" customHeight="1" s="203">
      <c r="A512" t="inlineStr">
        <is>
          <t>#</t>
        </is>
      </c>
      <c r="B512" s="38" t="inlineStr">
        <is>
          <t>Notes to Balance Sheet: Goodwill</t>
        </is>
      </c>
    </row>
    <row r="514">
      <c r="C514" s="53" t="inlineStr">
        <is>
          <t>Concept Tag</t>
        </is>
      </c>
      <c r="D514" s="20" t="inlineStr">
        <is>
          <t>FY2017</t>
        </is>
      </c>
      <c r="E514" s="20" t="inlineStr">
        <is>
          <t>FY2018</t>
        </is>
      </c>
      <c r="F514" s="20" t="inlineStr">
        <is>
          <t>FY2019</t>
        </is>
      </c>
      <c r="G514" s="20" t="inlineStr">
        <is>
          <t>FY2020</t>
        </is>
      </c>
      <c r="H514" s="20" t="inlineStr">
        <is>
          <t>FY2021</t>
        </is>
      </c>
      <c r="I514" s="20" t="inlineStr">
        <is>
          <t>FY2022</t>
        </is>
      </c>
    </row>
    <row r="515" ht="15.5" customHeight="1" s="203">
      <c r="B515" s="38" t="inlineStr">
        <is>
          <t>Disclosure of reconciliation of changes in goodwill [Abstract]</t>
        </is>
      </c>
    </row>
    <row r="516">
      <c r="B516" s="59" t="inlineStr">
        <is>
          <t>Disclosure of reconciliation of changes in goodwill [Line items]</t>
        </is>
      </c>
    </row>
    <row r="517">
      <c r="B517" s="62" t="inlineStr">
        <is>
          <t>Goodwill at end of period</t>
        </is>
      </c>
      <c r="C517" s="55" t="inlineStr">
        <is>
          <t>Goodwill</t>
        </is>
      </c>
      <c r="D517" s="56" t="n">
        <v>993000000</v>
      </c>
      <c r="E517" s="56" t="n">
        <v>2763000000</v>
      </c>
      <c r="F517" s="56" t="n">
        <v>4947000000</v>
      </c>
      <c r="G517" s="56" t="n">
        <v>6368000000</v>
      </c>
      <c r="H517" s="56" t="n">
        <v>6574000000</v>
      </c>
      <c r="I517" s="56" t="n">
        <v>6900000000</v>
      </c>
    </row>
    <row r="518">
      <c r="B518" s="60" t="inlineStr">
        <is>
          <t>Changes in goodwill [Abstract]</t>
        </is>
      </c>
    </row>
    <row r="519">
      <c r="B519" s="61" t="inlineStr">
        <is>
          <t>Acquisitions through business combinations, goodwill</t>
        </is>
      </c>
      <c r="C519" s="55" t="inlineStr">
        <is>
          <t>AcquisitionsThroughBusinessCombinationsGoodwill</t>
        </is>
      </c>
      <c r="D519" s="56" t="n">
        <v>33000000</v>
      </c>
      <c r="E519" s="56" t="n">
        <v>0</v>
      </c>
      <c r="F519" s="56" t="n">
        <v>2208000000</v>
      </c>
      <c r="G519" s="56" t="n">
        <v>1142000000</v>
      </c>
      <c r="H519" s="56" t="n">
        <v>0</v>
      </c>
      <c r="I519" s="56" t="n">
        <v>374000000</v>
      </c>
    </row>
    <row r="520">
      <c r="B520" s="61" t="inlineStr">
        <is>
          <t>Increase (decrease) through net exchange differences, goodwill</t>
        </is>
      </c>
      <c r="C520" s="55" t="inlineStr">
        <is>
          <t>IncreaseDecreaseThroughNetExchangeDifferencesGoodwill</t>
        </is>
      </c>
      <c r="D520" s="56" t="n">
        <v>-18000000</v>
      </c>
      <c r="E520" s="56" t="n">
        <v>15000000</v>
      </c>
      <c r="F520" s="56" t="n">
        <v>-24000000</v>
      </c>
      <c r="G520" s="56" t="n">
        <v>279000000</v>
      </c>
      <c r="H520" s="56" t="n">
        <v>206000000</v>
      </c>
      <c r="I520" s="56" t="n">
        <v>-48000000</v>
      </c>
    </row>
    <row r="521">
      <c r="B521" s="63" t="inlineStr">
        <is>
          <t>Increase (decrease) through transfers and other changes, Goodwill [Abstract]</t>
        </is>
      </c>
    </row>
    <row r="522">
      <c r="B522" s="64" t="inlineStr">
        <is>
          <t>Increase (decrease) through other changes, goodwill</t>
        </is>
      </c>
      <c r="C522" s="55" t="inlineStr">
        <is>
          <t>IncreaseDecreaseThroughOtherChangesGoodwill</t>
        </is>
      </c>
      <c r="D522" s="56" t="n">
        <v>0</v>
      </c>
      <c r="E522" s="56" t="n">
        <v>1755000000</v>
      </c>
      <c r="F522" s="56" t="n">
        <v>0</v>
      </c>
      <c r="G522" s="56" t="n">
        <v>0</v>
      </c>
      <c r="H522" s="56" t="n">
        <v>0</v>
      </c>
      <c r="I522" s="56" t="n">
        <v>0</v>
      </c>
    </row>
    <row r="523">
      <c r="B523" s="66" t="inlineStr">
        <is>
          <t>Total increase (decrease) through transfers and other changes, goodwill</t>
        </is>
      </c>
      <c r="C523" s="55" t="inlineStr">
        <is>
          <t>IncreaseDecreaseThroughTransfersAndOtherChangesGoodwill</t>
        </is>
      </c>
      <c r="D523" s="58" t="n">
        <v>0</v>
      </c>
      <c r="E523" s="58" t="n">
        <v>1755000000</v>
      </c>
      <c r="F523" s="58" t="n">
        <v>0</v>
      </c>
      <c r="G523" s="58" t="n">
        <v>0</v>
      </c>
      <c r="H523" s="58" t="n">
        <v>0</v>
      </c>
      <c r="I523" s="58" t="n">
        <v>0</v>
      </c>
    </row>
    <row r="524">
      <c r="B524" s="65" t="inlineStr">
        <is>
          <t>Total increase (decrease) in goodwill</t>
        </is>
      </c>
      <c r="C524" s="55" t="inlineStr">
        <is>
          <t>ChangesInGoodwill</t>
        </is>
      </c>
      <c r="D524" s="58" t="n">
        <v>15000000</v>
      </c>
      <c r="E524" s="58" t="n">
        <v>1770000000</v>
      </c>
      <c r="F524" s="58" t="n">
        <v>2184000000</v>
      </c>
      <c r="G524" s="58" t="n">
        <v>1421000000</v>
      </c>
      <c r="H524" s="58" t="n">
        <v>206000000</v>
      </c>
      <c r="I524" s="58" t="n">
        <v>326000000</v>
      </c>
    </row>
    <row r="525">
      <c r="B525" s="62" t="inlineStr">
        <is>
          <t>Goodwill at end of period</t>
        </is>
      </c>
      <c r="C525" s="55" t="inlineStr">
        <is>
          <t>Goodwill</t>
        </is>
      </c>
      <c r="D525" s="56" t="n">
        <v>993000000</v>
      </c>
      <c r="E525" s="56" t="n">
        <v>2763000000</v>
      </c>
      <c r="F525" s="56" t="n">
        <v>4947000000</v>
      </c>
      <c r="G525" s="56" t="n">
        <v>6368000000</v>
      </c>
      <c r="H525" s="56" t="n">
        <v>6574000000</v>
      </c>
      <c r="I525" s="56" t="n">
        <v>6900000000</v>
      </c>
    </row>
    <row r="528" ht="15.5" customHeight="1" s="203">
      <c r="A528" t="inlineStr">
        <is>
          <t>#</t>
        </is>
      </c>
      <c r="B528" s="38" t="inlineStr">
        <is>
          <t>Notes to Balance Sheet: Noncurrent Investments</t>
        </is>
      </c>
    </row>
    <row r="530">
      <c r="C530" s="53" t="inlineStr">
        <is>
          <t>Concept Tag</t>
        </is>
      </c>
      <c r="D530" s="20" t="inlineStr">
        <is>
          <t>FY2017</t>
        </is>
      </c>
      <c r="E530" s="20" t="inlineStr">
        <is>
          <t>FY2018</t>
        </is>
      </c>
      <c r="F530" s="20" t="inlineStr">
        <is>
          <t>FY2019</t>
        </is>
      </c>
      <c r="G530" s="20" t="inlineStr">
        <is>
          <t>FY2020</t>
        </is>
      </c>
      <c r="H530" s="20" t="inlineStr">
        <is>
          <t>FY2021</t>
        </is>
      </c>
      <c r="I530" s="20" t="inlineStr">
        <is>
          <t>FY2022</t>
        </is>
      </c>
    </row>
    <row r="531" ht="15.5" customHeight="1" s="203">
      <c r="B531" s="38" t="inlineStr">
        <is>
          <t>Non-current investments [Abstract]</t>
        </is>
      </c>
    </row>
    <row r="532">
      <c r="B532" s="59" t="inlineStr">
        <is>
          <t>Disclosure of details of non-current investments [Abstract]</t>
        </is>
      </c>
    </row>
    <row r="533">
      <c r="B533" s="60" t="inlineStr">
        <is>
          <t>Details of non-current investments [Line items]</t>
        </is>
      </c>
    </row>
    <row r="534">
      <c r="B534" s="61" t="inlineStr">
        <is>
          <t>Non-current investments</t>
        </is>
      </c>
      <c r="C534" s="55" t="inlineStr">
        <is>
          <t>NoncurrentInvestments</t>
        </is>
      </c>
      <c r="D534" s="56" t="n">
        <v>0</v>
      </c>
      <c r="E534" s="56" t="n">
        <v>1000000</v>
      </c>
      <c r="F534" s="56" t="n">
        <v>1000000</v>
      </c>
      <c r="G534" s="56" t="n">
        <v>2000000</v>
      </c>
      <c r="H534" s="56" t="n">
        <v>1013000000</v>
      </c>
      <c r="I534" s="56" t="n">
        <v>3454000000</v>
      </c>
    </row>
    <row r="535">
      <c r="B535" s="54" t="inlineStr">
        <is>
          <t>Aggregate amount of quoted non-current investments</t>
        </is>
      </c>
      <c r="C535" s="55" t="inlineStr">
        <is>
          <t>AggregateAmountOfQuotedNoncurrentInvestments</t>
        </is>
      </c>
      <c r="D535" s="56" t="n">
        <v>0</v>
      </c>
      <c r="E535" s="56" t="n">
        <v>0</v>
      </c>
      <c r="F535" s="56" t="n">
        <v>0</v>
      </c>
      <c r="G535" s="56" t="n">
        <v>0</v>
      </c>
      <c r="H535" s="56" t="n">
        <v>1010000000</v>
      </c>
      <c r="I535" s="56" t="n">
        <v>2031000000</v>
      </c>
    </row>
    <row r="536">
      <c r="B536" s="54" t="inlineStr">
        <is>
          <t>Market value of quoted non-current investments</t>
        </is>
      </c>
      <c r="C536" s="55" t="inlineStr">
        <is>
          <t>MarketValueOfQuotedNoncurrentInvestments</t>
        </is>
      </c>
      <c r="D536" s="56" t="n">
        <v>0</v>
      </c>
      <c r="E536" s="56" t="n">
        <v>0</v>
      </c>
      <c r="F536" s="56" t="n">
        <v>0</v>
      </c>
      <c r="G536" s="56" t="n">
        <v>0</v>
      </c>
      <c r="H536" s="56" t="n">
        <v>0</v>
      </c>
      <c r="I536" s="56" t="n">
        <v>1973000000</v>
      </c>
    </row>
    <row r="537">
      <c r="B537" s="54" t="inlineStr">
        <is>
          <t>Aggregate amount of unquoted non-current investments</t>
        </is>
      </c>
      <c r="C537" s="55" t="inlineStr">
        <is>
          <t>AggregateAmountOfUnquotedNoncurrentInvestments</t>
        </is>
      </c>
      <c r="D537" s="56" t="n">
        <v>0</v>
      </c>
      <c r="E537" s="56" t="n">
        <v>1000000</v>
      </c>
      <c r="F537" s="56" t="n">
        <v>1000000</v>
      </c>
      <c r="G537" s="56" t="n">
        <v>2000000</v>
      </c>
      <c r="H537" s="56" t="n">
        <v>3000000</v>
      </c>
      <c r="I537" s="56" t="n">
        <v>1423000000</v>
      </c>
    </row>
    <row r="540" ht="15.5" customHeight="1" s="203">
      <c r="A540" t="inlineStr">
        <is>
          <t>#</t>
        </is>
      </c>
      <c r="B540" s="38" t="inlineStr">
        <is>
          <t>Notes to Balance Sheet: Other Intangible Assets</t>
        </is>
      </c>
    </row>
    <row r="542">
      <c r="C542" s="53" t="inlineStr">
        <is>
          <t>Concept Tag</t>
        </is>
      </c>
      <c r="D542" s="20" t="inlineStr">
        <is>
          <t>FY2017</t>
        </is>
      </c>
      <c r="E542" s="20" t="inlineStr">
        <is>
          <t>FY2018</t>
        </is>
      </c>
      <c r="F542" s="20" t="inlineStr">
        <is>
          <t>FY2019</t>
        </is>
      </c>
      <c r="G542" s="20" t="inlineStr">
        <is>
          <t>FY2020</t>
        </is>
      </c>
      <c r="H542" s="20" t="inlineStr">
        <is>
          <t>FY2021</t>
        </is>
      </c>
      <c r="I542" s="20" t="inlineStr">
        <is>
          <t>FY2022</t>
        </is>
      </c>
    </row>
    <row r="543">
      <c r="B543" s="59" t="inlineStr">
        <is>
          <t>Disclosure of detailed information about other intangible assets [Abstract]</t>
        </is>
      </c>
    </row>
    <row r="544">
      <c r="B544" s="60" t="inlineStr">
        <is>
          <t>Disclosure of detailed information about other intangible assets [Line items]</t>
        </is>
      </c>
    </row>
    <row r="545">
      <c r="B545" s="63" t="inlineStr">
        <is>
          <t>Reconciliation of changes in other intangible assets [Abstract]</t>
        </is>
      </c>
    </row>
    <row r="546">
      <c r="B546" s="64" t="inlineStr">
        <is>
          <t>Other intangible assets at end of period</t>
        </is>
      </c>
      <c r="C546" s="55" t="inlineStr">
        <is>
          <t>OtherIntangibleAssets</t>
        </is>
      </c>
      <c r="D546" s="56" t="n">
        <v>1848000000</v>
      </c>
      <c r="E546" s="56" t="n">
        <v>1535000000</v>
      </c>
      <c r="F546" s="56" t="n">
        <v>1300000000</v>
      </c>
      <c r="G546" s="56" t="n">
        <v>1106000000</v>
      </c>
      <c r="H546" s="56" t="n">
        <v>2408000000</v>
      </c>
      <c r="I546" s="56" t="n">
        <v>2718000000</v>
      </c>
    </row>
    <row r="547">
      <c r="B547" s="68" t="inlineStr">
        <is>
          <t>Changes in Other intangible assets [Abstract]</t>
        </is>
      </c>
    </row>
    <row r="548">
      <c r="B548" s="71" t="inlineStr">
        <is>
          <t>Additions other than through business combinations</t>
        </is>
      </c>
      <c r="C548" s="55" t="inlineStr">
        <is>
          <t>AdditionsOtherThanThroughBusinessCombinationsOtherIntangibleAssets</t>
        </is>
      </c>
      <c r="D548" s="56" t="n">
        <v>386000000</v>
      </c>
      <c r="E548" s="56" t="n">
        <v>305000000</v>
      </c>
      <c r="F548" s="56" t="n">
        <v>301000000</v>
      </c>
      <c r="G548" s="56" t="n">
        <v>371000000</v>
      </c>
      <c r="H548" s="56" t="n">
        <v>2054000000</v>
      </c>
      <c r="I548" s="56" t="n">
        <v>1048000000</v>
      </c>
    </row>
    <row r="549">
      <c r="B549" s="71" t="inlineStr">
        <is>
          <t>Acquisitions through business combinations</t>
        </is>
      </c>
      <c r="C549" s="55" t="inlineStr">
        <is>
          <t>AcquisitionsThroughBusinessCombinationsOtherIntangibleAssets</t>
        </is>
      </c>
      <c r="D549" s="56" t="n">
        <v>0</v>
      </c>
      <c r="E549" s="56" t="n">
        <v>182000000</v>
      </c>
      <c r="F549" s="56" t="n">
        <v>184000000</v>
      </c>
      <c r="G549" s="56" t="n">
        <v>142000000</v>
      </c>
      <c r="H549" s="56" t="n">
        <v>0</v>
      </c>
      <c r="I549" s="56" t="n">
        <v>165000000</v>
      </c>
    </row>
    <row r="550">
      <c r="B550" s="71" t="inlineStr">
        <is>
          <t>Increase (decrease) through net exchange differences</t>
        </is>
      </c>
      <c r="C550" s="55" t="inlineStr">
        <is>
          <t>IncreaseDecreaseThroughNetExchangeDifferencesOtherIntangibleAssets</t>
        </is>
      </c>
      <c r="D550" s="56" t="n">
        <v>-232000000</v>
      </c>
      <c r="E550" s="56" t="n">
        <v>184000000</v>
      </c>
      <c r="F550" s="56" t="n">
        <v>74000000</v>
      </c>
      <c r="G550" s="56" t="n">
        <v>0</v>
      </c>
      <c r="H550" s="56" t="n">
        <v>0</v>
      </c>
      <c r="I550" s="56" t="n">
        <v>0</v>
      </c>
    </row>
    <row r="551">
      <c r="B551" s="71" t="inlineStr">
        <is>
          <t>Amortisation other intangible assets</t>
        </is>
      </c>
      <c r="C551" s="55" t="inlineStr">
        <is>
          <t>AmortisationOtherIntangibleAssets</t>
        </is>
      </c>
      <c r="D551" s="56" t="n">
        <v>-1065000000</v>
      </c>
      <c r="E551" s="56" t="n">
        <v>-857000000</v>
      </c>
      <c r="F551" s="56" t="n">
        <v>-750000000</v>
      </c>
      <c r="G551" s="56" t="n">
        <v>-750000000</v>
      </c>
      <c r="H551" s="56" t="n">
        <v>-778000000</v>
      </c>
      <c r="I551" s="56" t="n">
        <v>-950000000</v>
      </c>
    </row>
    <row r="552">
      <c r="B552" s="72" t="inlineStr">
        <is>
          <t>Increase (decrease) through transfers and other changes, other intangible assets [Abstract]</t>
        </is>
      </c>
    </row>
    <row r="553">
      <c r="B553" s="73" t="inlineStr">
        <is>
          <t>Increase (decrease) through other changes</t>
        </is>
      </c>
      <c r="C553" s="55" t="inlineStr">
        <is>
          <t>IncreaseDecreaseThroughOtherChangesOtherIntangibleAssets</t>
        </is>
      </c>
      <c r="D553" s="56" t="n">
        <v>155000000</v>
      </c>
      <c r="E553" s="56" t="n">
        <v>-126000000</v>
      </c>
      <c r="F553" s="56" t="n">
        <v>-42000000</v>
      </c>
      <c r="G553" s="56" t="n">
        <v>47000000</v>
      </c>
      <c r="H553" s="56" t="n">
        <v>30000000</v>
      </c>
      <c r="I553" s="56" t="n">
        <v>47000000</v>
      </c>
    </row>
    <row r="554">
      <c r="B554" s="74" t="inlineStr">
        <is>
          <t>Total increase (decrease) through transfers and other changes, Other intangible assets</t>
        </is>
      </c>
      <c r="C554" s="55" t="inlineStr">
        <is>
          <t>IncreaseDecreaseThroughTransfersAndOtherChangesOtherIntangibleAssets</t>
        </is>
      </c>
      <c r="D554" s="58" t="n">
        <v>155000000</v>
      </c>
      <c r="E554" s="58" t="n">
        <v>-126000000</v>
      </c>
      <c r="F554" s="58" t="n">
        <v>-42000000</v>
      </c>
      <c r="G554" s="58" t="n">
        <v>47000000</v>
      </c>
      <c r="H554" s="58" t="n">
        <v>30000000</v>
      </c>
      <c r="I554" s="58" t="n">
        <v>47000000</v>
      </c>
    </row>
    <row r="555">
      <c r="B555" s="72" t="inlineStr">
        <is>
          <t>Disposals and retirements, other intangible assets [Abstract]</t>
        </is>
      </c>
    </row>
    <row r="556">
      <c r="B556" s="73" t="inlineStr">
        <is>
          <t>Disposals</t>
        </is>
      </c>
      <c r="C556" s="55" t="inlineStr">
        <is>
          <t>DisposalsOtherIntangibleAssets</t>
        </is>
      </c>
      <c r="D556" s="56" t="n">
        <v>2000000</v>
      </c>
      <c r="E556" s="56" t="n">
        <v>1000000</v>
      </c>
      <c r="F556" s="56" t="n">
        <v>2000000</v>
      </c>
      <c r="G556" s="56" t="n">
        <v>4000000</v>
      </c>
      <c r="H556" s="56" t="n">
        <v>4000000</v>
      </c>
      <c r="I556" s="56" t="n">
        <v>0</v>
      </c>
    </row>
    <row r="557">
      <c r="B557" s="74" t="inlineStr">
        <is>
          <t>Total Disposals and retirements, Other intangible assets</t>
        </is>
      </c>
      <c r="C557" s="55" t="inlineStr">
        <is>
          <t>DisposalsAndRetirementsOtherIntangibleAssets</t>
        </is>
      </c>
      <c r="D557" s="58" t="n">
        <v>2000000</v>
      </c>
      <c r="E557" s="58" t="n">
        <v>1000000</v>
      </c>
      <c r="F557" s="58" t="n">
        <v>2000000</v>
      </c>
      <c r="G557" s="58" t="n">
        <v>4000000</v>
      </c>
      <c r="H557" s="58" t="n">
        <v>4000000</v>
      </c>
      <c r="I557" s="58" t="n">
        <v>0</v>
      </c>
    </row>
    <row r="558">
      <c r="B558" s="69" t="inlineStr">
        <is>
          <t>Total increase (decrease) in Other intangible assets</t>
        </is>
      </c>
      <c r="C558" s="55" t="inlineStr">
        <is>
          <t>ChangesInOtherIntangibleAssets</t>
        </is>
      </c>
      <c r="D558" s="58" t="n">
        <v>-758000000</v>
      </c>
      <c r="E558" s="58" t="n">
        <v>-313000000</v>
      </c>
      <c r="F558" s="58" t="n">
        <v>-235000000</v>
      </c>
      <c r="G558" s="58" t="n">
        <v>-194000000</v>
      </c>
      <c r="H558" s="58" t="n">
        <v>1302000000</v>
      </c>
      <c r="I558" s="58" t="n">
        <v>310000000</v>
      </c>
    </row>
    <row r="559">
      <c r="B559" s="64" t="inlineStr">
        <is>
          <t>Other intangible assets at end of period</t>
        </is>
      </c>
      <c r="C559" s="55" t="inlineStr">
        <is>
          <t>OtherIntangibleAssets</t>
        </is>
      </c>
      <c r="D559" s="56" t="n">
        <v>1848000000</v>
      </c>
      <c r="E559" s="56" t="n">
        <v>1535000000</v>
      </c>
      <c r="F559" s="56" t="n">
        <v>1300000000</v>
      </c>
      <c r="G559" s="56" t="n">
        <v>1106000000</v>
      </c>
      <c r="H559" s="56" t="n">
        <v>2408000000</v>
      </c>
      <c r="I559" s="56" t="n">
        <v>2718000000</v>
      </c>
    </row>
    <row r="562" ht="15.5" customHeight="1" s="203">
      <c r="A562" t="inlineStr">
        <is>
          <t>#</t>
        </is>
      </c>
      <c r="B562" s="38" t="inlineStr">
        <is>
          <t>Notes to Balance Sheet: Other Provisions Contingent Liabilities And Contingent Assets</t>
        </is>
      </c>
    </row>
    <row r="564">
      <c r="C564" s="53" t="inlineStr">
        <is>
          <t>Concept Tag</t>
        </is>
      </c>
      <c r="D564" s="20" t="inlineStr">
        <is>
          <t>FY2017</t>
        </is>
      </c>
      <c r="E564" s="20" t="inlineStr">
        <is>
          <t>FY2018</t>
        </is>
      </c>
      <c r="F564" s="20" t="inlineStr">
        <is>
          <t>FY2019</t>
        </is>
      </c>
      <c r="G564" s="20" t="inlineStr">
        <is>
          <t>FY2020</t>
        </is>
      </c>
      <c r="H564" s="20" t="inlineStr">
        <is>
          <t>FY2021</t>
        </is>
      </c>
      <c r="I564" s="20" t="inlineStr">
        <is>
          <t>FY2022</t>
        </is>
      </c>
    </row>
    <row r="565">
      <c r="B565" s="59" t="inlineStr">
        <is>
          <t>Disclosure of other provisions [Abstract]</t>
        </is>
      </c>
    </row>
    <row r="566">
      <c r="B566" s="60" t="inlineStr">
        <is>
          <t>Disclosure of other provisions [Line items]</t>
        </is>
      </c>
    </row>
    <row r="567">
      <c r="B567" s="63" t="inlineStr">
        <is>
          <t>Reconciliation of changes in other provisions [Abstract]</t>
        </is>
      </c>
    </row>
    <row r="568">
      <c r="B568" s="64" t="inlineStr">
        <is>
          <t>Other provisions at end of period</t>
        </is>
      </c>
      <c r="C568" s="55" t="inlineStr">
        <is>
          <t>OtherProvisions</t>
        </is>
      </c>
      <c r="D568" s="56" t="n">
        <v>0</v>
      </c>
      <c r="E568" s="56" t="n">
        <v>112000000</v>
      </c>
      <c r="F568" s="56" t="n">
        <v>111000000</v>
      </c>
      <c r="G568" s="56" t="n">
        <v>115000000</v>
      </c>
      <c r="H568" s="56" t="n">
        <v>113000000</v>
      </c>
      <c r="I568" s="56" t="n">
        <v>111000000</v>
      </c>
    </row>
    <row r="569">
      <c r="B569" s="68" t="inlineStr">
        <is>
          <t>Changes in other provisions [Abstract]</t>
        </is>
      </c>
    </row>
    <row r="570">
      <c r="B570" s="72" t="inlineStr">
        <is>
          <t>Additional provisions, other provisions [Abstract]</t>
        </is>
      </c>
    </row>
    <row r="571">
      <c r="B571" s="73" t="inlineStr">
        <is>
          <t>New provisions, other provisions</t>
        </is>
      </c>
      <c r="C571" s="55" t="inlineStr">
        <is>
          <t>NewProvisionsOtherProvisions</t>
        </is>
      </c>
      <c r="D571" s="56" t="n">
        <v>0</v>
      </c>
      <c r="E571" s="56" t="n">
        <v>1000000</v>
      </c>
      <c r="F571" s="56" t="n">
        <v>0</v>
      </c>
      <c r="G571" s="56" t="n">
        <v>4000000</v>
      </c>
      <c r="H571" s="56" t="n">
        <v>0</v>
      </c>
      <c r="I571" s="56" t="n">
        <v>0</v>
      </c>
    </row>
    <row r="572">
      <c r="B572" s="74" t="inlineStr">
        <is>
          <t>Total additional provisions, other provisions</t>
        </is>
      </c>
      <c r="C572" s="55" t="inlineStr">
        <is>
          <t>AdditionalProvisionsOtherProvisions</t>
        </is>
      </c>
      <c r="D572" s="58" t="n">
        <v>0</v>
      </c>
      <c r="E572" s="58" t="n">
        <v>1000000</v>
      </c>
      <c r="F572" s="58" t="n">
        <v>0</v>
      </c>
      <c r="G572" s="58" t="n">
        <v>4000000</v>
      </c>
      <c r="H572" s="58" t="n">
        <v>0</v>
      </c>
      <c r="I572" s="58" t="n">
        <v>0</v>
      </c>
    </row>
    <row r="573">
      <c r="B573" s="71" t="inlineStr">
        <is>
          <t>Provision used, other provisions</t>
        </is>
      </c>
      <c r="C573" s="55" t="inlineStr">
        <is>
          <t>ProvisionUsedOtherProvisions</t>
        </is>
      </c>
      <c r="D573" s="56" t="n">
        <v>0</v>
      </c>
      <c r="E573" s="56" t="n">
        <v>0</v>
      </c>
      <c r="F573" s="56" t="n">
        <v>1000000</v>
      </c>
      <c r="G573" s="56" t="n">
        <v>0</v>
      </c>
      <c r="H573" s="56" t="n">
        <v>0</v>
      </c>
      <c r="I573" s="56" t="n">
        <v>0</v>
      </c>
    </row>
    <row r="574">
      <c r="B574" s="71" t="inlineStr">
        <is>
          <t>Unused provision reversed, other provisions</t>
        </is>
      </c>
      <c r="C574" s="55" t="inlineStr">
        <is>
          <t>UnusedProvisionReversedOtherProvisions</t>
        </is>
      </c>
      <c r="D574" s="56" t="n">
        <v>0</v>
      </c>
      <c r="E574" s="56" t="n">
        <v>0</v>
      </c>
      <c r="F574" s="56" t="n">
        <v>0</v>
      </c>
      <c r="G574" s="56" t="n">
        <v>0</v>
      </c>
      <c r="H574" s="56" t="n">
        <v>2000000</v>
      </c>
      <c r="I574" s="56" t="n">
        <v>2000000</v>
      </c>
    </row>
    <row r="575">
      <c r="B575" s="69" t="inlineStr">
        <is>
          <t>Total changes in other provisions</t>
        </is>
      </c>
      <c r="C575" s="55" t="inlineStr">
        <is>
          <t>ChangesInOtherProvisions</t>
        </is>
      </c>
      <c r="D575" s="58" t="n">
        <v>0</v>
      </c>
      <c r="E575" s="58" t="n">
        <v>1000000</v>
      </c>
      <c r="F575" s="58" t="n">
        <v>-1000000</v>
      </c>
      <c r="G575" s="58" t="n">
        <v>4000000</v>
      </c>
      <c r="H575" s="58" t="n">
        <v>-2000000</v>
      </c>
      <c r="I575" s="58" t="n">
        <v>-2000000</v>
      </c>
    </row>
    <row r="576">
      <c r="B576" s="64" t="inlineStr">
        <is>
          <t>Other provisions at end of period</t>
        </is>
      </c>
      <c r="C576" s="55" t="inlineStr">
        <is>
          <t>OtherProvisions</t>
        </is>
      </c>
      <c r="D576" s="56" t="n">
        <v>0</v>
      </c>
      <c r="E576" s="56" t="n">
        <v>112000000</v>
      </c>
      <c r="F576" s="56" t="n">
        <v>111000000</v>
      </c>
      <c r="G576" s="56" t="n">
        <v>115000000</v>
      </c>
      <c r="H576" s="56" t="n">
        <v>113000000</v>
      </c>
      <c r="I576" s="56" t="n">
        <v>111000000</v>
      </c>
    </row>
    <row r="577">
      <c r="B577" s="59" t="inlineStr">
        <is>
          <t>Disclosure of contingent liabilities [Abstract]</t>
        </is>
      </c>
    </row>
    <row r="578">
      <c r="B578" s="60" t="inlineStr">
        <is>
          <t>Disclosure of contingent liabilities [Line items]</t>
        </is>
      </c>
    </row>
    <row r="579">
      <c r="B579" s="61" t="inlineStr">
        <is>
          <t>Estimated financial effect of contingent liabilities</t>
        </is>
      </c>
      <c r="C579" s="55" t="inlineStr">
        <is>
          <t>EstimatedFinancialEffectOfContingentLiabilities</t>
        </is>
      </c>
      <c r="D579" s="56" t="n">
        <v>5778000000</v>
      </c>
      <c r="E579" s="56" t="n">
        <v>6029000000</v>
      </c>
      <c r="F579" s="56" t="n">
        <v>6112000000</v>
      </c>
      <c r="G579" s="56" t="n">
        <v>6590000000</v>
      </c>
      <c r="H579" s="56" t="n">
        <v>3055000000</v>
      </c>
      <c r="I579" s="56" t="n">
        <v>3039000000</v>
      </c>
    </row>
    <row r="582" ht="15.5" customHeight="1" s="203">
      <c r="A582" t="inlineStr">
        <is>
          <t>#</t>
        </is>
      </c>
      <c r="B582" s="38" t="inlineStr">
        <is>
          <t>Notes to Balance Sheet: Property Plant And Equipment</t>
        </is>
      </c>
    </row>
    <row r="584">
      <c r="C584" s="53" t="inlineStr">
        <is>
          <t>Concept Tag</t>
        </is>
      </c>
      <c r="D584" s="20" t="inlineStr">
        <is>
          <t>FY2017</t>
        </is>
      </c>
      <c r="E584" s="20" t="inlineStr">
        <is>
          <t>FY2018</t>
        </is>
      </c>
      <c r="F584" s="20" t="inlineStr">
        <is>
          <t>FY2019</t>
        </is>
      </c>
      <c r="G584" s="20" t="inlineStr">
        <is>
          <t>FY2020</t>
        </is>
      </c>
      <c r="H584" s="20" t="inlineStr">
        <is>
          <t>FY2021</t>
        </is>
      </c>
      <c r="I584" s="20" t="inlineStr">
        <is>
          <t>FY2022</t>
        </is>
      </c>
    </row>
    <row r="585">
      <c r="B585" s="59" t="inlineStr">
        <is>
          <t>Disclosure of detailed information about property, plant and equipment [Abstract]</t>
        </is>
      </c>
    </row>
    <row r="586">
      <c r="B586" s="60" t="inlineStr">
        <is>
          <t>Disclosure of detailed information about property, plant and equipment [Line items]</t>
        </is>
      </c>
    </row>
    <row r="587">
      <c r="B587" s="63" t="inlineStr">
        <is>
          <t>Reconciliation of changes in property, plant and equipment [Abstract]</t>
        </is>
      </c>
    </row>
    <row r="588">
      <c r="B588" s="64" t="inlineStr">
        <is>
          <t>Property, plant and equipment at end of period</t>
        </is>
      </c>
      <c r="C588" s="55" t="inlineStr">
        <is>
          <t>PropertyPlantAndEquipment</t>
        </is>
      </c>
      <c r="D588" s="56" t="n">
        <v>2578000000</v>
      </c>
      <c r="E588" s="56" t="n">
        <v>2508000000</v>
      </c>
      <c r="F588" s="56" t="n">
        <v>3052000000</v>
      </c>
      <c r="G588" s="56" t="n">
        <v>4031000000</v>
      </c>
      <c r="H588" s="56" t="n">
        <v>3857000000</v>
      </c>
      <c r="I588" s="56" t="n">
        <v>4968000000</v>
      </c>
    </row>
    <row r="589">
      <c r="B589" s="68" t="inlineStr">
        <is>
          <t>Changes in property, plant and equipment [Abstract]</t>
        </is>
      </c>
    </row>
    <row r="590">
      <c r="B590" s="71" t="inlineStr">
        <is>
          <t>Additions other than through business combinations, property, plant and equipment</t>
        </is>
      </c>
      <c r="C590" s="55" t="inlineStr">
        <is>
          <t>AdditionsOtherThanThroughBusinessCombinationsPropertyPlantAndEquipment</t>
        </is>
      </c>
      <c r="D590" s="56" t="n">
        <v>557000000</v>
      </c>
      <c r="E590" s="56" t="n">
        <v>660000000</v>
      </c>
      <c r="F590" s="56" t="n">
        <v>1304000000</v>
      </c>
      <c r="G590" s="56" t="n">
        <v>1899000000</v>
      </c>
      <c r="H590" s="56" t="n">
        <v>1179000000</v>
      </c>
      <c r="I590" s="56" t="n">
        <v>2467000000</v>
      </c>
    </row>
    <row r="591">
      <c r="B591" s="71" t="inlineStr">
        <is>
          <t>Acquisitions through business combinations, property, plant and equipment</t>
        </is>
      </c>
      <c r="C591" s="55" t="inlineStr">
        <is>
          <t>AcquisitionsThroughBusinessCombinationsPropertyPlantAndEquipment</t>
        </is>
      </c>
      <c r="D591" s="56" t="n">
        <v>1000000</v>
      </c>
      <c r="E591" s="56" t="n">
        <v>16000000</v>
      </c>
      <c r="F591" s="56" t="n">
        <v>12000000</v>
      </c>
      <c r="G591" s="56" t="n">
        <v>4000000</v>
      </c>
      <c r="H591" s="56" t="n">
        <v>0</v>
      </c>
      <c r="I591" s="56" t="n">
        <v>8000000</v>
      </c>
    </row>
    <row r="592">
      <c r="B592" s="71" t="inlineStr">
        <is>
          <t>Increase (decrease) through net exchange differences, property, plant and equipment</t>
        </is>
      </c>
      <c r="C592" s="55" t="inlineStr">
        <is>
          <t>IncreaseDecreaseThroughNetExchangeDifferencesPropertyPlantAndEquipment</t>
        </is>
      </c>
      <c r="D592" s="56" t="n">
        <v>-12000000</v>
      </c>
      <c r="E592" s="56" t="n">
        <v>15000000</v>
      </c>
      <c r="F592" s="56" t="n">
        <v>-4000000</v>
      </c>
      <c r="G592" s="56" t="n">
        <v>0</v>
      </c>
      <c r="H592" s="56" t="n">
        <v>0</v>
      </c>
      <c r="I592" s="56" t="n">
        <v>0</v>
      </c>
    </row>
    <row r="593">
      <c r="B593" s="72" t="inlineStr">
        <is>
          <t>Depreciation, property, plant and equipment [Abstract]</t>
        </is>
      </c>
    </row>
    <row r="594">
      <c r="B594" s="73" t="inlineStr">
        <is>
          <t>Depreciation recognised in profit or loss</t>
        </is>
      </c>
      <c r="C594" s="55" t="inlineStr">
        <is>
          <t>AmortisationOfRightOfUseAssets</t>
        </is>
      </c>
      <c r="D594" s="56" t="n">
        <v>-714000000</v>
      </c>
      <c r="E594" s="56" t="n">
        <v>-705000000</v>
      </c>
      <c r="F594" s="56" t="n">
        <v>-722000000</v>
      </c>
      <c r="G594" s="56" t="n">
        <v>-888000000</v>
      </c>
      <c r="H594" s="56" t="n">
        <v>-1325000000</v>
      </c>
      <c r="I594" s="56" t="n">
        <v>-1344000000</v>
      </c>
    </row>
    <row r="595">
      <c r="B595" s="74" t="inlineStr">
        <is>
          <t>Total Depreciation property plant and equipment</t>
        </is>
      </c>
      <c r="C595" s="55" t="inlineStr">
        <is>
          <t>DepreciationPropertyPlantAndEquipment</t>
        </is>
      </c>
      <c r="D595" s="58" t="n">
        <v>-714000000</v>
      </c>
      <c r="E595" s="58" t="n">
        <v>-705000000</v>
      </c>
      <c r="F595" s="58" t="n">
        <v>-722000000</v>
      </c>
      <c r="G595" s="58" t="n">
        <v>-888000000</v>
      </c>
      <c r="H595" s="58" t="n">
        <v>-1325000000</v>
      </c>
      <c r="I595" s="58" t="n">
        <v>-1344000000</v>
      </c>
    </row>
    <row r="596">
      <c r="B596" s="72" t="inlineStr">
        <is>
          <t>Increase (decrease) through transfers and other changes, property, plant and equipment [Abstract]</t>
        </is>
      </c>
    </row>
    <row r="597">
      <c r="B597" s="73" t="inlineStr">
        <is>
          <t>Increase (decrease) through transfers, property, plant and equipment</t>
        </is>
      </c>
      <c r="C597" s="55" t="inlineStr">
        <is>
          <t>IncreaseDecreaseThroughTransfersPropertyPlantAndEquipment</t>
        </is>
      </c>
      <c r="D597" s="56" t="n">
        <v>-1000000</v>
      </c>
      <c r="E597" s="56" t="n">
        <v>0</v>
      </c>
      <c r="F597" s="56" t="n">
        <v>0</v>
      </c>
      <c r="G597" s="56" t="n">
        <v>0</v>
      </c>
      <c r="H597" s="56" t="n">
        <v>0</v>
      </c>
      <c r="I597" s="56" t="n">
        <v>0</v>
      </c>
    </row>
    <row r="598">
      <c r="B598" s="73" t="inlineStr">
        <is>
          <t>Increase (decrease) through other changes, property, plant and equipment</t>
        </is>
      </c>
      <c r="C598" s="55" t="inlineStr">
        <is>
          <t>IncreaseDecreaseThroughOtherChangesPropertyPlantAndEquipment</t>
        </is>
      </c>
      <c r="D598" s="56" t="n">
        <v>8000000</v>
      </c>
      <c r="E598" s="56" t="n">
        <v>-14000000</v>
      </c>
      <c r="F598" s="56" t="n">
        <v>-1000000</v>
      </c>
      <c r="G598" s="56" t="n">
        <v>5000000</v>
      </c>
      <c r="H598" s="56" t="n">
        <v>19000000</v>
      </c>
      <c r="I598" s="56" t="n">
        <v>6000000</v>
      </c>
    </row>
    <row r="599">
      <c r="B599" s="74" t="inlineStr">
        <is>
          <t>Total increase (decrease) through transfers and other changes, property, plant and equipment</t>
        </is>
      </c>
      <c r="C599" s="55" t="inlineStr">
        <is>
          <t>IncreaseDecreaseThroughTransfersAndOtherChangesPropertyPlantAndEquipment</t>
        </is>
      </c>
      <c r="D599" s="58" t="n">
        <v>7000000</v>
      </c>
      <c r="E599" s="58" t="n">
        <v>-14000000</v>
      </c>
      <c r="F599" s="58" t="n">
        <v>-1000000</v>
      </c>
      <c r="G599" s="58" t="n">
        <v>5000000</v>
      </c>
      <c r="H599" s="58" t="n">
        <v>19000000</v>
      </c>
      <c r="I599" s="58" t="n">
        <v>6000000</v>
      </c>
    </row>
    <row r="600">
      <c r="B600" s="72" t="inlineStr">
        <is>
          <t>Disposals and retirements, property, plant and equipment [Abstract]</t>
        </is>
      </c>
    </row>
    <row r="601">
      <c r="B601" s="73" t="inlineStr">
        <is>
          <t>Disposals, property, plant and equipment</t>
        </is>
      </c>
      <c r="C601" s="55" t="inlineStr">
        <is>
          <t>DisposalsPropertyPlantAndEquipment</t>
        </is>
      </c>
      <c r="D601" s="56" t="n">
        <v>53000000</v>
      </c>
      <c r="E601" s="56" t="n">
        <v>42000000</v>
      </c>
      <c r="F601" s="56" t="n">
        <v>45000000</v>
      </c>
      <c r="G601" s="56" t="n">
        <v>41000000</v>
      </c>
      <c r="H601" s="56" t="n">
        <v>47000000</v>
      </c>
      <c r="I601" s="56" t="n">
        <v>26000000</v>
      </c>
    </row>
    <row r="602">
      <c r="B602" s="74" t="inlineStr">
        <is>
          <t>Total disposals and retirements, property, plant and equipment</t>
        </is>
      </c>
      <c r="C602" s="55" t="inlineStr">
        <is>
          <t>DisposalsAndRetirementsPropertyPlantAndEquipment</t>
        </is>
      </c>
      <c r="D602" s="58" t="n">
        <v>53000000</v>
      </c>
      <c r="E602" s="58" t="n">
        <v>42000000</v>
      </c>
      <c r="F602" s="58" t="n">
        <v>45000000</v>
      </c>
      <c r="G602" s="58" t="n">
        <v>41000000</v>
      </c>
      <c r="H602" s="58" t="n">
        <v>47000000</v>
      </c>
      <c r="I602" s="58" t="n">
        <v>26000000</v>
      </c>
    </row>
    <row r="603">
      <c r="B603" s="69" t="inlineStr">
        <is>
          <t>Total increase (decrease) in property, plant and equipment</t>
        </is>
      </c>
      <c r="C603" s="55" t="inlineStr">
        <is>
          <t>ChangesInPropertyPlantAndEquipment</t>
        </is>
      </c>
      <c r="D603" s="58" t="n">
        <v>-214000000</v>
      </c>
      <c r="E603" s="58" t="n">
        <v>-70000000</v>
      </c>
      <c r="F603" s="58" t="n">
        <v>544000000</v>
      </c>
      <c r="G603" s="58" t="n">
        <v>979000000</v>
      </c>
      <c r="H603" s="58" t="n">
        <v>-174000000</v>
      </c>
      <c r="I603" s="58" t="n">
        <v>1111000000</v>
      </c>
    </row>
    <row r="604">
      <c r="B604" s="64" t="inlineStr">
        <is>
          <t>Property, plant and equipment at end of period</t>
        </is>
      </c>
      <c r="C604" s="55" t="inlineStr">
        <is>
          <t>PropertyPlantAndEquipment</t>
        </is>
      </c>
      <c r="D604" s="56" t="n">
        <v>2578000000</v>
      </c>
      <c r="E604" s="56" t="n">
        <v>2508000000</v>
      </c>
      <c r="F604" s="56" t="n">
        <v>3052000000</v>
      </c>
      <c r="G604" s="56" t="n">
        <v>4031000000</v>
      </c>
      <c r="H604" s="56" t="n">
        <v>3857000000</v>
      </c>
      <c r="I604" s="56" t="n">
        <v>4968000000</v>
      </c>
    </row>
    <row r="607" ht="15.5" customHeight="1" s="203">
      <c r="A607" t="inlineStr">
        <is>
          <t>#</t>
        </is>
      </c>
      <c r="B607" s="38" t="inlineStr">
        <is>
          <t>Notes to Balance Sheet: Subclassification And Notes On Liabilities And Assets</t>
        </is>
      </c>
    </row>
    <row r="609">
      <c r="C609" s="53" t="inlineStr">
        <is>
          <t>Concept Tag</t>
        </is>
      </c>
      <c r="D609" s="20" t="inlineStr">
        <is>
          <t>FY2017</t>
        </is>
      </c>
      <c r="E609" s="20" t="inlineStr">
        <is>
          <t>FY2018</t>
        </is>
      </c>
      <c r="F609" s="20" t="inlineStr">
        <is>
          <t>FY2019</t>
        </is>
      </c>
      <c r="G609" s="20" t="inlineStr">
        <is>
          <t>FY2020</t>
        </is>
      </c>
      <c r="H609" s="20" t="inlineStr">
        <is>
          <t>FY2021</t>
        </is>
      </c>
      <c r="I609" s="20" t="inlineStr">
        <is>
          <t>FY2022</t>
        </is>
      </c>
    </row>
    <row r="610" ht="15.5" customHeight="1" s="203">
      <c r="B610" s="38" t="inlineStr">
        <is>
          <t>Subclassification and notes on liabilities and assets [Abstract]</t>
        </is>
      </c>
    </row>
    <row r="611">
      <c r="B611" s="59" t="inlineStr">
        <is>
          <t>Disclosure of notes on trade receivables [Abstract]</t>
        </is>
      </c>
    </row>
    <row r="612">
      <c r="B612" s="60" t="inlineStr">
        <is>
          <t>Subclassification of trade receivables [Abstract]</t>
        </is>
      </c>
    </row>
    <row r="613">
      <c r="B613" s="63" t="inlineStr">
        <is>
          <t>Subclassification of trade receivables [Line items]</t>
        </is>
      </c>
    </row>
    <row r="614">
      <c r="B614" s="68" t="inlineStr">
        <is>
          <t>Breakup of trade receivables [Abstract]</t>
        </is>
      </c>
    </row>
    <row r="615">
      <c r="B615" s="71" t="inlineStr">
        <is>
          <t>Trade receivables, gross</t>
        </is>
      </c>
      <c r="C615" s="55" t="inlineStr">
        <is>
          <t>TradeReceivablesGross</t>
        </is>
      </c>
      <c r="D615" s="56" t="n">
        <v>0</v>
      </c>
      <c r="E615" s="56" t="n">
        <v>0</v>
      </c>
      <c r="F615" s="56" t="n">
        <v>0</v>
      </c>
      <c r="G615" s="56" t="n">
        <v>0</v>
      </c>
      <c r="H615" s="56" t="n">
        <v>0</v>
      </c>
      <c r="I615" s="56" t="n">
        <v>29100000000</v>
      </c>
    </row>
    <row r="616">
      <c r="B616" s="71" t="inlineStr">
        <is>
          <t>Allowance for bad and doubtful debts</t>
        </is>
      </c>
      <c r="C616" s="55" t="inlineStr">
        <is>
          <t>AllowanceForBadAndDoubtfulDebts</t>
        </is>
      </c>
      <c r="D616" s="56" t="n">
        <v>0</v>
      </c>
      <c r="E616" s="56" t="n">
        <v>0</v>
      </c>
      <c r="F616" s="56" t="n">
        <v>0</v>
      </c>
      <c r="G616" s="56" t="n">
        <v>0</v>
      </c>
      <c r="H616" s="56" t="n">
        <v>0</v>
      </c>
      <c r="I616" s="56" t="n">
        <v>765000000</v>
      </c>
    </row>
    <row r="617">
      <c r="B617" s="69" t="inlineStr">
        <is>
          <t>Total trade receivables</t>
        </is>
      </c>
      <c r="C617" s="55" t="inlineStr">
        <is>
          <t>TradeReceivables</t>
        </is>
      </c>
      <c r="D617" s="58" t="n">
        <v>0</v>
      </c>
      <c r="E617" s="58" t="n">
        <v>0</v>
      </c>
      <c r="F617" s="58" t="n">
        <v>0</v>
      </c>
      <c r="G617" s="58" t="n">
        <v>0</v>
      </c>
      <c r="H617" s="58" t="n">
        <v>0</v>
      </c>
      <c r="I617" s="58" t="n">
        <v>28335000000</v>
      </c>
    </row>
    <row r="618">
      <c r="B618" s="60" t="inlineStr">
        <is>
          <t>Details of trade receivables ageing schedule [Abstract]</t>
        </is>
      </c>
    </row>
    <row r="619">
      <c r="B619" s="63" t="inlineStr">
        <is>
          <t>Details of trade receivables ageing schedule [Line Items]</t>
        </is>
      </c>
    </row>
    <row r="620">
      <c r="B620" s="66" t="inlineStr">
        <is>
          <t>Total trade receivables</t>
        </is>
      </c>
      <c r="C620" s="55" t="inlineStr">
        <is>
          <t>TradeReceivables</t>
        </is>
      </c>
      <c r="D620" s="58" t="n">
        <v>0</v>
      </c>
      <c r="E620" s="58" t="n">
        <v>0</v>
      </c>
      <c r="F620" s="58" t="n">
        <v>0</v>
      </c>
      <c r="G620" s="58" t="n">
        <v>0</v>
      </c>
      <c r="H620" s="58" t="n">
        <v>0</v>
      </c>
      <c r="I620" s="58" t="n">
        <v>28335000000</v>
      </c>
    </row>
    <row r="621">
      <c r="B621" s="59" t="inlineStr">
        <is>
          <t>Other non-current financial assets notes [Abstract]</t>
        </is>
      </c>
    </row>
    <row r="622">
      <c r="B622" s="60" t="inlineStr">
        <is>
          <t>Other non-current financial assets [Abstract]</t>
        </is>
      </c>
    </row>
    <row r="623">
      <c r="B623" s="61" t="inlineStr">
        <is>
          <t>Derivative assets</t>
        </is>
      </c>
      <c r="C623" s="55" t="inlineStr">
        <is>
          <t>DerivativeAssets</t>
        </is>
      </c>
      <c r="D623" s="56" t="n">
        <v>0</v>
      </c>
      <c r="E623" s="56" t="n">
        <v>0</v>
      </c>
      <c r="F623" s="56" t="n">
        <v>1606000000</v>
      </c>
      <c r="G623" s="56" t="n">
        <v>100000000</v>
      </c>
      <c r="H623" s="56" t="n">
        <v>1440000000</v>
      </c>
      <c r="I623" s="56" t="n">
        <v>1922000000</v>
      </c>
    </row>
    <row r="624">
      <c r="B624" s="61" t="inlineStr">
        <is>
          <t>Other non-current financial assets, others</t>
        </is>
      </c>
      <c r="C624" s="55" t="inlineStr">
        <is>
          <t>OtherNoncurrentFinancialAssetsOthers</t>
        </is>
      </c>
      <c r="D624" s="56" t="n">
        <v>2177000000</v>
      </c>
      <c r="E624" s="56" t="n">
        <v>721000000</v>
      </c>
      <c r="F624" s="56" t="n">
        <v>0</v>
      </c>
      <c r="G624" s="56" t="n">
        <v>18000000</v>
      </c>
      <c r="H624" s="56" t="n">
        <v>155000000</v>
      </c>
      <c r="I624" s="56" t="n">
        <v>1098000000</v>
      </c>
    </row>
    <row r="625">
      <c r="B625" s="65" t="inlineStr">
        <is>
          <t>Total other non-current financial assets</t>
        </is>
      </c>
      <c r="C625" s="55" t="inlineStr">
        <is>
          <t>OtherNoncurrentFinancialAssets</t>
        </is>
      </c>
      <c r="D625" s="58" t="n">
        <v>2177000000</v>
      </c>
      <c r="E625" s="58" t="n">
        <v>721000000</v>
      </c>
      <c r="F625" s="58" t="n">
        <v>1606000000</v>
      </c>
      <c r="G625" s="58" t="n">
        <v>118000000</v>
      </c>
      <c r="H625" s="58" t="n">
        <v>1595000000</v>
      </c>
      <c r="I625" s="58" t="n">
        <v>3020000000</v>
      </c>
    </row>
    <row r="626">
      <c r="B626" s="63" t="inlineStr">
        <is>
          <t>Other non-current financial assets, others [Abstract]</t>
        </is>
      </c>
    </row>
    <row r="627">
      <c r="B627" s="68" t="inlineStr">
        <is>
          <t>Other non-current financial assets, others [Line items]</t>
        </is>
      </c>
    </row>
    <row r="628">
      <c r="B628" s="71" t="inlineStr">
        <is>
          <t>Other non-current financial assets, others</t>
        </is>
      </c>
      <c r="C628" s="55" t="inlineStr">
        <is>
          <t>OtherNoncurrentFinancialAssetsOthers</t>
        </is>
      </c>
      <c r="D628" s="56" t="n">
        <v>2177000000</v>
      </c>
      <c r="E628" s="56" t="n">
        <v>721000000</v>
      </c>
      <c r="F628" s="56" t="n">
        <v>0</v>
      </c>
      <c r="G628" s="56" t="n">
        <v>18000000</v>
      </c>
      <c r="H628" s="56" t="n">
        <v>155000000</v>
      </c>
      <c r="I628" s="56" t="n">
        <v>1098000000</v>
      </c>
    </row>
    <row r="629">
      <c r="B629" s="59" t="inlineStr">
        <is>
          <t>Other non-current assets notes [Abstract]</t>
        </is>
      </c>
    </row>
    <row r="630">
      <c r="B630" s="60" t="inlineStr">
        <is>
          <t>Other non-current assets [Abstract]</t>
        </is>
      </c>
    </row>
    <row r="631">
      <c r="B631" s="61" t="inlineStr">
        <is>
          <t>Advances, non-current</t>
        </is>
      </c>
      <c r="C631" s="55" t="inlineStr">
        <is>
          <t>NoncurrentAdvances</t>
        </is>
      </c>
      <c r="D631" s="56" t="n">
        <v>1292000000</v>
      </c>
      <c r="E631" s="56" t="n">
        <v>1080000000</v>
      </c>
      <c r="F631" s="56" t="n">
        <v>1637000000</v>
      </c>
      <c r="G631" s="56" t="n">
        <v>1488000000</v>
      </c>
      <c r="H631" s="56" t="n">
        <v>1766000000</v>
      </c>
      <c r="I631" s="56" t="n">
        <v>2732000000</v>
      </c>
    </row>
    <row r="632">
      <c r="B632" s="61" t="inlineStr">
        <is>
          <t>Other non-current assets, others</t>
        </is>
      </c>
      <c r="C632" s="55" t="inlineStr">
        <is>
          <t>OtherNoncurrentAssetsOthers</t>
        </is>
      </c>
      <c r="D632" s="56" t="n">
        <v>0</v>
      </c>
      <c r="E632" s="56" t="n">
        <v>900000000</v>
      </c>
      <c r="F632" s="56" t="n">
        <v>315000000</v>
      </c>
      <c r="G632" s="56" t="n">
        <v>780000000</v>
      </c>
      <c r="H632" s="56" t="n">
        <v>679000000</v>
      </c>
      <c r="I632" s="56" t="n">
        <v>492000000</v>
      </c>
    </row>
    <row r="633">
      <c r="B633" s="65" t="inlineStr">
        <is>
          <t>Total other non-current assets</t>
        </is>
      </c>
      <c r="C633" s="55" t="inlineStr">
        <is>
          <t>OtherNoncurrentAssets</t>
        </is>
      </c>
      <c r="D633" s="58" t="n">
        <v>1292000000</v>
      </c>
      <c r="E633" s="58" t="n">
        <v>1980000000</v>
      </c>
      <c r="F633" s="58" t="n">
        <v>1952000000</v>
      </c>
      <c r="G633" s="58" t="n">
        <v>2268000000</v>
      </c>
      <c r="H633" s="58" t="n">
        <v>2445000000</v>
      </c>
      <c r="I633" s="58" t="n">
        <v>3224000000</v>
      </c>
    </row>
    <row r="634">
      <c r="B634" s="63" t="inlineStr">
        <is>
          <t>Other non-current assets, others [Abstract]</t>
        </is>
      </c>
    </row>
    <row r="635">
      <c r="B635" s="68" t="inlineStr">
        <is>
          <t>Other non-current assets, others [Line items]</t>
        </is>
      </c>
    </row>
    <row r="636">
      <c r="B636" s="71" t="inlineStr">
        <is>
          <t>Other non-current assets, others</t>
        </is>
      </c>
      <c r="C636" s="55" t="inlineStr">
        <is>
          <t>OtherNoncurrentAssetsOthers</t>
        </is>
      </c>
      <c r="D636" s="56" t="n">
        <v>0</v>
      </c>
      <c r="E636" s="56" t="n">
        <v>900000000</v>
      </c>
      <c r="F636" s="56" t="n">
        <v>315000000</v>
      </c>
      <c r="G636" s="56" t="n">
        <v>780000000</v>
      </c>
      <c r="H636" s="56" t="n">
        <v>679000000</v>
      </c>
      <c r="I636" s="56" t="n">
        <v>492000000</v>
      </c>
    </row>
    <row r="637">
      <c r="B637" s="59" t="inlineStr">
        <is>
          <t>Cash and bank balances notes [Abstract]</t>
        </is>
      </c>
    </row>
    <row r="638">
      <c r="B638" s="63" t="inlineStr">
        <is>
          <t>Cash and bank balances [Abstract]</t>
        </is>
      </c>
    </row>
    <row r="639">
      <c r="B639" s="68" t="inlineStr">
        <is>
          <t>Classification of cash and bank balances [Abstract]</t>
        </is>
      </c>
    </row>
    <row r="640">
      <c r="B640" s="72" t="inlineStr">
        <is>
          <t>Cash and cash equivalents [Abstract]</t>
        </is>
      </c>
    </row>
    <row r="641">
      <c r="B641" s="75" t="inlineStr">
        <is>
          <t>Balance with banks [Abstract]</t>
        </is>
      </c>
    </row>
    <row r="642">
      <c r="B642" s="76" t="inlineStr">
        <is>
          <t>Fixed deposits with banks</t>
        </is>
      </c>
      <c r="C642" s="55" t="inlineStr">
        <is>
          <t>FixedDepositsWithBanks</t>
        </is>
      </c>
      <c r="D642" s="56" t="n">
        <v>0</v>
      </c>
      <c r="E642" s="56" t="n">
        <v>0</v>
      </c>
      <c r="F642" s="56" t="n">
        <v>341000000</v>
      </c>
      <c r="G642" s="56" t="n">
        <v>570000000</v>
      </c>
      <c r="H642" s="56" t="n">
        <v>1340000000</v>
      </c>
      <c r="I642" s="56" t="n">
        <v>319000000</v>
      </c>
    </row>
    <row r="643">
      <c r="B643" s="76" t="inlineStr">
        <is>
          <t>Other deposits with banks</t>
        </is>
      </c>
      <c r="C643" s="55" t="inlineStr">
        <is>
          <t>OtherDepositsWithBanks</t>
        </is>
      </c>
      <c r="D643" s="56" t="n">
        <v>1634000000</v>
      </c>
      <c r="E643" s="56" t="n">
        <v>46000000</v>
      </c>
      <c r="F643" s="56" t="n">
        <v>0</v>
      </c>
      <c r="G643" s="56" t="n">
        <v>0</v>
      </c>
      <c r="H643" s="56" t="n">
        <v>0</v>
      </c>
      <c r="I643" s="56" t="n">
        <v>12000000</v>
      </c>
    </row>
    <row r="644">
      <c r="B644" s="76" t="inlineStr">
        <is>
          <t>Other balances with banks</t>
        </is>
      </c>
      <c r="C644" s="55" t="inlineStr">
        <is>
          <t>OtherBalancesWithBanks</t>
        </is>
      </c>
      <c r="D644" s="56" t="n">
        <v>1512000000</v>
      </c>
      <c r="E644" s="56" t="n">
        <v>2599000000</v>
      </c>
      <c r="F644" s="56" t="n">
        <v>2617000000</v>
      </c>
      <c r="G644" s="56" t="n">
        <v>3310000000</v>
      </c>
      <c r="H644" s="56" t="n">
        <v>4705000000</v>
      </c>
      <c r="I644" s="56" t="n">
        <v>3067000000</v>
      </c>
    </row>
    <row r="645">
      <c r="B645" s="77" t="inlineStr">
        <is>
          <t>Total balance with banks</t>
        </is>
      </c>
      <c r="C645" s="55" t="inlineStr">
        <is>
          <t>BalanceWithBanks</t>
        </is>
      </c>
      <c r="D645" s="58" t="n">
        <v>3146000000</v>
      </c>
      <c r="E645" s="58" t="n">
        <v>2645000000</v>
      </c>
      <c r="F645" s="58" t="n">
        <v>2958000000</v>
      </c>
      <c r="G645" s="58" t="n">
        <v>3880000000</v>
      </c>
      <c r="H645" s="58" t="n">
        <v>6045000000</v>
      </c>
      <c r="I645" s="58" t="n">
        <v>3398000000</v>
      </c>
    </row>
    <row r="646">
      <c r="B646" s="73" t="inlineStr">
        <is>
          <t>Cheques, drafts on hand</t>
        </is>
      </c>
      <c r="C646" s="55" t="inlineStr">
        <is>
          <t>ChequesDraftsOnHand</t>
        </is>
      </c>
      <c r="D646" s="56" t="n">
        <v>0</v>
      </c>
      <c r="E646" s="56" t="n">
        <v>0</v>
      </c>
      <c r="F646" s="56" t="n">
        <v>540000000</v>
      </c>
      <c r="G646" s="56" t="n">
        <v>973000000</v>
      </c>
      <c r="H646" s="56" t="n">
        <v>714000000</v>
      </c>
      <c r="I646" s="56" t="n">
        <v>463000000</v>
      </c>
    </row>
    <row r="647">
      <c r="B647" s="73" t="inlineStr">
        <is>
          <t>Cash on hand</t>
        </is>
      </c>
      <c r="C647" s="55" t="inlineStr">
        <is>
          <t>CashOnHand</t>
        </is>
      </c>
      <c r="D647" s="56" t="n">
        <v>0</v>
      </c>
      <c r="E647" s="56" t="n">
        <v>0</v>
      </c>
      <c r="F647" s="56" t="n">
        <v>1000000</v>
      </c>
      <c r="G647" s="56" t="n">
        <v>0</v>
      </c>
      <c r="H647" s="56" t="n">
        <v>0</v>
      </c>
      <c r="I647" s="56" t="n">
        <v>0</v>
      </c>
    </row>
    <row r="648">
      <c r="B648" s="73" t="inlineStr">
        <is>
          <t>Others</t>
        </is>
      </c>
      <c r="C648" s="55" t="inlineStr">
        <is>
          <t>Others</t>
        </is>
      </c>
      <c r="D648" s="56" t="n">
        <v>615000000</v>
      </c>
      <c r="E648" s="56" t="n">
        <v>678000000</v>
      </c>
      <c r="F648" s="56" t="n">
        <v>0</v>
      </c>
      <c r="G648" s="56" t="n">
        <v>0</v>
      </c>
      <c r="H648" s="56" t="n">
        <v>0</v>
      </c>
      <c r="I648" s="56" t="n">
        <v>88000000</v>
      </c>
    </row>
    <row r="649">
      <c r="B649" s="74" t="inlineStr">
        <is>
          <t>Cash and cash equivalents at end of period</t>
        </is>
      </c>
      <c r="C649" s="55" t="inlineStr">
        <is>
          <t>CashAndCashEquivalents</t>
        </is>
      </c>
      <c r="D649" s="58" t="n">
        <v>3761000000</v>
      </c>
      <c r="E649" s="58" t="n">
        <v>3323000000</v>
      </c>
      <c r="F649" s="58" t="n">
        <v>3499000000</v>
      </c>
      <c r="G649" s="58" t="n">
        <v>4853000000</v>
      </c>
      <c r="H649" s="58" t="n">
        <v>6759000000</v>
      </c>
      <c r="I649" s="58" t="n">
        <v>3949000000</v>
      </c>
    </row>
    <row r="650">
      <c r="B650" s="71" t="inlineStr">
        <is>
          <t>Bank balance other than cash and cash equivalents</t>
        </is>
      </c>
      <c r="C650" s="55" t="inlineStr">
        <is>
          <t>BankBalanceOtherThanCashAndCashEquivalents</t>
        </is>
      </c>
      <c r="D650" s="56" t="n">
        <v>34000000</v>
      </c>
      <c r="E650" s="56" t="n">
        <v>310000000</v>
      </c>
      <c r="F650" s="56" t="n">
        <v>651000000</v>
      </c>
      <c r="G650" s="56" t="n">
        <v>399000000</v>
      </c>
      <c r="H650" s="56" t="n">
        <v>835000000</v>
      </c>
      <c r="I650" s="56" t="n">
        <v>3824000000</v>
      </c>
    </row>
    <row r="651">
      <c r="B651" s="69" t="inlineStr">
        <is>
          <t>Total cash and bank balances</t>
        </is>
      </c>
      <c r="C651" s="55" t="inlineStr">
        <is>
          <t>CashAndBankBalances</t>
        </is>
      </c>
      <c r="D651" s="58" t="n">
        <v>3795000000</v>
      </c>
      <c r="E651" s="58" t="n">
        <v>3633000000</v>
      </c>
      <c r="F651" s="58" t="n">
        <v>4150000000</v>
      </c>
      <c r="G651" s="58" t="n">
        <v>5252000000</v>
      </c>
      <c r="H651" s="58" t="n">
        <v>7594000000</v>
      </c>
      <c r="I651" s="58" t="n">
        <v>7773000000</v>
      </c>
    </row>
    <row r="652">
      <c r="B652" s="64" t="inlineStr">
        <is>
          <t>Earmarked balances with banks</t>
        </is>
      </c>
      <c r="C652" s="55" t="inlineStr">
        <is>
          <t>EarmarkedBalancesWithBanks</t>
        </is>
      </c>
      <c r="D652" s="56" t="n">
        <v>3000000</v>
      </c>
      <c r="E652" s="56" t="n">
        <v>4000000</v>
      </c>
      <c r="F652" s="56" t="n">
        <v>8000000</v>
      </c>
      <c r="G652" s="56" t="n">
        <v>7000000</v>
      </c>
      <c r="H652" s="56" t="n">
        <v>9000000</v>
      </c>
      <c r="I652" s="56" t="n">
        <v>0</v>
      </c>
    </row>
    <row r="653">
      <c r="B653" s="59" t="inlineStr">
        <is>
          <t>Other current financial assets [Abstract]</t>
        </is>
      </c>
    </row>
    <row r="654">
      <c r="B654" s="62" t="inlineStr">
        <is>
          <t>Derivative financial instruments</t>
        </is>
      </c>
      <c r="C654" s="55" t="inlineStr">
        <is>
          <t>DerivativeFinancialInstruments</t>
        </is>
      </c>
      <c r="D654" s="56" t="n">
        <v>0</v>
      </c>
      <c r="E654" s="56" t="n">
        <v>0</v>
      </c>
      <c r="F654" s="56" t="n">
        <v>1378000000</v>
      </c>
      <c r="G654" s="56" t="n">
        <v>236000000</v>
      </c>
      <c r="H654" s="56" t="n">
        <v>1497000000</v>
      </c>
      <c r="I654" s="56" t="n">
        <v>1944000000</v>
      </c>
    </row>
    <row r="655">
      <c r="B655" s="62" t="inlineStr">
        <is>
          <t>Unbilled revenue</t>
        </is>
      </c>
      <c r="C655" s="55" t="inlineStr">
        <is>
          <t>UnbilledRevenue</t>
        </is>
      </c>
      <c r="D655" s="56" t="n">
        <v>4724000000</v>
      </c>
      <c r="E655" s="56" t="n">
        <v>8365000000</v>
      </c>
      <c r="F655" s="56" t="n">
        <v>5582000000</v>
      </c>
      <c r="G655" s="56" t="n">
        <v>4420000000</v>
      </c>
      <c r="H655" s="56" t="n">
        <v>6071000000</v>
      </c>
      <c r="I655" s="56" t="n">
        <v>9033000000</v>
      </c>
    </row>
    <row r="656">
      <c r="B656" s="62" t="inlineStr">
        <is>
          <t>Security deposits</t>
        </is>
      </c>
      <c r="C656" s="55" t="inlineStr">
        <is>
          <t>SecurityDeposits</t>
        </is>
      </c>
      <c r="D656" s="56" t="n">
        <v>159000000</v>
      </c>
      <c r="E656" s="56" t="n">
        <v>0</v>
      </c>
      <c r="F656" s="56" t="n">
        <v>0</v>
      </c>
      <c r="G656" s="56" t="n">
        <v>0</v>
      </c>
      <c r="H656" s="56" t="n">
        <v>0</v>
      </c>
      <c r="I656" s="56" t="n">
        <v>0</v>
      </c>
    </row>
    <row r="657">
      <c r="B657" s="62" t="inlineStr">
        <is>
          <t>Other current financial assets others</t>
        </is>
      </c>
      <c r="C657" s="55" t="inlineStr">
        <is>
          <t>OtherCurrentFinancialAssetsOthers</t>
        </is>
      </c>
      <c r="D657" s="56" t="n">
        <v>2518000000</v>
      </c>
      <c r="E657" s="56" t="n">
        <v>1976000000</v>
      </c>
      <c r="F657" s="56" t="n">
        <v>325000000</v>
      </c>
      <c r="G657" s="56" t="n">
        <v>1377000000</v>
      </c>
      <c r="H657" s="56" t="n">
        <v>361000000</v>
      </c>
      <c r="I657" s="56" t="n">
        <v>886000000</v>
      </c>
    </row>
    <row r="658">
      <c r="B658" s="67" t="inlineStr">
        <is>
          <t>Total other current financial assets</t>
        </is>
      </c>
      <c r="C658" s="55" t="inlineStr">
        <is>
          <t>OtherCurrentFinancialAssets</t>
        </is>
      </c>
      <c r="D658" s="58" t="n">
        <v>7401000000</v>
      </c>
      <c r="E658" s="58" t="n">
        <v>10341000000</v>
      </c>
      <c r="F658" s="58" t="n">
        <v>7285000000</v>
      </c>
      <c r="G658" s="58" t="n">
        <v>6033000000</v>
      </c>
      <c r="H658" s="58" t="n">
        <v>7929000000</v>
      </c>
      <c r="I658" s="58" t="n">
        <v>11863000000</v>
      </c>
    </row>
    <row r="659">
      <c r="B659" s="60" t="inlineStr">
        <is>
          <t>Other current financial assets others [Abstract]</t>
        </is>
      </c>
    </row>
    <row r="660">
      <c r="B660" s="63" t="inlineStr">
        <is>
          <t>Other current financial assets others [Line items]</t>
        </is>
      </c>
    </row>
    <row r="661">
      <c r="B661" s="64" t="inlineStr">
        <is>
          <t>Other current financial assets others</t>
        </is>
      </c>
      <c r="C661" s="55" t="inlineStr">
        <is>
          <t>OtherCurrentFinancialAssetsOthers</t>
        </is>
      </c>
      <c r="D661" s="56" t="n">
        <v>2518000000</v>
      </c>
      <c r="E661" s="56" t="n">
        <v>1976000000</v>
      </c>
      <c r="F661" s="56" t="n">
        <v>325000000</v>
      </c>
      <c r="G661" s="56" t="n">
        <v>1377000000</v>
      </c>
      <c r="H661" s="56" t="n">
        <v>361000000</v>
      </c>
      <c r="I661" s="56" t="n">
        <v>886000000</v>
      </c>
    </row>
    <row r="662">
      <c r="B662" s="59" t="inlineStr">
        <is>
          <t>Other current assets notes [Abstract]</t>
        </is>
      </c>
    </row>
    <row r="663">
      <c r="B663" s="60" t="inlineStr">
        <is>
          <t>Other current assets [Abstract]</t>
        </is>
      </c>
    </row>
    <row r="664">
      <c r="B664" s="61" t="inlineStr">
        <is>
          <t>Advances, current</t>
        </is>
      </c>
      <c r="C664" s="55" t="inlineStr">
        <is>
          <t>CurrentAdvances</t>
        </is>
      </c>
      <c r="D664" s="56" t="n">
        <v>988000000</v>
      </c>
      <c r="E664" s="56" t="n">
        <v>1125000000</v>
      </c>
      <c r="F664" s="56" t="n">
        <v>1214000000</v>
      </c>
      <c r="G664" s="56" t="n">
        <v>1811000000</v>
      </c>
      <c r="H664" s="56" t="n">
        <v>2545000000</v>
      </c>
      <c r="I664" s="56" t="n">
        <v>2978000000</v>
      </c>
    </row>
    <row r="665">
      <c r="B665" s="61" t="inlineStr">
        <is>
          <t>Other current assets, others</t>
        </is>
      </c>
      <c r="C665" s="55" t="inlineStr">
        <is>
          <t>OtherCurrentAssetsOthers</t>
        </is>
      </c>
      <c r="D665" s="56" t="n">
        <v>0</v>
      </c>
      <c r="E665" s="56" t="n">
        <v>0</v>
      </c>
      <c r="F665" s="56" t="n">
        <v>3279000000</v>
      </c>
      <c r="G665" s="56" t="n">
        <v>4751000000</v>
      </c>
      <c r="H665" s="56" t="n">
        <v>5828000000</v>
      </c>
      <c r="I665" s="56" t="n">
        <v>6341000000</v>
      </c>
    </row>
    <row r="666">
      <c r="B666" s="65" t="inlineStr">
        <is>
          <t>Total other current assets</t>
        </is>
      </c>
      <c r="C666" s="55" t="inlineStr">
        <is>
          <t>OtherCurrentAssets</t>
        </is>
      </c>
      <c r="D666" s="58" t="n">
        <v>988000000</v>
      </c>
      <c r="E666" s="58" t="n">
        <v>1125000000</v>
      </c>
      <c r="F666" s="58" t="n">
        <v>4493000000</v>
      </c>
      <c r="G666" s="58" t="n">
        <v>6562000000</v>
      </c>
      <c r="H666" s="58" t="n">
        <v>8373000000</v>
      </c>
      <c r="I666" s="58" t="n">
        <v>9319000000</v>
      </c>
    </row>
    <row r="667">
      <c r="B667" s="63" t="inlineStr">
        <is>
          <t>Other current assets others [Abstract]</t>
        </is>
      </c>
    </row>
    <row r="668">
      <c r="B668" s="68" t="inlineStr">
        <is>
          <t>Other current assets others [Line items]</t>
        </is>
      </c>
    </row>
    <row r="669">
      <c r="B669" s="71" t="inlineStr">
        <is>
          <t>Other current assets, others</t>
        </is>
      </c>
      <c r="C669" s="55" t="inlineStr">
        <is>
          <t>OtherCurrentAssetsOthers</t>
        </is>
      </c>
      <c r="D669" s="56" t="n">
        <v>0</v>
      </c>
      <c r="E669" s="56" t="n">
        <v>0</v>
      </c>
      <c r="F669" s="56" t="n">
        <v>3279000000</v>
      </c>
      <c r="G669" s="56" t="n">
        <v>4751000000</v>
      </c>
      <c r="H669" s="56" t="n">
        <v>5828000000</v>
      </c>
      <c r="I669" s="56" t="n">
        <v>6341000000</v>
      </c>
    </row>
    <row r="670">
      <c r="B670" s="59" t="inlineStr">
        <is>
          <t>Disclosure of other non-current financial liabilities notes [Abstract]</t>
        </is>
      </c>
    </row>
    <row r="671">
      <c r="B671" s="60" t="inlineStr">
        <is>
          <t>Other non-current financial liabilities [Abstract]</t>
        </is>
      </c>
    </row>
    <row r="672">
      <c r="B672" s="61" t="inlineStr">
        <is>
          <t>Derivative liabilities, non-current</t>
        </is>
      </c>
      <c r="C672" s="55" t="inlineStr">
        <is>
          <t>DerivativeLiabilitiesNoncurrent</t>
        </is>
      </c>
      <c r="D672" s="56" t="n">
        <v>0</v>
      </c>
      <c r="E672" s="56" t="n">
        <v>0</v>
      </c>
      <c r="F672" s="56" t="n">
        <v>0</v>
      </c>
      <c r="G672" s="56" t="n">
        <v>2020000000</v>
      </c>
      <c r="H672" s="56" t="n">
        <v>0</v>
      </c>
      <c r="I672" s="56" t="n">
        <v>0</v>
      </c>
    </row>
    <row r="673">
      <c r="B673" s="61" t="inlineStr">
        <is>
          <t>Other non-current financial liabilities, others</t>
        </is>
      </c>
      <c r="C673" s="55" t="inlineStr">
        <is>
          <t>OtherNoncurrentFinancialLiabilitiesOthers</t>
        </is>
      </c>
      <c r="D673" s="56" t="n">
        <v>0</v>
      </c>
      <c r="E673" s="56" t="n">
        <v>1042000000</v>
      </c>
      <c r="F673" s="56" t="n">
        <v>936000000</v>
      </c>
      <c r="G673" s="56" t="n">
        <v>8435000000</v>
      </c>
      <c r="H673" s="56" t="n">
        <v>6820000000</v>
      </c>
      <c r="I673" s="56" t="n">
        <v>6809000000</v>
      </c>
    </row>
    <row r="674">
      <c r="B674" s="65" t="inlineStr">
        <is>
          <t>Total other non-current financial liabilities</t>
        </is>
      </c>
      <c r="C674" s="55" t="inlineStr">
        <is>
          <t>OtherNoncurrentFinancialLiabilities</t>
        </is>
      </c>
      <c r="D674" s="58" t="n">
        <v>0</v>
      </c>
      <c r="E674" s="58" t="n">
        <v>1042000000</v>
      </c>
      <c r="F674" s="58" t="n">
        <v>936000000</v>
      </c>
      <c r="G674" s="58" t="n">
        <v>10455000000</v>
      </c>
      <c r="H674" s="58" t="n">
        <v>6820000000</v>
      </c>
      <c r="I674" s="58" t="n">
        <v>6809000000</v>
      </c>
    </row>
    <row r="675">
      <c r="B675" s="63" t="inlineStr">
        <is>
          <t>Other non-current financial liabilities others [Abstract]</t>
        </is>
      </c>
    </row>
    <row r="676">
      <c r="B676" s="68" t="inlineStr">
        <is>
          <t>Other non-current financial liabilities others [Line items]</t>
        </is>
      </c>
    </row>
    <row r="677">
      <c r="B677" s="71" t="inlineStr">
        <is>
          <t>Other non-current financial liabilities, others</t>
        </is>
      </c>
      <c r="C677" s="55" t="inlineStr">
        <is>
          <t>OtherNoncurrentFinancialLiabilitiesOthers</t>
        </is>
      </c>
      <c r="D677" s="56" t="n">
        <v>0</v>
      </c>
      <c r="E677" s="56" t="n">
        <v>1042000000</v>
      </c>
      <c r="F677" s="56" t="n">
        <v>936000000</v>
      </c>
      <c r="G677" s="56" t="n">
        <v>8435000000</v>
      </c>
      <c r="H677" s="56" t="n">
        <v>6820000000</v>
      </c>
      <c r="I677" s="56" t="n">
        <v>6809000000</v>
      </c>
    </row>
    <row r="678">
      <c r="B678" s="59" t="inlineStr">
        <is>
          <t>Provisions notes [Abstract]</t>
        </is>
      </c>
    </row>
    <row r="679">
      <c r="B679" s="60" t="inlineStr">
        <is>
          <t>Disclosure of breakup of provisions [Abstract]</t>
        </is>
      </c>
    </row>
    <row r="680">
      <c r="B680" s="63" t="inlineStr">
        <is>
          <t>Disclosure of breakup of provisions [Line items]</t>
        </is>
      </c>
    </row>
    <row r="681">
      <c r="B681" s="68" t="inlineStr">
        <is>
          <t>Provisions [Abstract]</t>
        </is>
      </c>
    </row>
    <row r="682">
      <c r="B682" s="72" t="inlineStr">
        <is>
          <t>Provisions for employee benefits [Abstract]</t>
        </is>
      </c>
    </row>
    <row r="683">
      <c r="B683" s="73" t="inlineStr">
        <is>
          <t>Provision leave encashment</t>
        </is>
      </c>
      <c r="C683" s="55" t="inlineStr">
        <is>
          <t>ProvisionLeaveEncashment</t>
        </is>
      </c>
      <c r="D683" s="56" t="n">
        <v>0</v>
      </c>
      <c r="E683" s="56" t="n">
        <v>1841000000</v>
      </c>
      <c r="F683" s="56" t="n">
        <v>2106000000</v>
      </c>
      <c r="G683" s="56" t="n">
        <v>2585000000</v>
      </c>
      <c r="H683" s="56" t="n">
        <v>3539000000</v>
      </c>
      <c r="I683" s="56" t="n">
        <v>3870000000</v>
      </c>
    </row>
    <row r="684">
      <c r="B684" s="73" t="inlineStr">
        <is>
          <t>Provision other employee related liabilities</t>
        </is>
      </c>
      <c r="C684" s="55" t="inlineStr">
        <is>
          <t>ProvisionOtherEmployeeRelatedLiabilities</t>
        </is>
      </c>
      <c r="D684" s="56" t="n">
        <v>0</v>
      </c>
      <c r="E684" s="56" t="n">
        <v>171000000</v>
      </c>
      <c r="F684" s="56" t="n">
        <v>183000000</v>
      </c>
      <c r="G684" s="56" t="n">
        <v>218000000</v>
      </c>
      <c r="H684" s="56" t="n">
        <v>253000000</v>
      </c>
      <c r="I684" s="56" t="n">
        <v>286000000</v>
      </c>
    </row>
    <row r="685">
      <c r="B685" s="74" t="inlineStr">
        <is>
          <t>Total provisions for employee benefits</t>
        </is>
      </c>
      <c r="C685" s="55" t="inlineStr">
        <is>
          <t>ProvisionsForEmployeeBenefits</t>
        </is>
      </c>
      <c r="D685" s="58" t="n">
        <v>0</v>
      </c>
      <c r="E685" s="58" t="n">
        <v>2012000000</v>
      </c>
      <c r="F685" s="58" t="n">
        <v>2289000000</v>
      </c>
      <c r="G685" s="58" t="n">
        <v>2803000000</v>
      </c>
      <c r="H685" s="58" t="n">
        <v>3792000000</v>
      </c>
      <c r="I685" s="58" t="n">
        <v>4156000000</v>
      </c>
    </row>
    <row r="686">
      <c r="B686" s="71" t="inlineStr">
        <is>
          <t>Other provisions at end of period</t>
        </is>
      </c>
      <c r="C686" s="55" t="inlineStr">
        <is>
          <t>OtherProvisions</t>
        </is>
      </c>
      <c r="D686" s="56" t="n">
        <v>0</v>
      </c>
      <c r="E686" s="56" t="n">
        <v>112000000</v>
      </c>
      <c r="F686" s="56" t="n">
        <v>111000000</v>
      </c>
      <c r="G686" s="56" t="n">
        <v>115000000</v>
      </c>
      <c r="H686" s="56" t="n">
        <v>113000000</v>
      </c>
      <c r="I686" s="56" t="n">
        <v>111000000</v>
      </c>
    </row>
    <row r="687">
      <c r="B687" s="69" t="inlineStr">
        <is>
          <t>Total provisions</t>
        </is>
      </c>
      <c r="C687" s="55" t="inlineStr">
        <is>
          <t>Provisions</t>
        </is>
      </c>
      <c r="D687" s="58" t="n">
        <v>0</v>
      </c>
      <c r="E687" s="58" t="n">
        <v>2124000000</v>
      </c>
      <c r="F687" s="58" t="n">
        <v>2400000000</v>
      </c>
      <c r="G687" s="58" t="n">
        <v>2918000000</v>
      </c>
      <c r="H687" s="58" t="n">
        <v>3905000000</v>
      </c>
      <c r="I687" s="58" t="n">
        <v>4267000000</v>
      </c>
    </row>
    <row r="688">
      <c r="B688" s="59" t="inlineStr">
        <is>
          <t>Other non-current liabilities [Abstract]</t>
        </is>
      </c>
    </row>
    <row r="689">
      <c r="B689" s="62" t="inlineStr">
        <is>
          <t>Other non-current liabilities others</t>
        </is>
      </c>
      <c r="C689" s="55" t="inlineStr">
        <is>
          <t>OtherNoncurrentLiabilitiesOthers</t>
        </is>
      </c>
      <c r="D689" s="56" t="n">
        <v>0</v>
      </c>
      <c r="E689" s="56" t="n">
        <v>0</v>
      </c>
      <c r="F689" s="56" t="n">
        <v>0</v>
      </c>
      <c r="G689" s="56" t="n">
        <v>0</v>
      </c>
      <c r="H689" s="56" t="n">
        <v>479000000</v>
      </c>
      <c r="I689" s="56" t="n">
        <v>0</v>
      </c>
    </row>
    <row r="690">
      <c r="B690" s="67" t="inlineStr">
        <is>
          <t>Total other non-current liabilities</t>
        </is>
      </c>
      <c r="C690" s="55" t="inlineStr">
        <is>
          <t>OtherNoncurrentLiabilities</t>
        </is>
      </c>
      <c r="D690" s="58" t="n">
        <v>0</v>
      </c>
      <c r="E690" s="58" t="n">
        <v>0</v>
      </c>
      <c r="F690" s="58" t="n">
        <v>0</v>
      </c>
      <c r="G690" s="58" t="n">
        <v>0</v>
      </c>
      <c r="H690" s="58" t="n">
        <v>479000000</v>
      </c>
      <c r="I690" s="58" t="n">
        <v>0</v>
      </c>
    </row>
    <row r="691">
      <c r="B691" s="60" t="inlineStr">
        <is>
          <t>Other non-current liabilities others [Abstract]</t>
        </is>
      </c>
    </row>
    <row r="692">
      <c r="B692" s="63" t="inlineStr">
        <is>
          <t>Other non-current liabilities others [Line items]</t>
        </is>
      </c>
    </row>
    <row r="693">
      <c r="B693" s="64" t="inlineStr">
        <is>
          <t>Other non-current liabilities others</t>
        </is>
      </c>
      <c r="C693" s="55" t="inlineStr">
        <is>
          <t>OtherNoncurrentLiabilitiesOthers</t>
        </is>
      </c>
      <c r="D693" s="56" t="n">
        <v>0</v>
      </c>
      <c r="E693" s="56" t="n">
        <v>0</v>
      </c>
      <c r="F693" s="56" t="n">
        <v>0</v>
      </c>
      <c r="G693" s="56" t="n">
        <v>0</v>
      </c>
      <c r="H693" s="56" t="n">
        <v>479000000</v>
      </c>
      <c r="I693" s="56" t="n">
        <v>0</v>
      </c>
    </row>
    <row r="694">
      <c r="B694" s="59" t="inlineStr">
        <is>
          <t>Disclosure of other current financial liabilities notes [Abstract]</t>
        </is>
      </c>
    </row>
    <row r="695">
      <c r="B695" s="60" t="inlineStr">
        <is>
          <t>Other current financial liabilities [Abstract]</t>
        </is>
      </c>
    </row>
    <row r="696">
      <c r="B696" s="61" t="inlineStr">
        <is>
          <t>Unpaid dividends</t>
        </is>
      </c>
      <c r="C696" s="55" t="inlineStr">
        <is>
          <t>UnpaidDividends</t>
        </is>
      </c>
      <c r="D696" s="56" t="n">
        <v>3000000</v>
      </c>
      <c r="E696" s="56" t="n">
        <v>4000000</v>
      </c>
      <c r="F696" s="56" t="n">
        <v>8000000</v>
      </c>
      <c r="G696" s="56" t="n">
        <v>7000000</v>
      </c>
      <c r="H696" s="56" t="n">
        <v>9000000</v>
      </c>
      <c r="I696" s="56" t="n">
        <v>13000000</v>
      </c>
    </row>
    <row r="697">
      <c r="B697" s="61" t="inlineStr">
        <is>
          <t>Other current financial liabilities, others</t>
        </is>
      </c>
      <c r="C697" s="55" t="inlineStr">
        <is>
          <t>OtherCurrentFinancialLiabilitiesOthers</t>
        </is>
      </c>
      <c r="D697" s="56" t="n">
        <v>5838000000</v>
      </c>
      <c r="E697" s="56" t="n">
        <v>6102000000</v>
      </c>
      <c r="F697" s="56" t="n">
        <v>6722000000</v>
      </c>
      <c r="G697" s="56" t="n">
        <v>9232000000</v>
      </c>
      <c r="H697" s="56" t="n">
        <v>9016000000</v>
      </c>
      <c r="I697" s="56" t="n">
        <v>10508000000</v>
      </c>
    </row>
    <row r="698">
      <c r="B698" s="65" t="inlineStr">
        <is>
          <t>Total other current financial liabilities</t>
        </is>
      </c>
      <c r="C698" s="55" t="inlineStr">
        <is>
          <t>OtherCurrentFinancialLiabilities</t>
        </is>
      </c>
      <c r="D698" s="58" t="n">
        <v>5841000000</v>
      </c>
      <c r="E698" s="58" t="n">
        <v>6106000000</v>
      </c>
      <c r="F698" s="58" t="n">
        <v>6730000000</v>
      </c>
      <c r="G698" s="58" t="n">
        <v>9239000000</v>
      </c>
      <c r="H698" s="58" t="n">
        <v>9025000000</v>
      </c>
      <c r="I698" s="58" t="n">
        <v>10521000000</v>
      </c>
    </row>
    <row r="699">
      <c r="B699" s="63" t="inlineStr">
        <is>
          <t>Other current financial liabilities, others [Abstract]</t>
        </is>
      </c>
    </row>
    <row r="700">
      <c r="B700" s="68" t="inlineStr">
        <is>
          <t>Other current financial liabilities, others [Line items]</t>
        </is>
      </c>
    </row>
    <row r="701">
      <c r="B701" s="71" t="inlineStr">
        <is>
          <t>Other current financial liabilities, others</t>
        </is>
      </c>
      <c r="C701" s="55" t="inlineStr">
        <is>
          <t>OtherCurrentFinancialLiabilitiesOthers</t>
        </is>
      </c>
      <c r="D701" s="56" t="n">
        <v>5838000000</v>
      </c>
      <c r="E701" s="56" t="n">
        <v>6102000000</v>
      </c>
      <c r="F701" s="56" t="n">
        <v>6722000000</v>
      </c>
      <c r="G701" s="56" t="n">
        <v>9232000000</v>
      </c>
      <c r="H701" s="56" t="n">
        <v>9016000000</v>
      </c>
      <c r="I701" s="56" t="n">
        <v>10508000000</v>
      </c>
    </row>
    <row r="702">
      <c r="B702" s="59" t="inlineStr">
        <is>
          <t>Disclosure of other current liabilities notes [Abstract]</t>
        </is>
      </c>
    </row>
    <row r="703">
      <c r="B703" s="60" t="inlineStr">
        <is>
          <t>Other current liabilities [Abstract]</t>
        </is>
      </c>
    </row>
    <row r="704">
      <c r="B704" s="63" t="inlineStr">
        <is>
          <t>Other payables, current [Abstract]</t>
        </is>
      </c>
    </row>
    <row r="705">
      <c r="B705" s="64" t="inlineStr">
        <is>
          <t>Accrued expenses payable</t>
        </is>
      </c>
      <c r="C705" s="55" t="inlineStr">
        <is>
          <t>AccruedExpensesPayable</t>
        </is>
      </c>
      <c r="D705" s="56" t="n">
        <v>1158000000</v>
      </c>
      <c r="E705" s="56" t="n">
        <v>1617000000</v>
      </c>
      <c r="F705" s="56" t="n">
        <v>2006000000</v>
      </c>
      <c r="G705" s="56" t="n">
        <v>2575000000</v>
      </c>
      <c r="H705" s="56" t="n">
        <v>3224000000</v>
      </c>
      <c r="I705" s="56" t="n">
        <v>4394000000</v>
      </c>
    </row>
    <row r="706">
      <c r="B706" s="66" t="inlineStr">
        <is>
          <t>Total other payables, current</t>
        </is>
      </c>
      <c r="C706" s="55" t="inlineStr">
        <is>
          <t>OtherPayablesCurrent</t>
        </is>
      </c>
      <c r="D706" s="58" t="n">
        <v>1158000000</v>
      </c>
      <c r="E706" s="58" t="n">
        <v>1617000000</v>
      </c>
      <c r="F706" s="58" t="n">
        <v>2006000000</v>
      </c>
      <c r="G706" s="58" t="n">
        <v>2575000000</v>
      </c>
      <c r="H706" s="58" t="n">
        <v>3224000000</v>
      </c>
      <c r="I706" s="58" t="n">
        <v>4394000000</v>
      </c>
    </row>
    <row r="707">
      <c r="B707" s="61" t="inlineStr">
        <is>
          <t>Other current liabilities, others</t>
        </is>
      </c>
      <c r="C707" s="55" t="inlineStr">
        <is>
          <t>OtherCurrentLiabilitiesOthers</t>
        </is>
      </c>
      <c r="D707" s="56" t="n">
        <v>0</v>
      </c>
      <c r="E707" s="56" t="n">
        <v>0</v>
      </c>
      <c r="F707" s="56" t="n">
        <v>576000000</v>
      </c>
      <c r="G707" s="56" t="n">
        <v>1559000000</v>
      </c>
      <c r="H707" s="56" t="n">
        <v>1697000000</v>
      </c>
      <c r="I707" s="56" t="n">
        <v>1418000000</v>
      </c>
    </row>
    <row r="708">
      <c r="B708" s="65" t="inlineStr">
        <is>
          <t>Total other current liabilities</t>
        </is>
      </c>
      <c r="C708" s="55" t="inlineStr">
        <is>
          <t>OtherCurrentLiabilities</t>
        </is>
      </c>
      <c r="D708" s="58" t="n">
        <v>1158000000</v>
      </c>
      <c r="E708" s="58" t="n">
        <v>1617000000</v>
      </c>
      <c r="F708" s="58" t="n">
        <v>2582000000</v>
      </c>
      <c r="G708" s="58" t="n">
        <v>4134000000</v>
      </c>
      <c r="H708" s="58" t="n">
        <v>4921000000</v>
      </c>
      <c r="I708" s="58" t="n">
        <v>5812000000</v>
      </c>
    </row>
    <row r="709">
      <c r="B709" s="63" t="inlineStr">
        <is>
          <t>Other current liabilities, others [Abstract]</t>
        </is>
      </c>
    </row>
    <row r="710">
      <c r="B710" s="68" t="inlineStr">
        <is>
          <t>Other current liabilities, others [Line items]</t>
        </is>
      </c>
    </row>
    <row r="711">
      <c r="B711" s="71" t="inlineStr">
        <is>
          <t>Other current liabilities, others</t>
        </is>
      </c>
      <c r="C711" s="55" t="inlineStr">
        <is>
          <t>OtherCurrentLiabilitiesOthers</t>
        </is>
      </c>
      <c r="D711" s="56" t="n">
        <v>0</v>
      </c>
      <c r="E711" s="56" t="n">
        <v>0</v>
      </c>
      <c r="F711" s="56" t="n">
        <v>576000000</v>
      </c>
      <c r="G711" s="56" t="n">
        <v>1559000000</v>
      </c>
      <c r="H711" s="56" t="n">
        <v>1697000000</v>
      </c>
      <c r="I711" s="56" t="n">
        <v>1418000000</v>
      </c>
    </row>
    <row r="716" ht="15.5" customHeight="1" s="203">
      <c r="A716" t="inlineStr">
        <is>
          <t>#</t>
        </is>
      </c>
      <c r="B716" s="38" t="inlineStr">
        <is>
          <t>Notes to Statement of Cash Flows: Cash Flow Statement</t>
        </is>
      </c>
    </row>
    <row r="718">
      <c r="C718" s="53" t="inlineStr">
        <is>
          <t>Concept Tag</t>
        </is>
      </c>
      <c r="D718" s="20" t="inlineStr">
        <is>
          <t>FY2017</t>
        </is>
      </c>
      <c r="E718" s="20" t="inlineStr">
        <is>
          <t>FY2018</t>
        </is>
      </c>
      <c r="F718" s="20" t="inlineStr">
        <is>
          <t>FY2019</t>
        </is>
      </c>
      <c r="G718" s="20" t="inlineStr">
        <is>
          <t>FY2020</t>
        </is>
      </c>
      <c r="H718" s="20" t="inlineStr">
        <is>
          <t>FY2021</t>
        </is>
      </c>
      <c r="I718" s="20" t="inlineStr">
        <is>
          <t>FY2022</t>
        </is>
      </c>
    </row>
    <row r="720" ht="15.5" customHeight="1" s="203">
      <c r="B720" s="38" t="inlineStr">
        <is>
          <t>Cash and cash equivalents if different from Balance Sheet [Abstract]</t>
        </is>
      </c>
    </row>
    <row r="721">
      <c r="B721" s="54" t="inlineStr">
        <is>
          <t>Cash and cash equivalents cash flow statement at end of period</t>
        </is>
      </c>
      <c r="C721" s="55" t="inlineStr">
        <is>
          <t>CashAndCashEquivalentsCashFlowStatement</t>
        </is>
      </c>
      <c r="D721" s="56" t="n">
        <v>3795000000</v>
      </c>
      <c r="E721" s="56" t="n">
        <v>3633000000</v>
      </c>
      <c r="F721" s="56" t="n">
        <v>4150000000</v>
      </c>
      <c r="G721" s="56" t="n">
        <v>5252000000</v>
      </c>
      <c r="H721" s="56" t="n">
        <v>7594000000</v>
      </c>
      <c r="I721" s="56" t="n">
        <v>3949000000</v>
      </c>
    </row>
    <row r="722">
      <c r="B722" s="54" t="inlineStr">
        <is>
          <t>Other differences to cash and cash equivalents in statement of cash flows</t>
        </is>
      </c>
      <c r="C722" s="55" t="inlineStr">
        <is>
          <t>OtherDifferencesToCashAndCashEquivalentsInStatementOfCashFlows</t>
        </is>
      </c>
      <c r="D722" s="56" t="n">
        <v>34000000</v>
      </c>
      <c r="E722" s="56" t="n">
        <v>310000000</v>
      </c>
      <c r="F722" s="56" t="n">
        <v>651000000</v>
      </c>
      <c r="G722" s="56" t="n">
        <v>399000000</v>
      </c>
      <c r="H722" s="56" t="n">
        <v>835000000</v>
      </c>
      <c r="I722" s="56" t="n">
        <v>0</v>
      </c>
    </row>
    <row r="723">
      <c r="B723" s="57" t="inlineStr">
        <is>
          <t>Cash and cash equivalents at end of period</t>
        </is>
      </c>
      <c r="C723" s="55" t="inlineStr">
        <is>
          <t>CashAndCashEquivalents</t>
        </is>
      </c>
      <c r="D723" s="58" t="n">
        <v>3761000000</v>
      </c>
      <c r="E723" s="58" t="n">
        <v>3323000000</v>
      </c>
      <c r="F723" s="58" t="n">
        <v>3499000000</v>
      </c>
      <c r="G723" s="58" t="n">
        <v>4853000000</v>
      </c>
      <c r="H723" s="58" t="n">
        <v>6759000000</v>
      </c>
      <c r="I723" s="58" t="n">
        <v>3949000000</v>
      </c>
    </row>
    <row r="725" ht="15.5" customHeight="1" s="203">
      <c r="B725" s="38" t="inlineStr">
        <is>
          <t>Income taxes paid (refund) [Abstract]</t>
        </is>
      </c>
    </row>
    <row r="726">
      <c r="B726" s="54" t="inlineStr">
        <is>
          <t>Income taxes paid (refund)</t>
        </is>
      </c>
      <c r="C726" s="55" t="inlineStr">
        <is>
          <t>IncomeTaxesPaidRefundClassifiedAsOperatingActivities</t>
        </is>
      </c>
      <c r="D726" s="56" t="n">
        <v>2459000000</v>
      </c>
      <c r="E726" s="56" t="n">
        <v>3581000000</v>
      </c>
      <c r="F726" s="56" t="n">
        <v>4751000000</v>
      </c>
      <c r="G726" s="56" t="n">
        <v>4118000000</v>
      </c>
      <c r="H726" s="56" t="n">
        <v>6400000000</v>
      </c>
      <c r="I726" s="56" t="n">
        <v>8113000000</v>
      </c>
    </row>
    <row r="727">
      <c r="B727" s="57" t="inlineStr">
        <is>
          <t>Total income taxes paid (refund)</t>
        </is>
      </c>
      <c r="C727" s="55" t="inlineStr">
        <is>
          <t>IncomeTaxesPaidRefund</t>
        </is>
      </c>
      <c r="D727" s="58" t="n">
        <v>2459000000</v>
      </c>
      <c r="E727" s="58" t="n">
        <v>3581000000</v>
      </c>
      <c r="F727" s="58" t="n">
        <v>4751000000</v>
      </c>
      <c r="G727" s="58" t="n">
        <v>4118000000</v>
      </c>
      <c r="H727" s="58" t="n">
        <v>6400000000</v>
      </c>
      <c r="I727" s="58" t="n">
        <v>8113000000</v>
      </c>
    </row>
    <row r="730" ht="18.5" customHeight="1" s="203">
      <c r="A730" t="inlineStr">
        <is>
          <t>#</t>
        </is>
      </c>
      <c r="B730" s="52" t="inlineStr">
        <is>
          <t>General / Cross-Statement Notes</t>
        </is>
      </c>
    </row>
    <row r="732" ht="15.5" customHeight="1" s="203">
      <c r="A732" t="inlineStr">
        <is>
          <t>#</t>
        </is>
      </c>
      <c r="B732" s="38" t="inlineStr">
        <is>
          <t>Notes to General: Accounting For Government Grants And Disclosure Of Government Assistance</t>
        </is>
      </c>
    </row>
    <row r="734">
      <c r="C734" s="53" t="inlineStr">
        <is>
          <t>Concept Tag</t>
        </is>
      </c>
      <c r="D734" s="20" t="inlineStr">
        <is>
          <t>FY2017</t>
        </is>
      </c>
      <c r="E734" s="20" t="inlineStr">
        <is>
          <t>FY2018</t>
        </is>
      </c>
      <c r="F734" s="20" t="inlineStr">
        <is>
          <t>FY2019</t>
        </is>
      </c>
      <c r="G734" s="20" t="inlineStr">
        <is>
          <t>FY2020</t>
        </is>
      </c>
      <c r="H734" s="20" t="inlineStr">
        <is>
          <t>FY2021</t>
        </is>
      </c>
      <c r="I734" s="20" t="inlineStr">
        <is>
          <t>FY2022</t>
        </is>
      </c>
    </row>
    <row r="735">
      <c r="B735" s="6" t="inlineStr">
        <is>
          <t>Revenue subsidies or grants received from government authorities</t>
        </is>
      </c>
      <c r="C735" s="55" t="inlineStr">
        <is>
          <t>RevenueSubsidiesOrGrantsReceivedFromGovernmentAuthorities</t>
        </is>
      </c>
      <c r="D735" s="56" t="n">
        <v>0</v>
      </c>
      <c r="E735" s="56" t="n">
        <v>0</v>
      </c>
      <c r="F735" s="56" t="n">
        <v>0</v>
      </c>
      <c r="G735" s="56" t="n">
        <v>0</v>
      </c>
      <c r="H735" s="56" t="n">
        <v>0</v>
      </c>
      <c r="I735" s="56" t="n">
        <v>109000000</v>
      </c>
    </row>
    <row r="738" ht="15.5" customHeight="1" s="203">
      <c r="A738" t="inlineStr">
        <is>
          <t>#</t>
        </is>
      </c>
      <c r="B738" s="38" t="inlineStr">
        <is>
          <t>Notes to General: Fair Value Measurement</t>
        </is>
      </c>
    </row>
    <row r="740">
      <c r="C740" s="53" t="inlineStr">
        <is>
          <t>Concept Tag</t>
        </is>
      </c>
      <c r="D740" s="20" t="inlineStr">
        <is>
          <t>FY2017</t>
        </is>
      </c>
      <c r="E740" s="20" t="inlineStr">
        <is>
          <t>FY2018</t>
        </is>
      </c>
      <c r="F740" s="20" t="inlineStr">
        <is>
          <t>FY2019</t>
        </is>
      </c>
      <c r="G740" s="20" t="inlineStr">
        <is>
          <t>FY2020</t>
        </is>
      </c>
      <c r="H740" s="20" t="inlineStr">
        <is>
          <t>FY2021</t>
        </is>
      </c>
      <c r="I740" s="20" t="inlineStr">
        <is>
          <t>FY2022</t>
        </is>
      </c>
    </row>
    <row r="741">
      <c r="B741" s="59" t="inlineStr">
        <is>
          <t>Disclosure of fair value measurement of assets [Abstract]</t>
        </is>
      </c>
    </row>
    <row r="742">
      <c r="B742" s="60" t="inlineStr">
        <is>
          <t>Disclosure of fair value measurement of assets [Line items]</t>
        </is>
      </c>
    </row>
    <row r="743">
      <c r="B743" s="61" t="inlineStr">
        <is>
          <t>Assets at end of period</t>
        </is>
      </c>
      <c r="C743" s="55" t="inlineStr">
        <is>
          <t>AssetsFairValue</t>
        </is>
      </c>
      <c r="D743" s="56" t="n">
        <v>0</v>
      </c>
      <c r="E743" s="56" t="n">
        <v>0</v>
      </c>
      <c r="F743" s="56" t="n">
        <v>20387000000</v>
      </c>
      <c r="G743" s="56" t="n">
        <v>0</v>
      </c>
      <c r="H743" s="56" t="n">
        <v>0</v>
      </c>
      <c r="I743" s="56" t="n">
        <v>0</v>
      </c>
    </row>
    <row r="744">
      <c r="B744" s="63" t="inlineStr">
        <is>
          <t>Reconciliation of changes in fair value measurement, assets [Abstract]</t>
        </is>
      </c>
    </row>
    <row r="745">
      <c r="B745" s="64" t="inlineStr">
        <is>
          <t>Assets at end of period</t>
        </is>
      </c>
      <c r="C745" s="55" t="inlineStr">
        <is>
          <t>AssetsFairValue</t>
        </is>
      </c>
      <c r="D745" s="56" t="n">
        <v>0</v>
      </c>
      <c r="E745" s="56" t="n">
        <v>0</v>
      </c>
      <c r="F745" s="56" t="n">
        <v>20387000000</v>
      </c>
      <c r="G745" s="56" t="n">
        <v>0</v>
      </c>
      <c r="H745" s="56" t="n">
        <v>0</v>
      </c>
      <c r="I745" s="56" t="n">
        <v>0</v>
      </c>
    </row>
    <row r="746">
      <c r="B746" s="68" t="inlineStr">
        <is>
          <t>Changes in fair value measurement, assets [Abstract]</t>
        </is>
      </c>
    </row>
    <row r="747">
      <c r="B747" s="71" t="inlineStr">
        <is>
          <t>Purchases, fair value measurement, assets</t>
        </is>
      </c>
      <c r="C747" s="55" t="inlineStr">
        <is>
          <t>PurchasesFairValueMeasurementAssets</t>
        </is>
      </c>
      <c r="D747" s="56" t="n">
        <v>0</v>
      </c>
      <c r="E747" s="56" t="n">
        <v>0</v>
      </c>
      <c r="F747" s="56" t="n">
        <v>5442000000</v>
      </c>
      <c r="G747" s="56" t="n">
        <v>0</v>
      </c>
      <c r="H747" s="56" t="n">
        <v>0</v>
      </c>
      <c r="I747" s="56" t="n">
        <v>0</v>
      </c>
    </row>
    <row r="748">
      <c r="B748" s="69" t="inlineStr">
        <is>
          <t>Total increase (decrease) in fair value measurement, assets</t>
        </is>
      </c>
      <c r="C748" s="55" t="inlineStr">
        <is>
          <t>IncreaseDecreaseInFairValueMeasurementAssets</t>
        </is>
      </c>
      <c r="D748" s="58" t="n">
        <v>0</v>
      </c>
      <c r="E748" s="58" t="n">
        <v>0</v>
      </c>
      <c r="F748" s="58" t="n">
        <v>5442000000</v>
      </c>
      <c r="G748" s="58" t="n">
        <v>0</v>
      </c>
      <c r="H748" s="58" t="n">
        <v>0</v>
      </c>
      <c r="I748" s="58" t="n">
        <v>0</v>
      </c>
    </row>
    <row r="749">
      <c r="B749" s="64" t="inlineStr">
        <is>
          <t>Assets at end of period</t>
        </is>
      </c>
      <c r="C749" s="55" t="inlineStr">
        <is>
          <t>AssetsFairValue</t>
        </is>
      </c>
      <c r="D749" s="56" t="n">
        <v>0</v>
      </c>
      <c r="E749" s="56" t="n">
        <v>0</v>
      </c>
      <c r="F749" s="56" t="n">
        <v>20387000000</v>
      </c>
      <c r="G749" s="56" t="n">
        <v>0</v>
      </c>
      <c r="H749" s="56" t="n">
        <v>0</v>
      </c>
      <c r="I749" s="56" t="n">
        <v>0</v>
      </c>
    </row>
    <row r="752" ht="15.5" customHeight="1" s="203">
      <c r="A752" t="inlineStr">
        <is>
          <t>#</t>
        </is>
      </c>
      <c r="B752" s="38" t="inlineStr">
        <is>
          <t>Notes to General: Leases</t>
        </is>
      </c>
    </row>
    <row r="754">
      <c r="C754" s="53" t="inlineStr">
        <is>
          <t>Concept Tag</t>
        </is>
      </c>
      <c r="D754" s="20" t="inlineStr">
        <is>
          <t>FY2017</t>
        </is>
      </c>
      <c r="E754" s="20" t="inlineStr">
        <is>
          <t>FY2018</t>
        </is>
      </c>
      <c r="F754" s="20" t="inlineStr">
        <is>
          <t>FY2019</t>
        </is>
      </c>
      <c r="G754" s="20" t="inlineStr">
        <is>
          <t>FY2020</t>
        </is>
      </c>
      <c r="H754" s="20" t="inlineStr">
        <is>
          <t>FY2021</t>
        </is>
      </c>
      <c r="I754" s="20" t="inlineStr">
        <is>
          <t>FY2022</t>
        </is>
      </c>
    </row>
    <row r="756" ht="15.5" customHeight="1" s="203">
      <c r="B756" s="38" t="inlineStr">
        <is>
          <t>Disclosure of detailed information about right-of-use assets [Abstract]</t>
        </is>
      </c>
    </row>
    <row r="757">
      <c r="B757" s="59" t="inlineStr">
        <is>
          <t>Disclosure of detailed information about right-of-use assets  [Line items]</t>
        </is>
      </c>
    </row>
    <row r="758">
      <c r="B758" s="60" t="inlineStr">
        <is>
          <t>Reconciliation of changes in right-of-use assets [Abstract]</t>
        </is>
      </c>
    </row>
    <row r="759">
      <c r="B759" s="63" t="inlineStr">
        <is>
          <t>Changes in right-of-use assets [Abstract]</t>
        </is>
      </c>
    </row>
    <row r="760">
      <c r="B760" s="68" t="inlineStr">
        <is>
          <t>Depreciation or Amortisation , right-of-use assets  [Abstract]</t>
        </is>
      </c>
    </row>
    <row r="761">
      <c r="B761" s="71" t="inlineStr">
        <is>
          <t>Depreciation recognised in profit or loss</t>
        </is>
      </c>
      <c r="C761" s="55" t="inlineStr">
        <is>
          <t>AmortisationOfRightOfUseAssets</t>
        </is>
      </c>
      <c r="D761" s="56" t="n">
        <v>-714000000</v>
      </c>
      <c r="E761" s="56" t="n">
        <v>-705000000</v>
      </c>
      <c r="F761" s="56" t="n">
        <v>-722000000</v>
      </c>
      <c r="G761" s="56" t="n">
        <v>-888000000</v>
      </c>
      <c r="H761" s="56" t="n">
        <v>-1325000000</v>
      </c>
      <c r="I761" s="56" t="n">
        <v>-1344000000</v>
      </c>
    </row>
    <row r="763" ht="15.5" customHeight="1" s="203">
      <c r="B763" s="38" t="inlineStr">
        <is>
          <t>Disclosure of quantitative information about leases for lessee [Abstract]</t>
        </is>
      </c>
    </row>
    <row r="764">
      <c r="B764" s="54" t="inlineStr">
        <is>
          <t>Interest expense on lease liabilities</t>
        </is>
      </c>
      <c r="C764" s="55" t="inlineStr">
        <is>
          <t>InterestExpenseOnLeaseLiabilities</t>
        </is>
      </c>
      <c r="D764" s="56" t="n">
        <v>0</v>
      </c>
      <c r="E764" s="56" t="n">
        <v>0</v>
      </c>
      <c r="F764" s="56" t="n">
        <v>0</v>
      </c>
      <c r="G764" s="56" t="n">
        <v>681000000</v>
      </c>
      <c r="H764" s="56" t="n">
        <v>699000000</v>
      </c>
      <c r="I764" s="56" t="n">
        <v>601000000</v>
      </c>
    </row>
    <row r="769" ht="15.5" customHeight="1" s="203">
      <c r="B769" s="38" t="inlineStr">
        <is>
          <t>Additional Items (Taxonomy Vintage 2017-03-31)</t>
        </is>
      </c>
    </row>
    <row r="770">
      <c r="B770" s="54" t="inlineStr">
        <is>
          <t>Minimum operating lease payments recognised as expense</t>
        </is>
      </c>
      <c r="C770" s="55" t="inlineStr">
        <is>
          <t>MinimumOperatingLeasePayments</t>
        </is>
      </c>
      <c r="D770" s="56" t="n">
        <v>0</v>
      </c>
      <c r="E770" s="56" t="n">
        <v>0</v>
      </c>
      <c r="F770" s="56" t="n">
        <v>1941000000</v>
      </c>
      <c r="G770" s="56" t="n">
        <v>1408000000</v>
      </c>
      <c r="H770" s="56" t="n">
        <v>1614000000</v>
      </c>
      <c r="I770" s="56" t="n">
        <v>1688000000</v>
      </c>
    </row>
    <row r="771">
      <c r="B771" s="57" t="inlineStr">
        <is>
          <t>Total lease and sublease payments recognised as expense</t>
        </is>
      </c>
      <c r="C771" s="55" t="inlineStr">
        <is>
          <t>LeaseAndSubleasePaymentsRecognisedAsExpense</t>
        </is>
      </c>
      <c r="D771" s="58" t="n">
        <v>0</v>
      </c>
      <c r="E771" s="58" t="n">
        <v>0</v>
      </c>
      <c r="F771" s="58" t="n">
        <v>1941000000</v>
      </c>
      <c r="G771" s="58" t="n">
        <v>1408000000</v>
      </c>
      <c r="H771" s="58" t="n">
        <v>1614000000</v>
      </c>
      <c r="I771" s="58" t="n">
        <v>1688000000</v>
      </c>
    </row>
    <row r="774" ht="15.5" customHeight="1" s="203">
      <c r="A774" t="inlineStr">
        <is>
          <t>#</t>
        </is>
      </c>
      <c r="B774" s="38" t="inlineStr">
        <is>
          <t>Notes to General: Non Current Asset Held For Sale And Discontinued Operations</t>
        </is>
      </c>
    </row>
    <row r="776">
      <c r="C776" s="53" t="inlineStr">
        <is>
          <t>Concept Tag</t>
        </is>
      </c>
      <c r="D776" s="20" t="inlineStr">
        <is>
          <t>FY2017</t>
        </is>
      </c>
      <c r="E776" s="20" t="inlineStr">
        <is>
          <t>FY2018</t>
        </is>
      </c>
      <c r="F776" s="20" t="inlineStr">
        <is>
          <t>FY2019</t>
        </is>
      </c>
      <c r="G776" s="20" t="inlineStr">
        <is>
          <t>FY2020</t>
        </is>
      </c>
      <c r="H776" s="20" t="inlineStr">
        <is>
          <t>FY2021</t>
        </is>
      </c>
      <c r="I776" s="20" t="inlineStr">
        <is>
          <t>FY2022</t>
        </is>
      </c>
    </row>
    <row r="778" ht="15.5" customHeight="1" s="203">
      <c r="B778" s="38" t="inlineStr">
        <is>
          <t>Cash flows from continuing and discontinued operations [Abstract]</t>
        </is>
      </c>
    </row>
    <row r="779">
      <c r="B779" s="59" t="inlineStr">
        <is>
          <t>Cash flows from used in operating activities [Abstract]</t>
        </is>
      </c>
    </row>
    <row r="780">
      <c r="B780" s="62" t="inlineStr">
        <is>
          <t>Net cash flows from (used in) operating activities, continuing operations</t>
        </is>
      </c>
      <c r="C780" s="55" t="inlineStr">
        <is>
          <t>CashFlowsFromUsedInOperatingActivitiesContinuingOperations</t>
        </is>
      </c>
      <c r="D780" s="56" t="n">
        <v>13717000000</v>
      </c>
      <c r="E780" s="56" t="n">
        <v>8438000000</v>
      </c>
      <c r="F780" s="56" t="n">
        <v>13951000000</v>
      </c>
      <c r="G780" s="56" t="n">
        <v>16435000000</v>
      </c>
      <c r="H780" s="56" t="n">
        <v>23996000000</v>
      </c>
      <c r="I780" s="56" t="n">
        <v>16520000000</v>
      </c>
    </row>
    <row r="781">
      <c r="B781" s="67" t="inlineStr">
        <is>
          <t>Net cash flows from (used in) operating activities</t>
        </is>
      </c>
      <c r="C781" s="55" t="inlineStr">
        <is>
          <t>CashFlowsFromUsedInOperatingActivities</t>
        </is>
      </c>
      <c r="D781" s="58" t="n">
        <v>13717000000</v>
      </c>
      <c r="E781" s="58" t="n">
        <v>8438000000</v>
      </c>
      <c r="F781" s="58" t="n">
        <v>13951000000</v>
      </c>
      <c r="G781" s="58" t="n">
        <v>16435000000</v>
      </c>
      <c r="H781" s="58" t="n">
        <v>23996000000</v>
      </c>
      <c r="I781" s="58" t="n">
        <v>16520000000</v>
      </c>
    </row>
    <row r="782">
      <c r="B782" s="59" t="inlineStr">
        <is>
          <t>Cash flows from used in investing activities [Abstract]</t>
        </is>
      </c>
    </row>
    <row r="783">
      <c r="B783" s="62" t="inlineStr">
        <is>
          <t>Net cash flows from (used in) investing activities, continuing operations</t>
        </is>
      </c>
      <c r="C783" s="55" t="inlineStr">
        <is>
          <t>CashFlowsFromUsedInInvestingActivitiesContinuingOperations</t>
        </is>
      </c>
      <c r="D783" s="56" t="n">
        <v>-9510000000</v>
      </c>
      <c r="E783" s="56" t="n">
        <v>-4606000000</v>
      </c>
      <c r="F783" s="56" t="n">
        <v>-7438000000</v>
      </c>
      <c r="G783" s="56" t="n">
        <v>-6520000000</v>
      </c>
      <c r="H783" s="56" t="n">
        <v>-16560000000</v>
      </c>
      <c r="I783" s="56" t="n">
        <v>-9594000000</v>
      </c>
    </row>
    <row r="784">
      <c r="B784" s="67" t="inlineStr">
        <is>
          <t>Net cash flows from (used in) investing activities</t>
        </is>
      </c>
      <c r="C784" s="55" t="inlineStr">
        <is>
          <t>CashFlowsFromUsedInInvestingActivities</t>
        </is>
      </c>
      <c r="D784" s="58" t="n">
        <v>-9510000000</v>
      </c>
      <c r="E784" s="58" t="n">
        <v>-4606000000</v>
      </c>
      <c r="F784" s="58" t="n">
        <v>-7438000000</v>
      </c>
      <c r="G784" s="58" t="n">
        <v>-6520000000</v>
      </c>
      <c r="H784" s="58" t="n">
        <v>-16560000000</v>
      </c>
      <c r="I784" s="58" t="n">
        <v>-9594000000</v>
      </c>
    </row>
    <row r="785">
      <c r="B785" s="59" t="inlineStr">
        <is>
          <t>Cash flows from used in financing activities [Abstract]</t>
        </is>
      </c>
    </row>
    <row r="786">
      <c r="B786" s="62" t="inlineStr">
        <is>
          <t>Net cash flows from (used in) financing activities, continuing operations</t>
        </is>
      </c>
      <c r="C786" s="55" t="inlineStr">
        <is>
          <t>CashFlowsFromUsedInFinancingActivitiesContinuingOperations</t>
        </is>
      </c>
      <c r="D786" s="56" t="n">
        <v>-2353000000</v>
      </c>
      <c r="E786" s="56" t="n">
        <v>-4076000000</v>
      </c>
      <c r="F786" s="56" t="n">
        <v>-5943000000</v>
      </c>
      <c r="G786" s="56" t="n">
        <v>-8900000000</v>
      </c>
      <c r="H786" s="56" t="n">
        <v>-5088000000</v>
      </c>
      <c r="I786" s="56" t="n">
        <v>-10458000000</v>
      </c>
    </row>
    <row r="787">
      <c r="B787" s="67" t="inlineStr">
        <is>
          <t>Net cash flows from (used in) financing activities</t>
        </is>
      </c>
      <c r="C787" s="55" t="inlineStr">
        <is>
          <t>CashFlowsFromUsedInFinancingActivities</t>
        </is>
      </c>
      <c r="D787" s="58" t="n">
        <v>-2353000000</v>
      </c>
      <c r="E787" s="58" t="n">
        <v>-4076000000</v>
      </c>
      <c r="F787" s="58" t="n">
        <v>-5943000000</v>
      </c>
      <c r="G787" s="58" t="n">
        <v>-8900000000</v>
      </c>
      <c r="H787" s="58" t="n">
        <v>-5088000000</v>
      </c>
      <c r="I787" s="58" t="n">
        <v>-10458000000</v>
      </c>
    </row>
    <row r="790" ht="15.5" customHeight="1" s="203">
      <c r="A790" t="inlineStr">
        <is>
          <t>#</t>
        </is>
      </c>
      <c r="B790" s="38" t="inlineStr">
        <is>
          <t>Notes to General: Operating Segments</t>
        </is>
      </c>
    </row>
    <row r="792">
      <c r="C792" s="53" t="inlineStr">
        <is>
          <t>Concept Tag</t>
        </is>
      </c>
      <c r="D792" s="20" t="inlineStr">
        <is>
          <t>FY2017</t>
        </is>
      </c>
      <c r="E792" s="20" t="inlineStr">
        <is>
          <t>FY2018</t>
        </is>
      </c>
      <c r="F792" s="20" t="inlineStr">
        <is>
          <t>FY2019</t>
        </is>
      </c>
      <c r="G792" s="20" t="inlineStr">
        <is>
          <t>FY2020</t>
        </is>
      </c>
      <c r="H792" s="20" t="inlineStr">
        <is>
          <t>FY2021</t>
        </is>
      </c>
      <c r="I792" s="20" t="inlineStr">
        <is>
          <t>FY2022</t>
        </is>
      </c>
    </row>
    <row r="793">
      <c r="B793" s="59" t="inlineStr">
        <is>
          <t>Disclosure of reportable segments [Abstract]</t>
        </is>
      </c>
    </row>
    <row r="794">
      <c r="B794" s="60" t="inlineStr">
        <is>
          <t>Disclosure of reportable segments [Line items]</t>
        </is>
      </c>
    </row>
    <row r="795">
      <c r="B795" s="61" t="inlineStr">
        <is>
          <t>Revenue primary reportable segment</t>
        </is>
      </c>
      <c r="C795" s="55" t="inlineStr">
        <is>
          <t>RevenuePrimaryReportableSegment</t>
        </is>
      </c>
      <c r="D795" s="56" t="n">
        <v>65009000000</v>
      </c>
      <c r="E795" s="56" t="n">
        <v>73065000000</v>
      </c>
      <c r="F795" s="56" t="n">
        <v>94458000000</v>
      </c>
      <c r="G795" s="56" t="n">
        <v>108786000000</v>
      </c>
      <c r="H795" s="56" t="n">
        <v>123698000000</v>
      </c>
      <c r="I795" s="56" t="n">
        <v>156687000000</v>
      </c>
    </row>
    <row r="796">
      <c r="B796" s="65" t="inlineStr">
        <is>
          <t>Total revenues from external customers and transactions with other reportable segments of same enterprise reportable segment</t>
        </is>
      </c>
      <c r="C796" s="55" t="inlineStr">
        <is>
          <t>RevenuesFromExternalCustomersAndTransactionsWithOtherReportableSegmentsOfSameEnterpriseReportableSegment</t>
        </is>
      </c>
      <c r="D796" s="58" t="n">
        <v>65009000000</v>
      </c>
      <c r="E796" s="58" t="n">
        <v>73065000000</v>
      </c>
      <c r="F796" s="58" t="n">
        <v>94458000000</v>
      </c>
      <c r="G796" s="58" t="n">
        <v>108786000000</v>
      </c>
      <c r="H796" s="58" t="n">
        <v>123698000000</v>
      </c>
      <c r="I796" s="58" t="n">
        <v>156687000000</v>
      </c>
    </row>
    <row r="797">
      <c r="B797" s="63" t="inlineStr">
        <is>
          <t>Interest revenue expense reportable segment [Abstract]</t>
        </is>
      </c>
    </row>
    <row r="798">
      <c r="B798" s="64" t="inlineStr">
        <is>
          <t>Interest income reportable segment</t>
        </is>
      </c>
      <c r="C798" s="55" t="inlineStr">
        <is>
          <t>RevenueFromInterestReportableSegment</t>
        </is>
      </c>
      <c r="D798" s="56" t="n">
        <v>0</v>
      </c>
      <c r="E798" s="56" t="n">
        <v>4259000000</v>
      </c>
      <c r="F798" s="56" t="n">
        <v>0</v>
      </c>
      <c r="G798" s="56" t="n">
        <v>0</v>
      </c>
      <c r="H798" s="56" t="n">
        <v>0</v>
      </c>
      <c r="I798" s="56" t="n">
        <v>0</v>
      </c>
    </row>
    <row r="799">
      <c r="B799" s="64" t="inlineStr">
        <is>
          <t>Interest expense reportable segment</t>
        </is>
      </c>
      <c r="C799" s="55" t="inlineStr">
        <is>
          <t>InterestExpenseReportableSegment</t>
        </is>
      </c>
      <c r="D799" s="56" t="n">
        <v>0</v>
      </c>
      <c r="E799" s="56" t="n">
        <v>158000000</v>
      </c>
      <c r="F799" s="56" t="n">
        <v>0</v>
      </c>
      <c r="G799" s="56" t="n">
        <v>0</v>
      </c>
      <c r="H799" s="56" t="n">
        <v>0</v>
      </c>
      <c r="I799" s="56" t="n">
        <v>0</v>
      </c>
    </row>
    <row r="800">
      <c r="B800" s="66" t="inlineStr">
        <is>
          <t>Total interest income (expense) reportable segment</t>
        </is>
      </c>
      <c r="C800" s="55" t="inlineStr">
        <is>
          <t>InterestRevenueExpenseReportableSegment</t>
        </is>
      </c>
      <c r="D800" s="58" t="n">
        <v>0</v>
      </c>
      <c r="E800" s="58" t="n">
        <v>4101000000</v>
      </c>
      <c r="F800" s="58" t="n">
        <v>0</v>
      </c>
      <c r="G800" s="58" t="n">
        <v>0</v>
      </c>
      <c r="H800" s="58" t="n">
        <v>0</v>
      </c>
      <c r="I800" s="58" t="n">
        <v>0</v>
      </c>
    </row>
    <row r="801">
      <c r="B801" s="61" t="inlineStr">
        <is>
          <t>Depreciation and amortisation expense reportable segment</t>
        </is>
      </c>
      <c r="C801" s="55" t="inlineStr">
        <is>
          <t>DepreciationAndAmortisationExpenseReportableSegment</t>
        </is>
      </c>
      <c r="D801" s="56" t="n">
        <v>0</v>
      </c>
      <c r="E801" s="56" t="n">
        <v>1563000000</v>
      </c>
      <c r="F801" s="56" t="n">
        <v>0</v>
      </c>
      <c r="G801" s="56" t="n">
        <v>0</v>
      </c>
      <c r="H801" s="56" t="n">
        <v>0</v>
      </c>
      <c r="I801" s="56" t="n">
        <v>0</v>
      </c>
    </row>
    <row r="802">
      <c r="B802" s="61" t="inlineStr">
        <is>
          <t>Profit (loss) reportable segment</t>
        </is>
      </c>
      <c r="C802" s="55" t="inlineStr">
        <is>
          <t>ProfitLossReportableSegment</t>
        </is>
      </c>
      <c r="D802" s="56" t="n">
        <v>16408000000</v>
      </c>
      <c r="E802" s="56" t="n">
        <v>12766000000</v>
      </c>
      <c r="F802" s="56" t="n">
        <v>19147000000</v>
      </c>
      <c r="G802" s="56" t="n">
        <v>20842000000</v>
      </c>
      <c r="H802" s="56" t="n">
        <v>27454000000</v>
      </c>
      <c r="I802" s="56" t="n">
        <v>31120000000</v>
      </c>
    </row>
    <row r="803">
      <c r="B803" s="59" t="inlineStr">
        <is>
          <t>Disclosure of products and services [Abstract]</t>
        </is>
      </c>
    </row>
    <row r="804">
      <c r="B804" s="60" t="inlineStr">
        <is>
          <t>Disclosure of products and services [Line items]</t>
        </is>
      </c>
    </row>
    <row r="805">
      <c r="B805" s="61" t="inlineStr">
        <is>
          <t>Revenue from external customers</t>
        </is>
      </c>
      <c r="C805" s="55" t="inlineStr">
        <is>
          <t>RevenueFromExternalCustomers</t>
        </is>
      </c>
      <c r="D805" s="56" t="n">
        <v>65009000000</v>
      </c>
      <c r="E805" s="56" t="n">
        <v>73065000000</v>
      </c>
      <c r="F805" s="56" t="n">
        <v>94458000000</v>
      </c>
      <c r="G805" s="56" t="n">
        <v>108786000000</v>
      </c>
      <c r="H805" s="56" t="n">
        <v>123698000000</v>
      </c>
      <c r="I805" s="56" t="n">
        <v>156687000000</v>
      </c>
    </row>
    <row r="806">
      <c r="B806" s="59" t="inlineStr">
        <is>
          <t>Disclosure of geographical areas [Abstract]</t>
        </is>
      </c>
    </row>
    <row r="807">
      <c r="B807" s="60" t="inlineStr">
        <is>
          <t>Disclosure of geographical areas [Line items]</t>
        </is>
      </c>
    </row>
    <row r="808">
      <c r="B808" s="61" t="inlineStr">
        <is>
          <t>Revenue from external customers</t>
        </is>
      </c>
      <c r="C808" s="55" t="inlineStr">
        <is>
          <t>RevenueFromExternalCustomers</t>
        </is>
      </c>
      <c r="D808" s="56" t="n">
        <v>65009000000</v>
      </c>
      <c r="E808" s="56" t="n">
        <v>73065000000</v>
      </c>
      <c r="F808" s="56" t="n">
        <v>94458000000</v>
      </c>
      <c r="G808" s="56" t="n">
        <v>108786000000</v>
      </c>
      <c r="H808" s="56" t="n">
        <v>123698000000</v>
      </c>
      <c r="I808" s="56" t="n">
        <v>156687000000</v>
      </c>
    </row>
    <row r="809">
      <c r="B809" s="59" t="inlineStr">
        <is>
          <t>Disclosure of major customers [Abstract]</t>
        </is>
      </c>
    </row>
    <row r="810">
      <c r="B810" s="60" t="inlineStr">
        <is>
          <t>Disclosure of major customers [Line items]</t>
        </is>
      </c>
    </row>
    <row r="811">
      <c r="B811" s="61" t="inlineStr">
        <is>
          <t>Revenue from external customers</t>
        </is>
      </c>
      <c r="C811" s="55" t="inlineStr">
        <is>
          <t>RevenueFromExternalCustomers</t>
        </is>
      </c>
      <c r="D811" s="56" t="n">
        <v>65009000000</v>
      </c>
      <c r="E811" s="56" t="n">
        <v>73065000000</v>
      </c>
      <c r="F811" s="56" t="n">
        <v>94458000000</v>
      </c>
      <c r="G811" s="56" t="n">
        <v>108786000000</v>
      </c>
      <c r="H811" s="56" t="n">
        <v>123698000000</v>
      </c>
      <c r="I811" s="56" t="n">
        <v>156687000000</v>
      </c>
    </row>
  </sheetData>
  <pageMargins left="0.75" right="0.75" top="1" bottom="1" header="0.5" footer="0.5"/>
</worksheet>
</file>

<file path=xl/worksheets/sheet20.xml><?xml version="1.0" encoding="utf-8"?>
<worksheet xmlns="http://schemas.openxmlformats.org/spreadsheetml/2006/main">
  <sheetPr>
    <tabColor rgb="001F4E78"/>
    <outlinePr summaryBelow="1" summaryRight="1"/>
    <pageSetUpPr/>
  </sheetPr>
  <dimension ref="A1:I779"/>
  <sheetViews>
    <sheetView workbookViewId="0">
      <selection activeCell="A1" sqref="A1"/>
    </sheetView>
  </sheetViews>
  <sheetFormatPr baseColWidth="8" defaultRowHeight="14.5"/>
  <cols>
    <col width="3" customWidth="1" style="203" min="1" max="1"/>
    <col width="62" customWidth="1" style="203" min="2" max="2"/>
    <col width="42" customWidth="1" style="203" min="3" max="3"/>
    <col width="22" customWidth="1" style="203" min="4" max="9"/>
  </cols>
  <sheetData>
    <row r="1" ht="18.5" customHeight="1" s="203">
      <c r="B1" s="52" t="inlineStr">
        <is>
          <t>LTIMindtree</t>
        </is>
      </c>
    </row>
    <row r="3">
      <c r="A3" t="inlineStr">
        <is>
          <t>#</t>
        </is>
      </c>
      <c r="B3" s="20" t="inlineStr">
        <is>
          <t>Statement of Profit and Loss</t>
        </is>
      </c>
    </row>
    <row r="4">
      <c r="B4" t="inlineStr">
        <is>
          <t>Raw units, no conversion applied -- source varies by year, see Output/XBRL_Files filenames (_MCA = MCA XBRL, _NSE = NSE Integrated Filing XBRL)</t>
        </is>
      </c>
    </row>
    <row r="6">
      <c r="C6" s="53" t="inlineStr">
        <is>
          <t>Concept Tag</t>
        </is>
      </c>
      <c r="D6" s="20" t="inlineStr">
        <is>
          <t>FY2017</t>
        </is>
      </c>
      <c r="E6" s="20" t="inlineStr">
        <is>
          <t>FY2018</t>
        </is>
      </c>
      <c r="F6" s="20" t="inlineStr">
        <is>
          <t>FY2019</t>
        </is>
      </c>
      <c r="G6" s="20" t="inlineStr">
        <is>
          <t>FY2020</t>
        </is>
      </c>
      <c r="H6" s="20" t="inlineStr">
        <is>
          <t>FY2021</t>
        </is>
      </c>
      <c r="I6" s="20" t="inlineStr">
        <is>
          <t>FY2022</t>
        </is>
      </c>
    </row>
    <row r="7" ht="15.5" customHeight="1" s="203">
      <c r="B7" s="38" t="inlineStr">
        <is>
          <t>Income [Abstract]</t>
        </is>
      </c>
    </row>
    <row r="8">
      <c r="B8" s="54" t="inlineStr">
        <is>
          <t>Total revenue from operations</t>
        </is>
      </c>
      <c r="C8" s="55" t="inlineStr">
        <is>
          <t>RevenueFromOperations</t>
        </is>
      </c>
      <c r="D8" s="56" t="n">
        <v>61829000000</v>
      </c>
      <c r="E8" s="56" t="n">
        <v>69064000000</v>
      </c>
      <c r="F8" s="56" t="n">
        <v>89072000000</v>
      </c>
      <c r="G8" s="56" t="n">
        <v>101842000000</v>
      </c>
      <c r="H8" s="56" t="n">
        <v>115626000000</v>
      </c>
      <c r="I8" s="56" t="n">
        <v>144064000000</v>
      </c>
    </row>
    <row r="9">
      <c r="B9" s="54" t="inlineStr">
        <is>
          <t>Total other income</t>
        </is>
      </c>
      <c r="C9" s="55" t="inlineStr">
        <is>
          <t>OtherIncome</t>
        </is>
      </c>
      <c r="D9" s="56" t="n">
        <v>1983000000</v>
      </c>
      <c r="E9" s="56" t="n">
        <v>5254000000</v>
      </c>
      <c r="F9" s="56" t="n">
        <v>3290000000</v>
      </c>
      <c r="G9" s="56" t="n">
        <v>4217000000</v>
      </c>
      <c r="H9" s="56" t="n">
        <v>2247000000</v>
      </c>
      <c r="I9" s="56" t="n">
        <v>5891000000</v>
      </c>
    </row>
    <row r="10">
      <c r="B10" s="57" t="inlineStr">
        <is>
          <t>Total income</t>
        </is>
      </c>
      <c r="C10" s="55" t="inlineStr">
        <is>
          <t>Income</t>
        </is>
      </c>
      <c r="D10" s="58" t="n">
        <v>63812000000</v>
      </c>
      <c r="E10" s="58" t="n">
        <v>74318000000</v>
      </c>
      <c r="F10" s="58" t="n">
        <v>92362000000</v>
      </c>
      <c r="G10" s="58" t="n">
        <v>106059000000</v>
      </c>
      <c r="H10" s="58" t="n">
        <v>117873000000</v>
      </c>
      <c r="I10" s="58" t="n">
        <v>149955000000</v>
      </c>
    </row>
    <row r="11" ht="15.5" customHeight="1" s="203">
      <c r="B11" s="38" t="inlineStr">
        <is>
          <t>Expenses [Abstract]</t>
        </is>
      </c>
    </row>
    <row r="12">
      <c r="B12" s="54" t="inlineStr">
        <is>
          <t>Total employee benefit expense</t>
        </is>
      </c>
      <c r="C12" s="55" t="inlineStr">
        <is>
          <t>EmployeeBenefitExpense</t>
        </is>
      </c>
      <c r="D12" s="56" t="n">
        <v>36086000000</v>
      </c>
      <c r="E12" s="56" t="n">
        <v>41348000000</v>
      </c>
      <c r="F12" s="56" t="n">
        <v>51287000000</v>
      </c>
      <c r="G12" s="56" t="n">
        <v>59828000000</v>
      </c>
      <c r="H12" s="56" t="n">
        <v>68038000000</v>
      </c>
      <c r="I12" s="56" t="n">
        <v>85900000000</v>
      </c>
    </row>
    <row r="13">
      <c r="B13" s="54" t="inlineStr">
        <is>
          <t>Total finance costs</t>
        </is>
      </c>
      <c r="C13" s="55" t="inlineStr">
        <is>
          <t>FinanceCosts</t>
        </is>
      </c>
      <c r="D13" s="56" t="n">
        <v>32000000</v>
      </c>
      <c r="E13" s="56" t="n">
        <v>138000000</v>
      </c>
      <c r="F13" s="56" t="n">
        <v>43000000</v>
      </c>
      <c r="G13" s="56" t="n">
        <v>720000000</v>
      </c>
      <c r="H13" s="56" t="n">
        <v>716000000</v>
      </c>
      <c r="I13" s="56" t="n">
        <v>681000000</v>
      </c>
    </row>
    <row r="14">
      <c r="B14" s="54" t="inlineStr">
        <is>
          <t>Total depreciation, depletion and amortisation expense</t>
        </is>
      </c>
      <c r="C14" s="55" t="inlineStr">
        <is>
          <t>DepreciationDepletionAndAmortisationExpense</t>
        </is>
      </c>
      <c r="D14" s="56" t="n">
        <v>1089000000</v>
      </c>
      <c r="E14" s="56" t="n">
        <v>913000000</v>
      </c>
      <c r="F14" s="56" t="n">
        <v>881000000</v>
      </c>
      <c r="G14" s="56" t="n">
        <v>2084000000</v>
      </c>
      <c r="H14" s="56" t="n">
        <v>2669000000</v>
      </c>
      <c r="I14" s="56" t="n">
        <v>2881000000</v>
      </c>
    </row>
    <row r="15">
      <c r="B15" s="54" t="inlineStr">
        <is>
          <t>Total other expenses</t>
        </is>
      </c>
      <c r="C15" s="55" t="inlineStr">
        <is>
          <t>OtherExpenses</t>
        </is>
      </c>
      <c r="D15" s="56" t="n">
        <v>14763000000</v>
      </c>
      <c r="E15" s="56" t="n">
        <v>17235000000</v>
      </c>
      <c r="F15" s="56" t="n">
        <v>20554000000</v>
      </c>
      <c r="G15" s="56" t="n">
        <v>23357000000</v>
      </c>
      <c r="H15" s="56" t="n">
        <v>22540000000</v>
      </c>
      <c r="I15" s="56" t="n">
        <v>30389000000</v>
      </c>
    </row>
    <row r="16">
      <c r="B16" s="57" t="inlineStr">
        <is>
          <t>Total expenses</t>
        </is>
      </c>
      <c r="C16" s="55" t="inlineStr">
        <is>
          <t>Expenses</t>
        </is>
      </c>
      <c r="D16" s="58" t="n">
        <v>51970000000</v>
      </c>
      <c r="E16" s="58" t="n">
        <v>59634000000</v>
      </c>
      <c r="F16" s="58" t="n">
        <v>72765000000</v>
      </c>
      <c r="G16" s="58" t="n">
        <v>85989000000</v>
      </c>
      <c r="H16" s="58" t="n">
        <v>93963000000</v>
      </c>
      <c r="I16" s="58" t="n">
        <v>119851000000</v>
      </c>
    </row>
    <row r="17">
      <c r="B17" s="8" t="inlineStr">
        <is>
          <t>Profit before exceptional items and tax</t>
        </is>
      </c>
      <c r="C17" s="55" t="inlineStr">
        <is>
          <t>ProfitBeforeExceptionalItemsAndTax</t>
        </is>
      </c>
      <c r="D17" s="58" t="n">
        <v>11842000000</v>
      </c>
      <c r="E17" s="58" t="n">
        <v>14684000000</v>
      </c>
      <c r="F17" s="58" t="n">
        <v>19597000000</v>
      </c>
      <c r="G17" s="58" t="n">
        <v>20070000000</v>
      </c>
      <c r="H17" s="58" t="n">
        <v>23910000000</v>
      </c>
      <c r="I17" s="58" t="n">
        <v>30104000000</v>
      </c>
    </row>
    <row r="18">
      <c r="B18" s="8" t="inlineStr">
        <is>
          <t>Total profit before tax</t>
        </is>
      </c>
      <c r="C18" s="55" t="inlineStr">
        <is>
          <t>ProfitBeforeTax</t>
        </is>
      </c>
      <c r="D18" s="58" t="n">
        <v>11842000000</v>
      </c>
      <c r="E18" s="58" t="n">
        <v>14684000000</v>
      </c>
      <c r="F18" s="58" t="n">
        <v>19597000000</v>
      </c>
      <c r="G18" s="58" t="n">
        <v>20070000000</v>
      </c>
      <c r="H18" s="58" t="n">
        <v>23910000000</v>
      </c>
      <c r="I18" s="58" t="n">
        <v>30104000000</v>
      </c>
    </row>
    <row r="19" ht="15.5" customHeight="1" s="203">
      <c r="B19" s="38" t="inlineStr">
        <is>
          <t>Tax expense [Abstract]</t>
        </is>
      </c>
    </row>
    <row r="20">
      <c r="B20" s="54" t="inlineStr">
        <is>
          <t>Total current tax</t>
        </is>
      </c>
      <c r="C20" s="55" t="inlineStr">
        <is>
          <t>CurrentTax</t>
        </is>
      </c>
      <c r="D20" s="56" t="n">
        <v>2934000000</v>
      </c>
      <c r="E20" s="56" t="n">
        <v>3330000000</v>
      </c>
      <c r="F20" s="56" t="n">
        <v>4476000000</v>
      </c>
      <c r="G20" s="56" t="n">
        <v>3530000000</v>
      </c>
      <c r="H20" s="56" t="n">
        <v>5841000000</v>
      </c>
      <c r="I20" s="56" t="n">
        <v>7696000000</v>
      </c>
    </row>
    <row r="21">
      <c r="B21" s="54" t="inlineStr">
        <is>
          <t>Deferred tax</t>
        </is>
      </c>
      <c r="C21" s="55" t="inlineStr">
        <is>
          <t>DeferredTax</t>
        </is>
      </c>
      <c r="D21" s="56" t="n">
        <v>-468000000</v>
      </c>
      <c r="E21" s="56" t="n">
        <v>-247000000</v>
      </c>
      <c r="F21" s="56" t="n">
        <v>370000000</v>
      </c>
      <c r="G21" s="56" t="n">
        <v>1016000000</v>
      </c>
      <c r="H21" s="56" t="n">
        <v>195000000</v>
      </c>
      <c r="I21" s="56" t="n">
        <v>-201000000</v>
      </c>
    </row>
    <row r="22">
      <c r="B22" s="57" t="inlineStr">
        <is>
          <t>Total tax expense</t>
        </is>
      </c>
      <c r="C22" s="55" t="inlineStr">
        <is>
          <t>TaxExpense</t>
        </is>
      </c>
      <c r="D22" s="58" t="n">
        <v>2466000000</v>
      </c>
      <c r="E22" s="58" t="n">
        <v>3083000000</v>
      </c>
      <c r="F22" s="58" t="n">
        <v>4846000000</v>
      </c>
      <c r="G22" s="58" t="n">
        <v>4546000000</v>
      </c>
      <c r="H22" s="58" t="n">
        <v>6036000000</v>
      </c>
      <c r="I22" s="58" t="n">
        <v>7495000000</v>
      </c>
    </row>
    <row r="23">
      <c r="B23" s="8" t="inlineStr">
        <is>
          <t>Total profit (loss) for period from continuing operations</t>
        </is>
      </c>
      <c r="C23" s="55" t="inlineStr">
        <is>
          <t>ProfitLossForPeriodFromContinuingOperations</t>
        </is>
      </c>
      <c r="D23" s="58" t="n">
        <v>9376000000</v>
      </c>
      <c r="E23" s="58" t="n">
        <v>11601000000</v>
      </c>
      <c r="F23" s="58" t="n">
        <v>14751000000</v>
      </c>
      <c r="G23" s="58" t="n">
        <v>15524000000</v>
      </c>
      <c r="H23" s="58" t="n">
        <v>17874000000</v>
      </c>
      <c r="I23" s="58" t="n">
        <v>22609000000</v>
      </c>
    </row>
    <row r="24">
      <c r="B24" s="8" t="inlineStr">
        <is>
          <t>Total profit (loss) for period</t>
        </is>
      </c>
      <c r="C24" s="55" t="inlineStr">
        <is>
          <t>ProfitLossForPeriod</t>
        </is>
      </c>
      <c r="D24" s="58" t="n">
        <v>9376000000</v>
      </c>
      <c r="E24" s="58" t="n">
        <v>11601000000</v>
      </c>
      <c r="F24" s="58" t="n">
        <v>14751000000</v>
      </c>
      <c r="G24" s="58" t="n">
        <v>15524000000</v>
      </c>
      <c r="H24" s="58" t="n">
        <v>17874000000</v>
      </c>
      <c r="I24" s="58" t="n">
        <v>22609000000</v>
      </c>
    </row>
    <row r="25" ht="15.5" customHeight="1" s="203">
      <c r="B25" s="38" t="inlineStr">
        <is>
          <t>Comprehensive income OCI components presented net of tax [Abstract]</t>
        </is>
      </c>
    </row>
    <row r="26">
      <c r="B26" s="59" t="inlineStr">
        <is>
          <t>Other comprehensive income net of tax [Abstract]</t>
        </is>
      </c>
    </row>
    <row r="27">
      <c r="B27" s="60" t="inlineStr">
        <is>
          <t>Components of other comprehensive income that will not be reclassified to profit or loss, net of tax [Abstract]</t>
        </is>
      </c>
    </row>
    <row r="28">
      <c r="B28" s="61" t="inlineStr">
        <is>
          <t>Other comprehensive income, net of tax, gains (losses) on remeasurements of defined benefit plans</t>
        </is>
      </c>
      <c r="C28" s="55" t="inlineStr">
        <is>
          <t>OtherComprehensiveIncomeNetOfTaxGainsLossesOnRemeasurementsOfDefinedBenefitPlans</t>
        </is>
      </c>
      <c r="D28" s="56" t="n">
        <v>0</v>
      </c>
      <c r="E28" s="56" t="n">
        <v>0</v>
      </c>
      <c r="F28" s="56" t="n">
        <v>41000000</v>
      </c>
      <c r="G28" s="56" t="n">
        <v>0</v>
      </c>
      <c r="H28" s="56" t="n">
        <v>0</v>
      </c>
      <c r="I28" s="56" t="n">
        <v>0</v>
      </c>
    </row>
    <row r="29">
      <c r="B29" s="62" t="inlineStr">
        <is>
          <t>Total other comprehensive income that will not be reclassified to profit or loss, net of tax</t>
        </is>
      </c>
      <c r="C29" s="55" t="inlineStr">
        <is>
          <t>OtherComprehensiveIncomeThatWillNotBeReclassifiedToProfitOrLossNetOfTax</t>
        </is>
      </c>
      <c r="D29" s="56" t="n">
        <v>0</v>
      </c>
      <c r="E29" s="56" t="n">
        <v>0</v>
      </c>
      <c r="F29" s="56" t="n">
        <v>41000000</v>
      </c>
      <c r="G29" s="56" t="n">
        <v>0</v>
      </c>
      <c r="H29" s="56" t="n">
        <v>0</v>
      </c>
      <c r="I29" s="56" t="n">
        <v>0</v>
      </c>
    </row>
    <row r="30">
      <c r="B30" s="60" t="inlineStr">
        <is>
          <t>Components of other comprehensive income that will be reclassified to profit or loss, net of tax [Abstract]</t>
        </is>
      </c>
    </row>
    <row r="31">
      <c r="B31" s="63" t="inlineStr">
        <is>
          <t>Cash flow hedges net of tax [Abstract]</t>
        </is>
      </c>
    </row>
    <row r="32">
      <c r="B32" s="64" t="inlineStr">
        <is>
          <t>Gains (losses) on cash flow hedges, net of tax</t>
        </is>
      </c>
      <c r="C32" s="55" t="inlineStr">
        <is>
          <t>GainsLossesOnCashFlowHedgesNetOfTax</t>
        </is>
      </c>
      <c r="D32" s="56" t="n">
        <v>0</v>
      </c>
      <c r="E32" s="56" t="n">
        <v>0</v>
      </c>
      <c r="F32" s="56" t="n">
        <v>217000000</v>
      </c>
      <c r="G32" s="56" t="n">
        <v>0</v>
      </c>
      <c r="H32" s="56" t="n">
        <v>0</v>
      </c>
      <c r="I32" s="56" t="n">
        <v>0</v>
      </c>
    </row>
    <row r="33">
      <c r="B33" s="64" t="inlineStr">
        <is>
          <t>Total other comprehensive income, net of tax, cash flow hedges</t>
        </is>
      </c>
      <c r="C33" s="55" t="inlineStr">
        <is>
          <t>OtherComprehensiveIncomeNetOfTaxCashFlowHedges</t>
        </is>
      </c>
      <c r="D33" s="56" t="n">
        <v>0</v>
      </c>
      <c r="E33" s="56" t="n">
        <v>0</v>
      </c>
      <c r="F33" s="56" t="n">
        <v>217000000</v>
      </c>
      <c r="G33" s="56" t="n">
        <v>0</v>
      </c>
      <c r="H33" s="56" t="n">
        <v>0</v>
      </c>
      <c r="I33" s="56" t="n">
        <v>0</v>
      </c>
    </row>
    <row r="34">
      <c r="B34" s="62" t="inlineStr">
        <is>
          <t>Total other comprehensive income that will be reclassified to profit or loss, net of tax</t>
        </is>
      </c>
      <c r="C34" s="55" t="inlineStr">
        <is>
          <t>OtherComprehensiveIncomeThatWillBeReclassifiedToProfitOrLossNetOfTax</t>
        </is>
      </c>
      <c r="D34" s="56" t="n">
        <v>0</v>
      </c>
      <c r="E34" s="56" t="n">
        <v>0</v>
      </c>
      <c r="F34" s="56" t="n">
        <v>217000000</v>
      </c>
      <c r="G34" s="56" t="n">
        <v>0</v>
      </c>
      <c r="H34" s="56" t="n">
        <v>0</v>
      </c>
      <c r="I34" s="56" t="n">
        <v>0</v>
      </c>
    </row>
    <row r="35">
      <c r="B35" s="62" t="inlineStr">
        <is>
          <t>Total other comprehensive income</t>
        </is>
      </c>
      <c r="C35" s="55" t="inlineStr">
        <is>
          <t>OtherComprehensiveIncome</t>
        </is>
      </c>
      <c r="D35" s="56" t="n">
        <v>2159000000</v>
      </c>
      <c r="E35" s="56" t="n">
        <v>-994000000</v>
      </c>
      <c r="F35" s="56" t="n">
        <v>258000000</v>
      </c>
      <c r="G35" s="56" t="n">
        <v>-4381000000</v>
      </c>
      <c r="H35" s="56" t="n">
        <v>4386000000</v>
      </c>
      <c r="I35" s="56" t="n">
        <v>643000000</v>
      </c>
    </row>
    <row r="36">
      <c r="B36" s="60" t="inlineStr">
        <is>
          <t>Other comprehensive income attributable to net of tax [Abstract]</t>
        </is>
      </c>
    </row>
    <row r="37">
      <c r="B37" s="61" t="inlineStr">
        <is>
          <t>Total comprehensive income</t>
        </is>
      </c>
      <c r="C37" s="55" t="inlineStr">
        <is>
          <t>ComprehensiveIncome</t>
        </is>
      </c>
      <c r="D37" s="56" t="n">
        <v>11535000000</v>
      </c>
      <c r="E37" s="56" t="n">
        <v>10607000000</v>
      </c>
      <c r="F37" s="56" t="n">
        <v>15009000000</v>
      </c>
      <c r="G37" s="56" t="n">
        <v>11143000000</v>
      </c>
      <c r="H37" s="56" t="n">
        <v>22260000000</v>
      </c>
      <c r="I37" s="56" t="n">
        <v>23252000000</v>
      </c>
    </row>
    <row r="38">
      <c r="B38" s="54" t="inlineStr">
        <is>
          <t>Total comprehensive income</t>
        </is>
      </c>
      <c r="C38" s="55" t="inlineStr">
        <is>
          <t>ComprehensiveIncome</t>
        </is>
      </c>
      <c r="D38" s="56" t="n">
        <v>11535000000</v>
      </c>
      <c r="E38" s="56" t="n">
        <v>10607000000</v>
      </c>
      <c r="F38" s="56" t="n">
        <v>15009000000</v>
      </c>
      <c r="G38" s="56" t="n">
        <v>11143000000</v>
      </c>
      <c r="H38" s="56" t="n">
        <v>22260000000</v>
      </c>
      <c r="I38" s="56" t="n">
        <v>23252000000</v>
      </c>
    </row>
    <row r="39" ht="15.5" customHeight="1" s="203">
      <c r="B39" s="38" t="inlineStr">
        <is>
          <t>Comprehensive income OCI components presented before tax [Abstract]</t>
        </is>
      </c>
    </row>
    <row r="40">
      <c r="B40" s="59" t="inlineStr">
        <is>
          <t>Other comprehensive income before tax [Abstract]</t>
        </is>
      </c>
    </row>
    <row r="41">
      <c r="B41" s="60" t="inlineStr">
        <is>
          <t>Components of other comprehensive income that will not be reclassified to profit or loss, before tax [Abstract]</t>
        </is>
      </c>
    </row>
    <row r="42">
      <c r="B42" s="61" t="inlineStr">
        <is>
          <t>Other comprehensive income, before tax, gains (losses) on remeasurements of defined benefit plans</t>
        </is>
      </c>
      <c r="C42" s="55" t="inlineStr">
        <is>
          <t>OtherComprehensiveIncomeBeforeTaxGainsLossesOnRemeasurementsOfDefinedBenefitPlans</t>
        </is>
      </c>
      <c r="D42" s="56" t="n">
        <v>-57000000</v>
      </c>
      <c r="E42" s="56" t="n">
        <v>80000000</v>
      </c>
      <c r="F42" s="56" t="n">
        <v>55000000</v>
      </c>
      <c r="G42" s="56" t="n">
        <v>14000000</v>
      </c>
      <c r="H42" s="56" t="n">
        <v>50000000</v>
      </c>
      <c r="I42" s="56" t="n">
        <v>33000000</v>
      </c>
    </row>
    <row r="43">
      <c r="B43" s="62" t="inlineStr">
        <is>
          <t>Total other comprehensive income that will not be reclassified to profit or loss, before tax</t>
        </is>
      </c>
      <c r="C43" s="55" t="inlineStr">
        <is>
          <t>OtherComprehensiveIncomeThatWillNotBeReclassifiedToProfitOrLossBeforeTax</t>
        </is>
      </c>
      <c r="D43" s="56" t="n">
        <v>-57000000</v>
      </c>
      <c r="E43" s="56" t="n">
        <v>80000000</v>
      </c>
      <c r="F43" s="56" t="n">
        <v>55000000</v>
      </c>
      <c r="G43" s="56" t="n">
        <v>14000000</v>
      </c>
      <c r="H43" s="56" t="n">
        <v>50000000</v>
      </c>
      <c r="I43" s="56" t="n">
        <v>33000000</v>
      </c>
    </row>
    <row r="44">
      <c r="B44" s="60" t="inlineStr">
        <is>
          <t>Components of other comprehensive income that will be reclassified to profit or loss, before tax [Abstract]</t>
        </is>
      </c>
    </row>
    <row r="45">
      <c r="B45" s="63" t="inlineStr">
        <is>
          <t>Cash flow hedges before tax [Abstract]</t>
        </is>
      </c>
    </row>
    <row r="46">
      <c r="B46" s="64" t="inlineStr">
        <is>
          <t>Gains (losses) on cash flow hedges, before tax</t>
        </is>
      </c>
      <c r="C46" s="55" t="inlineStr">
        <is>
          <t>GainsLossesOnCashFlowHedgesBeforeTax</t>
        </is>
      </c>
      <c r="D46" s="56" t="n">
        <v>3181000000</v>
      </c>
      <c r="E46" s="56" t="n">
        <v>-1489000000</v>
      </c>
      <c r="F46" s="56" t="n">
        <v>83000000</v>
      </c>
      <c r="G46" s="56" t="n">
        <v>-5791000000</v>
      </c>
      <c r="H46" s="56" t="n">
        <v>5812000000</v>
      </c>
      <c r="I46" s="56" t="n">
        <v>826000000</v>
      </c>
    </row>
    <row r="47">
      <c r="B47" s="64" t="inlineStr">
        <is>
          <t>Total other comprehensive income, before tax, cash flow hedges</t>
        </is>
      </c>
      <c r="C47" s="55" t="inlineStr">
        <is>
          <t>OtherComprehensiveIncomeBeforeTaxCashFlowHedges</t>
        </is>
      </c>
      <c r="D47" s="56" t="n">
        <v>3181000000</v>
      </c>
      <c r="E47" s="56" t="n">
        <v>-1489000000</v>
      </c>
      <c r="F47" s="56" t="n">
        <v>83000000</v>
      </c>
      <c r="G47" s="56" t="n">
        <v>-5791000000</v>
      </c>
      <c r="H47" s="56" t="n">
        <v>5812000000</v>
      </c>
      <c r="I47" s="56" t="n">
        <v>826000000</v>
      </c>
    </row>
    <row r="48">
      <c r="B48" s="62" t="inlineStr">
        <is>
          <t>Total other comprehensive income that will be reclassified to profit or loss, before tax</t>
        </is>
      </c>
      <c r="C48" s="55" t="inlineStr">
        <is>
          <t>OtherComprehensiveIncomeThatWillBeReclassifiedToProfitOrLossBeforeTax</t>
        </is>
      </c>
      <c r="D48" s="56" t="n">
        <v>3181000000</v>
      </c>
      <c r="E48" s="56" t="n">
        <v>-1489000000</v>
      </c>
      <c r="F48" s="56" t="n">
        <v>83000000</v>
      </c>
      <c r="G48" s="56" t="n">
        <v>-5791000000</v>
      </c>
      <c r="H48" s="56" t="n">
        <v>5812000000</v>
      </c>
      <c r="I48" s="56" t="n">
        <v>826000000</v>
      </c>
    </row>
    <row r="49">
      <c r="B49" s="62" t="inlineStr">
        <is>
          <t>Total other comprehensive income, before tax</t>
        </is>
      </c>
      <c r="C49" s="55" t="inlineStr">
        <is>
          <t>OtherComprehensiveIncomeBeforeTax</t>
        </is>
      </c>
      <c r="D49" s="56" t="n">
        <v>3124000000</v>
      </c>
      <c r="E49" s="56" t="n">
        <v>-1409000000</v>
      </c>
      <c r="F49" s="56" t="n">
        <v>138000000</v>
      </c>
      <c r="G49" s="56" t="n">
        <v>-5777000000</v>
      </c>
      <c r="H49" s="56" t="n">
        <v>5862000000</v>
      </c>
      <c r="I49" s="56" t="n">
        <v>859000000</v>
      </c>
    </row>
    <row r="50">
      <c r="B50" s="60" t="inlineStr">
        <is>
          <t>Income tax relating to components of other comprehensive income that will not be reclassified to profit or loss [Abstract]</t>
        </is>
      </c>
    </row>
    <row r="51">
      <c r="B51" s="61" t="inlineStr">
        <is>
          <t>Income tax relating to remeasurements of defined benefit plans of other comprehensive income</t>
        </is>
      </c>
      <c r="C51" s="55" t="inlineStr">
        <is>
          <t>IncomeTaxRelatingToRemeasurementsOfDefinedBenefitPlansOfOtherComprehensiveIncome</t>
        </is>
      </c>
      <c r="D51" s="56" t="n">
        <v>-12000000</v>
      </c>
      <c r="E51" s="56" t="n">
        <v>18000000</v>
      </c>
      <c r="F51" s="56" t="n">
        <v>14000000</v>
      </c>
      <c r="G51" s="56" t="n">
        <v>3000000</v>
      </c>
      <c r="H51" s="56" t="n">
        <v>13000000</v>
      </c>
      <c r="I51" s="56" t="n">
        <v>8000000</v>
      </c>
    </row>
    <row r="52">
      <c r="B52" s="61" t="inlineStr">
        <is>
          <t>Aggregated income tax relating to components of other comprehensive income that will not be reclassified to profit or loss</t>
        </is>
      </c>
      <c r="C52" s="55" t="inlineStr">
        <is>
          <t>IncomeTaxRelatingToComponentsOfOtherComprehensiveIncomeThatWillNotBeReclassifiedToProfitOrLoss</t>
        </is>
      </c>
      <c r="D52" s="56" t="n">
        <v>-12000000</v>
      </c>
      <c r="E52" s="56" t="n">
        <v>18000000</v>
      </c>
      <c r="F52" s="56" t="n">
        <v>14000000</v>
      </c>
      <c r="G52" s="56" t="n">
        <v>3000000</v>
      </c>
      <c r="H52" s="56" t="n">
        <v>13000000</v>
      </c>
      <c r="I52" s="56" t="n">
        <v>8000000</v>
      </c>
    </row>
    <row r="53">
      <c r="B53" s="60" t="inlineStr">
        <is>
          <t>Income tax relating to components of other comprehensive income that will be reclassified to profit or loss [Abstract]</t>
        </is>
      </c>
    </row>
    <row r="54">
      <c r="B54" s="61" t="inlineStr">
        <is>
          <t>Income tax relating to cash flow hedges of other comprehensive income</t>
        </is>
      </c>
      <c r="C54" s="55" t="inlineStr">
        <is>
          <t>IncomeTaxRelatingToCashFlowHedgesOfOtherComprehensiveIncome</t>
        </is>
      </c>
      <c r="D54" s="56" t="n">
        <v>0</v>
      </c>
      <c r="E54" s="56" t="n">
        <v>-433000000</v>
      </c>
      <c r="F54" s="56" t="n">
        <v>-134000000</v>
      </c>
      <c r="G54" s="56" t="n">
        <v>-1399000000</v>
      </c>
      <c r="H54" s="56" t="n">
        <v>1463000000</v>
      </c>
      <c r="I54" s="56" t="n">
        <v>208000000</v>
      </c>
    </row>
    <row r="55">
      <c r="B55" s="61" t="inlineStr">
        <is>
          <t>Others income tax relating to components of other comprehensive income that will be reclassified to profit or loss</t>
        </is>
      </c>
      <c r="C55" s="55" t="inlineStr">
        <is>
          <t>OthersIncomeTaxRelatingToComponentsOfOtherComprehensiveIncomeThatWillBeReclassifiedToProfitOrLoss</t>
        </is>
      </c>
      <c r="D55" s="56" t="n">
        <v>977000000</v>
      </c>
      <c r="E55" s="56" t="n">
        <v>0</v>
      </c>
      <c r="F55" s="56" t="n">
        <v>0</v>
      </c>
      <c r="G55" s="56" t="n">
        <v>0</v>
      </c>
      <c r="H55" s="56" t="n">
        <v>0</v>
      </c>
      <c r="I55" s="56" t="n">
        <v>0</v>
      </c>
    </row>
    <row r="56">
      <c r="B56" s="61" t="inlineStr">
        <is>
          <t>Aggregated income tax relating to components of other comprehensive income that will be reclassified to profit or loss</t>
        </is>
      </c>
      <c r="C56" s="55" t="inlineStr">
        <is>
          <t>IncomeTaxRelatingToComponentsOfOtherComprehensiveIncomeThatWillBeReclassifiedToProfitOrLoss</t>
        </is>
      </c>
      <c r="D56" s="56" t="n">
        <v>977000000</v>
      </c>
      <c r="E56" s="56" t="n">
        <v>-433000000</v>
      </c>
      <c r="F56" s="56" t="n">
        <v>-134000000</v>
      </c>
      <c r="G56" s="56" t="n">
        <v>-1399000000</v>
      </c>
      <c r="H56" s="56" t="n">
        <v>1463000000</v>
      </c>
      <c r="I56" s="56" t="n">
        <v>208000000</v>
      </c>
    </row>
    <row r="57">
      <c r="B57" s="62" t="inlineStr">
        <is>
          <t>Total other comprehensive income</t>
        </is>
      </c>
      <c r="C57" s="55" t="inlineStr">
        <is>
          <t>OtherComprehensiveIncome</t>
        </is>
      </c>
      <c r="D57" s="56" t="n">
        <v>2159000000</v>
      </c>
      <c r="E57" s="56" t="n">
        <v>-994000000</v>
      </c>
      <c r="F57" s="56" t="n">
        <v>258000000</v>
      </c>
      <c r="G57" s="56" t="n">
        <v>-4381000000</v>
      </c>
      <c r="H57" s="56" t="n">
        <v>4386000000</v>
      </c>
      <c r="I57" s="56" t="n">
        <v>643000000</v>
      </c>
    </row>
    <row r="58">
      <c r="B58" s="60" t="inlineStr">
        <is>
          <t>Other comprehensive income attributable to [Abstract]</t>
        </is>
      </c>
    </row>
    <row r="59">
      <c r="B59" s="61" t="inlineStr">
        <is>
          <t>Total comprehensive income</t>
        </is>
      </c>
      <c r="C59" s="55" t="inlineStr">
        <is>
          <t>ComprehensiveIncome</t>
        </is>
      </c>
      <c r="D59" s="56" t="n">
        <v>11535000000</v>
      </c>
      <c r="E59" s="56" t="n">
        <v>10607000000</v>
      </c>
      <c r="F59" s="56" t="n">
        <v>15009000000</v>
      </c>
      <c r="G59" s="56" t="n">
        <v>11143000000</v>
      </c>
      <c r="H59" s="56" t="n">
        <v>22260000000</v>
      </c>
      <c r="I59" s="56" t="n">
        <v>23252000000</v>
      </c>
    </row>
    <row r="60">
      <c r="B60" s="60" t="inlineStr">
        <is>
          <t>Basic earnings per share [Abstract]</t>
        </is>
      </c>
    </row>
    <row r="61">
      <c r="B61" s="61" t="inlineStr">
        <is>
          <t>Basic earnings (loss) per share from continuing operations</t>
        </is>
      </c>
      <c r="C61" s="55" t="inlineStr">
        <is>
          <t>BasicEarningsLossPerShareFromContinuingOperations</t>
        </is>
      </c>
      <c r="D61" s="56" t="n">
        <v>55.11</v>
      </c>
      <c r="E61" s="56" t="n">
        <v>67.73999999999999</v>
      </c>
      <c r="F61" s="56" t="n">
        <v>85.31</v>
      </c>
      <c r="G61" s="56" t="n">
        <v>89.31</v>
      </c>
      <c r="H61" s="56" t="n">
        <v>102.45</v>
      </c>
      <c r="I61" s="56" t="n">
        <v>129.14</v>
      </c>
    </row>
    <row r="62">
      <c r="B62" s="65" t="inlineStr">
        <is>
          <t>Total basic earnings (loss) per share</t>
        </is>
      </c>
      <c r="C62" s="55" t="inlineStr">
        <is>
          <t>BasicEarningsLossPerShare</t>
        </is>
      </c>
      <c r="D62" s="58" t="n">
        <v>55.11</v>
      </c>
      <c r="E62" s="58" t="n">
        <v>67.73999999999999</v>
      </c>
      <c r="F62" s="58" t="n">
        <v>85.31</v>
      </c>
      <c r="G62" s="58" t="n">
        <v>89.31</v>
      </c>
      <c r="H62" s="58" t="n">
        <v>102.45</v>
      </c>
      <c r="I62" s="58" t="n">
        <v>129.14</v>
      </c>
    </row>
    <row r="63">
      <c r="B63" s="60" t="inlineStr">
        <is>
          <t>Diluted earnings per share [Abstract]</t>
        </is>
      </c>
    </row>
    <row r="64">
      <c r="B64" s="61" t="inlineStr">
        <is>
          <t>Diluted earnings (loss) per share from continuing operations</t>
        </is>
      </c>
      <c r="C64" s="55" t="inlineStr">
        <is>
          <t>DilutedEarningsLossPerShareFromContinuingOperations</t>
        </is>
      </c>
      <c r="D64" s="56" t="n">
        <v>53.89</v>
      </c>
      <c r="E64" s="56" t="n">
        <v>66.23</v>
      </c>
      <c r="F64" s="56" t="n">
        <v>84.11</v>
      </c>
      <c r="G64" s="56" t="n">
        <v>88.45</v>
      </c>
      <c r="H64" s="56" t="n">
        <v>101.79</v>
      </c>
      <c r="I64" s="56" t="n">
        <v>128.77</v>
      </c>
    </row>
    <row r="65">
      <c r="B65" s="65" t="inlineStr">
        <is>
          <t>Total diluted earnings (loss) per share</t>
        </is>
      </c>
      <c r="C65" s="55" t="inlineStr">
        <is>
          <t>DilutedEarningsLossPerShare</t>
        </is>
      </c>
      <c r="D65" s="58" t="n">
        <v>53.89</v>
      </c>
      <c r="E65" s="58" t="n">
        <v>66.23</v>
      </c>
      <c r="F65" s="58" t="n">
        <v>84.11</v>
      </c>
      <c r="G65" s="58" t="n">
        <v>88.45</v>
      </c>
      <c r="H65" s="58" t="n">
        <v>101.79</v>
      </c>
      <c r="I65" s="58" t="n">
        <v>128.77</v>
      </c>
    </row>
    <row r="66">
      <c r="B66" s="54" t="inlineStr">
        <is>
          <t>Total comprehensive income</t>
        </is>
      </c>
      <c r="C66" s="55" t="inlineStr">
        <is>
          <t>ComprehensiveIncome</t>
        </is>
      </c>
      <c r="D66" s="56" t="n">
        <v>11535000000</v>
      </c>
      <c r="E66" s="56" t="n">
        <v>10607000000</v>
      </c>
      <c r="F66" s="56" t="n">
        <v>15009000000</v>
      </c>
      <c r="G66" s="56" t="n">
        <v>11143000000</v>
      </c>
      <c r="H66" s="56" t="n">
        <v>22260000000</v>
      </c>
      <c r="I66" s="56" t="n">
        <v>23252000000</v>
      </c>
    </row>
    <row r="67" ht="15.5" customHeight="1" s="203">
      <c r="B67" s="38" t="inlineStr">
        <is>
          <t>Additional disclosure on discontinued operations [Abstract]</t>
        </is>
      </c>
    </row>
    <row r="68">
      <c r="B68" s="59" t="inlineStr">
        <is>
          <t>Earnings per share [Abstract]</t>
        </is>
      </c>
    </row>
    <row r="69">
      <c r="B69" s="60" t="inlineStr">
        <is>
          <t>Earnings per share [Line items]</t>
        </is>
      </c>
    </row>
    <row r="70">
      <c r="B70" s="63" t="inlineStr">
        <is>
          <t>Basic earnings per share [Abstract]</t>
        </is>
      </c>
    </row>
    <row r="71">
      <c r="B71" s="64" t="inlineStr">
        <is>
          <t>Basic earnings (loss) per share from continuing operations</t>
        </is>
      </c>
      <c r="C71" s="55" t="inlineStr">
        <is>
          <t>BasicEarningsLossPerShareFromContinuingOperations</t>
        </is>
      </c>
      <c r="D71" s="56" t="n">
        <v>55.11</v>
      </c>
      <c r="E71" s="56" t="n">
        <v>67.73999999999999</v>
      </c>
      <c r="F71" s="56" t="n">
        <v>85.31</v>
      </c>
      <c r="G71" s="56" t="n">
        <v>89.31</v>
      </c>
      <c r="H71" s="56" t="n">
        <v>102.45</v>
      </c>
      <c r="I71" s="56" t="n">
        <v>129.14</v>
      </c>
    </row>
    <row r="72">
      <c r="B72" s="66" t="inlineStr">
        <is>
          <t>Total basic earnings (loss) per share</t>
        </is>
      </c>
      <c r="C72" s="55" t="inlineStr">
        <is>
          <t>BasicEarningsLossPerShare</t>
        </is>
      </c>
      <c r="D72" s="58" t="n">
        <v>55.11</v>
      </c>
      <c r="E72" s="58" t="n">
        <v>67.73999999999999</v>
      </c>
      <c r="F72" s="58" t="n">
        <v>85.31</v>
      </c>
      <c r="G72" s="58" t="n">
        <v>89.31</v>
      </c>
      <c r="H72" s="58" t="n">
        <v>102.45</v>
      </c>
      <c r="I72" s="58" t="n">
        <v>129.14</v>
      </c>
    </row>
    <row r="73">
      <c r="B73" s="63" t="inlineStr">
        <is>
          <t>Diluted earnings per share [Abstract]</t>
        </is>
      </c>
    </row>
    <row r="74">
      <c r="B74" s="64" t="inlineStr">
        <is>
          <t>Diluted earnings (loss) per share from continuing operations</t>
        </is>
      </c>
      <c r="C74" s="55" t="inlineStr">
        <is>
          <t>DilutedEarningsLossPerShareFromContinuingOperations</t>
        </is>
      </c>
      <c r="D74" s="56" t="n">
        <v>53.89</v>
      </c>
      <c r="E74" s="56" t="n">
        <v>66.23</v>
      </c>
      <c r="F74" s="56" t="n">
        <v>84.11</v>
      </c>
      <c r="G74" s="56" t="n">
        <v>88.45</v>
      </c>
      <c r="H74" s="56" t="n">
        <v>101.79</v>
      </c>
      <c r="I74" s="56" t="n">
        <v>128.77</v>
      </c>
    </row>
    <row r="75">
      <c r="B75" s="66" t="inlineStr">
        <is>
          <t>Total diluted earnings (loss) per share</t>
        </is>
      </c>
      <c r="C75" s="55" t="inlineStr">
        <is>
          <t>DilutedEarningsLossPerShare</t>
        </is>
      </c>
      <c r="D75" s="58" t="n">
        <v>53.89</v>
      </c>
      <c r="E75" s="58" t="n">
        <v>66.23</v>
      </c>
      <c r="F75" s="58" t="n">
        <v>84.11</v>
      </c>
      <c r="G75" s="58" t="n">
        <v>88.45</v>
      </c>
      <c r="H75" s="58" t="n">
        <v>101.79</v>
      </c>
      <c r="I75" s="58" t="n">
        <v>128.77</v>
      </c>
    </row>
    <row r="78">
      <c r="A78" t="inlineStr">
        <is>
          <t>#</t>
        </is>
      </c>
      <c r="B78" s="20" t="inlineStr">
        <is>
          <t>Balance Sheet</t>
        </is>
      </c>
    </row>
    <row r="79">
      <c r="B79" t="inlineStr">
        <is>
          <t>Raw units, no conversion applied -- source varies by year, see Output/XBRL_Files filenames (_MCA = MCA XBRL, _NSE = NSE Integrated Filing XBRL)</t>
        </is>
      </c>
    </row>
    <row r="81">
      <c r="C81" s="53" t="inlineStr">
        <is>
          <t>Concept Tag</t>
        </is>
      </c>
      <c r="D81" s="20" t="inlineStr">
        <is>
          <t>FY2017</t>
        </is>
      </c>
      <c r="E81" s="20" t="inlineStr">
        <is>
          <t>FY2018</t>
        </is>
      </c>
      <c r="F81" s="20" t="inlineStr">
        <is>
          <t>FY2019</t>
        </is>
      </c>
      <c r="G81" s="20" t="inlineStr">
        <is>
          <t>FY2020</t>
        </is>
      </c>
      <c r="H81" s="20" t="inlineStr">
        <is>
          <t>FY2021</t>
        </is>
      </c>
      <c r="I81" s="20" t="inlineStr">
        <is>
          <t>FY2022</t>
        </is>
      </c>
    </row>
    <row r="82" ht="15.5" customHeight="1" s="203">
      <c r="B82" s="38" t="inlineStr">
        <is>
          <t>Assets [Abstract]</t>
        </is>
      </c>
    </row>
    <row r="83">
      <c r="B83" s="59" t="inlineStr">
        <is>
          <t>Non-current assets [Abstract]</t>
        </is>
      </c>
    </row>
    <row r="84">
      <c r="B84" s="62" t="inlineStr">
        <is>
          <t>Property, plant and equipment at end of period</t>
        </is>
      </c>
      <c r="C84" s="55" t="inlineStr">
        <is>
          <t>PropertyPlantAndEquipment</t>
        </is>
      </c>
      <c r="D84" s="56" t="n">
        <v>2477000000</v>
      </c>
      <c r="E84" s="56" t="n">
        <v>2412000000</v>
      </c>
      <c r="F84" s="56" t="n">
        <v>2816000000</v>
      </c>
      <c r="G84" s="56" t="n">
        <v>3809000000</v>
      </c>
      <c r="H84" s="56" t="n">
        <v>3671000000</v>
      </c>
      <c r="I84" s="56" t="n">
        <v>10673000000</v>
      </c>
    </row>
    <row r="85">
      <c r="B85" s="62" t="inlineStr">
        <is>
          <t>Capital work-in-progress</t>
        </is>
      </c>
      <c r="C85" s="55" t="inlineStr">
        <is>
          <t>CapitalWorkInProgress</t>
        </is>
      </c>
      <c r="D85" s="56" t="n">
        <v>9000000</v>
      </c>
      <c r="E85" s="56" t="n">
        <v>10000000</v>
      </c>
      <c r="F85" s="56" t="n">
        <v>31000000</v>
      </c>
      <c r="G85" s="56" t="n">
        <v>7733000000</v>
      </c>
      <c r="H85" s="56" t="n">
        <v>6343000000</v>
      </c>
      <c r="I85" s="56" t="n">
        <v>4374000000</v>
      </c>
    </row>
    <row r="86">
      <c r="B86" s="62" t="inlineStr">
        <is>
          <t>Goodwill at end of period</t>
        </is>
      </c>
      <c r="C86" s="55" t="inlineStr">
        <is>
          <t>Goodwill</t>
        </is>
      </c>
      <c r="D86" s="56" t="n">
        <v>0</v>
      </c>
      <c r="E86" s="56" t="n">
        <v>0</v>
      </c>
      <c r="F86" s="56" t="n">
        <v>0</v>
      </c>
      <c r="G86" s="56" t="n">
        <v>0</v>
      </c>
      <c r="H86" s="56" t="n">
        <v>0</v>
      </c>
      <c r="I86" s="56" t="n">
        <v>26000000</v>
      </c>
    </row>
    <row r="87">
      <c r="B87" s="62" t="inlineStr">
        <is>
          <t>Other intangible assets at end of period</t>
        </is>
      </c>
      <c r="C87" s="55" t="inlineStr">
        <is>
          <t>OtherIntangibleAssets</t>
        </is>
      </c>
      <c r="D87" s="56" t="n">
        <v>382000000</v>
      </c>
      <c r="E87" s="56" t="n">
        <v>315000000</v>
      </c>
      <c r="F87" s="56" t="n">
        <v>331000000</v>
      </c>
      <c r="G87" s="56" t="n">
        <v>354000000</v>
      </c>
      <c r="H87" s="56" t="n">
        <v>694000000</v>
      </c>
      <c r="I87" s="56" t="n">
        <v>1052000000</v>
      </c>
    </row>
    <row r="88">
      <c r="B88" s="62" t="inlineStr">
        <is>
          <t>Intangible assets under development</t>
        </is>
      </c>
      <c r="C88" s="55" t="inlineStr">
        <is>
          <t>IntangibleAssetsUnderDevelopment</t>
        </is>
      </c>
      <c r="D88" s="56" t="n">
        <v>3000000</v>
      </c>
      <c r="E88" s="56" t="n">
        <v>58000000</v>
      </c>
      <c r="F88" s="56" t="n">
        <v>51000000</v>
      </c>
      <c r="G88" s="56" t="n">
        <v>19000000</v>
      </c>
      <c r="H88" s="56" t="n">
        <v>27000000</v>
      </c>
      <c r="I88" s="56" t="n">
        <v>130000000</v>
      </c>
    </row>
    <row r="89">
      <c r="B89" s="60" t="inlineStr">
        <is>
          <t>Non-current financial assets [Abstract]</t>
        </is>
      </c>
    </row>
    <row r="90">
      <c r="B90" s="61" t="inlineStr">
        <is>
          <t>Non-current investments</t>
        </is>
      </c>
      <c r="C90" s="55" t="inlineStr">
        <is>
          <t>NoncurrentInvestments</t>
        </is>
      </c>
      <c r="D90" s="56" t="n">
        <v>2905000000</v>
      </c>
      <c r="E90" s="56" t="n">
        <v>2959000000</v>
      </c>
      <c r="F90" s="56" t="n">
        <v>5198000000</v>
      </c>
      <c r="G90" s="56" t="n">
        <v>6550000000</v>
      </c>
      <c r="H90" s="56" t="n">
        <v>7623000000</v>
      </c>
      <c r="I90" s="56" t="n">
        <v>10062000000</v>
      </c>
    </row>
    <row r="91">
      <c r="B91" s="61" t="inlineStr">
        <is>
          <t>Loans, non-current</t>
        </is>
      </c>
      <c r="C91" s="55" t="inlineStr">
        <is>
          <t>LoansNoncurrent</t>
        </is>
      </c>
      <c r="D91" s="56" t="n">
        <v>0</v>
      </c>
      <c r="E91" s="56" t="n">
        <v>384000000</v>
      </c>
      <c r="F91" s="56" t="n">
        <v>467000000</v>
      </c>
      <c r="G91" s="56" t="n">
        <v>551000000</v>
      </c>
      <c r="H91" s="56" t="n">
        <v>1566000000</v>
      </c>
      <c r="I91" s="56" t="n">
        <v>1145000000</v>
      </c>
    </row>
    <row r="92">
      <c r="B92" s="61" t="inlineStr">
        <is>
          <t>Total other non-current financial assets</t>
        </is>
      </c>
      <c r="C92" s="55" t="inlineStr">
        <is>
          <t>OtherNoncurrentFinancialAssets</t>
        </is>
      </c>
      <c r="D92" s="56" t="n">
        <v>2177000000</v>
      </c>
      <c r="E92" s="56" t="n">
        <v>721000000</v>
      </c>
      <c r="F92" s="56" t="n">
        <v>1606000000</v>
      </c>
      <c r="G92" s="56" t="n">
        <v>118000000</v>
      </c>
      <c r="H92" s="56" t="n">
        <v>1595000000</v>
      </c>
      <c r="I92" s="56" t="n">
        <v>2867000000</v>
      </c>
    </row>
    <row r="93">
      <c r="B93" s="65" t="inlineStr">
        <is>
          <t>Total non-current financial assets</t>
        </is>
      </c>
      <c r="C93" s="55" t="inlineStr">
        <is>
          <t>NoncurrentFinancialAssets</t>
        </is>
      </c>
      <c r="D93" s="58" t="n">
        <v>5082000000</v>
      </c>
      <c r="E93" s="58" t="n">
        <v>4064000000</v>
      </c>
      <c r="F93" s="58" t="n">
        <v>7271000000</v>
      </c>
      <c r="G93" s="58" t="n">
        <v>7219000000</v>
      </c>
      <c r="H93" s="58" t="n">
        <v>10784000000</v>
      </c>
      <c r="I93" s="58" t="n">
        <v>14074000000</v>
      </c>
    </row>
    <row r="94">
      <c r="B94" s="62" t="inlineStr">
        <is>
          <t>Deferred tax assets (net)</t>
        </is>
      </c>
      <c r="C94" s="55" t="inlineStr">
        <is>
          <t>DeferredTaxAssetsNet</t>
        </is>
      </c>
      <c r="D94" s="56" t="n">
        <v>2156000000</v>
      </c>
      <c r="E94" s="56" t="n">
        <v>1919000000</v>
      </c>
      <c r="F94" s="56" t="n">
        <v>1564000000</v>
      </c>
      <c r="G94" s="56" t="n">
        <v>2135000000</v>
      </c>
      <c r="H94" s="56" t="n">
        <v>477000000</v>
      </c>
      <c r="I94" s="56" t="n">
        <v>472000000</v>
      </c>
    </row>
    <row r="95">
      <c r="B95" s="62" t="inlineStr">
        <is>
          <t>Total other non-current assets</t>
        </is>
      </c>
      <c r="C95" s="55" t="inlineStr">
        <is>
          <t>OtherNoncurrentAssets</t>
        </is>
      </c>
      <c r="D95" s="56" t="n">
        <v>1273000000</v>
      </c>
      <c r="E95" s="56" t="n">
        <v>1900000000</v>
      </c>
      <c r="F95" s="56" t="n">
        <v>1797000000</v>
      </c>
      <c r="G95" s="56" t="n">
        <v>2033000000</v>
      </c>
      <c r="H95" s="56" t="n">
        <v>2141000000</v>
      </c>
      <c r="I95" s="56" t="n">
        <v>2841000000</v>
      </c>
    </row>
    <row r="96">
      <c r="B96" s="67" t="inlineStr">
        <is>
          <t>Total non-current assets</t>
        </is>
      </c>
      <c r="C96" s="55" t="inlineStr">
        <is>
          <t>NoncurrentAssets</t>
        </is>
      </c>
      <c r="D96" s="58" t="n">
        <v>11382000000</v>
      </c>
      <c r="E96" s="58" t="n">
        <v>10678000000</v>
      </c>
      <c r="F96" s="58" t="n">
        <v>13861000000</v>
      </c>
      <c r="G96" s="58" t="n">
        <v>23302000000</v>
      </c>
      <c r="H96" s="58" t="n">
        <v>24137000000</v>
      </c>
      <c r="I96" s="58" t="n">
        <v>33642000000</v>
      </c>
    </row>
    <row r="97">
      <c r="B97" s="59" t="inlineStr">
        <is>
          <t>Current assets [Abstract]</t>
        </is>
      </c>
    </row>
    <row r="98">
      <c r="B98" s="60" t="inlineStr">
        <is>
          <t>Current financial assets [Abstract]</t>
        </is>
      </c>
    </row>
    <row r="99">
      <c r="B99" s="61" t="inlineStr">
        <is>
          <t>Current investments</t>
        </is>
      </c>
      <c r="C99" s="55" t="inlineStr">
        <is>
          <t>CurrentInvestments</t>
        </is>
      </c>
      <c r="D99" s="56" t="n">
        <v>9406000000</v>
      </c>
      <c r="E99" s="56" t="n">
        <v>12644000000</v>
      </c>
      <c r="F99" s="56" t="n">
        <v>17402000000</v>
      </c>
      <c r="G99" s="56" t="n">
        <v>22185000000</v>
      </c>
      <c r="H99" s="56" t="n">
        <v>36282000000</v>
      </c>
      <c r="I99" s="56" t="n">
        <v>31366000000</v>
      </c>
    </row>
    <row r="100">
      <c r="B100" s="61" t="inlineStr">
        <is>
          <t>Trade receivables, current</t>
        </is>
      </c>
      <c r="C100" s="55" t="inlineStr">
        <is>
          <t>TradeReceivablesCurrent</t>
        </is>
      </c>
      <c r="D100" s="56" t="n">
        <v>11226000000</v>
      </c>
      <c r="E100" s="56" t="n">
        <v>13275000000</v>
      </c>
      <c r="F100" s="56" t="n">
        <v>17293000000</v>
      </c>
      <c r="G100" s="56" t="n">
        <v>21767000000</v>
      </c>
      <c r="H100" s="56" t="n">
        <v>20206000000</v>
      </c>
      <c r="I100" s="56" t="n">
        <v>26037000000</v>
      </c>
    </row>
    <row r="101">
      <c r="B101" s="61" t="inlineStr">
        <is>
          <t>Cash and cash equivalents at end of period</t>
        </is>
      </c>
      <c r="C101" s="55" t="inlineStr">
        <is>
          <t>CashAndCashEquivalents</t>
        </is>
      </c>
      <c r="D101" s="56" t="n">
        <v>1872000000</v>
      </c>
      <c r="E101" s="56" t="n">
        <v>2479000000</v>
      </c>
      <c r="F101" s="56" t="n">
        <v>2131000000</v>
      </c>
      <c r="G101" s="56" t="n">
        <v>3605000000</v>
      </c>
      <c r="H101" s="56" t="n">
        <v>3988000000</v>
      </c>
      <c r="I101" s="56" t="n">
        <v>2836000000</v>
      </c>
    </row>
    <row r="102">
      <c r="B102" s="61" t="inlineStr">
        <is>
          <t>Bank balance other than cash and cash equivalents</t>
        </is>
      </c>
      <c r="C102" s="55" t="inlineStr">
        <is>
          <t>BankBalanceOtherThanCashAndCashEquivalents</t>
        </is>
      </c>
      <c r="D102" s="56" t="n">
        <v>34000000</v>
      </c>
      <c r="E102" s="56" t="n">
        <v>19000000</v>
      </c>
      <c r="F102" s="56" t="n">
        <v>23000000</v>
      </c>
      <c r="G102" s="56" t="n">
        <v>109000000</v>
      </c>
      <c r="H102" s="56" t="n">
        <v>23000000</v>
      </c>
      <c r="I102" s="56" t="n">
        <v>3763000000</v>
      </c>
    </row>
    <row r="103">
      <c r="B103" s="61" t="inlineStr">
        <is>
          <t>Loans, current</t>
        </is>
      </c>
      <c r="C103" s="55" t="inlineStr">
        <is>
          <t>LoansCurrent</t>
        </is>
      </c>
      <c r="D103" s="56" t="n">
        <v>0</v>
      </c>
      <c r="E103" s="56" t="n">
        <v>235000000</v>
      </c>
      <c r="F103" s="56" t="n">
        <v>63000000</v>
      </c>
      <c r="G103" s="56" t="n">
        <v>164000000</v>
      </c>
      <c r="H103" s="56" t="n">
        <v>313000000</v>
      </c>
      <c r="I103" s="56" t="n">
        <v>29000000</v>
      </c>
    </row>
    <row r="104">
      <c r="B104" s="61" t="inlineStr">
        <is>
          <t>Total other current financial assets</t>
        </is>
      </c>
      <c r="C104" s="55" t="inlineStr">
        <is>
          <t>OtherCurrentFinancialAssets</t>
        </is>
      </c>
      <c r="D104" s="56" t="n">
        <v>7334000000</v>
      </c>
      <c r="E104" s="56" t="n">
        <v>10157000000</v>
      </c>
      <c r="F104" s="56" t="n">
        <v>7119000000</v>
      </c>
      <c r="G104" s="56" t="n">
        <v>5726000000</v>
      </c>
      <c r="H104" s="56" t="n">
        <v>7109000000</v>
      </c>
      <c r="I104" s="56" t="n">
        <v>10885000000</v>
      </c>
    </row>
    <row r="105">
      <c r="B105" s="65" t="inlineStr">
        <is>
          <t>Total current financial assets</t>
        </is>
      </c>
      <c r="C105" s="55" t="inlineStr">
        <is>
          <t>CurrentFinancialAssets</t>
        </is>
      </c>
      <c r="D105" s="58" t="n">
        <v>29872000000</v>
      </c>
      <c r="E105" s="58" t="n">
        <v>38809000000</v>
      </c>
      <c r="F105" s="58" t="n">
        <v>44031000000</v>
      </c>
      <c r="G105" s="58" t="n">
        <v>53556000000</v>
      </c>
      <c r="H105" s="58" t="n">
        <v>67921000000</v>
      </c>
      <c r="I105" s="58" t="n">
        <v>74916000000</v>
      </c>
    </row>
    <row r="106">
      <c r="B106" s="62" t="inlineStr">
        <is>
          <t>Current tax assets, Current</t>
        </is>
      </c>
      <c r="C106" s="55" t="inlineStr">
        <is>
          <t>CurrentTaxAssetsCurrent</t>
        </is>
      </c>
      <c r="D106" s="56" t="n">
        <v>0</v>
      </c>
      <c r="E106" s="56" t="n">
        <v>0</v>
      </c>
      <c r="F106" s="56" t="n">
        <v>37000000</v>
      </c>
      <c r="G106" s="56" t="n">
        <v>6000000</v>
      </c>
      <c r="H106" s="56" t="n">
        <v>0</v>
      </c>
      <c r="I106" s="56" t="n">
        <v>0</v>
      </c>
    </row>
    <row r="107">
      <c r="B107" s="62" t="inlineStr">
        <is>
          <t>Total other current assets</t>
        </is>
      </c>
      <c r="C107" s="55" t="inlineStr">
        <is>
          <t>OtherCurrentAssets</t>
        </is>
      </c>
      <c r="D107" s="56" t="n">
        <v>875000000</v>
      </c>
      <c r="E107" s="56" t="n">
        <v>1029000000</v>
      </c>
      <c r="F107" s="56" t="n">
        <v>4337000000</v>
      </c>
      <c r="G107" s="56" t="n">
        <v>6303000000</v>
      </c>
      <c r="H107" s="56" t="n">
        <v>7819000000</v>
      </c>
      <c r="I107" s="56" t="n">
        <v>8475000000</v>
      </c>
    </row>
    <row r="108">
      <c r="B108" s="67" t="inlineStr">
        <is>
          <t>Total current assets</t>
        </is>
      </c>
      <c r="C108" s="55" t="inlineStr">
        <is>
          <t>CurrentAssets</t>
        </is>
      </c>
      <c r="D108" s="58" t="n">
        <v>30747000000</v>
      </c>
      <c r="E108" s="58" t="n">
        <v>39838000000</v>
      </c>
      <c r="F108" s="58" t="n">
        <v>48405000000</v>
      </c>
      <c r="G108" s="58" t="n">
        <v>59865000000</v>
      </c>
      <c r="H108" s="58" t="n">
        <v>75740000000</v>
      </c>
      <c r="I108" s="58" t="n">
        <v>83391000000</v>
      </c>
    </row>
    <row r="109">
      <c r="B109" s="57" t="inlineStr">
        <is>
          <t>Assets at end of period</t>
        </is>
      </c>
      <c r="C109" s="55" t="inlineStr">
        <is>
          <t>Assets</t>
        </is>
      </c>
      <c r="D109" s="58" t="n">
        <v>42129000000</v>
      </c>
      <c r="E109" s="58" t="n">
        <v>50516000000</v>
      </c>
      <c r="F109" s="58" t="n">
        <v>62266000000</v>
      </c>
      <c r="G109" s="58" t="n">
        <v>83167000000</v>
      </c>
      <c r="H109" s="58" t="n">
        <v>99877000000</v>
      </c>
      <c r="I109" s="58" t="n">
        <v>117033000000</v>
      </c>
    </row>
    <row r="110" ht="15.5" customHeight="1" s="203">
      <c r="B110" s="38" t="inlineStr">
        <is>
          <t>Equity and liabilities [Abstract]</t>
        </is>
      </c>
    </row>
    <row r="111">
      <c r="B111" s="59" t="inlineStr">
        <is>
          <t>Equity [Abstract]</t>
        </is>
      </c>
    </row>
    <row r="112">
      <c r="B112" s="60" t="inlineStr">
        <is>
          <t>Equity attributable to owners of parent [Abstract]</t>
        </is>
      </c>
    </row>
    <row r="113">
      <c r="B113" s="61" t="inlineStr">
        <is>
          <t>Equity share capital at end of period</t>
        </is>
      </c>
      <c r="C113" s="55" t="inlineStr">
        <is>
          <t>EquityShareCapital</t>
        </is>
      </c>
      <c r="D113" s="56" t="n">
        <v>171000000</v>
      </c>
      <c r="E113" s="56" t="n">
        <v>172000000</v>
      </c>
      <c r="F113" s="56" t="n">
        <v>174000000</v>
      </c>
      <c r="G113" s="56" t="n">
        <v>174000000</v>
      </c>
      <c r="H113" s="56" t="n">
        <v>175000000</v>
      </c>
      <c r="I113" s="56" t="n">
        <v>175000000</v>
      </c>
    </row>
    <row r="114">
      <c r="B114" s="61" t="inlineStr">
        <is>
          <t>Other equity</t>
        </is>
      </c>
      <c r="C114" s="55" t="inlineStr">
        <is>
          <t>OtherEquity</t>
        </is>
      </c>
      <c r="D114" s="56" t="n">
        <v>29598000000</v>
      </c>
      <c r="E114" s="56" t="n">
        <v>37014000000</v>
      </c>
      <c r="F114" s="56" t="n">
        <v>46961000000</v>
      </c>
      <c r="G114" s="56" t="n">
        <v>52114000000</v>
      </c>
      <c r="H114" s="56" t="n">
        <v>69223000000</v>
      </c>
      <c r="I114" s="56" t="n">
        <v>83854000000</v>
      </c>
    </row>
    <row r="115">
      <c r="B115" s="65" t="inlineStr">
        <is>
          <t>Total equity attributable to owners of parent</t>
        </is>
      </c>
      <c r="C115" s="55" t="inlineStr">
        <is>
          <t>EquityAttributableToOwnersOfParent</t>
        </is>
      </c>
      <c r="D115" s="58" t="n">
        <v>29769000000</v>
      </c>
      <c r="E115" s="58" t="n">
        <v>37186000000</v>
      </c>
      <c r="F115" s="58" t="n">
        <v>47135000000</v>
      </c>
      <c r="G115" s="58" t="n">
        <v>52288000000</v>
      </c>
      <c r="H115" s="58" t="n">
        <v>69398000000</v>
      </c>
      <c r="I115" s="58" t="n">
        <v>84029000000</v>
      </c>
    </row>
    <row r="116">
      <c r="B116" s="67" t="inlineStr">
        <is>
          <t>Equity at end of period</t>
        </is>
      </c>
      <c r="C116" s="55" t="inlineStr">
        <is>
          <t>Equity</t>
        </is>
      </c>
      <c r="D116" s="58" t="n">
        <v>29769000000</v>
      </c>
      <c r="E116" s="58" t="n">
        <v>37186000000</v>
      </c>
      <c r="F116" s="58" t="n">
        <v>47135000000</v>
      </c>
      <c r="G116" s="58" t="n">
        <v>52288000000</v>
      </c>
      <c r="H116" s="58" t="n">
        <v>69398000000</v>
      </c>
      <c r="I116" s="58" t="n">
        <v>84029000000</v>
      </c>
    </row>
    <row r="117">
      <c r="B117" s="59" t="inlineStr">
        <is>
          <t>Liabilities [Abstract]</t>
        </is>
      </c>
    </row>
    <row r="118">
      <c r="B118" s="60" t="inlineStr">
        <is>
          <t>Non-current liabilities [Abstract]</t>
        </is>
      </c>
    </row>
    <row r="119">
      <c r="B119" s="63" t="inlineStr">
        <is>
          <t>Non-current financial liabilities [Abstract]</t>
        </is>
      </c>
    </row>
    <row r="120">
      <c r="B120" s="64" t="inlineStr">
        <is>
          <t>Total other non-current financial liabilities</t>
        </is>
      </c>
      <c r="C120" s="55" t="inlineStr">
        <is>
          <t>OtherNoncurrentFinancialLiabilities</t>
        </is>
      </c>
      <c r="D120" s="56" t="n">
        <v>0</v>
      </c>
      <c r="E120" s="56" t="n">
        <v>204000000</v>
      </c>
      <c r="F120" s="56" t="n">
        <v>34000000</v>
      </c>
      <c r="G120" s="56" t="n">
        <v>9708000000</v>
      </c>
      <c r="H120" s="56" t="n">
        <v>6423000000</v>
      </c>
      <c r="I120" s="56" t="n">
        <v>6434000000</v>
      </c>
    </row>
    <row r="121">
      <c r="B121" s="66" t="inlineStr">
        <is>
          <t>Total non-current financial liabilities</t>
        </is>
      </c>
      <c r="C121" s="55" t="inlineStr">
        <is>
          <t>NoncurrentFinancialLiabilities</t>
        </is>
      </c>
      <c r="D121" s="58" t="n">
        <v>0</v>
      </c>
      <c r="E121" s="58" t="n">
        <v>204000000</v>
      </c>
      <c r="F121" s="58" t="n">
        <v>34000000</v>
      </c>
      <c r="G121" s="58" t="n">
        <v>9708000000</v>
      </c>
      <c r="H121" s="58" t="n">
        <v>6423000000</v>
      </c>
      <c r="I121" s="58" t="n">
        <v>6434000000</v>
      </c>
    </row>
    <row r="122">
      <c r="B122" s="61" t="inlineStr">
        <is>
          <t>Provisions, non-current</t>
        </is>
      </c>
      <c r="C122" s="55" t="inlineStr">
        <is>
          <t>ProvisionsNoncurrent</t>
        </is>
      </c>
      <c r="D122" s="56" t="n">
        <v>285000000</v>
      </c>
      <c r="E122" s="56" t="n">
        <v>280000000</v>
      </c>
      <c r="F122" s="56" t="n">
        <v>289000000</v>
      </c>
      <c r="G122" s="56" t="n">
        <v>325000000</v>
      </c>
      <c r="H122" s="56" t="n">
        <v>360000000</v>
      </c>
      <c r="I122" s="56" t="n">
        <v>393000000</v>
      </c>
    </row>
    <row r="123">
      <c r="B123" s="61" t="inlineStr">
        <is>
          <t>Total other non-current liabilities</t>
        </is>
      </c>
      <c r="C123" s="55" t="inlineStr">
        <is>
          <t>OtherNoncurrentLiabilities</t>
        </is>
      </c>
      <c r="D123" s="56" t="n">
        <v>0</v>
      </c>
      <c r="E123" s="56" t="n">
        <v>0</v>
      </c>
      <c r="F123" s="56" t="n">
        <v>0</v>
      </c>
      <c r="G123" s="56" t="n">
        <v>0</v>
      </c>
      <c r="H123" s="56" t="n">
        <v>479000000</v>
      </c>
      <c r="I123" s="56" t="n">
        <v>0</v>
      </c>
    </row>
    <row r="124">
      <c r="B124" s="65" t="inlineStr">
        <is>
          <t>Total non-current liabilities</t>
        </is>
      </c>
      <c r="C124" s="55" t="inlineStr">
        <is>
          <t>NoncurrentLiabilities</t>
        </is>
      </c>
      <c r="D124" s="58" t="n">
        <v>285000000</v>
      </c>
      <c r="E124" s="58" t="n">
        <v>484000000</v>
      </c>
      <c r="F124" s="58" t="n">
        <v>323000000</v>
      </c>
      <c r="G124" s="58" t="n">
        <v>10033000000</v>
      </c>
      <c r="H124" s="58" t="n">
        <v>7262000000</v>
      </c>
      <c r="I124" s="58" t="n">
        <v>6827000000</v>
      </c>
    </row>
    <row r="125">
      <c r="B125" s="60" t="inlineStr">
        <is>
          <t>Current liabilities [Abstract]</t>
        </is>
      </c>
    </row>
    <row r="126">
      <c r="B126" s="63" t="inlineStr">
        <is>
          <t>Current financial liabilities [Abstract]</t>
        </is>
      </c>
    </row>
    <row r="127">
      <c r="B127" s="68" t="inlineStr">
        <is>
          <t>Trade payables, current [Abstract]</t>
        </is>
      </c>
    </row>
    <row r="128">
      <c r="B128" s="69" t="inlineStr">
        <is>
          <t>Total trade payables, current</t>
        </is>
      </c>
      <c r="C128" s="55" t="inlineStr">
        <is>
          <t>TradePayablesCurrent</t>
        </is>
      </c>
      <c r="D128" s="58" t="n">
        <v>3354000000</v>
      </c>
      <c r="E128" s="58" t="n">
        <v>3708000000</v>
      </c>
      <c r="F128" s="58" t="n">
        <v>4463000000</v>
      </c>
      <c r="G128" s="58" t="n">
        <v>6842000000</v>
      </c>
      <c r="H128" s="58" t="n">
        <v>8014000000</v>
      </c>
      <c r="I128" s="58" t="n">
        <v>7970000000</v>
      </c>
    </row>
    <row r="129">
      <c r="B129" s="64" t="inlineStr">
        <is>
          <t>Total other current financial liabilities</t>
        </is>
      </c>
      <c r="C129" s="55" t="inlineStr">
        <is>
          <t>OtherCurrentFinancialLiabilities</t>
        </is>
      </c>
      <c r="D129" s="56" t="n">
        <v>5768000000</v>
      </c>
      <c r="E129" s="56" t="n">
        <v>5831000000</v>
      </c>
      <c r="F129" s="56" t="n">
        <v>5760000000</v>
      </c>
      <c r="G129" s="56" t="n">
        <v>7713000000</v>
      </c>
      <c r="H129" s="56" t="n">
        <v>7383000000</v>
      </c>
      <c r="I129" s="56" t="n">
        <v>9415000000</v>
      </c>
    </row>
    <row r="130">
      <c r="B130" s="66" t="inlineStr">
        <is>
          <t>Total current financial liabilities</t>
        </is>
      </c>
      <c r="C130" s="55" t="inlineStr">
        <is>
          <t>CurrentFinancialLiabilities</t>
        </is>
      </c>
      <c r="D130" s="58" t="n">
        <v>9122000000</v>
      </c>
      <c r="E130" s="58" t="n">
        <v>9539000000</v>
      </c>
      <c r="F130" s="58" t="n">
        <v>10223000000</v>
      </c>
      <c r="G130" s="58" t="n">
        <v>14555000000</v>
      </c>
      <c r="H130" s="58" t="n">
        <v>15397000000</v>
      </c>
      <c r="I130" s="58" t="n">
        <v>17385000000</v>
      </c>
    </row>
    <row r="131">
      <c r="B131" s="61" t="inlineStr">
        <is>
          <t>Total other current liabilities</t>
        </is>
      </c>
      <c r="C131" s="55" t="inlineStr">
        <is>
          <t>OtherCurrentLiabilities</t>
        </is>
      </c>
      <c r="D131" s="56" t="n">
        <v>1102000000</v>
      </c>
      <c r="E131" s="56" t="n">
        <v>1411000000</v>
      </c>
      <c r="F131" s="56" t="n">
        <v>2323000000</v>
      </c>
      <c r="G131" s="56" t="n">
        <v>3737000000</v>
      </c>
      <c r="H131" s="56" t="n">
        <v>4338000000</v>
      </c>
      <c r="I131" s="56" t="n">
        <v>4876000000</v>
      </c>
    </row>
    <row r="132">
      <c r="B132" s="61" t="inlineStr">
        <is>
          <t>Provisions, current</t>
        </is>
      </c>
      <c r="C132" s="55" t="inlineStr">
        <is>
          <t>ProvisionsCurrent</t>
        </is>
      </c>
      <c r="D132" s="56" t="n">
        <v>1733000000</v>
      </c>
      <c r="E132" s="56" t="n">
        <v>1761000000</v>
      </c>
      <c r="F132" s="56" t="n">
        <v>2017000000</v>
      </c>
      <c r="G132" s="56" t="n">
        <v>2481000000</v>
      </c>
      <c r="H132" s="56" t="n">
        <v>3368000000</v>
      </c>
      <c r="I132" s="56" t="n">
        <v>3540000000</v>
      </c>
    </row>
    <row r="133">
      <c r="B133" s="61" t="inlineStr">
        <is>
          <t>Current tax liabilities</t>
        </is>
      </c>
      <c r="C133" s="55" t="inlineStr">
        <is>
          <t>CurrentTaxLiabilities</t>
        </is>
      </c>
      <c r="D133" s="56" t="n">
        <v>118000000</v>
      </c>
      <c r="E133" s="56" t="n">
        <v>135000000</v>
      </c>
      <c r="F133" s="56" t="n">
        <v>245000000</v>
      </c>
      <c r="G133" s="56" t="n">
        <v>73000000</v>
      </c>
      <c r="H133" s="56" t="n">
        <v>114000000</v>
      </c>
      <c r="I133" s="56" t="n">
        <v>376000000</v>
      </c>
    </row>
    <row r="134">
      <c r="B134" s="65" t="inlineStr">
        <is>
          <t>Total current liabilities</t>
        </is>
      </c>
      <c r="C134" s="55" t="inlineStr">
        <is>
          <t>CurrentLiabilities</t>
        </is>
      </c>
      <c r="D134" s="58" t="n">
        <v>12075000000</v>
      </c>
      <c r="E134" s="58" t="n">
        <v>12846000000</v>
      </c>
      <c r="F134" s="58" t="n">
        <v>14808000000</v>
      </c>
      <c r="G134" s="58" t="n">
        <v>20846000000</v>
      </c>
      <c r="H134" s="58" t="n">
        <v>23217000000</v>
      </c>
      <c r="I134" s="58" t="n">
        <v>26177000000</v>
      </c>
    </row>
    <row r="135">
      <c r="B135" s="67" t="inlineStr">
        <is>
          <t>Liabilities</t>
        </is>
      </c>
      <c r="C135" s="55" t="inlineStr">
        <is>
          <t>Liabilities</t>
        </is>
      </c>
      <c r="D135" s="58" t="n">
        <v>12360000000</v>
      </c>
      <c r="E135" s="58" t="n">
        <v>13330000000</v>
      </c>
      <c r="F135" s="58" t="n">
        <v>15131000000</v>
      </c>
      <c r="G135" s="58" t="n">
        <v>30879000000</v>
      </c>
      <c r="H135" s="58" t="n">
        <v>30479000000</v>
      </c>
      <c r="I135" s="58" t="n">
        <v>33004000000</v>
      </c>
    </row>
    <row r="136">
      <c r="B136" s="57" t="inlineStr">
        <is>
          <t>Total equity and liabilities</t>
        </is>
      </c>
      <c r="C136" s="55" t="inlineStr">
        <is>
          <t>EquityAndLiabilities</t>
        </is>
      </c>
      <c r="D136" s="58" t="n">
        <v>42129000000</v>
      </c>
      <c r="E136" s="58" t="n">
        <v>50516000000</v>
      </c>
      <c r="F136" s="58" t="n">
        <v>62266000000</v>
      </c>
      <c r="G136" s="58" t="n">
        <v>83167000000</v>
      </c>
      <c r="H136" s="58" t="n">
        <v>99877000000</v>
      </c>
      <c r="I136" s="58" t="n">
        <v>117033000000</v>
      </c>
    </row>
    <row r="139">
      <c r="A139" t="inlineStr">
        <is>
          <t>#</t>
        </is>
      </c>
      <c r="B139" s="20" t="inlineStr">
        <is>
          <t>Statement of Cash Flows</t>
        </is>
      </c>
    </row>
    <row r="140">
      <c r="B140" t="inlineStr">
        <is>
          <t>Raw units, no conversion applied -- source varies by year, see Output/XBRL_Files filenames (_MCA = MCA XBRL, _NSE = NSE Integrated Filing XBRL)</t>
        </is>
      </c>
    </row>
    <row r="142">
      <c r="C142" s="53" t="inlineStr">
        <is>
          <t>Concept Tag</t>
        </is>
      </c>
      <c r="D142" s="20" t="inlineStr">
        <is>
          <t>FY2017</t>
        </is>
      </c>
      <c r="E142" s="20" t="inlineStr">
        <is>
          <t>FY2018</t>
        </is>
      </c>
      <c r="F142" s="20" t="inlineStr">
        <is>
          <t>FY2019</t>
        </is>
      </c>
      <c r="G142" s="20" t="inlineStr">
        <is>
          <t>FY2020</t>
        </is>
      </c>
      <c r="H142" s="20" t="inlineStr">
        <is>
          <t>FY2021</t>
        </is>
      </c>
      <c r="I142" s="20" t="inlineStr">
        <is>
          <t>FY2022</t>
        </is>
      </c>
    </row>
    <row r="143" ht="15.5" customHeight="1" s="203">
      <c r="B143" s="38" t="inlineStr">
        <is>
          <t>Cash flows from used in operating activities [Abstract]</t>
        </is>
      </c>
    </row>
    <row r="144">
      <c r="B144" s="54" t="inlineStr">
        <is>
          <t>Total profit before tax</t>
        </is>
      </c>
      <c r="C144" s="55" t="inlineStr">
        <is>
          <t>ProfitBeforeTax</t>
        </is>
      </c>
      <c r="D144" s="56" t="n">
        <v>11842000000</v>
      </c>
      <c r="E144" s="56" t="n">
        <v>14684000000</v>
      </c>
      <c r="F144" s="56" t="n">
        <v>19597000000</v>
      </c>
      <c r="G144" s="56" t="n">
        <v>20070000000</v>
      </c>
      <c r="H144" s="56" t="n">
        <v>23910000000</v>
      </c>
      <c r="I144" s="56" t="n">
        <v>30104000000</v>
      </c>
    </row>
    <row r="145">
      <c r="B145" s="59" t="inlineStr">
        <is>
          <t>Adjustments for reconcile profit (loss) [Abstract]</t>
        </is>
      </c>
    </row>
    <row r="146">
      <c r="B146" s="62" t="inlineStr">
        <is>
          <t>Adjustments for finance costs</t>
        </is>
      </c>
      <c r="C146" s="55" t="inlineStr">
        <is>
          <t>AdjustmentsForFinanceCosts</t>
        </is>
      </c>
      <c r="D146" s="56" t="n">
        <v>32000000</v>
      </c>
      <c r="E146" s="56" t="n">
        <v>138000000</v>
      </c>
      <c r="F146" s="56" t="n">
        <v>42000000</v>
      </c>
      <c r="G146" s="56" t="n">
        <v>720000000</v>
      </c>
      <c r="H146" s="56" t="n">
        <v>716000000</v>
      </c>
      <c r="I146" s="56" t="n">
        <v>681000000</v>
      </c>
    </row>
    <row r="147">
      <c r="B147" s="62" t="inlineStr">
        <is>
          <t>Adjustments for decrease (increase) in trade receivables, current</t>
        </is>
      </c>
      <c r="C147" s="55" t="inlineStr">
        <is>
          <t>AdjustmentsForDecreaseIncreaseInTradeReceivablesCurrent</t>
        </is>
      </c>
      <c r="D147" s="56" t="n">
        <v>-1375000000</v>
      </c>
      <c r="E147" s="56" t="n">
        <v>-5300000000</v>
      </c>
      <c r="F147" s="56" t="n">
        <v>-1811000000</v>
      </c>
      <c r="G147" s="56" t="n">
        <v>-2524000000</v>
      </c>
      <c r="H147" s="56" t="n">
        <v>-344000000</v>
      </c>
      <c r="I147" s="56" t="n">
        <v>-8703000000</v>
      </c>
    </row>
    <row r="148">
      <c r="B148" s="62" t="inlineStr">
        <is>
          <t>Adjustments for decrease (increase) in other current assets</t>
        </is>
      </c>
      <c r="C148" s="55" t="inlineStr">
        <is>
          <t>AdjustmentsForDecreaseIncreaseInOtherCurrentAssets</t>
        </is>
      </c>
      <c r="D148" s="56" t="n">
        <v>107000000</v>
      </c>
      <c r="E148" s="56" t="n">
        <v>-205000000</v>
      </c>
      <c r="F148" s="56" t="n">
        <v>-3913000000</v>
      </c>
      <c r="G148" s="56" t="n">
        <v>-2649000000</v>
      </c>
      <c r="H148" s="56" t="n">
        <v>-1630000000</v>
      </c>
      <c r="I148" s="56" t="n">
        <v>-1020000000</v>
      </c>
    </row>
    <row r="149">
      <c r="B149" s="62" t="inlineStr">
        <is>
          <t>Adjustments for decrease (increase) in other non-current assets</t>
        </is>
      </c>
      <c r="C149" s="55" t="inlineStr">
        <is>
          <t>AdjustmentsForDecreaseIncreaseInOtherNoncurrentAssets</t>
        </is>
      </c>
      <c r="D149" s="56" t="n">
        <v>12000000</v>
      </c>
      <c r="E149" s="56" t="n">
        <v>0</v>
      </c>
      <c r="F149" s="56" t="n">
        <v>0</v>
      </c>
      <c r="G149" s="56" t="n">
        <v>0</v>
      </c>
      <c r="H149" s="56" t="n">
        <v>0</v>
      </c>
      <c r="I149" s="56" t="n">
        <v>0</v>
      </c>
    </row>
    <row r="150">
      <c r="B150" s="62" t="inlineStr">
        <is>
          <t>Adjustments for increase (decrease) in trade payables, current</t>
        </is>
      </c>
      <c r="C150" s="55" t="inlineStr">
        <is>
          <t>AdjustmentsForIncreaseDecreaseInTradePayablesCurrent</t>
        </is>
      </c>
      <c r="D150" s="56" t="n">
        <v>2850000000</v>
      </c>
      <c r="E150" s="56" t="n">
        <v>1537000000</v>
      </c>
      <c r="F150" s="56" t="n">
        <v>2450000000</v>
      </c>
      <c r="G150" s="56" t="n">
        <v>3716000000</v>
      </c>
      <c r="H150" s="56" t="n">
        <v>4300000000</v>
      </c>
      <c r="I150" s="56" t="n">
        <v>2159000000</v>
      </c>
    </row>
    <row r="151">
      <c r="B151" s="62" t="inlineStr">
        <is>
          <t>Adjustments for depreciation and amortisation expense</t>
        </is>
      </c>
      <c r="C151" s="55" t="inlineStr">
        <is>
          <t>AdjustmentsForDepreciationAndAmortisationExpense</t>
        </is>
      </c>
      <c r="D151" s="56" t="n">
        <v>1089000000</v>
      </c>
      <c r="E151" s="56" t="n">
        <v>913000000</v>
      </c>
      <c r="F151" s="56" t="n">
        <v>880000000</v>
      </c>
      <c r="G151" s="56" t="n">
        <v>2084000000</v>
      </c>
      <c r="H151" s="56" t="n">
        <v>2669000000</v>
      </c>
      <c r="I151" s="56" t="n">
        <v>2881000000</v>
      </c>
    </row>
    <row r="152">
      <c r="B152" s="62" t="inlineStr">
        <is>
          <t>Adjustments for unrealised foreign exchange losses gains</t>
        </is>
      </c>
      <c r="C152" s="55" t="inlineStr">
        <is>
          <t>AdjustmentsForUnrealisedForeignExchangeLossesGains</t>
        </is>
      </c>
      <c r="D152" s="56" t="n">
        <v>42000000</v>
      </c>
      <c r="E152" s="56" t="n">
        <v>-65000000</v>
      </c>
      <c r="F152" s="56" t="n">
        <v>376000000</v>
      </c>
      <c r="G152" s="56" t="n">
        <v>371000000</v>
      </c>
      <c r="H152" s="56" t="n">
        <v>-369000000</v>
      </c>
      <c r="I152" s="56" t="n">
        <v>-160000000</v>
      </c>
    </row>
    <row r="153">
      <c r="B153" s="62" t="inlineStr">
        <is>
          <t>Adjustments for dividend income</t>
        </is>
      </c>
      <c r="C153" s="55" t="inlineStr">
        <is>
          <t>AdjustmentsForDividendIncome</t>
        </is>
      </c>
      <c r="D153" s="56" t="n">
        <v>141000000</v>
      </c>
      <c r="E153" s="56" t="n">
        <v>579000000</v>
      </c>
      <c r="F153" s="56" t="n">
        <v>408000000</v>
      </c>
      <c r="G153" s="56" t="n">
        <v>901000000</v>
      </c>
      <c r="H153" s="56" t="n">
        <v>0</v>
      </c>
      <c r="I153" s="56" t="n">
        <v>0</v>
      </c>
    </row>
    <row r="154">
      <c r="B154" s="62" t="inlineStr">
        <is>
          <t>Adjustments for interest income</t>
        </is>
      </c>
      <c r="C154" s="55" t="inlineStr">
        <is>
          <t>AdjustmentsForInterestIncome</t>
        </is>
      </c>
      <c r="D154" s="56" t="n">
        <v>16000000</v>
      </c>
      <c r="E154" s="56" t="n">
        <v>7000000</v>
      </c>
      <c r="F154" s="56" t="n">
        <v>8000000</v>
      </c>
      <c r="G154" s="56" t="n">
        <v>51000000</v>
      </c>
      <c r="H154" s="56" t="n">
        <v>165000000</v>
      </c>
      <c r="I154" s="56" t="n">
        <v>433000000</v>
      </c>
    </row>
    <row r="155">
      <c r="B155" s="62" t="inlineStr">
        <is>
          <t>Adjustments for share-based payments</t>
        </is>
      </c>
      <c r="C155" s="55" t="inlineStr">
        <is>
          <t>AdjustmentsForSharebasedPayments</t>
        </is>
      </c>
      <c r="D155" s="56" t="n">
        <v>428000000</v>
      </c>
      <c r="E155" s="56" t="n">
        <v>400000000</v>
      </c>
      <c r="F155" s="56" t="n">
        <v>281000000</v>
      </c>
      <c r="G155" s="56" t="n">
        <v>319000000</v>
      </c>
      <c r="H155" s="56" t="n">
        <v>168000000</v>
      </c>
      <c r="I155" s="56" t="n">
        <v>108000000</v>
      </c>
    </row>
    <row r="156">
      <c r="B156" s="62" t="inlineStr">
        <is>
          <t>Other adjustments for which cash effects are investing or financing cash flow</t>
        </is>
      </c>
      <c r="C156" s="55" t="inlineStr">
        <is>
          <t>OtherAdjustmentsForWhichCashEffectsAreInvestingOrFinancingCashFlow</t>
        </is>
      </c>
      <c r="D156" s="56" t="n">
        <v>-194000000</v>
      </c>
      <c r="E156" s="56" t="n">
        <v>-1118000000</v>
      </c>
      <c r="F156" s="56" t="n">
        <v>-749000000</v>
      </c>
      <c r="G156" s="56" t="n">
        <v>-1260000000</v>
      </c>
      <c r="H156" s="56" t="n">
        <v>-1772000000</v>
      </c>
      <c r="I156" s="56" t="n">
        <v>-2302000000</v>
      </c>
    </row>
    <row r="157">
      <c r="B157" s="62" t="inlineStr">
        <is>
          <t>Other adjustments to reconcile profit (loss)</t>
        </is>
      </c>
      <c r="C157" s="55" t="inlineStr">
        <is>
          <t>OtherAdjustmentsToReconcileProfitLoss</t>
        </is>
      </c>
      <c r="D157" s="56" t="n">
        <v>0</v>
      </c>
      <c r="E157" s="56" t="n">
        <v>0</v>
      </c>
      <c r="F157" s="56" t="n">
        <v>0</v>
      </c>
      <c r="G157" s="56" t="n">
        <v>-4546000000</v>
      </c>
      <c r="H157" s="56" t="n">
        <v>-6035000000</v>
      </c>
      <c r="I157" s="56" t="n">
        <v>0</v>
      </c>
    </row>
    <row r="158">
      <c r="B158" s="62" t="inlineStr">
        <is>
          <t>Other adjustments for non-cash items</t>
        </is>
      </c>
      <c r="C158" s="55" t="inlineStr">
        <is>
          <t>OtherAdjustmentsForNoncashItems</t>
        </is>
      </c>
      <c r="D158" s="56" t="n">
        <v>228000000</v>
      </c>
      <c r="E158" s="56" t="n">
        <v>0</v>
      </c>
      <c r="F158" s="56" t="n">
        <v>0</v>
      </c>
      <c r="G158" s="56" t="n">
        <v>4744000000</v>
      </c>
      <c r="H158" s="56" t="n">
        <v>6226000000</v>
      </c>
      <c r="I158" s="56" t="n">
        <v>263000000</v>
      </c>
    </row>
    <row r="159">
      <c r="B159" s="67" t="inlineStr">
        <is>
          <t>Total adjustments for reconcile profit (loss)</t>
        </is>
      </c>
      <c r="C159" s="55" t="inlineStr">
        <is>
          <t>AdjustmentsForReconcileProfitLoss</t>
        </is>
      </c>
      <c r="D159" s="58" t="n">
        <v>3062000000</v>
      </c>
      <c r="E159" s="58" t="n">
        <v>-4286000000</v>
      </c>
      <c r="F159" s="58" t="n">
        <v>-2860000000</v>
      </c>
      <c r="G159" s="58" t="n">
        <v>23000000</v>
      </c>
      <c r="H159" s="58" t="n">
        <v>3764000000</v>
      </c>
      <c r="I159" s="58" t="n">
        <v>-6526000000</v>
      </c>
    </row>
    <row r="160">
      <c r="B160" s="57" t="inlineStr">
        <is>
          <t>Net cash flows from (used in) operations</t>
        </is>
      </c>
      <c r="C160" s="55" t="inlineStr">
        <is>
          <t>CashFlowsFromUsedInOperations</t>
        </is>
      </c>
      <c r="D160" s="58" t="n">
        <v>14904000000</v>
      </c>
      <c r="E160" s="58" t="n">
        <v>10398000000</v>
      </c>
      <c r="F160" s="58" t="n">
        <v>16737000000</v>
      </c>
      <c r="G160" s="58" t="n">
        <v>20093000000</v>
      </c>
      <c r="H160" s="58" t="n">
        <v>27674000000</v>
      </c>
      <c r="I160" s="58" t="n">
        <v>23578000000</v>
      </c>
    </row>
    <row r="161">
      <c r="B161" s="54" t="inlineStr">
        <is>
          <t>Income taxes paid (refund)</t>
        </is>
      </c>
      <c r="C161" s="55" t="inlineStr">
        <is>
          <t>IncomeTaxesPaidRefundClassifiedAsOperatingActivities</t>
        </is>
      </c>
      <c r="D161" s="56" t="n">
        <v>2407000000</v>
      </c>
      <c r="E161" s="56" t="n">
        <v>3289000000</v>
      </c>
      <c r="F161" s="56" t="n">
        <v>4262000000</v>
      </c>
      <c r="G161" s="56" t="n">
        <v>3652000000</v>
      </c>
      <c r="H161" s="56" t="n">
        <v>5879000000</v>
      </c>
      <c r="I161" s="56" t="n">
        <v>7508000000</v>
      </c>
    </row>
    <row r="162">
      <c r="B162" s="57" t="inlineStr">
        <is>
          <t>Net cash flows from (used in) operating activities</t>
        </is>
      </c>
      <c r="C162" s="55" t="inlineStr">
        <is>
          <t>CashFlowsFromUsedInOperatingActivities</t>
        </is>
      </c>
      <c r="D162" s="58" t="n">
        <v>12497000000</v>
      </c>
      <c r="E162" s="58" t="n">
        <v>7109000000</v>
      </c>
      <c r="F162" s="58" t="n">
        <v>12475000000</v>
      </c>
      <c r="G162" s="58" t="n">
        <v>16441000000</v>
      </c>
      <c r="H162" s="58" t="n">
        <v>21795000000</v>
      </c>
      <c r="I162" s="58" t="n">
        <v>16070000000</v>
      </c>
    </row>
    <row r="163" ht="15.5" customHeight="1" s="203">
      <c r="B163" s="38" t="inlineStr">
        <is>
          <t>Cash flows from used in investing activities [Abstract]</t>
        </is>
      </c>
    </row>
    <row r="164">
      <c r="B164" s="54" t="inlineStr">
        <is>
          <t>Cash flows from losing control of subsidiaries or other businesses</t>
        </is>
      </c>
      <c r="C164" s="55" t="inlineStr">
        <is>
          <t>CashFlowsFromLosingControlOfSubsidiariesOrOtherBusinessesClassifiedAsInvestingActivities</t>
        </is>
      </c>
      <c r="D164" s="56" t="n">
        <v>0</v>
      </c>
      <c r="E164" s="56" t="n">
        <v>0</v>
      </c>
      <c r="F164" s="56" t="n">
        <v>0</v>
      </c>
      <c r="G164" s="56" t="n">
        <v>56000000</v>
      </c>
      <c r="H164" s="56" t="n">
        <v>10000000</v>
      </c>
      <c r="I164" s="56" t="n">
        <v>0</v>
      </c>
    </row>
    <row r="165">
      <c r="B165" s="54" t="inlineStr">
        <is>
          <t>Cash flows used in obtaining control of subsidiaries or other businesses</t>
        </is>
      </c>
      <c r="C165" s="55" t="inlineStr">
        <is>
          <t>CashFlowsUsedInObtainingControlOfSubsidiariesOrOtherBusinessesClassifiedAsInvestingActivities</t>
        </is>
      </c>
      <c r="D165" s="56" t="n">
        <v>71000000</v>
      </c>
      <c r="E165" s="56" t="n">
        <v>125000000</v>
      </c>
      <c r="F165" s="56" t="n">
        <v>2239000000</v>
      </c>
      <c r="G165" s="56" t="n">
        <v>0</v>
      </c>
      <c r="H165" s="56" t="n">
        <v>37000000</v>
      </c>
      <c r="I165" s="56" t="n">
        <v>451000000</v>
      </c>
    </row>
    <row r="166">
      <c r="B166" s="54" t="inlineStr">
        <is>
          <t>Other cash receipts from sales of equity or debt instruments of other entities</t>
        </is>
      </c>
      <c r="C166" s="55" t="inlineStr">
        <is>
          <t>OtherCashReceiptsFromSalesOfEquityOrDebtInstrumentsOfOtherEntitiesClassifiedAsInvestingActivities</t>
        </is>
      </c>
      <c r="D166" s="56" t="n">
        <v>0</v>
      </c>
      <c r="E166" s="56" t="n">
        <v>0</v>
      </c>
      <c r="F166" s="56" t="n">
        <v>0</v>
      </c>
      <c r="G166" s="56" t="n">
        <v>0</v>
      </c>
      <c r="H166" s="56" t="n">
        <v>0</v>
      </c>
      <c r="I166" s="56" t="n">
        <v>1585000000</v>
      </c>
    </row>
    <row r="167">
      <c r="B167" s="54" t="inlineStr">
        <is>
          <t>Other cash payments to acquire equity or debt instruments of other entities</t>
        </is>
      </c>
      <c r="C167" s="55" t="inlineStr">
        <is>
          <t>OtherCashPaymentsToAcquireEquityOrDebtInstrumentsOfOtherEntitiesClassifiedAsInvestingActivities</t>
        </is>
      </c>
      <c r="D167" s="56" t="n">
        <v>8978000000</v>
      </c>
      <c r="E167" s="56" t="n">
        <v>3016000000</v>
      </c>
      <c r="F167" s="56" t="n">
        <v>4512000000</v>
      </c>
      <c r="G167" s="56" t="n">
        <v>4603000000</v>
      </c>
      <c r="H167" s="56" t="n">
        <v>14611000000</v>
      </c>
      <c r="I167" s="56" t="n">
        <v>1574000000</v>
      </c>
    </row>
    <row r="168">
      <c r="B168" s="54" t="inlineStr">
        <is>
          <t>Proceeds from sales of property, plant and equipment</t>
        </is>
      </c>
      <c r="C168" s="55" t="inlineStr">
        <is>
          <t>ProceedsFromSalesOfPropertyPlantAndEquipmentClassifiedAsInvestingActivities</t>
        </is>
      </c>
      <c r="D168" s="56" t="n">
        <v>0</v>
      </c>
      <c r="E168" s="56" t="n">
        <v>32000000</v>
      </c>
      <c r="F168" s="56" t="n">
        <v>29000000</v>
      </c>
      <c r="G168" s="56" t="n">
        <v>34000000</v>
      </c>
      <c r="H168" s="56" t="n">
        <v>36000000</v>
      </c>
      <c r="I168" s="56" t="n">
        <v>34000000</v>
      </c>
    </row>
    <row r="169">
      <c r="B169" s="54" t="inlineStr">
        <is>
          <t>Purchase of property, plant and equipment</t>
        </is>
      </c>
      <c r="C169" s="55" t="inlineStr">
        <is>
          <t>PurchaseOfPropertyPlantAndEquipmentClassifiedAsInvestingActivities</t>
        </is>
      </c>
      <c r="D169" s="56" t="n">
        <v>619000000</v>
      </c>
      <c r="E169" s="56" t="n">
        <v>878000000</v>
      </c>
      <c r="F169" s="56" t="n">
        <v>1258000000</v>
      </c>
      <c r="G169" s="56" t="n">
        <v>2437000000</v>
      </c>
      <c r="H169" s="56" t="n">
        <v>1791000000</v>
      </c>
      <c r="I169" s="56" t="n">
        <v>7552000000</v>
      </c>
    </row>
    <row r="170">
      <c r="B170" s="54" t="inlineStr">
        <is>
          <t>Proceeds from sales of investment property</t>
        </is>
      </c>
      <c r="C170" s="55" t="inlineStr">
        <is>
          <t>ProceedsFromSalesOfInvestmentPropertyClassifiedAsInvestingActivities</t>
        </is>
      </c>
      <c r="D170" s="56" t="n">
        <v>41000000</v>
      </c>
      <c r="E170" s="56" t="n">
        <v>0</v>
      </c>
      <c r="F170" s="56" t="n">
        <v>0</v>
      </c>
      <c r="G170" s="56" t="n">
        <v>0</v>
      </c>
      <c r="H170" s="56" t="n">
        <v>0</v>
      </c>
      <c r="I170" s="56" t="n">
        <v>0</v>
      </c>
    </row>
    <row r="171">
      <c r="B171" s="54" t="inlineStr">
        <is>
          <t>Dividends received</t>
        </is>
      </c>
      <c r="C171" s="55" t="inlineStr">
        <is>
          <t>DividendsReceivedClassifiedAsInvestingActivities</t>
        </is>
      </c>
      <c r="D171" s="56" t="n">
        <v>141000000</v>
      </c>
      <c r="E171" s="56" t="n">
        <v>579000000</v>
      </c>
      <c r="F171" s="56" t="n">
        <v>408000000</v>
      </c>
      <c r="G171" s="56" t="n">
        <v>901000000</v>
      </c>
      <c r="H171" s="56" t="n">
        <v>0</v>
      </c>
      <c r="I171" s="56" t="n">
        <v>0</v>
      </c>
    </row>
    <row r="172">
      <c r="B172" s="54" t="inlineStr">
        <is>
          <t>Interest received</t>
        </is>
      </c>
      <c r="C172" s="55" t="inlineStr">
        <is>
          <t>InterestReceivedClassifiedAsInvestingActivities</t>
        </is>
      </c>
      <c r="D172" s="56" t="n">
        <v>16000000</v>
      </c>
      <c r="E172" s="56" t="n">
        <v>7000000</v>
      </c>
      <c r="F172" s="56" t="n">
        <v>8000000</v>
      </c>
      <c r="G172" s="56" t="n">
        <v>51000000</v>
      </c>
      <c r="H172" s="56" t="n">
        <v>153000000</v>
      </c>
      <c r="I172" s="56" t="n">
        <v>350000000</v>
      </c>
    </row>
    <row r="173">
      <c r="B173" s="54" t="inlineStr">
        <is>
          <t>Other inflows (outflows) of cash</t>
        </is>
      </c>
      <c r="C173" s="55" t="inlineStr">
        <is>
          <t>OtherInflowsOutflowsOfCashClassifiedAsInvestingActivities</t>
        </is>
      </c>
      <c r="D173" s="56" t="n">
        <v>194000000</v>
      </c>
      <c r="E173" s="56" t="n">
        <v>903000000</v>
      </c>
      <c r="F173" s="56" t="n">
        <v>737000000</v>
      </c>
      <c r="G173" s="56" t="n">
        <v>216000000</v>
      </c>
      <c r="H173" s="56" t="n">
        <v>-142000000</v>
      </c>
      <c r="I173" s="56" t="n">
        <v>921000000</v>
      </c>
    </row>
    <row r="174">
      <c r="B174" s="57" t="inlineStr">
        <is>
          <t>Net cash flows from (used in) investing activities</t>
        </is>
      </c>
      <c r="C174" s="55" t="inlineStr">
        <is>
          <t>CashFlowsFromUsedInInvestingActivities</t>
        </is>
      </c>
      <c r="D174" s="58" t="n">
        <v>-9276000000</v>
      </c>
      <c r="E174" s="58" t="n">
        <v>-2498000000</v>
      </c>
      <c r="F174" s="58" t="n">
        <v>-6827000000</v>
      </c>
      <c r="G174" s="58" t="n">
        <v>-5782000000</v>
      </c>
      <c r="H174" s="58" t="n">
        <v>-16382000000</v>
      </c>
      <c r="I174" s="58" t="n">
        <v>-6687000000</v>
      </c>
    </row>
    <row r="175" ht="15.5" customHeight="1" s="203">
      <c r="B175" s="38" t="inlineStr">
        <is>
          <t>Cash flows from used in financing activities [Abstract]</t>
        </is>
      </c>
    </row>
    <row r="176">
      <c r="B176" s="54" t="inlineStr">
        <is>
          <t>Proceeds from issuing shares</t>
        </is>
      </c>
      <c r="C176" s="55" t="inlineStr">
        <is>
          <t>ProceedsFromIssuingSharesClassifiedAsFinancingActivities</t>
        </is>
      </c>
      <c r="D176" s="56" t="n">
        <v>4000000</v>
      </c>
      <c r="E176" s="56" t="n">
        <v>3000000</v>
      </c>
      <c r="F176" s="56" t="n">
        <v>3000000</v>
      </c>
      <c r="G176" s="56" t="n">
        <v>0</v>
      </c>
      <c r="H176" s="56" t="n">
        <v>1000000</v>
      </c>
      <c r="I176" s="56" t="n">
        <v>0</v>
      </c>
    </row>
    <row r="177">
      <c r="B177" s="54" t="inlineStr">
        <is>
          <t>Repayments of borrowings</t>
        </is>
      </c>
      <c r="C177" s="55" t="inlineStr">
        <is>
          <t>RepaymentsOfBorrowingsClassifiedAsFinancingActivities</t>
        </is>
      </c>
      <c r="D177" s="56" t="n">
        <v>546000000</v>
      </c>
      <c r="E177" s="56" t="n">
        <v>0</v>
      </c>
      <c r="F177" s="56" t="n">
        <v>0</v>
      </c>
      <c r="G177" s="56" t="n">
        <v>0</v>
      </c>
      <c r="H177" s="56" t="n">
        <v>0</v>
      </c>
      <c r="I177" s="56" t="n">
        <v>0</v>
      </c>
    </row>
    <row r="178">
      <c r="B178" s="54" t="inlineStr">
        <is>
          <t>Payments of lease liabilities</t>
        </is>
      </c>
      <c r="C178" s="55" t="inlineStr">
        <is>
          <t>PaymentsOfLeaseLiabilitiesClassifiedAsFinancingActivities</t>
        </is>
      </c>
      <c r="D178" s="56" t="n">
        <v>0</v>
      </c>
      <c r="E178" s="56" t="n">
        <v>0</v>
      </c>
      <c r="F178" s="56" t="n">
        <v>0</v>
      </c>
      <c r="G178" s="56" t="n">
        <v>1369000000</v>
      </c>
      <c r="H178" s="56" t="n">
        <v>1555000000</v>
      </c>
      <c r="I178" s="56" t="n">
        <v>1590000000</v>
      </c>
    </row>
    <row r="179">
      <c r="B179" s="54" t="inlineStr">
        <is>
          <t>Dividends paid</t>
        </is>
      </c>
      <c r="C179" s="55" t="inlineStr">
        <is>
          <t>DividendsPaidClassifiedAsFinancingActivities</t>
        </is>
      </c>
      <c r="D179" s="56" t="n">
        <v>1888000000</v>
      </c>
      <c r="E179" s="56" t="n">
        <v>3534000000</v>
      </c>
      <c r="F179" s="56" t="n">
        <v>5340000000</v>
      </c>
      <c r="G179" s="56" t="n">
        <v>5679000000</v>
      </c>
      <c r="H179" s="56" t="n">
        <v>5319000000</v>
      </c>
      <c r="I179" s="56" t="n">
        <v>8749000000</v>
      </c>
    </row>
    <row r="180">
      <c r="B180" s="54" t="inlineStr">
        <is>
          <t>Interest paid</t>
        </is>
      </c>
      <c r="C180" s="55" t="inlineStr">
        <is>
          <t>InterestPaidClassifiedAsFinancingActivities</t>
        </is>
      </c>
      <c r="D180" s="56" t="n">
        <v>32000000</v>
      </c>
      <c r="E180" s="56" t="n">
        <v>138000000</v>
      </c>
      <c r="F180" s="56" t="n">
        <v>25000000</v>
      </c>
      <c r="G180" s="56" t="n">
        <v>33000000</v>
      </c>
      <c r="H180" s="56" t="n">
        <v>14000000</v>
      </c>
      <c r="I180" s="56" t="n">
        <v>41000000</v>
      </c>
    </row>
    <row r="181">
      <c r="B181" s="54" t="inlineStr">
        <is>
          <t>Other inflows (outflows) of cash</t>
        </is>
      </c>
      <c r="C181" s="55" t="inlineStr">
        <is>
          <t>OtherInflowsOutflowsOfCashClassifiedAsFinancingActivities</t>
        </is>
      </c>
      <c r="D181" s="56" t="n">
        <v>0</v>
      </c>
      <c r="E181" s="56" t="n">
        <v>-407000000</v>
      </c>
      <c r="F181" s="56" t="n">
        <v>-589000000</v>
      </c>
      <c r="G181" s="56" t="n">
        <v>-2104000000</v>
      </c>
      <c r="H181" s="56" t="n">
        <v>1759000000</v>
      </c>
      <c r="I181" s="56" t="n">
        <v>-89000000</v>
      </c>
    </row>
    <row r="182">
      <c r="B182" s="57" t="inlineStr">
        <is>
          <t>Net cash flows from (used in) financing activities</t>
        </is>
      </c>
      <c r="C182" s="55" t="inlineStr">
        <is>
          <t>CashFlowsFromUsedInFinancingActivities</t>
        </is>
      </c>
      <c r="D182" s="58" t="n">
        <v>-2462000000</v>
      </c>
      <c r="E182" s="58" t="n">
        <v>-4076000000</v>
      </c>
      <c r="F182" s="58" t="n">
        <v>-5951000000</v>
      </c>
      <c r="G182" s="58" t="n">
        <v>-9185000000</v>
      </c>
      <c r="H182" s="58" t="n">
        <v>-5128000000</v>
      </c>
      <c r="I182" s="58" t="n">
        <v>-10469000000</v>
      </c>
    </row>
    <row r="183">
      <c r="B183" s="8" t="inlineStr">
        <is>
          <t>Net increase (decrease) in cash and cash equivalents before effect of exchange rate changes</t>
        </is>
      </c>
      <c r="C183" s="55" t="inlineStr">
        <is>
          <t>IncreaseDecreaseInCashAndCashEquivalentsBeforeEffectOfExchangeRateChanges</t>
        </is>
      </c>
      <c r="D183" s="58" t="n">
        <v>759000000</v>
      </c>
      <c r="E183" s="58" t="n">
        <v>535000000</v>
      </c>
      <c r="F183" s="58" t="n">
        <v>-303000000</v>
      </c>
      <c r="G183" s="58" t="n">
        <v>1474000000</v>
      </c>
      <c r="H183" s="58" t="n">
        <v>285000000</v>
      </c>
      <c r="I183" s="58" t="n">
        <v>-1086000000</v>
      </c>
    </row>
    <row r="184" ht="15.5" customHeight="1" s="203">
      <c r="B184" s="38" t="inlineStr">
        <is>
          <t>Effect of exchange rate changes on cash and cash equivalents [Abstract]</t>
        </is>
      </c>
    </row>
    <row r="185">
      <c r="B185" s="54" t="inlineStr">
        <is>
          <t>Effect of exchange rate changes on cash and cash equivalents</t>
        </is>
      </c>
      <c r="C185" s="55" t="inlineStr">
        <is>
          <t>EffectOfExchangeRateChangesOnCashAndCashEquivalents</t>
        </is>
      </c>
      <c r="D185" s="56" t="n">
        <v>-75000000</v>
      </c>
      <c r="E185" s="56" t="n">
        <v>57000000</v>
      </c>
      <c r="F185" s="56" t="n">
        <v>-41000000</v>
      </c>
      <c r="G185" s="56" t="n">
        <v>86000000</v>
      </c>
      <c r="H185" s="56" t="n">
        <v>12000000</v>
      </c>
      <c r="I185" s="56" t="n">
        <v>-103000000</v>
      </c>
    </row>
    <row r="186">
      <c r="B186" s="8" t="inlineStr">
        <is>
          <t>Net increase (decrease) in cash and cash equivalents</t>
        </is>
      </c>
      <c r="C186" s="55" t="inlineStr">
        <is>
          <t>IncreaseDecreaseInCashAndCashEquivalents</t>
        </is>
      </c>
      <c r="D186" s="58" t="n">
        <v>684000000</v>
      </c>
      <c r="E186" s="58" t="n">
        <v>592000000</v>
      </c>
      <c r="F186" s="58" t="n">
        <v>-344000000</v>
      </c>
      <c r="G186" s="58" t="n">
        <v>1560000000</v>
      </c>
      <c r="H186" s="58" t="n">
        <v>297000000</v>
      </c>
      <c r="I186" s="58" t="n">
        <v>-1189000000</v>
      </c>
    </row>
    <row r="189" ht="21" customHeight="1" s="203">
      <c r="A189" t="inlineStr">
        <is>
          <t>#</t>
        </is>
      </c>
      <c r="B189" s="70" t="inlineStr">
        <is>
          <t>NOTES TO ACCOUNTS</t>
        </is>
      </c>
    </row>
    <row r="191" ht="15.5" customHeight="1" s="203">
      <c r="A191" t="inlineStr">
        <is>
          <t>#</t>
        </is>
      </c>
      <c r="B191" s="38" t="inlineStr">
        <is>
          <t>Notes to Statement of Profit and Loss: Additional Information Statement Of Profit And Loss</t>
        </is>
      </c>
    </row>
    <row r="193">
      <c r="C193" s="53" t="inlineStr">
        <is>
          <t>Concept Tag</t>
        </is>
      </c>
      <c r="D193" s="20" t="inlineStr">
        <is>
          <t>FY2017</t>
        </is>
      </c>
      <c r="E193" s="20" t="inlineStr">
        <is>
          <t>FY2018</t>
        </is>
      </c>
      <c r="F193" s="20" t="inlineStr">
        <is>
          <t>FY2019</t>
        </is>
      </c>
      <c r="G193" s="20" t="inlineStr">
        <is>
          <t>FY2020</t>
        </is>
      </c>
      <c r="H193" s="20" t="inlineStr">
        <is>
          <t>FY2021</t>
        </is>
      </c>
      <c r="I193" s="20" t="inlineStr">
        <is>
          <t>FY2022</t>
        </is>
      </c>
    </row>
    <row r="194" ht="15.5" customHeight="1" s="203">
      <c r="B194" s="38" t="inlineStr">
        <is>
          <t>Additional information on profit and loss account [Abstract]</t>
        </is>
      </c>
    </row>
    <row r="195">
      <c r="B195" s="59" t="inlineStr">
        <is>
          <t>Income tax relating to components of other comprehensive income [Abstract]</t>
        </is>
      </c>
    </row>
    <row r="196">
      <c r="B196" s="62" t="inlineStr">
        <is>
          <t>Aggregated income tax relating to components of other comprehensive income that will not be reclassified to profit or loss</t>
        </is>
      </c>
      <c r="C196" s="55" t="inlineStr">
        <is>
          <t>IncomeTaxRelatingToComponentsOfOtherComprehensiveIncomeThatWillNotBeReclassifiedToProfitOrLoss</t>
        </is>
      </c>
      <c r="D196" s="56" t="n">
        <v>-12000000</v>
      </c>
      <c r="E196" s="56" t="n">
        <v>18000000</v>
      </c>
      <c r="F196" s="56" t="n">
        <v>14000000</v>
      </c>
      <c r="G196" s="56" t="n">
        <v>3000000</v>
      </c>
      <c r="H196" s="56" t="n">
        <v>13000000</v>
      </c>
      <c r="I196" s="56" t="n">
        <v>8000000</v>
      </c>
    </row>
    <row r="197">
      <c r="B197" s="62" t="inlineStr">
        <is>
          <t>Aggregated income tax relating to components of other comprehensive income that will be reclassified to profit or loss</t>
        </is>
      </c>
      <c r="C197" s="55" t="inlineStr">
        <is>
          <t>IncomeTaxRelatingToComponentsOfOtherComprehensiveIncomeThatWillBeReclassifiedToProfitOrLoss</t>
        </is>
      </c>
      <c r="D197" s="56" t="n">
        <v>977000000</v>
      </c>
      <c r="E197" s="56" t="n">
        <v>-433000000</v>
      </c>
      <c r="F197" s="56" t="n">
        <v>-134000000</v>
      </c>
      <c r="G197" s="56" t="n">
        <v>-1399000000</v>
      </c>
      <c r="H197" s="56" t="n">
        <v>1463000000</v>
      </c>
      <c r="I197" s="56" t="n">
        <v>208000000</v>
      </c>
    </row>
    <row r="198">
      <c r="B198" s="67" t="inlineStr">
        <is>
          <t>Total aggregated income tax relating to components of other comprehensive income</t>
        </is>
      </c>
      <c r="C198" s="55" t="inlineStr">
        <is>
          <t>IncomeTaxRelatingToComponentsOfOtherComprehensiveIncome</t>
        </is>
      </c>
      <c r="D198" s="58" t="n">
        <v>965000000</v>
      </c>
      <c r="E198" s="58" t="n">
        <v>-415000000</v>
      </c>
      <c r="F198" s="58" t="n">
        <v>-120000000</v>
      </c>
      <c r="G198" s="58" t="n">
        <v>-1396000000</v>
      </c>
      <c r="H198" s="58" t="n">
        <v>1476000000</v>
      </c>
      <c r="I198" s="58" t="n">
        <v>216000000</v>
      </c>
    </row>
    <row r="199">
      <c r="B199" s="59" t="inlineStr">
        <is>
          <t>Details of cost incurred for issuing options or shares under employee stock option or stock purchase scheme [Abstract]</t>
        </is>
      </c>
    </row>
    <row r="200">
      <c r="B200" s="60" t="inlineStr">
        <is>
          <t>Revenue from sale of products [Abstract]</t>
        </is>
      </c>
    </row>
    <row r="201">
      <c r="B201" s="65" t="inlineStr">
        <is>
          <t>Total revenue from sale of products</t>
        </is>
      </c>
      <c r="C201" s="55" t="inlineStr">
        <is>
          <t>RevenueFromSaleOfProducts</t>
        </is>
      </c>
      <c r="D201" s="58" t="n">
        <v>0</v>
      </c>
      <c r="E201" s="58" t="n">
        <v>0</v>
      </c>
      <c r="F201" s="58" t="n">
        <v>0</v>
      </c>
      <c r="G201" s="58" t="n">
        <v>2865000000</v>
      </c>
      <c r="H201" s="58" t="n">
        <v>0</v>
      </c>
      <c r="I201" s="58" t="n">
        <v>4329000000</v>
      </c>
    </row>
    <row r="202">
      <c r="B202" s="60" t="inlineStr">
        <is>
          <t>Revenue from sale of services [Abstract]</t>
        </is>
      </c>
    </row>
    <row r="203">
      <c r="B203" s="65" t="inlineStr">
        <is>
          <t>Total revenue from sale of services</t>
        </is>
      </c>
      <c r="C203" s="55" t="inlineStr">
        <is>
          <t>RevenueFromSaleOfServices</t>
        </is>
      </c>
      <c r="D203" s="58" t="n">
        <v>61829000000</v>
      </c>
      <c r="E203" s="58" t="n">
        <v>69064000000</v>
      </c>
      <c r="F203" s="58" t="n">
        <v>89072000000</v>
      </c>
      <c r="G203" s="58" t="n">
        <v>98977000000</v>
      </c>
      <c r="H203" s="58" t="n">
        <v>115626000000</v>
      </c>
      <c r="I203" s="58" t="n">
        <v>139735000000</v>
      </c>
    </row>
    <row r="208" ht="15.5" customHeight="1" s="203">
      <c r="A208" t="inlineStr">
        <is>
          <t>#</t>
        </is>
      </c>
      <c r="B208" s="38" t="inlineStr">
        <is>
          <t>Notes to Statement of Profit and Loss: Earnings Per Share</t>
        </is>
      </c>
    </row>
    <row r="210">
      <c r="C210" s="53" t="inlineStr">
        <is>
          <t>Concept Tag</t>
        </is>
      </c>
      <c r="D210" s="20" t="inlineStr">
        <is>
          <t>FY2017</t>
        </is>
      </c>
      <c r="E210" s="20" t="inlineStr">
        <is>
          <t>FY2018</t>
        </is>
      </c>
      <c r="F210" s="20" t="inlineStr">
        <is>
          <t>FY2019</t>
        </is>
      </c>
      <c r="G210" s="20" t="inlineStr">
        <is>
          <t>FY2020</t>
        </is>
      </c>
      <c r="H210" s="20" t="inlineStr">
        <is>
          <t>FY2021</t>
        </is>
      </c>
      <c r="I210" s="20" t="inlineStr">
        <is>
          <t>FY2022</t>
        </is>
      </c>
    </row>
    <row r="211">
      <c r="B211" s="59" t="inlineStr">
        <is>
          <t>Earnings per share [Abstract]</t>
        </is>
      </c>
    </row>
    <row r="212">
      <c r="B212" s="60" t="inlineStr">
        <is>
          <t>Earnings per share [Line items]</t>
        </is>
      </c>
    </row>
    <row r="213">
      <c r="B213" s="63" t="inlineStr">
        <is>
          <t>Basic earnings per share [Abstract]</t>
        </is>
      </c>
    </row>
    <row r="214">
      <c r="B214" s="64" t="inlineStr">
        <is>
          <t>Basic earnings (loss) per share from continuing operations</t>
        </is>
      </c>
      <c r="C214" s="55" t="inlineStr">
        <is>
          <t>BasicEarningsLossPerShareFromContinuingOperations</t>
        </is>
      </c>
      <c r="D214" s="56" t="n">
        <v>55.11</v>
      </c>
      <c r="E214" s="56" t="n">
        <v>67.73999999999999</v>
      </c>
      <c r="F214" s="56" t="n">
        <v>85.31</v>
      </c>
      <c r="G214" s="56" t="n">
        <v>89.31</v>
      </c>
      <c r="H214" s="56" t="n">
        <v>102.45</v>
      </c>
      <c r="I214" s="56" t="n">
        <v>129.14</v>
      </c>
    </row>
    <row r="215">
      <c r="B215" s="66" t="inlineStr">
        <is>
          <t>Total basic earnings (loss) per share</t>
        </is>
      </c>
      <c r="C215" s="55" t="inlineStr">
        <is>
          <t>BasicEarningsLossPerShare</t>
        </is>
      </c>
      <c r="D215" s="58" t="n">
        <v>55.11</v>
      </c>
      <c r="E215" s="58" t="n">
        <v>67.73999999999999</v>
      </c>
      <c r="F215" s="58" t="n">
        <v>85.31</v>
      </c>
      <c r="G215" s="58" t="n">
        <v>89.31</v>
      </c>
      <c r="H215" s="58" t="n">
        <v>102.45</v>
      </c>
      <c r="I215" s="58" t="n">
        <v>129.14</v>
      </c>
    </row>
    <row r="216">
      <c r="B216" s="63" t="inlineStr">
        <is>
          <t>Diluted earnings per share [Abstract]</t>
        </is>
      </c>
    </row>
    <row r="217">
      <c r="B217" s="64" t="inlineStr">
        <is>
          <t>Diluted earnings (loss) per share from continuing operations</t>
        </is>
      </c>
      <c r="C217" s="55" t="inlineStr">
        <is>
          <t>DilutedEarningsLossPerShareFromContinuingOperations</t>
        </is>
      </c>
      <c r="D217" s="56" t="n">
        <v>53.89</v>
      </c>
      <c r="E217" s="56" t="n">
        <v>66.23</v>
      </c>
      <c r="F217" s="56" t="n">
        <v>84.11</v>
      </c>
      <c r="G217" s="56" t="n">
        <v>88.45</v>
      </c>
      <c r="H217" s="56" t="n">
        <v>101.79</v>
      </c>
      <c r="I217" s="56" t="n">
        <v>128.77</v>
      </c>
    </row>
    <row r="218">
      <c r="B218" s="66" t="inlineStr">
        <is>
          <t>Total diluted earnings (loss) per share</t>
        </is>
      </c>
      <c r="C218" s="55" t="inlineStr">
        <is>
          <t>DilutedEarningsLossPerShare</t>
        </is>
      </c>
      <c r="D218" s="58" t="n">
        <v>53.89</v>
      </c>
      <c r="E218" s="58" t="n">
        <v>66.23</v>
      </c>
      <c r="F218" s="58" t="n">
        <v>84.11</v>
      </c>
      <c r="G218" s="58" t="n">
        <v>88.45</v>
      </c>
      <c r="H218" s="58" t="n">
        <v>101.79</v>
      </c>
      <c r="I218" s="58" t="n">
        <v>128.77</v>
      </c>
    </row>
    <row r="219">
      <c r="B219" s="63" t="inlineStr">
        <is>
          <t>Profit (loss), attributable to ordinary equity holders of parent entity [Abstract]</t>
        </is>
      </c>
    </row>
    <row r="220">
      <c r="B220" s="64" t="inlineStr">
        <is>
          <t>Profit (loss), attributable to ordinary equity holders of parent entity, used in calculating basic earnings per share</t>
        </is>
      </c>
      <c r="C220" s="55" t="inlineStr">
        <is>
          <t>ProfitLossAttributableToOrdinaryEquityHoldersOfParentEntity</t>
        </is>
      </c>
      <c r="D220" s="56" t="n">
        <v>9376000000</v>
      </c>
      <c r="E220" s="56" t="n">
        <v>11601000000</v>
      </c>
      <c r="F220" s="56" t="n">
        <v>14751000000</v>
      </c>
      <c r="G220" s="56" t="n">
        <v>15524000000</v>
      </c>
      <c r="H220" s="56" t="n">
        <v>17874000000</v>
      </c>
      <c r="I220" s="56" t="n">
        <v>22609000000</v>
      </c>
    </row>
    <row r="221">
      <c r="B221" s="64" t="inlineStr">
        <is>
          <t>Profit (loss), attributable to ordinary equity holders of parent entity, used in calculating diluted earnings per share</t>
        </is>
      </c>
      <c r="C221" s="55" t="inlineStr">
        <is>
          <t>ProfitLossAttributableToOrdinaryEquityHoldersOfParentEntityIncludingDilutiveEffects</t>
        </is>
      </c>
      <c r="D221" s="56" t="n">
        <v>9376000000</v>
      </c>
      <c r="E221" s="56" t="n">
        <v>11601000000</v>
      </c>
      <c r="F221" s="56" t="n">
        <v>14751000000</v>
      </c>
      <c r="G221" s="56" t="n">
        <v>15524000000</v>
      </c>
      <c r="H221" s="56" t="n">
        <v>17874000000</v>
      </c>
      <c r="I221" s="56" t="n">
        <v>22609000000</v>
      </c>
    </row>
    <row r="222">
      <c r="B222" s="63" t="inlineStr">
        <is>
          <t>Weighted average shares and adjusted weighted average shares [Abstract]</t>
        </is>
      </c>
    </row>
    <row r="223">
      <c r="B223" s="64" t="inlineStr">
        <is>
          <t>Weighted average number of ordinary shares outstanding</t>
        </is>
      </c>
      <c r="C223" s="55" t="inlineStr">
        <is>
          <t>WeightedAverageShares</t>
        </is>
      </c>
      <c r="D223" s="56" t="n">
        <v>173992482</v>
      </c>
      <c r="E223" s="56" t="n">
        <v>175177533</v>
      </c>
      <c r="F223" s="56" t="n">
        <v>175381719</v>
      </c>
      <c r="G223" s="56" t="n">
        <v>175508270</v>
      </c>
      <c r="H223" s="56" t="n">
        <v>175596111</v>
      </c>
      <c r="I223" s="56" t="n">
        <v>175073125</v>
      </c>
    </row>
    <row r="224">
      <c r="B224" s="64" t="inlineStr">
        <is>
          <t>Adjusted weighted average shares</t>
        </is>
      </c>
      <c r="C224" s="55" t="inlineStr">
        <is>
          <t>AdjustedWeightedAverageShares</t>
        </is>
      </c>
      <c r="D224" s="56" t="n">
        <v>0</v>
      </c>
      <c r="E224" s="56" t="n">
        <v>0</v>
      </c>
      <c r="F224" s="56" t="n">
        <v>0</v>
      </c>
      <c r="G224" s="56" t="n">
        <v>1684617</v>
      </c>
      <c r="H224" s="56" t="n">
        <v>1135891</v>
      </c>
      <c r="I224" s="56" t="n">
        <v>505078</v>
      </c>
    </row>
    <row r="226" ht="15.5" customHeight="1" s="203">
      <c r="B226" s="38" t="inlineStr">
        <is>
          <t>Adjustments to reconcile profit (loss) to numerator used in calculating earnings per share [abstract]</t>
        </is>
      </c>
    </row>
    <row r="227">
      <c r="B227" s="54" t="inlineStr">
        <is>
          <t>Profit (loss), attributable to ordinary equity holders of parent entity, used in calculating basic earnings per share</t>
        </is>
      </c>
      <c r="C227" s="55" t="inlineStr">
        <is>
          <t>ProfitLossAttributableToOrdinaryEquityHoldersOfParentEntity</t>
        </is>
      </c>
      <c r="D227" s="56" t="n">
        <v>9376000000</v>
      </c>
      <c r="E227" s="56" t="n">
        <v>11601000000</v>
      </c>
      <c r="F227" s="56" t="n">
        <v>14751000000</v>
      </c>
      <c r="G227" s="56" t="n">
        <v>15524000000</v>
      </c>
      <c r="H227" s="56" t="n">
        <v>17874000000</v>
      </c>
      <c r="I227" s="56" t="n">
        <v>22609000000</v>
      </c>
    </row>
    <row r="228">
      <c r="B228" s="54" t="inlineStr">
        <is>
          <t>Profit (loss), attributable to ordinary equity holders of parent entity, used in calculating diluted earnings per share</t>
        </is>
      </c>
      <c r="C228" s="55" t="inlineStr">
        <is>
          <t>ProfitLossAttributableToOrdinaryEquityHoldersOfParentEntityIncludingDilutiveEffects</t>
        </is>
      </c>
      <c r="D228" s="56" t="n">
        <v>9376000000</v>
      </c>
      <c r="E228" s="56" t="n">
        <v>11601000000</v>
      </c>
      <c r="F228" s="56" t="n">
        <v>14751000000</v>
      </c>
      <c r="G228" s="56" t="n">
        <v>15524000000</v>
      </c>
      <c r="H228" s="56" t="n">
        <v>17874000000</v>
      </c>
      <c r="I228" s="56" t="n">
        <v>22609000000</v>
      </c>
    </row>
    <row r="230" ht="15.5" customHeight="1" s="203">
      <c r="B230" s="38" t="inlineStr">
        <is>
          <t>Participating equity instruments other than ordinary shares [abstract]</t>
        </is>
      </c>
    </row>
    <row r="231">
      <c r="B231" s="59" t="inlineStr">
        <is>
          <t>Disclosure of depositary receipts [abstract]</t>
        </is>
      </c>
    </row>
    <row r="232">
      <c r="B232" s="60" t="inlineStr">
        <is>
          <t>Disclosure of depositary receipts [Line items]</t>
        </is>
      </c>
    </row>
    <row r="233">
      <c r="B233" s="63" t="inlineStr">
        <is>
          <t>Basic earnings per share [Abstract]</t>
        </is>
      </c>
    </row>
    <row r="234">
      <c r="B234" s="64" t="inlineStr">
        <is>
          <t>Basic earnings (loss) per share from continuing operations</t>
        </is>
      </c>
      <c r="C234" s="55" t="inlineStr">
        <is>
          <t>BasicEarningsLossPerShareFromContinuingOperations</t>
        </is>
      </c>
      <c r="D234" s="56" t="n">
        <v>55.11</v>
      </c>
      <c r="E234" s="56" t="n">
        <v>67.73999999999999</v>
      </c>
      <c r="F234" s="56" t="n">
        <v>85.31</v>
      </c>
      <c r="G234" s="56" t="n">
        <v>89.31</v>
      </c>
      <c r="H234" s="56" t="n">
        <v>102.45</v>
      </c>
      <c r="I234" s="56" t="n">
        <v>129.14</v>
      </c>
    </row>
    <row r="235">
      <c r="B235" s="66" t="inlineStr">
        <is>
          <t>Total basic earnings (loss) per share</t>
        </is>
      </c>
      <c r="C235" s="55" t="inlineStr">
        <is>
          <t>BasicEarningsLossPerShare</t>
        </is>
      </c>
      <c r="D235" s="58" t="n">
        <v>55.11</v>
      </c>
      <c r="E235" s="58" t="n">
        <v>67.73999999999999</v>
      </c>
      <c r="F235" s="58" t="n">
        <v>85.31</v>
      </c>
      <c r="G235" s="58" t="n">
        <v>89.31</v>
      </c>
      <c r="H235" s="58" t="n">
        <v>102.45</v>
      </c>
      <c r="I235" s="58" t="n">
        <v>129.14</v>
      </c>
    </row>
    <row r="236">
      <c r="B236" s="63" t="inlineStr">
        <is>
          <t>Diluted earnings per share [Abstract]</t>
        </is>
      </c>
    </row>
    <row r="237">
      <c r="B237" s="64" t="inlineStr">
        <is>
          <t>Diluted earnings (loss) per share from continuing operations</t>
        </is>
      </c>
      <c r="C237" s="55" t="inlineStr">
        <is>
          <t>DilutedEarningsLossPerShareFromContinuingOperations</t>
        </is>
      </c>
      <c r="D237" s="56" t="n">
        <v>53.89</v>
      </c>
      <c r="E237" s="56" t="n">
        <v>66.23</v>
      </c>
      <c r="F237" s="56" t="n">
        <v>84.11</v>
      </c>
      <c r="G237" s="56" t="n">
        <v>88.45</v>
      </c>
      <c r="H237" s="56" t="n">
        <v>101.79</v>
      </c>
      <c r="I237" s="56" t="n">
        <v>128.77</v>
      </c>
    </row>
    <row r="238">
      <c r="B238" s="66" t="inlineStr">
        <is>
          <t>Total diluted earnings (loss) per share</t>
        </is>
      </c>
      <c r="C238" s="55" t="inlineStr">
        <is>
          <t>DilutedEarningsLossPerShare</t>
        </is>
      </c>
      <c r="D238" s="58" t="n">
        <v>53.89</v>
      </c>
      <c r="E238" s="58" t="n">
        <v>66.23</v>
      </c>
      <c r="F238" s="58" t="n">
        <v>84.11</v>
      </c>
      <c r="G238" s="58" t="n">
        <v>88.45</v>
      </c>
      <c r="H238" s="58" t="n">
        <v>101.79</v>
      </c>
      <c r="I238" s="58" t="n">
        <v>128.77</v>
      </c>
    </row>
    <row r="239">
      <c r="B239" s="63" t="inlineStr">
        <is>
          <t>Weighted average shares and adjusted weighted average shares [Abstract]</t>
        </is>
      </c>
    </row>
    <row r="240">
      <c r="B240" s="64" t="inlineStr">
        <is>
          <t>Weighted average number of ordinary shares outstanding</t>
        </is>
      </c>
      <c r="C240" s="55" t="inlineStr">
        <is>
          <t>WeightedAverageShares</t>
        </is>
      </c>
      <c r="D240" s="56" t="n">
        <v>173992482</v>
      </c>
      <c r="E240" s="56" t="n">
        <v>175177533</v>
      </c>
      <c r="F240" s="56" t="n">
        <v>175381719</v>
      </c>
      <c r="G240" s="56" t="n">
        <v>175508270</v>
      </c>
      <c r="H240" s="56" t="n">
        <v>175596111</v>
      </c>
      <c r="I240" s="56" t="n">
        <v>175073125</v>
      </c>
    </row>
    <row r="241">
      <c r="B241" s="64" t="inlineStr">
        <is>
          <t>Adjusted weighted average shares</t>
        </is>
      </c>
      <c r="C241" s="55" t="inlineStr">
        <is>
          <t>AdjustedWeightedAverageShares</t>
        </is>
      </c>
      <c r="D241" s="56" t="n">
        <v>0</v>
      </c>
      <c r="E241" s="56" t="n">
        <v>0</v>
      </c>
      <c r="F241" s="56" t="n">
        <v>0</v>
      </c>
      <c r="G241" s="56" t="n">
        <v>1684617</v>
      </c>
      <c r="H241" s="56" t="n">
        <v>1135891</v>
      </c>
      <c r="I241" s="56" t="n">
        <v>505078</v>
      </c>
    </row>
    <row r="244" ht="15.5" customHeight="1" s="203">
      <c r="A244" t="inlineStr">
        <is>
          <t>#</t>
        </is>
      </c>
      <c r="B244" s="38" t="inlineStr">
        <is>
          <t>Notes to Statement of Profit and Loss: Income Taxes</t>
        </is>
      </c>
    </row>
    <row r="246">
      <c r="C246" s="53" t="inlineStr">
        <is>
          <t>Concept Tag</t>
        </is>
      </c>
      <c r="D246" s="20" t="inlineStr">
        <is>
          <t>FY2017</t>
        </is>
      </c>
      <c r="E246" s="20" t="inlineStr">
        <is>
          <t>FY2018</t>
        </is>
      </c>
      <c r="F246" s="20" t="inlineStr">
        <is>
          <t>FY2019</t>
        </is>
      </c>
      <c r="G246" s="20" t="inlineStr">
        <is>
          <t>FY2020</t>
        </is>
      </c>
      <c r="H246" s="20" t="inlineStr">
        <is>
          <t>FY2021</t>
        </is>
      </c>
      <c r="I246" s="20" t="inlineStr">
        <is>
          <t>FY2022</t>
        </is>
      </c>
    </row>
    <row r="247" ht="15.5" customHeight="1" s="203">
      <c r="B247" s="38" t="inlineStr">
        <is>
          <t>Major components of tax expense (income) [Abstract]</t>
        </is>
      </c>
    </row>
    <row r="248">
      <c r="B248" s="59" t="inlineStr">
        <is>
          <t>Current tax expense (income) and adjustments for current tax of prior periods [Abstract]</t>
        </is>
      </c>
    </row>
    <row r="249">
      <c r="B249" s="62" t="inlineStr">
        <is>
          <t>Current tax expense (income)</t>
        </is>
      </c>
      <c r="C249" s="55" t="inlineStr">
        <is>
          <t>CurrentTaxExpenseIncome</t>
        </is>
      </c>
      <c r="D249" s="56" t="n">
        <v>2915000000</v>
      </c>
      <c r="E249" s="56" t="n">
        <v>3429000000</v>
      </c>
      <c r="F249" s="56" t="n">
        <v>4265000000</v>
      </c>
      <c r="G249" s="56" t="n">
        <v>3431000000</v>
      </c>
      <c r="H249" s="56" t="n">
        <v>5895000000</v>
      </c>
      <c r="I249" s="56" t="n">
        <v>7619000000</v>
      </c>
    </row>
    <row r="250">
      <c r="B250" s="62" t="inlineStr">
        <is>
          <t>Adjustments for current tax of prior periods</t>
        </is>
      </c>
      <c r="C250" s="55" t="inlineStr">
        <is>
          <t>AdjustmentsForCurrentTaxOfPriorPeriod</t>
        </is>
      </c>
      <c r="D250" s="56" t="n">
        <v>19000000</v>
      </c>
      <c r="E250" s="56" t="n">
        <v>-99000000</v>
      </c>
      <c r="F250" s="56" t="n">
        <v>211000000</v>
      </c>
      <c r="G250" s="56" t="n">
        <v>99000000</v>
      </c>
      <c r="H250" s="56" t="n">
        <v>-54000000</v>
      </c>
      <c r="I250" s="56" t="n">
        <v>78000000</v>
      </c>
    </row>
    <row r="251">
      <c r="B251" s="67" t="inlineStr">
        <is>
          <t>Total current tax expense (income) and adjustments for current tax of prior periods</t>
        </is>
      </c>
      <c r="C251" s="55" t="inlineStr">
        <is>
          <t>CurrentTaxExpenseIncomeAndAdjustmentsForCurrentTaxOfPriorPeriods</t>
        </is>
      </c>
      <c r="D251" s="58" t="n">
        <v>2934000000</v>
      </c>
      <c r="E251" s="58" t="n">
        <v>3330000000</v>
      </c>
      <c r="F251" s="58" t="n">
        <v>4476000000</v>
      </c>
      <c r="G251" s="58" t="n">
        <v>3530000000</v>
      </c>
      <c r="H251" s="58" t="n">
        <v>5841000000</v>
      </c>
      <c r="I251" s="58" t="n">
        <v>7697000000</v>
      </c>
    </row>
    <row r="252">
      <c r="B252" s="54" t="inlineStr">
        <is>
          <t>Deferred tax expense (income) relating to origination and reversal of temporary differences</t>
        </is>
      </c>
      <c r="C252" s="55" t="inlineStr">
        <is>
          <t>DeferredTaxExpenseIncomeRelatingToOriginationAndReversalOfTemporaryDifferences</t>
        </is>
      </c>
      <c r="D252" s="56" t="n">
        <v>-28000000</v>
      </c>
      <c r="E252" s="56" t="n">
        <v>-294000000</v>
      </c>
      <c r="F252" s="56" t="n">
        <v>-31000000</v>
      </c>
      <c r="G252" s="56" t="n">
        <v>-620000000</v>
      </c>
      <c r="H252" s="56" t="n">
        <v>-298000000</v>
      </c>
      <c r="I252" s="56" t="n">
        <v>-201000000</v>
      </c>
    </row>
    <row r="253">
      <c r="B253" s="54" t="inlineStr">
        <is>
          <t>Tax benefit arising from previously unrecognised tax loss, tax credit or temporary difference of prior period used to reduce deferred tax expense</t>
        </is>
      </c>
      <c r="C253" s="55" t="inlineStr">
        <is>
          <t>TaxBenefitArisingFromPreviouslyUnrecognisedTaxLossTaxCreditOrTemporaryDifferenceOfPriorPeriodUsedToReduceDeferredTaxExpense</t>
        </is>
      </c>
      <c r="D253" s="56" t="n">
        <v>0</v>
      </c>
      <c r="E253" s="56" t="n">
        <v>0</v>
      </c>
      <c r="F253" s="56" t="n">
        <v>-401000000</v>
      </c>
      <c r="G253" s="56" t="n">
        <v>-1636000000</v>
      </c>
      <c r="H253" s="56" t="n">
        <v>-493000000</v>
      </c>
      <c r="I253" s="56" t="n">
        <v>0</v>
      </c>
    </row>
    <row r="254">
      <c r="B254" s="54" t="inlineStr">
        <is>
          <t>Other components of deferred tax expense (income)</t>
        </is>
      </c>
      <c r="C254" s="55" t="inlineStr">
        <is>
          <t>OtherComponentsOfDeferredTaxExpenseIncome</t>
        </is>
      </c>
      <c r="D254" s="56" t="n">
        <v>-440000000</v>
      </c>
      <c r="E254" s="56" t="n">
        <v>47000000</v>
      </c>
      <c r="F254" s="56" t="n">
        <v>0</v>
      </c>
      <c r="G254" s="56" t="n">
        <v>0</v>
      </c>
      <c r="H254" s="56" t="n">
        <v>0</v>
      </c>
      <c r="I254" s="56" t="n">
        <v>0</v>
      </c>
    </row>
    <row r="255">
      <c r="B255" s="57" t="inlineStr">
        <is>
          <t>Total tax expense (income)</t>
        </is>
      </c>
      <c r="C255" s="55" t="inlineStr">
        <is>
          <t>IncomeTaxExpenseContinuingOperations</t>
        </is>
      </c>
      <c r="D255" s="58" t="n">
        <v>2466000000</v>
      </c>
      <c r="E255" s="58" t="n">
        <v>3083000000</v>
      </c>
      <c r="F255" s="58" t="n">
        <v>4846000000</v>
      </c>
      <c r="G255" s="58" t="n">
        <v>4546000000</v>
      </c>
      <c r="H255" s="58" t="n">
        <v>6036000000</v>
      </c>
      <c r="I255" s="58" t="n">
        <v>7496000000</v>
      </c>
    </row>
    <row r="257" ht="15.5" customHeight="1" s="203">
      <c r="B257" s="38" t="inlineStr">
        <is>
          <t>Current and deferred tax relating to items charged or credited directly to equity [Abstract]</t>
        </is>
      </c>
    </row>
    <row r="258">
      <c r="B258" s="54" t="inlineStr">
        <is>
          <t>Deferred tax relating to items credited (charged) directly to equity</t>
        </is>
      </c>
      <c r="C258" s="55" t="inlineStr">
        <is>
          <t>DeferredTaxRelatingToItemsChargedOrCreditedDirectlyToEquity</t>
        </is>
      </c>
      <c r="D258" s="56" t="n">
        <v>1229000000</v>
      </c>
      <c r="E258" s="56" t="n">
        <v>-234000000</v>
      </c>
      <c r="F258" s="56" t="n">
        <v>0</v>
      </c>
      <c r="G258" s="56" t="n">
        <v>0</v>
      </c>
      <c r="H258" s="56" t="n">
        <v>0</v>
      </c>
      <c r="I258" s="56" t="n">
        <v>0</v>
      </c>
    </row>
    <row r="259">
      <c r="B259" s="57" t="inlineStr">
        <is>
          <t>Total aggregate current and deferred tax relating to items credited (charged) directly to equity</t>
        </is>
      </c>
      <c r="C259" s="55" t="inlineStr">
        <is>
          <t>CurrentAndDeferredTaxRelatingToItemsChargedOrCreditedDirectlyToEquity</t>
        </is>
      </c>
      <c r="D259" s="58" t="n">
        <v>0</v>
      </c>
      <c r="E259" s="58" t="n">
        <v>-234000000</v>
      </c>
      <c r="F259" s="58" t="n">
        <v>0</v>
      </c>
      <c r="G259" s="58" t="n">
        <v>0</v>
      </c>
      <c r="H259" s="58" t="n">
        <v>0</v>
      </c>
      <c r="I259" s="58" t="n">
        <v>0</v>
      </c>
    </row>
    <row r="261" ht="15.5" customHeight="1" s="203">
      <c r="B261" s="38" t="inlineStr">
        <is>
          <t>Income tax relating to components of other comprehensive income [Abstract]</t>
        </is>
      </c>
    </row>
    <row r="262">
      <c r="B262" s="54" t="inlineStr">
        <is>
          <t>Income tax relating to cash flow hedges of other comprehensive income</t>
        </is>
      </c>
      <c r="C262" s="55" t="inlineStr">
        <is>
          <t>IncomeTaxRelatingToCashFlowHedgesOfOtherComprehensiveIncome</t>
        </is>
      </c>
      <c r="D262" s="56" t="n">
        <v>0</v>
      </c>
      <c r="E262" s="56" t="n">
        <v>-433000000</v>
      </c>
      <c r="F262" s="56" t="n">
        <v>-134000000</v>
      </c>
      <c r="G262" s="56" t="n">
        <v>-1399000000</v>
      </c>
      <c r="H262" s="56" t="n">
        <v>1463000000</v>
      </c>
      <c r="I262" s="56" t="n">
        <v>208000000</v>
      </c>
    </row>
    <row r="263">
      <c r="B263" s="54" t="inlineStr">
        <is>
          <t>Income tax relating to remeasurements of defined benefit plans of other comprehensive income</t>
        </is>
      </c>
      <c r="C263" s="55" t="inlineStr">
        <is>
          <t>IncomeTaxRelatingToRemeasurementsOfDefinedBenefitPlansOfOtherComprehensiveIncome</t>
        </is>
      </c>
      <c r="D263" s="56" t="n">
        <v>-12000000</v>
      </c>
      <c r="E263" s="56" t="n">
        <v>18000000</v>
      </c>
      <c r="F263" s="56" t="n">
        <v>14000000</v>
      </c>
      <c r="G263" s="56" t="n">
        <v>3000000</v>
      </c>
      <c r="H263" s="56" t="n">
        <v>13000000</v>
      </c>
      <c r="I263" s="56" t="n">
        <v>8000000</v>
      </c>
    </row>
    <row r="264">
      <c r="B264" s="54" t="inlineStr">
        <is>
          <t>Others income tax relating to components of other comprehensive income that will be reclassified to profit or loss</t>
        </is>
      </c>
      <c r="C264" s="55" t="inlineStr">
        <is>
          <t>OthersIncomeTaxRelatingToComponentsOfOtherComprehensiveIncomeThatWillBeReclassifiedToProfitOrLoss</t>
        </is>
      </c>
      <c r="D264" s="56" t="n">
        <v>977000000</v>
      </c>
      <c r="E264" s="56" t="n">
        <v>0</v>
      </c>
      <c r="F264" s="56" t="n">
        <v>0</v>
      </c>
      <c r="G264" s="56" t="n">
        <v>0</v>
      </c>
      <c r="H264" s="56" t="n">
        <v>0</v>
      </c>
      <c r="I264" s="56" t="n">
        <v>0</v>
      </c>
    </row>
    <row r="265">
      <c r="B265" s="57" t="inlineStr">
        <is>
          <t>Total aggregated income tax relating to components of other comprehensive income</t>
        </is>
      </c>
      <c r="C265" s="55" t="inlineStr">
        <is>
          <t>IncomeTaxRelatingToComponentsOfOtherComprehensiveIncome</t>
        </is>
      </c>
      <c r="D265" s="58" t="n">
        <v>965000000</v>
      </c>
      <c r="E265" s="58" t="n">
        <v>-415000000</v>
      </c>
      <c r="F265" s="58" t="n">
        <v>-120000000</v>
      </c>
      <c r="G265" s="58" t="n">
        <v>-1396000000</v>
      </c>
      <c r="H265" s="58" t="n">
        <v>1476000000</v>
      </c>
      <c r="I265" s="58" t="n">
        <v>216000000</v>
      </c>
    </row>
    <row r="267">
      <c r="B267" s="59" t="inlineStr">
        <is>
          <t>Disclosure of temporary difference, unused tax losses and unused tax credits [Abstract]</t>
        </is>
      </c>
    </row>
    <row r="268">
      <c r="B268" s="60" t="inlineStr">
        <is>
          <t>Disclosure of temporary difference, unused tax losses and unused tax credits [Line items]</t>
        </is>
      </c>
    </row>
    <row r="269">
      <c r="B269" s="63" t="inlineStr">
        <is>
          <t>Deferred tax assets and liabilities [Abstract]</t>
        </is>
      </c>
    </row>
    <row r="270">
      <c r="B270" s="64" t="inlineStr">
        <is>
          <t>Deferred tax assets</t>
        </is>
      </c>
      <c r="C270" s="55" t="inlineStr">
        <is>
          <t>DeferredTaxAssets</t>
        </is>
      </c>
      <c r="D270" s="56" t="n">
        <v>2885000000</v>
      </c>
      <c r="E270" s="56" t="n">
        <v>3342000000</v>
      </c>
      <c r="F270" s="56" t="n">
        <v>2946000000</v>
      </c>
      <c r="G270" s="56" t="n">
        <v>2960000000</v>
      </c>
      <c r="H270" s="56" t="n">
        <v>2065000000</v>
      </c>
      <c r="I270" s="56" t="n">
        <v>2264000000</v>
      </c>
    </row>
    <row r="271">
      <c r="B271" s="64" t="inlineStr">
        <is>
          <t>Deferred tax liabilities</t>
        </is>
      </c>
      <c r="C271" s="55" t="inlineStr">
        <is>
          <t>DeferredTaxLiabilities</t>
        </is>
      </c>
      <c r="D271" s="56" t="n">
        <v>1446000000</v>
      </c>
      <c r="E271" s="56" t="n">
        <v>1423000000</v>
      </c>
      <c r="F271" s="56" t="n">
        <v>1382000000</v>
      </c>
      <c r="G271" s="56" t="n">
        <v>825000000</v>
      </c>
      <c r="H271" s="56" t="n">
        <v>1588000000</v>
      </c>
      <c r="I271" s="56" t="n">
        <v>1792000000</v>
      </c>
    </row>
    <row r="272">
      <c r="B272" s="66" t="inlineStr">
        <is>
          <t>Deferred tax liability (assets) at end of period</t>
        </is>
      </c>
      <c r="C272" s="55" t="inlineStr">
        <is>
          <t>DeferredTaxLiabilityAssets</t>
        </is>
      </c>
      <c r="D272" s="58" t="n">
        <v>-1439000000</v>
      </c>
      <c r="E272" s="58" t="n">
        <v>-1919000000</v>
      </c>
      <c r="F272" s="58" t="n">
        <v>-1564000000</v>
      </c>
      <c r="G272" s="58" t="n">
        <v>-2135000000</v>
      </c>
      <c r="H272" s="58" t="n">
        <v>-477000000</v>
      </c>
      <c r="I272" s="58" t="n">
        <v>-472000000</v>
      </c>
    </row>
    <row r="273">
      <c r="B273" s="63" t="inlineStr">
        <is>
          <t>Deferred tax expense (income) [Abstract]</t>
        </is>
      </c>
    </row>
    <row r="274">
      <c r="B274" s="71" t="inlineStr">
        <is>
          <t>Deferred tax expense (income) recognised in profit or loss</t>
        </is>
      </c>
      <c r="C274" s="55" t="inlineStr">
        <is>
          <t>DeferredTaxExpenseIncomeRecognisedInProfitOrLoss</t>
        </is>
      </c>
      <c r="D274" s="56" t="n">
        <v>-468000000</v>
      </c>
      <c r="E274" s="56" t="n">
        <v>-245000000</v>
      </c>
      <c r="F274" s="56" t="n">
        <v>370000000</v>
      </c>
      <c r="G274" s="56" t="n">
        <v>1019000000</v>
      </c>
      <c r="H274" s="56" t="n">
        <v>195000000</v>
      </c>
      <c r="I274" s="56" t="n">
        <v>-201000000</v>
      </c>
    </row>
    <row r="275">
      <c r="B275" s="63" t="inlineStr">
        <is>
          <t>Reconciliation of changes in deferred tax liability (assets) [Abstract]</t>
        </is>
      </c>
    </row>
    <row r="276">
      <c r="B276" s="66" t="inlineStr">
        <is>
          <t>Deferred tax liability (assets) at end of period</t>
        </is>
      </c>
      <c r="C276" s="55" t="inlineStr">
        <is>
          <t>DeferredTaxLiabilityAssets</t>
        </is>
      </c>
      <c r="D276" s="58" t="n">
        <v>-1439000000</v>
      </c>
      <c r="E276" s="58" t="n">
        <v>-1919000000</v>
      </c>
      <c r="F276" s="58" t="n">
        <v>-1564000000</v>
      </c>
      <c r="G276" s="58" t="n">
        <v>-2135000000</v>
      </c>
      <c r="H276" s="58" t="n">
        <v>-477000000</v>
      </c>
      <c r="I276" s="58" t="n">
        <v>-472000000</v>
      </c>
    </row>
    <row r="277">
      <c r="B277" s="68" t="inlineStr">
        <is>
          <t>Changes in deferred tax liability (assets) [Abstract]</t>
        </is>
      </c>
    </row>
    <row r="278">
      <c r="B278" s="71" t="inlineStr">
        <is>
          <t>Deferred tax expense (income) recognised in profit or loss</t>
        </is>
      </c>
      <c r="C278" s="55" t="inlineStr">
        <is>
          <t>DeferredTaxExpenseIncomeRecognisedInProfitOrLoss</t>
        </is>
      </c>
      <c r="D278" s="56" t="n">
        <v>-468000000</v>
      </c>
      <c r="E278" s="56" t="n">
        <v>-245000000</v>
      </c>
      <c r="F278" s="56" t="n">
        <v>370000000</v>
      </c>
      <c r="G278" s="56" t="n">
        <v>1019000000</v>
      </c>
      <c r="H278" s="56" t="n">
        <v>195000000</v>
      </c>
      <c r="I278" s="56" t="n">
        <v>-201000000</v>
      </c>
    </row>
    <row r="279">
      <c r="B279" s="71" t="inlineStr">
        <is>
          <t>Deferred tax relating to items credited (charged) directly to equity</t>
        </is>
      </c>
      <c r="C279" s="55" t="inlineStr">
        <is>
          <t>DeferredTaxRelatingToItemsChargedOrCreditedDirectlyToEquity</t>
        </is>
      </c>
      <c r="D279" s="56" t="n">
        <v>1229000000</v>
      </c>
      <c r="E279" s="56" t="n">
        <v>-234000000</v>
      </c>
      <c r="F279" s="56" t="n">
        <v>0</v>
      </c>
      <c r="G279" s="56" t="n">
        <v>0</v>
      </c>
      <c r="H279" s="56" t="n">
        <v>0</v>
      </c>
      <c r="I279" s="56" t="n">
        <v>0</v>
      </c>
    </row>
    <row r="280">
      <c r="B280" s="71" t="inlineStr">
        <is>
          <t>Aggregated income tax relating to components of other comprehensive income</t>
        </is>
      </c>
      <c r="C280" s="55" t="inlineStr">
        <is>
          <t>AggregatedIncomeTaxRelatingToComponentsOfOtherComprehensiveIncome</t>
        </is>
      </c>
      <c r="D280" s="56" t="n">
        <v>0</v>
      </c>
      <c r="E280" s="56" t="n">
        <v>0</v>
      </c>
      <c r="F280" s="56" t="n">
        <v>-15000000</v>
      </c>
      <c r="G280" s="56" t="n">
        <v>-1399000000</v>
      </c>
      <c r="H280" s="56" t="n">
        <v>1463000000</v>
      </c>
      <c r="I280" s="56" t="n">
        <v>208000000</v>
      </c>
    </row>
    <row r="281">
      <c r="B281" s="71" t="inlineStr">
        <is>
          <t>Increase (decrease) through net exchange differences, deferred tax liability (assets)</t>
        </is>
      </c>
      <c r="C281" s="55" t="inlineStr">
        <is>
          <t>IncreaseDecreaseThroughNetExchangeDifferencesDeferredTaxLiabilityAssets</t>
        </is>
      </c>
      <c r="D281" s="56" t="n">
        <v>-2000000</v>
      </c>
      <c r="E281" s="56" t="n">
        <v>-1000000</v>
      </c>
      <c r="F281" s="56" t="n">
        <v>0</v>
      </c>
      <c r="G281" s="56" t="n">
        <v>-191000000</v>
      </c>
      <c r="H281" s="56" t="n">
        <v>0</v>
      </c>
      <c r="I281" s="56" t="n">
        <v>0</v>
      </c>
    </row>
    <row r="282">
      <c r="B282" s="69" t="inlineStr">
        <is>
          <t>Total increase (decrease) in deferred tax liability (assets)</t>
        </is>
      </c>
      <c r="C282" s="55" t="inlineStr">
        <is>
          <t>IncreaseDecreaseInDeferredTaxLiabilityAssets</t>
        </is>
      </c>
      <c r="D282" s="58" t="n">
        <v>759000000</v>
      </c>
      <c r="E282" s="58" t="n">
        <v>-480000000</v>
      </c>
      <c r="F282" s="58" t="n">
        <v>355000000</v>
      </c>
      <c r="G282" s="58" t="n">
        <v>-571000000</v>
      </c>
      <c r="H282" s="58" t="n">
        <v>1658000000</v>
      </c>
      <c r="I282" s="58" t="n">
        <v>7000000</v>
      </c>
    </row>
    <row r="283">
      <c r="B283" s="66" t="inlineStr">
        <is>
          <t>Deferred tax liability (assets) at end of period</t>
        </is>
      </c>
      <c r="C283" s="55" t="inlineStr">
        <is>
          <t>DeferredTaxLiabilityAssets</t>
        </is>
      </c>
      <c r="D283" s="58" t="n">
        <v>-1439000000</v>
      </c>
      <c r="E283" s="58" t="n">
        <v>-1919000000</v>
      </c>
      <c r="F283" s="58" t="n">
        <v>-1564000000</v>
      </c>
      <c r="G283" s="58" t="n">
        <v>-2135000000</v>
      </c>
      <c r="H283" s="58" t="n">
        <v>-477000000</v>
      </c>
      <c r="I283" s="58" t="n">
        <v>-472000000</v>
      </c>
    </row>
    <row r="285" ht="15.5" customHeight="1" s="203">
      <c r="B285" s="38" t="inlineStr">
        <is>
          <t>Reconciliation of accounting profit multiplied by applicable tax rates [Abstract]</t>
        </is>
      </c>
    </row>
    <row r="286">
      <c r="B286" s="54" t="inlineStr">
        <is>
          <t>Accounting profit</t>
        </is>
      </c>
      <c r="C286" s="55" t="inlineStr">
        <is>
          <t>AccountingProfit</t>
        </is>
      </c>
      <c r="D286" s="56" t="n">
        <v>11842000000</v>
      </c>
      <c r="E286" s="56" t="n">
        <v>14684000000</v>
      </c>
      <c r="F286" s="56" t="n">
        <v>19597000000</v>
      </c>
      <c r="G286" s="56" t="n">
        <v>20070000000</v>
      </c>
      <c r="H286" s="56" t="n">
        <v>23910000000</v>
      </c>
      <c r="I286" s="56" t="n">
        <v>30104000000</v>
      </c>
    </row>
    <row r="287">
      <c r="B287" s="54" t="inlineStr">
        <is>
          <t>Tax expense (income) at applicable tax rate</t>
        </is>
      </c>
      <c r="C287" s="55" t="inlineStr">
        <is>
          <t>TaxExpenseIncomeAtApplicableTaxRate</t>
        </is>
      </c>
      <c r="D287" s="56" t="n">
        <v>4098000000</v>
      </c>
      <c r="E287" s="56" t="n">
        <v>5082000000</v>
      </c>
      <c r="F287" s="56" t="n">
        <v>6848000000</v>
      </c>
      <c r="G287" s="56" t="n">
        <v>7013000000</v>
      </c>
      <c r="H287" s="56" t="n">
        <v>8355000000</v>
      </c>
      <c r="I287" s="56" t="n">
        <v>7577000000</v>
      </c>
    </row>
    <row r="288">
      <c r="B288" s="54" t="inlineStr">
        <is>
          <t>Tax effect of revenues exempt from taxation</t>
        </is>
      </c>
      <c r="C288" s="55" t="inlineStr">
        <is>
          <t>TaxEffectOfRevenuesExemptFromTaxation2011</t>
        </is>
      </c>
      <c r="D288" s="56" t="n">
        <v>1360000000</v>
      </c>
      <c r="E288" s="56" t="n">
        <v>1817000000</v>
      </c>
      <c r="F288" s="56" t="n">
        <v>2035000000</v>
      </c>
      <c r="G288" s="56" t="n">
        <v>2116000000</v>
      </c>
      <c r="H288" s="56" t="n">
        <v>2225000000</v>
      </c>
      <c r="I288" s="56" t="n">
        <v>13000000</v>
      </c>
    </row>
    <row r="289">
      <c r="B289" s="54" t="inlineStr">
        <is>
          <t>Tax effect of expense not deductible in determining taxable profit (tax loss)</t>
        </is>
      </c>
      <c r="C289" s="55" t="inlineStr">
        <is>
          <t>TaxEffectOfExpenseNotDeductibleInDeterminingTaxableProfitTaxLoss</t>
        </is>
      </c>
      <c r="D289" s="56" t="n">
        <v>0</v>
      </c>
      <c r="E289" s="56" t="n">
        <v>772000000</v>
      </c>
      <c r="F289" s="56" t="n">
        <v>687000000</v>
      </c>
      <c r="G289" s="56" t="n">
        <v>1667000000</v>
      </c>
      <c r="H289" s="56" t="n">
        <v>35000000</v>
      </c>
      <c r="I289" s="56" t="n">
        <v>107000000</v>
      </c>
    </row>
    <row r="290">
      <c r="B290" s="54" t="inlineStr">
        <is>
          <t>Tax effect of foreign tax rates</t>
        </is>
      </c>
      <c r="C290" s="55" t="inlineStr">
        <is>
          <t>TaxEffectOfForeignTaxRates</t>
        </is>
      </c>
      <c r="D290" s="56" t="n">
        <v>0</v>
      </c>
      <c r="E290" s="56" t="n">
        <v>0</v>
      </c>
      <c r="F290" s="56" t="n">
        <v>-23000000</v>
      </c>
      <c r="G290" s="56" t="n">
        <v>0</v>
      </c>
      <c r="H290" s="56" t="n">
        <v>0</v>
      </c>
      <c r="I290" s="56" t="n">
        <v>0</v>
      </c>
    </row>
    <row r="291">
      <c r="B291" s="54" t="inlineStr">
        <is>
          <t>Tax effect from change in tax rate</t>
        </is>
      </c>
      <c r="C291" s="55" t="inlineStr">
        <is>
          <t>TaxEffectFromChangeInTaxRate</t>
        </is>
      </c>
      <c r="D291" s="56" t="n">
        <v>0</v>
      </c>
      <c r="E291" s="56" t="n">
        <v>0</v>
      </c>
      <c r="F291" s="56" t="n">
        <v>-31000000</v>
      </c>
      <c r="G291" s="56" t="n">
        <v>0</v>
      </c>
      <c r="H291" s="56" t="n">
        <v>-68000000</v>
      </c>
      <c r="I291" s="56" t="n">
        <v>-271000000</v>
      </c>
    </row>
    <row r="292">
      <c r="B292" s="54" t="inlineStr">
        <is>
          <t>Other tax effects for reconciliation between accounting profit and tax expense (income)</t>
        </is>
      </c>
      <c r="C292" s="55" t="inlineStr">
        <is>
          <t>OtherTaxEffectsForReconciliationBetweenAccountingProfitAndTaxExpenseIncome</t>
        </is>
      </c>
      <c r="D292" s="56" t="n">
        <v>-272000000</v>
      </c>
      <c r="E292" s="56" t="n">
        <v>-954000000</v>
      </c>
      <c r="F292" s="56" t="n">
        <v>-600000000</v>
      </c>
      <c r="G292" s="56" t="n">
        <v>-2018000000</v>
      </c>
      <c r="H292" s="56" t="n">
        <v>-61000000</v>
      </c>
      <c r="I292" s="56" t="n">
        <v>96000000</v>
      </c>
    </row>
    <row r="293">
      <c r="B293" s="57" t="inlineStr">
        <is>
          <t>Total tax expense (income)</t>
        </is>
      </c>
      <c r="C293" s="55" t="inlineStr">
        <is>
          <t>IncomeTaxExpenseContinuingOperations</t>
        </is>
      </c>
      <c r="D293" s="58" t="n">
        <v>2466000000</v>
      </c>
      <c r="E293" s="58" t="n">
        <v>3083000000</v>
      </c>
      <c r="F293" s="58" t="n">
        <v>4846000000</v>
      </c>
      <c r="G293" s="58" t="n">
        <v>4546000000</v>
      </c>
      <c r="H293" s="58" t="n">
        <v>6036000000</v>
      </c>
      <c r="I293" s="58" t="n">
        <v>7496000000</v>
      </c>
    </row>
    <row r="295" ht="15.5" customHeight="1" s="203">
      <c r="B295" s="38" t="inlineStr">
        <is>
          <t>Reconciliation of average effective tax rate and applicable tax rate [Abstract]</t>
        </is>
      </c>
    </row>
    <row r="296">
      <c r="B296" s="54" t="inlineStr">
        <is>
          <t>Accounting profit</t>
        </is>
      </c>
      <c r="C296" s="55" t="inlineStr">
        <is>
          <t>AccountingProfit</t>
        </is>
      </c>
      <c r="D296" s="56" t="n">
        <v>11842000000</v>
      </c>
      <c r="E296" s="56" t="n">
        <v>14684000000</v>
      </c>
      <c r="F296" s="56" t="n">
        <v>19597000000</v>
      </c>
      <c r="G296" s="56" t="n">
        <v>20070000000</v>
      </c>
      <c r="H296" s="56" t="n">
        <v>23910000000</v>
      </c>
      <c r="I296" s="56" t="n">
        <v>30104000000</v>
      </c>
    </row>
    <row r="297">
      <c r="B297" s="54" t="inlineStr">
        <is>
          <t>Applicable tax rate</t>
        </is>
      </c>
      <c r="C297" s="55" t="inlineStr">
        <is>
          <t>ApplicableTaxRate</t>
        </is>
      </c>
      <c r="D297" s="56" t="n">
        <v>0.3461</v>
      </c>
      <c r="E297" s="56" t="n">
        <v>0.3461</v>
      </c>
      <c r="F297" s="56" t="n">
        <v>0</v>
      </c>
      <c r="G297" s="56" t="n">
        <v>0.3494</v>
      </c>
      <c r="H297" s="56" t="n">
        <v>0.3494</v>
      </c>
      <c r="I297" s="56" t="n">
        <v>0.2517</v>
      </c>
    </row>
    <row r="298">
      <c r="B298" s="57" t="inlineStr">
        <is>
          <t>Total average effective tax rate</t>
        </is>
      </c>
      <c r="C298" s="55" t="inlineStr">
        <is>
          <t>AverageEffectiveTaxRate</t>
        </is>
      </c>
      <c r="D298" s="58" t="n">
        <v>0.3461</v>
      </c>
      <c r="E298" s="58" t="n">
        <v>0.3461</v>
      </c>
      <c r="F298" s="58" t="n">
        <v>0</v>
      </c>
      <c r="G298" s="58" t="n">
        <v>0.3494</v>
      </c>
      <c r="H298" s="58" t="n">
        <v>0.3494</v>
      </c>
      <c r="I298" s="58" t="n">
        <v>0.2517</v>
      </c>
    </row>
    <row r="301" ht="15.5" customHeight="1" s="203">
      <c r="A301" t="inlineStr">
        <is>
          <t>#</t>
        </is>
      </c>
      <c r="B301" s="38" t="inlineStr">
        <is>
          <t>Notes to Statement of Profit and Loss: Subclassification And Notes On Income And Expenses</t>
        </is>
      </c>
    </row>
    <row r="303">
      <c r="C303" s="53" t="inlineStr">
        <is>
          <t>Concept Tag</t>
        </is>
      </c>
      <c r="D303" s="20" t="inlineStr">
        <is>
          <t>FY2017</t>
        </is>
      </c>
      <c r="E303" s="20" t="inlineStr">
        <is>
          <t>FY2018</t>
        </is>
      </c>
      <c r="F303" s="20" t="inlineStr">
        <is>
          <t>FY2019</t>
        </is>
      </c>
      <c r="G303" s="20" t="inlineStr">
        <is>
          <t>FY2020</t>
        </is>
      </c>
      <c r="H303" s="20" t="inlineStr">
        <is>
          <t>FY2021</t>
        </is>
      </c>
      <c r="I303" s="20" t="inlineStr">
        <is>
          <t>FY2022</t>
        </is>
      </c>
    </row>
    <row r="304" ht="15.5" customHeight="1" s="203">
      <c r="B304" s="38" t="inlineStr">
        <is>
          <t>Disclosure of revenue from operations [Abstract]</t>
        </is>
      </c>
    </row>
    <row r="305">
      <c r="B305" s="59" t="inlineStr">
        <is>
          <t>Disclosure of revenue from operations for other than finance company [Abstract]</t>
        </is>
      </c>
    </row>
    <row r="306">
      <c r="B306" s="62" t="inlineStr">
        <is>
          <t>Total revenue from sale of products</t>
        </is>
      </c>
      <c r="C306" s="55" t="inlineStr">
        <is>
          <t>RevenueFromSaleOfProducts</t>
        </is>
      </c>
      <c r="D306" s="56" t="n">
        <v>0</v>
      </c>
      <c r="E306" s="56" t="n">
        <v>0</v>
      </c>
      <c r="F306" s="56" t="n">
        <v>0</v>
      </c>
      <c r="G306" s="56" t="n">
        <v>2865000000</v>
      </c>
      <c r="H306" s="56" t="n">
        <v>0</v>
      </c>
      <c r="I306" s="56" t="n">
        <v>4329000000</v>
      </c>
    </row>
    <row r="307">
      <c r="B307" s="62" t="inlineStr">
        <is>
          <t>Total revenue from sale of services</t>
        </is>
      </c>
      <c r="C307" s="55" t="inlineStr">
        <is>
          <t>RevenueFromSaleOfServices</t>
        </is>
      </c>
      <c r="D307" s="56" t="n">
        <v>61829000000</v>
      </c>
      <c r="E307" s="56" t="n">
        <v>69064000000</v>
      </c>
      <c r="F307" s="56" t="n">
        <v>89072000000</v>
      </c>
      <c r="G307" s="56" t="n">
        <v>98977000000</v>
      </c>
      <c r="H307" s="56" t="n">
        <v>115626000000</v>
      </c>
      <c r="I307" s="56" t="n">
        <v>139735000000</v>
      </c>
    </row>
    <row r="308">
      <c r="B308" s="67" t="inlineStr">
        <is>
          <t>Total revenue from operations other than finance company</t>
        </is>
      </c>
      <c r="C308" s="55" t="inlineStr">
        <is>
          <t>RevenueFromOperationsOtherThanFinanceCompany</t>
        </is>
      </c>
      <c r="D308" s="58" t="n">
        <v>61829000000</v>
      </c>
      <c r="E308" s="58" t="n">
        <v>69064000000</v>
      </c>
      <c r="F308" s="58" t="n">
        <v>89072000000</v>
      </c>
      <c r="G308" s="58" t="n">
        <v>101842000000</v>
      </c>
      <c r="H308" s="58" t="n">
        <v>115626000000</v>
      </c>
      <c r="I308" s="58" t="n">
        <v>144064000000</v>
      </c>
    </row>
    <row r="309">
      <c r="B309" s="57" t="inlineStr">
        <is>
          <t>Total revenue from operations</t>
        </is>
      </c>
      <c r="C309" s="55" t="inlineStr">
        <is>
          <t>RevenueFromOperations</t>
        </is>
      </c>
      <c r="D309" s="58" t="n">
        <v>61829000000</v>
      </c>
      <c r="E309" s="58" t="n">
        <v>69064000000</v>
      </c>
      <c r="F309" s="58" t="n">
        <v>89072000000</v>
      </c>
      <c r="G309" s="58" t="n">
        <v>101842000000</v>
      </c>
      <c r="H309" s="58" t="n">
        <v>115626000000</v>
      </c>
      <c r="I309" s="58" t="n">
        <v>144064000000</v>
      </c>
    </row>
    <row r="312" ht="15.5" customHeight="1" s="203">
      <c r="B312" s="38" t="inlineStr">
        <is>
          <t>Disclosure of other income [Abstract]</t>
        </is>
      </c>
    </row>
    <row r="313">
      <c r="B313" s="59" t="inlineStr">
        <is>
          <t>Interest income [Abstract]</t>
        </is>
      </c>
    </row>
    <row r="314">
      <c r="B314" s="60" t="inlineStr">
        <is>
          <t>Interest income on current investments [Abstract]</t>
        </is>
      </c>
    </row>
    <row r="315">
      <c r="B315" s="61" t="inlineStr">
        <is>
          <t>Interest on other current investments</t>
        </is>
      </c>
      <c r="C315" s="55" t="inlineStr">
        <is>
          <t>InterestOnOtherCurrentInvestments</t>
        </is>
      </c>
      <c r="D315" s="56" t="n">
        <v>16000000</v>
      </c>
      <c r="E315" s="56" t="n">
        <v>7000000</v>
      </c>
      <c r="F315" s="56" t="n">
        <v>8000000</v>
      </c>
      <c r="G315" s="56" t="n">
        <v>51000000</v>
      </c>
      <c r="H315" s="56" t="n">
        <v>165000000</v>
      </c>
      <c r="I315" s="56" t="n">
        <v>433000000</v>
      </c>
    </row>
    <row r="316">
      <c r="B316" s="65" t="inlineStr">
        <is>
          <t>Total interest income on current investments</t>
        </is>
      </c>
      <c r="C316" s="55" t="inlineStr">
        <is>
          <t>InterestIncomeOnCurrentInvestments</t>
        </is>
      </c>
      <c r="D316" s="58" t="n">
        <v>16000000</v>
      </c>
      <c r="E316" s="58" t="n">
        <v>7000000</v>
      </c>
      <c r="F316" s="58" t="n">
        <v>8000000</v>
      </c>
      <c r="G316" s="58" t="n">
        <v>51000000</v>
      </c>
      <c r="H316" s="58" t="n">
        <v>165000000</v>
      </c>
      <c r="I316" s="58" t="n">
        <v>433000000</v>
      </c>
    </row>
    <row r="317">
      <c r="B317" s="67" t="inlineStr">
        <is>
          <t>Total interest income</t>
        </is>
      </c>
      <c r="C317" s="55" t="inlineStr">
        <is>
          <t>InterestIncome</t>
        </is>
      </c>
      <c r="D317" s="58" t="n">
        <v>16000000</v>
      </c>
      <c r="E317" s="58" t="n">
        <v>7000000</v>
      </c>
      <c r="F317" s="58" t="n">
        <v>8000000</v>
      </c>
      <c r="G317" s="58" t="n">
        <v>51000000</v>
      </c>
      <c r="H317" s="58" t="n">
        <v>165000000</v>
      </c>
      <c r="I317" s="58" t="n">
        <v>433000000</v>
      </c>
    </row>
    <row r="318">
      <c r="B318" s="59" t="inlineStr">
        <is>
          <t>Dividend income [Abstract]</t>
        </is>
      </c>
    </row>
    <row r="319">
      <c r="B319" s="60" t="inlineStr">
        <is>
          <t>Dividend income current investments [Abstract]</t>
        </is>
      </c>
    </row>
    <row r="320">
      <c r="B320" s="61" t="inlineStr">
        <is>
          <t>Dividend income current investments from subsidiaries</t>
        </is>
      </c>
      <c r="C320" s="55" t="inlineStr">
        <is>
          <t>DividendIncomeCurrentInvestmentsFromSubsidiaries</t>
        </is>
      </c>
      <c r="D320" s="56" t="n">
        <v>141000000</v>
      </c>
      <c r="E320" s="56" t="n">
        <v>579000000</v>
      </c>
      <c r="F320" s="56" t="n">
        <v>408000000</v>
      </c>
      <c r="G320" s="56" t="n">
        <v>901000000</v>
      </c>
      <c r="H320" s="56" t="n">
        <v>0</v>
      </c>
      <c r="I320" s="56" t="n">
        <v>0</v>
      </c>
    </row>
    <row r="321">
      <c r="B321" s="65" t="inlineStr">
        <is>
          <t>Total dividend income current investments</t>
        </is>
      </c>
      <c r="C321" s="55" t="inlineStr">
        <is>
          <t>DividendIncomeCurrentInvestments</t>
        </is>
      </c>
      <c r="D321" s="58" t="n">
        <v>141000000</v>
      </c>
      <c r="E321" s="58" t="n">
        <v>579000000</v>
      </c>
      <c r="F321" s="58" t="n">
        <v>408000000</v>
      </c>
      <c r="G321" s="58" t="n">
        <v>901000000</v>
      </c>
      <c r="H321" s="58" t="n">
        <v>0</v>
      </c>
      <c r="I321" s="58" t="n">
        <v>0</v>
      </c>
    </row>
    <row r="322">
      <c r="B322" s="67" t="inlineStr">
        <is>
          <t>Total dividend income</t>
        </is>
      </c>
      <c r="C322" s="55" t="inlineStr">
        <is>
          <t>DividendIncome</t>
        </is>
      </c>
      <c r="D322" s="58" t="n">
        <v>141000000</v>
      </c>
      <c r="E322" s="58" t="n">
        <v>579000000</v>
      </c>
      <c r="F322" s="58" t="n">
        <v>408000000</v>
      </c>
      <c r="G322" s="58" t="n">
        <v>901000000</v>
      </c>
      <c r="H322" s="58" t="n">
        <v>0</v>
      </c>
      <c r="I322" s="58" t="n">
        <v>0</v>
      </c>
    </row>
    <row r="323">
      <c r="B323" s="59" t="inlineStr">
        <is>
          <t>Net gain/loss on sale of investments [Abstract]</t>
        </is>
      </c>
    </row>
    <row r="324">
      <c r="B324" s="62" t="inlineStr">
        <is>
          <t>Net gain/loss on sale of current investments</t>
        </is>
      </c>
      <c r="C324" s="55" t="inlineStr">
        <is>
          <t>NetGainLossOnSaleOfCurrentInvestments</t>
        </is>
      </c>
      <c r="D324" s="56" t="n">
        <v>194000000</v>
      </c>
      <c r="E324" s="56" t="n">
        <v>738000000</v>
      </c>
      <c r="F324" s="56" t="n">
        <v>990000000</v>
      </c>
      <c r="G324" s="56" t="n">
        <v>1217000000</v>
      </c>
      <c r="H324" s="56" t="n">
        <v>1542000000</v>
      </c>
      <c r="I324" s="56" t="n">
        <v>1209000000</v>
      </c>
    </row>
    <row r="325">
      <c r="B325" s="67" t="inlineStr">
        <is>
          <t>Total net gain/loss on sale of investments</t>
        </is>
      </c>
      <c r="C325" s="55" t="inlineStr">
        <is>
          <t>NetGainLossOnSaleOfInvestments</t>
        </is>
      </c>
      <c r="D325" s="58" t="n">
        <v>194000000</v>
      </c>
      <c r="E325" s="58" t="n">
        <v>738000000</v>
      </c>
      <c r="F325" s="58" t="n">
        <v>990000000</v>
      </c>
      <c r="G325" s="58" t="n">
        <v>1217000000</v>
      </c>
      <c r="H325" s="58" t="n">
        <v>1542000000</v>
      </c>
      <c r="I325" s="58" t="n">
        <v>1209000000</v>
      </c>
    </row>
    <row r="326">
      <c r="B326" s="59" t="inlineStr">
        <is>
          <t>Other non-operating income [Abstract]</t>
        </is>
      </c>
    </row>
    <row r="327">
      <c r="B327" s="60" t="inlineStr">
        <is>
          <t>Net gain (loss) on foreign currency fluctuations treated as other income [Abstract]</t>
        </is>
      </c>
    </row>
    <row r="328">
      <c r="B328" s="61" t="inlineStr">
        <is>
          <t>Net gain (loss) on foreign currency translation</t>
        </is>
      </c>
      <c r="C328" s="55" t="inlineStr">
        <is>
          <t>NetGainLossOnForeignCurrencyTranslation</t>
        </is>
      </c>
      <c r="D328" s="56" t="n">
        <v>1522000000</v>
      </c>
      <c r="E328" s="56" t="n">
        <v>3468000000</v>
      </c>
      <c r="F328" s="56" t="n">
        <v>1751000000</v>
      </c>
      <c r="G328" s="56" t="n">
        <v>1877000000</v>
      </c>
      <c r="H328" s="56" t="n">
        <v>154000000</v>
      </c>
      <c r="I328" s="56" t="n">
        <v>2920000000</v>
      </c>
    </row>
    <row r="329">
      <c r="B329" s="65" t="inlineStr">
        <is>
          <t>Total net gain/loss on foreign currency fluctuations treated as other income</t>
        </is>
      </c>
      <c r="C329" s="55" t="inlineStr">
        <is>
          <t>NetGainLossOnForeignCurrencyFluctuationsTreatedAsOtherIncome</t>
        </is>
      </c>
      <c r="D329" s="58" t="n">
        <v>1522000000</v>
      </c>
      <c r="E329" s="58" t="n">
        <v>3468000000</v>
      </c>
      <c r="F329" s="58" t="n">
        <v>1751000000</v>
      </c>
      <c r="G329" s="58" t="n">
        <v>1877000000</v>
      </c>
      <c r="H329" s="58" t="n">
        <v>154000000</v>
      </c>
      <c r="I329" s="58" t="n">
        <v>2920000000</v>
      </c>
    </row>
    <row r="330">
      <c r="B330" s="62" t="inlineStr">
        <is>
          <t>Miscellaneous other non-operating income</t>
        </is>
      </c>
      <c r="C330" s="55" t="inlineStr">
        <is>
          <t>MiscellaneousOtherNonoperatingIncome</t>
        </is>
      </c>
      <c r="D330" s="56" t="n">
        <v>110000000</v>
      </c>
      <c r="E330" s="56" t="n">
        <v>462000000</v>
      </c>
      <c r="F330" s="56" t="n">
        <v>133000000</v>
      </c>
      <c r="G330" s="56" t="n">
        <v>171000000</v>
      </c>
      <c r="H330" s="56" t="n">
        <v>386000000</v>
      </c>
      <c r="I330" s="56" t="n">
        <v>1329000000</v>
      </c>
    </row>
    <row r="331">
      <c r="B331" s="67" t="inlineStr">
        <is>
          <t>Total other non-operating income</t>
        </is>
      </c>
      <c r="C331" s="55" t="inlineStr">
        <is>
          <t>OtherNonoperatingIncome</t>
        </is>
      </c>
      <c r="D331" s="58" t="n">
        <v>1632000000</v>
      </c>
      <c r="E331" s="58" t="n">
        <v>3930000000</v>
      </c>
      <c r="F331" s="58" t="n">
        <v>1884000000</v>
      </c>
      <c r="G331" s="58" t="n">
        <v>2048000000</v>
      </c>
      <c r="H331" s="58" t="n">
        <v>540000000</v>
      </c>
      <c r="I331" s="58" t="n">
        <v>4249000000</v>
      </c>
    </row>
    <row r="332">
      <c r="B332" s="57" t="inlineStr">
        <is>
          <t>Total other income</t>
        </is>
      </c>
      <c r="C332" s="55" t="inlineStr">
        <is>
          <t>OtherIncome</t>
        </is>
      </c>
      <c r="D332" s="58" t="n">
        <v>1983000000</v>
      </c>
      <c r="E332" s="58" t="n">
        <v>5254000000</v>
      </c>
      <c r="F332" s="58" t="n">
        <v>3290000000</v>
      </c>
      <c r="G332" s="58" t="n">
        <v>4217000000</v>
      </c>
      <c r="H332" s="58" t="n">
        <v>2247000000</v>
      </c>
      <c r="I332" s="58" t="n">
        <v>5891000000</v>
      </c>
    </row>
    <row r="334" ht="15.5" customHeight="1" s="203">
      <c r="B334" s="38" t="inlineStr">
        <is>
          <t>Disclosure of finance cost [Abstract]</t>
        </is>
      </c>
    </row>
    <row r="335">
      <c r="B335" s="59" t="inlineStr">
        <is>
          <t>Interest expense [Abstract]</t>
        </is>
      </c>
    </row>
    <row r="336">
      <c r="B336" s="60" t="inlineStr">
        <is>
          <t>Interest expense non-current loans [Abstract]</t>
        </is>
      </c>
    </row>
    <row r="337">
      <c r="B337" s="61" t="inlineStr">
        <is>
          <t>Interest expense non-current loans, banks</t>
        </is>
      </c>
      <c r="C337" s="55" t="inlineStr">
        <is>
          <t>InterestExpenseNoncurrentLoansBanks</t>
        </is>
      </c>
      <c r="D337" s="56" t="n">
        <v>3000000</v>
      </c>
      <c r="E337" s="56" t="n">
        <v>5000000</v>
      </c>
      <c r="F337" s="56" t="n">
        <v>0</v>
      </c>
      <c r="G337" s="56" t="n">
        <v>0</v>
      </c>
      <c r="H337" s="56" t="n">
        <v>0</v>
      </c>
      <c r="I337" s="56" t="n">
        <v>0</v>
      </c>
    </row>
    <row r="338">
      <c r="B338" s="65" t="inlineStr">
        <is>
          <t>Total interest expense non-current loans</t>
        </is>
      </c>
      <c r="C338" s="55" t="inlineStr">
        <is>
          <t>InterestExpenseNoncurrentLoans</t>
        </is>
      </c>
      <c r="D338" s="58" t="n">
        <v>3000000</v>
      </c>
      <c r="E338" s="58" t="n">
        <v>5000000</v>
      </c>
      <c r="F338" s="58" t="n">
        <v>0</v>
      </c>
      <c r="G338" s="58" t="n">
        <v>0</v>
      </c>
      <c r="H338" s="58" t="n">
        <v>0</v>
      </c>
      <c r="I338" s="58" t="n">
        <v>0</v>
      </c>
    </row>
    <row r="339">
      <c r="B339" s="62" t="inlineStr">
        <is>
          <t>Interest expense deposits</t>
        </is>
      </c>
      <c r="C339" s="55" t="inlineStr">
        <is>
          <t>InterestExpenseDeposits</t>
        </is>
      </c>
      <c r="D339" s="56" t="n">
        <v>0</v>
      </c>
      <c r="E339" s="56" t="n">
        <v>0</v>
      </c>
      <c r="F339" s="56" t="n">
        <v>15000000</v>
      </c>
      <c r="G339" s="56" t="n">
        <v>16000000</v>
      </c>
      <c r="H339" s="56" t="n">
        <v>2000000</v>
      </c>
      <c r="I339" s="56" t="n">
        <v>21000000</v>
      </c>
    </row>
    <row r="340">
      <c r="B340" s="62" t="inlineStr">
        <is>
          <t>Interest expense borrowings</t>
        </is>
      </c>
      <c r="C340" s="55" t="inlineStr">
        <is>
          <t>InterestExpenseBorrowings</t>
        </is>
      </c>
      <c r="D340" s="56" t="n">
        <v>0</v>
      </c>
      <c r="E340" s="56" t="n">
        <v>0</v>
      </c>
      <c r="F340" s="56" t="n">
        <v>0</v>
      </c>
      <c r="G340" s="56" t="n">
        <v>27000000</v>
      </c>
      <c r="H340" s="56" t="n">
        <v>27000000</v>
      </c>
      <c r="I340" s="56" t="n">
        <v>28000000</v>
      </c>
    </row>
    <row r="341">
      <c r="B341" s="62" t="inlineStr">
        <is>
          <t>Interest expense on lease liabilities</t>
        </is>
      </c>
      <c r="C341" s="55" t="inlineStr">
        <is>
          <t>InterestExpenseOnLeaseLiabilities</t>
        </is>
      </c>
      <c r="D341" s="56" t="n">
        <v>0</v>
      </c>
      <c r="E341" s="56" t="n">
        <v>0</v>
      </c>
      <c r="F341" s="56" t="n">
        <v>0</v>
      </c>
      <c r="G341" s="56" t="n">
        <v>665000000</v>
      </c>
      <c r="H341" s="56" t="n">
        <v>682000000</v>
      </c>
      <c r="I341" s="56" t="n">
        <v>584000000</v>
      </c>
    </row>
    <row r="342">
      <c r="B342" s="62" t="inlineStr">
        <is>
          <t>Other interest charges</t>
        </is>
      </c>
      <c r="C342" s="55" t="inlineStr">
        <is>
          <t>OtherInterestCharges</t>
        </is>
      </c>
      <c r="D342" s="56" t="n">
        <v>29000000</v>
      </c>
      <c r="E342" s="56" t="n">
        <v>133000000</v>
      </c>
      <c r="F342" s="56" t="n">
        <v>28000000</v>
      </c>
      <c r="G342" s="56" t="n">
        <v>12000000</v>
      </c>
      <c r="H342" s="56" t="n">
        <v>5000000</v>
      </c>
      <c r="I342" s="56" t="n">
        <v>48000000</v>
      </c>
    </row>
    <row r="343">
      <c r="B343" s="67" t="inlineStr">
        <is>
          <t>Total interest expense</t>
        </is>
      </c>
      <c r="C343" s="55" t="inlineStr">
        <is>
          <t>InterestExpense</t>
        </is>
      </c>
      <c r="D343" s="58" t="n">
        <v>32000000</v>
      </c>
      <c r="E343" s="58" t="n">
        <v>138000000</v>
      </c>
      <c r="F343" s="58" t="n">
        <v>43000000</v>
      </c>
      <c r="G343" s="58" t="n">
        <v>720000000</v>
      </c>
      <c r="H343" s="58" t="n">
        <v>716000000</v>
      </c>
      <c r="I343" s="58" t="n">
        <v>681000000</v>
      </c>
    </row>
    <row r="344">
      <c r="B344" s="57" t="inlineStr">
        <is>
          <t>Total finance costs</t>
        </is>
      </c>
      <c r="C344" s="55" t="inlineStr">
        <is>
          <t>FinanceCosts</t>
        </is>
      </c>
      <c r="D344" s="58" t="n">
        <v>32000000</v>
      </c>
      <c r="E344" s="58" t="n">
        <v>138000000</v>
      </c>
      <c r="F344" s="58" t="n">
        <v>43000000</v>
      </c>
      <c r="G344" s="58" t="n">
        <v>720000000</v>
      </c>
      <c r="H344" s="58" t="n">
        <v>716000000</v>
      </c>
      <c r="I344" s="58" t="n">
        <v>681000000</v>
      </c>
    </row>
    <row r="346" ht="15.5" customHeight="1" s="203">
      <c r="B346" s="38" t="inlineStr">
        <is>
          <t>Employee benefit expense [Abstract]</t>
        </is>
      </c>
    </row>
    <row r="347">
      <c r="B347" s="54" t="inlineStr">
        <is>
          <t>Salaries and wages</t>
        </is>
      </c>
      <c r="C347" s="55" t="inlineStr">
        <is>
          <t>SalariesAndWages</t>
        </is>
      </c>
      <c r="D347" s="56" t="n">
        <v>32344000000</v>
      </c>
      <c r="E347" s="56" t="n">
        <v>38013000000</v>
      </c>
      <c r="F347" s="56" t="n">
        <v>47552000000</v>
      </c>
      <c r="G347" s="56" t="n">
        <v>55417000000</v>
      </c>
      <c r="H347" s="56" t="n">
        <v>63392000000</v>
      </c>
      <c r="I347" s="56" t="n">
        <v>80501000000</v>
      </c>
    </row>
    <row r="348">
      <c r="B348" s="59" t="inlineStr">
        <is>
          <t>Contribution to provident and other funds [Abstract]</t>
        </is>
      </c>
    </row>
    <row r="349">
      <c r="B349" s="62" t="inlineStr">
        <is>
          <t>Contribution to provident and other funds for others</t>
        </is>
      </c>
      <c r="C349" s="55" t="inlineStr">
        <is>
          <t>ContributionToProvidentAndOtherFundsForOthers</t>
        </is>
      </c>
      <c r="D349" s="56" t="n">
        <v>377000000</v>
      </c>
      <c r="E349" s="56" t="n">
        <v>480000000</v>
      </c>
      <c r="F349" s="56" t="n">
        <v>589000000</v>
      </c>
      <c r="G349" s="56" t="n">
        <v>783000000</v>
      </c>
      <c r="H349" s="56" t="n">
        <v>964000000</v>
      </c>
      <c r="I349" s="56" t="n">
        <v>1519000000</v>
      </c>
    </row>
    <row r="350">
      <c r="B350" s="67" t="inlineStr">
        <is>
          <t>Total contribution to provident and other funds</t>
        </is>
      </c>
      <c r="C350" s="55" t="inlineStr">
        <is>
          <t>ContributionToProvidentAndOtherFunds</t>
        </is>
      </c>
      <c r="D350" s="58" t="n">
        <v>377000000</v>
      </c>
      <c r="E350" s="58" t="n">
        <v>480000000</v>
      </c>
      <c r="F350" s="58" t="n">
        <v>589000000</v>
      </c>
      <c r="G350" s="58" t="n">
        <v>783000000</v>
      </c>
      <c r="H350" s="58" t="n">
        <v>964000000</v>
      </c>
      <c r="I350" s="58" t="n">
        <v>1519000000</v>
      </c>
    </row>
    <row r="351">
      <c r="B351" s="59" t="inlineStr">
        <is>
          <t>Employee share based payment [Abstract]</t>
        </is>
      </c>
    </row>
    <row r="352">
      <c r="B352" s="62" t="inlineStr">
        <is>
          <t>Employee share based payment- Equity settled</t>
        </is>
      </c>
      <c r="C352" s="55" t="inlineStr">
        <is>
          <t>EmployeeShareBasedPaymentEquitySettled</t>
        </is>
      </c>
      <c r="D352" s="56" t="n">
        <v>428000000</v>
      </c>
      <c r="E352" s="56" t="n">
        <v>400000000</v>
      </c>
      <c r="F352" s="56" t="n">
        <v>281000000</v>
      </c>
      <c r="G352" s="56" t="n">
        <v>319000000</v>
      </c>
      <c r="H352" s="56" t="n">
        <v>168000000</v>
      </c>
      <c r="I352" s="56" t="n">
        <v>108000000</v>
      </c>
    </row>
    <row r="353">
      <c r="B353" s="67" t="inlineStr">
        <is>
          <t>Total employee share based payment</t>
        </is>
      </c>
      <c r="C353" s="55" t="inlineStr">
        <is>
          <t>EmployeeShareBasedPayment</t>
        </is>
      </c>
      <c r="D353" s="58" t="n">
        <v>428000000</v>
      </c>
      <c r="E353" s="58" t="n">
        <v>400000000</v>
      </c>
      <c r="F353" s="58" t="n">
        <v>281000000</v>
      </c>
      <c r="G353" s="58" t="n">
        <v>319000000</v>
      </c>
      <c r="H353" s="58" t="n">
        <v>168000000</v>
      </c>
      <c r="I353" s="58" t="n">
        <v>108000000</v>
      </c>
    </row>
    <row r="354">
      <c r="B354" s="54" t="inlineStr">
        <is>
          <t>Gratuity</t>
        </is>
      </c>
      <c r="C354" s="55" t="inlineStr">
        <is>
          <t>Gratuity</t>
        </is>
      </c>
      <c r="D354" s="56" t="n">
        <v>115000000</v>
      </c>
      <c r="E354" s="56" t="n">
        <v>155000000</v>
      </c>
      <c r="F354" s="56" t="n">
        <v>177000000</v>
      </c>
      <c r="G354" s="56" t="n">
        <v>207000000</v>
      </c>
      <c r="H354" s="56" t="n">
        <v>276000000</v>
      </c>
      <c r="I354" s="56" t="n">
        <v>346000000</v>
      </c>
    </row>
    <row r="355">
      <c r="B355" s="54" t="inlineStr">
        <is>
          <t>Other retirement benefits</t>
        </is>
      </c>
      <c r="C355" s="55" t="inlineStr">
        <is>
          <t>OtherRetirementBenefits</t>
        </is>
      </c>
      <c r="D355" s="56" t="n">
        <v>54000000</v>
      </c>
      <c r="E355" s="56" t="n">
        <v>45000000</v>
      </c>
      <c r="F355" s="56" t="n">
        <v>40000000</v>
      </c>
      <c r="G355" s="56" t="n">
        <v>39000000</v>
      </c>
      <c r="H355" s="56" t="n">
        <v>37000000</v>
      </c>
      <c r="I355" s="56" t="n">
        <v>39000000</v>
      </c>
    </row>
    <row r="356">
      <c r="B356" s="54" t="inlineStr">
        <is>
          <t>Staff welfare expense</t>
        </is>
      </c>
      <c r="C356" s="55" t="inlineStr">
        <is>
          <t>StaffWelfareExpense</t>
        </is>
      </c>
      <c r="D356" s="56" t="n">
        <v>1145000000</v>
      </c>
      <c r="E356" s="56" t="n">
        <v>408000000</v>
      </c>
      <c r="F356" s="56" t="n">
        <v>411000000</v>
      </c>
      <c r="G356" s="56" t="n">
        <v>571000000</v>
      </c>
      <c r="H356" s="56" t="n">
        <v>597000000</v>
      </c>
      <c r="I356" s="56" t="n">
        <v>656000000</v>
      </c>
    </row>
    <row r="357">
      <c r="B357" s="54" t="inlineStr">
        <is>
          <t>Other employee related expenses</t>
        </is>
      </c>
      <c r="C357" s="55" t="inlineStr">
        <is>
          <t>OtherEmployeeRelatedExpenses</t>
        </is>
      </c>
      <c r="D357" s="56" t="n">
        <v>1623000000</v>
      </c>
      <c r="E357" s="56" t="n">
        <v>1847000000</v>
      </c>
      <c r="F357" s="56" t="n">
        <v>2237000000</v>
      </c>
      <c r="G357" s="56" t="n">
        <v>2492000000</v>
      </c>
      <c r="H357" s="56" t="n">
        <v>2604000000</v>
      </c>
      <c r="I357" s="56" t="n">
        <v>2731000000</v>
      </c>
    </row>
    <row r="358">
      <c r="B358" s="57" t="inlineStr">
        <is>
          <t>Total employee benefit expense</t>
        </is>
      </c>
      <c r="C358" s="55" t="inlineStr">
        <is>
          <t>EmployeeBenefitExpense</t>
        </is>
      </c>
      <c r="D358" s="58" t="n">
        <v>36086000000</v>
      </c>
      <c r="E358" s="58" t="n">
        <v>41348000000</v>
      </c>
      <c r="F358" s="58" t="n">
        <v>51287000000</v>
      </c>
      <c r="G358" s="58" t="n">
        <v>59828000000</v>
      </c>
      <c r="H358" s="58" t="n">
        <v>68038000000</v>
      </c>
      <c r="I358" s="58" t="n">
        <v>85900000000</v>
      </c>
    </row>
    <row r="360" ht="15.5" customHeight="1" s="203">
      <c r="B360" s="38" t="inlineStr">
        <is>
          <t>Depreciation, depletion and amortisation expense [Abstract]</t>
        </is>
      </c>
    </row>
    <row r="361">
      <c r="B361" s="54" t="inlineStr">
        <is>
          <t>Depreciation expense</t>
        </is>
      </c>
      <c r="C361" s="55" t="inlineStr">
        <is>
          <t>DepreciationExpense</t>
        </is>
      </c>
      <c r="D361" s="56" t="n">
        <v>648000000</v>
      </c>
      <c r="E361" s="56" t="n">
        <v>647000000</v>
      </c>
      <c r="F361" s="56" t="n">
        <v>664000000</v>
      </c>
      <c r="G361" s="56" t="n">
        <v>1860000000</v>
      </c>
      <c r="H361" s="56" t="n">
        <v>2413000000</v>
      </c>
      <c r="I361" s="56" t="n">
        <v>2419000000</v>
      </c>
    </row>
    <row r="362">
      <c r="B362" s="54" t="inlineStr">
        <is>
          <t>Amortisation expense</t>
        </is>
      </c>
      <c r="C362" s="55" t="inlineStr">
        <is>
          <t>AmortisationExpense</t>
        </is>
      </c>
      <c r="D362" s="56" t="n">
        <v>441000000</v>
      </c>
      <c r="E362" s="56" t="n">
        <v>266000000</v>
      </c>
      <c r="F362" s="56" t="n">
        <v>217000000</v>
      </c>
      <c r="G362" s="56" t="n">
        <v>224000000</v>
      </c>
      <c r="H362" s="56" t="n">
        <v>256000000</v>
      </c>
      <c r="I362" s="56" t="n">
        <v>462000000</v>
      </c>
    </row>
    <row r="363">
      <c r="B363" s="57" t="inlineStr">
        <is>
          <t>Total depreciation, depletion and amortisation expense</t>
        </is>
      </c>
      <c r="C363" s="55" t="inlineStr">
        <is>
          <t>DepreciationDepletionAndAmortisationExpense</t>
        </is>
      </c>
      <c r="D363" s="58" t="n">
        <v>1089000000</v>
      </c>
      <c r="E363" s="58" t="n">
        <v>913000000</v>
      </c>
      <c r="F363" s="58" t="n">
        <v>881000000</v>
      </c>
      <c r="G363" s="58" t="n">
        <v>2084000000</v>
      </c>
      <c r="H363" s="58" t="n">
        <v>2669000000</v>
      </c>
      <c r="I363" s="58" t="n">
        <v>2881000000</v>
      </c>
    </row>
    <row r="365" ht="15.5" customHeight="1" s="203">
      <c r="B365" s="38" t="inlineStr">
        <is>
          <t>Breakup of other expenses [Abstract]</t>
        </is>
      </c>
    </row>
    <row r="366">
      <c r="B366" s="54" t="inlineStr">
        <is>
          <t>Power and fuel</t>
        </is>
      </c>
      <c r="C366" s="55" t="inlineStr">
        <is>
          <t>PowerAndFuel</t>
        </is>
      </c>
      <c r="D366" s="56" t="n">
        <v>318000000</v>
      </c>
      <c r="E366" s="56" t="n">
        <v>328000000</v>
      </c>
      <c r="F366" s="56" t="n">
        <v>305000000</v>
      </c>
      <c r="G366" s="56" t="n">
        <v>324000000</v>
      </c>
      <c r="H366" s="56" t="n">
        <v>205000000</v>
      </c>
      <c r="I366" s="56" t="n">
        <v>210000000</v>
      </c>
    </row>
    <row r="367">
      <c r="B367" s="54" t="inlineStr">
        <is>
          <t>Rent</t>
        </is>
      </c>
      <c r="C367" s="55" t="inlineStr">
        <is>
          <t>Rent</t>
        </is>
      </c>
      <c r="D367" s="56" t="n">
        <v>1554000000</v>
      </c>
      <c r="E367" s="56" t="n">
        <v>1757000000</v>
      </c>
      <c r="F367" s="56" t="n">
        <v>1804000000</v>
      </c>
      <c r="G367" s="56" t="n">
        <v>644000000</v>
      </c>
      <c r="H367" s="56" t="n">
        <v>695000000</v>
      </c>
      <c r="I367" s="56" t="n">
        <v>946000000</v>
      </c>
    </row>
    <row r="368">
      <c r="B368" s="54" t="inlineStr">
        <is>
          <t>Repairs to building</t>
        </is>
      </c>
      <c r="C368" s="55" t="inlineStr">
        <is>
          <t>RepairsToBuilding</t>
        </is>
      </c>
      <c r="D368" s="56" t="n">
        <v>132000000</v>
      </c>
      <c r="E368" s="56" t="n">
        <v>0</v>
      </c>
      <c r="F368" s="56" t="n">
        <v>0</v>
      </c>
      <c r="G368" s="56" t="n">
        <v>0</v>
      </c>
      <c r="H368" s="56" t="n">
        <v>0</v>
      </c>
      <c r="I368" s="56" t="n">
        <v>0</v>
      </c>
    </row>
    <row r="369">
      <c r="B369" s="54" t="inlineStr">
        <is>
          <t>Insurance</t>
        </is>
      </c>
      <c r="C369" s="55" t="inlineStr">
        <is>
          <t>Insurance</t>
        </is>
      </c>
      <c r="D369" s="56" t="n">
        <v>160000000</v>
      </c>
      <c r="E369" s="56" t="n">
        <v>53000000</v>
      </c>
      <c r="F369" s="56" t="n">
        <v>54000000</v>
      </c>
      <c r="G369" s="56" t="n">
        <v>62000000</v>
      </c>
      <c r="H369" s="56" t="n">
        <v>77000000</v>
      </c>
      <c r="I369" s="56" t="n">
        <v>83000000</v>
      </c>
    </row>
    <row r="370">
      <c r="B370" s="59" t="inlineStr">
        <is>
          <t>Rates and taxes excluding taxes on income [Abstract]</t>
        </is>
      </c>
    </row>
    <row r="371">
      <c r="B371" s="62" t="inlineStr">
        <is>
          <t>Other cess taxes</t>
        </is>
      </c>
      <c r="C371" s="55" t="inlineStr">
        <is>
          <t>OtherCessTaxes</t>
        </is>
      </c>
      <c r="D371" s="56" t="n">
        <v>205000000</v>
      </c>
      <c r="E371" s="56" t="n">
        <v>218000000</v>
      </c>
      <c r="F371" s="56" t="n">
        <v>0</v>
      </c>
      <c r="G371" s="56" t="n">
        <v>237000000</v>
      </c>
      <c r="H371" s="56" t="n">
        <v>362000000</v>
      </c>
      <c r="I371" s="56" t="n">
        <v>279000000</v>
      </c>
    </row>
    <row r="372">
      <c r="B372" s="62" t="inlineStr">
        <is>
          <t>Cost taxes other levies by government local authorities</t>
        </is>
      </c>
      <c r="C372" s="55" t="inlineStr">
        <is>
          <t>CostTaxesOtherLeviesByGovernmentLocalAuthorities</t>
        </is>
      </c>
      <c r="D372" s="56" t="n">
        <v>0</v>
      </c>
      <c r="E372" s="56" t="n">
        <v>0</v>
      </c>
      <c r="F372" s="56" t="n">
        <v>300000000</v>
      </c>
      <c r="G372" s="56" t="n">
        <v>0</v>
      </c>
      <c r="H372" s="56" t="n">
        <v>0</v>
      </c>
      <c r="I372" s="56" t="n">
        <v>0</v>
      </c>
    </row>
    <row r="373">
      <c r="B373" s="67" t="inlineStr">
        <is>
          <t>Total rates and taxes excluding taxes on income</t>
        </is>
      </c>
      <c r="C373" s="55" t="inlineStr">
        <is>
          <t>RatesAndTaxesExcludingTaxesOnIncome</t>
        </is>
      </c>
      <c r="D373" s="58" t="n">
        <v>205000000</v>
      </c>
      <c r="E373" s="58" t="n">
        <v>218000000</v>
      </c>
      <c r="F373" s="58" t="n">
        <v>300000000</v>
      </c>
      <c r="G373" s="58" t="n">
        <v>237000000</v>
      </c>
      <c r="H373" s="58" t="n">
        <v>362000000</v>
      </c>
      <c r="I373" s="58" t="n">
        <v>279000000</v>
      </c>
    </row>
    <row r="374">
      <c r="B374" s="54" t="inlineStr">
        <is>
          <t>Telephone postage</t>
        </is>
      </c>
      <c r="C374" s="55" t="inlineStr">
        <is>
          <t>TelephonePostage</t>
        </is>
      </c>
      <c r="D374" s="56" t="n">
        <v>504000000</v>
      </c>
      <c r="E374" s="56" t="n">
        <v>499000000</v>
      </c>
      <c r="F374" s="56" t="n">
        <v>458000000</v>
      </c>
      <c r="G374" s="56" t="n">
        <v>537000000</v>
      </c>
      <c r="H374" s="56" t="n">
        <v>570000000</v>
      </c>
      <c r="I374" s="56" t="n">
        <v>663000000</v>
      </c>
    </row>
    <row r="375">
      <c r="B375" s="54" t="inlineStr">
        <is>
          <t>Printing stationery</t>
        </is>
      </c>
      <c r="C375" s="55" t="inlineStr">
        <is>
          <t>PrintingStationery</t>
        </is>
      </c>
      <c r="D375" s="56" t="n">
        <v>37000000</v>
      </c>
      <c r="E375" s="56" t="n">
        <v>0</v>
      </c>
      <c r="F375" s="56" t="n">
        <v>0</v>
      </c>
      <c r="G375" s="56" t="n">
        <v>0</v>
      </c>
      <c r="H375" s="56" t="n">
        <v>0</v>
      </c>
      <c r="I375" s="56" t="n">
        <v>0</v>
      </c>
    </row>
    <row r="376">
      <c r="B376" s="54" t="inlineStr">
        <is>
          <t>Information technology expenses</t>
        </is>
      </c>
      <c r="C376" s="55" t="inlineStr">
        <is>
          <t>InformationTechnologyExpenses</t>
        </is>
      </c>
      <c r="D376" s="56" t="n">
        <v>3313000000</v>
      </c>
      <c r="E376" s="56" t="n">
        <v>3386000000</v>
      </c>
      <c r="F376" s="56" t="n">
        <v>3521000000</v>
      </c>
      <c r="G376" s="56" t="n">
        <v>4177000000</v>
      </c>
      <c r="H376" s="56" t="n">
        <v>5530000000</v>
      </c>
      <c r="I376" s="56" t="n">
        <v>6237000000</v>
      </c>
    </row>
    <row r="377">
      <c r="B377" s="54" t="inlineStr">
        <is>
          <t>Travelling conveyance</t>
        </is>
      </c>
      <c r="C377" s="55" t="inlineStr">
        <is>
          <t>TravellingConveyance</t>
        </is>
      </c>
      <c r="D377" s="56" t="n">
        <v>1636000000</v>
      </c>
      <c r="E377" s="56" t="n">
        <v>2343000000</v>
      </c>
      <c r="F377" s="56" t="n">
        <v>3161000000</v>
      </c>
      <c r="G377" s="56" t="n">
        <v>3306000000</v>
      </c>
      <c r="H377" s="56" t="n">
        <v>640000000</v>
      </c>
      <c r="I377" s="56" t="n">
        <v>1102000000</v>
      </c>
    </row>
    <row r="378">
      <c r="B378" s="54" t="inlineStr">
        <is>
          <t>Entertainment expenses</t>
        </is>
      </c>
      <c r="C378" s="55" t="inlineStr">
        <is>
          <t>EntertainmentExpenses</t>
        </is>
      </c>
      <c r="D378" s="56" t="n">
        <v>70000000</v>
      </c>
      <c r="E378" s="56" t="n">
        <v>0</v>
      </c>
      <c r="F378" s="56" t="n">
        <v>0</v>
      </c>
      <c r="G378" s="56" t="n">
        <v>0</v>
      </c>
      <c r="H378" s="56" t="n">
        <v>0</v>
      </c>
      <c r="I378" s="56" t="n">
        <v>0</v>
      </c>
    </row>
    <row r="379">
      <c r="B379" s="54" t="inlineStr">
        <is>
          <t>Legal professional charges</t>
        </is>
      </c>
      <c r="C379" s="55" t="inlineStr">
        <is>
          <t>LegalProfessionalCharges</t>
        </is>
      </c>
      <c r="D379" s="56" t="n">
        <v>5381000000</v>
      </c>
      <c r="E379" s="56" t="n">
        <v>6165000000</v>
      </c>
      <c r="F379" s="56" t="n">
        <v>8621000000</v>
      </c>
      <c r="G379" s="56" t="n">
        <v>10887000000</v>
      </c>
      <c r="H379" s="56" t="n">
        <v>12061000000</v>
      </c>
      <c r="I379" s="56" t="n">
        <v>17359000000</v>
      </c>
    </row>
    <row r="380">
      <c r="B380" s="54" t="inlineStr">
        <is>
          <t>Training recruitment expenses</t>
        </is>
      </c>
      <c r="C380" s="55" t="inlineStr">
        <is>
          <t>TrainingRecruitmentExpenses</t>
        </is>
      </c>
      <c r="D380" s="56" t="n">
        <v>205000000</v>
      </c>
      <c r="E380" s="56" t="n">
        <v>352000000</v>
      </c>
      <c r="F380" s="56" t="n">
        <v>488000000</v>
      </c>
      <c r="G380" s="56" t="n">
        <v>467000000</v>
      </c>
      <c r="H380" s="56" t="n">
        <v>414000000</v>
      </c>
      <c r="I380" s="56" t="n">
        <v>1161000000</v>
      </c>
    </row>
    <row r="381">
      <c r="B381" s="54" t="inlineStr">
        <is>
          <t>Directors sitting fees</t>
        </is>
      </c>
      <c r="C381" s="55" t="inlineStr">
        <is>
          <t>DirectorsSittingFees</t>
        </is>
      </c>
      <c r="D381" s="56" t="n">
        <v>1000000</v>
      </c>
      <c r="E381" s="56" t="n">
        <v>31000000</v>
      </c>
      <c r="F381" s="56" t="n">
        <v>21000000</v>
      </c>
      <c r="G381" s="56" t="n">
        <v>25000000</v>
      </c>
      <c r="H381" s="56" t="n">
        <v>25000000</v>
      </c>
      <c r="I381" s="56" t="n">
        <v>21000000</v>
      </c>
    </row>
    <row r="382">
      <c r="B382" s="54" t="inlineStr">
        <is>
          <t>Commission to directors other than whole time director or managing director or manager</t>
        </is>
      </c>
      <c r="C382" s="55" t="inlineStr">
        <is>
          <t>CommissionToDirectorsOtherThanWholeTimeDirectorOrManagingDirectorOrManager</t>
        </is>
      </c>
      <c r="D382" s="56" t="n">
        <v>9000000</v>
      </c>
      <c r="E382" s="56" t="n">
        <v>0</v>
      </c>
      <c r="F382" s="56" t="n">
        <v>0</v>
      </c>
      <c r="G382" s="56" t="n">
        <v>0</v>
      </c>
      <c r="H382" s="56" t="n">
        <v>0</v>
      </c>
      <c r="I382" s="56" t="n">
        <v>0</v>
      </c>
    </row>
    <row r="383">
      <c r="B383" s="54" t="inlineStr">
        <is>
          <t>Books periodicals</t>
        </is>
      </c>
      <c r="C383" s="55" t="inlineStr">
        <is>
          <t>BooksPeriodicals</t>
        </is>
      </c>
      <c r="D383" s="56" t="n">
        <v>10000000</v>
      </c>
      <c r="E383" s="56" t="n">
        <v>0</v>
      </c>
      <c r="F383" s="56" t="n">
        <v>21000000</v>
      </c>
      <c r="G383" s="56" t="n">
        <v>23000000</v>
      </c>
      <c r="H383" s="56" t="n">
        <v>10000000</v>
      </c>
      <c r="I383" s="56" t="n">
        <v>0</v>
      </c>
    </row>
    <row r="384">
      <c r="B384" s="54" t="inlineStr">
        <is>
          <t>Advertising promotional expenses</t>
        </is>
      </c>
      <c r="C384" s="55" t="inlineStr">
        <is>
          <t>AdvertisingPromotionalExpenses</t>
        </is>
      </c>
      <c r="D384" s="56" t="n">
        <v>191000000</v>
      </c>
      <c r="E384" s="56" t="n">
        <v>219000000</v>
      </c>
      <c r="F384" s="56" t="n">
        <v>211000000</v>
      </c>
      <c r="G384" s="56" t="n">
        <v>275000000</v>
      </c>
      <c r="H384" s="56" t="n">
        <v>118000000</v>
      </c>
      <c r="I384" s="56" t="n">
        <v>260000000</v>
      </c>
    </row>
    <row r="385">
      <c r="B385" s="54" t="inlineStr">
        <is>
          <t>Commission paid other selling agents</t>
        </is>
      </c>
      <c r="C385" s="55" t="inlineStr">
        <is>
          <t>CommissionPaidOtherSellingAgents</t>
        </is>
      </c>
      <c r="D385" s="56" t="n">
        <v>0</v>
      </c>
      <c r="E385" s="56" t="n">
        <v>0</v>
      </c>
      <c r="F385" s="56" t="n">
        <v>0</v>
      </c>
      <c r="G385" s="56" t="n">
        <v>27000000</v>
      </c>
      <c r="H385" s="56" t="n">
        <v>45000000</v>
      </c>
      <c r="I385" s="56" t="n">
        <v>37000000</v>
      </c>
    </row>
    <row r="386">
      <c r="B386" s="54" t="inlineStr">
        <is>
          <t>Cost repairs maintenance other assets</t>
        </is>
      </c>
      <c r="C386" s="55" t="inlineStr">
        <is>
          <t>CostRepairsMaintenanceOtherAssets</t>
        </is>
      </c>
      <c r="D386" s="56" t="n">
        <v>472000000</v>
      </c>
      <c r="E386" s="56" t="n">
        <v>813000000</v>
      </c>
      <c r="F386" s="56" t="n">
        <v>877000000</v>
      </c>
      <c r="G386" s="56" t="n">
        <v>1096000000</v>
      </c>
      <c r="H386" s="56" t="n">
        <v>928000000</v>
      </c>
      <c r="I386" s="56" t="n">
        <v>827000000</v>
      </c>
    </row>
    <row r="387">
      <c r="B387" s="59" t="inlineStr">
        <is>
          <t>Net provisions charged [Abstract]</t>
        </is>
      </c>
    </row>
    <row r="388">
      <c r="B388" s="62" t="inlineStr">
        <is>
          <t>Other provisions created</t>
        </is>
      </c>
      <c r="C388" s="55" t="inlineStr">
        <is>
          <t>OtherProvisionsCreated</t>
        </is>
      </c>
      <c r="D388" s="56" t="n">
        <v>16000000</v>
      </c>
      <c r="E388" s="56" t="n">
        <v>121000000</v>
      </c>
      <c r="F388" s="56" t="n">
        <v>228000000</v>
      </c>
      <c r="G388" s="56" t="n">
        <v>0</v>
      </c>
      <c r="H388" s="56" t="n">
        <v>0</v>
      </c>
      <c r="I388" s="56" t="n">
        <v>0</v>
      </c>
    </row>
    <row r="389">
      <c r="B389" s="67" t="inlineStr">
        <is>
          <t>Total net provisions charged</t>
        </is>
      </c>
      <c r="C389" s="55" t="inlineStr">
        <is>
          <t>NetProvisionsCharged</t>
        </is>
      </c>
      <c r="D389" s="58" t="n">
        <v>16000000</v>
      </c>
      <c r="E389" s="58" t="n">
        <v>121000000</v>
      </c>
      <c r="F389" s="58" t="n">
        <v>228000000</v>
      </c>
      <c r="G389" s="58" t="n">
        <v>0</v>
      </c>
      <c r="H389" s="58" t="n">
        <v>0</v>
      </c>
      <c r="I389" s="58" t="n">
        <v>0</v>
      </c>
    </row>
    <row r="390">
      <c r="B390" s="54" t="inlineStr">
        <is>
          <t>Loss on disposal, discard, demolishment and destruction of depreciable property plant and equipment</t>
        </is>
      </c>
      <c r="C390" s="55" t="inlineStr">
        <is>
          <t>LossOnDisposalDiscardDemolishmentAndDestructionOfDepreciablePropertyPlantAndEquipment</t>
        </is>
      </c>
      <c r="D390" s="56" t="n">
        <v>12000000</v>
      </c>
      <c r="E390" s="56" t="n">
        <v>0</v>
      </c>
      <c r="F390" s="56" t="n">
        <v>0</v>
      </c>
      <c r="G390" s="56" t="n">
        <v>0</v>
      </c>
      <c r="H390" s="56" t="n">
        <v>0</v>
      </c>
      <c r="I390" s="56" t="n">
        <v>0</v>
      </c>
    </row>
    <row r="391">
      <c r="B391" s="59" t="inlineStr">
        <is>
          <t>Payments to auditor [Abstract]</t>
        </is>
      </c>
    </row>
    <row r="392">
      <c r="B392" s="62" t="inlineStr">
        <is>
          <t>Payment for audit services</t>
        </is>
      </c>
      <c r="C392" s="55" t="inlineStr">
        <is>
          <t>PaymentForAuditServices</t>
        </is>
      </c>
      <c r="D392" s="56" t="n">
        <v>2000000</v>
      </c>
      <c r="E392" s="56" t="n">
        <v>2000000</v>
      </c>
      <c r="F392" s="56" t="n">
        <v>2000000</v>
      </c>
      <c r="G392" s="56" t="n">
        <v>3000000</v>
      </c>
      <c r="H392" s="56" t="n">
        <v>3000000</v>
      </c>
      <c r="I392" s="56" t="n">
        <v>3000000</v>
      </c>
    </row>
    <row r="393">
      <c r="B393" s="62" t="inlineStr">
        <is>
          <t>Payment for taxation matters</t>
        </is>
      </c>
      <c r="C393" s="55" t="inlineStr">
        <is>
          <t>PaymentForTaxationMatters</t>
        </is>
      </c>
      <c r="D393" s="56" t="n">
        <v>0</v>
      </c>
      <c r="E393" s="56" t="n">
        <v>1000000</v>
      </c>
      <c r="F393" s="56" t="n">
        <v>1000000</v>
      </c>
      <c r="G393" s="56" t="n">
        <v>1000000</v>
      </c>
      <c r="H393" s="56" t="n">
        <v>1000000</v>
      </c>
      <c r="I393" s="56" t="n">
        <v>1000000</v>
      </c>
    </row>
    <row r="394">
      <c r="B394" s="62" t="inlineStr">
        <is>
          <t>Payment for other services</t>
        </is>
      </c>
      <c r="C394" s="55" t="inlineStr">
        <is>
          <t>PaymentForOtherServices</t>
        </is>
      </c>
      <c r="D394" s="56" t="n">
        <v>2000000</v>
      </c>
      <c r="E394" s="56" t="n">
        <v>2000000</v>
      </c>
      <c r="F394" s="56" t="n">
        <v>2000000</v>
      </c>
      <c r="G394" s="56" t="n">
        <v>4000000</v>
      </c>
      <c r="H394" s="56" t="n">
        <v>3000000</v>
      </c>
      <c r="I394" s="56" t="n">
        <v>3000000</v>
      </c>
    </row>
    <row r="395">
      <c r="B395" s="62" t="inlineStr">
        <is>
          <t>Payment for reimbursement of expenses</t>
        </is>
      </c>
      <c r="C395" s="55" t="inlineStr">
        <is>
          <t>PaymentForReimbursementOfExpenses</t>
        </is>
      </c>
      <c r="D395" s="56" t="n">
        <v>0</v>
      </c>
      <c r="E395" s="56" t="n">
        <v>0</v>
      </c>
      <c r="F395" s="56" t="n">
        <v>0</v>
      </c>
      <c r="G395" s="56" t="n">
        <v>1000000</v>
      </c>
      <c r="H395" s="56" t="n">
        <v>1000000</v>
      </c>
      <c r="I395" s="56" t="n">
        <v>0</v>
      </c>
    </row>
    <row r="396">
      <c r="B396" s="67" t="inlineStr">
        <is>
          <t>Total payments to auditor</t>
        </is>
      </c>
      <c r="C396" s="55" t="inlineStr">
        <is>
          <t>PaymentsToAuditor</t>
        </is>
      </c>
      <c r="D396" s="58" t="n">
        <v>4000000</v>
      </c>
      <c r="E396" s="58" t="n">
        <v>5000000</v>
      </c>
      <c r="F396" s="58" t="n">
        <v>5000000</v>
      </c>
      <c r="G396" s="58" t="n">
        <v>9000000</v>
      </c>
      <c r="H396" s="58" t="n">
        <v>8000000</v>
      </c>
      <c r="I396" s="58" t="n">
        <v>7000000</v>
      </c>
    </row>
    <row r="397">
      <c r="B397" s="54" t="inlineStr">
        <is>
          <t>Corporate social responsibility expenditure</t>
        </is>
      </c>
      <c r="C397" s="55" t="inlineStr">
        <is>
          <t>CSRExpenditure</t>
        </is>
      </c>
      <c r="D397" s="56" t="n">
        <v>64900000</v>
      </c>
      <c r="E397" s="56" t="n">
        <v>116620000</v>
      </c>
      <c r="F397" s="56" t="n">
        <v>223850000</v>
      </c>
      <c r="G397" s="56" t="n">
        <v>460000000</v>
      </c>
      <c r="H397" s="56" t="n">
        <v>141000000</v>
      </c>
      <c r="I397" s="56" t="n">
        <v>383000000</v>
      </c>
    </row>
    <row r="398">
      <c r="B398" s="54" t="inlineStr">
        <is>
          <t>Miscellaneous expenses</t>
        </is>
      </c>
      <c r="C398" s="55" t="inlineStr">
        <is>
          <t>MiscellaneousExpenses</t>
        </is>
      </c>
      <c r="D398" s="56" t="n">
        <v>455100000</v>
      </c>
      <c r="E398" s="56" t="n">
        <v>828380000</v>
      </c>
      <c r="F398" s="56" t="n">
        <v>255150000</v>
      </c>
      <c r="G398" s="56" t="n">
        <v>801000000</v>
      </c>
      <c r="H398" s="56" t="n">
        <v>711000000</v>
      </c>
      <c r="I398" s="56" t="n">
        <v>814000000</v>
      </c>
    </row>
    <row r="399">
      <c r="B399" s="57" t="inlineStr">
        <is>
          <t>Total other expenses</t>
        </is>
      </c>
      <c r="C399" s="55" t="inlineStr">
        <is>
          <t>OtherExpenses</t>
        </is>
      </c>
      <c r="D399" s="58" t="n">
        <v>14763000000</v>
      </c>
      <c r="E399" s="58" t="n">
        <v>17235000000</v>
      </c>
      <c r="F399" s="58" t="n">
        <v>20554000000</v>
      </c>
      <c r="G399" s="58" t="n">
        <v>23357000000</v>
      </c>
      <c r="H399" s="58" t="n">
        <v>22540000000</v>
      </c>
      <c r="I399" s="58" t="n">
        <v>30389000000</v>
      </c>
    </row>
    <row r="402" ht="15.5" customHeight="1" s="203">
      <c r="B402" s="38" t="inlineStr">
        <is>
          <t>Current tax [Abstract]</t>
        </is>
      </c>
    </row>
    <row r="403">
      <c r="B403" s="54" t="inlineStr">
        <is>
          <t>Current tax pertaining to previous years</t>
        </is>
      </c>
      <c r="C403" s="55" t="inlineStr">
        <is>
          <t>CurrentTaxPertainingToPreviousYears</t>
        </is>
      </c>
      <c r="D403" s="56" t="n">
        <v>19000000</v>
      </c>
      <c r="E403" s="56" t="n">
        <v>-99000000</v>
      </c>
      <c r="F403" s="56" t="n">
        <v>211000000</v>
      </c>
      <c r="G403" s="56" t="n">
        <v>99000000</v>
      </c>
      <c r="H403" s="56" t="n">
        <v>-54000000</v>
      </c>
      <c r="I403" s="56" t="n">
        <v>78000000</v>
      </c>
    </row>
    <row r="404">
      <c r="B404" s="54" t="inlineStr">
        <is>
          <t>Current tax pertaining to current year</t>
        </is>
      </c>
      <c r="C404" s="55" t="inlineStr">
        <is>
          <t>CurrentTaxPertainingToCurrentYear</t>
        </is>
      </c>
      <c r="D404" s="56" t="n">
        <v>2915000000</v>
      </c>
      <c r="E404" s="56" t="n">
        <v>3429000000</v>
      </c>
      <c r="F404" s="56" t="n">
        <v>4265000000</v>
      </c>
      <c r="G404" s="56" t="n">
        <v>3431000000</v>
      </c>
      <c r="H404" s="56" t="n">
        <v>5895000000</v>
      </c>
      <c r="I404" s="56" t="n">
        <v>7618000000</v>
      </c>
    </row>
    <row r="405">
      <c r="B405" s="57" t="inlineStr">
        <is>
          <t>Total current tax</t>
        </is>
      </c>
      <c r="C405" s="55" t="inlineStr">
        <is>
          <t>CurrentTax</t>
        </is>
      </c>
      <c r="D405" s="58" t="n">
        <v>2934000000</v>
      </c>
      <c r="E405" s="58" t="n">
        <v>3330000000</v>
      </c>
      <c r="F405" s="58" t="n">
        <v>4476000000</v>
      </c>
      <c r="G405" s="58" t="n">
        <v>3530000000</v>
      </c>
      <c r="H405" s="58" t="n">
        <v>5841000000</v>
      </c>
      <c r="I405" s="58" t="n">
        <v>7696000000</v>
      </c>
    </row>
    <row r="408" ht="15.5" customHeight="1" s="203">
      <c r="B408" s="38" t="inlineStr">
        <is>
          <t>Additional Items (Taxonomy Vintage 2017-03-31)</t>
        </is>
      </c>
    </row>
    <row r="409">
      <c r="B409" s="54" t="inlineStr">
        <is>
          <t>Hire charges assets contracts</t>
        </is>
      </c>
      <c r="C409" s="55" t="inlineStr">
        <is>
          <t>HireChargesAssetsContracts</t>
        </is>
      </c>
      <c r="D409" s="56" t="n">
        <v>13000000</v>
      </c>
      <c r="E409" s="56" t="n">
        <v>0</v>
      </c>
      <c r="F409" s="56" t="n">
        <v>0</v>
      </c>
      <c r="G409" s="56" t="n">
        <v>0</v>
      </c>
      <c r="H409" s="56" t="n">
        <v>0</v>
      </c>
      <c r="I409" s="56" t="n">
        <v>0</v>
      </c>
    </row>
    <row r="410">
      <c r="B410" s="57" t="inlineStr">
        <is>
          <t>Total contract cost</t>
        </is>
      </c>
      <c r="C410" s="55" t="inlineStr">
        <is>
          <t>ContractCost</t>
        </is>
      </c>
      <c r="D410" s="58" t="n">
        <v>13000000</v>
      </c>
      <c r="E410" s="58" t="n">
        <v>0</v>
      </c>
      <c r="F410" s="58" t="n">
        <v>0</v>
      </c>
      <c r="G410" s="58" t="n">
        <v>0</v>
      </c>
      <c r="H410" s="58" t="n">
        <v>0</v>
      </c>
      <c r="I410" s="58" t="n">
        <v>0</v>
      </c>
    </row>
    <row r="413" ht="15.5" customHeight="1" s="203">
      <c r="A413" t="inlineStr">
        <is>
          <t>#</t>
        </is>
      </c>
      <c r="B413" s="38" t="inlineStr">
        <is>
          <t>Notes to Balance Sheet: Additional Disclosures On Balance Sheet</t>
        </is>
      </c>
    </row>
    <row r="415">
      <c r="C415" s="53" t="inlineStr">
        <is>
          <t>Concept Tag</t>
        </is>
      </c>
      <c r="D415" s="20" t="inlineStr">
        <is>
          <t>FY2017</t>
        </is>
      </c>
      <c r="E415" s="20" t="inlineStr">
        <is>
          <t>FY2018</t>
        </is>
      </c>
      <c r="F415" s="20" t="inlineStr">
        <is>
          <t>FY2019</t>
        </is>
      </c>
      <c r="G415" s="20" t="inlineStr">
        <is>
          <t>FY2020</t>
        </is>
      </c>
      <c r="H415" s="20" t="inlineStr">
        <is>
          <t>FY2021</t>
        </is>
      </c>
      <c r="I415" s="20" t="inlineStr">
        <is>
          <t>FY2022</t>
        </is>
      </c>
    </row>
    <row r="416" ht="15.5" customHeight="1" s="203">
      <c r="B416" s="38" t="inlineStr">
        <is>
          <t>Additional balance sheet notes [Abstract]</t>
        </is>
      </c>
    </row>
    <row r="417">
      <c r="B417" s="59" t="inlineStr">
        <is>
          <t>Contingent liabilities and commitments [Abstract]</t>
        </is>
      </c>
    </row>
    <row r="418">
      <c r="B418" s="60" t="inlineStr">
        <is>
          <t>Classification of contingent liabilities [Abstract]</t>
        </is>
      </c>
    </row>
    <row r="419">
      <c r="B419" s="61" t="inlineStr">
        <is>
          <t>Guarantees</t>
        </is>
      </c>
      <c r="C419" s="55" t="inlineStr">
        <is>
          <t>Guarantees</t>
        </is>
      </c>
      <c r="D419" s="56" t="n">
        <v>3726000000</v>
      </c>
      <c r="E419" s="56" t="n">
        <v>3456000000</v>
      </c>
      <c r="F419" s="56" t="n">
        <v>3608000000</v>
      </c>
      <c r="G419" s="56" t="n">
        <v>3716000000</v>
      </c>
      <c r="H419" s="56" t="n">
        <v>736000000</v>
      </c>
      <c r="I419" s="56" t="n">
        <v>764000000</v>
      </c>
    </row>
    <row r="420">
      <c r="B420" s="61" t="inlineStr">
        <is>
          <t>Other money for which company is contingently liable</t>
        </is>
      </c>
      <c r="C420" s="55" t="inlineStr">
        <is>
          <t>OtherMoneyForWhichCompanyIsContingentlyLiable</t>
        </is>
      </c>
      <c r="D420" s="56" t="n">
        <v>2052000000</v>
      </c>
      <c r="E420" s="56" t="n">
        <v>2483000000</v>
      </c>
      <c r="F420" s="56" t="n">
        <v>2504000000</v>
      </c>
      <c r="G420" s="56" t="n">
        <v>3045000000</v>
      </c>
      <c r="H420" s="56" t="n">
        <v>3055000000</v>
      </c>
      <c r="I420" s="56" t="n">
        <v>3039000000</v>
      </c>
    </row>
    <row r="421">
      <c r="B421" s="65" t="inlineStr">
        <is>
          <t>Total contingent liabilities</t>
        </is>
      </c>
      <c r="C421" s="55" t="inlineStr">
        <is>
          <t>ContingentLiabilities</t>
        </is>
      </c>
      <c r="D421" s="58" t="n">
        <v>5778000000</v>
      </c>
      <c r="E421" s="58" t="n">
        <v>5939000000</v>
      </c>
      <c r="F421" s="58" t="n">
        <v>6112000000</v>
      </c>
      <c r="G421" s="58" t="n">
        <v>6761000000</v>
      </c>
      <c r="H421" s="58" t="n">
        <v>3791000000</v>
      </c>
      <c r="I421" s="58" t="n">
        <v>3803000000</v>
      </c>
    </row>
    <row r="422">
      <c r="B422" s="60" t="inlineStr">
        <is>
          <t>Classification of commitments [Abstract]</t>
        </is>
      </c>
    </row>
    <row r="423">
      <c r="B423" s="61" t="inlineStr">
        <is>
          <t>Estimated amount of contracts remaining to be executed on capital account and not provided for</t>
        </is>
      </c>
      <c r="C423" s="55" t="inlineStr">
        <is>
          <t>EstimatedAmountOfContractsRemainingToBeExecutedOnCapitalAccountAndNotProvidedFor</t>
        </is>
      </c>
      <c r="D423" s="56" t="n">
        <v>151000000</v>
      </c>
      <c r="E423" s="56" t="n">
        <v>178000000</v>
      </c>
      <c r="F423" s="56" t="n">
        <v>49000000</v>
      </c>
      <c r="G423" s="56" t="n">
        <v>419000000</v>
      </c>
      <c r="H423" s="56" t="n">
        <v>118000000</v>
      </c>
      <c r="I423" s="56" t="n">
        <v>4048000000</v>
      </c>
    </row>
    <row r="424">
      <c r="B424" s="65" t="inlineStr">
        <is>
          <t>Total commitments</t>
        </is>
      </c>
      <c r="C424" s="55" t="inlineStr">
        <is>
          <t>Commitments</t>
        </is>
      </c>
      <c r="D424" s="58" t="n">
        <v>151000000</v>
      </c>
      <c r="E424" s="58" t="n">
        <v>178000000</v>
      </c>
      <c r="F424" s="58" t="n">
        <v>49000000</v>
      </c>
      <c r="G424" s="58" t="n">
        <v>419000000</v>
      </c>
      <c r="H424" s="58" t="n">
        <v>118000000</v>
      </c>
      <c r="I424" s="58" t="n">
        <v>4048000000</v>
      </c>
    </row>
    <row r="425">
      <c r="B425" s="67" t="inlineStr">
        <is>
          <t>Total contingent liabilities and commitments</t>
        </is>
      </c>
      <c r="C425" s="55" t="inlineStr">
        <is>
          <t>ContingentLiabilitiesAndCommitments</t>
        </is>
      </c>
      <c r="D425" s="58" t="n">
        <v>5929000000</v>
      </c>
      <c r="E425" s="58" t="n">
        <v>6117000000</v>
      </c>
      <c r="F425" s="58" t="n">
        <v>6161000000</v>
      </c>
      <c r="G425" s="58" t="n">
        <v>7180000000</v>
      </c>
      <c r="H425" s="58" t="n">
        <v>3909000000</v>
      </c>
      <c r="I425" s="58" t="n">
        <v>7851000000</v>
      </c>
    </row>
    <row r="426">
      <c r="B426" s="59" t="inlineStr">
        <is>
          <t>Details regarding dividends [Abstract]</t>
        </is>
      </c>
    </row>
    <row r="427">
      <c r="B427" s="62" t="inlineStr">
        <is>
          <t>Amount of dividends proposed to be distributed to equity shareholders</t>
        </is>
      </c>
      <c r="C427" s="55" t="inlineStr">
        <is>
          <t>AmountOfDividendsProposedToBeDistributedToEquityShareholders</t>
        </is>
      </c>
      <c r="D427" s="56" t="n">
        <v>1888000000</v>
      </c>
      <c r="E427" s="56" t="n">
        <v>2336000000</v>
      </c>
      <c r="F427" s="56" t="n">
        <v>2689000000</v>
      </c>
      <c r="G427" s="56" t="n">
        <v>2699000000</v>
      </c>
      <c r="H427" s="56" t="n">
        <v>4369000000</v>
      </c>
      <c r="I427" s="56" t="n">
        <v>5260000000</v>
      </c>
    </row>
    <row r="428">
      <c r="B428" s="62" t="inlineStr">
        <is>
          <t>Amount of per share dividend proposed to be distributed to equity shareholders</t>
        </is>
      </c>
      <c r="C428" s="55" t="inlineStr">
        <is>
          <t>AmountOfPerShareDividendProposedToBeDistributedToEquityShareholders</t>
        </is>
      </c>
      <c r="D428" s="56" t="n">
        <v>16.55</v>
      </c>
      <c r="E428" s="56" t="n">
        <v>13.5</v>
      </c>
      <c r="F428" s="56" t="n">
        <v>15.5</v>
      </c>
      <c r="G428" s="56" t="n">
        <v>15.5</v>
      </c>
      <c r="H428" s="56" t="n">
        <v>25</v>
      </c>
      <c r="I428" s="56" t="n">
        <v>30</v>
      </c>
    </row>
    <row r="429">
      <c r="B429" s="59" t="inlineStr">
        <is>
          <t>Details of acquisition and disposal of investments [Abstract]</t>
        </is>
      </c>
    </row>
    <row r="430">
      <c r="B430" s="62" t="inlineStr">
        <is>
          <t>Investment in subsidiary companies</t>
        </is>
      </c>
      <c r="C430" s="55" t="inlineStr">
        <is>
          <t>InvestmentInSubsidiaryCompanies</t>
        </is>
      </c>
      <c r="D430" s="56" t="n">
        <v>2905000000</v>
      </c>
      <c r="E430" s="56" t="n">
        <v>2959000000</v>
      </c>
      <c r="F430" s="56" t="n">
        <v>5197000000</v>
      </c>
      <c r="G430" s="56" t="n">
        <v>6548000000</v>
      </c>
      <c r="H430" s="56" t="n">
        <v>6610000000</v>
      </c>
      <c r="I430" s="56" t="n">
        <v>6610000000</v>
      </c>
    </row>
    <row r="431">
      <c r="B431" s="59" t="inlineStr">
        <is>
          <t>Additional regulatory information [Abstract]</t>
        </is>
      </c>
    </row>
    <row r="432">
      <c r="B432" s="71" t="inlineStr">
        <is>
          <t>Capital work-in-progress</t>
        </is>
      </c>
      <c r="C432" s="55" t="inlineStr">
        <is>
          <t>CapitalWorkInProgress</t>
        </is>
      </c>
      <c r="D432" s="56" t="n">
        <v>9000000</v>
      </c>
      <c r="E432" s="56" t="n">
        <v>10000000</v>
      </c>
      <c r="F432" s="56" t="n">
        <v>31000000</v>
      </c>
      <c r="G432" s="56" t="n">
        <v>7733000000</v>
      </c>
      <c r="H432" s="56" t="n">
        <v>6343000000</v>
      </c>
      <c r="I432" s="56" t="n">
        <v>4374000000</v>
      </c>
    </row>
    <row r="433">
      <c r="B433" s="71" t="inlineStr">
        <is>
          <t>Intangible assets under development</t>
        </is>
      </c>
      <c r="C433" s="55" t="inlineStr">
        <is>
          <t>IntangibleAssetsUnderDevelopment</t>
        </is>
      </c>
      <c r="D433" s="56" t="n">
        <v>3000000</v>
      </c>
      <c r="E433" s="56" t="n">
        <v>58000000</v>
      </c>
      <c r="F433" s="56" t="n">
        <v>51000000</v>
      </c>
      <c r="G433" s="56" t="n">
        <v>19000000</v>
      </c>
      <c r="H433" s="56" t="n">
        <v>27000000</v>
      </c>
      <c r="I433" s="56" t="n">
        <v>130000000</v>
      </c>
    </row>
    <row r="438" ht="15.5" customHeight="1" s="203">
      <c r="A438" t="inlineStr">
        <is>
          <t>#</t>
        </is>
      </c>
      <c r="B438" s="38" t="inlineStr">
        <is>
          <t>Notes to Balance Sheet: Current Investments</t>
        </is>
      </c>
    </row>
    <row r="440">
      <c r="C440" s="53" t="inlineStr">
        <is>
          <t>Concept Tag</t>
        </is>
      </c>
      <c r="D440" s="20" t="inlineStr">
        <is>
          <t>FY2017</t>
        </is>
      </c>
      <c r="E440" s="20" t="inlineStr">
        <is>
          <t>FY2018</t>
        </is>
      </c>
      <c r="F440" s="20" t="inlineStr">
        <is>
          <t>FY2019</t>
        </is>
      </c>
      <c r="G440" s="20" t="inlineStr">
        <is>
          <t>FY2020</t>
        </is>
      </c>
      <c r="H440" s="20" t="inlineStr">
        <is>
          <t>FY2021</t>
        </is>
      </c>
      <c r="I440" s="20" t="inlineStr">
        <is>
          <t>FY2022</t>
        </is>
      </c>
    </row>
    <row r="441" ht="15.5" customHeight="1" s="203">
      <c r="B441" s="38" t="inlineStr">
        <is>
          <t>Current investments [Abstract]</t>
        </is>
      </c>
    </row>
    <row r="442">
      <c r="B442" s="59" t="inlineStr">
        <is>
          <t>Disclosure of details of current investments [Abstract]</t>
        </is>
      </c>
    </row>
    <row r="443">
      <c r="B443" s="60" t="inlineStr">
        <is>
          <t>Details of current investments [Line items]</t>
        </is>
      </c>
    </row>
    <row r="444">
      <c r="B444" s="61" t="inlineStr">
        <is>
          <t>Current investments</t>
        </is>
      </c>
      <c r="C444" s="55" t="inlineStr">
        <is>
          <t>CurrentInvestments</t>
        </is>
      </c>
      <c r="D444" s="56" t="n">
        <v>9406000000</v>
      </c>
      <c r="E444" s="56" t="n">
        <v>12644000000</v>
      </c>
      <c r="F444" s="56" t="n">
        <v>17402000000</v>
      </c>
      <c r="G444" s="56" t="n">
        <v>22185000000</v>
      </c>
      <c r="H444" s="56" t="n">
        <v>36282000000</v>
      </c>
      <c r="I444" s="56" t="n">
        <v>31366000000</v>
      </c>
    </row>
    <row r="445">
      <c r="B445" s="54" t="inlineStr">
        <is>
          <t>Aggregate amount of quoted current investments</t>
        </is>
      </c>
      <c r="C445" s="55" t="inlineStr">
        <is>
          <t>AggregateAmountOfQuotedCurrentInvestments</t>
        </is>
      </c>
      <c r="D445" s="56" t="n">
        <v>9406000000</v>
      </c>
      <c r="E445" s="56" t="n">
        <v>0</v>
      </c>
      <c r="F445" s="56" t="n">
        <v>0</v>
      </c>
      <c r="G445" s="56" t="n">
        <v>21163000000</v>
      </c>
      <c r="H445" s="56" t="n">
        <v>33262000000</v>
      </c>
      <c r="I445" s="56" t="n">
        <v>28566000000</v>
      </c>
    </row>
    <row r="446">
      <c r="B446" s="54" t="inlineStr">
        <is>
          <t>Market value of quoted current investments</t>
        </is>
      </c>
      <c r="C446" s="55" t="inlineStr">
        <is>
          <t>MarketValueOfQuotedCurrentInvestments</t>
        </is>
      </c>
      <c r="D446" s="56" t="n">
        <v>9406000000</v>
      </c>
      <c r="E446" s="56" t="n">
        <v>0</v>
      </c>
      <c r="F446" s="56" t="n">
        <v>0</v>
      </c>
      <c r="G446" s="56" t="n">
        <v>0</v>
      </c>
      <c r="H446" s="56" t="n">
        <v>0</v>
      </c>
      <c r="I446" s="56" t="n">
        <v>28541000000</v>
      </c>
    </row>
    <row r="447">
      <c r="B447" s="54" t="inlineStr">
        <is>
          <t>Aggregate amount of unquoted current investments</t>
        </is>
      </c>
      <c r="C447" s="55" t="inlineStr">
        <is>
          <t>AggregateAmountOfUnquotedCurrentInvestments</t>
        </is>
      </c>
      <c r="D447" s="56" t="n">
        <v>0</v>
      </c>
      <c r="E447" s="56" t="n">
        <v>12644000000</v>
      </c>
      <c r="F447" s="56" t="n">
        <v>17402000000</v>
      </c>
      <c r="G447" s="56" t="n">
        <v>1022000000</v>
      </c>
      <c r="H447" s="56" t="n">
        <v>3020000000</v>
      </c>
      <c r="I447" s="56" t="n">
        <v>2800000000</v>
      </c>
    </row>
    <row r="450" ht="15.5" customHeight="1" s="203">
      <c r="A450" t="inlineStr">
        <is>
          <t>#</t>
        </is>
      </c>
      <c r="B450" s="38" t="inlineStr">
        <is>
          <t>Notes to Balance Sheet: Equity Share Capital</t>
        </is>
      </c>
    </row>
    <row r="452">
      <c r="C452" s="53" t="inlineStr">
        <is>
          <t>Concept Tag</t>
        </is>
      </c>
      <c r="D452" s="20" t="inlineStr">
        <is>
          <t>FY2017</t>
        </is>
      </c>
      <c r="E452" s="20" t="inlineStr">
        <is>
          <t>FY2018</t>
        </is>
      </c>
      <c r="F452" s="20" t="inlineStr">
        <is>
          <t>FY2019</t>
        </is>
      </c>
      <c r="G452" s="20" t="inlineStr">
        <is>
          <t>FY2020</t>
        </is>
      </c>
      <c r="H452" s="20" t="inlineStr">
        <is>
          <t>FY2021</t>
        </is>
      </c>
      <c r="I452" s="20" t="inlineStr">
        <is>
          <t>FY2022</t>
        </is>
      </c>
    </row>
    <row r="453" ht="15.5" customHeight="1" s="203">
      <c r="B453" s="38" t="inlineStr">
        <is>
          <t>Disclosure of classes of equity share capital [Abstract]</t>
        </is>
      </c>
    </row>
    <row r="454">
      <c r="B454" s="59" t="inlineStr">
        <is>
          <t>Disclosure of classes of equity share capital [Line items]</t>
        </is>
      </c>
    </row>
    <row r="455">
      <c r="B455" s="62" t="inlineStr">
        <is>
          <t>Number of shares authorised</t>
        </is>
      </c>
      <c r="C455" s="55" t="inlineStr">
        <is>
          <t>NumberOfSharesAuthorised</t>
        </is>
      </c>
      <c r="D455" s="56" t="n">
        <v>240000000</v>
      </c>
      <c r="E455" s="56" t="n">
        <v>260000000</v>
      </c>
      <c r="F455" s="56" t="n">
        <v>260000000</v>
      </c>
      <c r="G455" s="56" t="n">
        <v>260000000</v>
      </c>
      <c r="H455" s="56" t="n">
        <v>260000000</v>
      </c>
      <c r="I455" s="56" t="n">
        <v>274500000</v>
      </c>
    </row>
    <row r="456">
      <c r="B456" s="62" t="inlineStr">
        <is>
          <t>Value of shares authorised</t>
        </is>
      </c>
      <c r="C456" s="55" t="inlineStr">
        <is>
          <t>ValueOfSharesAuthorised</t>
        </is>
      </c>
      <c r="D456" s="56" t="n">
        <v>240000000</v>
      </c>
      <c r="E456" s="56" t="n">
        <v>260000000</v>
      </c>
      <c r="F456" s="56" t="n">
        <v>260000000</v>
      </c>
      <c r="G456" s="56" t="n">
        <v>260000000</v>
      </c>
      <c r="H456" s="56" t="n">
        <v>260000000</v>
      </c>
      <c r="I456" s="56" t="n">
        <v>275000000</v>
      </c>
    </row>
    <row r="457">
      <c r="B457" s="62" t="inlineStr">
        <is>
          <t>Number of shares issued</t>
        </is>
      </c>
      <c r="C457" s="55" t="inlineStr">
        <is>
          <t>NumberOfSharesIssued</t>
        </is>
      </c>
      <c r="D457" s="56" t="n">
        <v>170571113</v>
      </c>
      <c r="E457" s="56" t="n">
        <v>171999263</v>
      </c>
      <c r="F457" s="56" t="n">
        <v>173510084</v>
      </c>
      <c r="G457" s="56" t="n">
        <v>174126769</v>
      </c>
      <c r="H457" s="56" t="n">
        <v>174750608</v>
      </c>
      <c r="I457" s="56" t="n">
        <v>175270156</v>
      </c>
    </row>
    <row r="458">
      <c r="B458" s="62" t="inlineStr">
        <is>
          <t>Value of shares issued</t>
        </is>
      </c>
      <c r="C458" s="55" t="inlineStr">
        <is>
          <t>ValueOfSharesIssued</t>
        </is>
      </c>
      <c r="D458" s="56" t="n">
        <v>171000000</v>
      </c>
      <c r="E458" s="56" t="n">
        <v>172000000</v>
      </c>
      <c r="F458" s="56" t="n">
        <v>174000000</v>
      </c>
      <c r="G458" s="56" t="n">
        <v>174000000</v>
      </c>
      <c r="H458" s="56" t="n">
        <v>175000000</v>
      </c>
      <c r="I458" s="56" t="n">
        <v>175000000</v>
      </c>
    </row>
    <row r="459">
      <c r="B459" s="62" t="inlineStr">
        <is>
          <t>Number of shares subscribed and fully paid</t>
        </is>
      </c>
      <c r="C459" s="55" t="inlineStr">
        <is>
          <t>NumberOfSharesSubscribedAndFullyPaid</t>
        </is>
      </c>
      <c r="D459" s="56" t="n">
        <v>170571113</v>
      </c>
      <c r="E459" s="56" t="n">
        <v>171999263</v>
      </c>
      <c r="F459" s="56" t="n">
        <v>173510084</v>
      </c>
      <c r="G459" s="56" t="n">
        <v>174126769</v>
      </c>
      <c r="H459" s="56" t="n">
        <v>174750608</v>
      </c>
      <c r="I459" s="56" t="n">
        <v>175270156</v>
      </c>
    </row>
    <row r="460">
      <c r="B460" s="62" t="inlineStr">
        <is>
          <t>Value of shares subscribed and fully paid</t>
        </is>
      </c>
      <c r="C460" s="55" t="inlineStr">
        <is>
          <t>ValueOfSharesSubscribedAndFullyPaid</t>
        </is>
      </c>
      <c r="D460" s="56" t="n">
        <v>171000000</v>
      </c>
      <c r="E460" s="56" t="n">
        <v>172000000</v>
      </c>
      <c r="F460" s="56" t="n">
        <v>174000000</v>
      </c>
      <c r="G460" s="56" t="n">
        <v>174000000</v>
      </c>
      <c r="H460" s="56" t="n">
        <v>175000000</v>
      </c>
      <c r="I460" s="56" t="n">
        <v>175000000</v>
      </c>
    </row>
    <row r="461">
      <c r="B461" s="67" t="inlineStr">
        <is>
          <t>Total number of shares subscribed</t>
        </is>
      </c>
      <c r="C461" s="55" t="inlineStr">
        <is>
          <t>NumberOfSharesSubscribed</t>
        </is>
      </c>
      <c r="D461" s="58" t="n">
        <v>170571113</v>
      </c>
      <c r="E461" s="58" t="n">
        <v>171999263</v>
      </c>
      <c r="F461" s="58" t="n">
        <v>173510084</v>
      </c>
      <c r="G461" s="58" t="n">
        <v>174126769</v>
      </c>
      <c r="H461" s="58" t="n">
        <v>174750608</v>
      </c>
      <c r="I461" s="58" t="n">
        <v>175270156</v>
      </c>
    </row>
    <row r="462">
      <c r="B462" s="67" t="inlineStr">
        <is>
          <t>Total value of shares subscribed</t>
        </is>
      </c>
      <c r="C462" s="55" t="inlineStr">
        <is>
          <t>ValueOfSharesSubscribed</t>
        </is>
      </c>
      <c r="D462" s="58" t="n">
        <v>171000000</v>
      </c>
      <c r="E462" s="58" t="n">
        <v>172000000</v>
      </c>
      <c r="F462" s="58" t="n">
        <v>174000000</v>
      </c>
      <c r="G462" s="58" t="n">
        <v>174000000</v>
      </c>
      <c r="H462" s="58" t="n">
        <v>175000000</v>
      </c>
      <c r="I462" s="58" t="n">
        <v>175000000</v>
      </c>
    </row>
    <row r="463">
      <c r="B463" s="60" t="inlineStr">
        <is>
          <t>Value of shares paid-up [Abstract]</t>
        </is>
      </c>
    </row>
    <row r="464">
      <c r="B464" s="61" t="inlineStr">
        <is>
          <t>Number of shares paid-up</t>
        </is>
      </c>
      <c r="C464" s="55" t="inlineStr">
        <is>
          <t>NumberOfSharesPaidUp</t>
        </is>
      </c>
      <c r="D464" s="56" t="n">
        <v>170571113</v>
      </c>
      <c r="E464" s="56" t="n">
        <v>171999263</v>
      </c>
      <c r="F464" s="56" t="n">
        <v>173510084</v>
      </c>
      <c r="G464" s="56" t="n">
        <v>174126769</v>
      </c>
      <c r="H464" s="56" t="n">
        <v>174750608</v>
      </c>
      <c r="I464" s="56" t="n">
        <v>175270156</v>
      </c>
    </row>
    <row r="465">
      <c r="B465" s="61" t="inlineStr">
        <is>
          <t>Value of shares called</t>
        </is>
      </c>
      <c r="C465" s="55" t="inlineStr">
        <is>
          <t>ValueOfSharesCalled</t>
        </is>
      </c>
      <c r="D465" s="56" t="n">
        <v>171000000</v>
      </c>
      <c r="E465" s="56" t="n">
        <v>172000000</v>
      </c>
      <c r="F465" s="56" t="n">
        <v>174000000</v>
      </c>
      <c r="G465" s="56" t="n">
        <v>174000000</v>
      </c>
      <c r="H465" s="56" t="n">
        <v>175000000</v>
      </c>
      <c r="I465" s="56" t="n">
        <v>175000000</v>
      </c>
    </row>
    <row r="466">
      <c r="B466" s="65" t="inlineStr">
        <is>
          <t>Value of shares paid-up</t>
        </is>
      </c>
      <c r="C466" s="55" t="inlineStr">
        <is>
          <t>ValueOfSharesPaidUp</t>
        </is>
      </c>
      <c r="D466" s="58" t="n">
        <v>171000000</v>
      </c>
      <c r="E466" s="58" t="n">
        <v>172000000</v>
      </c>
      <c r="F466" s="58" t="n">
        <v>174000000</v>
      </c>
      <c r="G466" s="58" t="n">
        <v>174000000</v>
      </c>
      <c r="H466" s="58" t="n">
        <v>175000000</v>
      </c>
      <c r="I466" s="58" t="n">
        <v>175000000</v>
      </c>
    </row>
    <row r="467">
      <c r="B467" s="60" t="inlineStr">
        <is>
          <t>Reconciliation of number of shares outstanding [Abstract]</t>
        </is>
      </c>
    </row>
    <row r="468">
      <c r="B468" s="61" t="inlineStr">
        <is>
          <t>Number of shares outstanding at end of period</t>
        </is>
      </c>
      <c r="C468" s="55" t="inlineStr">
        <is>
          <t>NumberOfSharesOutstanding</t>
        </is>
      </c>
      <c r="D468" s="56" t="n">
        <v>170571113</v>
      </c>
      <c r="E468" s="56" t="n">
        <v>171999263</v>
      </c>
      <c r="F468" s="56" t="n">
        <v>173510084</v>
      </c>
      <c r="G468" s="56" t="n">
        <v>174126769</v>
      </c>
      <c r="H468" s="56" t="n">
        <v>174750608</v>
      </c>
      <c r="I468" s="56" t="n">
        <v>175270156</v>
      </c>
    </row>
    <row r="469">
      <c r="B469" s="63" t="inlineStr">
        <is>
          <t>Changes in number of shares outstanding [Abstract]</t>
        </is>
      </c>
    </row>
    <row r="470">
      <c r="B470" s="68" t="inlineStr">
        <is>
          <t>Increase in number of shares outstanding [Abstract]</t>
        </is>
      </c>
    </row>
    <row r="471">
      <c r="B471" s="69" t="inlineStr">
        <is>
          <t>Total aggregate number of shares issued during period</t>
        </is>
      </c>
      <c r="C471" s="55" t="inlineStr">
        <is>
          <t>AggregateNumberOfSharesIssuedDuringPeriod</t>
        </is>
      </c>
      <c r="D471" s="58" t="n">
        <v>754925</v>
      </c>
      <c r="E471" s="58" t="n">
        <v>1428150</v>
      </c>
      <c r="F471" s="58" t="n">
        <v>1510821</v>
      </c>
      <c r="G471" s="58" t="n">
        <v>616685</v>
      </c>
      <c r="H471" s="58" t="n">
        <v>623839</v>
      </c>
      <c r="I471" s="58" t="n">
        <v>519548</v>
      </c>
    </row>
    <row r="472">
      <c r="B472" s="66" t="inlineStr">
        <is>
          <t>Total increase (decrease) in number of shares outstanding</t>
        </is>
      </c>
      <c r="C472" s="55" t="inlineStr">
        <is>
          <t>IncreaseDecreaseInNumberOfSharesOutstanding</t>
        </is>
      </c>
      <c r="D472" s="58" t="n">
        <v>754925</v>
      </c>
      <c r="E472" s="58" t="n">
        <v>1428150</v>
      </c>
      <c r="F472" s="58" t="n">
        <v>1510821</v>
      </c>
      <c r="G472" s="58" t="n">
        <v>616685</v>
      </c>
      <c r="H472" s="58" t="n">
        <v>623839</v>
      </c>
      <c r="I472" s="58" t="n">
        <v>519548</v>
      </c>
    </row>
    <row r="473">
      <c r="B473" s="61" t="inlineStr">
        <is>
          <t>Number of shares outstanding at end of period</t>
        </is>
      </c>
      <c r="C473" s="55" t="inlineStr">
        <is>
          <t>NumberOfSharesOutstanding</t>
        </is>
      </c>
      <c r="D473" s="56" t="n">
        <v>170571113</v>
      </c>
      <c r="E473" s="56" t="n">
        <v>171999263</v>
      </c>
      <c r="F473" s="56" t="n">
        <v>173510084</v>
      </c>
      <c r="G473" s="56" t="n">
        <v>174126769</v>
      </c>
      <c r="H473" s="56" t="n">
        <v>174750608</v>
      </c>
      <c r="I473" s="56" t="n">
        <v>175270156</v>
      </c>
    </row>
    <row r="474">
      <c r="B474" s="60" t="inlineStr">
        <is>
          <t>Reconciliation of value of shares outstanding [Abstract]</t>
        </is>
      </c>
    </row>
    <row r="475">
      <c r="B475" s="61" t="inlineStr">
        <is>
          <t>Equity share capital at end of period</t>
        </is>
      </c>
      <c r="C475" s="55" t="inlineStr">
        <is>
          <t>EquityShareCapital</t>
        </is>
      </c>
      <c r="D475" s="56" t="n">
        <v>171000000</v>
      </c>
      <c r="E475" s="56" t="n">
        <v>172000000</v>
      </c>
      <c r="F475" s="56" t="n">
        <v>174000000</v>
      </c>
      <c r="G475" s="56" t="n">
        <v>174000000</v>
      </c>
      <c r="H475" s="56" t="n">
        <v>175000000</v>
      </c>
      <c r="I475" s="56" t="n">
        <v>175000000</v>
      </c>
    </row>
    <row r="476">
      <c r="B476" s="63" t="inlineStr">
        <is>
          <t>Changes in equity share capital [Abstract]</t>
        </is>
      </c>
    </row>
    <row r="477">
      <c r="B477" s="68" t="inlineStr">
        <is>
          <t>Increase in equity share capital during period [Abstract]</t>
        </is>
      </c>
    </row>
    <row r="478">
      <c r="B478" s="71" t="inlineStr">
        <is>
          <t>Amount of other issues during period</t>
        </is>
      </c>
      <c r="C478" s="55" t="inlineStr">
        <is>
          <t>AmountOfOtherIssuesDuringPeriod</t>
        </is>
      </c>
      <c r="D478" s="56" t="n">
        <v>1000000</v>
      </c>
      <c r="E478" s="56" t="n">
        <v>0</v>
      </c>
      <c r="F478" s="56" t="n">
        <v>0</v>
      </c>
      <c r="G478" s="56" t="n">
        <v>0</v>
      </c>
      <c r="H478" s="56" t="n">
        <v>0</v>
      </c>
      <c r="I478" s="56" t="n">
        <v>0</v>
      </c>
    </row>
    <row r="479">
      <c r="B479" s="71" t="inlineStr">
        <is>
          <t>Amount of shares issued under employee stock option plan</t>
        </is>
      </c>
      <c r="C479" s="55" t="inlineStr">
        <is>
          <t>AmountOfSharesIssuedUnderEmployeeStockOptionPlan</t>
        </is>
      </c>
      <c r="D479" s="56" t="n">
        <v>0</v>
      </c>
      <c r="E479" s="56" t="n">
        <v>1000000</v>
      </c>
      <c r="F479" s="56" t="n">
        <v>2000000</v>
      </c>
      <c r="G479" s="56" t="n">
        <v>0</v>
      </c>
      <c r="H479" s="56" t="n">
        <v>1000000</v>
      </c>
      <c r="I479" s="56" t="n">
        <v>0</v>
      </c>
    </row>
    <row r="480">
      <c r="B480" s="69" t="inlineStr">
        <is>
          <t>Total aggregate amount of increase in equity share capital during period</t>
        </is>
      </c>
      <c r="C480" s="55" t="inlineStr">
        <is>
          <t>AggregateAmountOfIncreaseInEquityShareCapitalDuringPeriod</t>
        </is>
      </c>
      <c r="D480" s="58" t="n">
        <v>1000000</v>
      </c>
      <c r="E480" s="58" t="n">
        <v>1000000</v>
      </c>
      <c r="F480" s="58" t="n">
        <v>2000000</v>
      </c>
      <c r="G480" s="58" t="n">
        <v>0</v>
      </c>
      <c r="H480" s="58" t="n">
        <v>1000000</v>
      </c>
      <c r="I480" s="58" t="n">
        <v>0</v>
      </c>
    </row>
    <row r="481">
      <c r="B481" s="66" t="inlineStr">
        <is>
          <t>Total increase (decrease) in share capital</t>
        </is>
      </c>
      <c r="C481" s="55" t="inlineStr">
        <is>
          <t>IncreaseDecreaseInEquityShareCapital</t>
        </is>
      </c>
      <c r="D481" s="58" t="n">
        <v>1000000</v>
      </c>
      <c r="E481" s="58" t="n">
        <v>1000000</v>
      </c>
      <c r="F481" s="58" t="n">
        <v>2000000</v>
      </c>
      <c r="G481" s="58" t="n">
        <v>0</v>
      </c>
      <c r="H481" s="58" t="n">
        <v>1000000</v>
      </c>
      <c r="I481" s="58" t="n">
        <v>0</v>
      </c>
    </row>
    <row r="482">
      <c r="B482" s="61" t="inlineStr">
        <is>
          <t>Equity share capital at end of period</t>
        </is>
      </c>
      <c r="C482" s="55" t="inlineStr">
        <is>
          <t>EquityShareCapital</t>
        </is>
      </c>
      <c r="D482" s="56" t="n">
        <v>171000000</v>
      </c>
      <c r="E482" s="56" t="n">
        <v>172000000</v>
      </c>
      <c r="F482" s="56" t="n">
        <v>174000000</v>
      </c>
      <c r="G482" s="56" t="n">
        <v>174000000</v>
      </c>
      <c r="H482" s="56" t="n">
        <v>175000000</v>
      </c>
      <c r="I482" s="56" t="n">
        <v>175000000</v>
      </c>
    </row>
    <row r="483">
      <c r="B483" s="60" t="inlineStr">
        <is>
          <t>Shares in company held by holding company or ultimate holding company or by its subsidiaries or associates [Abstract]</t>
        </is>
      </c>
    </row>
    <row r="484">
      <c r="B484" s="61" t="inlineStr">
        <is>
          <t>Shares in company held by holding company</t>
        </is>
      </c>
      <c r="C484" s="55" t="inlineStr">
        <is>
          <t>SharesInCompanyHeldByHoldingCompany</t>
        </is>
      </c>
      <c r="D484" s="56" t="n">
        <v>143750000</v>
      </c>
      <c r="E484" s="56" t="n">
        <v>142693637</v>
      </c>
      <c r="F484" s="56" t="n">
        <v>129784034</v>
      </c>
      <c r="G484" s="56" t="n">
        <v>129784034</v>
      </c>
      <c r="H484" s="56" t="n">
        <v>129784034</v>
      </c>
      <c r="I484" s="56" t="n">
        <v>129784034</v>
      </c>
    </row>
    <row r="485">
      <c r="B485" s="65" t="inlineStr">
        <is>
          <t>Total shares in company held by holding company or ultimate holding company or by its subsidiaries or associates</t>
        </is>
      </c>
      <c r="C485" s="55" t="inlineStr">
        <is>
          <t>SharesInCompanyHeldByHoldingCompanyOrUltimateHoldingCompanyOrByItsSubsidiariesOrAssociates</t>
        </is>
      </c>
      <c r="D485" s="58" t="n">
        <v>143750000</v>
      </c>
      <c r="E485" s="58" t="n">
        <v>142693637</v>
      </c>
      <c r="F485" s="58" t="n">
        <v>129784034</v>
      </c>
      <c r="G485" s="58" t="n">
        <v>129784034</v>
      </c>
      <c r="H485" s="58" t="n">
        <v>129784034</v>
      </c>
      <c r="I485" s="58" t="n">
        <v>129784034</v>
      </c>
    </row>
    <row r="489" ht="15.5" customHeight="1" s="203">
      <c r="A489" t="inlineStr">
        <is>
          <t>#</t>
        </is>
      </c>
      <c r="B489" s="38" t="inlineStr">
        <is>
          <t>Notes to Balance Sheet: Goodwill</t>
        </is>
      </c>
    </row>
    <row r="491">
      <c r="C491" s="53" t="inlineStr">
        <is>
          <t>Concept Tag</t>
        </is>
      </c>
      <c r="D491" s="20" t="inlineStr">
        <is>
          <t>FY2017</t>
        </is>
      </c>
      <c r="E491" s="20" t="inlineStr">
        <is>
          <t>FY2018</t>
        </is>
      </c>
      <c r="F491" s="20" t="inlineStr">
        <is>
          <t>FY2019</t>
        </is>
      </c>
      <c r="G491" s="20" t="inlineStr">
        <is>
          <t>FY2020</t>
        </is>
      </c>
      <c r="H491" s="20" t="inlineStr">
        <is>
          <t>FY2021</t>
        </is>
      </c>
      <c r="I491" s="20" t="inlineStr">
        <is>
          <t>FY2022</t>
        </is>
      </c>
    </row>
    <row r="492" ht="15.5" customHeight="1" s="203">
      <c r="B492" s="38" t="inlineStr">
        <is>
          <t>Disclosure of reconciliation of changes in goodwill [Abstract]</t>
        </is>
      </c>
    </row>
    <row r="493">
      <c r="B493" s="59" t="inlineStr">
        <is>
          <t>Disclosure of reconciliation of changes in goodwill [Line items]</t>
        </is>
      </c>
    </row>
    <row r="494">
      <c r="B494" s="62" t="inlineStr">
        <is>
          <t>Goodwill at end of period</t>
        </is>
      </c>
      <c r="C494" s="55" t="inlineStr">
        <is>
          <t>Goodwill</t>
        </is>
      </c>
      <c r="D494" s="56" t="n">
        <v>0</v>
      </c>
      <c r="E494" s="56" t="n">
        <v>0</v>
      </c>
      <c r="F494" s="56" t="n">
        <v>0</v>
      </c>
      <c r="G494" s="56" t="n">
        <v>0</v>
      </c>
      <c r="H494" s="56" t="n">
        <v>0</v>
      </c>
      <c r="I494" s="56" t="n">
        <v>26000000</v>
      </c>
    </row>
    <row r="495">
      <c r="B495" s="62" t="inlineStr">
        <is>
          <t>Goodwill at end of period</t>
        </is>
      </c>
      <c r="C495" s="55" t="inlineStr">
        <is>
          <t>Goodwill</t>
        </is>
      </c>
      <c r="D495" s="56" t="n">
        <v>0</v>
      </c>
      <c r="E495" s="56" t="n">
        <v>0</v>
      </c>
      <c r="F495" s="56" t="n">
        <v>0</v>
      </c>
      <c r="G495" s="56" t="n">
        <v>0</v>
      </c>
      <c r="H495" s="56" t="n">
        <v>0</v>
      </c>
      <c r="I495" s="56" t="n">
        <v>26000000</v>
      </c>
    </row>
    <row r="498" ht="15.5" customHeight="1" s="203">
      <c r="A498" t="inlineStr">
        <is>
          <t>#</t>
        </is>
      </c>
      <c r="B498" s="38" t="inlineStr">
        <is>
          <t>Notes to Balance Sheet: Noncurrent Investments</t>
        </is>
      </c>
    </row>
    <row r="500">
      <c r="C500" s="53" t="inlineStr">
        <is>
          <t>Concept Tag</t>
        </is>
      </c>
      <c r="D500" s="20" t="inlineStr">
        <is>
          <t>FY2017</t>
        </is>
      </c>
      <c r="E500" s="20" t="inlineStr">
        <is>
          <t>FY2018</t>
        </is>
      </c>
      <c r="F500" s="20" t="inlineStr">
        <is>
          <t>FY2019</t>
        </is>
      </c>
      <c r="G500" s="20" t="inlineStr">
        <is>
          <t>FY2020</t>
        </is>
      </c>
      <c r="H500" s="20" t="inlineStr">
        <is>
          <t>FY2021</t>
        </is>
      </c>
      <c r="I500" s="20" t="inlineStr">
        <is>
          <t>FY2022</t>
        </is>
      </c>
    </row>
    <row r="501" ht="15.5" customHeight="1" s="203">
      <c r="B501" s="38" t="inlineStr">
        <is>
          <t>Non-current investments [Abstract]</t>
        </is>
      </c>
    </row>
    <row r="502">
      <c r="B502" s="59" t="inlineStr">
        <is>
          <t>Disclosure of details of non-current investments [Abstract]</t>
        </is>
      </c>
    </row>
    <row r="503">
      <c r="B503" s="60" t="inlineStr">
        <is>
          <t>Details of non-current investments [Line items]</t>
        </is>
      </c>
    </row>
    <row r="504">
      <c r="B504" s="61" t="inlineStr">
        <is>
          <t>Non-current investments</t>
        </is>
      </c>
      <c r="C504" s="55" t="inlineStr">
        <is>
          <t>NoncurrentInvestments</t>
        </is>
      </c>
      <c r="D504" s="56" t="n">
        <v>2905000000</v>
      </c>
      <c r="E504" s="56" t="n">
        <v>2959000000</v>
      </c>
      <c r="F504" s="56" t="n">
        <v>5198000000</v>
      </c>
      <c r="G504" s="56" t="n">
        <v>6550000000</v>
      </c>
      <c r="H504" s="56" t="n">
        <v>7623000000</v>
      </c>
      <c r="I504" s="56" t="n">
        <v>10062000000</v>
      </c>
    </row>
    <row r="505">
      <c r="B505" s="54" t="inlineStr">
        <is>
          <t>Aggregate amount of quoted non-current investments</t>
        </is>
      </c>
      <c r="C505" s="55" t="inlineStr">
        <is>
          <t>AggregateAmountOfQuotedNoncurrentInvestments</t>
        </is>
      </c>
      <c r="D505" s="56" t="n">
        <v>0</v>
      </c>
      <c r="E505" s="56" t="n">
        <v>0</v>
      </c>
      <c r="F505" s="56" t="n">
        <v>0</v>
      </c>
      <c r="G505" s="56" t="n">
        <v>0</v>
      </c>
      <c r="H505" s="56" t="n">
        <v>1008000000</v>
      </c>
      <c r="I505" s="56" t="n">
        <v>2029000000</v>
      </c>
    </row>
    <row r="506">
      <c r="B506" s="54" t="inlineStr">
        <is>
          <t>Market value of quoted non-current investments</t>
        </is>
      </c>
      <c r="C506" s="55" t="inlineStr">
        <is>
          <t>MarketValueOfQuotedNoncurrentInvestments</t>
        </is>
      </c>
      <c r="D506" s="56" t="n">
        <v>0</v>
      </c>
      <c r="E506" s="56" t="n">
        <v>0</v>
      </c>
      <c r="F506" s="56" t="n">
        <v>0</v>
      </c>
      <c r="G506" s="56" t="n">
        <v>0</v>
      </c>
      <c r="H506" s="56" t="n">
        <v>1008000000</v>
      </c>
      <c r="I506" s="56" t="n">
        <v>1973000000</v>
      </c>
    </row>
    <row r="507">
      <c r="B507" s="54" t="inlineStr">
        <is>
          <t>Aggregate amount of unquoted non-current investments</t>
        </is>
      </c>
      <c r="C507" s="55" t="inlineStr">
        <is>
          <t>AggregateAmountOfUnquotedNoncurrentInvestments</t>
        </is>
      </c>
      <c r="D507" s="56" t="n">
        <v>2905000000</v>
      </c>
      <c r="E507" s="56" t="n">
        <v>2959000000</v>
      </c>
      <c r="F507" s="56" t="n">
        <v>5198000000</v>
      </c>
      <c r="G507" s="56" t="n">
        <v>6550000000</v>
      </c>
      <c r="H507" s="56" t="n">
        <v>6615000000</v>
      </c>
      <c r="I507" s="56" t="n">
        <v>8033000000</v>
      </c>
    </row>
    <row r="510" ht="15.5" customHeight="1" s="203">
      <c r="A510" t="inlineStr">
        <is>
          <t>#</t>
        </is>
      </c>
      <c r="B510" s="38" t="inlineStr">
        <is>
          <t>Notes to Balance Sheet: Other Intangible Assets</t>
        </is>
      </c>
    </row>
    <row r="512">
      <c r="C512" s="53" t="inlineStr">
        <is>
          <t>Concept Tag</t>
        </is>
      </c>
      <c r="D512" s="20" t="inlineStr">
        <is>
          <t>FY2017</t>
        </is>
      </c>
      <c r="E512" s="20" t="inlineStr">
        <is>
          <t>FY2018</t>
        </is>
      </c>
      <c r="F512" s="20" t="inlineStr">
        <is>
          <t>FY2019</t>
        </is>
      </c>
      <c r="G512" s="20" t="inlineStr">
        <is>
          <t>FY2020</t>
        </is>
      </c>
      <c r="H512" s="20" t="inlineStr">
        <is>
          <t>FY2021</t>
        </is>
      </c>
      <c r="I512" s="20" t="inlineStr">
        <is>
          <t>FY2022</t>
        </is>
      </c>
    </row>
    <row r="513">
      <c r="B513" s="59" t="inlineStr">
        <is>
          <t>Disclosure of detailed information about other intangible assets [Abstract]</t>
        </is>
      </c>
    </row>
    <row r="514">
      <c r="B514" s="60" t="inlineStr">
        <is>
          <t>Disclosure of detailed information about other intangible assets [Line items]</t>
        </is>
      </c>
    </row>
    <row r="515">
      <c r="B515" s="63" t="inlineStr">
        <is>
          <t>Reconciliation of changes in other intangible assets [Abstract]</t>
        </is>
      </c>
    </row>
    <row r="516">
      <c r="B516" s="64" t="inlineStr">
        <is>
          <t>Other intangible assets at end of period</t>
        </is>
      </c>
      <c r="C516" s="55" t="inlineStr">
        <is>
          <t>OtherIntangibleAssets</t>
        </is>
      </c>
      <c r="D516" s="56" t="n">
        <v>382000000</v>
      </c>
      <c r="E516" s="56" t="n">
        <v>315000000</v>
      </c>
      <c r="F516" s="56" t="n">
        <v>331000000</v>
      </c>
      <c r="G516" s="56" t="n">
        <v>354000000</v>
      </c>
      <c r="H516" s="56" t="n">
        <v>694000000</v>
      </c>
      <c r="I516" s="56" t="n">
        <v>1052000000</v>
      </c>
    </row>
    <row r="517">
      <c r="B517" s="68" t="inlineStr">
        <is>
          <t>Changes in Other intangible assets [Abstract]</t>
        </is>
      </c>
    </row>
    <row r="518">
      <c r="B518" s="71" t="inlineStr">
        <is>
          <t>Additions other than through business combinations</t>
        </is>
      </c>
      <c r="C518" s="55" t="inlineStr">
        <is>
          <t>AdditionsOtherThanThroughBusinessCombinationsOtherIntangibleAssets</t>
        </is>
      </c>
      <c r="D518" s="56" t="n">
        <v>269000000</v>
      </c>
      <c r="E518" s="56" t="n">
        <v>199000000</v>
      </c>
      <c r="F518" s="56" t="n">
        <v>232000000</v>
      </c>
      <c r="G518" s="56" t="n">
        <v>252000000</v>
      </c>
      <c r="H518" s="56" t="n">
        <v>600000000</v>
      </c>
      <c r="I518" s="56" t="n">
        <v>822000000</v>
      </c>
    </row>
    <row r="519">
      <c r="B519" s="71" t="inlineStr">
        <is>
          <t>Amortisation other intangible assets</t>
        </is>
      </c>
      <c r="C519" s="55" t="inlineStr">
        <is>
          <t>AmortisationOtherIntangibleAssets</t>
        </is>
      </c>
      <c r="D519" s="56" t="n">
        <v>-441000000</v>
      </c>
      <c r="E519" s="56" t="n">
        <v>-266000000</v>
      </c>
      <c r="F519" s="56" t="n">
        <v>-216000000</v>
      </c>
      <c r="G519" s="56" t="n">
        <v>-224000000</v>
      </c>
      <c r="H519" s="56" t="n">
        <v>-256000000</v>
      </c>
      <c r="I519" s="56" t="n">
        <v>-462000000</v>
      </c>
    </row>
    <row r="520">
      <c r="B520" s="72" t="inlineStr">
        <is>
          <t>Disposals and retirements, other intangible assets [Abstract]</t>
        </is>
      </c>
    </row>
    <row r="521">
      <c r="B521" s="73" t="inlineStr">
        <is>
          <t>Disposals</t>
        </is>
      </c>
      <c r="C521" s="55" t="inlineStr">
        <is>
          <t>DisposalsOtherIntangibleAssets</t>
        </is>
      </c>
      <c r="D521" s="56" t="n">
        <v>0</v>
      </c>
      <c r="E521" s="56" t="n">
        <v>0</v>
      </c>
      <c r="F521" s="56" t="n">
        <v>0</v>
      </c>
      <c r="G521" s="56" t="n">
        <v>5000000</v>
      </c>
      <c r="H521" s="56" t="n">
        <v>4000000</v>
      </c>
      <c r="I521" s="56" t="n">
        <v>2000000</v>
      </c>
    </row>
    <row r="522">
      <c r="B522" s="74" t="inlineStr">
        <is>
          <t>Total Disposals and retirements, Other intangible assets</t>
        </is>
      </c>
      <c r="C522" s="55" t="inlineStr">
        <is>
          <t>DisposalsAndRetirementsOtherIntangibleAssets</t>
        </is>
      </c>
      <c r="D522" s="58" t="n">
        <v>0</v>
      </c>
      <c r="E522" s="58" t="n">
        <v>0</v>
      </c>
      <c r="F522" s="58" t="n">
        <v>0</v>
      </c>
      <c r="G522" s="58" t="n">
        <v>5000000</v>
      </c>
      <c r="H522" s="58" t="n">
        <v>4000000</v>
      </c>
      <c r="I522" s="58" t="n">
        <v>2000000</v>
      </c>
    </row>
    <row r="523">
      <c r="B523" s="69" t="inlineStr">
        <is>
          <t>Total increase (decrease) in Other intangible assets</t>
        </is>
      </c>
      <c r="C523" s="55" t="inlineStr">
        <is>
          <t>ChangesInOtherIntangibleAssets</t>
        </is>
      </c>
      <c r="D523" s="58" t="n">
        <v>-172000000</v>
      </c>
      <c r="E523" s="58" t="n">
        <v>-67000000</v>
      </c>
      <c r="F523" s="58" t="n">
        <v>16000000</v>
      </c>
      <c r="G523" s="58" t="n">
        <v>23000000</v>
      </c>
      <c r="H523" s="58" t="n">
        <v>340000000</v>
      </c>
      <c r="I523" s="58" t="n">
        <v>358000000</v>
      </c>
    </row>
    <row r="524">
      <c r="B524" s="64" t="inlineStr">
        <is>
          <t>Other intangible assets at end of period</t>
        </is>
      </c>
      <c r="C524" s="55" t="inlineStr">
        <is>
          <t>OtherIntangibleAssets</t>
        </is>
      </c>
      <c r="D524" s="56" t="n">
        <v>382000000</v>
      </c>
      <c r="E524" s="56" t="n">
        <v>315000000</v>
      </c>
      <c r="F524" s="56" t="n">
        <v>331000000</v>
      </c>
      <c r="G524" s="56" t="n">
        <v>354000000</v>
      </c>
      <c r="H524" s="56" t="n">
        <v>694000000</v>
      </c>
      <c r="I524" s="56" t="n">
        <v>1052000000</v>
      </c>
    </row>
    <row r="527" ht="15.5" customHeight="1" s="203">
      <c r="A527" t="inlineStr">
        <is>
          <t>#</t>
        </is>
      </c>
      <c r="B527" s="38" t="inlineStr">
        <is>
          <t>Notes to Balance Sheet: Other Provisions Contingent Liabilities And Contingent Assets</t>
        </is>
      </c>
    </row>
    <row r="529">
      <c r="C529" s="53" t="inlineStr">
        <is>
          <t>Concept Tag</t>
        </is>
      </c>
      <c r="D529" s="20" t="inlineStr">
        <is>
          <t>FY2017</t>
        </is>
      </c>
      <c r="E529" s="20" t="inlineStr">
        <is>
          <t>FY2018</t>
        </is>
      </c>
      <c r="F529" s="20" t="inlineStr">
        <is>
          <t>FY2019</t>
        </is>
      </c>
      <c r="G529" s="20" t="inlineStr">
        <is>
          <t>FY2020</t>
        </is>
      </c>
      <c r="H529" s="20" t="inlineStr">
        <is>
          <t>FY2021</t>
        </is>
      </c>
      <c r="I529" s="20" t="inlineStr">
        <is>
          <t>FY2022</t>
        </is>
      </c>
    </row>
    <row r="530">
      <c r="B530" s="59" t="inlineStr">
        <is>
          <t>Disclosure of other provisions [Abstract]</t>
        </is>
      </c>
    </row>
    <row r="531">
      <c r="B531" s="60" t="inlineStr">
        <is>
          <t>Disclosure of other provisions [Line items]</t>
        </is>
      </c>
    </row>
    <row r="532">
      <c r="B532" s="63" t="inlineStr">
        <is>
          <t>Reconciliation of changes in other provisions [Abstract]</t>
        </is>
      </c>
    </row>
    <row r="533">
      <c r="B533" s="64" t="inlineStr">
        <is>
          <t>Other provisions at end of period</t>
        </is>
      </c>
      <c r="C533" s="55" t="inlineStr">
        <is>
          <t>OtherProvisions</t>
        </is>
      </c>
      <c r="D533" s="56" t="n">
        <v>0</v>
      </c>
      <c r="E533" s="56" t="n">
        <v>111000000</v>
      </c>
      <c r="F533" s="56" t="n">
        <v>111000000</v>
      </c>
      <c r="G533" s="56" t="n">
        <v>111000000</v>
      </c>
      <c r="H533" s="56" t="n">
        <v>110000000</v>
      </c>
      <c r="I533" s="56" t="n">
        <v>111000000</v>
      </c>
    </row>
    <row r="534">
      <c r="B534" s="68" t="inlineStr">
        <is>
          <t>Changes in other provisions [Abstract]</t>
        </is>
      </c>
    </row>
    <row r="535">
      <c r="B535" s="71" t="inlineStr">
        <is>
          <t>Provision used, other provisions</t>
        </is>
      </c>
      <c r="C535" s="55" t="inlineStr">
        <is>
          <t>ProvisionUsedOtherProvisions</t>
        </is>
      </c>
      <c r="D535" s="56" t="n">
        <v>0</v>
      </c>
      <c r="E535" s="56" t="n">
        <v>0</v>
      </c>
      <c r="F535" s="56" t="n">
        <v>0</v>
      </c>
      <c r="G535" s="56" t="n">
        <v>0</v>
      </c>
      <c r="H535" s="56" t="n">
        <v>1000000</v>
      </c>
      <c r="I535" s="56" t="n">
        <v>-1000000</v>
      </c>
    </row>
    <row r="536">
      <c r="B536" s="69" t="inlineStr">
        <is>
          <t>Total changes in other provisions</t>
        </is>
      </c>
      <c r="C536" s="55" t="inlineStr">
        <is>
          <t>ChangesInOtherProvisions</t>
        </is>
      </c>
      <c r="D536" s="58" t="n">
        <v>0</v>
      </c>
      <c r="E536" s="58" t="n">
        <v>0</v>
      </c>
      <c r="F536" s="58" t="n">
        <v>0</v>
      </c>
      <c r="G536" s="58" t="n">
        <v>0</v>
      </c>
      <c r="H536" s="58" t="n">
        <v>-1000000</v>
      </c>
      <c r="I536" s="58" t="n">
        <v>1000000</v>
      </c>
    </row>
    <row r="537">
      <c r="B537" s="64" t="inlineStr">
        <is>
          <t>Other provisions at end of period</t>
        </is>
      </c>
      <c r="C537" s="55" t="inlineStr">
        <is>
          <t>OtherProvisions</t>
        </is>
      </c>
      <c r="D537" s="56" t="n">
        <v>0</v>
      </c>
      <c r="E537" s="56" t="n">
        <v>111000000</v>
      </c>
      <c r="F537" s="56" t="n">
        <v>111000000</v>
      </c>
      <c r="G537" s="56" t="n">
        <v>111000000</v>
      </c>
      <c r="H537" s="56" t="n">
        <v>110000000</v>
      </c>
      <c r="I537" s="56" t="n">
        <v>111000000</v>
      </c>
    </row>
    <row r="538">
      <c r="B538" s="59" t="inlineStr">
        <is>
          <t>Disclosure of contingent liabilities [Abstract]</t>
        </is>
      </c>
    </row>
    <row r="539">
      <c r="B539" s="60" t="inlineStr">
        <is>
          <t>Disclosure of contingent liabilities [Line items]</t>
        </is>
      </c>
    </row>
    <row r="540">
      <c r="B540" s="61" t="inlineStr">
        <is>
          <t>Estimated financial effect of contingent liabilities</t>
        </is>
      </c>
      <c r="C540" s="55" t="inlineStr">
        <is>
          <t>EstimatedFinancialEffectOfContingentLiabilities</t>
        </is>
      </c>
      <c r="D540" s="56" t="n">
        <v>5778000000</v>
      </c>
      <c r="E540" s="56" t="n">
        <v>5939000000</v>
      </c>
      <c r="F540" s="56" t="n">
        <v>6112000000</v>
      </c>
      <c r="G540" s="56" t="n">
        <v>6761000000</v>
      </c>
      <c r="H540" s="56" t="n">
        <v>3791000000</v>
      </c>
      <c r="I540" s="56" t="n">
        <v>3803000000</v>
      </c>
    </row>
    <row r="543" ht="15.5" customHeight="1" s="203">
      <c r="A543" t="inlineStr">
        <is>
          <t>#</t>
        </is>
      </c>
      <c r="B543" s="38" t="inlineStr">
        <is>
          <t>Notes to Balance Sheet: Property Plant And Equipment</t>
        </is>
      </c>
    </row>
    <row r="545">
      <c r="C545" s="53" t="inlineStr">
        <is>
          <t>Concept Tag</t>
        </is>
      </c>
      <c r="D545" s="20" t="inlineStr">
        <is>
          <t>FY2017</t>
        </is>
      </c>
      <c r="E545" s="20" t="inlineStr">
        <is>
          <t>FY2018</t>
        </is>
      </c>
      <c r="F545" s="20" t="inlineStr">
        <is>
          <t>FY2019</t>
        </is>
      </c>
      <c r="G545" s="20" t="inlineStr">
        <is>
          <t>FY2020</t>
        </is>
      </c>
      <c r="H545" s="20" t="inlineStr">
        <is>
          <t>FY2021</t>
        </is>
      </c>
      <c r="I545" s="20" t="inlineStr">
        <is>
          <t>FY2022</t>
        </is>
      </c>
    </row>
    <row r="546">
      <c r="B546" s="59" t="inlineStr">
        <is>
          <t>Disclosure of detailed information about property, plant and equipment [Abstract]</t>
        </is>
      </c>
    </row>
    <row r="547">
      <c r="B547" s="60" t="inlineStr">
        <is>
          <t>Disclosure of detailed information about property, plant and equipment [Line items]</t>
        </is>
      </c>
    </row>
    <row r="548">
      <c r="B548" s="63" t="inlineStr">
        <is>
          <t>Reconciliation of changes in property, plant and equipment [Abstract]</t>
        </is>
      </c>
    </row>
    <row r="549">
      <c r="B549" s="64" t="inlineStr">
        <is>
          <t>Property, plant and equipment at end of period</t>
        </is>
      </c>
      <c r="C549" s="55" t="inlineStr">
        <is>
          <t>PropertyPlantAndEquipment</t>
        </is>
      </c>
      <c r="D549" s="56" t="n">
        <v>2477000000</v>
      </c>
      <c r="E549" s="56" t="n">
        <v>2412000000</v>
      </c>
      <c r="F549" s="56" t="n">
        <v>2816000000</v>
      </c>
      <c r="G549" s="56" t="n">
        <v>3809000000</v>
      </c>
      <c r="H549" s="56" t="n">
        <v>3671000000</v>
      </c>
      <c r="I549" s="56" t="n">
        <v>10673000000</v>
      </c>
    </row>
    <row r="550">
      <c r="B550" s="68" t="inlineStr">
        <is>
          <t>Changes in property, plant and equipment [Abstract]</t>
        </is>
      </c>
    </row>
    <row r="551">
      <c r="B551" s="71" t="inlineStr">
        <is>
          <t>Additions other than through business combinations, property, plant and equipment</t>
        </is>
      </c>
      <c r="C551" s="55" t="inlineStr">
        <is>
          <t>AdditionsOtherThanThroughBusinessCombinationsPropertyPlantAndEquipment</t>
        </is>
      </c>
      <c r="D551" s="56" t="n">
        <v>527000000</v>
      </c>
      <c r="E551" s="56" t="n">
        <v>620000000</v>
      </c>
      <c r="F551" s="56" t="n">
        <v>1110000000</v>
      </c>
      <c r="G551" s="56" t="n">
        <v>1840000000</v>
      </c>
      <c r="H551" s="56" t="n">
        <v>1126000000</v>
      </c>
      <c r="I551" s="56" t="n">
        <v>3665000000</v>
      </c>
    </row>
    <row r="552">
      <c r="B552" s="71" t="inlineStr">
        <is>
          <t>Acquisitions through business combinations, property, plant and equipment</t>
        </is>
      </c>
      <c r="C552" s="55" t="inlineStr">
        <is>
          <t>AcquisitionsThroughBusinessCombinationsPropertyPlantAndEquipment</t>
        </is>
      </c>
      <c r="D552" s="56" t="n">
        <v>0</v>
      </c>
      <c r="E552" s="56" t="n">
        <v>1000000</v>
      </c>
      <c r="F552" s="56" t="n">
        <v>0</v>
      </c>
      <c r="G552" s="56" t="n">
        <v>0</v>
      </c>
      <c r="H552" s="56" t="n">
        <v>0</v>
      </c>
      <c r="I552" s="56" t="n">
        <v>0</v>
      </c>
    </row>
    <row r="553">
      <c r="B553" s="72" t="inlineStr">
        <is>
          <t>Depreciation, property, plant and equipment [Abstract]</t>
        </is>
      </c>
    </row>
    <row r="554">
      <c r="B554" s="73" t="inlineStr">
        <is>
          <t>Depreciation recognised in profit or loss</t>
        </is>
      </c>
      <c r="C554" s="55" t="inlineStr">
        <is>
          <t>AmortisationOfRightOfUseAssets</t>
        </is>
      </c>
      <c r="D554" s="56" t="n">
        <v>-648000000</v>
      </c>
      <c r="E554" s="56" t="n">
        <v>-647000000</v>
      </c>
      <c r="F554" s="56" t="n">
        <v>-664000000</v>
      </c>
      <c r="G554" s="56" t="n">
        <v>-808000000</v>
      </c>
      <c r="H554" s="56" t="n">
        <v>-1234000000</v>
      </c>
      <c r="I554" s="56" t="n">
        <v>-1243000000</v>
      </c>
    </row>
    <row r="555">
      <c r="B555" s="74" t="inlineStr">
        <is>
          <t>Total Depreciation property plant and equipment</t>
        </is>
      </c>
      <c r="C555" s="55" t="inlineStr">
        <is>
          <t>DepreciationPropertyPlantAndEquipment</t>
        </is>
      </c>
      <c r="D555" s="58" t="n">
        <v>-648000000</v>
      </c>
      <c r="E555" s="58" t="n">
        <v>-647000000</v>
      </c>
      <c r="F555" s="58" t="n">
        <v>-664000000</v>
      </c>
      <c r="G555" s="58" t="n">
        <v>-808000000</v>
      </c>
      <c r="H555" s="58" t="n">
        <v>-1234000000</v>
      </c>
      <c r="I555" s="58" t="n">
        <v>-1243000000</v>
      </c>
    </row>
    <row r="556">
      <c r="B556" s="72" t="inlineStr">
        <is>
          <t>Increase (decrease) through transfers and other changes, property, plant and equipment [Abstract]</t>
        </is>
      </c>
    </row>
    <row r="557">
      <c r="B557" s="73" t="inlineStr">
        <is>
          <t>Increase (decrease) through other changes, property, plant and equipment</t>
        </is>
      </c>
      <c r="C557" s="55" t="inlineStr">
        <is>
          <t>IncreaseDecreaseThroughOtherChangesPropertyPlantAndEquipment</t>
        </is>
      </c>
      <c r="D557" s="56" t="n">
        <v>0</v>
      </c>
      <c r="E557" s="56" t="n">
        <v>-1000000</v>
      </c>
      <c r="F557" s="56" t="n">
        <v>-1000000</v>
      </c>
      <c r="G557" s="56" t="n">
        <v>0</v>
      </c>
      <c r="H557" s="56" t="n">
        <v>0</v>
      </c>
      <c r="I557" s="56" t="n">
        <v>-1176000000</v>
      </c>
    </row>
    <row r="558">
      <c r="B558" s="74" t="inlineStr">
        <is>
          <t>Total increase (decrease) through transfers and other changes, property, plant and equipment</t>
        </is>
      </c>
      <c r="C558" s="55" t="inlineStr">
        <is>
          <t>IncreaseDecreaseThroughTransfersAndOtherChangesPropertyPlantAndEquipment</t>
        </is>
      </c>
      <c r="D558" s="58" t="n">
        <v>0</v>
      </c>
      <c r="E558" s="58" t="n">
        <v>-1000000</v>
      </c>
      <c r="F558" s="58" t="n">
        <v>-1000000</v>
      </c>
      <c r="G558" s="58" t="n">
        <v>0</v>
      </c>
      <c r="H558" s="58" t="n">
        <v>0</v>
      </c>
      <c r="I558" s="58" t="n">
        <v>-1176000000</v>
      </c>
    </row>
    <row r="559">
      <c r="B559" s="72" t="inlineStr">
        <is>
          <t>Disposals and retirements, property, plant and equipment [Abstract]</t>
        </is>
      </c>
    </row>
    <row r="560">
      <c r="B560" s="73" t="inlineStr">
        <is>
          <t>Disposals, property, plant and equipment</t>
        </is>
      </c>
      <c r="C560" s="55" t="inlineStr">
        <is>
          <t>DisposalsPropertyPlantAndEquipment</t>
        </is>
      </c>
      <c r="D560" s="56" t="n">
        <v>52000000</v>
      </c>
      <c r="E560" s="56" t="n">
        <v>38000000</v>
      </c>
      <c r="F560" s="56" t="n">
        <v>41000000</v>
      </c>
      <c r="G560" s="56" t="n">
        <v>39000000</v>
      </c>
      <c r="H560" s="56" t="n">
        <v>30000000</v>
      </c>
      <c r="I560" s="56" t="n">
        <v>184000000</v>
      </c>
    </row>
    <row r="561">
      <c r="B561" s="74" t="inlineStr">
        <is>
          <t>Total disposals and retirements, property, plant and equipment</t>
        </is>
      </c>
      <c r="C561" s="55" t="inlineStr">
        <is>
          <t>DisposalsAndRetirementsPropertyPlantAndEquipment</t>
        </is>
      </c>
      <c r="D561" s="58" t="n">
        <v>52000000</v>
      </c>
      <c r="E561" s="58" t="n">
        <v>38000000</v>
      </c>
      <c r="F561" s="58" t="n">
        <v>41000000</v>
      </c>
      <c r="G561" s="58" t="n">
        <v>39000000</v>
      </c>
      <c r="H561" s="58" t="n">
        <v>30000000</v>
      </c>
      <c r="I561" s="58" t="n">
        <v>184000000</v>
      </c>
    </row>
    <row r="562">
      <c r="B562" s="69" t="inlineStr">
        <is>
          <t>Total increase (decrease) in property, plant and equipment</t>
        </is>
      </c>
      <c r="C562" s="55" t="inlineStr">
        <is>
          <t>ChangesInPropertyPlantAndEquipment</t>
        </is>
      </c>
      <c r="D562" s="58" t="n">
        <v>-173000000</v>
      </c>
      <c r="E562" s="58" t="n">
        <v>-65000000</v>
      </c>
      <c r="F562" s="58" t="n">
        <v>404000000</v>
      </c>
      <c r="G562" s="58" t="n">
        <v>993000000</v>
      </c>
      <c r="H562" s="58" t="n">
        <v>-138000000</v>
      </c>
      <c r="I562" s="58" t="n">
        <v>1062000000</v>
      </c>
    </row>
    <row r="563">
      <c r="B563" s="64" t="inlineStr">
        <is>
          <t>Property, plant and equipment at end of period</t>
        </is>
      </c>
      <c r="C563" s="55" t="inlineStr">
        <is>
          <t>PropertyPlantAndEquipment</t>
        </is>
      </c>
      <c r="D563" s="56" t="n">
        <v>2477000000</v>
      </c>
      <c r="E563" s="56" t="n">
        <v>2412000000</v>
      </c>
      <c r="F563" s="56" t="n">
        <v>2816000000</v>
      </c>
      <c r="G563" s="56" t="n">
        <v>3809000000</v>
      </c>
      <c r="H563" s="56" t="n">
        <v>3671000000</v>
      </c>
      <c r="I563" s="56" t="n">
        <v>10673000000</v>
      </c>
    </row>
    <row r="566" ht="15.5" customHeight="1" s="203">
      <c r="A566" t="inlineStr">
        <is>
          <t>#</t>
        </is>
      </c>
      <c r="B566" s="38" t="inlineStr">
        <is>
          <t>Notes to Balance Sheet: Subclassification And Notes On Liabilities And Assets</t>
        </is>
      </c>
    </row>
    <row r="568">
      <c r="C568" s="53" t="inlineStr">
        <is>
          <t>Concept Tag</t>
        </is>
      </c>
      <c r="D568" s="20" t="inlineStr">
        <is>
          <t>FY2017</t>
        </is>
      </c>
      <c r="E568" s="20" t="inlineStr">
        <is>
          <t>FY2018</t>
        </is>
      </c>
      <c r="F568" s="20" t="inlineStr">
        <is>
          <t>FY2019</t>
        </is>
      </c>
      <c r="G568" s="20" t="inlineStr">
        <is>
          <t>FY2020</t>
        </is>
      </c>
      <c r="H568" s="20" t="inlineStr">
        <is>
          <t>FY2021</t>
        </is>
      </c>
      <c r="I568" s="20" t="inlineStr">
        <is>
          <t>FY2022</t>
        </is>
      </c>
    </row>
    <row r="569" ht="15.5" customHeight="1" s="203">
      <c r="B569" s="38" t="inlineStr">
        <is>
          <t>Subclassification and notes on liabilities and assets [Abstract]</t>
        </is>
      </c>
    </row>
    <row r="570">
      <c r="B570" s="59" t="inlineStr">
        <is>
          <t>Disclosure of notes on trade receivables [Abstract]</t>
        </is>
      </c>
    </row>
    <row r="571">
      <c r="B571" s="60" t="inlineStr">
        <is>
          <t>Subclassification of trade receivables [Abstract]</t>
        </is>
      </c>
    </row>
    <row r="572">
      <c r="B572" s="63" t="inlineStr">
        <is>
          <t>Subclassification of trade receivables [Line items]</t>
        </is>
      </c>
    </row>
    <row r="573">
      <c r="B573" s="68" t="inlineStr">
        <is>
          <t>Breakup of trade receivables [Abstract]</t>
        </is>
      </c>
    </row>
    <row r="574">
      <c r="B574" s="71" t="inlineStr">
        <is>
          <t>Trade receivables, gross</t>
        </is>
      </c>
      <c r="C574" s="55" t="inlineStr">
        <is>
          <t>TradeReceivablesGross</t>
        </is>
      </c>
      <c r="D574" s="56" t="n">
        <v>0</v>
      </c>
      <c r="E574" s="56" t="n">
        <v>0</v>
      </c>
      <c r="F574" s="56" t="n">
        <v>0</v>
      </c>
      <c r="G574" s="56" t="n">
        <v>0</v>
      </c>
      <c r="H574" s="56" t="n">
        <v>0</v>
      </c>
      <c r="I574" s="56" t="n">
        <v>26693000000</v>
      </c>
    </row>
    <row r="575">
      <c r="B575" s="71" t="inlineStr">
        <is>
          <t>Allowance for bad and doubtful debts</t>
        </is>
      </c>
      <c r="C575" s="55" t="inlineStr">
        <is>
          <t>AllowanceForBadAndDoubtfulDebts</t>
        </is>
      </c>
      <c r="D575" s="56" t="n">
        <v>0</v>
      </c>
      <c r="E575" s="56" t="n">
        <v>0</v>
      </c>
      <c r="F575" s="56" t="n">
        <v>0</v>
      </c>
      <c r="G575" s="56" t="n">
        <v>0</v>
      </c>
      <c r="H575" s="56" t="n">
        <v>0</v>
      </c>
      <c r="I575" s="56" t="n">
        <v>656000000</v>
      </c>
    </row>
    <row r="576">
      <c r="B576" s="69" t="inlineStr">
        <is>
          <t>Total trade receivables</t>
        </is>
      </c>
      <c r="C576" s="55" t="inlineStr">
        <is>
          <t>TradeReceivables</t>
        </is>
      </c>
      <c r="D576" s="58" t="n">
        <v>0</v>
      </c>
      <c r="E576" s="58" t="n">
        <v>0</v>
      </c>
      <c r="F576" s="58" t="n">
        <v>0</v>
      </c>
      <c r="G576" s="58" t="n">
        <v>0</v>
      </c>
      <c r="H576" s="58" t="n">
        <v>0</v>
      </c>
      <c r="I576" s="58" t="n">
        <v>26037000000</v>
      </c>
    </row>
    <row r="577">
      <c r="B577" s="60" t="inlineStr">
        <is>
          <t>Details of trade receivables ageing schedule [Abstract]</t>
        </is>
      </c>
    </row>
    <row r="578">
      <c r="B578" s="63" t="inlineStr">
        <is>
          <t>Details of trade receivables ageing schedule [Line Items]</t>
        </is>
      </c>
    </row>
    <row r="579">
      <c r="B579" s="66" t="inlineStr">
        <is>
          <t>Total trade receivables</t>
        </is>
      </c>
      <c r="C579" s="55" t="inlineStr">
        <is>
          <t>TradeReceivables</t>
        </is>
      </c>
      <c r="D579" s="58" t="n">
        <v>0</v>
      </c>
      <c r="E579" s="58" t="n">
        <v>0</v>
      </c>
      <c r="F579" s="58" t="n">
        <v>0</v>
      </c>
      <c r="G579" s="58" t="n">
        <v>0</v>
      </c>
      <c r="H579" s="58" t="n">
        <v>0</v>
      </c>
      <c r="I579" s="58" t="n">
        <v>26037000000</v>
      </c>
    </row>
    <row r="580">
      <c r="B580" s="59" t="inlineStr">
        <is>
          <t>Other non-current financial assets notes [Abstract]</t>
        </is>
      </c>
    </row>
    <row r="581">
      <c r="B581" s="60" t="inlineStr">
        <is>
          <t>Other non-current financial assets [Abstract]</t>
        </is>
      </c>
    </row>
    <row r="582">
      <c r="B582" s="61" t="inlineStr">
        <is>
          <t>Derivative assets</t>
        </is>
      </c>
      <c r="C582" s="55" t="inlineStr">
        <is>
          <t>DerivativeAssets</t>
        </is>
      </c>
      <c r="D582" s="56" t="n">
        <v>0</v>
      </c>
      <c r="E582" s="56" t="n">
        <v>0</v>
      </c>
      <c r="F582" s="56" t="n">
        <v>1606000000</v>
      </c>
      <c r="G582" s="56" t="n">
        <v>100000000</v>
      </c>
      <c r="H582" s="56" t="n">
        <v>1440000000</v>
      </c>
      <c r="I582" s="56" t="n">
        <v>1922000000</v>
      </c>
    </row>
    <row r="583">
      <c r="B583" s="61" t="inlineStr">
        <is>
          <t>Other non-current financial assets, others</t>
        </is>
      </c>
      <c r="C583" s="55" t="inlineStr">
        <is>
          <t>OtherNoncurrentFinancialAssetsOthers</t>
        </is>
      </c>
      <c r="D583" s="56" t="n">
        <v>2177000000</v>
      </c>
      <c r="E583" s="56" t="n">
        <v>721000000</v>
      </c>
      <c r="F583" s="56" t="n">
        <v>0</v>
      </c>
      <c r="G583" s="56" t="n">
        <v>18000000</v>
      </c>
      <c r="H583" s="56" t="n">
        <v>155000000</v>
      </c>
      <c r="I583" s="56" t="n">
        <v>945000000</v>
      </c>
    </row>
    <row r="584">
      <c r="B584" s="65" t="inlineStr">
        <is>
          <t>Total other non-current financial assets</t>
        </is>
      </c>
      <c r="C584" s="55" t="inlineStr">
        <is>
          <t>OtherNoncurrentFinancialAssets</t>
        </is>
      </c>
      <c r="D584" s="58" t="n">
        <v>2177000000</v>
      </c>
      <c r="E584" s="58" t="n">
        <v>721000000</v>
      </c>
      <c r="F584" s="58" t="n">
        <v>1606000000</v>
      </c>
      <c r="G584" s="58" t="n">
        <v>118000000</v>
      </c>
      <c r="H584" s="58" t="n">
        <v>1595000000</v>
      </c>
      <c r="I584" s="58" t="n">
        <v>2867000000</v>
      </c>
    </row>
    <row r="585">
      <c r="B585" s="63" t="inlineStr">
        <is>
          <t>Other non-current financial assets, others [Abstract]</t>
        </is>
      </c>
    </row>
    <row r="586">
      <c r="B586" s="68" t="inlineStr">
        <is>
          <t>Other non-current financial assets, others [Line items]</t>
        </is>
      </c>
    </row>
    <row r="587">
      <c r="B587" s="71" t="inlineStr">
        <is>
          <t>Other non-current financial assets, others</t>
        </is>
      </c>
      <c r="C587" s="55" t="inlineStr">
        <is>
          <t>OtherNoncurrentFinancialAssetsOthers</t>
        </is>
      </c>
      <c r="D587" s="56" t="n">
        <v>2177000000</v>
      </c>
      <c r="E587" s="56" t="n">
        <v>721000000</v>
      </c>
      <c r="F587" s="56" t="n">
        <v>0</v>
      </c>
      <c r="G587" s="56" t="n">
        <v>18000000</v>
      </c>
      <c r="H587" s="56" t="n">
        <v>155000000</v>
      </c>
      <c r="I587" s="56" t="n">
        <v>945000000</v>
      </c>
    </row>
    <row r="588">
      <c r="B588" s="59" t="inlineStr">
        <is>
          <t>Other non-current assets notes [Abstract]</t>
        </is>
      </c>
    </row>
    <row r="589">
      <c r="B589" s="60" t="inlineStr">
        <is>
          <t>Other non-current assets [Abstract]</t>
        </is>
      </c>
    </row>
    <row r="590">
      <c r="B590" s="61" t="inlineStr">
        <is>
          <t>Advances, non-current</t>
        </is>
      </c>
      <c r="C590" s="55" t="inlineStr">
        <is>
          <t>NoncurrentAdvances</t>
        </is>
      </c>
      <c r="D590" s="56" t="n">
        <v>1273000000</v>
      </c>
      <c r="E590" s="56" t="n">
        <v>1020000000</v>
      </c>
      <c r="F590" s="56" t="n">
        <v>1482000000</v>
      </c>
      <c r="G590" s="56" t="n">
        <v>1303000000</v>
      </c>
      <c r="H590" s="56" t="n">
        <v>1565000000</v>
      </c>
      <c r="I590" s="56" t="n">
        <v>2493000000</v>
      </c>
    </row>
    <row r="591">
      <c r="B591" s="61" t="inlineStr">
        <is>
          <t>Other non-current assets, others</t>
        </is>
      </c>
      <c r="C591" s="55" t="inlineStr">
        <is>
          <t>OtherNoncurrentAssetsOthers</t>
        </is>
      </c>
      <c r="D591" s="56" t="n">
        <v>0</v>
      </c>
      <c r="E591" s="56" t="n">
        <v>880000000</v>
      </c>
      <c r="F591" s="56" t="n">
        <v>315000000</v>
      </c>
      <c r="G591" s="56" t="n">
        <v>730000000</v>
      </c>
      <c r="H591" s="56" t="n">
        <v>576000000</v>
      </c>
      <c r="I591" s="56" t="n">
        <v>348000000</v>
      </c>
    </row>
    <row r="592">
      <c r="B592" s="65" t="inlineStr">
        <is>
          <t>Total other non-current assets</t>
        </is>
      </c>
      <c r="C592" s="55" t="inlineStr">
        <is>
          <t>OtherNoncurrentAssets</t>
        </is>
      </c>
      <c r="D592" s="58" t="n">
        <v>1273000000</v>
      </c>
      <c r="E592" s="58" t="n">
        <v>1900000000</v>
      </c>
      <c r="F592" s="58" t="n">
        <v>1797000000</v>
      </c>
      <c r="G592" s="58" t="n">
        <v>2033000000</v>
      </c>
      <c r="H592" s="58" t="n">
        <v>2141000000</v>
      </c>
      <c r="I592" s="58" t="n">
        <v>2841000000</v>
      </c>
    </row>
    <row r="593">
      <c r="B593" s="63" t="inlineStr">
        <is>
          <t>Other non-current assets, others [Abstract]</t>
        </is>
      </c>
    </row>
    <row r="594">
      <c r="B594" s="68" t="inlineStr">
        <is>
          <t>Other non-current assets, others [Line items]</t>
        </is>
      </c>
    </row>
    <row r="595">
      <c r="B595" s="71" t="inlineStr">
        <is>
          <t>Other non-current assets, others</t>
        </is>
      </c>
      <c r="C595" s="55" t="inlineStr">
        <is>
          <t>OtherNoncurrentAssetsOthers</t>
        </is>
      </c>
      <c r="D595" s="56" t="n">
        <v>0</v>
      </c>
      <c r="E595" s="56" t="n">
        <v>880000000</v>
      </c>
      <c r="F595" s="56" t="n">
        <v>315000000</v>
      </c>
      <c r="G595" s="56" t="n">
        <v>730000000</v>
      </c>
      <c r="H595" s="56" t="n">
        <v>576000000</v>
      </c>
      <c r="I595" s="56" t="n">
        <v>348000000</v>
      </c>
    </row>
    <row r="596">
      <c r="B596" s="59" t="inlineStr">
        <is>
          <t>Cash and bank balances notes [Abstract]</t>
        </is>
      </c>
    </row>
    <row r="597">
      <c r="B597" s="63" t="inlineStr">
        <is>
          <t>Cash and bank balances [Abstract]</t>
        </is>
      </c>
    </row>
    <row r="598">
      <c r="B598" s="68" t="inlineStr">
        <is>
          <t>Classification of cash and bank balances [Abstract]</t>
        </is>
      </c>
    </row>
    <row r="599">
      <c r="B599" s="72" t="inlineStr">
        <is>
          <t>Cash and cash equivalents [Abstract]</t>
        </is>
      </c>
    </row>
    <row r="600">
      <c r="B600" s="75" t="inlineStr">
        <is>
          <t>Balance with banks [Abstract]</t>
        </is>
      </c>
    </row>
    <row r="601">
      <c r="B601" s="76" t="inlineStr">
        <is>
          <t>Other deposits with banks</t>
        </is>
      </c>
      <c r="C601" s="55" t="inlineStr">
        <is>
          <t>OtherDepositsWithBanks</t>
        </is>
      </c>
      <c r="D601" s="56" t="n">
        <v>159000000</v>
      </c>
      <c r="E601" s="56" t="n">
        <v>0</v>
      </c>
      <c r="F601" s="56" t="n">
        <v>0</v>
      </c>
      <c r="G601" s="56" t="n">
        <v>0</v>
      </c>
      <c r="H601" s="56" t="n">
        <v>0</v>
      </c>
      <c r="I601" s="56" t="n">
        <v>0</v>
      </c>
    </row>
    <row r="602">
      <c r="B602" s="76" t="inlineStr">
        <is>
          <t>Other balances with banks</t>
        </is>
      </c>
      <c r="C602" s="55" t="inlineStr">
        <is>
          <t>OtherBalancesWithBanks</t>
        </is>
      </c>
      <c r="D602" s="56" t="n">
        <v>1145000000</v>
      </c>
      <c r="E602" s="56" t="n">
        <v>1829000000</v>
      </c>
      <c r="F602" s="56" t="n">
        <v>1593000000</v>
      </c>
      <c r="G602" s="56" t="n">
        <v>3605000000</v>
      </c>
      <c r="H602" s="56" t="n">
        <v>3988000000</v>
      </c>
      <c r="I602" s="56" t="n">
        <v>2797000000</v>
      </c>
    </row>
    <row r="603">
      <c r="B603" s="77" t="inlineStr">
        <is>
          <t>Total balance with banks</t>
        </is>
      </c>
      <c r="C603" s="55" t="inlineStr">
        <is>
          <t>BalanceWithBanks</t>
        </is>
      </c>
      <c r="D603" s="58" t="n">
        <v>1304000000</v>
      </c>
      <c r="E603" s="58" t="n">
        <v>1829000000</v>
      </c>
      <c r="F603" s="58" t="n">
        <v>1593000000</v>
      </c>
      <c r="G603" s="58" t="n">
        <v>3605000000</v>
      </c>
      <c r="H603" s="58" t="n">
        <v>3988000000</v>
      </c>
      <c r="I603" s="58" t="n">
        <v>2797000000</v>
      </c>
    </row>
    <row r="604">
      <c r="B604" s="73" t="inlineStr">
        <is>
          <t>Cheques, drafts on hand</t>
        </is>
      </c>
      <c r="C604" s="55" t="inlineStr">
        <is>
          <t>ChequesDraftsOnHand</t>
        </is>
      </c>
      <c r="D604" s="56" t="n">
        <v>0</v>
      </c>
      <c r="E604" s="56" t="n">
        <v>0</v>
      </c>
      <c r="F604" s="56" t="n">
        <v>538000000</v>
      </c>
      <c r="G604" s="56" t="n">
        <v>0</v>
      </c>
      <c r="H604" s="56" t="n">
        <v>0</v>
      </c>
      <c r="I604" s="56" t="n">
        <v>0</v>
      </c>
    </row>
    <row r="605">
      <c r="B605" s="73" t="inlineStr">
        <is>
          <t>Others</t>
        </is>
      </c>
      <c r="C605" s="55" t="inlineStr">
        <is>
          <t>Others</t>
        </is>
      </c>
      <c r="D605" s="56" t="n">
        <v>568000000</v>
      </c>
      <c r="E605" s="56" t="n">
        <v>650000000</v>
      </c>
      <c r="F605" s="56" t="n">
        <v>0</v>
      </c>
      <c r="G605" s="56" t="n">
        <v>0</v>
      </c>
      <c r="H605" s="56" t="n">
        <v>0</v>
      </c>
      <c r="I605" s="56" t="n">
        <v>39000000</v>
      </c>
    </row>
    <row r="606">
      <c r="B606" s="74" t="inlineStr">
        <is>
          <t>Cash and cash equivalents at end of period</t>
        </is>
      </c>
      <c r="C606" s="55" t="inlineStr">
        <is>
          <t>CashAndCashEquivalents</t>
        </is>
      </c>
      <c r="D606" s="58" t="n">
        <v>1872000000</v>
      </c>
      <c r="E606" s="58" t="n">
        <v>2479000000</v>
      </c>
      <c r="F606" s="58" t="n">
        <v>2131000000</v>
      </c>
      <c r="G606" s="58" t="n">
        <v>3605000000</v>
      </c>
      <c r="H606" s="58" t="n">
        <v>3988000000</v>
      </c>
      <c r="I606" s="58" t="n">
        <v>2836000000</v>
      </c>
    </row>
    <row r="607">
      <c r="B607" s="71" t="inlineStr">
        <is>
          <t>Bank balance other than cash and cash equivalents</t>
        </is>
      </c>
      <c r="C607" s="55" t="inlineStr">
        <is>
          <t>BankBalanceOtherThanCashAndCashEquivalents</t>
        </is>
      </c>
      <c r="D607" s="56" t="n">
        <v>34000000</v>
      </c>
      <c r="E607" s="56" t="n">
        <v>19000000</v>
      </c>
      <c r="F607" s="56" t="n">
        <v>23000000</v>
      </c>
      <c r="G607" s="56" t="n">
        <v>109000000</v>
      </c>
      <c r="H607" s="56" t="n">
        <v>23000000</v>
      </c>
      <c r="I607" s="56" t="n">
        <v>3763000000</v>
      </c>
    </row>
    <row r="608">
      <c r="B608" s="69" t="inlineStr">
        <is>
          <t>Total cash and bank balances</t>
        </is>
      </c>
      <c r="C608" s="55" t="inlineStr">
        <is>
          <t>CashAndBankBalances</t>
        </is>
      </c>
      <c r="D608" s="58" t="n">
        <v>1906000000</v>
      </c>
      <c r="E608" s="58" t="n">
        <v>2498000000</v>
      </c>
      <c r="F608" s="58" t="n">
        <v>2154000000</v>
      </c>
      <c r="G608" s="58" t="n">
        <v>3714000000</v>
      </c>
      <c r="H608" s="58" t="n">
        <v>4011000000</v>
      </c>
      <c r="I608" s="58" t="n">
        <v>6599000000</v>
      </c>
    </row>
    <row r="609">
      <c r="B609" s="64" t="inlineStr">
        <is>
          <t>Earmarked balances with banks</t>
        </is>
      </c>
      <c r="C609" s="55" t="inlineStr">
        <is>
          <t>EarmarkedBalancesWithBanks</t>
        </is>
      </c>
      <c r="D609" s="56" t="n">
        <v>3000000</v>
      </c>
      <c r="E609" s="56" t="n">
        <v>4000000</v>
      </c>
      <c r="F609" s="56" t="n">
        <v>8000000</v>
      </c>
      <c r="G609" s="56" t="n">
        <v>7000000</v>
      </c>
      <c r="H609" s="56" t="n">
        <v>9000000</v>
      </c>
      <c r="I609" s="56" t="n">
        <v>12000000</v>
      </c>
    </row>
    <row r="610">
      <c r="B610" s="59" t="inlineStr">
        <is>
          <t>Other current financial assets [Abstract]</t>
        </is>
      </c>
    </row>
    <row r="611">
      <c r="B611" s="62" t="inlineStr">
        <is>
          <t>Derivative financial instruments</t>
        </is>
      </c>
      <c r="C611" s="55" t="inlineStr">
        <is>
          <t>DerivativeFinancialInstruments</t>
        </is>
      </c>
      <c r="D611" s="56" t="n">
        <v>0</v>
      </c>
      <c r="E611" s="56" t="n">
        <v>0</v>
      </c>
      <c r="F611" s="56" t="n">
        <v>1378000000</v>
      </c>
      <c r="G611" s="56" t="n">
        <v>236000000</v>
      </c>
      <c r="H611" s="56" t="n">
        <v>1497000000</v>
      </c>
      <c r="I611" s="56" t="n">
        <v>1944000000</v>
      </c>
    </row>
    <row r="612">
      <c r="B612" s="62" t="inlineStr">
        <is>
          <t>Unbilled revenue</t>
        </is>
      </c>
      <c r="C612" s="55" t="inlineStr">
        <is>
          <t>UnbilledRevenue</t>
        </is>
      </c>
      <c r="D612" s="56" t="n">
        <v>4668000000</v>
      </c>
      <c r="E612" s="56" t="n">
        <v>8191000000</v>
      </c>
      <c r="F612" s="56" t="n">
        <v>5450000000</v>
      </c>
      <c r="G612" s="56" t="n">
        <v>4151000000</v>
      </c>
      <c r="H612" s="56" t="n">
        <v>5267000000</v>
      </c>
      <c r="I612" s="56" t="n">
        <v>8113000000</v>
      </c>
    </row>
    <row r="613">
      <c r="B613" s="62" t="inlineStr">
        <is>
          <t>Security deposits</t>
        </is>
      </c>
      <c r="C613" s="55" t="inlineStr">
        <is>
          <t>SecurityDeposits</t>
        </is>
      </c>
      <c r="D613" s="56" t="n">
        <v>154000000</v>
      </c>
      <c r="E613" s="56" t="n">
        <v>0</v>
      </c>
      <c r="F613" s="56" t="n">
        <v>0</v>
      </c>
      <c r="G613" s="56" t="n">
        <v>0</v>
      </c>
      <c r="H613" s="56" t="n">
        <v>0</v>
      </c>
      <c r="I613" s="56" t="n">
        <v>0</v>
      </c>
    </row>
    <row r="614">
      <c r="B614" s="62" t="inlineStr">
        <is>
          <t>Other current financial assets others</t>
        </is>
      </c>
      <c r="C614" s="55" t="inlineStr">
        <is>
          <t>OtherCurrentFinancialAssetsOthers</t>
        </is>
      </c>
      <c r="D614" s="56" t="n">
        <v>2512000000</v>
      </c>
      <c r="E614" s="56" t="n">
        <v>1966000000</v>
      </c>
      <c r="F614" s="56" t="n">
        <v>291000000</v>
      </c>
      <c r="G614" s="56" t="n">
        <v>1339000000</v>
      </c>
      <c r="H614" s="56" t="n">
        <v>345000000</v>
      </c>
      <c r="I614" s="56" t="n">
        <v>828000000</v>
      </c>
    </row>
    <row r="615">
      <c r="B615" s="67" t="inlineStr">
        <is>
          <t>Total other current financial assets</t>
        </is>
      </c>
      <c r="C615" s="55" t="inlineStr">
        <is>
          <t>OtherCurrentFinancialAssets</t>
        </is>
      </c>
      <c r="D615" s="58" t="n">
        <v>7334000000</v>
      </c>
      <c r="E615" s="58" t="n">
        <v>10157000000</v>
      </c>
      <c r="F615" s="58" t="n">
        <v>7119000000</v>
      </c>
      <c r="G615" s="58" t="n">
        <v>5726000000</v>
      </c>
      <c r="H615" s="58" t="n">
        <v>7109000000</v>
      </c>
      <c r="I615" s="58" t="n">
        <v>10885000000</v>
      </c>
    </row>
    <row r="616">
      <c r="B616" s="60" t="inlineStr">
        <is>
          <t>Other current financial assets others [Abstract]</t>
        </is>
      </c>
    </row>
    <row r="617">
      <c r="B617" s="63" t="inlineStr">
        <is>
          <t>Other current financial assets others [Line items]</t>
        </is>
      </c>
    </row>
    <row r="618">
      <c r="B618" s="64" t="inlineStr">
        <is>
          <t>Other current financial assets others</t>
        </is>
      </c>
      <c r="C618" s="55" t="inlineStr">
        <is>
          <t>OtherCurrentFinancialAssetsOthers</t>
        </is>
      </c>
      <c r="D618" s="56" t="n">
        <v>2512000000</v>
      </c>
      <c r="E618" s="56" t="n">
        <v>1966000000</v>
      </c>
      <c r="F618" s="56" t="n">
        <v>291000000</v>
      </c>
      <c r="G618" s="56" t="n">
        <v>1339000000</v>
      </c>
      <c r="H618" s="56" t="n">
        <v>345000000</v>
      </c>
      <c r="I618" s="56" t="n">
        <v>828000000</v>
      </c>
    </row>
    <row r="619">
      <c r="B619" s="59" t="inlineStr">
        <is>
          <t>Other current assets notes [Abstract]</t>
        </is>
      </c>
    </row>
    <row r="620">
      <c r="B620" s="60" t="inlineStr">
        <is>
          <t>Other current assets [Abstract]</t>
        </is>
      </c>
    </row>
    <row r="621">
      <c r="B621" s="61" t="inlineStr">
        <is>
          <t>Advances, current</t>
        </is>
      </c>
      <c r="C621" s="55" t="inlineStr">
        <is>
          <t>CurrentAdvances</t>
        </is>
      </c>
      <c r="D621" s="56" t="n">
        <v>875000000</v>
      </c>
      <c r="E621" s="56" t="n">
        <v>1029000000</v>
      </c>
      <c r="F621" s="56" t="n">
        <v>1081000000</v>
      </c>
      <c r="G621" s="56" t="n">
        <v>1672000000</v>
      </c>
      <c r="H621" s="56" t="n">
        <v>2230000000</v>
      </c>
      <c r="I621" s="56" t="n">
        <v>2677000000</v>
      </c>
    </row>
    <row r="622">
      <c r="B622" s="61" t="inlineStr">
        <is>
          <t>Other current assets, others</t>
        </is>
      </c>
      <c r="C622" s="55" t="inlineStr">
        <is>
          <t>OtherCurrentAssetsOthers</t>
        </is>
      </c>
      <c r="D622" s="56" t="n">
        <v>0</v>
      </c>
      <c r="E622" s="56" t="n">
        <v>0</v>
      </c>
      <c r="F622" s="56" t="n">
        <v>3256000000</v>
      </c>
      <c r="G622" s="56" t="n">
        <v>4631000000</v>
      </c>
      <c r="H622" s="56" t="n">
        <v>5589000000</v>
      </c>
      <c r="I622" s="56" t="n">
        <v>5798000000</v>
      </c>
    </row>
    <row r="623">
      <c r="B623" s="65" t="inlineStr">
        <is>
          <t>Total other current assets</t>
        </is>
      </c>
      <c r="C623" s="55" t="inlineStr">
        <is>
          <t>OtherCurrentAssets</t>
        </is>
      </c>
      <c r="D623" s="58" t="n">
        <v>875000000</v>
      </c>
      <c r="E623" s="58" t="n">
        <v>1029000000</v>
      </c>
      <c r="F623" s="58" t="n">
        <v>4337000000</v>
      </c>
      <c r="G623" s="58" t="n">
        <v>6303000000</v>
      </c>
      <c r="H623" s="58" t="n">
        <v>7819000000</v>
      </c>
      <c r="I623" s="58" t="n">
        <v>8475000000</v>
      </c>
    </row>
    <row r="624">
      <c r="B624" s="63" t="inlineStr">
        <is>
          <t>Other current assets others [Abstract]</t>
        </is>
      </c>
    </row>
    <row r="625">
      <c r="B625" s="68" t="inlineStr">
        <is>
          <t>Other current assets others [Line items]</t>
        </is>
      </c>
    </row>
    <row r="626">
      <c r="B626" s="71" t="inlineStr">
        <is>
          <t>Other current assets, others</t>
        </is>
      </c>
      <c r="C626" s="55" t="inlineStr">
        <is>
          <t>OtherCurrentAssetsOthers</t>
        </is>
      </c>
      <c r="D626" s="56" t="n">
        <v>0</v>
      </c>
      <c r="E626" s="56" t="n">
        <v>0</v>
      </c>
      <c r="F626" s="56" t="n">
        <v>3256000000</v>
      </c>
      <c r="G626" s="56" t="n">
        <v>4631000000</v>
      </c>
      <c r="H626" s="56" t="n">
        <v>5589000000</v>
      </c>
      <c r="I626" s="56" t="n">
        <v>5798000000</v>
      </c>
    </row>
    <row r="627">
      <c r="B627" s="59" t="inlineStr">
        <is>
          <t>Disclosure of other non-current financial liabilities notes [Abstract]</t>
        </is>
      </c>
    </row>
    <row r="628">
      <c r="B628" s="60" t="inlineStr">
        <is>
          <t>Other non-current financial liabilities [Abstract]</t>
        </is>
      </c>
    </row>
    <row r="629">
      <c r="B629" s="61" t="inlineStr">
        <is>
          <t>Derivative liabilities, non-current</t>
        </is>
      </c>
      <c r="C629" s="55" t="inlineStr">
        <is>
          <t>DerivativeLiabilitiesNoncurrent</t>
        </is>
      </c>
      <c r="D629" s="56" t="n">
        <v>0</v>
      </c>
      <c r="E629" s="56" t="n">
        <v>0</v>
      </c>
      <c r="F629" s="56" t="n">
        <v>0</v>
      </c>
      <c r="G629" s="56" t="n">
        <v>2020000000</v>
      </c>
      <c r="H629" s="56" t="n">
        <v>0</v>
      </c>
      <c r="I629" s="56" t="n">
        <v>0</v>
      </c>
    </row>
    <row r="630">
      <c r="B630" s="61" t="inlineStr">
        <is>
          <t>Other non-current financial liabilities, others</t>
        </is>
      </c>
      <c r="C630" s="55" t="inlineStr">
        <is>
          <t>OtherNoncurrentFinancialLiabilitiesOthers</t>
        </is>
      </c>
      <c r="D630" s="56" t="n">
        <v>0</v>
      </c>
      <c r="E630" s="56" t="n">
        <v>204000000</v>
      </c>
      <c r="F630" s="56" t="n">
        <v>34000000</v>
      </c>
      <c r="G630" s="56" t="n">
        <v>7688000000</v>
      </c>
      <c r="H630" s="56" t="n">
        <v>6423000000</v>
      </c>
      <c r="I630" s="56" t="n">
        <v>6434000000</v>
      </c>
    </row>
    <row r="631">
      <c r="B631" s="65" t="inlineStr">
        <is>
          <t>Total other non-current financial liabilities</t>
        </is>
      </c>
      <c r="C631" s="55" t="inlineStr">
        <is>
          <t>OtherNoncurrentFinancialLiabilities</t>
        </is>
      </c>
      <c r="D631" s="58" t="n">
        <v>0</v>
      </c>
      <c r="E631" s="58" t="n">
        <v>204000000</v>
      </c>
      <c r="F631" s="58" t="n">
        <v>34000000</v>
      </c>
      <c r="G631" s="58" t="n">
        <v>9708000000</v>
      </c>
      <c r="H631" s="58" t="n">
        <v>6423000000</v>
      </c>
      <c r="I631" s="58" t="n">
        <v>6434000000</v>
      </c>
    </row>
    <row r="632">
      <c r="B632" s="63" t="inlineStr">
        <is>
          <t>Other non-current financial liabilities others [Abstract]</t>
        </is>
      </c>
    </row>
    <row r="633">
      <c r="B633" s="68" t="inlineStr">
        <is>
          <t>Other non-current financial liabilities others [Line items]</t>
        </is>
      </c>
    </row>
    <row r="634">
      <c r="B634" s="71" t="inlineStr">
        <is>
          <t>Other non-current financial liabilities, others</t>
        </is>
      </c>
      <c r="C634" s="55" t="inlineStr">
        <is>
          <t>OtherNoncurrentFinancialLiabilitiesOthers</t>
        </is>
      </c>
      <c r="D634" s="56" t="n">
        <v>0</v>
      </c>
      <c r="E634" s="56" t="n">
        <v>204000000</v>
      </c>
      <c r="F634" s="56" t="n">
        <v>34000000</v>
      </c>
      <c r="G634" s="56" t="n">
        <v>7688000000</v>
      </c>
      <c r="H634" s="56" t="n">
        <v>6423000000</v>
      </c>
      <c r="I634" s="56" t="n">
        <v>6434000000</v>
      </c>
    </row>
    <row r="635">
      <c r="B635" s="59" t="inlineStr">
        <is>
          <t>Provisions notes [Abstract]</t>
        </is>
      </c>
    </row>
    <row r="636">
      <c r="B636" s="60" t="inlineStr">
        <is>
          <t>Disclosure of breakup of provisions [Abstract]</t>
        </is>
      </c>
    </row>
    <row r="637">
      <c r="B637" s="63" t="inlineStr">
        <is>
          <t>Disclosure of breakup of provisions [Line items]</t>
        </is>
      </c>
    </row>
    <row r="638">
      <c r="B638" s="68" t="inlineStr">
        <is>
          <t>Provisions [Abstract]</t>
        </is>
      </c>
    </row>
    <row r="639">
      <c r="B639" s="72" t="inlineStr">
        <is>
          <t>Provisions for employee benefits [Abstract]</t>
        </is>
      </c>
    </row>
    <row r="640">
      <c r="B640" s="73" t="inlineStr">
        <is>
          <t>Provision leave encashment</t>
        </is>
      </c>
      <c r="C640" s="55" t="inlineStr">
        <is>
          <t>ProvisionLeaveEncashment</t>
        </is>
      </c>
      <c r="D640" s="56" t="n">
        <v>0</v>
      </c>
      <c r="E640" s="56" t="n">
        <v>1759000000</v>
      </c>
      <c r="F640" s="56" t="n">
        <v>2015000000</v>
      </c>
      <c r="G640" s="56" t="n">
        <v>2477000000</v>
      </c>
      <c r="H640" s="56" t="n">
        <v>3365000000</v>
      </c>
      <c r="I640" s="56" t="n">
        <v>3536000000</v>
      </c>
    </row>
    <row r="641">
      <c r="B641" s="73" t="inlineStr">
        <is>
          <t>Provision other employee related liabilities</t>
        </is>
      </c>
      <c r="C641" s="55" t="inlineStr">
        <is>
          <t>ProvisionOtherEmployeeRelatedLiabilities</t>
        </is>
      </c>
      <c r="D641" s="56" t="n">
        <v>0</v>
      </c>
      <c r="E641" s="56" t="n">
        <v>171000000</v>
      </c>
      <c r="F641" s="56" t="n">
        <v>180000000</v>
      </c>
      <c r="G641" s="56" t="n">
        <v>218000000</v>
      </c>
      <c r="H641" s="56" t="n">
        <v>253000000</v>
      </c>
      <c r="I641" s="56" t="n">
        <v>286000000</v>
      </c>
    </row>
    <row r="642">
      <c r="B642" s="74" t="inlineStr">
        <is>
          <t>Total provisions for employee benefits</t>
        </is>
      </c>
      <c r="C642" s="55" t="inlineStr">
        <is>
          <t>ProvisionsForEmployeeBenefits</t>
        </is>
      </c>
      <c r="D642" s="58" t="n">
        <v>0</v>
      </c>
      <c r="E642" s="58" t="n">
        <v>1930000000</v>
      </c>
      <c r="F642" s="58" t="n">
        <v>2195000000</v>
      </c>
      <c r="G642" s="58" t="n">
        <v>2695000000</v>
      </c>
      <c r="H642" s="58" t="n">
        <v>3618000000</v>
      </c>
      <c r="I642" s="58" t="n">
        <v>3822000000</v>
      </c>
    </row>
    <row r="643">
      <c r="B643" s="71" t="inlineStr">
        <is>
          <t>Other provisions at end of period</t>
        </is>
      </c>
      <c r="C643" s="55" t="inlineStr">
        <is>
          <t>OtherProvisions</t>
        </is>
      </c>
      <c r="D643" s="56" t="n">
        <v>0</v>
      </c>
      <c r="E643" s="56" t="n">
        <v>111000000</v>
      </c>
      <c r="F643" s="56" t="n">
        <v>111000000</v>
      </c>
      <c r="G643" s="56" t="n">
        <v>111000000</v>
      </c>
      <c r="H643" s="56" t="n">
        <v>110000000</v>
      </c>
      <c r="I643" s="56" t="n">
        <v>111000000</v>
      </c>
    </row>
    <row r="644">
      <c r="B644" s="69" t="inlineStr">
        <is>
          <t>Total provisions</t>
        </is>
      </c>
      <c r="C644" s="55" t="inlineStr">
        <is>
          <t>Provisions</t>
        </is>
      </c>
      <c r="D644" s="58" t="n">
        <v>0</v>
      </c>
      <c r="E644" s="58" t="n">
        <v>2041000000</v>
      </c>
      <c r="F644" s="58" t="n">
        <v>2306000000</v>
      </c>
      <c r="G644" s="58" t="n">
        <v>2806000000</v>
      </c>
      <c r="H644" s="58" t="n">
        <v>3728000000</v>
      </c>
      <c r="I644" s="58" t="n">
        <v>3933000000</v>
      </c>
    </row>
    <row r="645">
      <c r="B645" s="59" t="inlineStr">
        <is>
          <t>Other non-current liabilities [Abstract]</t>
        </is>
      </c>
    </row>
    <row r="646">
      <c r="B646" s="62" t="inlineStr">
        <is>
          <t>Other non-current liabilities others</t>
        </is>
      </c>
      <c r="C646" s="55" t="inlineStr">
        <is>
          <t>OtherNoncurrentLiabilitiesOthers</t>
        </is>
      </c>
      <c r="D646" s="56" t="n">
        <v>0</v>
      </c>
      <c r="E646" s="56" t="n">
        <v>0</v>
      </c>
      <c r="F646" s="56" t="n">
        <v>0</v>
      </c>
      <c r="G646" s="56" t="n">
        <v>0</v>
      </c>
      <c r="H646" s="56" t="n">
        <v>479000000</v>
      </c>
      <c r="I646" s="56" t="n">
        <v>0</v>
      </c>
    </row>
    <row r="647">
      <c r="B647" s="67" t="inlineStr">
        <is>
          <t>Total other non-current liabilities</t>
        </is>
      </c>
      <c r="C647" s="55" t="inlineStr">
        <is>
          <t>OtherNoncurrentLiabilities</t>
        </is>
      </c>
      <c r="D647" s="58" t="n">
        <v>0</v>
      </c>
      <c r="E647" s="58" t="n">
        <v>0</v>
      </c>
      <c r="F647" s="58" t="n">
        <v>0</v>
      </c>
      <c r="G647" s="58" t="n">
        <v>0</v>
      </c>
      <c r="H647" s="58" t="n">
        <v>479000000</v>
      </c>
      <c r="I647" s="58" t="n">
        <v>0</v>
      </c>
    </row>
    <row r="648">
      <c r="B648" s="60" t="inlineStr">
        <is>
          <t>Other non-current liabilities others [Abstract]</t>
        </is>
      </c>
    </row>
    <row r="649">
      <c r="B649" s="63" t="inlineStr">
        <is>
          <t>Other non-current liabilities others [Line items]</t>
        </is>
      </c>
    </row>
    <row r="650">
      <c r="B650" s="64" t="inlineStr">
        <is>
          <t>Other non-current liabilities others</t>
        </is>
      </c>
      <c r="C650" s="55" t="inlineStr">
        <is>
          <t>OtherNoncurrentLiabilitiesOthers</t>
        </is>
      </c>
      <c r="D650" s="56" t="n">
        <v>0</v>
      </c>
      <c r="E650" s="56" t="n">
        <v>0</v>
      </c>
      <c r="F650" s="56" t="n">
        <v>0</v>
      </c>
      <c r="G650" s="56" t="n">
        <v>0</v>
      </c>
      <c r="H650" s="56" t="n">
        <v>479000000</v>
      </c>
      <c r="I650" s="56" t="n">
        <v>0</v>
      </c>
    </row>
    <row r="651">
      <c r="B651" s="59" t="inlineStr">
        <is>
          <t>Disclosure of other current financial liabilities notes [Abstract]</t>
        </is>
      </c>
    </row>
    <row r="652">
      <c r="B652" s="60" t="inlineStr">
        <is>
          <t>Other current financial liabilities [Abstract]</t>
        </is>
      </c>
    </row>
    <row r="653">
      <c r="B653" s="61" t="inlineStr">
        <is>
          <t>Unpaid dividends</t>
        </is>
      </c>
      <c r="C653" s="55" t="inlineStr">
        <is>
          <t>UnpaidDividends</t>
        </is>
      </c>
      <c r="D653" s="56" t="n">
        <v>3000000</v>
      </c>
      <c r="E653" s="56" t="n">
        <v>4000000</v>
      </c>
      <c r="F653" s="56" t="n">
        <v>8000000</v>
      </c>
      <c r="G653" s="56" t="n">
        <v>7000000</v>
      </c>
      <c r="H653" s="56" t="n">
        <v>9000000</v>
      </c>
      <c r="I653" s="56" t="n">
        <v>13000000</v>
      </c>
    </row>
    <row r="654">
      <c r="B654" s="61" t="inlineStr">
        <is>
          <t>Derivative liabilities</t>
        </is>
      </c>
      <c r="C654" s="55" t="inlineStr">
        <is>
          <t>DerivativeLiabilities</t>
        </is>
      </c>
      <c r="D654" s="56" t="n">
        <v>0</v>
      </c>
      <c r="E654" s="56" t="n">
        <v>0</v>
      </c>
      <c r="F654" s="56" t="n">
        <v>0</v>
      </c>
      <c r="G654" s="56" t="n">
        <v>2013000000</v>
      </c>
      <c r="H654" s="56" t="n">
        <v>0</v>
      </c>
      <c r="I654" s="56" t="n">
        <v>0</v>
      </c>
    </row>
    <row r="655">
      <c r="B655" s="61" t="inlineStr">
        <is>
          <t>Other current financial liabilities, others</t>
        </is>
      </c>
      <c r="C655" s="55" t="inlineStr">
        <is>
          <t>OtherCurrentFinancialLiabilitiesOthers</t>
        </is>
      </c>
      <c r="D655" s="56" t="n">
        <v>5765000000</v>
      </c>
      <c r="E655" s="56" t="n">
        <v>5827000000</v>
      </c>
      <c r="F655" s="56" t="n">
        <v>5752000000</v>
      </c>
      <c r="G655" s="56" t="n">
        <v>5693000000</v>
      </c>
      <c r="H655" s="56" t="n">
        <v>7374000000</v>
      </c>
      <c r="I655" s="56" t="n">
        <v>9402000000</v>
      </c>
    </row>
    <row r="656">
      <c r="B656" s="65" t="inlineStr">
        <is>
          <t>Total other current financial liabilities</t>
        </is>
      </c>
      <c r="C656" s="55" t="inlineStr">
        <is>
          <t>OtherCurrentFinancialLiabilities</t>
        </is>
      </c>
      <c r="D656" s="58" t="n">
        <v>5768000000</v>
      </c>
      <c r="E656" s="58" t="n">
        <v>5831000000</v>
      </c>
      <c r="F656" s="58" t="n">
        <v>5760000000</v>
      </c>
      <c r="G656" s="58" t="n">
        <v>7713000000</v>
      </c>
      <c r="H656" s="58" t="n">
        <v>7383000000</v>
      </c>
      <c r="I656" s="58" t="n">
        <v>9415000000</v>
      </c>
    </row>
    <row r="657">
      <c r="B657" s="63" t="inlineStr">
        <is>
          <t>Other current financial liabilities, others [Abstract]</t>
        </is>
      </c>
    </row>
    <row r="658">
      <c r="B658" s="68" t="inlineStr">
        <is>
          <t>Other current financial liabilities, others [Line items]</t>
        </is>
      </c>
    </row>
    <row r="659">
      <c r="B659" s="71" t="inlineStr">
        <is>
          <t>Other current financial liabilities, others</t>
        </is>
      </c>
      <c r="C659" s="55" t="inlineStr">
        <is>
          <t>OtherCurrentFinancialLiabilitiesOthers</t>
        </is>
      </c>
      <c r="D659" s="56" t="n">
        <v>5765000000</v>
      </c>
      <c r="E659" s="56" t="n">
        <v>5827000000</v>
      </c>
      <c r="F659" s="56" t="n">
        <v>5752000000</v>
      </c>
      <c r="G659" s="56" t="n">
        <v>5693000000</v>
      </c>
      <c r="H659" s="56" t="n">
        <v>7374000000</v>
      </c>
      <c r="I659" s="56" t="n">
        <v>9402000000</v>
      </c>
    </row>
    <row r="660">
      <c r="B660" s="59" t="inlineStr">
        <is>
          <t>Disclosure of other current liabilities notes [Abstract]</t>
        </is>
      </c>
    </row>
    <row r="661">
      <c r="B661" s="60" t="inlineStr">
        <is>
          <t>Other current liabilities [Abstract]</t>
        </is>
      </c>
    </row>
    <row r="662">
      <c r="B662" s="63" t="inlineStr">
        <is>
          <t>Other payables, current [Abstract]</t>
        </is>
      </c>
    </row>
    <row r="663">
      <c r="B663" s="64" t="inlineStr">
        <is>
          <t>Accrued expenses payable</t>
        </is>
      </c>
      <c r="C663" s="55" t="inlineStr">
        <is>
          <t>AccruedExpensesPayable</t>
        </is>
      </c>
      <c r="D663" s="56" t="n">
        <v>1102000000</v>
      </c>
      <c r="E663" s="56" t="n">
        <v>1411000000</v>
      </c>
      <c r="F663" s="56" t="n">
        <v>1754000000</v>
      </c>
      <c r="G663" s="56" t="n">
        <v>2312000000</v>
      </c>
      <c r="H663" s="56" t="n">
        <v>2843000000</v>
      </c>
      <c r="I663" s="56" t="n">
        <v>0</v>
      </c>
    </row>
    <row r="664">
      <c r="B664" s="66" t="inlineStr">
        <is>
          <t>Total other payables, current</t>
        </is>
      </c>
      <c r="C664" s="55" t="inlineStr">
        <is>
          <t>OtherPayablesCurrent</t>
        </is>
      </c>
      <c r="D664" s="58" t="n">
        <v>1102000000</v>
      </c>
      <c r="E664" s="58" t="n">
        <v>1411000000</v>
      </c>
      <c r="F664" s="58" t="n">
        <v>1754000000</v>
      </c>
      <c r="G664" s="58" t="n">
        <v>2312000000</v>
      </c>
      <c r="H664" s="58" t="n">
        <v>2843000000</v>
      </c>
      <c r="I664" s="58" t="n">
        <v>0</v>
      </c>
    </row>
    <row r="665">
      <c r="B665" s="61" t="inlineStr">
        <is>
          <t>Other current liabilities, others</t>
        </is>
      </c>
      <c r="C665" s="55" t="inlineStr">
        <is>
          <t>OtherCurrentLiabilitiesOthers</t>
        </is>
      </c>
      <c r="D665" s="56" t="n">
        <v>0</v>
      </c>
      <c r="E665" s="56" t="n">
        <v>0</v>
      </c>
      <c r="F665" s="56" t="n">
        <v>569000000</v>
      </c>
      <c r="G665" s="56" t="n">
        <v>1425000000</v>
      </c>
      <c r="H665" s="56" t="n">
        <v>1495000000</v>
      </c>
      <c r="I665" s="56" t="n">
        <v>4876000000</v>
      </c>
    </row>
    <row r="666">
      <c r="B666" s="65" t="inlineStr">
        <is>
          <t>Total other current liabilities</t>
        </is>
      </c>
      <c r="C666" s="55" t="inlineStr">
        <is>
          <t>OtherCurrentLiabilities</t>
        </is>
      </c>
      <c r="D666" s="58" t="n">
        <v>1102000000</v>
      </c>
      <c r="E666" s="58" t="n">
        <v>1411000000</v>
      </c>
      <c r="F666" s="58" t="n">
        <v>2323000000</v>
      </c>
      <c r="G666" s="58" t="n">
        <v>3737000000</v>
      </c>
      <c r="H666" s="58" t="n">
        <v>4338000000</v>
      </c>
      <c r="I666" s="58" t="n">
        <v>4876000000</v>
      </c>
    </row>
    <row r="667">
      <c r="B667" s="63" t="inlineStr">
        <is>
          <t>Other current liabilities, others [Abstract]</t>
        </is>
      </c>
    </row>
    <row r="668">
      <c r="B668" s="68" t="inlineStr">
        <is>
          <t>Other current liabilities, others [Line items]</t>
        </is>
      </c>
    </row>
    <row r="669">
      <c r="B669" s="71" t="inlineStr">
        <is>
          <t>Other current liabilities, others</t>
        </is>
      </c>
      <c r="C669" s="55" t="inlineStr">
        <is>
          <t>OtherCurrentLiabilitiesOthers</t>
        </is>
      </c>
      <c r="D669" s="56" t="n">
        <v>0</v>
      </c>
      <c r="E669" s="56" t="n">
        <v>0</v>
      </c>
      <c r="F669" s="56" t="n">
        <v>569000000</v>
      </c>
      <c r="G669" s="56" t="n">
        <v>1425000000</v>
      </c>
      <c r="H669" s="56" t="n">
        <v>1495000000</v>
      </c>
      <c r="I669" s="56" t="n">
        <v>4876000000</v>
      </c>
    </row>
    <row r="674" ht="15.5" customHeight="1" s="203">
      <c r="A674" t="inlineStr">
        <is>
          <t>#</t>
        </is>
      </c>
      <c r="B674" s="38" t="inlineStr">
        <is>
          <t>Notes to Statement of Cash Flows: Cash Flow Statement</t>
        </is>
      </c>
    </row>
    <row r="676">
      <c r="C676" s="53" t="inlineStr">
        <is>
          <t>Concept Tag</t>
        </is>
      </c>
      <c r="D676" s="20" t="inlineStr">
        <is>
          <t>FY2017</t>
        </is>
      </c>
      <c r="E676" s="20" t="inlineStr">
        <is>
          <t>FY2018</t>
        </is>
      </c>
      <c r="F676" s="20" t="inlineStr">
        <is>
          <t>FY2019</t>
        </is>
      </c>
      <c r="G676" s="20" t="inlineStr">
        <is>
          <t>FY2020</t>
        </is>
      </c>
      <c r="H676" s="20" t="inlineStr">
        <is>
          <t>FY2021</t>
        </is>
      </c>
      <c r="I676" s="20" t="inlineStr">
        <is>
          <t>FY2022</t>
        </is>
      </c>
    </row>
    <row r="678" ht="15.5" customHeight="1" s="203">
      <c r="B678" s="38" t="inlineStr">
        <is>
          <t>Cash and cash equivalents if different from Balance Sheet [Abstract]</t>
        </is>
      </c>
    </row>
    <row r="679">
      <c r="B679" s="54" t="inlineStr">
        <is>
          <t>Cash and cash equivalents cash flow statement at end of period</t>
        </is>
      </c>
      <c r="C679" s="55" t="inlineStr">
        <is>
          <t>CashAndCashEquivalentsCashFlowStatement</t>
        </is>
      </c>
      <c r="D679" s="56" t="n">
        <v>1906000000</v>
      </c>
      <c r="E679" s="56" t="n">
        <v>2498000000</v>
      </c>
      <c r="F679" s="56" t="n">
        <v>2154000000</v>
      </c>
      <c r="G679" s="56" t="n">
        <v>3714000000</v>
      </c>
      <c r="H679" s="56" t="n">
        <v>4011000000</v>
      </c>
      <c r="I679" s="56" t="n">
        <v>2836000000</v>
      </c>
    </row>
    <row r="680">
      <c r="B680" s="54" t="inlineStr">
        <is>
          <t>Other differences to cash and cash equivalents in statement of cash flows</t>
        </is>
      </c>
      <c r="C680" s="55" t="inlineStr">
        <is>
          <t>OtherDifferencesToCashAndCashEquivalentsInStatementOfCashFlows</t>
        </is>
      </c>
      <c r="D680" s="56" t="n">
        <v>34000000</v>
      </c>
      <c r="E680" s="56" t="n">
        <v>19000000</v>
      </c>
      <c r="F680" s="56" t="n">
        <v>23000000</v>
      </c>
      <c r="G680" s="56" t="n">
        <v>109000000</v>
      </c>
      <c r="H680" s="56" t="n">
        <v>23000000</v>
      </c>
      <c r="I680" s="56" t="n">
        <v>0</v>
      </c>
    </row>
    <row r="681">
      <c r="B681" s="57" t="inlineStr">
        <is>
          <t>Cash and cash equivalents at end of period</t>
        </is>
      </c>
      <c r="C681" s="55" t="inlineStr">
        <is>
          <t>CashAndCashEquivalents</t>
        </is>
      </c>
      <c r="D681" s="58" t="n">
        <v>1872000000</v>
      </c>
      <c r="E681" s="58" t="n">
        <v>2479000000</v>
      </c>
      <c r="F681" s="58" t="n">
        <v>2131000000</v>
      </c>
      <c r="G681" s="58" t="n">
        <v>3605000000</v>
      </c>
      <c r="H681" s="58" t="n">
        <v>3988000000</v>
      </c>
      <c r="I681" s="58" t="n">
        <v>2836000000</v>
      </c>
    </row>
    <row r="683" ht="15.5" customHeight="1" s="203">
      <c r="B683" s="38" t="inlineStr">
        <is>
          <t>Income taxes paid (refund) [Abstract]</t>
        </is>
      </c>
    </row>
    <row r="684">
      <c r="B684" s="54" t="inlineStr">
        <is>
          <t>Income taxes paid (refund)</t>
        </is>
      </c>
      <c r="C684" s="55" t="inlineStr">
        <is>
          <t>IncomeTaxesPaidRefundClassifiedAsOperatingActivities</t>
        </is>
      </c>
      <c r="D684" s="56" t="n">
        <v>2407000000</v>
      </c>
      <c r="E684" s="56" t="n">
        <v>3289000000</v>
      </c>
      <c r="F684" s="56" t="n">
        <v>4262000000</v>
      </c>
      <c r="G684" s="56" t="n">
        <v>3652000000</v>
      </c>
      <c r="H684" s="56" t="n">
        <v>5879000000</v>
      </c>
      <c r="I684" s="56" t="n">
        <v>7508000000</v>
      </c>
    </row>
    <row r="685">
      <c r="B685" s="57" t="inlineStr">
        <is>
          <t>Total income taxes paid (refund)</t>
        </is>
      </c>
      <c r="C685" s="55" t="inlineStr">
        <is>
          <t>IncomeTaxesPaidRefund</t>
        </is>
      </c>
      <c r="D685" s="58" t="n">
        <v>2407000000</v>
      </c>
      <c r="E685" s="58" t="n">
        <v>3289000000</v>
      </c>
      <c r="F685" s="58" t="n">
        <v>4262000000</v>
      </c>
      <c r="G685" s="58" t="n">
        <v>3652000000</v>
      </c>
      <c r="H685" s="58" t="n">
        <v>5879000000</v>
      </c>
      <c r="I685" s="58" t="n">
        <v>7508000000</v>
      </c>
    </row>
    <row r="688" ht="18.5" customHeight="1" s="203">
      <c r="A688" t="inlineStr">
        <is>
          <t>#</t>
        </is>
      </c>
      <c r="B688" s="52" t="inlineStr">
        <is>
          <t>General / Cross-Statement Notes</t>
        </is>
      </c>
    </row>
    <row r="690" ht="15.5" customHeight="1" s="203">
      <c r="A690" t="inlineStr">
        <is>
          <t>#</t>
        </is>
      </c>
      <c r="B690" s="38" t="inlineStr">
        <is>
          <t>Notes to General: Corporate Social Responsibility</t>
        </is>
      </c>
    </row>
    <row r="692">
      <c r="C692" s="53" t="inlineStr">
        <is>
          <t>Concept Tag</t>
        </is>
      </c>
      <c r="D692" s="20" t="inlineStr">
        <is>
          <t>FY2017</t>
        </is>
      </c>
      <c r="E692" s="20" t="inlineStr">
        <is>
          <t>FY2018</t>
        </is>
      </c>
      <c r="F692" s="20" t="inlineStr">
        <is>
          <t>FY2019</t>
        </is>
      </c>
      <c r="G692" s="20" t="inlineStr">
        <is>
          <t>FY2020</t>
        </is>
      </c>
      <c r="H692" s="20" t="inlineStr">
        <is>
          <t>FY2021</t>
        </is>
      </c>
      <c r="I692" s="20" t="inlineStr">
        <is>
          <t>FY2022</t>
        </is>
      </c>
    </row>
    <row r="694" ht="15.5" customHeight="1" s="203">
      <c r="B694" s="38" t="inlineStr">
        <is>
          <t>Disclosure of CSR spending [Abstract]</t>
        </is>
      </c>
    </row>
    <row r="695">
      <c r="B695" s="54" t="inlineStr">
        <is>
          <t>Average net profit for last three financial years</t>
        </is>
      </c>
      <c r="C695" s="55" t="inlineStr">
        <is>
          <t>AverageNetProfitForLastThreeFinancialYears</t>
        </is>
      </c>
      <c r="D695" s="56" t="n">
        <v>8674820000</v>
      </c>
      <c r="E695" s="56" t="n">
        <v>9563010000</v>
      </c>
      <c r="F695" s="56" t="n">
        <v>11098010000</v>
      </c>
      <c r="G695" s="56" t="n">
        <v>13608010000</v>
      </c>
      <c r="H695" s="56" t="n">
        <v>16312010000</v>
      </c>
      <c r="I695" s="56" t="n">
        <v>19584010000</v>
      </c>
    </row>
    <row r="696">
      <c r="B696" s="54" t="inlineStr">
        <is>
          <t>Prescribed CSR expenditure</t>
        </is>
      </c>
      <c r="C696" s="55" t="inlineStr">
        <is>
          <t>PrescribedCSRExpenditure</t>
        </is>
      </c>
      <c r="D696" s="56" t="n">
        <v>173500000</v>
      </c>
      <c r="E696" s="56" t="n">
        <v>191260000</v>
      </c>
      <c r="F696" s="56" t="n">
        <v>221960000</v>
      </c>
      <c r="G696" s="56" t="n">
        <v>272160000</v>
      </c>
      <c r="H696" s="56" t="n">
        <v>326240000</v>
      </c>
      <c r="I696" s="56" t="n">
        <v>391680000</v>
      </c>
    </row>
    <row r="697">
      <c r="B697" s="59" t="inlineStr">
        <is>
          <t>Details of CSR spent during financial year [Abstract]</t>
        </is>
      </c>
    </row>
    <row r="698">
      <c r="B698" s="62" t="inlineStr">
        <is>
          <t>Amount CSR to be spent for financial year</t>
        </is>
      </c>
      <c r="C698" s="55" t="inlineStr">
        <is>
          <t>AmountCSRToBeSpentForFinancialYear</t>
        </is>
      </c>
      <c r="D698" s="56" t="n">
        <v>173500000</v>
      </c>
      <c r="E698" s="56" t="n">
        <v>116620000</v>
      </c>
      <c r="F698" s="56" t="n">
        <v>221960000</v>
      </c>
      <c r="G698" s="56" t="n">
        <v>460000000</v>
      </c>
      <c r="H698" s="56" t="n">
        <v>147700000</v>
      </c>
      <c r="I698" s="56" t="n">
        <v>391680000</v>
      </c>
    </row>
    <row r="699">
      <c r="B699" s="62" t="inlineStr">
        <is>
          <t>Amount spent in local area</t>
        </is>
      </c>
      <c r="C699" s="55" t="inlineStr">
        <is>
          <t>AmountSpentInLocalArea</t>
        </is>
      </c>
      <c r="D699" s="56" t="n">
        <v>64900000</v>
      </c>
      <c r="E699" s="56" t="n">
        <v>116620000</v>
      </c>
      <c r="F699" s="56" t="n">
        <v>223850000</v>
      </c>
      <c r="G699" s="56" t="n">
        <v>0</v>
      </c>
      <c r="H699" s="56" t="n">
        <v>0</v>
      </c>
      <c r="I699" s="56" t="n">
        <v>0</v>
      </c>
    </row>
    <row r="700">
      <c r="B700" s="62" t="inlineStr">
        <is>
          <t>Amount unspent CSR</t>
        </is>
      </c>
      <c r="C700" s="55" t="inlineStr">
        <is>
          <t>AmountUnspentCSR</t>
        </is>
      </c>
      <c r="D700" s="56" t="n">
        <v>108590000</v>
      </c>
      <c r="E700" s="56" t="n">
        <v>74680000</v>
      </c>
      <c r="F700" s="56" t="n">
        <v>0</v>
      </c>
      <c r="G700" s="56" t="n">
        <v>0</v>
      </c>
      <c r="H700" s="56" t="n">
        <v>0</v>
      </c>
      <c r="I700" s="56" t="n">
        <v>0</v>
      </c>
    </row>
    <row r="702">
      <c r="B702" s="6" t="inlineStr">
        <is>
          <t>Average net profit for last three financial years</t>
        </is>
      </c>
      <c r="C702" s="55" t="inlineStr">
        <is>
          <t>AverageNetProfitForLastThreeFinancialYears</t>
        </is>
      </c>
      <c r="D702" s="56" t="n">
        <v>8674820000</v>
      </c>
      <c r="E702" s="56" t="n">
        <v>9563010000</v>
      </c>
      <c r="F702" s="56" t="n">
        <v>11098010000</v>
      </c>
      <c r="G702" s="56" t="n">
        <v>13608010000</v>
      </c>
      <c r="H702" s="56" t="n">
        <v>16312010000</v>
      </c>
      <c r="I702" s="56" t="n">
        <v>19584010000</v>
      </c>
    </row>
    <row r="710" ht="15.5" customHeight="1" s="203">
      <c r="A710" t="inlineStr">
        <is>
          <t>#</t>
        </is>
      </c>
      <c r="B710" s="38" t="inlineStr">
        <is>
          <t>Notes to General: Fair Value Measurement</t>
        </is>
      </c>
    </row>
    <row r="712">
      <c r="C712" s="53" t="inlineStr">
        <is>
          <t>Concept Tag</t>
        </is>
      </c>
      <c r="D712" s="20" t="inlineStr">
        <is>
          <t>FY2017</t>
        </is>
      </c>
      <c r="E712" s="20" t="inlineStr">
        <is>
          <t>FY2018</t>
        </is>
      </c>
      <c r="F712" s="20" t="inlineStr">
        <is>
          <t>FY2019</t>
        </is>
      </c>
      <c r="G712" s="20" t="inlineStr">
        <is>
          <t>FY2020</t>
        </is>
      </c>
      <c r="H712" s="20" t="inlineStr">
        <is>
          <t>FY2021</t>
        </is>
      </c>
      <c r="I712" s="20" t="inlineStr">
        <is>
          <t>FY2022</t>
        </is>
      </c>
    </row>
    <row r="713">
      <c r="B713" s="59" t="inlineStr">
        <is>
          <t>Disclosure of fair value measurement of assets [Abstract]</t>
        </is>
      </c>
    </row>
    <row r="714">
      <c r="B714" s="60" t="inlineStr">
        <is>
          <t>Disclosure of fair value measurement of assets [Line items]</t>
        </is>
      </c>
    </row>
    <row r="715">
      <c r="B715" s="61" t="inlineStr">
        <is>
          <t>Assets at end of period</t>
        </is>
      </c>
      <c r="C715" s="55" t="inlineStr">
        <is>
          <t>AssetsFairValue</t>
        </is>
      </c>
      <c r="D715" s="56" t="n">
        <v>0</v>
      </c>
      <c r="E715" s="56" t="n">
        <v>0</v>
      </c>
      <c r="F715" s="56" t="n">
        <v>20387000000</v>
      </c>
      <c r="G715" s="56" t="n">
        <v>0</v>
      </c>
      <c r="H715" s="56" t="n">
        <v>0</v>
      </c>
      <c r="I715" s="56" t="n">
        <v>0</v>
      </c>
    </row>
    <row r="716">
      <c r="B716" s="63" t="inlineStr">
        <is>
          <t>Reconciliation of changes in fair value measurement, assets [Abstract]</t>
        </is>
      </c>
    </row>
    <row r="717">
      <c r="B717" s="64" t="inlineStr">
        <is>
          <t>Assets at end of period</t>
        </is>
      </c>
      <c r="C717" s="55" t="inlineStr">
        <is>
          <t>AssetsFairValue</t>
        </is>
      </c>
      <c r="D717" s="56" t="n">
        <v>0</v>
      </c>
      <c r="E717" s="56" t="n">
        <v>0</v>
      </c>
      <c r="F717" s="56" t="n">
        <v>20387000000</v>
      </c>
      <c r="G717" s="56" t="n">
        <v>0</v>
      </c>
      <c r="H717" s="56" t="n">
        <v>0</v>
      </c>
      <c r="I717" s="56" t="n">
        <v>0</v>
      </c>
    </row>
    <row r="718">
      <c r="B718" s="68" t="inlineStr">
        <is>
          <t>Changes in fair value measurement, assets [Abstract]</t>
        </is>
      </c>
    </row>
    <row r="719">
      <c r="B719" s="71" t="inlineStr">
        <is>
          <t>Purchases, fair value measurement, assets</t>
        </is>
      </c>
      <c r="C719" s="55" t="inlineStr">
        <is>
          <t>PurchasesFairValueMeasurementAssets</t>
        </is>
      </c>
      <c r="D719" s="56" t="n">
        <v>0</v>
      </c>
      <c r="E719" s="56" t="n">
        <v>0</v>
      </c>
      <c r="F719" s="56" t="n">
        <v>5442000000</v>
      </c>
      <c r="G719" s="56" t="n">
        <v>0</v>
      </c>
      <c r="H719" s="56" t="n">
        <v>0</v>
      </c>
      <c r="I719" s="56" t="n">
        <v>0</v>
      </c>
    </row>
    <row r="720">
      <c r="B720" s="69" t="inlineStr">
        <is>
          <t>Total increase (decrease) in fair value measurement, assets</t>
        </is>
      </c>
      <c r="C720" s="55" t="inlineStr">
        <is>
          <t>IncreaseDecreaseInFairValueMeasurementAssets</t>
        </is>
      </c>
      <c r="D720" s="58" t="n">
        <v>0</v>
      </c>
      <c r="E720" s="58" t="n">
        <v>0</v>
      </c>
      <c r="F720" s="58" t="n">
        <v>5442000000</v>
      </c>
      <c r="G720" s="58" t="n">
        <v>0</v>
      </c>
      <c r="H720" s="58" t="n">
        <v>0</v>
      </c>
      <c r="I720" s="58" t="n">
        <v>0</v>
      </c>
    </row>
    <row r="721">
      <c r="B721" s="64" t="inlineStr">
        <is>
          <t>Assets at end of period</t>
        </is>
      </c>
      <c r="C721" s="55" t="inlineStr">
        <is>
          <t>AssetsFairValue</t>
        </is>
      </c>
      <c r="D721" s="56" t="n">
        <v>0</v>
      </c>
      <c r="E721" s="56" t="n">
        <v>0</v>
      </c>
      <c r="F721" s="56" t="n">
        <v>20387000000</v>
      </c>
      <c r="G721" s="56" t="n">
        <v>0</v>
      </c>
      <c r="H721" s="56" t="n">
        <v>0</v>
      </c>
      <c r="I721" s="56" t="n">
        <v>0</v>
      </c>
    </row>
    <row r="724" ht="15.5" customHeight="1" s="203">
      <c r="A724" t="inlineStr">
        <is>
          <t>#</t>
        </is>
      </c>
      <c r="B724" s="38" t="inlineStr">
        <is>
          <t>Notes to General: Leases</t>
        </is>
      </c>
    </row>
    <row r="726">
      <c r="C726" s="53" t="inlineStr">
        <is>
          <t>Concept Tag</t>
        </is>
      </c>
      <c r="D726" s="20" t="inlineStr">
        <is>
          <t>FY2017</t>
        </is>
      </c>
      <c r="E726" s="20" t="inlineStr">
        <is>
          <t>FY2018</t>
        </is>
      </c>
      <c r="F726" s="20" t="inlineStr">
        <is>
          <t>FY2019</t>
        </is>
      </c>
      <c r="G726" s="20" t="inlineStr">
        <is>
          <t>FY2020</t>
        </is>
      </c>
      <c r="H726" s="20" t="inlineStr">
        <is>
          <t>FY2021</t>
        </is>
      </c>
      <c r="I726" s="20" t="inlineStr">
        <is>
          <t>FY2022</t>
        </is>
      </c>
    </row>
    <row r="728" ht="15.5" customHeight="1" s="203">
      <c r="B728" s="38" t="inlineStr">
        <is>
          <t>Disclosure of detailed information about right-of-use assets [Abstract]</t>
        </is>
      </c>
    </row>
    <row r="729">
      <c r="B729" s="59" t="inlineStr">
        <is>
          <t>Disclosure of detailed information about right-of-use assets  [Line items]</t>
        </is>
      </c>
    </row>
    <row r="730">
      <c r="B730" s="60" t="inlineStr">
        <is>
          <t>Reconciliation of changes in right-of-use assets [Abstract]</t>
        </is>
      </c>
    </row>
    <row r="731">
      <c r="B731" s="63" t="inlineStr">
        <is>
          <t>Changes in right-of-use assets [Abstract]</t>
        </is>
      </c>
    </row>
    <row r="732">
      <c r="B732" s="68" t="inlineStr">
        <is>
          <t>Depreciation or Amortisation , right-of-use assets  [Abstract]</t>
        </is>
      </c>
    </row>
    <row r="733">
      <c r="B733" s="71" t="inlineStr">
        <is>
          <t>Depreciation recognised in profit or loss</t>
        </is>
      </c>
      <c r="C733" s="55" t="inlineStr">
        <is>
          <t>AmortisationOfRightOfUseAssets</t>
        </is>
      </c>
      <c r="D733" s="56" t="n">
        <v>-648000000</v>
      </c>
      <c r="E733" s="56" t="n">
        <v>-647000000</v>
      </c>
      <c r="F733" s="56" t="n">
        <v>-664000000</v>
      </c>
      <c r="G733" s="56" t="n">
        <v>-808000000</v>
      </c>
      <c r="H733" s="56" t="n">
        <v>-1234000000</v>
      </c>
      <c r="I733" s="56" t="n">
        <v>-1243000000</v>
      </c>
    </row>
    <row r="735" ht="15.5" customHeight="1" s="203">
      <c r="B735" s="38" t="inlineStr">
        <is>
          <t>Disclosure of quantitative information about leases for lessee [Abstract]</t>
        </is>
      </c>
    </row>
    <row r="736">
      <c r="B736" s="54" t="inlineStr">
        <is>
          <t>Interest expense on lease liabilities</t>
        </is>
      </c>
      <c r="C736" s="55" t="inlineStr">
        <is>
          <t>InterestExpenseOnLeaseLiabilities</t>
        </is>
      </c>
      <c r="D736" s="56" t="n">
        <v>0</v>
      </c>
      <c r="E736" s="56" t="n">
        <v>0</v>
      </c>
      <c r="F736" s="56" t="n">
        <v>0</v>
      </c>
      <c r="G736" s="56" t="n">
        <v>665000000</v>
      </c>
      <c r="H736" s="56" t="n">
        <v>682000000</v>
      </c>
      <c r="I736" s="56" t="n">
        <v>584000000</v>
      </c>
    </row>
    <row r="741" ht="15.5" customHeight="1" s="203">
      <c r="B741" s="38" t="inlineStr">
        <is>
          <t>Additional Items (Taxonomy Vintage 2017-03-31)</t>
        </is>
      </c>
    </row>
    <row r="742">
      <c r="B742" s="54" t="inlineStr">
        <is>
          <t>Minimum operating lease payments recognised as expense</t>
        </is>
      </c>
      <c r="C742" s="55" t="inlineStr">
        <is>
          <t>MinimumOperatingLeasePayments</t>
        </is>
      </c>
      <c r="D742" s="56" t="n">
        <v>1554000000</v>
      </c>
      <c r="E742" s="56" t="n">
        <v>1842000000</v>
      </c>
      <c r="F742" s="56" t="n">
        <v>1804000000</v>
      </c>
      <c r="G742" s="56" t="n">
        <v>1380000000</v>
      </c>
      <c r="H742" s="56" t="n">
        <v>1567000000</v>
      </c>
      <c r="I742" s="56" t="n">
        <v>0</v>
      </c>
    </row>
    <row r="743">
      <c r="B743" s="57" t="inlineStr">
        <is>
          <t>Total lease and sublease payments recognised as expense</t>
        </is>
      </c>
      <c r="C743" s="55" t="inlineStr">
        <is>
          <t>LeaseAndSubleasePaymentsRecognisedAsExpense</t>
        </is>
      </c>
      <c r="D743" s="58" t="n">
        <v>1554000000</v>
      </c>
      <c r="E743" s="58" t="n">
        <v>1842000000</v>
      </c>
      <c r="F743" s="58" t="n">
        <v>1804000000</v>
      </c>
      <c r="G743" s="58" t="n">
        <v>1380000000</v>
      </c>
      <c r="H743" s="58" t="n">
        <v>1567000000</v>
      </c>
      <c r="I743" s="58" t="n">
        <v>0</v>
      </c>
    </row>
    <row r="746" ht="15.5" customHeight="1" s="203">
      <c r="A746" t="inlineStr">
        <is>
          <t>#</t>
        </is>
      </c>
      <c r="B746" s="38" t="inlineStr">
        <is>
          <t>Notes to General: Non Current Asset Held For Sale And Discontinued Operations</t>
        </is>
      </c>
    </row>
    <row r="748">
      <c r="C748" s="53" t="inlineStr">
        <is>
          <t>Concept Tag</t>
        </is>
      </c>
      <c r="D748" s="20" t="inlineStr">
        <is>
          <t>FY2017</t>
        </is>
      </c>
      <c r="E748" s="20" t="inlineStr">
        <is>
          <t>FY2018</t>
        </is>
      </c>
      <c r="F748" s="20" t="inlineStr">
        <is>
          <t>FY2019</t>
        </is>
      </c>
      <c r="G748" s="20" t="inlineStr">
        <is>
          <t>FY2020</t>
        </is>
      </c>
      <c r="H748" s="20" t="inlineStr">
        <is>
          <t>FY2021</t>
        </is>
      </c>
      <c r="I748" s="20" t="inlineStr">
        <is>
          <t>FY2022</t>
        </is>
      </c>
    </row>
    <row r="750" ht="15.5" customHeight="1" s="203">
      <c r="B750" s="38" t="inlineStr">
        <is>
          <t>Cash flows from continuing and discontinued operations [Abstract]</t>
        </is>
      </c>
    </row>
    <row r="751">
      <c r="B751" s="59" t="inlineStr">
        <is>
          <t>Cash flows from used in operating activities [Abstract]</t>
        </is>
      </c>
    </row>
    <row r="752">
      <c r="B752" s="62" t="inlineStr">
        <is>
          <t>Net cash flows from (used in) operating activities, continuing operations</t>
        </is>
      </c>
      <c r="C752" s="55" t="inlineStr">
        <is>
          <t>CashFlowsFromUsedInOperatingActivitiesContinuingOperations</t>
        </is>
      </c>
      <c r="D752" s="56" t="n">
        <v>12497000000</v>
      </c>
      <c r="E752" s="56" t="n">
        <v>7109000000</v>
      </c>
      <c r="F752" s="56" t="n">
        <v>12475000000</v>
      </c>
      <c r="G752" s="56" t="n">
        <v>16441000000</v>
      </c>
      <c r="H752" s="56" t="n">
        <v>21795000000</v>
      </c>
      <c r="I752" s="56" t="n">
        <v>16070000000</v>
      </c>
    </row>
    <row r="753">
      <c r="B753" s="67" t="inlineStr">
        <is>
          <t>Net cash flows from (used in) operating activities</t>
        </is>
      </c>
      <c r="C753" s="55" t="inlineStr">
        <is>
          <t>CashFlowsFromUsedInOperatingActivities</t>
        </is>
      </c>
      <c r="D753" s="58" t="n">
        <v>12497000000</v>
      </c>
      <c r="E753" s="58" t="n">
        <v>7109000000</v>
      </c>
      <c r="F753" s="58" t="n">
        <v>12475000000</v>
      </c>
      <c r="G753" s="58" t="n">
        <v>16441000000</v>
      </c>
      <c r="H753" s="58" t="n">
        <v>21795000000</v>
      </c>
      <c r="I753" s="58" t="n">
        <v>16070000000</v>
      </c>
    </row>
    <row r="754">
      <c r="B754" s="59" t="inlineStr">
        <is>
          <t>Cash flows from used in investing activities [Abstract]</t>
        </is>
      </c>
    </row>
    <row r="755">
      <c r="B755" s="62" t="inlineStr">
        <is>
          <t>Net cash flows from (used in) investing activities, continuing operations</t>
        </is>
      </c>
      <c r="C755" s="55" t="inlineStr">
        <is>
          <t>CashFlowsFromUsedInInvestingActivitiesContinuingOperations</t>
        </is>
      </c>
      <c r="D755" s="56" t="n">
        <v>-9276000000</v>
      </c>
      <c r="E755" s="56" t="n">
        <v>-2498000000</v>
      </c>
      <c r="F755" s="56" t="n">
        <v>-6827000000</v>
      </c>
      <c r="G755" s="56" t="n">
        <v>-5782000000</v>
      </c>
      <c r="H755" s="56" t="n">
        <v>-16382000000</v>
      </c>
      <c r="I755" s="56" t="n">
        <v>-6687000000</v>
      </c>
    </row>
    <row r="756">
      <c r="B756" s="67" t="inlineStr">
        <is>
          <t>Net cash flows from (used in) investing activities</t>
        </is>
      </c>
      <c r="C756" s="55" t="inlineStr">
        <is>
          <t>CashFlowsFromUsedInInvestingActivities</t>
        </is>
      </c>
      <c r="D756" s="58" t="n">
        <v>-9276000000</v>
      </c>
      <c r="E756" s="58" t="n">
        <v>-2498000000</v>
      </c>
      <c r="F756" s="58" t="n">
        <v>-6827000000</v>
      </c>
      <c r="G756" s="58" t="n">
        <v>-5782000000</v>
      </c>
      <c r="H756" s="58" t="n">
        <v>-16382000000</v>
      </c>
      <c r="I756" s="58" t="n">
        <v>-6687000000</v>
      </c>
    </row>
    <row r="757">
      <c r="B757" s="59" t="inlineStr">
        <is>
          <t>Cash flows from used in financing activities [Abstract]</t>
        </is>
      </c>
    </row>
    <row r="758">
      <c r="B758" s="62" t="inlineStr">
        <is>
          <t>Net cash flows from (used in) financing activities, continuing operations</t>
        </is>
      </c>
      <c r="C758" s="55" t="inlineStr">
        <is>
          <t>CashFlowsFromUsedInFinancingActivitiesContinuingOperations</t>
        </is>
      </c>
      <c r="D758" s="56" t="n">
        <v>-2462000000</v>
      </c>
      <c r="E758" s="56" t="n">
        <v>-4076000000</v>
      </c>
      <c r="F758" s="56" t="n">
        <v>-5951000000</v>
      </c>
      <c r="G758" s="56" t="n">
        <v>-9185000000</v>
      </c>
      <c r="H758" s="56" t="n">
        <v>-5128000000</v>
      </c>
      <c r="I758" s="56" t="n">
        <v>-10469000000</v>
      </c>
    </row>
    <row r="759">
      <c r="B759" s="67" t="inlineStr">
        <is>
          <t>Net cash flows from (used in) financing activities</t>
        </is>
      </c>
      <c r="C759" s="55" t="inlineStr">
        <is>
          <t>CashFlowsFromUsedInFinancingActivities</t>
        </is>
      </c>
      <c r="D759" s="58" t="n">
        <v>-2462000000</v>
      </c>
      <c r="E759" s="58" t="n">
        <v>-4076000000</v>
      </c>
      <c r="F759" s="58" t="n">
        <v>-5951000000</v>
      </c>
      <c r="G759" s="58" t="n">
        <v>-9185000000</v>
      </c>
      <c r="H759" s="58" t="n">
        <v>-5128000000</v>
      </c>
      <c r="I759" s="58" t="n">
        <v>-10469000000</v>
      </c>
    </row>
    <row r="762" ht="15.5" customHeight="1" s="203">
      <c r="A762" t="inlineStr">
        <is>
          <t>#</t>
        </is>
      </c>
      <c r="B762" s="38" t="inlineStr">
        <is>
          <t>Notes to General: Operating Segments</t>
        </is>
      </c>
    </row>
    <row r="764">
      <c r="C764" s="53" t="inlineStr">
        <is>
          <t>Concept Tag</t>
        </is>
      </c>
      <c r="D764" s="20" t="inlineStr">
        <is>
          <t>FY2017</t>
        </is>
      </c>
      <c r="E764" s="20" t="inlineStr">
        <is>
          <t>FY2018</t>
        </is>
      </c>
      <c r="F764" s="20" t="inlineStr">
        <is>
          <t>FY2019</t>
        </is>
      </c>
      <c r="G764" s="20" t="inlineStr">
        <is>
          <t>FY2020</t>
        </is>
      </c>
      <c r="H764" s="20" t="inlineStr">
        <is>
          <t>FY2021</t>
        </is>
      </c>
      <c r="I764" s="20" t="inlineStr">
        <is>
          <t>FY2022</t>
        </is>
      </c>
    </row>
    <row r="765">
      <c r="B765" s="59" t="inlineStr">
        <is>
          <t>Disclosure of reportable segments [Abstract]</t>
        </is>
      </c>
    </row>
    <row r="766">
      <c r="B766" s="60" t="inlineStr">
        <is>
          <t>Disclosure of reportable segments [Line items]</t>
        </is>
      </c>
    </row>
    <row r="767">
      <c r="B767" s="61" t="inlineStr">
        <is>
          <t>Revenue primary reportable segment</t>
        </is>
      </c>
      <c r="C767" s="55" t="inlineStr">
        <is>
          <t>RevenuePrimaryReportableSegment</t>
        </is>
      </c>
      <c r="D767" s="56" t="n">
        <v>61829000000</v>
      </c>
      <c r="E767" s="56" t="n">
        <v>69064000000</v>
      </c>
      <c r="F767" s="56" t="n">
        <v>89072000000</v>
      </c>
      <c r="G767" s="56" t="n">
        <v>108786000000</v>
      </c>
      <c r="H767" s="56" t="n">
        <v>123698000000</v>
      </c>
      <c r="I767" s="56" t="n">
        <v>0</v>
      </c>
    </row>
    <row r="768">
      <c r="B768" s="65" t="inlineStr">
        <is>
          <t>Total revenues from external customers and transactions with other reportable segments of same enterprise reportable segment</t>
        </is>
      </c>
      <c r="C768" s="55" t="inlineStr">
        <is>
          <t>RevenuesFromExternalCustomersAndTransactionsWithOtherReportableSegmentsOfSameEnterpriseReportableSegment</t>
        </is>
      </c>
      <c r="D768" s="58" t="n">
        <v>61829000000</v>
      </c>
      <c r="E768" s="58" t="n">
        <v>69064000000</v>
      </c>
      <c r="F768" s="58" t="n">
        <v>89072000000</v>
      </c>
      <c r="G768" s="58" t="n">
        <v>108786000000</v>
      </c>
      <c r="H768" s="58" t="n">
        <v>123698000000</v>
      </c>
      <c r="I768" s="58" t="n">
        <v>0</v>
      </c>
    </row>
    <row r="769">
      <c r="B769" s="61" t="inlineStr">
        <is>
          <t>Profit (loss) before tax reportable segment</t>
        </is>
      </c>
      <c r="C769" s="55" t="inlineStr">
        <is>
          <t>ProfitLossBeforeTaxReportableSegment</t>
        </is>
      </c>
      <c r="D769" s="56" t="n">
        <v>14907000000</v>
      </c>
      <c r="E769" s="56" t="n">
        <v>0</v>
      </c>
      <c r="F769" s="56" t="n">
        <v>0</v>
      </c>
      <c r="G769" s="56" t="n">
        <v>0</v>
      </c>
      <c r="H769" s="56" t="n">
        <v>0</v>
      </c>
      <c r="I769" s="56" t="n">
        <v>0</v>
      </c>
    </row>
    <row r="770">
      <c r="B770" s="61" t="inlineStr">
        <is>
          <t>Profit (loss) reportable segment</t>
        </is>
      </c>
      <c r="C770" s="55" t="inlineStr">
        <is>
          <t>ProfitLossReportableSegment</t>
        </is>
      </c>
      <c r="D770" s="56" t="n">
        <v>0</v>
      </c>
      <c r="E770" s="56" t="n">
        <v>0</v>
      </c>
      <c r="F770" s="56" t="n">
        <v>17531000000</v>
      </c>
      <c r="G770" s="56" t="n">
        <v>20842000000</v>
      </c>
      <c r="H770" s="56" t="n">
        <v>27454000000</v>
      </c>
      <c r="I770" s="56" t="n">
        <v>0</v>
      </c>
    </row>
    <row r="771">
      <c r="B771" s="59" t="inlineStr">
        <is>
          <t>Disclosure of products and services [Abstract]</t>
        </is>
      </c>
    </row>
    <row r="772">
      <c r="B772" s="60" t="inlineStr">
        <is>
          <t>Disclosure of products and services [Line items]</t>
        </is>
      </c>
    </row>
    <row r="773">
      <c r="B773" s="61" t="inlineStr">
        <is>
          <t>Revenue from external customers</t>
        </is>
      </c>
      <c r="C773" s="55" t="inlineStr">
        <is>
          <t>RevenueFromExternalCustomers</t>
        </is>
      </c>
      <c r="D773" s="56" t="n">
        <v>61829000000</v>
      </c>
      <c r="E773" s="56" t="n">
        <v>69064000000</v>
      </c>
      <c r="F773" s="56" t="n">
        <v>89072000000</v>
      </c>
      <c r="G773" s="56" t="n">
        <v>108786000000</v>
      </c>
      <c r="H773" s="56" t="n">
        <v>123698000000</v>
      </c>
      <c r="I773" s="56" t="n">
        <v>0</v>
      </c>
    </row>
    <row r="774">
      <c r="B774" s="59" t="inlineStr">
        <is>
          <t>Disclosure of geographical areas [Abstract]</t>
        </is>
      </c>
    </row>
    <row r="775">
      <c r="B775" s="60" t="inlineStr">
        <is>
          <t>Disclosure of geographical areas [Line items]</t>
        </is>
      </c>
    </row>
    <row r="776">
      <c r="B776" s="61" t="inlineStr">
        <is>
          <t>Revenue from external customers</t>
        </is>
      </c>
      <c r="C776" s="55" t="inlineStr">
        <is>
          <t>RevenueFromExternalCustomers</t>
        </is>
      </c>
      <c r="D776" s="56" t="n">
        <v>61829000000</v>
      </c>
      <c r="E776" s="56" t="n">
        <v>69064000000</v>
      </c>
      <c r="F776" s="56" t="n">
        <v>89072000000</v>
      </c>
      <c r="G776" s="56" t="n">
        <v>108786000000</v>
      </c>
      <c r="H776" s="56" t="n">
        <v>123698000000</v>
      </c>
      <c r="I776" s="56" t="n">
        <v>0</v>
      </c>
    </row>
    <row r="777">
      <c r="B777" s="59" t="inlineStr">
        <is>
          <t>Disclosure of major customers [Abstract]</t>
        </is>
      </c>
    </row>
    <row r="778">
      <c r="B778" s="60" t="inlineStr">
        <is>
          <t>Disclosure of major customers [Line items]</t>
        </is>
      </c>
    </row>
    <row r="779">
      <c r="B779" s="61" t="inlineStr">
        <is>
          <t>Revenue from external customers</t>
        </is>
      </c>
      <c r="C779" s="55" t="inlineStr">
        <is>
          <t>RevenueFromExternalCustomers</t>
        </is>
      </c>
      <c r="D779" s="56" t="n">
        <v>61829000000</v>
      </c>
      <c r="E779" s="56" t="n">
        <v>69064000000</v>
      </c>
      <c r="F779" s="56" t="n">
        <v>89072000000</v>
      </c>
      <c r="G779" s="56" t="n">
        <v>108786000000</v>
      </c>
      <c r="H779" s="56" t="n">
        <v>123698000000</v>
      </c>
      <c r="I779" s="56" t="n">
        <v>0</v>
      </c>
    </row>
  </sheetData>
  <pageMargins left="0.75" right="0.75" top="1" bottom="1" header="0.5" footer="0.5"/>
</worksheet>
</file>

<file path=xl/worksheets/sheet21.xml><?xml version="1.0" encoding="utf-8"?>
<worksheet xmlns="http://schemas.openxmlformats.org/spreadsheetml/2006/main">
  <sheetPr>
    <tabColor rgb="001F4E78"/>
    <outlinePr summaryBelow="1" summaryRight="1"/>
    <pageSetUpPr/>
  </sheetPr>
  <dimension ref="A1:R143"/>
  <sheetViews>
    <sheetView showGridLines="0" workbookViewId="0">
      <selection activeCell="A1" sqref="A1"/>
    </sheetView>
  </sheetViews>
  <sheetFormatPr baseColWidth="8" defaultRowHeight="14.5"/>
  <cols>
    <col width="3.453125" customWidth="1" style="203" min="1" max="1"/>
    <col width="65" customWidth="1" style="203" min="2" max="2"/>
    <col width="17" customWidth="1" style="203" min="3" max="19"/>
  </cols>
  <sheetData>
    <row r="1" ht="18.5" customHeight="1" s="203">
      <c r="A1" t="inlineStr">
        <is>
          <t>#</t>
        </is>
      </c>
      <c r="B1" s="78" t="inlineStr">
        <is>
          <t>Revenue Schedule</t>
        </is>
      </c>
    </row>
    <row r="4">
      <c r="B4" s="205" t="inlineStr">
        <is>
          <t>Total Revenue from Sale of Products</t>
        </is>
      </c>
      <c r="C4" s="80">
        <f>IFERROR(INDEX(LTI_HS_CONSOLIDATED!D:D,MATCH("RevenueFromSaleOfProducts",LTI_HS_CONSOLIDATED!$C:$C,0)),0)</f>
        <v/>
      </c>
      <c r="D4" s="80">
        <f>IFERROR(INDEX(LTI_HS_CONSOLIDATED!E:E,MATCH("RevenueFromSaleOfProducts",LTI_HS_CONSOLIDATED!$C:$C,0)),0)</f>
        <v/>
      </c>
      <c r="E4" s="80">
        <f>IFERROR(INDEX(LTI_HS_CONSOLIDATED!F:F,MATCH("RevenueFromSaleOfProducts",LTI_HS_CONSOLIDATED!$C:$C,0)),0)</f>
        <v/>
      </c>
      <c r="F4" s="80">
        <f>IFERROR(INDEX(LTI_HS_CONSOLIDATED!G:G,MATCH("RevenueFromSaleOfProducts",LTI_HS_CONSOLIDATED!$C:$C,0)),0)</f>
        <v/>
      </c>
      <c r="G4" s="80">
        <f>IFERROR(INDEX(LTI_HS_CONSOLIDATED!H:H,MATCH("RevenueFromSaleOfProducts",LTI_HS_CONSOLIDATED!$C:$C,0)),0)</f>
        <v/>
      </c>
      <c r="H4" s="80">
        <f>IFERROR(INDEX(LTI_HS_CONSOLIDATED!I:I,MATCH("RevenueFromSaleOfProducts",LTI_HS_CONSOLIDATED!$C:$C,0)),0)</f>
        <v/>
      </c>
      <c r="I4" s="81">
        <f>H4*(1+'LTI_Inputs &amp; Assumptions'!C16)</f>
        <v/>
      </c>
      <c r="J4" s="81">
        <f>I4*(1+'LTI_Inputs &amp; Assumptions'!D16)</f>
        <v/>
      </c>
      <c r="K4" s="81">
        <f>J4*(1+'LTI_Inputs &amp; Assumptions'!E16)</f>
        <v/>
      </c>
      <c r="L4" s="81">
        <f>K4*(1+'LTI_Inputs &amp; Assumptions'!F16)</f>
        <v/>
      </c>
      <c r="M4" s="81">
        <f>L4*(1+'LTI_Inputs &amp; Assumptions'!G16)</f>
        <v/>
      </c>
      <c r="N4" s="81">
        <f>M4*(1+'LTI_Inputs &amp; Assumptions'!H16)</f>
        <v/>
      </c>
      <c r="O4" s="81">
        <f>N4*(1+'LTI_Inputs &amp; Assumptions'!I16)</f>
        <v/>
      </c>
      <c r="P4" s="81">
        <f>O4*(1+'LTI_Inputs &amp; Assumptions'!J16)</f>
        <v/>
      </c>
      <c r="Q4" s="81">
        <f>P4*(1+'LTI_Inputs &amp; Assumptions'!K16)</f>
        <v/>
      </c>
      <c r="R4" s="81">
        <f>Q4*(1+'LTI_Inputs &amp; Assumptions'!L16)</f>
        <v/>
      </c>
    </row>
    <row r="5">
      <c r="B5" s="205" t="inlineStr">
        <is>
          <t>Total Revenue from Sale of Services</t>
        </is>
      </c>
      <c r="C5" s="80">
        <f>IFERROR(INDEX(LTI_HS_CONSOLIDATED!D:D,MATCH("RevenueFromSaleOfServices",LTI_HS_CONSOLIDATED!$C:$C,0)),0)</f>
        <v/>
      </c>
      <c r="D5" s="80">
        <f>IFERROR(INDEX(LTI_HS_CONSOLIDATED!E:E,MATCH("RevenueFromSaleOfServices",LTI_HS_CONSOLIDATED!$C:$C,0)),0)</f>
        <v/>
      </c>
      <c r="E5" s="80">
        <f>IFERROR(INDEX(LTI_HS_CONSOLIDATED!F:F,MATCH("RevenueFromSaleOfServices",LTI_HS_CONSOLIDATED!$C:$C,0)),0)</f>
        <v/>
      </c>
      <c r="F5" s="80">
        <f>IFERROR(INDEX(LTI_HS_CONSOLIDATED!G:G,MATCH("RevenueFromSaleOfServices",LTI_HS_CONSOLIDATED!$C:$C,0)),0)</f>
        <v/>
      </c>
      <c r="G5" s="80">
        <f>IFERROR(INDEX(LTI_HS_CONSOLIDATED!H:H,MATCH("RevenueFromSaleOfServices",LTI_HS_CONSOLIDATED!$C:$C,0)),0)</f>
        <v/>
      </c>
      <c r="H5" s="80">
        <f>IFERROR(INDEX(LTI_HS_CONSOLIDATED!I:I,MATCH("RevenueFromSaleOfServices",LTI_HS_CONSOLIDATED!$C:$C,0)),0)</f>
        <v/>
      </c>
      <c r="I5" s="81">
        <f>H5*(1+'LTI_Inputs &amp; Assumptions'!C24)</f>
        <v/>
      </c>
      <c r="J5" s="81">
        <f>I5*(1+'LTI_Inputs &amp; Assumptions'!D24)</f>
        <v/>
      </c>
      <c r="K5" s="81">
        <f>J5*(1+'LTI_Inputs &amp; Assumptions'!E24)</f>
        <v/>
      </c>
      <c r="L5" s="81">
        <f>K5*(1+'LTI_Inputs &amp; Assumptions'!F24)</f>
        <v/>
      </c>
      <c r="M5" s="81">
        <f>L5*(1+'LTI_Inputs &amp; Assumptions'!G24)</f>
        <v/>
      </c>
      <c r="N5" s="81">
        <f>M5*(1+'LTI_Inputs &amp; Assumptions'!H24)</f>
        <v/>
      </c>
      <c r="O5" s="81">
        <f>N5*(1+'LTI_Inputs &amp; Assumptions'!I24)</f>
        <v/>
      </c>
      <c r="P5" s="81">
        <f>O5*(1+'LTI_Inputs &amp; Assumptions'!J24)</f>
        <v/>
      </c>
      <c r="Q5" s="81">
        <f>P5*(1+'LTI_Inputs &amp; Assumptions'!K24)</f>
        <v/>
      </c>
      <c r="R5" s="81">
        <f>Q5*(1+'LTI_Inputs &amp; Assumptions'!L24)</f>
        <v/>
      </c>
    </row>
    <row r="6">
      <c r="B6" s="205" t="inlineStr">
        <is>
          <t>Miscellaneous Other Operating Revenue</t>
        </is>
      </c>
      <c r="C6" s="80">
        <f>IFERROR(INDEX(LTI_HS_CONSOLIDATED!D:D,MATCH("OtherOperatingRevenues",LTI_HS_CONSOLIDATED!$C:$C,0)),0)</f>
        <v/>
      </c>
      <c r="D6" s="80">
        <f>IFERROR(INDEX(LTI_HS_CONSOLIDATED!E:E,MATCH("OtherOperatingRevenues",LTI_HS_CONSOLIDATED!$C:$C,0)),0)</f>
        <v/>
      </c>
      <c r="E6" s="80">
        <f>IFERROR(INDEX(LTI_HS_CONSOLIDATED!F:F,MATCH("OtherOperatingRevenues",LTI_HS_CONSOLIDATED!$C:$C,0)),0)</f>
        <v/>
      </c>
      <c r="F6" s="80">
        <f>IFERROR(INDEX(LTI_HS_CONSOLIDATED!G:G,MATCH("OtherOperatingRevenues",LTI_HS_CONSOLIDATED!$C:$C,0)),0)</f>
        <v/>
      </c>
      <c r="G6" s="80">
        <f>IFERROR(INDEX(LTI_HS_CONSOLIDATED!H:H,MATCH("OtherOperatingRevenues",LTI_HS_CONSOLIDATED!$C:$C,0)),0)</f>
        <v/>
      </c>
      <c r="H6" s="80">
        <f>IFERROR(INDEX(LTI_HS_CONSOLIDATED!I:I,MATCH("OtherOperatingRevenues",LTI_HS_CONSOLIDATED!$C:$C,0)),0)</f>
        <v/>
      </c>
      <c r="I6" s="81">
        <f>(I4+I5)*IF('LTI_Inputs &amp; Assumptions'!C22="",'LTI_Inputs &amp; Assumptions'!C21,'LTI_Inputs &amp; Assumptions'!C22)</f>
        <v/>
      </c>
      <c r="J6" s="81">
        <f>(J4+J5)*IF('LTI_Inputs &amp; Assumptions'!D22="",'LTI_Inputs &amp; Assumptions'!D21,'LTI_Inputs &amp; Assumptions'!D22)</f>
        <v/>
      </c>
      <c r="K6" s="81">
        <f>(K4+K5)*IF('LTI_Inputs &amp; Assumptions'!E22="",'LTI_Inputs &amp; Assumptions'!E21,'LTI_Inputs &amp; Assumptions'!E22)</f>
        <v/>
      </c>
      <c r="L6" s="81">
        <f>(L4+L5)*IF('LTI_Inputs &amp; Assumptions'!F22="",'LTI_Inputs &amp; Assumptions'!F21,'LTI_Inputs &amp; Assumptions'!F22)</f>
        <v/>
      </c>
      <c r="M6" s="81">
        <f>(M4+M5)*IF('LTI_Inputs &amp; Assumptions'!G22="",'LTI_Inputs &amp; Assumptions'!G21,'LTI_Inputs &amp; Assumptions'!G22)</f>
        <v/>
      </c>
      <c r="N6" s="81">
        <f>(N4+N5)*IF('LTI_Inputs &amp; Assumptions'!H22="",'LTI_Inputs &amp; Assumptions'!H21,'LTI_Inputs &amp; Assumptions'!H22)</f>
        <v/>
      </c>
      <c r="O6" s="81">
        <f>(O4+O5)*IF('LTI_Inputs &amp; Assumptions'!I22="",'LTI_Inputs &amp; Assumptions'!I21,'LTI_Inputs &amp; Assumptions'!I22)</f>
        <v/>
      </c>
      <c r="P6" s="81">
        <f>(P4+P5)*IF('LTI_Inputs &amp; Assumptions'!J22="",'LTI_Inputs &amp; Assumptions'!J21,'LTI_Inputs &amp; Assumptions'!J22)</f>
        <v/>
      </c>
      <c r="Q6" s="81">
        <f>(Q4+Q5)*IF('LTI_Inputs &amp; Assumptions'!K22="",'LTI_Inputs &amp; Assumptions'!K21,'LTI_Inputs &amp; Assumptions'!K22)</f>
        <v/>
      </c>
      <c r="R6" s="81">
        <f>(R4+R5)*IF('LTI_Inputs &amp; Assumptions'!L22="",'LTI_Inputs &amp; Assumptions'!L21,'LTI_Inputs &amp; Assumptions'!L22)</f>
        <v/>
      </c>
    </row>
    <row r="7">
      <c r="B7" s="82" t="inlineStr">
        <is>
          <t>Total Revenue (= Products + Services + Misc.)</t>
        </is>
      </c>
      <c r="C7" s="83">
        <f>C4+C5+C6</f>
        <v/>
      </c>
      <c r="D7" s="83">
        <f>D4+D5+D6</f>
        <v/>
      </c>
      <c r="E7" s="83">
        <f>E4+E5+E6</f>
        <v/>
      </c>
      <c r="F7" s="83">
        <f>F4+F5+F6</f>
        <v/>
      </c>
      <c r="G7" s="83">
        <f>G4+G5+G6</f>
        <v/>
      </c>
      <c r="H7" s="83">
        <f>H4+H5+H6</f>
        <v/>
      </c>
      <c r="I7" s="83">
        <f>I4+I5+I6</f>
        <v/>
      </c>
      <c r="J7" s="83">
        <f>J4+J5+J6</f>
        <v/>
      </c>
      <c r="K7" s="83">
        <f>K4+K5+K6</f>
        <v/>
      </c>
      <c r="L7" s="83">
        <f>L4+L5+L6</f>
        <v/>
      </c>
      <c r="M7" s="83">
        <f>M4+M5+M6</f>
        <v/>
      </c>
      <c r="N7" s="83">
        <f>N4+N5+N6</f>
        <v/>
      </c>
      <c r="O7" s="83">
        <f>O4+O5+O6</f>
        <v/>
      </c>
      <c r="P7" s="83">
        <f>P4+P5+P6</f>
        <v/>
      </c>
      <c r="Q7" s="83">
        <f>Q4+Q5+Q6</f>
        <v/>
      </c>
      <c r="R7" s="83">
        <f>R4+R5+R6</f>
        <v/>
      </c>
    </row>
    <row r="8">
      <c r="B8" s="202" t="inlineStr">
        <is>
          <t>Tie-check, historical only (Total Revenue - reported Total revenue from operations)</t>
        </is>
      </c>
      <c r="C8" s="85">
        <f>C7-IFERROR(INDEX(LTI_HS_CONSOLIDATED!D:D,MATCH("RevenueFromOperations",LTI_HS_CONSOLIDATED!$C:$C,0)),0)</f>
        <v/>
      </c>
      <c r="D8" s="85">
        <f>D7-IFERROR(INDEX(LTI_HS_CONSOLIDATED!E:E,MATCH("RevenueFromOperations",LTI_HS_CONSOLIDATED!$C:$C,0)),0)</f>
        <v/>
      </c>
      <c r="E8" s="85">
        <f>E7-IFERROR(INDEX(LTI_HS_CONSOLIDATED!F:F,MATCH("RevenueFromOperations",LTI_HS_CONSOLIDATED!$C:$C,0)),0)</f>
        <v/>
      </c>
      <c r="F8" s="85">
        <f>F7-IFERROR(INDEX(LTI_HS_CONSOLIDATED!G:G,MATCH("RevenueFromOperations",LTI_HS_CONSOLIDATED!$C:$C,0)),0)</f>
        <v/>
      </c>
      <c r="G8" s="85">
        <f>G7-IFERROR(INDEX(LTI_HS_CONSOLIDATED!H:H,MATCH("RevenueFromOperations",LTI_HS_CONSOLIDATED!$C:$C,0)),0)</f>
        <v/>
      </c>
      <c r="H8" s="85">
        <f>H7-IFERROR(INDEX(LTI_HS_CONSOLIDATED!I:I,MATCH("RevenueFromOperations",LTI_HS_CONSOLIDATED!$C:$C,0)),0)</f>
        <v/>
      </c>
    </row>
    <row r="11">
      <c r="B11" s="211" t="inlineStr">
        <is>
          <t>Time index (1..6)</t>
        </is>
      </c>
      <c r="C11" s="86" t="n">
        <v>1</v>
      </c>
      <c r="D11" s="86" t="n">
        <v>2</v>
      </c>
      <c r="E11" s="86" t="n">
        <v>3</v>
      </c>
      <c r="F11" s="86" t="n">
        <v>4</v>
      </c>
      <c r="G11" s="86" t="n">
        <v>5</v>
      </c>
      <c r="H11" s="86" t="n">
        <v>6</v>
      </c>
    </row>
    <row r="12">
      <c r="B12" s="211" t="inlineStr">
        <is>
          <t>LN(Products), zero-years excluded (skipped in the SLOPE range)</t>
        </is>
      </c>
      <c r="C12" s="86">
        <f>IFERROR(LN(C4),"")</f>
        <v/>
      </c>
      <c r="D12" s="86">
        <f>IFERROR(LN(D4),"")</f>
        <v/>
      </c>
      <c r="E12" s="86">
        <f>IFERROR(LN(E4),"")</f>
        <v/>
      </c>
      <c r="F12" s="86">
        <f>IFERROR(LN(F4),"")</f>
        <v/>
      </c>
      <c r="G12" s="86">
        <f>IFERROR(LN(G4),"")</f>
        <v/>
      </c>
      <c r="H12" s="86">
        <f>IFERROR(LN(H4),"")</f>
        <v/>
      </c>
    </row>
    <row r="13">
      <c r="B13" s="211" t="inlineStr">
        <is>
          <t>LN(Total Revenue)</t>
        </is>
      </c>
      <c r="C13" s="86">
        <f>IFERROR(LN(C7),"")</f>
        <v/>
      </c>
      <c r="D13" s="86">
        <f>IFERROR(LN(D7),"")</f>
        <v/>
      </c>
      <c r="E13" s="86">
        <f>IFERROR(LN(E7),"")</f>
        <v/>
      </c>
      <c r="F13" s="86">
        <f>IFERROR(LN(F7),"")</f>
        <v/>
      </c>
      <c r="G13" s="86">
        <f>IFERROR(LN(G7),"")</f>
        <v/>
      </c>
      <c r="H13" s="86">
        <f>IFERROR(LN(H7),"")</f>
        <v/>
      </c>
    </row>
    <row r="14">
      <c r="B14" s="211" t="inlineStr">
        <is>
          <t>Total Revenue YoY Growth %, per year</t>
        </is>
      </c>
      <c r="D14" s="87">
        <f>IFERROR(D7/C7-1,"")</f>
        <v/>
      </c>
      <c r="E14" s="87">
        <f>IFERROR(E7/D7-1,"")</f>
        <v/>
      </c>
      <c r="F14" s="87">
        <f>IFERROR(F7/E7-1,"")</f>
        <v/>
      </c>
      <c r="G14" s="87">
        <f>IFERROR(G7/F7-1,"")</f>
        <v/>
      </c>
      <c r="H14" s="87">
        <f>IFERROR(H7/G7-1,"")</f>
        <v/>
      </c>
    </row>
    <row r="15">
      <c r="B15" s="211" t="inlineStr">
        <is>
          <t>IQR Anomaly Fence on YoY Growth (Q1 | Q3 | IQR | Lower Fence | Upper Fence)</t>
        </is>
      </c>
      <c r="C15" s="87">
        <f>QUARTILE(LTI_Schedules!D14:H14,1)</f>
        <v/>
      </c>
      <c r="D15" s="87">
        <f>QUARTILE(LTI_Schedules!D14:H14,3)</f>
        <v/>
      </c>
      <c r="E15" s="87">
        <f>D15-C15</f>
        <v/>
      </c>
      <c r="F15" s="87">
        <f>C15-1.5*E15</f>
        <v/>
      </c>
      <c r="G15" s="87">
        <f>D15+1.5*E15</f>
        <v/>
      </c>
    </row>
    <row r="16">
      <c r="B16" s="211" t="inlineStr">
        <is>
          <t>Inclusion Flag (1=included in trend, 0=excluded as a statistical anomaly)</t>
        </is>
      </c>
      <c r="C16" s="86" t="n">
        <v>1</v>
      </c>
      <c r="D16" s="86">
        <f>IF(IF('LTI_Inputs &amp; Assumptions'!$C$6="",'LTI_Inputs &amp; Assumptions'!$C$5,'LTI_Inputs &amp; Assumptions'!$C$6)=0,1,IF(AND(D14&lt;&gt;"",D14&gt;=$F$15,D14&lt;=$G$15),1,0))</f>
        <v/>
      </c>
      <c r="E16" s="86">
        <f>IF(IF('LTI_Inputs &amp; Assumptions'!$C$6="",'LTI_Inputs &amp; Assumptions'!$C$5,'LTI_Inputs &amp; Assumptions'!$C$6)=0,1,IF(AND(E14&lt;&gt;"",E14&gt;=$F$15,E14&lt;=$G$15),1,0))</f>
        <v/>
      </c>
      <c r="F16" s="86">
        <f>IF(IF('LTI_Inputs &amp; Assumptions'!$C$6="",'LTI_Inputs &amp; Assumptions'!$C$5,'LTI_Inputs &amp; Assumptions'!$C$6)=0,1,IF(AND(F14&lt;&gt;"",F14&gt;=$F$15,F14&lt;=$G$15),1,0))</f>
        <v/>
      </c>
      <c r="G16" s="86">
        <f>IF(IF('LTI_Inputs &amp; Assumptions'!$C$6="",'LTI_Inputs &amp; Assumptions'!$C$5,'LTI_Inputs &amp; Assumptions'!$C$6)=0,1,IF(AND(G14&lt;&gt;"",G14&gt;=$F$15,G14&lt;=$G$15),1,0))</f>
        <v/>
      </c>
      <c r="H16" s="86">
        <f>IF(IF('LTI_Inputs &amp; Assumptions'!$C$6="",'LTI_Inputs &amp; Assumptions'!$C$5,'LTI_Inputs &amp; Assumptions'!$C$6)=0,1,IF(AND(H14&lt;&gt;"",H14&gt;=$F$15,H14&lt;=$G$15),1,0))</f>
        <v/>
      </c>
    </row>
    <row r="17">
      <c r="B17" s="211" t="inlineStr">
        <is>
          <t>LN(Total Revenue), anomalous years excluded per the Inclusion Flag above</t>
        </is>
      </c>
      <c r="C17" s="86">
        <f>IF(C16=1,IFERROR(LN(C7),""),"")</f>
        <v/>
      </c>
      <c r="D17" s="86">
        <f>IF(D16=1,IFERROR(LN(D7),""),"")</f>
        <v/>
      </c>
      <c r="E17" s="86">
        <f>IF(E16=1,IFERROR(LN(E7),""),"")</f>
        <v/>
      </c>
      <c r="F17" s="86">
        <f>IF(F16=1,IFERROR(LN(F7),""),"")</f>
        <v/>
      </c>
      <c r="G17" s="86">
        <f>IF(G16=1,IFERROR(LN(G7),""),"")</f>
        <v/>
      </c>
      <c r="H17" s="86">
        <f>IF(H16=1,IFERROR(LN(H7),""),"")</f>
        <v/>
      </c>
    </row>
    <row r="19" ht="30" customHeight="1" s="203">
      <c r="B19" s="88">
        <f>IF(IF('LTI_Inputs &amp; Assumptions'!$C$6="",'LTI_Inputs &amp; Assumptions'!$C$5,'LTI_Inputs &amp; Assumptions'!$C$6)=0,"",IF(_xlfn.TEXTJOIN(", ",TRUE,IF(C16=0,"FY2017",""),IF(D16=0,"FY2018",""),IF(E16=0,"FY2019",""),IF(F16=0,"FY2020",""),IF(G16=0,"FY2021",""),IF(H16=0,"FY2022",""))="","","⚠ Years excluded from the Terminal Growth Rate / PP&amp;E Additions Growth trend as statistical anomalies (outside the IQR fence on YoY growth): "&amp;_xlfn.TEXTJOIN(", ",TRUE,IF(C16=0,"FY2017",""),IF(D16=0,"FY2018",""),IF(E16=0,"FY2019",""),IF(F16=0,"FY2020",""),IF(G16=0,"FY2021",""),IF(H16=0,"FY2022",""))))</f>
        <v/>
      </c>
    </row>
    <row r="21" ht="30" customHeight="1" s="203">
      <c r="B21" s="88">
        <f>IF('LTI_Inputs &amp; Assumptions'!$C$10&lt;0,"⚠ Terminal Growth Rate is negative even after outlier-filtering ("&amp;TEXT('LTI_Inputs &amp; Assumptions'!$C$10,"0.00%")&amp;"). This can be a legitimate result for a company in genuine structural decline (a negative stable growth rate is not automatically an error) -- confirm this is a considered call, not a leftover artifact, before relying on the DCF.","")</f>
        <v/>
      </c>
    </row>
    <row r="23">
      <c r="B23" s="211" t="inlineStr">
        <is>
          <t>Misc. Other Operating Revenue, % of Total Revenue</t>
        </is>
      </c>
      <c r="C23" s="89">
        <f>IFERROR(C6/C7,0)</f>
        <v/>
      </c>
      <c r="D23" s="89">
        <f>IFERROR(D6/D7,0)</f>
        <v/>
      </c>
      <c r="E23" s="89">
        <f>IFERROR(E6/E7,0)</f>
        <v/>
      </c>
      <c r="F23" s="89">
        <f>IFERROR(F6/F7,0)</f>
        <v/>
      </c>
      <c r="G23" s="89">
        <f>IFERROR(G6/G7,0)</f>
        <v/>
      </c>
      <c r="H23" s="89">
        <f>IFERROR(H6/H7,0)</f>
        <v/>
      </c>
    </row>
    <row r="24">
      <c r="B24" s="211" t="inlineStr">
        <is>
          <t>LN(Services), zero-years excluded (skipped in the SLOPE range)</t>
        </is>
      </c>
      <c r="C24" s="86">
        <f>IFERROR(LN(C5),"")</f>
        <v/>
      </c>
      <c r="D24" s="86">
        <f>IFERROR(LN(D5),"")</f>
        <v/>
      </c>
      <c r="E24" s="86">
        <f>IFERROR(LN(E5),"")</f>
        <v/>
      </c>
      <c r="F24" s="86">
        <f>IFERROR(LN(F5),"")</f>
        <v/>
      </c>
      <c r="G24" s="86">
        <f>IFERROR(LN(G5),"")</f>
        <v/>
      </c>
      <c r="H24" s="86">
        <f>IFERROR(LN(H5),"")</f>
        <v/>
      </c>
    </row>
    <row r="27" ht="18.5" customHeight="1" s="203">
      <c r="A27" t="inlineStr">
        <is>
          <t>#</t>
        </is>
      </c>
      <c r="B27" s="78" t="inlineStr">
        <is>
          <t>Working Capital Schedule</t>
        </is>
      </c>
    </row>
    <row r="30">
      <c r="B30" s="205" t="inlineStr">
        <is>
          <t>Revenue (= Total Revenue, Revenue Schedule)</t>
        </is>
      </c>
      <c r="C30" s="80">
        <f>C7</f>
        <v/>
      </c>
      <c r="D30" s="80">
        <f>D7</f>
        <v/>
      </c>
      <c r="E30" s="80">
        <f>E7</f>
        <v/>
      </c>
      <c r="F30" s="80">
        <f>F7</f>
        <v/>
      </c>
      <c r="G30" s="80">
        <f>G7</f>
        <v/>
      </c>
      <c r="H30" s="80">
        <f>H7</f>
        <v/>
      </c>
      <c r="I30" s="81">
        <f>I7</f>
        <v/>
      </c>
      <c r="J30" s="81">
        <f>J7</f>
        <v/>
      </c>
      <c r="K30" s="81">
        <f>K7</f>
        <v/>
      </c>
      <c r="L30" s="81">
        <f>L7</f>
        <v/>
      </c>
      <c r="M30" s="81">
        <f>M7</f>
        <v/>
      </c>
      <c r="N30" s="81">
        <f>N7</f>
        <v/>
      </c>
      <c r="O30" s="81">
        <f>O7</f>
        <v/>
      </c>
      <c r="P30" s="81">
        <f>P7</f>
        <v/>
      </c>
      <c r="Q30" s="81">
        <f>Q7</f>
        <v/>
      </c>
      <c r="R30" s="81">
        <f>R7</f>
        <v/>
      </c>
    </row>
    <row r="31">
      <c r="B31" s="205" t="inlineStr">
        <is>
          <t>COGS (= -(Materials Consumed + Purchases of Stock-in-Trade + Chg. in Inventories))</t>
        </is>
      </c>
      <c r="C31" s="80">
        <f>-((IFERROR(INDEX(LTI_HS_CONSOLIDATED!D:D,MATCH("CostOfMaterialsConsumed",LTI_HS_CONSOLIDATED!$C:$C,0)),0))+(IFERROR(INDEX(LTI_HS_CONSOLIDATED!D:D,MATCH("PurchasesOfStockInTrade",LTI_HS_CONSOLIDATED!$C:$C,0)),0))+(IFERROR(INDEX(LTI_HS_CONSOLIDATED!D:D,MATCH("ChangesInInventoriesOfFinishedGoodsWorkInProgressAndStockInTrade",LTI_HS_CONSOLIDATED!$C:$C,0)),0)))</f>
        <v/>
      </c>
      <c r="D31" s="80">
        <f>-((IFERROR(INDEX(LTI_HS_CONSOLIDATED!E:E,MATCH("CostOfMaterialsConsumed",LTI_HS_CONSOLIDATED!$C:$C,0)),0))+(IFERROR(INDEX(LTI_HS_CONSOLIDATED!E:E,MATCH("PurchasesOfStockInTrade",LTI_HS_CONSOLIDATED!$C:$C,0)),0))+(IFERROR(INDEX(LTI_HS_CONSOLIDATED!E:E,MATCH("ChangesInInventoriesOfFinishedGoodsWorkInProgressAndStockInTrade",LTI_HS_CONSOLIDATED!$C:$C,0)),0)))</f>
        <v/>
      </c>
      <c r="E31" s="80">
        <f>-((IFERROR(INDEX(LTI_HS_CONSOLIDATED!F:F,MATCH("CostOfMaterialsConsumed",LTI_HS_CONSOLIDATED!$C:$C,0)),0))+(IFERROR(INDEX(LTI_HS_CONSOLIDATED!F:F,MATCH("PurchasesOfStockInTrade",LTI_HS_CONSOLIDATED!$C:$C,0)),0))+(IFERROR(INDEX(LTI_HS_CONSOLIDATED!F:F,MATCH("ChangesInInventoriesOfFinishedGoodsWorkInProgressAndStockInTrade",LTI_HS_CONSOLIDATED!$C:$C,0)),0)))</f>
        <v/>
      </c>
      <c r="F31" s="80">
        <f>-((IFERROR(INDEX(LTI_HS_CONSOLIDATED!G:G,MATCH("CostOfMaterialsConsumed",LTI_HS_CONSOLIDATED!$C:$C,0)),0))+(IFERROR(INDEX(LTI_HS_CONSOLIDATED!G:G,MATCH("PurchasesOfStockInTrade",LTI_HS_CONSOLIDATED!$C:$C,0)),0))+(IFERROR(INDEX(LTI_HS_CONSOLIDATED!G:G,MATCH("ChangesInInventoriesOfFinishedGoodsWorkInProgressAndStockInTrade",LTI_HS_CONSOLIDATED!$C:$C,0)),0)))</f>
        <v/>
      </c>
      <c r="G31" s="80">
        <f>-((IFERROR(INDEX(LTI_HS_CONSOLIDATED!H:H,MATCH("CostOfMaterialsConsumed",LTI_HS_CONSOLIDATED!$C:$C,0)),0))+(IFERROR(INDEX(LTI_HS_CONSOLIDATED!H:H,MATCH("PurchasesOfStockInTrade",LTI_HS_CONSOLIDATED!$C:$C,0)),0))+(IFERROR(INDEX(LTI_HS_CONSOLIDATED!H:H,MATCH("ChangesInInventoriesOfFinishedGoodsWorkInProgressAndStockInTrade",LTI_HS_CONSOLIDATED!$C:$C,0)),0)))</f>
        <v/>
      </c>
      <c r="H31" s="80">
        <f>-((IFERROR(INDEX(LTI_HS_CONSOLIDATED!I:I,MATCH("CostOfMaterialsConsumed",LTI_HS_CONSOLIDATED!$C:$C,0)),0))+(IFERROR(INDEX(LTI_HS_CONSOLIDATED!I:I,MATCH("PurchasesOfStockInTrade",LTI_HS_CONSOLIDATED!$C:$C,0)),0))+(IFERROR(INDEX(LTI_HS_CONSOLIDATED!I:I,MATCH("ChangesInInventoriesOfFinishedGoodsWorkInProgressAndStockInTrade",LTI_HS_CONSOLIDATED!$C:$C,0)),0)))</f>
        <v/>
      </c>
      <c r="I31" s="81">
        <f>I30*IF('LTI_Inputs &amp; Assumptions'!C30="",'LTI_Inputs &amp; Assumptions'!C29,'LTI_Inputs &amp; Assumptions'!C30)</f>
        <v/>
      </c>
      <c r="J31" s="81">
        <f>J30*IF('LTI_Inputs &amp; Assumptions'!D30="",'LTI_Inputs &amp; Assumptions'!D29,'LTI_Inputs &amp; Assumptions'!D30)</f>
        <v/>
      </c>
      <c r="K31" s="81">
        <f>K30*IF('LTI_Inputs &amp; Assumptions'!E30="",'LTI_Inputs &amp; Assumptions'!E29,'LTI_Inputs &amp; Assumptions'!E30)</f>
        <v/>
      </c>
      <c r="L31" s="81">
        <f>L30*IF('LTI_Inputs &amp; Assumptions'!F30="",'LTI_Inputs &amp; Assumptions'!F29,'LTI_Inputs &amp; Assumptions'!F30)</f>
        <v/>
      </c>
      <c r="M31" s="81">
        <f>M30*IF('LTI_Inputs &amp; Assumptions'!G30="",'LTI_Inputs &amp; Assumptions'!G29,'LTI_Inputs &amp; Assumptions'!G30)</f>
        <v/>
      </c>
      <c r="N31" s="81">
        <f>N30*IF('LTI_Inputs &amp; Assumptions'!H30="",'LTI_Inputs &amp; Assumptions'!H29,'LTI_Inputs &amp; Assumptions'!H30)</f>
        <v/>
      </c>
      <c r="O31" s="81">
        <f>O30*IF('LTI_Inputs &amp; Assumptions'!I30="",'LTI_Inputs &amp; Assumptions'!I29,'LTI_Inputs &amp; Assumptions'!I30)</f>
        <v/>
      </c>
      <c r="P31" s="81">
        <f>P30*IF('LTI_Inputs &amp; Assumptions'!J30="",'LTI_Inputs &amp; Assumptions'!J29,'LTI_Inputs &amp; Assumptions'!J30)</f>
        <v/>
      </c>
      <c r="Q31" s="81">
        <f>Q30*IF('LTI_Inputs &amp; Assumptions'!K30="",'LTI_Inputs &amp; Assumptions'!K29,'LTI_Inputs &amp; Assumptions'!K30)</f>
        <v/>
      </c>
      <c r="R31" s="81">
        <f>R30*IF('LTI_Inputs &amp; Assumptions'!L30="",'LTI_Inputs &amp; Assumptions'!L29,'LTI_Inputs &amp; Assumptions'!L30)</f>
        <v/>
      </c>
    </row>
    <row r="32">
      <c r="B32" s="211" t="inlineStr">
        <is>
          <t>COGS % of Revenue</t>
        </is>
      </c>
      <c r="C32" s="86">
        <f>IFERROR(C31/C30,"n/m")</f>
        <v/>
      </c>
      <c r="D32" s="86">
        <f>IFERROR(D31/D30,"n/m")</f>
        <v/>
      </c>
      <c r="E32" s="86">
        <f>IFERROR(E31/E30,"n/m")</f>
        <v/>
      </c>
      <c r="F32" s="86">
        <f>IFERROR(F31/F30,"n/m")</f>
        <v/>
      </c>
      <c r="G32" s="86">
        <f>IFERROR(G31/G30,"n/m")</f>
        <v/>
      </c>
      <c r="H32" s="86">
        <f>IFERROR(H31/H30,"n/m")</f>
        <v/>
      </c>
    </row>
    <row r="34">
      <c r="B34" s="205" t="inlineStr">
        <is>
          <t>Trade Receivables (ending balance)</t>
        </is>
      </c>
      <c r="C34" s="80">
        <f>IFERROR(INDEX(LTI_HS_CONSOLIDATED!D:D,MATCH("TradeReceivablesCurrent",LTI_HS_CONSOLIDATED!$C:$C,0)),0)</f>
        <v/>
      </c>
      <c r="D34" s="80">
        <f>IFERROR(INDEX(LTI_HS_CONSOLIDATED!E:E,MATCH("TradeReceivablesCurrent",LTI_HS_CONSOLIDATED!$C:$C,0)),0)</f>
        <v/>
      </c>
      <c r="E34" s="80">
        <f>IFERROR(INDEX(LTI_HS_CONSOLIDATED!F:F,MATCH("TradeReceivablesCurrent",LTI_HS_CONSOLIDATED!$C:$C,0)),0)</f>
        <v/>
      </c>
      <c r="F34" s="80">
        <f>IFERROR(INDEX(LTI_HS_CONSOLIDATED!G:G,MATCH("TradeReceivablesCurrent",LTI_HS_CONSOLIDATED!$C:$C,0)),0)</f>
        <v/>
      </c>
      <c r="G34" s="80">
        <f>IFERROR(INDEX(LTI_HS_CONSOLIDATED!H:H,MATCH("TradeReceivablesCurrent",LTI_HS_CONSOLIDATED!$C:$C,0)),0)</f>
        <v/>
      </c>
      <c r="H34" s="80">
        <f>IFERROR(INDEX(LTI_HS_CONSOLIDATED!I:I,MATCH("TradeReceivablesCurrent",LTI_HS_CONSOLIDATED!$C:$C,0)),0)</f>
        <v/>
      </c>
      <c r="I34" s="81">
        <f>I30/365*IF('LTI_Inputs &amp; Assumptions'!C33="",'LTI_Inputs &amp; Assumptions'!C32,'LTI_Inputs &amp; Assumptions'!C33)</f>
        <v/>
      </c>
      <c r="J34" s="81">
        <f>J30/365*IF('LTI_Inputs &amp; Assumptions'!D33="",'LTI_Inputs &amp; Assumptions'!D32,'LTI_Inputs &amp; Assumptions'!D33)</f>
        <v/>
      </c>
      <c r="K34" s="81">
        <f>K30/365*IF('LTI_Inputs &amp; Assumptions'!E33="",'LTI_Inputs &amp; Assumptions'!E32,'LTI_Inputs &amp; Assumptions'!E33)</f>
        <v/>
      </c>
      <c r="L34" s="81">
        <f>L30/365*IF('LTI_Inputs &amp; Assumptions'!F33="",'LTI_Inputs &amp; Assumptions'!F32,'LTI_Inputs &amp; Assumptions'!F33)</f>
        <v/>
      </c>
      <c r="M34" s="81">
        <f>M30/365*IF('LTI_Inputs &amp; Assumptions'!G33="",'LTI_Inputs &amp; Assumptions'!G32,'LTI_Inputs &amp; Assumptions'!G33)</f>
        <v/>
      </c>
      <c r="N34" s="81">
        <f>N30/365*IF('LTI_Inputs &amp; Assumptions'!H33="",'LTI_Inputs &amp; Assumptions'!H32,'LTI_Inputs &amp; Assumptions'!H33)</f>
        <v/>
      </c>
      <c r="O34" s="81">
        <f>O30/365*IF('LTI_Inputs &amp; Assumptions'!I33="",'LTI_Inputs &amp; Assumptions'!I32,'LTI_Inputs &amp; Assumptions'!I33)</f>
        <v/>
      </c>
      <c r="P34" s="81">
        <f>P30/365*IF('LTI_Inputs &amp; Assumptions'!J33="",'LTI_Inputs &amp; Assumptions'!J32,'LTI_Inputs &amp; Assumptions'!J33)</f>
        <v/>
      </c>
      <c r="Q34" s="81">
        <f>Q30/365*IF('LTI_Inputs &amp; Assumptions'!K33="",'LTI_Inputs &amp; Assumptions'!K32,'LTI_Inputs &amp; Assumptions'!K33)</f>
        <v/>
      </c>
      <c r="R34" s="81">
        <f>R30/365*IF('LTI_Inputs &amp; Assumptions'!L33="",'LTI_Inputs &amp; Assumptions'!L32,'LTI_Inputs &amp; Assumptions'!L33)</f>
        <v/>
      </c>
    </row>
    <row r="35">
      <c r="B35" s="205" t="inlineStr">
        <is>
          <t>Inventories (ending balance)</t>
        </is>
      </c>
      <c r="C35" s="80">
        <f>IFERROR(INDEX(LTI_HS_CONSOLIDATED!D:D,MATCH("Inventories",LTI_HS_CONSOLIDATED!$C:$C,0)),0)</f>
        <v/>
      </c>
      <c r="D35" s="80">
        <f>IFERROR(INDEX(LTI_HS_CONSOLIDATED!E:E,MATCH("Inventories",LTI_HS_CONSOLIDATED!$C:$C,0)),0)</f>
        <v/>
      </c>
      <c r="E35" s="80">
        <f>IFERROR(INDEX(LTI_HS_CONSOLIDATED!F:F,MATCH("Inventories",LTI_HS_CONSOLIDATED!$C:$C,0)),0)</f>
        <v/>
      </c>
      <c r="F35" s="80">
        <f>IFERROR(INDEX(LTI_HS_CONSOLIDATED!G:G,MATCH("Inventories",LTI_HS_CONSOLIDATED!$C:$C,0)),0)</f>
        <v/>
      </c>
      <c r="G35" s="80">
        <f>IFERROR(INDEX(LTI_HS_CONSOLIDATED!H:H,MATCH("Inventories",LTI_HS_CONSOLIDATED!$C:$C,0)),0)</f>
        <v/>
      </c>
      <c r="H35" s="80">
        <f>IFERROR(INDEX(LTI_HS_CONSOLIDATED!I:I,MATCH("Inventories",LTI_HS_CONSOLIDATED!$C:$C,0)),0)</f>
        <v/>
      </c>
      <c r="I35" s="81">
        <f>ABS(I31)/365*IF('LTI_Inputs &amp; Assumptions'!C36="",'LTI_Inputs &amp; Assumptions'!C35,'LTI_Inputs &amp; Assumptions'!C36)</f>
        <v/>
      </c>
      <c r="J35" s="81">
        <f>ABS(J31)/365*IF('LTI_Inputs &amp; Assumptions'!D36="",'LTI_Inputs &amp; Assumptions'!D35,'LTI_Inputs &amp; Assumptions'!D36)</f>
        <v/>
      </c>
      <c r="K35" s="81">
        <f>ABS(K31)/365*IF('LTI_Inputs &amp; Assumptions'!E36="",'LTI_Inputs &amp; Assumptions'!E35,'LTI_Inputs &amp; Assumptions'!E36)</f>
        <v/>
      </c>
      <c r="L35" s="81">
        <f>ABS(L31)/365*IF('LTI_Inputs &amp; Assumptions'!F36="",'LTI_Inputs &amp; Assumptions'!F35,'LTI_Inputs &amp; Assumptions'!F36)</f>
        <v/>
      </c>
      <c r="M35" s="81">
        <f>ABS(M31)/365*IF('LTI_Inputs &amp; Assumptions'!G36="",'LTI_Inputs &amp; Assumptions'!G35,'LTI_Inputs &amp; Assumptions'!G36)</f>
        <v/>
      </c>
      <c r="N35" s="81">
        <f>ABS(N31)/365*IF('LTI_Inputs &amp; Assumptions'!H36="",'LTI_Inputs &amp; Assumptions'!H35,'LTI_Inputs &amp; Assumptions'!H36)</f>
        <v/>
      </c>
      <c r="O35" s="81">
        <f>ABS(O31)/365*IF('LTI_Inputs &amp; Assumptions'!I36="",'LTI_Inputs &amp; Assumptions'!I35,'LTI_Inputs &amp; Assumptions'!I36)</f>
        <v/>
      </c>
      <c r="P35" s="81">
        <f>ABS(P31)/365*IF('LTI_Inputs &amp; Assumptions'!J36="",'LTI_Inputs &amp; Assumptions'!J35,'LTI_Inputs &amp; Assumptions'!J36)</f>
        <v/>
      </c>
      <c r="Q35" s="81">
        <f>ABS(Q31)/365*IF('LTI_Inputs &amp; Assumptions'!K36="",'LTI_Inputs &amp; Assumptions'!K35,'LTI_Inputs &amp; Assumptions'!K36)</f>
        <v/>
      </c>
      <c r="R35" s="81">
        <f>ABS(R31)/365*IF('LTI_Inputs &amp; Assumptions'!L36="",'LTI_Inputs &amp; Assumptions'!L35,'LTI_Inputs &amp; Assumptions'!L36)</f>
        <v/>
      </c>
    </row>
    <row r="36">
      <c r="B36" s="205" t="inlineStr">
        <is>
          <t>Purchases (= COGS + Chg. in Inventories, approximation for DPO)</t>
        </is>
      </c>
      <c r="C36" s="90">
        <f>-C31</f>
        <v/>
      </c>
      <c r="D36" s="90">
        <f>-D31</f>
        <v/>
      </c>
      <c r="E36" s="90">
        <f>-E31</f>
        <v/>
      </c>
      <c r="F36" s="90">
        <f>-F31</f>
        <v/>
      </c>
      <c r="G36" s="90">
        <f>-G31</f>
        <v/>
      </c>
      <c r="H36" s="90">
        <f>-H31</f>
        <v/>
      </c>
      <c r="I36" s="81">
        <f>-I31</f>
        <v/>
      </c>
      <c r="J36" s="81">
        <f>-J31</f>
        <v/>
      </c>
      <c r="K36" s="81">
        <f>-K31</f>
        <v/>
      </c>
      <c r="L36" s="81">
        <f>-L31</f>
        <v/>
      </c>
      <c r="M36" s="81">
        <f>-M31</f>
        <v/>
      </c>
      <c r="N36" s="81">
        <f>-N31</f>
        <v/>
      </c>
      <c r="O36" s="81">
        <f>-O31</f>
        <v/>
      </c>
      <c r="P36" s="81">
        <f>-P31</f>
        <v/>
      </c>
      <c r="Q36" s="81">
        <f>-Q31</f>
        <v/>
      </c>
      <c r="R36" s="81">
        <f>-R31</f>
        <v/>
      </c>
    </row>
    <row r="37">
      <c r="B37" s="205" t="inlineStr">
        <is>
          <t>Trade Payables (ending balance)</t>
        </is>
      </c>
      <c r="C37" s="80">
        <f>IFERROR(INDEX(LTI_HS_CONSOLIDATED!D:D,MATCH("TradePayablesCurrent",LTI_HS_CONSOLIDATED!$C:$C,0)),0)</f>
        <v/>
      </c>
      <c r="D37" s="80">
        <f>IFERROR(INDEX(LTI_HS_CONSOLIDATED!E:E,MATCH("TradePayablesCurrent",LTI_HS_CONSOLIDATED!$C:$C,0)),0)</f>
        <v/>
      </c>
      <c r="E37" s="80">
        <f>IFERROR(INDEX(LTI_HS_CONSOLIDATED!F:F,MATCH("TradePayablesCurrent",LTI_HS_CONSOLIDATED!$C:$C,0)),0)</f>
        <v/>
      </c>
      <c r="F37" s="80">
        <f>IFERROR(INDEX(LTI_HS_CONSOLIDATED!G:G,MATCH("TradePayablesCurrent",LTI_HS_CONSOLIDATED!$C:$C,0)),0)</f>
        <v/>
      </c>
      <c r="G37" s="80">
        <f>IFERROR(INDEX(LTI_HS_CONSOLIDATED!H:H,MATCH("TradePayablesCurrent",LTI_HS_CONSOLIDATED!$C:$C,0)),0)</f>
        <v/>
      </c>
      <c r="H37" s="80">
        <f>IFERROR(INDEX(LTI_HS_CONSOLIDATED!I:I,MATCH("TradePayablesCurrent",LTI_HS_CONSOLIDATED!$C:$C,0)),0)</f>
        <v/>
      </c>
      <c r="I37" s="81">
        <f>IF(I36&gt;0.01*I30,I36/365*IF('Inputs &amp; Assumptions'!C39="",'Inputs &amp; Assumptions'!C38,'Inputs &amp; Assumptions'!C39),ABS('LTI_P&amp;L Schedule'!I10)*(H37/ABS('LTI_P&amp;L Schedule'!H10)))</f>
        <v/>
      </c>
      <c r="J37" s="81">
        <f>IF(J36&gt;0.01*J30,J36/365*IF('Inputs &amp; Assumptions'!C39="",'Inputs &amp; Assumptions'!C38,'Inputs &amp; Assumptions'!C39),ABS('LTI_P&amp;L Schedule'!J10)*(H37/ABS('LTI_P&amp;L Schedule'!H10)))</f>
        <v/>
      </c>
      <c r="K37" s="81">
        <f>IF(K36&gt;0.01*K30,K36/365*IF('Inputs &amp; Assumptions'!C39="",'Inputs &amp; Assumptions'!C38,'Inputs &amp; Assumptions'!C39),ABS('LTI_P&amp;L Schedule'!K10)*(H37/ABS('LTI_P&amp;L Schedule'!H10)))</f>
        <v/>
      </c>
      <c r="L37" s="81">
        <f>IF(L36&gt;0.01*L30,L36/365*IF('Inputs &amp; Assumptions'!C39="",'Inputs &amp; Assumptions'!C38,'Inputs &amp; Assumptions'!C39),ABS('LTI_P&amp;L Schedule'!L10)*(H37/ABS('LTI_P&amp;L Schedule'!H10)))</f>
        <v/>
      </c>
      <c r="M37" s="81">
        <f>IF(M36&gt;0.01*M30,M36/365*IF('Inputs &amp; Assumptions'!C39="",'Inputs &amp; Assumptions'!C38,'Inputs &amp; Assumptions'!C39),ABS('LTI_P&amp;L Schedule'!M10)*(H37/ABS('LTI_P&amp;L Schedule'!H10)))</f>
        <v/>
      </c>
      <c r="N37" s="81">
        <f>IF(N36&gt;0.01*N30,N36/365*IF('Inputs &amp; Assumptions'!C39="",'Inputs &amp; Assumptions'!C38,'Inputs &amp; Assumptions'!C39),ABS('LTI_P&amp;L Schedule'!N10)*(H37/ABS('LTI_P&amp;L Schedule'!H10)))</f>
        <v/>
      </c>
      <c r="O37" s="81">
        <f>IF(O36&gt;0.01*O30,O36/365*IF('Inputs &amp; Assumptions'!C39="",'Inputs &amp; Assumptions'!C38,'Inputs &amp; Assumptions'!C39),ABS('LTI_P&amp;L Schedule'!O10)*(H37/ABS('LTI_P&amp;L Schedule'!H10)))</f>
        <v/>
      </c>
      <c r="P37" s="81">
        <f>IF(P36&gt;0.01*P30,P36/365*IF('Inputs &amp; Assumptions'!C39="",'Inputs &amp; Assumptions'!C38,'Inputs &amp; Assumptions'!C39),ABS('LTI_P&amp;L Schedule'!P10)*(H37/ABS('LTI_P&amp;L Schedule'!H10)))</f>
        <v/>
      </c>
      <c r="Q37" s="81">
        <f>IF(Q36&gt;0.01*Q30,Q36/365*IF('Inputs &amp; Assumptions'!C39="",'Inputs &amp; Assumptions'!C38,'Inputs &amp; Assumptions'!C39),ABS('LTI_P&amp;L Schedule'!Q10)*(H37/ABS('LTI_P&amp;L Schedule'!H10)))</f>
        <v/>
      </c>
      <c r="R37" s="81">
        <f>IF(R36&gt;0.01*R30,R36/365*IF('Inputs &amp; Assumptions'!C39="",'Inputs &amp; Assumptions'!C38,'Inputs &amp; Assumptions'!C39),ABS('LTI_P&amp;L Schedule'!R10)*(H37/ABS('LTI_P&amp;L Schedule'!H10)))</f>
        <v/>
      </c>
    </row>
    <row r="39">
      <c r="B39" s="211" t="inlineStr">
        <is>
          <t>DSO = Trade Receivables / Revenue x 365</t>
        </is>
      </c>
      <c r="C39" s="86">
        <f>IFERROR(C34/C30*365,0)</f>
        <v/>
      </c>
      <c r="D39" s="86">
        <f>IFERROR(D34/D30*365,0)</f>
        <v/>
      </c>
      <c r="E39" s="86">
        <f>IFERROR(E34/E30*365,0)</f>
        <v/>
      </c>
      <c r="F39" s="86">
        <f>IFERROR(F34/F30*365,0)</f>
        <v/>
      </c>
      <c r="G39" s="86">
        <f>IFERROR(G34/G30*365,0)</f>
        <v/>
      </c>
      <c r="H39" s="86">
        <f>IFERROR(H34/H30*365,0)</f>
        <v/>
      </c>
    </row>
    <row r="40">
      <c r="B40" s="211" t="inlineStr">
        <is>
          <t>DIO = Inventories / |COGS| x 365</t>
        </is>
      </c>
      <c r="C40" s="86">
        <f>IFERROR(C35/ABS(C31)*365,0)</f>
        <v/>
      </c>
      <c r="D40" s="86">
        <f>IFERROR(D35/ABS(D31)*365,0)</f>
        <v/>
      </c>
      <c r="E40" s="86">
        <f>IFERROR(E35/ABS(E31)*365,0)</f>
        <v/>
      </c>
      <c r="F40" s="86">
        <f>IFERROR(F35/ABS(F31)*365,0)</f>
        <v/>
      </c>
      <c r="G40" s="86">
        <f>IFERROR(G35/ABS(G31)*365,0)</f>
        <v/>
      </c>
      <c r="H40" s="86">
        <f>IFERROR(H35/ABS(H31)*365,0)</f>
        <v/>
      </c>
    </row>
    <row r="41">
      <c r="B41" s="211" t="inlineStr">
        <is>
          <t>DPO = Trade Payables / Purchases x 365</t>
        </is>
      </c>
      <c r="C41" s="86">
        <f>IFERROR(C37/C36*365,0)</f>
        <v/>
      </c>
      <c r="D41" s="86">
        <f>IFERROR(D37/D36*365,0)</f>
        <v/>
      </c>
      <c r="E41" s="86">
        <f>IFERROR(E37/E36*365,0)</f>
        <v/>
      </c>
      <c r="F41" s="86">
        <f>IFERROR(F37/F36*365,0)</f>
        <v/>
      </c>
      <c r="G41" s="86">
        <f>IFERROR(G37/G36*365,0)</f>
        <v/>
      </c>
      <c r="H41" s="86">
        <f>IFERROR(H37/H36*365,0)</f>
        <v/>
      </c>
    </row>
    <row r="43">
      <c r="B43" s="82" t="inlineStr">
        <is>
          <t>Net Working Capital = Receivables + Inventories - Payables</t>
        </is>
      </c>
      <c r="C43" s="83">
        <f>C34+C35-C37</f>
        <v/>
      </c>
      <c r="D43" s="83">
        <f>D34+D35-D37</f>
        <v/>
      </c>
      <c r="E43" s="83">
        <f>E34+E35-E37</f>
        <v/>
      </c>
      <c r="F43" s="83">
        <f>F34+F35-F37</f>
        <v/>
      </c>
      <c r="G43" s="83">
        <f>G34+G35-G37</f>
        <v/>
      </c>
      <c r="H43" s="83">
        <f>H34+H35-H37</f>
        <v/>
      </c>
      <c r="I43" s="83">
        <f>I34+I35-I37</f>
        <v/>
      </c>
      <c r="J43" s="83">
        <f>J34+J35-J37</f>
        <v/>
      </c>
      <c r="K43" s="83">
        <f>K34+K35-K37</f>
        <v/>
      </c>
      <c r="L43" s="83">
        <f>L34+L35-L37</f>
        <v/>
      </c>
      <c r="M43" s="83">
        <f>M34+M35-M37</f>
        <v/>
      </c>
      <c r="N43" s="83">
        <f>N34+N35-N37</f>
        <v/>
      </c>
      <c r="O43" s="83">
        <f>O34+O35-O37</f>
        <v/>
      </c>
      <c r="P43" s="83">
        <f>P34+P35-P37</f>
        <v/>
      </c>
      <c r="Q43" s="83">
        <f>Q34+Q35-Q37</f>
        <v/>
      </c>
      <c r="R43" s="83">
        <f>R34+R35-R37</f>
        <v/>
      </c>
    </row>
    <row r="44">
      <c r="B44" s="205" t="inlineStr">
        <is>
          <t>Cash from Working Capital (= prior NWC - current NWC)</t>
        </is>
      </c>
      <c r="D44" s="90">
        <f>C43-D43</f>
        <v/>
      </c>
      <c r="E44" s="90">
        <f>D43-E43</f>
        <v/>
      </c>
      <c r="F44" s="90">
        <f>E43-F43</f>
        <v/>
      </c>
      <c r="G44" s="90">
        <f>F43-G43</f>
        <v/>
      </c>
      <c r="H44" s="90">
        <f>G43-H43</f>
        <v/>
      </c>
      <c r="I44" s="90">
        <f>H43-I43</f>
        <v/>
      </c>
      <c r="J44" s="90">
        <f>I43-J43</f>
        <v/>
      </c>
      <c r="K44" s="90">
        <f>J43-K43</f>
        <v/>
      </c>
      <c r="L44" s="90">
        <f>K43-L43</f>
        <v/>
      </c>
      <c r="M44" s="90">
        <f>L43-M43</f>
        <v/>
      </c>
      <c r="N44" s="90">
        <f>M43-N43</f>
        <v/>
      </c>
      <c r="O44" s="90">
        <f>N43-O43</f>
        <v/>
      </c>
      <c r="P44" s="90">
        <f>O43-P43</f>
        <v/>
      </c>
      <c r="Q44" s="90">
        <f>P43-Q43</f>
        <v/>
      </c>
      <c r="R44" s="90">
        <f>Q43-R43</f>
        <v/>
      </c>
    </row>
    <row r="45">
      <c r="B45" s="202" t="inlineStr">
        <is>
          <t>Tie-check, historical only (always 0 by construction -- Receivables/Inventories/Payables are direct reported lookups, not rebuilt)</t>
        </is>
      </c>
      <c r="C45" s="85" t="n">
        <v>0</v>
      </c>
      <c r="D45" s="85" t="n">
        <v>0</v>
      </c>
      <c r="E45" s="85" t="n">
        <v>0</v>
      </c>
      <c r="F45" s="85" t="n">
        <v>0</v>
      </c>
      <c r="G45" s="85" t="n">
        <v>0</v>
      </c>
      <c r="H45" s="85" t="n">
        <v>0</v>
      </c>
    </row>
    <row r="48" ht="18.5" customHeight="1" s="203">
      <c r="A48" t="inlineStr">
        <is>
          <t>#</t>
        </is>
      </c>
      <c r="B48" s="78" t="inlineStr">
        <is>
          <t>PP&amp;E Schedule</t>
        </is>
      </c>
    </row>
    <row r="51">
      <c r="B51" s="205" t="inlineStr">
        <is>
          <t>Beginning PP&amp;E (= prior year Ending)</t>
        </is>
      </c>
      <c r="C51" s="211" t="inlineStr">
        <is>
          <t>n/a</t>
        </is>
      </c>
      <c r="D51" s="90">
        <f>C63</f>
        <v/>
      </c>
      <c r="E51" s="90">
        <f>D63</f>
        <v/>
      </c>
      <c r="F51" s="90">
        <f>E63</f>
        <v/>
      </c>
      <c r="G51" s="90">
        <f>F63</f>
        <v/>
      </c>
      <c r="H51" s="90">
        <f>G63</f>
        <v/>
      </c>
      <c r="I51" s="81">
        <f>H63</f>
        <v/>
      </c>
      <c r="J51" s="81">
        <f>I63</f>
        <v/>
      </c>
      <c r="K51" s="81">
        <f>J63</f>
        <v/>
      </c>
      <c r="L51" s="81">
        <f>K63</f>
        <v/>
      </c>
      <c r="M51" s="81">
        <f>L63</f>
        <v/>
      </c>
      <c r="N51" s="81">
        <f>M63</f>
        <v/>
      </c>
      <c r="O51" s="81">
        <f>N63</f>
        <v/>
      </c>
      <c r="P51" s="81">
        <f>O63</f>
        <v/>
      </c>
      <c r="Q51" s="81">
        <f>P63</f>
        <v/>
      </c>
      <c r="R51" s="81">
        <f>Q63</f>
        <v/>
      </c>
    </row>
    <row r="52">
      <c r="B52" s="205" t="inlineStr">
        <is>
          <t>(+) Additions other than through business combinations</t>
        </is>
      </c>
      <c r="C52" s="80">
        <f>IFERROR(INDEX(LTI_HS_CONSOLIDATED!D:D,MATCH("AdditionsOtherThanThroughBusinessCombinationsPropertyPlantAndEquipment",LTI_HS_CONSOLIDATED!$C:$C,0)),0)</f>
        <v/>
      </c>
      <c r="D52" s="80">
        <f>IFERROR(INDEX(LTI_HS_CONSOLIDATED!E:E,MATCH("AdditionsOtherThanThroughBusinessCombinationsPropertyPlantAndEquipment",LTI_HS_CONSOLIDATED!$C:$C,0)),0)</f>
        <v/>
      </c>
      <c r="E52" s="80">
        <f>IFERROR(INDEX(LTI_HS_CONSOLIDATED!F:F,MATCH("AdditionsOtherThanThroughBusinessCombinationsPropertyPlantAndEquipment",LTI_HS_CONSOLIDATED!$C:$C,0)),0)</f>
        <v/>
      </c>
      <c r="F52" s="80">
        <f>IFERROR(INDEX(LTI_HS_CONSOLIDATED!G:G,MATCH("AdditionsOtherThanThroughBusinessCombinationsPropertyPlantAndEquipment",LTI_HS_CONSOLIDATED!$C:$C,0)),0)</f>
        <v/>
      </c>
      <c r="G52" s="80">
        <f>IFERROR(INDEX(LTI_HS_CONSOLIDATED!H:H,MATCH("AdditionsOtherThanThroughBusinessCombinationsPropertyPlantAndEquipment",LTI_HS_CONSOLIDATED!$C:$C,0)),0)</f>
        <v/>
      </c>
      <c r="H52" s="80">
        <f>IFERROR(INDEX(LTI_HS_CONSOLIDATED!I:I,MATCH("AdditionsOtherThanThroughBusinessCombinationsPropertyPlantAndEquipment",LTI_HS_CONSOLIDATED!$C:$C,0)),0)</f>
        <v/>
      </c>
      <c r="I52" s="81">
        <f>H52*(1+'LTI_Inputs &amp; Assumptions'!C43)</f>
        <v/>
      </c>
      <c r="J52" s="81">
        <f>I52*(1+'LTI_Inputs &amp; Assumptions'!D43)</f>
        <v/>
      </c>
      <c r="K52" s="81">
        <f>J52*(1+'LTI_Inputs &amp; Assumptions'!E43)</f>
        <v/>
      </c>
      <c r="L52" s="81">
        <f>K52*(1+'LTI_Inputs &amp; Assumptions'!F43)</f>
        <v/>
      </c>
      <c r="M52" s="81">
        <f>L52*(1+'LTI_Inputs &amp; Assumptions'!G43)</f>
        <v/>
      </c>
      <c r="N52" s="81">
        <f>M52*(1+'LTI_Inputs &amp; Assumptions'!H43)</f>
        <v/>
      </c>
      <c r="O52" s="81">
        <f>N52*(1+'LTI_Inputs &amp; Assumptions'!I43)</f>
        <v/>
      </c>
      <c r="P52" s="81">
        <f>O52*(1+'LTI_Inputs &amp; Assumptions'!J43)</f>
        <v/>
      </c>
      <c r="Q52" s="81">
        <f>P52*(1+'LTI_Inputs &amp; Assumptions'!K43)</f>
        <v/>
      </c>
      <c r="R52" s="81">
        <f>Q52*(1+'LTI_Inputs &amp; Assumptions'!L43)</f>
        <v/>
      </c>
    </row>
    <row r="53">
      <c r="B53" s="205" t="inlineStr">
        <is>
          <t>(+) Business Combinations (historical only)</t>
        </is>
      </c>
      <c r="C53" s="86" t="n">
        <v>0</v>
      </c>
      <c r="D53" s="86" t="n">
        <v>0</v>
      </c>
      <c r="E53" s="86" t="n">
        <v>0</v>
      </c>
      <c r="F53" s="86" t="n">
        <v>0</v>
      </c>
      <c r="G53" s="86" t="n">
        <v>0</v>
      </c>
      <c r="H53" s="86" t="n">
        <v>0</v>
      </c>
      <c r="I53" s="81" t="n">
        <v>0</v>
      </c>
      <c r="J53" s="81" t="n">
        <v>0</v>
      </c>
      <c r="K53" s="81" t="n">
        <v>0</v>
      </c>
      <c r="L53" s="81" t="n">
        <v>0</v>
      </c>
      <c r="M53" s="81" t="n">
        <v>0</v>
      </c>
      <c r="N53" s="81" t="n">
        <v>0</v>
      </c>
      <c r="O53" s="81" t="n">
        <v>0</v>
      </c>
      <c r="P53" s="81" t="n">
        <v>0</v>
      </c>
      <c r="Q53" s="81" t="n">
        <v>0</v>
      </c>
      <c r="R53" s="81" t="n">
        <v>0</v>
      </c>
    </row>
    <row r="54">
      <c r="B54" s="205" t="inlineStr">
        <is>
          <t>(+/-) FX Translation (historical only)</t>
        </is>
      </c>
      <c r="C54" s="86" t="n">
        <v>0</v>
      </c>
      <c r="D54" s="86" t="n">
        <v>0</v>
      </c>
      <c r="E54" s="86" t="n">
        <v>0</v>
      </c>
      <c r="F54" s="86" t="n">
        <v>0</v>
      </c>
      <c r="G54" s="86" t="n">
        <v>0</v>
      </c>
      <c r="H54" s="86" t="n">
        <v>0</v>
      </c>
      <c r="I54" s="81" t="n">
        <v>0</v>
      </c>
      <c r="J54" s="81" t="n">
        <v>0</v>
      </c>
      <c r="K54" s="81" t="n">
        <v>0</v>
      </c>
      <c r="L54" s="81" t="n">
        <v>0</v>
      </c>
      <c r="M54" s="81" t="n">
        <v>0</v>
      </c>
      <c r="N54" s="81" t="n">
        <v>0</v>
      </c>
      <c r="O54" s="81" t="n">
        <v>0</v>
      </c>
      <c r="P54" s="81" t="n">
        <v>0</v>
      </c>
      <c r="Q54" s="81" t="n">
        <v>0</v>
      </c>
      <c r="R54" s="81" t="n">
        <v>0</v>
      </c>
    </row>
    <row r="55">
      <c r="B55" s="205" t="inlineStr">
        <is>
          <t>(-) Depreciation</t>
        </is>
      </c>
      <c r="C55" s="80">
        <f>-IFERROR(INDEX(LTI_HS_CONSOLIDATED!D:D,MATCH("DepreciationPropertyPlantAndEquipment",LTI_HS_CONSOLIDATED!$C:$C,0)),0)</f>
        <v/>
      </c>
      <c r="D55" s="80">
        <f>-IFERROR(INDEX(LTI_HS_CONSOLIDATED!E:E,MATCH("DepreciationPropertyPlantAndEquipment",LTI_HS_CONSOLIDATED!$C:$C,0)),0)</f>
        <v/>
      </c>
      <c r="E55" s="80">
        <f>-IFERROR(INDEX(LTI_HS_CONSOLIDATED!F:F,MATCH("DepreciationPropertyPlantAndEquipment",LTI_HS_CONSOLIDATED!$C:$C,0)),0)</f>
        <v/>
      </c>
      <c r="F55" s="80">
        <f>-IFERROR(INDEX(LTI_HS_CONSOLIDATED!G:G,MATCH("DepreciationPropertyPlantAndEquipment",LTI_HS_CONSOLIDATED!$C:$C,0)),0)</f>
        <v/>
      </c>
      <c r="G55" s="80">
        <f>-IFERROR(INDEX(LTI_HS_CONSOLIDATED!H:H,MATCH("DepreciationPropertyPlantAndEquipment",LTI_HS_CONSOLIDATED!$C:$C,0)),0)</f>
        <v/>
      </c>
      <c r="H55" s="80">
        <f>-IFERROR(INDEX(LTI_HS_CONSOLIDATED!I:I,MATCH("DepreciationPropertyPlantAndEquipment",LTI_HS_CONSOLIDATED!$C:$C,0)),0)</f>
        <v/>
      </c>
      <c r="I55" s="81">
        <f>-(I81+I82)</f>
        <v/>
      </c>
      <c r="J55" s="81">
        <f>-(J81+J82)</f>
        <v/>
      </c>
      <c r="K55" s="81">
        <f>-(K81+K82)</f>
        <v/>
      </c>
      <c r="L55" s="81">
        <f>-(L81+L82)</f>
        <v/>
      </c>
      <c r="M55" s="81">
        <f>-(M81+M82)</f>
        <v/>
      </c>
      <c r="N55" s="81">
        <f>-(N81+N82)</f>
        <v/>
      </c>
      <c r="O55" s="81">
        <f>-(O81+O82)</f>
        <v/>
      </c>
      <c r="P55" s="81">
        <f>-(P81+P82)</f>
        <v/>
      </c>
      <c r="Q55" s="81">
        <f>-(Q81+Q82)</f>
        <v/>
      </c>
      <c r="R55" s="81">
        <f>-(R81+R82)</f>
        <v/>
      </c>
    </row>
    <row r="56">
      <c r="B56" s="205" t="inlineStr">
        <is>
          <t>(-) Impairment Loss</t>
        </is>
      </c>
      <c r="C56" s="86" t="n">
        <v>0</v>
      </c>
      <c r="D56" s="86" t="n">
        <v>0</v>
      </c>
      <c r="E56" s="86" t="n">
        <v>0</v>
      </c>
      <c r="F56" s="86" t="n">
        <v>0</v>
      </c>
      <c r="G56" s="86" t="n">
        <v>0</v>
      </c>
      <c r="H56" s="86" t="n">
        <v>0</v>
      </c>
      <c r="I56" s="81">
        <f>I51*(-IF('LTI_Inputs &amp; Assumptions'!C50="",'LTI_Inputs &amp; Assumptions'!C49,'LTI_Inputs &amp; Assumptions'!C50))</f>
        <v/>
      </c>
      <c r="J56" s="81">
        <f>J51*(-IF('LTI_Inputs &amp; Assumptions'!D50="",'LTI_Inputs &amp; Assumptions'!D49,'LTI_Inputs &amp; Assumptions'!D50))</f>
        <v/>
      </c>
      <c r="K56" s="81">
        <f>K51*(-IF('LTI_Inputs &amp; Assumptions'!E50="",'LTI_Inputs &amp; Assumptions'!E49,'LTI_Inputs &amp; Assumptions'!E50))</f>
        <v/>
      </c>
      <c r="L56" s="81">
        <f>L51*(-IF('LTI_Inputs &amp; Assumptions'!F50="",'LTI_Inputs &amp; Assumptions'!F49,'LTI_Inputs &amp; Assumptions'!F50))</f>
        <v/>
      </c>
      <c r="M56" s="81">
        <f>M51*(-IF('LTI_Inputs &amp; Assumptions'!G50="",'LTI_Inputs &amp; Assumptions'!G49,'LTI_Inputs &amp; Assumptions'!G50))</f>
        <v/>
      </c>
      <c r="N56" s="81">
        <f>N51*(-IF('LTI_Inputs &amp; Assumptions'!H50="",'LTI_Inputs &amp; Assumptions'!H49,'LTI_Inputs &amp; Assumptions'!H50))</f>
        <v/>
      </c>
      <c r="O56" s="81">
        <f>O51*(-IF('LTI_Inputs &amp; Assumptions'!I50="",'LTI_Inputs &amp; Assumptions'!I49,'LTI_Inputs &amp; Assumptions'!I50))</f>
        <v/>
      </c>
      <c r="P56" s="81">
        <f>P51*(-IF('LTI_Inputs &amp; Assumptions'!J50="",'LTI_Inputs &amp; Assumptions'!J49,'LTI_Inputs &amp; Assumptions'!J50))</f>
        <v/>
      </c>
      <c r="Q56" s="81">
        <f>Q51*(-IF('LTI_Inputs &amp; Assumptions'!K50="",'LTI_Inputs &amp; Assumptions'!K49,'LTI_Inputs &amp; Assumptions'!K50))</f>
        <v/>
      </c>
      <c r="R56" s="81">
        <f>R51*(-IF('LTI_Inputs &amp; Assumptions'!L50="",'LTI_Inputs &amp; Assumptions'!L49,'LTI_Inputs &amp; Assumptions'!L50))</f>
        <v/>
      </c>
    </row>
    <row r="57">
      <c r="B57" s="205" t="inlineStr">
        <is>
          <t>(+) Reversal of Impairment (historical only)</t>
        </is>
      </c>
      <c r="C57" s="86" t="n">
        <v>0</v>
      </c>
      <c r="D57" s="86" t="n">
        <v>0</v>
      </c>
      <c r="E57" s="86" t="n">
        <v>0</v>
      </c>
      <c r="F57" s="86" t="n">
        <v>0</v>
      </c>
      <c r="G57" s="86" t="n">
        <v>0</v>
      </c>
      <c r="H57" s="86" t="n">
        <v>0</v>
      </c>
      <c r="I57" s="81" t="n">
        <v>0</v>
      </c>
      <c r="J57" s="81" t="n">
        <v>0</v>
      </c>
      <c r="K57" s="81" t="n">
        <v>0</v>
      </c>
      <c r="L57" s="81" t="n">
        <v>0</v>
      </c>
      <c r="M57" s="81" t="n">
        <v>0</v>
      </c>
      <c r="N57" s="81" t="n">
        <v>0</v>
      </c>
      <c r="O57" s="81" t="n">
        <v>0</v>
      </c>
      <c r="P57" s="81" t="n">
        <v>0</v>
      </c>
      <c r="Q57" s="81" t="n">
        <v>0</v>
      </c>
      <c r="R57" s="81" t="n">
        <v>0</v>
      </c>
    </row>
    <row r="58">
      <c r="B58" s="205" t="inlineStr">
        <is>
          <t>(+/-) Revaluation (historical only)</t>
        </is>
      </c>
      <c r="C58" s="86" t="n">
        <v>0</v>
      </c>
      <c r="D58" s="86" t="n">
        <v>0</v>
      </c>
      <c r="E58" s="86" t="n">
        <v>0</v>
      </c>
      <c r="F58" s="86" t="n">
        <v>0</v>
      </c>
      <c r="G58" s="86" t="n">
        <v>0</v>
      </c>
      <c r="H58" s="86" t="n">
        <v>0</v>
      </c>
      <c r="I58" s="81" t="n">
        <v>0</v>
      </c>
      <c r="J58" s="81" t="n">
        <v>0</v>
      </c>
      <c r="K58" s="81" t="n">
        <v>0</v>
      </c>
      <c r="L58" s="81" t="n">
        <v>0</v>
      </c>
      <c r="M58" s="81" t="n">
        <v>0</v>
      </c>
      <c r="N58" s="81" t="n">
        <v>0</v>
      </c>
      <c r="O58" s="81" t="n">
        <v>0</v>
      </c>
      <c r="P58" s="81" t="n">
        <v>0</v>
      </c>
      <c r="Q58" s="81" t="n">
        <v>0</v>
      </c>
      <c r="R58" s="81" t="n">
        <v>0</v>
      </c>
    </row>
    <row r="59">
      <c r="B59" s="205" t="inlineStr">
        <is>
          <t>(+/-) Other Changes, incl. transfers</t>
        </is>
      </c>
      <c r="C59" s="86" t="n">
        <v>0</v>
      </c>
      <c r="D59" s="86" t="n">
        <v>0</v>
      </c>
      <c r="E59" s="86" t="n">
        <v>0</v>
      </c>
      <c r="F59" s="86" t="n">
        <v>0</v>
      </c>
      <c r="G59" s="86" t="n">
        <v>0</v>
      </c>
      <c r="H59" s="86" t="n">
        <v>0</v>
      </c>
      <c r="I59" s="81">
        <f>I51*IF('LTI_Inputs &amp; Assumptions'!C53="",'LTI_Inputs &amp; Assumptions'!C52,'LTI_Inputs &amp; Assumptions'!C53)</f>
        <v/>
      </c>
      <c r="J59" s="81">
        <f>J51*IF('LTI_Inputs &amp; Assumptions'!D53="",'LTI_Inputs &amp; Assumptions'!D52,'LTI_Inputs &amp; Assumptions'!D53)</f>
        <v/>
      </c>
      <c r="K59" s="81">
        <f>K51*IF('LTI_Inputs &amp; Assumptions'!E53="",'LTI_Inputs &amp; Assumptions'!E52,'LTI_Inputs &amp; Assumptions'!E53)</f>
        <v/>
      </c>
      <c r="L59" s="81">
        <f>L51*IF('LTI_Inputs &amp; Assumptions'!F53="",'LTI_Inputs &amp; Assumptions'!F52,'LTI_Inputs &amp; Assumptions'!F53)</f>
        <v/>
      </c>
      <c r="M59" s="81">
        <f>M51*IF('LTI_Inputs &amp; Assumptions'!G53="",'LTI_Inputs &amp; Assumptions'!G52,'LTI_Inputs &amp; Assumptions'!G53)</f>
        <v/>
      </c>
      <c r="N59" s="81">
        <f>N51*IF('LTI_Inputs &amp; Assumptions'!H53="",'LTI_Inputs &amp; Assumptions'!H52,'LTI_Inputs &amp; Assumptions'!H53)</f>
        <v/>
      </c>
      <c r="O59" s="81">
        <f>O51*IF('LTI_Inputs &amp; Assumptions'!I53="",'LTI_Inputs &amp; Assumptions'!I52,'LTI_Inputs &amp; Assumptions'!I53)</f>
        <v/>
      </c>
      <c r="P59" s="81">
        <f>P51*IF('LTI_Inputs &amp; Assumptions'!J53="",'LTI_Inputs &amp; Assumptions'!J52,'LTI_Inputs &amp; Assumptions'!J53)</f>
        <v/>
      </c>
      <c r="Q59" s="81">
        <f>Q51*IF('LTI_Inputs &amp; Assumptions'!K53="",'LTI_Inputs &amp; Assumptions'!K52,'LTI_Inputs &amp; Assumptions'!K53)</f>
        <v/>
      </c>
      <c r="R59" s="81">
        <f>R51*IF('LTI_Inputs &amp; Assumptions'!L53="",'LTI_Inputs &amp; Assumptions'!L52,'LTI_Inputs &amp; Assumptions'!L53)</f>
        <v/>
      </c>
    </row>
    <row r="60">
      <c r="B60" s="205" t="inlineStr">
        <is>
          <t>(-) Disposals and Retirements</t>
        </is>
      </c>
      <c r="C60" s="86" t="n">
        <v>0</v>
      </c>
      <c r="D60" s="86" t="n">
        <v>0</v>
      </c>
      <c r="E60" s="86" t="n">
        <v>0</v>
      </c>
      <c r="F60" s="86" t="n">
        <v>0</v>
      </c>
      <c r="G60" s="86" t="n">
        <v>0</v>
      </c>
      <c r="H60" s="86" t="n">
        <v>0</v>
      </c>
      <c r="I60" s="81">
        <f>I51*(-IF('LTI_Inputs &amp; Assumptions'!C56="",'LTI_Inputs &amp; Assumptions'!C55,'LTI_Inputs &amp; Assumptions'!C56))</f>
        <v/>
      </c>
      <c r="J60" s="81">
        <f>J51*(-IF('LTI_Inputs &amp; Assumptions'!D56="",'LTI_Inputs &amp; Assumptions'!D55,'LTI_Inputs &amp; Assumptions'!D56))</f>
        <v/>
      </c>
      <c r="K60" s="81">
        <f>K51*(-IF('LTI_Inputs &amp; Assumptions'!E56="",'LTI_Inputs &amp; Assumptions'!E55,'LTI_Inputs &amp; Assumptions'!E56))</f>
        <v/>
      </c>
      <c r="L60" s="81">
        <f>L51*(-IF('LTI_Inputs &amp; Assumptions'!F56="",'LTI_Inputs &amp; Assumptions'!F55,'LTI_Inputs &amp; Assumptions'!F56))</f>
        <v/>
      </c>
      <c r="M60" s="81">
        <f>M51*(-IF('LTI_Inputs &amp; Assumptions'!G56="",'LTI_Inputs &amp; Assumptions'!G55,'LTI_Inputs &amp; Assumptions'!G56))</f>
        <v/>
      </c>
      <c r="N60" s="81">
        <f>N51*(-IF('LTI_Inputs &amp; Assumptions'!H56="",'LTI_Inputs &amp; Assumptions'!H55,'LTI_Inputs &amp; Assumptions'!H56))</f>
        <v/>
      </c>
      <c r="O60" s="81">
        <f>O51*(-IF('LTI_Inputs &amp; Assumptions'!I56="",'LTI_Inputs &amp; Assumptions'!I55,'LTI_Inputs &amp; Assumptions'!I56))</f>
        <v/>
      </c>
      <c r="P60" s="81">
        <f>P51*(-IF('LTI_Inputs &amp; Assumptions'!J56="",'LTI_Inputs &amp; Assumptions'!J55,'LTI_Inputs &amp; Assumptions'!J56))</f>
        <v/>
      </c>
      <c r="Q60" s="81">
        <f>Q51*(-IF('LTI_Inputs &amp; Assumptions'!K56="",'LTI_Inputs &amp; Assumptions'!K55,'LTI_Inputs &amp; Assumptions'!K56))</f>
        <v/>
      </c>
      <c r="R60" s="81">
        <f>R51*(-IF('LTI_Inputs &amp; Assumptions'!L56="",'LTI_Inputs &amp; Assumptions'!L55,'LTI_Inputs &amp; Assumptions'!L56))</f>
        <v/>
      </c>
    </row>
    <row r="61">
      <c r="B61" s="205" t="inlineStr">
        <is>
          <t>(-) Held-for-Sale Reclassification (historical only)</t>
        </is>
      </c>
      <c r="C61" s="86" t="n">
        <v>0</v>
      </c>
      <c r="D61" s="86" t="n">
        <v>0</v>
      </c>
      <c r="E61" s="86" t="n">
        <v>0</v>
      </c>
      <c r="F61" s="86" t="n">
        <v>0</v>
      </c>
      <c r="G61" s="86" t="n">
        <v>0</v>
      </c>
      <c r="H61" s="86" t="n">
        <v>0</v>
      </c>
      <c r="I61" s="81" t="n">
        <v>0</v>
      </c>
      <c r="J61" s="81" t="n">
        <v>0</v>
      </c>
      <c r="K61" s="81" t="n">
        <v>0</v>
      </c>
      <c r="L61" s="81" t="n">
        <v>0</v>
      </c>
      <c r="M61" s="81" t="n">
        <v>0</v>
      </c>
      <c r="N61" s="81" t="n">
        <v>0</v>
      </c>
      <c r="O61" s="81" t="n">
        <v>0</v>
      </c>
      <c r="P61" s="81" t="n">
        <v>0</v>
      </c>
      <c r="Q61" s="81" t="n">
        <v>0</v>
      </c>
      <c r="R61" s="81" t="n">
        <v>0</v>
      </c>
    </row>
    <row r="62">
      <c r="B62" s="205" t="inlineStr">
        <is>
          <t>(-) Loss of Control (historical only)</t>
        </is>
      </c>
      <c r="C62" s="86" t="n">
        <v>0</v>
      </c>
      <c r="D62" s="86" t="n">
        <v>0</v>
      </c>
      <c r="E62" s="86" t="n">
        <v>0</v>
      </c>
      <c r="F62" s="86" t="n">
        <v>0</v>
      </c>
      <c r="G62" s="86" t="n">
        <v>0</v>
      </c>
      <c r="H62" s="86" t="n">
        <v>0</v>
      </c>
      <c r="I62" s="81" t="n">
        <v>0</v>
      </c>
      <c r="J62" s="81" t="n">
        <v>0</v>
      </c>
      <c r="K62" s="81" t="n">
        <v>0</v>
      </c>
      <c r="L62" s="81" t="n">
        <v>0</v>
      </c>
      <c r="M62" s="81" t="n">
        <v>0</v>
      </c>
      <c r="N62" s="81" t="n">
        <v>0</v>
      </c>
      <c r="O62" s="81" t="n">
        <v>0</v>
      </c>
      <c r="P62" s="81" t="n">
        <v>0</v>
      </c>
      <c r="Q62" s="81" t="n">
        <v>0</v>
      </c>
      <c r="R62" s="81" t="n">
        <v>0</v>
      </c>
    </row>
    <row r="63">
      <c r="B63" s="82" t="inlineStr">
        <is>
          <t>Ending PP&amp;E</t>
        </is>
      </c>
      <c r="C63" s="83">
        <f>IFERROR(INDEX(LTI_HS_CONSOLIDATED!D:D,MATCH("PropertyPlantAndEquipment",LTI_HS_CONSOLIDATED!$C:$C,0)),0)</f>
        <v/>
      </c>
      <c r="D63" s="83">
        <f>IFERROR(INDEX(LTI_HS_CONSOLIDATED!E:E,MATCH("PropertyPlantAndEquipment",LTI_HS_CONSOLIDATED!$C:$C,0)),0)</f>
        <v/>
      </c>
      <c r="E63" s="83">
        <f>IFERROR(INDEX(LTI_HS_CONSOLIDATED!F:F,MATCH("PropertyPlantAndEquipment",LTI_HS_CONSOLIDATED!$C:$C,0)),0)</f>
        <v/>
      </c>
      <c r="F63" s="83">
        <f>IFERROR(INDEX(LTI_HS_CONSOLIDATED!G:G,MATCH("PropertyPlantAndEquipment",LTI_HS_CONSOLIDATED!$C:$C,0)),0)</f>
        <v/>
      </c>
      <c r="G63" s="83">
        <f>IFERROR(INDEX(LTI_HS_CONSOLIDATED!H:H,MATCH("PropertyPlantAndEquipment",LTI_HS_CONSOLIDATED!$C:$C,0)),0)</f>
        <v/>
      </c>
      <c r="H63" s="83">
        <f>IFERROR(INDEX(LTI_HS_CONSOLIDATED!I:I,MATCH("PropertyPlantAndEquipment",LTI_HS_CONSOLIDATED!$C:$C,0)),0)</f>
        <v/>
      </c>
      <c r="I63" s="83">
        <f>I51+I52+I53+I54+I55+I56+I57+I58+I59+I60+I61+I62</f>
        <v/>
      </c>
      <c r="J63" s="83">
        <f>J51+J52+J53+J54+J55+J56+J57+J58+J59+J60+J61+J62</f>
        <v/>
      </c>
      <c r="K63" s="83">
        <f>K51+K52+K53+K54+K55+K56+K57+K58+K59+K60+K61+K62</f>
        <v/>
      </c>
      <c r="L63" s="83">
        <f>L51+L52+L53+L54+L55+L56+L57+L58+L59+L60+L61+L62</f>
        <v/>
      </c>
      <c r="M63" s="83">
        <f>M51+M52+M53+M54+M55+M56+M57+M58+M59+M60+M61+M62</f>
        <v/>
      </c>
      <c r="N63" s="83">
        <f>N51+N52+N53+N54+N55+N56+N57+N58+N59+N60+N61+N62</f>
        <v/>
      </c>
      <c r="O63" s="83">
        <f>O51+O52+O53+O54+O55+O56+O57+O58+O59+O60+O61+O62</f>
        <v/>
      </c>
      <c r="P63" s="83">
        <f>P51+P52+P53+P54+P55+P56+P57+P58+P59+P60+P61+P62</f>
        <v/>
      </c>
      <c r="Q63" s="83">
        <f>Q51+Q52+Q53+Q54+Q55+Q56+Q57+Q58+Q59+Q60+Q61+Q62</f>
        <v/>
      </c>
      <c r="R63" s="83">
        <f>R51+R52+R53+R54+R55+R56+R57+R58+R59+R60+R61+R62</f>
        <v/>
      </c>
    </row>
    <row r="64">
      <c r="B64" s="202" t="inlineStr">
        <is>
          <t>Tie-check, historical only</t>
        </is>
      </c>
      <c r="C64" s="85" t="n">
        <v>0</v>
      </c>
      <c r="D64" s="85" t="n">
        <v>0</v>
      </c>
      <c r="E64" s="85" t="n">
        <v>0</v>
      </c>
      <c r="F64" s="85" t="n">
        <v>0</v>
      </c>
      <c r="G64" s="85" t="n">
        <v>0</v>
      </c>
      <c r="H64" s="85" t="n">
        <v>0</v>
      </c>
    </row>
    <row r="67">
      <c r="B67" s="211" t="inlineStr">
        <is>
          <t>LN(Additions)</t>
        </is>
      </c>
      <c r="C67" s="86">
        <f>LN(C52)</f>
        <v/>
      </c>
      <c r="D67" s="86">
        <f>LN(D52)</f>
        <v/>
      </c>
      <c r="E67" s="86">
        <f>LN(E52)</f>
        <v/>
      </c>
      <c r="F67" s="86">
        <f>LN(F52)</f>
        <v/>
      </c>
      <c r="G67" s="86">
        <f>LN(G52)</f>
        <v/>
      </c>
      <c r="H67" s="86">
        <f>LN(H52)</f>
        <v/>
      </c>
    </row>
    <row r="68">
      <c r="B68" s="211" t="inlineStr">
        <is>
          <t>LN(|Depreciation|)</t>
        </is>
      </c>
      <c r="C68" s="86">
        <f>LN(ABS(C55))</f>
        <v/>
      </c>
      <c r="D68" s="86">
        <f>LN(ABS(D55))</f>
        <v/>
      </c>
      <c r="E68" s="86">
        <f>LN(ABS(E55))</f>
        <v/>
      </c>
      <c r="F68" s="86">
        <f>LN(ABS(F55))</f>
        <v/>
      </c>
      <c r="G68" s="86">
        <f>LN(ABS(G55))</f>
        <v/>
      </c>
      <c r="H68" s="86">
        <f>LN(ABS(H55))</f>
        <v/>
      </c>
    </row>
    <row r="69">
      <c r="B69" s="211" t="inlineStr">
        <is>
          <t>Time index (1..6)</t>
        </is>
      </c>
      <c r="C69" s="86" t="n">
        <v>1</v>
      </c>
      <c r="D69" s="86" t="n">
        <v>2</v>
      </c>
      <c r="E69" s="86" t="n">
        <v>3</v>
      </c>
      <c r="F69" s="86" t="n">
        <v>4</v>
      </c>
      <c r="G69" s="86" t="n">
        <v>5</v>
      </c>
      <c r="H69" s="86" t="n">
        <v>6</v>
      </c>
    </row>
    <row r="70">
      <c r="B70" s="211" t="inlineStr">
        <is>
          <t>Additions YoY Growth %, per year</t>
        </is>
      </c>
      <c r="D70" s="87">
        <f>IFERROR(D52/C52-1,"")</f>
        <v/>
      </c>
      <c r="E70" s="87">
        <f>IFERROR(E52/D52-1,"")</f>
        <v/>
      </c>
      <c r="F70" s="87">
        <f>IFERROR(F52/E52-1,"")</f>
        <v/>
      </c>
      <c r="G70" s="87">
        <f>IFERROR(G52/F52-1,"")</f>
        <v/>
      </c>
      <c r="H70" s="87">
        <f>IFERROR(H52/G52-1,"")</f>
        <v/>
      </c>
    </row>
    <row r="71">
      <c r="B71" s="211" t="inlineStr">
        <is>
          <t>IQR Anomaly Fence on Additions YoY Growth (Q1 | Q3 | IQR | Lower Fence | Upper Fence)</t>
        </is>
      </c>
      <c r="C71" s="87">
        <f>QUARTILE(LTI_Schedules!D70:H70,1)</f>
        <v/>
      </c>
      <c r="D71" s="87">
        <f>QUARTILE(LTI_Schedules!D70:H70,3)</f>
        <v/>
      </c>
      <c r="E71" s="87">
        <f>D71-C71</f>
        <v/>
      </c>
      <c r="F71" s="87">
        <f>C71-1.5*E71</f>
        <v/>
      </c>
      <c r="G71" s="87">
        <f>D71+1.5*E71</f>
        <v/>
      </c>
    </row>
    <row r="72">
      <c r="B72" s="211" t="inlineStr">
        <is>
          <t>Inclusion Flag (1=included in trend, 0=excluded as a statistical anomaly)</t>
        </is>
      </c>
      <c r="C72" s="86" t="n">
        <v>1</v>
      </c>
      <c r="D72" s="86">
        <f>IF(IF('LTI_Inputs &amp; Assumptions'!$C$6="",'LTI_Inputs &amp; Assumptions'!$C$5,'LTI_Inputs &amp; Assumptions'!$C$6)=0,1,IF(AND(D70&lt;&gt;"",D70&gt;=$F$71,D70&lt;=$G$71),1,0))</f>
        <v/>
      </c>
      <c r="E72" s="86">
        <f>IF(IF('LTI_Inputs &amp; Assumptions'!$C$6="",'LTI_Inputs &amp; Assumptions'!$C$5,'LTI_Inputs &amp; Assumptions'!$C$6)=0,1,IF(AND(E70&lt;&gt;"",E70&gt;=$F$71,E70&lt;=$G$71),1,0))</f>
        <v/>
      </c>
      <c r="F72" s="86">
        <f>IF(IF('LTI_Inputs &amp; Assumptions'!$C$6="",'LTI_Inputs &amp; Assumptions'!$C$5,'LTI_Inputs &amp; Assumptions'!$C$6)=0,1,IF(AND(F70&lt;&gt;"",F70&gt;=$F$71,F70&lt;=$G$71),1,0))</f>
        <v/>
      </c>
      <c r="G72" s="86">
        <f>IF(IF('LTI_Inputs &amp; Assumptions'!$C$6="",'LTI_Inputs &amp; Assumptions'!$C$5,'LTI_Inputs &amp; Assumptions'!$C$6)=0,1,IF(AND(G70&lt;&gt;"",G70&gt;=$F$71,G70&lt;=$G$71),1,0))</f>
        <v/>
      </c>
      <c r="H72" s="86">
        <f>IF(IF('LTI_Inputs &amp; Assumptions'!$C$6="",'LTI_Inputs &amp; Assumptions'!$C$5,'LTI_Inputs &amp; Assumptions'!$C$6)=0,1,IF(AND(H70&lt;&gt;"",H70&gt;=$F$71,H70&lt;=$G$71),1,0))</f>
        <v/>
      </c>
    </row>
    <row r="73">
      <c r="B73" s="211" t="inlineStr">
        <is>
          <t>LN(Additions), anomalous years excluded per the Inclusion Flag above</t>
        </is>
      </c>
      <c r="C73" s="86">
        <f>IF(C72=1,IFERROR(LN(C52),""),"")</f>
        <v/>
      </c>
      <c r="D73" s="86">
        <f>IF(D72=1,IFERROR(LN(D52),""),"")</f>
        <v/>
      </c>
      <c r="E73" s="86">
        <f>IF(E72=1,IFERROR(LN(E52),""),"")</f>
        <v/>
      </c>
      <c r="F73" s="86">
        <f>IF(F72=1,IFERROR(LN(F52),""),"")</f>
        <v/>
      </c>
      <c r="G73" s="86">
        <f>IF(G72=1,IFERROR(LN(G52),""),"")</f>
        <v/>
      </c>
      <c r="H73" s="86">
        <f>IF(H72=1,IFERROR(LN(H52),""),"")</f>
        <v/>
      </c>
    </row>
    <row r="75" ht="30" customHeight="1" s="203">
      <c r="B75" s="88">
        <f>IF(IF('LTI_Inputs &amp; Assumptions'!$C$6="",'LTI_Inputs &amp; Assumptions'!$C$5,'LTI_Inputs &amp; Assumptions'!$C$6)=0,"",IF(_xlfn.TEXTJOIN(", ",TRUE,IF(C72=0,"FY2017",""),IF(D72=0,"FY2018",""),IF(E72=0,"FY2019",""),IF(F72=0,"FY2020",""),IF(G72=0,"FY2021",""),IF(H72=0,"FY2022",""))="","","⚠ Years excluded from PP&amp;E Additions Growth trend as statistical anomalies (outside the IQR fence on YoY growth): "&amp;_xlfn.TEXTJOIN(", ",TRUE,IF(C72=0,"FY2017",""),IF(D72=0,"FY2018",""),IF(E72=0,"FY2019",""),IF(F72=0,"FY2020",""),IF(G72=0,"FY2021",""),IF(H72=0,"FY2022",""))))</f>
        <v/>
      </c>
    </row>
    <row r="76">
      <c r="B76" s="211" t="inlineStr">
        <is>
          <t>Impairment, % of Opening PP&amp;E</t>
        </is>
      </c>
      <c r="D76" s="89">
        <f>IFERROR(D56/C63,0)</f>
        <v/>
      </c>
      <c r="E76" s="89">
        <f>IFERROR(E56/D63,0)</f>
        <v/>
      </c>
      <c r="F76" s="89">
        <f>IFERROR(F56/E63,0)</f>
        <v/>
      </c>
      <c r="G76" s="89">
        <f>IFERROR(G56/F63,0)</f>
        <v/>
      </c>
      <c r="H76" s="89">
        <f>IFERROR(H56/G63,0)</f>
        <v/>
      </c>
    </row>
    <row r="77">
      <c r="B77" s="211" t="inlineStr">
        <is>
          <t>Other Changes, % of Opening PP&amp;E</t>
        </is>
      </c>
      <c r="D77" s="89">
        <f>IFERROR(D59/C63,0)</f>
        <v/>
      </c>
      <c r="E77" s="89">
        <f>IFERROR(E59/D63,0)</f>
        <v/>
      </c>
      <c r="F77" s="89">
        <f>IFERROR(F59/E63,0)</f>
        <v/>
      </c>
      <c r="G77" s="89">
        <f>IFERROR(G59/F63,0)</f>
        <v/>
      </c>
      <c r="H77" s="89">
        <f>IFERROR(H59/G63,0)</f>
        <v/>
      </c>
    </row>
    <row r="78">
      <c r="B78" s="211" t="inlineStr">
        <is>
          <t>Disposals, % of Opening PP&amp;E</t>
        </is>
      </c>
      <c r="D78" s="89">
        <f>IFERROR(D60/C63,0)</f>
        <v/>
      </c>
      <c r="E78" s="89">
        <f>IFERROR(E60/D63,0)</f>
        <v/>
      </c>
      <c r="F78" s="89">
        <f>IFERROR(F60/E63,0)</f>
        <v/>
      </c>
      <c r="G78" s="89">
        <f>IFERROR(G60/F63,0)</f>
        <v/>
      </c>
      <c r="H78" s="89">
        <f>IFERROR(H60/G63,0)</f>
        <v/>
      </c>
    </row>
    <row r="80">
      <c r="B80" s="211" t="inlineStr">
        <is>
          <t>Implied Remaining Useful Life of Existing PP&amp;E Base, years (= New Asset Useful Life / 2 -- pre-aged base is on average part-way through its life)</t>
        </is>
      </c>
      <c r="C80" s="86">
        <f>IF('LTI_Inputs &amp; Assumptions'!$C$47="",'LTI_Inputs &amp; Assumptions'!$C$46,'LTI_Inputs &amp; Assumptions'!$C$47)/2</f>
        <v/>
      </c>
    </row>
    <row r="81">
      <c r="B81" s="205" t="inlineStr">
        <is>
          <t>Existing Asset Depreciation (forecast only)</t>
        </is>
      </c>
      <c r="I81" s="81">
        <f>IF(1&lt;=$C$80,H63/$C$80,0)</f>
        <v/>
      </c>
      <c r="J81" s="81">
        <f>IF(2&lt;=$C$80,H63/$C$80,0)</f>
        <v/>
      </c>
      <c r="K81" s="81">
        <f>IF(3&lt;=$C$80,H63/$C$80,0)</f>
        <v/>
      </c>
      <c r="L81" s="81">
        <f>IF(4&lt;=$C$80,H63/$C$80,0)</f>
        <v/>
      </c>
      <c r="M81" s="81">
        <f>IF(5&lt;=$C$80,H63/$C$80,0)</f>
        <v/>
      </c>
      <c r="N81" s="81">
        <f>IF(6&lt;=$C$80,H63/$C$80,0)</f>
        <v/>
      </c>
      <c r="O81" s="81">
        <f>IF(7&lt;=$C$80,H63/$C$80,0)</f>
        <v/>
      </c>
      <c r="P81" s="81">
        <f>IF(8&lt;=$C$80,H63/$C$80,0)</f>
        <v/>
      </c>
      <c r="Q81" s="81">
        <f>IF(9&lt;=$C$80,H63/$C$80,0)</f>
        <v/>
      </c>
      <c r="R81" s="81">
        <f>IF(10&lt;=$C$80,H63/$C$80,0)</f>
        <v/>
      </c>
    </row>
    <row r="82">
      <c r="B82" s="205" t="inlineStr">
        <is>
          <t>New Capex Vintage Depreciation (forecast only, cumulative)</t>
        </is>
      </c>
      <c r="I82" s="81">
        <f>SUM($I52:I52)/(IF('LTI_Inputs &amp; Assumptions'!$C$47="",'LTI_Inputs &amp; Assumptions'!$C$46,'LTI_Inputs &amp; Assumptions'!$C$47))</f>
        <v/>
      </c>
      <c r="J82" s="81">
        <f>SUM($I52:J52)/(IF('LTI_Inputs &amp; Assumptions'!$C$47="",'LTI_Inputs &amp; Assumptions'!$C$46,'LTI_Inputs &amp; Assumptions'!$C$47))</f>
        <v/>
      </c>
      <c r="K82" s="81">
        <f>SUM($I52:K52)/(IF('LTI_Inputs &amp; Assumptions'!$C$47="",'LTI_Inputs &amp; Assumptions'!$C$46,'LTI_Inputs &amp; Assumptions'!$C$47))</f>
        <v/>
      </c>
      <c r="L82" s="81">
        <f>SUM($I52:L52)/(IF('LTI_Inputs &amp; Assumptions'!$C$47="",'LTI_Inputs &amp; Assumptions'!$C$46,'LTI_Inputs &amp; Assumptions'!$C$47))</f>
        <v/>
      </c>
      <c r="M82" s="81">
        <f>SUM($I52:M52)/(IF('LTI_Inputs &amp; Assumptions'!$C$47="",'LTI_Inputs &amp; Assumptions'!$C$46,'LTI_Inputs &amp; Assumptions'!$C$47))</f>
        <v/>
      </c>
      <c r="N82" s="81">
        <f>SUM($I52:N52)/(IF('LTI_Inputs &amp; Assumptions'!$C$47="",'LTI_Inputs &amp; Assumptions'!$C$46,'LTI_Inputs &amp; Assumptions'!$C$47))</f>
        <v/>
      </c>
      <c r="O82" s="81">
        <f>SUM($I52:O52)/(IF('LTI_Inputs &amp; Assumptions'!$C$47="",'LTI_Inputs &amp; Assumptions'!$C$46,'LTI_Inputs &amp; Assumptions'!$C$47))</f>
        <v/>
      </c>
      <c r="P82" s="81">
        <f>SUM($I52:P52)/(IF('LTI_Inputs &amp; Assumptions'!$C$47="",'LTI_Inputs &amp; Assumptions'!$C$46,'LTI_Inputs &amp; Assumptions'!$C$47))</f>
        <v/>
      </c>
      <c r="Q82" s="81">
        <f>SUM($I52:Q52)/(IF('LTI_Inputs &amp; Assumptions'!$C$47="",'LTI_Inputs &amp; Assumptions'!$C$46,'LTI_Inputs &amp; Assumptions'!$C$47))</f>
        <v/>
      </c>
      <c r="R82" s="81">
        <f>SUM($I52:R52)/(IF('LTI_Inputs &amp; Assumptions'!$C$47="",'LTI_Inputs &amp; Assumptions'!$C$46,'LTI_Inputs &amp; Assumptions'!$C$47))</f>
        <v/>
      </c>
    </row>
    <row r="85" ht="18.5" customHeight="1" s="203">
      <c r="A85" t="inlineStr">
        <is>
          <t>#</t>
        </is>
      </c>
      <c r="B85" s="78" t="inlineStr">
        <is>
          <t>Debt Schedule</t>
        </is>
      </c>
    </row>
    <row r="88">
      <c r="B88" s="205" t="inlineStr">
        <is>
          <t>Beginning Total Debt (= prior year Ending)</t>
        </is>
      </c>
      <c r="C88" s="211" t="inlineStr">
        <is>
          <t>n/a</t>
        </is>
      </c>
      <c r="D88" s="90">
        <f>C92</f>
        <v/>
      </c>
      <c r="E88" s="90">
        <f>D92</f>
        <v/>
      </c>
      <c r="F88" s="90">
        <f>E92</f>
        <v/>
      </c>
      <c r="G88" s="90">
        <f>F92</f>
        <v/>
      </c>
      <c r="H88" s="90">
        <f>G92</f>
        <v/>
      </c>
      <c r="I88" s="90">
        <f>H92</f>
        <v/>
      </c>
      <c r="J88" s="90">
        <f>I92</f>
        <v/>
      </c>
      <c r="K88" s="90">
        <f>J92</f>
        <v/>
      </c>
      <c r="L88" s="90">
        <f>K92</f>
        <v/>
      </c>
      <c r="M88" s="90">
        <f>L92</f>
        <v/>
      </c>
      <c r="N88" s="90">
        <f>M92</f>
        <v/>
      </c>
      <c r="O88" s="90">
        <f>N92</f>
        <v/>
      </c>
      <c r="P88" s="90">
        <f>O92</f>
        <v/>
      </c>
      <c r="Q88" s="90">
        <f>P92</f>
        <v/>
      </c>
      <c r="R88" s="90">
        <f>Q92</f>
        <v/>
      </c>
    </row>
    <row r="89">
      <c r="B89" s="205" t="inlineStr">
        <is>
          <t>(+) New Debt Raised (= Proceeds from Borrowings + Debentures)</t>
        </is>
      </c>
      <c r="C89" s="80">
        <f>(IFERROR(INDEX(LTI_HS_CONSOLIDATED!D:D,MATCH("ProceedsFromBorrowingsClassifiedAsFinancingActivities",LTI_HS_CONSOLIDATED!$C:$C,0)),0))+(IFERROR(INDEX(LTI_HS_CONSOLIDATED!D:D,MATCH("ProceedsFromIssuingDebenturesNotesBondsEtc",LTI_HS_CONSOLIDATED!$C:$C,0)),0))</f>
        <v/>
      </c>
      <c r="D89" s="80">
        <f>(IFERROR(INDEX(LTI_HS_CONSOLIDATED!E:E,MATCH("ProceedsFromBorrowingsClassifiedAsFinancingActivities",LTI_HS_CONSOLIDATED!$C:$C,0)),0))+(IFERROR(INDEX(LTI_HS_CONSOLIDATED!E:E,MATCH("ProceedsFromIssuingDebenturesNotesBondsEtc",LTI_HS_CONSOLIDATED!$C:$C,0)),0))</f>
        <v/>
      </c>
      <c r="E89" s="80">
        <f>(IFERROR(INDEX(LTI_HS_CONSOLIDATED!F:F,MATCH("ProceedsFromBorrowingsClassifiedAsFinancingActivities",LTI_HS_CONSOLIDATED!$C:$C,0)),0))+(IFERROR(INDEX(LTI_HS_CONSOLIDATED!F:F,MATCH("ProceedsFromIssuingDebenturesNotesBondsEtc",LTI_HS_CONSOLIDATED!$C:$C,0)),0))</f>
        <v/>
      </c>
      <c r="F89" s="80">
        <f>(IFERROR(INDEX(LTI_HS_CONSOLIDATED!G:G,MATCH("ProceedsFromBorrowingsClassifiedAsFinancingActivities",LTI_HS_CONSOLIDATED!$C:$C,0)),0))+(IFERROR(INDEX(LTI_HS_CONSOLIDATED!G:G,MATCH("ProceedsFromIssuingDebenturesNotesBondsEtc",LTI_HS_CONSOLIDATED!$C:$C,0)),0))</f>
        <v/>
      </c>
      <c r="G89" s="80">
        <f>(IFERROR(INDEX(LTI_HS_CONSOLIDATED!H:H,MATCH("ProceedsFromBorrowingsClassifiedAsFinancingActivities",LTI_HS_CONSOLIDATED!$C:$C,0)),0))+(IFERROR(INDEX(LTI_HS_CONSOLIDATED!H:H,MATCH("ProceedsFromIssuingDebenturesNotesBondsEtc",LTI_HS_CONSOLIDATED!$C:$C,0)),0))</f>
        <v/>
      </c>
      <c r="H89" s="80">
        <f>(IFERROR(INDEX(LTI_HS_CONSOLIDATED!I:I,MATCH("ProceedsFromBorrowingsClassifiedAsFinancingActivities",LTI_HS_CONSOLIDATED!$C:$C,0)),0))+(IFERROR(INDEX(LTI_HS_CONSOLIDATED!I:I,MATCH("ProceedsFromIssuingDebenturesNotesBondsEtc",LTI_HS_CONSOLIDATED!$C:$C,0)),0))</f>
        <v/>
      </c>
      <c r="I89" s="90">
        <f>MAX((I92-I88),0)</f>
        <v/>
      </c>
      <c r="J89" s="90">
        <f>MAX((J92-J88),0)</f>
        <v/>
      </c>
      <c r="K89" s="90">
        <f>MAX((K92-K88),0)</f>
        <v/>
      </c>
      <c r="L89" s="90">
        <f>MAX((L92-L88),0)</f>
        <v/>
      </c>
      <c r="M89" s="90">
        <f>MAX((M92-M88),0)</f>
        <v/>
      </c>
      <c r="N89" s="90">
        <f>MAX((N92-N88),0)</f>
        <v/>
      </c>
      <c r="O89" s="90">
        <f>MAX((O92-O88),0)</f>
        <v/>
      </c>
      <c r="P89" s="90">
        <f>MAX((P92-P88),0)</f>
        <v/>
      </c>
      <c r="Q89" s="90">
        <f>MAX((Q92-Q88),0)</f>
        <v/>
      </c>
      <c r="R89" s="90">
        <f>MAX((R92-R88),0)</f>
        <v/>
      </c>
    </row>
    <row r="90">
      <c r="B90" s="205" t="inlineStr">
        <is>
          <t>(-) Debt Repaid (= Repayments of Borrowings + Lease Payments)</t>
        </is>
      </c>
      <c r="C90" s="80">
        <f>-((IFERROR(INDEX(LTI_HS_CONSOLIDATED!D:D,MATCH("RepaymentsOfBorrowingsClassifiedAsFinancingActivities",LTI_HS_CONSOLIDATED!$C:$C,0)),0))+IF(IF('LTI_Inputs &amp; Assumptions'!$C$61="",'LTI_Inputs &amp; Assumptions'!$C$60,'LTI_Inputs &amp; Assumptions'!$C$61)=1,IFERROR(INDEX(LTI_HS_CONSOLIDATED!D:D,MATCH("PaymentsOfLeaseLiabilitiesClassifiedAsFinancingActivities",LTI_HS_CONSOLIDATED!$C:$C,0)),0),0))</f>
        <v/>
      </c>
      <c r="D90" s="80">
        <f>-((IFERROR(INDEX(LTI_HS_CONSOLIDATED!E:E,MATCH("RepaymentsOfBorrowingsClassifiedAsFinancingActivities",LTI_HS_CONSOLIDATED!$C:$C,0)),0))+IF(IF('LTI_Inputs &amp; Assumptions'!$C$61="",'LTI_Inputs &amp; Assumptions'!$C$60,'LTI_Inputs &amp; Assumptions'!$C$61)=1,IFERROR(INDEX(LTI_HS_CONSOLIDATED!E:E,MATCH("PaymentsOfLeaseLiabilitiesClassifiedAsFinancingActivities",LTI_HS_CONSOLIDATED!$C:$C,0)),0),0))</f>
        <v/>
      </c>
      <c r="E90" s="80">
        <f>-((IFERROR(INDEX(LTI_HS_CONSOLIDATED!F:F,MATCH("RepaymentsOfBorrowingsClassifiedAsFinancingActivities",LTI_HS_CONSOLIDATED!$C:$C,0)),0))+IF(IF('LTI_Inputs &amp; Assumptions'!$C$61="",'LTI_Inputs &amp; Assumptions'!$C$60,'LTI_Inputs &amp; Assumptions'!$C$61)=1,IFERROR(INDEX(LTI_HS_CONSOLIDATED!F:F,MATCH("PaymentsOfLeaseLiabilitiesClassifiedAsFinancingActivities",LTI_HS_CONSOLIDATED!$C:$C,0)),0),0))</f>
        <v/>
      </c>
      <c r="F90" s="80">
        <f>-((IFERROR(INDEX(LTI_HS_CONSOLIDATED!G:G,MATCH("RepaymentsOfBorrowingsClassifiedAsFinancingActivities",LTI_HS_CONSOLIDATED!$C:$C,0)),0))+IF(IF('LTI_Inputs &amp; Assumptions'!$C$61="",'LTI_Inputs &amp; Assumptions'!$C$60,'LTI_Inputs &amp; Assumptions'!$C$61)=1,IFERROR(INDEX(LTI_HS_CONSOLIDATED!G:G,MATCH("PaymentsOfLeaseLiabilitiesClassifiedAsFinancingActivities",LTI_HS_CONSOLIDATED!$C:$C,0)),0),0))</f>
        <v/>
      </c>
      <c r="G90" s="80">
        <f>-((IFERROR(INDEX(LTI_HS_CONSOLIDATED!H:H,MATCH("RepaymentsOfBorrowingsClassifiedAsFinancingActivities",LTI_HS_CONSOLIDATED!$C:$C,0)),0))+IF(IF('LTI_Inputs &amp; Assumptions'!$C$61="",'LTI_Inputs &amp; Assumptions'!$C$60,'LTI_Inputs &amp; Assumptions'!$C$61)=1,IFERROR(INDEX(LTI_HS_CONSOLIDATED!H:H,MATCH("PaymentsOfLeaseLiabilitiesClassifiedAsFinancingActivities",LTI_HS_CONSOLIDATED!$C:$C,0)),0),0))</f>
        <v/>
      </c>
      <c r="H90" s="80">
        <f>-((IFERROR(INDEX(LTI_HS_CONSOLIDATED!I:I,MATCH("RepaymentsOfBorrowingsClassifiedAsFinancingActivities",LTI_HS_CONSOLIDATED!$C:$C,0)),0))+IF(IF('LTI_Inputs &amp; Assumptions'!$C$61="",'LTI_Inputs &amp; Assumptions'!$C$60,'LTI_Inputs &amp; Assumptions'!$C$61)=1,IFERROR(INDEX(LTI_HS_CONSOLIDATED!I:I,MATCH("PaymentsOfLeaseLiabilitiesClassifiedAsFinancingActivities",LTI_HS_CONSOLIDATED!$C:$C,0)),0),0))</f>
        <v/>
      </c>
      <c r="I90" s="90">
        <f>MIN((I92-I88),0)</f>
        <v/>
      </c>
      <c r="J90" s="90">
        <f>MIN((J92-J88),0)</f>
        <v/>
      </c>
      <c r="K90" s="90">
        <f>MIN((K92-K88),0)</f>
        <v/>
      </c>
      <c r="L90" s="90">
        <f>MIN((L92-L88),0)</f>
        <v/>
      </c>
      <c r="M90" s="90">
        <f>MIN((M92-M88),0)</f>
        <v/>
      </c>
      <c r="N90" s="90">
        <f>MIN((N92-N88),0)</f>
        <v/>
      </c>
      <c r="O90" s="90">
        <f>MIN((O92-O88),0)</f>
        <v/>
      </c>
      <c r="P90" s="90">
        <f>MIN((P92-P88),0)</f>
        <v/>
      </c>
      <c r="Q90" s="90">
        <f>MIN((Q92-Q88),0)</f>
        <v/>
      </c>
      <c r="R90" s="90">
        <f>MIN((R92-R88),0)</f>
        <v/>
      </c>
    </row>
    <row r="91">
      <c r="B91" s="205" t="inlineStr">
        <is>
          <t>(+/-) Other Non-Cash Debt Movements -- residual: reported Ending - Beginning - New Debt - Repaid</t>
        </is>
      </c>
      <c r="C91" s="211" t="inlineStr">
        <is>
          <t>n/a</t>
        </is>
      </c>
      <c r="D91" s="90">
        <f>((IFERROR(INDEX(LTI_HS_CONSOLIDATED!E:E,MATCH("BorrowingsNoncurrent",LTI_HS_CONSOLIDATED!$C:$C,0)),0)+IFERROR(INDEX(LTI_HS_CONSOLIDATED!E:E,MATCH("BorrowingsCurrent",LTI_HS_CONSOLIDATED!$C:$C,0)),0))+IF(IF('LTI_Inputs &amp; Assumptions'!$C$61="",'LTI_Inputs &amp; Assumptions'!$C$60,'LTI_Inputs &amp; Assumptions'!$C$61)=1,((IFERROR(INDEX(LTI_HS_CONSOLIDATED!E:E,MATCH("NoncurrentLeaseLiabilities",LTI_HS_CONSOLIDATED!$C:$C,0)),0)+IFERROR(INDEX(LTI_HS_CONSOLIDATED!E:E,MATCH("LeaseLiabilitiesNonCurrent",LTI_HS_CONSOLIDATED!$C:$C,0)),0))+(IFERROR(INDEX(LTI_HS_CONSOLIDATED!E:E,MATCH("CurrentLeaseLiabilities",LTI_HS_CONSOLIDATED!$C:$C,0)),0)+IFERROR(INDEX(LTI_HS_CONSOLIDATED!E:E,MATCH("LeaseLiabilitiesCurrent",LTI_HS_CONSOLIDATED!$C:$C,0)),0))),0))-D88-D89-D90</f>
        <v/>
      </c>
      <c r="E91" s="90">
        <f>((IFERROR(INDEX(LTI_HS_CONSOLIDATED!F:F,MATCH("BorrowingsNoncurrent",LTI_HS_CONSOLIDATED!$C:$C,0)),0)+IFERROR(INDEX(LTI_HS_CONSOLIDATED!F:F,MATCH("BorrowingsCurrent",LTI_HS_CONSOLIDATED!$C:$C,0)),0))+IF(IF('LTI_Inputs &amp; Assumptions'!$C$61="",'LTI_Inputs &amp; Assumptions'!$C$60,'LTI_Inputs &amp; Assumptions'!$C$61)=1,((IFERROR(INDEX(LTI_HS_CONSOLIDATED!F:F,MATCH("NoncurrentLeaseLiabilities",LTI_HS_CONSOLIDATED!$C:$C,0)),0)+IFERROR(INDEX(LTI_HS_CONSOLIDATED!F:F,MATCH("LeaseLiabilitiesNonCurrent",LTI_HS_CONSOLIDATED!$C:$C,0)),0))+(IFERROR(INDEX(LTI_HS_CONSOLIDATED!F:F,MATCH("CurrentLeaseLiabilities",LTI_HS_CONSOLIDATED!$C:$C,0)),0)+IFERROR(INDEX(LTI_HS_CONSOLIDATED!F:F,MATCH("LeaseLiabilitiesCurrent",LTI_HS_CONSOLIDATED!$C:$C,0)),0))),0))-E88-E89-E90</f>
        <v/>
      </c>
      <c r="F91" s="90">
        <f>((IFERROR(INDEX(LTI_HS_CONSOLIDATED!G:G,MATCH("BorrowingsNoncurrent",LTI_HS_CONSOLIDATED!$C:$C,0)),0)+IFERROR(INDEX(LTI_HS_CONSOLIDATED!G:G,MATCH("BorrowingsCurrent",LTI_HS_CONSOLIDATED!$C:$C,0)),0))+IF(IF('LTI_Inputs &amp; Assumptions'!$C$61="",'LTI_Inputs &amp; Assumptions'!$C$60,'LTI_Inputs &amp; Assumptions'!$C$61)=1,((IFERROR(INDEX(LTI_HS_CONSOLIDATED!G:G,MATCH("NoncurrentLeaseLiabilities",LTI_HS_CONSOLIDATED!$C:$C,0)),0)+IFERROR(INDEX(LTI_HS_CONSOLIDATED!G:G,MATCH("LeaseLiabilitiesNonCurrent",LTI_HS_CONSOLIDATED!$C:$C,0)),0))+(IFERROR(INDEX(LTI_HS_CONSOLIDATED!G:G,MATCH("CurrentLeaseLiabilities",LTI_HS_CONSOLIDATED!$C:$C,0)),0)+IFERROR(INDEX(LTI_HS_CONSOLIDATED!G:G,MATCH("LeaseLiabilitiesCurrent",LTI_HS_CONSOLIDATED!$C:$C,0)),0))),0))-F88-F89-F90</f>
        <v/>
      </c>
      <c r="G91" s="90">
        <f>((IFERROR(INDEX(LTI_HS_CONSOLIDATED!H:H,MATCH("BorrowingsNoncurrent",LTI_HS_CONSOLIDATED!$C:$C,0)),0)+IFERROR(INDEX(LTI_HS_CONSOLIDATED!H:H,MATCH("BorrowingsCurrent",LTI_HS_CONSOLIDATED!$C:$C,0)),0))+IF(IF('LTI_Inputs &amp; Assumptions'!$C$61="",'LTI_Inputs &amp; Assumptions'!$C$60,'LTI_Inputs &amp; Assumptions'!$C$61)=1,((IFERROR(INDEX(LTI_HS_CONSOLIDATED!H:H,MATCH("NoncurrentLeaseLiabilities",LTI_HS_CONSOLIDATED!$C:$C,0)),0)+IFERROR(INDEX(LTI_HS_CONSOLIDATED!H:H,MATCH("LeaseLiabilitiesNonCurrent",LTI_HS_CONSOLIDATED!$C:$C,0)),0))+(IFERROR(INDEX(LTI_HS_CONSOLIDATED!H:H,MATCH("CurrentLeaseLiabilities",LTI_HS_CONSOLIDATED!$C:$C,0)),0)+IFERROR(INDEX(LTI_HS_CONSOLIDATED!H:H,MATCH("LeaseLiabilitiesCurrent",LTI_HS_CONSOLIDATED!$C:$C,0)),0))),0))-G88-G89-G90</f>
        <v/>
      </c>
      <c r="H91" s="90">
        <f>((IFERROR(INDEX(LTI_HS_CONSOLIDATED!I:I,MATCH("BorrowingsNoncurrent",LTI_HS_CONSOLIDATED!$C:$C,0)),0)+IFERROR(INDEX(LTI_HS_CONSOLIDATED!I:I,MATCH("BorrowingsCurrent",LTI_HS_CONSOLIDATED!$C:$C,0)),0))+IF(IF('LTI_Inputs &amp; Assumptions'!$C$61="",'LTI_Inputs &amp; Assumptions'!$C$60,'LTI_Inputs &amp; Assumptions'!$C$61)=1,((IFERROR(INDEX(LTI_HS_CONSOLIDATED!I:I,MATCH("NoncurrentLeaseLiabilities",LTI_HS_CONSOLIDATED!$C:$C,0)),0)+IFERROR(INDEX(LTI_HS_CONSOLIDATED!I:I,MATCH("LeaseLiabilitiesNonCurrent",LTI_HS_CONSOLIDATED!$C:$C,0)),0))+(IFERROR(INDEX(LTI_HS_CONSOLIDATED!I:I,MATCH("CurrentLeaseLiabilities",LTI_HS_CONSOLIDATED!$C:$C,0)),0)+IFERROR(INDEX(LTI_HS_CONSOLIDATED!I:I,MATCH("LeaseLiabilitiesCurrent",LTI_HS_CONSOLIDATED!$C:$C,0)),0))),0))-H88-H89-H90</f>
        <v/>
      </c>
      <c r="I91" s="90" t="n">
        <v>0</v>
      </c>
      <c r="J91" s="90" t="n">
        <v>0</v>
      </c>
      <c r="K91" s="90" t="n">
        <v>0</v>
      </c>
      <c r="L91" s="90" t="n">
        <v>0</v>
      </c>
      <c r="M91" s="90" t="n">
        <v>0</v>
      </c>
      <c r="N91" s="90" t="n">
        <v>0</v>
      </c>
      <c r="O91" s="90" t="n">
        <v>0</v>
      </c>
      <c r="P91" s="90" t="n">
        <v>0</v>
      </c>
      <c r="Q91" s="90" t="n">
        <v>0</v>
      </c>
      <c r="R91" s="90" t="n">
        <v>0</v>
      </c>
    </row>
    <row r="92">
      <c r="B92" s="82" t="inlineStr">
        <is>
          <t>Ending Total Debt</t>
        </is>
      </c>
      <c r="C92" s="83">
        <f>((IFERROR(INDEX(LTI_HS_CONSOLIDATED!D:D,MATCH("BorrowingsNoncurrent",LTI_HS_CONSOLIDATED!$C:$C,0)),0)+IFERROR(INDEX(LTI_HS_CONSOLIDATED!D:D,MATCH("BorrowingsCurrent",LTI_HS_CONSOLIDATED!$C:$C,0)),0))+IF(IF('LTI_Inputs &amp; Assumptions'!$C$61="",'LTI_Inputs &amp; Assumptions'!$C$60,'LTI_Inputs &amp; Assumptions'!$C$61)=1,((IFERROR(INDEX(LTI_HS_CONSOLIDATED!D:D,MATCH("NoncurrentLeaseLiabilities",LTI_HS_CONSOLIDATED!$C:$C,0)),0)+IFERROR(INDEX(LTI_HS_CONSOLIDATED!D:D,MATCH("LeaseLiabilitiesNonCurrent",LTI_HS_CONSOLIDATED!$C:$C,0)),0))+(IFERROR(INDEX(LTI_HS_CONSOLIDATED!D:D,MATCH("CurrentLeaseLiabilities",LTI_HS_CONSOLIDATED!$C:$C,0)),0)+IFERROR(INDEX(LTI_HS_CONSOLIDATED!D:D,MATCH("LeaseLiabilitiesCurrent",LTI_HS_CONSOLIDATED!$C:$C,0)),0))),0))</f>
        <v/>
      </c>
      <c r="D92" s="83">
        <f>((IFERROR(INDEX(LTI_HS_CONSOLIDATED!E:E,MATCH("BorrowingsNoncurrent",LTI_HS_CONSOLIDATED!$C:$C,0)),0)+IFERROR(INDEX(LTI_HS_CONSOLIDATED!E:E,MATCH("BorrowingsCurrent",LTI_HS_CONSOLIDATED!$C:$C,0)),0))+IF(IF('LTI_Inputs &amp; Assumptions'!$C$61="",'LTI_Inputs &amp; Assumptions'!$C$60,'LTI_Inputs &amp; Assumptions'!$C$61)=1,((IFERROR(INDEX(LTI_HS_CONSOLIDATED!E:E,MATCH("NoncurrentLeaseLiabilities",LTI_HS_CONSOLIDATED!$C:$C,0)),0)+IFERROR(INDEX(LTI_HS_CONSOLIDATED!E:E,MATCH("LeaseLiabilitiesNonCurrent",LTI_HS_CONSOLIDATED!$C:$C,0)),0))+(IFERROR(INDEX(LTI_HS_CONSOLIDATED!E:E,MATCH("CurrentLeaseLiabilities",LTI_HS_CONSOLIDATED!$C:$C,0)),0)+IFERROR(INDEX(LTI_HS_CONSOLIDATED!E:E,MATCH("LeaseLiabilitiesCurrent",LTI_HS_CONSOLIDATED!$C:$C,0)),0))),0))</f>
        <v/>
      </c>
      <c r="E92" s="83">
        <f>((IFERROR(INDEX(LTI_HS_CONSOLIDATED!F:F,MATCH("BorrowingsNoncurrent",LTI_HS_CONSOLIDATED!$C:$C,0)),0)+IFERROR(INDEX(LTI_HS_CONSOLIDATED!F:F,MATCH("BorrowingsCurrent",LTI_HS_CONSOLIDATED!$C:$C,0)),0))+IF(IF('LTI_Inputs &amp; Assumptions'!$C$61="",'LTI_Inputs &amp; Assumptions'!$C$60,'LTI_Inputs &amp; Assumptions'!$C$61)=1,((IFERROR(INDEX(LTI_HS_CONSOLIDATED!F:F,MATCH("NoncurrentLeaseLiabilities",LTI_HS_CONSOLIDATED!$C:$C,0)),0)+IFERROR(INDEX(LTI_HS_CONSOLIDATED!F:F,MATCH("LeaseLiabilitiesNonCurrent",LTI_HS_CONSOLIDATED!$C:$C,0)),0))+(IFERROR(INDEX(LTI_HS_CONSOLIDATED!F:F,MATCH("CurrentLeaseLiabilities",LTI_HS_CONSOLIDATED!$C:$C,0)),0)+IFERROR(INDEX(LTI_HS_CONSOLIDATED!F:F,MATCH("LeaseLiabilitiesCurrent",LTI_HS_CONSOLIDATED!$C:$C,0)),0))),0))</f>
        <v/>
      </c>
      <c r="F92" s="83">
        <f>((IFERROR(INDEX(LTI_HS_CONSOLIDATED!G:G,MATCH("BorrowingsNoncurrent",LTI_HS_CONSOLIDATED!$C:$C,0)),0)+IFERROR(INDEX(LTI_HS_CONSOLIDATED!G:G,MATCH("BorrowingsCurrent",LTI_HS_CONSOLIDATED!$C:$C,0)),0))+IF(IF('LTI_Inputs &amp; Assumptions'!$C$61="",'LTI_Inputs &amp; Assumptions'!$C$60,'LTI_Inputs &amp; Assumptions'!$C$61)=1,((IFERROR(INDEX(LTI_HS_CONSOLIDATED!G:G,MATCH("NoncurrentLeaseLiabilities",LTI_HS_CONSOLIDATED!$C:$C,0)),0)+IFERROR(INDEX(LTI_HS_CONSOLIDATED!G:G,MATCH("LeaseLiabilitiesNonCurrent",LTI_HS_CONSOLIDATED!$C:$C,0)),0))+(IFERROR(INDEX(LTI_HS_CONSOLIDATED!G:G,MATCH("CurrentLeaseLiabilities",LTI_HS_CONSOLIDATED!$C:$C,0)),0)+IFERROR(INDEX(LTI_HS_CONSOLIDATED!G:G,MATCH("LeaseLiabilitiesCurrent",LTI_HS_CONSOLIDATED!$C:$C,0)),0))),0))</f>
        <v/>
      </c>
      <c r="G92" s="83">
        <f>((IFERROR(INDEX(LTI_HS_CONSOLIDATED!H:H,MATCH("BorrowingsNoncurrent",LTI_HS_CONSOLIDATED!$C:$C,0)),0)+IFERROR(INDEX(LTI_HS_CONSOLIDATED!H:H,MATCH("BorrowingsCurrent",LTI_HS_CONSOLIDATED!$C:$C,0)),0))+IF(IF('LTI_Inputs &amp; Assumptions'!$C$61="",'LTI_Inputs &amp; Assumptions'!$C$60,'LTI_Inputs &amp; Assumptions'!$C$61)=1,((IFERROR(INDEX(LTI_HS_CONSOLIDATED!H:H,MATCH("NoncurrentLeaseLiabilities",LTI_HS_CONSOLIDATED!$C:$C,0)),0)+IFERROR(INDEX(LTI_HS_CONSOLIDATED!H:H,MATCH("LeaseLiabilitiesNonCurrent",LTI_HS_CONSOLIDATED!$C:$C,0)),0))+(IFERROR(INDEX(LTI_HS_CONSOLIDATED!H:H,MATCH("CurrentLeaseLiabilities",LTI_HS_CONSOLIDATED!$C:$C,0)),0)+IFERROR(INDEX(LTI_HS_CONSOLIDATED!H:H,MATCH("LeaseLiabilitiesCurrent",LTI_HS_CONSOLIDATED!$C:$C,0)),0))),0))</f>
        <v/>
      </c>
      <c r="H92" s="83">
        <f>((IFERROR(INDEX(LTI_HS_CONSOLIDATED!I:I,MATCH("BorrowingsNoncurrent",LTI_HS_CONSOLIDATED!$C:$C,0)),0)+IFERROR(INDEX(LTI_HS_CONSOLIDATED!I:I,MATCH("BorrowingsCurrent",LTI_HS_CONSOLIDATED!$C:$C,0)),0))+IF(IF('LTI_Inputs &amp; Assumptions'!$C$61="",'LTI_Inputs &amp; Assumptions'!$C$60,'LTI_Inputs &amp; Assumptions'!$C$61)=1,((IFERROR(INDEX(LTI_HS_CONSOLIDATED!I:I,MATCH("NoncurrentLeaseLiabilities",LTI_HS_CONSOLIDATED!$C:$C,0)),0)+IFERROR(INDEX(LTI_HS_CONSOLIDATED!I:I,MATCH("LeaseLiabilitiesNonCurrent",LTI_HS_CONSOLIDATED!$C:$C,0)),0))+(IFERROR(INDEX(LTI_HS_CONSOLIDATED!I:I,MATCH("CurrentLeaseLiabilities",LTI_HS_CONSOLIDATED!$C:$C,0)),0)+IFERROR(INDEX(LTI_HS_CONSOLIDATED!I:I,MATCH("LeaseLiabilitiesCurrent",LTI_HS_CONSOLIDATED!$C:$C,0)),0))),0))</f>
        <v/>
      </c>
      <c r="I92" s="83">
        <f>(IF('LTI_Inputs &amp; Assumptions'!C67="",'LTI_Inputs &amp; Assumptions'!C66,'LTI_Inputs &amp; Assumptions'!C67))*(H131+H139)/(1-(IF('LTI_Inputs &amp; Assumptions'!C67="",'LTI_Inputs &amp; Assumptions'!C66,'LTI_Inputs &amp; Assumptions'!C67)))</f>
        <v/>
      </c>
      <c r="J92" s="83">
        <f>(IF('LTI_Inputs &amp; Assumptions'!D67="",'LTI_Inputs &amp; Assumptions'!D66,'LTI_Inputs &amp; Assumptions'!D67))*(I131+I139)/(1-(IF('LTI_Inputs &amp; Assumptions'!D67="",'LTI_Inputs &amp; Assumptions'!D66,'LTI_Inputs &amp; Assumptions'!D67)))</f>
        <v/>
      </c>
      <c r="K92" s="83">
        <f>(IF('LTI_Inputs &amp; Assumptions'!E67="",'LTI_Inputs &amp; Assumptions'!E66,'LTI_Inputs &amp; Assumptions'!E67))*(J131+J139)/(1-(IF('LTI_Inputs &amp; Assumptions'!E67="",'LTI_Inputs &amp; Assumptions'!E66,'LTI_Inputs &amp; Assumptions'!E67)))</f>
        <v/>
      </c>
      <c r="L92" s="83">
        <f>(IF('LTI_Inputs &amp; Assumptions'!F67="",'LTI_Inputs &amp; Assumptions'!F66,'LTI_Inputs &amp; Assumptions'!F67))*(K131+K139)/(1-(IF('LTI_Inputs &amp; Assumptions'!F67="",'LTI_Inputs &amp; Assumptions'!F66,'LTI_Inputs &amp; Assumptions'!F67)))</f>
        <v/>
      </c>
      <c r="M92" s="83">
        <f>(IF('LTI_Inputs &amp; Assumptions'!G67="",'LTI_Inputs &amp; Assumptions'!G66,'LTI_Inputs &amp; Assumptions'!G67))*(L131+L139)/(1-(IF('LTI_Inputs &amp; Assumptions'!G67="",'LTI_Inputs &amp; Assumptions'!G66,'LTI_Inputs &amp; Assumptions'!G67)))</f>
        <v/>
      </c>
      <c r="N92" s="83">
        <f>(IF('LTI_Inputs &amp; Assumptions'!H67="",'LTI_Inputs &amp; Assumptions'!H66,'LTI_Inputs &amp; Assumptions'!H67))*(M131+M139)/(1-(IF('LTI_Inputs &amp; Assumptions'!H67="",'LTI_Inputs &amp; Assumptions'!H66,'LTI_Inputs &amp; Assumptions'!H67)))</f>
        <v/>
      </c>
      <c r="O92" s="83">
        <f>(IF('LTI_Inputs &amp; Assumptions'!I67="",'LTI_Inputs &amp; Assumptions'!I66,'LTI_Inputs &amp; Assumptions'!I67))*(N131+N139)/(1-(IF('LTI_Inputs &amp; Assumptions'!I67="",'LTI_Inputs &amp; Assumptions'!I66,'LTI_Inputs &amp; Assumptions'!I67)))</f>
        <v/>
      </c>
      <c r="P92" s="83">
        <f>(IF('LTI_Inputs &amp; Assumptions'!J67="",'LTI_Inputs &amp; Assumptions'!J66,'LTI_Inputs &amp; Assumptions'!J67))*(O131+O139)/(1-(IF('LTI_Inputs &amp; Assumptions'!J67="",'LTI_Inputs &amp; Assumptions'!J66,'LTI_Inputs &amp; Assumptions'!J67)))</f>
        <v/>
      </c>
      <c r="Q92" s="83">
        <f>(IF('LTI_Inputs &amp; Assumptions'!K67="",'LTI_Inputs &amp; Assumptions'!K66,'LTI_Inputs &amp; Assumptions'!K67))*(P131+P139)/(1-(IF('LTI_Inputs &amp; Assumptions'!K67="",'LTI_Inputs &amp; Assumptions'!K66,'LTI_Inputs &amp; Assumptions'!K67)))</f>
        <v/>
      </c>
      <c r="R92" s="83">
        <f>(IF('LTI_Inputs &amp; Assumptions'!L67="",'LTI_Inputs &amp; Assumptions'!L66,'LTI_Inputs &amp; Assumptions'!L67))*(Q131+Q139)/(1-(IF('LTI_Inputs &amp; Assumptions'!L67="",'LTI_Inputs &amp; Assumptions'!L66,'LTI_Inputs &amp; Assumptions'!L67)))</f>
        <v/>
      </c>
    </row>
    <row r="93">
      <c r="B93" s="202" t="inlineStr">
        <is>
          <t>Tie-check, historical only</t>
        </is>
      </c>
      <c r="C93" s="211" t="inlineStr">
        <is>
          <t>n/a</t>
        </is>
      </c>
      <c r="D93" s="85">
        <f>D92-((IFERROR(INDEX(LTI_HS_CONSOLIDATED!E:E,MATCH("BorrowingsNoncurrent",LTI_HS_CONSOLIDATED!$C:$C,0)),0)+IFERROR(INDEX(LTI_HS_CONSOLIDATED!E:E,MATCH("BorrowingsCurrent",LTI_HS_CONSOLIDATED!$C:$C,0)),0))+IF(IF('LTI_Inputs &amp; Assumptions'!$C$61="",'LTI_Inputs &amp; Assumptions'!$C$60,'LTI_Inputs &amp; Assumptions'!$C$61)=1,((IFERROR(INDEX(LTI_HS_CONSOLIDATED!E:E,MATCH("NoncurrentLeaseLiabilities",LTI_HS_CONSOLIDATED!$C:$C,0)),0)+IFERROR(INDEX(LTI_HS_CONSOLIDATED!E:E,MATCH("LeaseLiabilitiesNonCurrent",LTI_HS_CONSOLIDATED!$C:$C,0)),0))+(IFERROR(INDEX(LTI_HS_CONSOLIDATED!E:E,MATCH("CurrentLeaseLiabilities",LTI_HS_CONSOLIDATED!$C:$C,0)),0)+IFERROR(INDEX(LTI_HS_CONSOLIDATED!E:E,MATCH("LeaseLiabilitiesCurrent",LTI_HS_CONSOLIDATED!$C:$C,0)),0))),0))</f>
        <v/>
      </c>
      <c r="E93" s="85">
        <f>E92-((IFERROR(INDEX(LTI_HS_CONSOLIDATED!F:F,MATCH("BorrowingsNoncurrent",LTI_HS_CONSOLIDATED!$C:$C,0)),0)+IFERROR(INDEX(LTI_HS_CONSOLIDATED!F:F,MATCH("BorrowingsCurrent",LTI_HS_CONSOLIDATED!$C:$C,0)),0))+IF(IF('LTI_Inputs &amp; Assumptions'!$C$61="",'LTI_Inputs &amp; Assumptions'!$C$60,'LTI_Inputs &amp; Assumptions'!$C$61)=1,((IFERROR(INDEX(LTI_HS_CONSOLIDATED!F:F,MATCH("NoncurrentLeaseLiabilities",LTI_HS_CONSOLIDATED!$C:$C,0)),0)+IFERROR(INDEX(LTI_HS_CONSOLIDATED!F:F,MATCH("LeaseLiabilitiesNonCurrent",LTI_HS_CONSOLIDATED!$C:$C,0)),0))+(IFERROR(INDEX(LTI_HS_CONSOLIDATED!F:F,MATCH("CurrentLeaseLiabilities",LTI_HS_CONSOLIDATED!$C:$C,0)),0)+IFERROR(INDEX(LTI_HS_CONSOLIDATED!F:F,MATCH("LeaseLiabilitiesCurrent",LTI_HS_CONSOLIDATED!$C:$C,0)),0))),0))</f>
        <v/>
      </c>
      <c r="F93" s="85">
        <f>F92-((IFERROR(INDEX(LTI_HS_CONSOLIDATED!G:G,MATCH("BorrowingsNoncurrent",LTI_HS_CONSOLIDATED!$C:$C,0)),0)+IFERROR(INDEX(LTI_HS_CONSOLIDATED!G:G,MATCH("BorrowingsCurrent",LTI_HS_CONSOLIDATED!$C:$C,0)),0))+IF(IF('LTI_Inputs &amp; Assumptions'!$C$61="",'LTI_Inputs &amp; Assumptions'!$C$60,'LTI_Inputs &amp; Assumptions'!$C$61)=1,((IFERROR(INDEX(LTI_HS_CONSOLIDATED!G:G,MATCH("NoncurrentLeaseLiabilities",LTI_HS_CONSOLIDATED!$C:$C,0)),0)+IFERROR(INDEX(LTI_HS_CONSOLIDATED!G:G,MATCH("LeaseLiabilitiesNonCurrent",LTI_HS_CONSOLIDATED!$C:$C,0)),0))+(IFERROR(INDEX(LTI_HS_CONSOLIDATED!G:G,MATCH("CurrentLeaseLiabilities",LTI_HS_CONSOLIDATED!$C:$C,0)),0)+IFERROR(INDEX(LTI_HS_CONSOLIDATED!G:G,MATCH("LeaseLiabilitiesCurrent",LTI_HS_CONSOLIDATED!$C:$C,0)),0))),0))</f>
        <v/>
      </c>
      <c r="G93" s="85">
        <f>G92-((IFERROR(INDEX(LTI_HS_CONSOLIDATED!H:H,MATCH("BorrowingsNoncurrent",LTI_HS_CONSOLIDATED!$C:$C,0)),0)+IFERROR(INDEX(LTI_HS_CONSOLIDATED!H:H,MATCH("BorrowingsCurrent",LTI_HS_CONSOLIDATED!$C:$C,0)),0))+IF(IF('LTI_Inputs &amp; Assumptions'!$C$61="",'LTI_Inputs &amp; Assumptions'!$C$60,'LTI_Inputs &amp; Assumptions'!$C$61)=1,((IFERROR(INDEX(LTI_HS_CONSOLIDATED!H:H,MATCH("NoncurrentLeaseLiabilities",LTI_HS_CONSOLIDATED!$C:$C,0)),0)+IFERROR(INDEX(LTI_HS_CONSOLIDATED!H:H,MATCH("LeaseLiabilitiesNonCurrent",LTI_HS_CONSOLIDATED!$C:$C,0)),0))+(IFERROR(INDEX(LTI_HS_CONSOLIDATED!H:H,MATCH("CurrentLeaseLiabilities",LTI_HS_CONSOLIDATED!$C:$C,0)),0)+IFERROR(INDEX(LTI_HS_CONSOLIDATED!H:H,MATCH("LeaseLiabilitiesCurrent",LTI_HS_CONSOLIDATED!$C:$C,0)),0))),0))</f>
        <v/>
      </c>
      <c r="H93" s="85">
        <f>H92-((IFERROR(INDEX(LTI_HS_CONSOLIDATED!I:I,MATCH("BorrowingsNoncurrent",LTI_HS_CONSOLIDATED!$C:$C,0)),0)+IFERROR(INDEX(LTI_HS_CONSOLIDATED!I:I,MATCH("BorrowingsCurrent",LTI_HS_CONSOLIDATED!$C:$C,0)),0))+IF(IF('LTI_Inputs &amp; Assumptions'!$C$61="",'LTI_Inputs &amp; Assumptions'!$C$60,'LTI_Inputs &amp; Assumptions'!$C$61)=1,((IFERROR(INDEX(LTI_HS_CONSOLIDATED!I:I,MATCH("NoncurrentLeaseLiabilities",LTI_HS_CONSOLIDATED!$C:$C,0)),0)+IFERROR(INDEX(LTI_HS_CONSOLIDATED!I:I,MATCH("LeaseLiabilitiesNonCurrent",LTI_HS_CONSOLIDATED!$C:$C,0)),0))+(IFERROR(INDEX(LTI_HS_CONSOLIDATED!I:I,MATCH("CurrentLeaseLiabilities",LTI_HS_CONSOLIDATED!$C:$C,0)),0)+IFERROR(INDEX(LTI_HS_CONSOLIDATED!I:I,MATCH("LeaseLiabilitiesCurrent",LTI_HS_CONSOLIDATED!$C:$C,0)),0))),0))</f>
        <v/>
      </c>
    </row>
    <row r="95">
      <c r="B95" s="211" t="inlineStr">
        <is>
          <t>Average Total Debt</t>
        </is>
      </c>
      <c r="C95" s="86">
        <f>AVERAGE(C92,C92)</f>
        <v/>
      </c>
      <c r="D95" s="86">
        <f>AVERAGE(D88,D92)</f>
        <v/>
      </c>
      <c r="E95" s="86">
        <f>AVERAGE(E88,E92)</f>
        <v/>
      </c>
      <c r="F95" s="86">
        <f>AVERAGE(F88,F92)</f>
        <v/>
      </c>
      <c r="G95" s="86">
        <f>AVERAGE(G88,G92)</f>
        <v/>
      </c>
      <c r="H95" s="86">
        <f>AVERAGE(H88,H92)</f>
        <v/>
      </c>
      <c r="I95" s="86">
        <f>AVERAGE(I88,I92)</f>
        <v/>
      </c>
      <c r="J95" s="86">
        <f>AVERAGE(J88,J92)</f>
        <v/>
      </c>
      <c r="K95" s="86">
        <f>AVERAGE(K88,K92)</f>
        <v/>
      </c>
      <c r="L95" s="86">
        <f>AVERAGE(L88,L92)</f>
        <v/>
      </c>
      <c r="M95" s="86">
        <f>AVERAGE(M88,M92)</f>
        <v/>
      </c>
      <c r="N95" s="86">
        <f>AVERAGE(N88,N92)</f>
        <v/>
      </c>
      <c r="O95" s="86">
        <f>AVERAGE(O88,O92)</f>
        <v/>
      </c>
      <c r="P95" s="86">
        <f>AVERAGE(P88,P92)</f>
        <v/>
      </c>
      <c r="Q95" s="86">
        <f>AVERAGE(Q88,Q92)</f>
        <v/>
      </c>
      <c r="R95" s="86">
        <f>AVERAGE(R88,R92)</f>
        <v/>
      </c>
    </row>
    <row r="96">
      <c r="B96" s="211" t="inlineStr">
        <is>
          <t>Effective Interest Rate %</t>
        </is>
      </c>
      <c r="C96" s="89">
        <f>IFERROR((IF(AND(IF('LTI_Inputs &amp; Assumptions'!$C$61="",'LTI_Inputs &amp; Assumptions'!$C$60,'LTI_Inputs &amp; Assumptions'!$C$61)=1,((IFERROR(INDEX(LTI_HS_CONSOLIDATED!D:D,MATCH("NoncurrentLeaseLiabilities",LTI_HS_CONSOLIDATED!$C:$C,0)),0)+IFERROR(INDEX(LTI_HS_CONSOLIDATED!D:D,MATCH("LeaseLiabilitiesNonCurrent",LTI_HS_CONSOLIDATED!$C:$C,0)),0))+(IFERROR(INDEX(LTI_HS_CONSOLIDATED!D:D,MATCH("CurrentLeaseLiabilities",LTI_HS_CONSOLIDATED!$C:$C,0)),0)+IFERROR(INDEX(LTI_HS_CONSOLIDATED!D:D,MATCH("LeaseLiabilitiesCurrent",LTI_HS_CONSOLIDATED!$C:$C,0)),0)))&gt;0),IFERROR(INDEX(LTI_HS_CONSOLIDATED!D:D,MATCH("InterestExpense",LTI_HS_CONSOLIDATED!$C:$C,0)),0),(IFERROR(INDEX(LTI_HS_CONSOLIDATED!D:D,MATCH("InterestExpense",LTI_HS_CONSOLIDATED!$C:$C,0)),0))-(IFERROR(INDEX(LTI_HS_CONSOLIDATED!D:D,MATCH("InterestExpenseOnLeaseLiabilities",LTI_HS_CONSOLIDATED!$C:$C,0)),0))))/C95,0)</f>
        <v/>
      </c>
      <c r="D96" s="89">
        <f>IFERROR((IF(AND(IF('LTI_Inputs &amp; Assumptions'!$C$61="",'LTI_Inputs &amp; Assumptions'!$C$60,'LTI_Inputs &amp; Assumptions'!$C$61)=1,((IFERROR(INDEX(LTI_HS_CONSOLIDATED!E:E,MATCH("NoncurrentLeaseLiabilities",LTI_HS_CONSOLIDATED!$C:$C,0)),0)+IFERROR(INDEX(LTI_HS_CONSOLIDATED!E:E,MATCH("LeaseLiabilitiesNonCurrent",LTI_HS_CONSOLIDATED!$C:$C,0)),0))+(IFERROR(INDEX(LTI_HS_CONSOLIDATED!E:E,MATCH("CurrentLeaseLiabilities",LTI_HS_CONSOLIDATED!$C:$C,0)),0)+IFERROR(INDEX(LTI_HS_CONSOLIDATED!E:E,MATCH("LeaseLiabilitiesCurrent",LTI_HS_CONSOLIDATED!$C:$C,0)),0)))&gt;0),IFERROR(INDEX(LTI_HS_CONSOLIDATED!E:E,MATCH("InterestExpense",LTI_HS_CONSOLIDATED!$C:$C,0)),0),(IFERROR(INDEX(LTI_HS_CONSOLIDATED!E:E,MATCH("InterestExpense",LTI_HS_CONSOLIDATED!$C:$C,0)),0))-(IFERROR(INDEX(LTI_HS_CONSOLIDATED!E:E,MATCH("InterestExpenseOnLeaseLiabilities",LTI_HS_CONSOLIDATED!$C:$C,0)),0))))/D95,0)</f>
        <v/>
      </c>
      <c r="E96" s="89">
        <f>IFERROR((IF(AND(IF('LTI_Inputs &amp; Assumptions'!$C$61="",'LTI_Inputs &amp; Assumptions'!$C$60,'LTI_Inputs &amp; Assumptions'!$C$61)=1,((IFERROR(INDEX(LTI_HS_CONSOLIDATED!F:F,MATCH("NoncurrentLeaseLiabilities",LTI_HS_CONSOLIDATED!$C:$C,0)),0)+IFERROR(INDEX(LTI_HS_CONSOLIDATED!F:F,MATCH("LeaseLiabilitiesNonCurrent",LTI_HS_CONSOLIDATED!$C:$C,0)),0))+(IFERROR(INDEX(LTI_HS_CONSOLIDATED!F:F,MATCH("CurrentLeaseLiabilities",LTI_HS_CONSOLIDATED!$C:$C,0)),0)+IFERROR(INDEX(LTI_HS_CONSOLIDATED!F:F,MATCH("LeaseLiabilitiesCurrent",LTI_HS_CONSOLIDATED!$C:$C,0)),0)))&gt;0),IFERROR(INDEX(LTI_HS_CONSOLIDATED!F:F,MATCH("InterestExpense",LTI_HS_CONSOLIDATED!$C:$C,0)),0),(IFERROR(INDEX(LTI_HS_CONSOLIDATED!F:F,MATCH("InterestExpense",LTI_HS_CONSOLIDATED!$C:$C,0)),0))-(IFERROR(INDEX(LTI_HS_CONSOLIDATED!F:F,MATCH("InterestExpenseOnLeaseLiabilities",LTI_HS_CONSOLIDATED!$C:$C,0)),0))))/E95,0)</f>
        <v/>
      </c>
      <c r="F96" s="89">
        <f>IFERROR((IF(AND(IF('LTI_Inputs &amp; Assumptions'!$C$61="",'LTI_Inputs &amp; Assumptions'!$C$60,'LTI_Inputs &amp; Assumptions'!$C$61)=1,((IFERROR(INDEX(LTI_HS_CONSOLIDATED!G:G,MATCH("NoncurrentLeaseLiabilities",LTI_HS_CONSOLIDATED!$C:$C,0)),0)+IFERROR(INDEX(LTI_HS_CONSOLIDATED!G:G,MATCH("LeaseLiabilitiesNonCurrent",LTI_HS_CONSOLIDATED!$C:$C,0)),0))+(IFERROR(INDEX(LTI_HS_CONSOLIDATED!G:G,MATCH("CurrentLeaseLiabilities",LTI_HS_CONSOLIDATED!$C:$C,0)),0)+IFERROR(INDEX(LTI_HS_CONSOLIDATED!G:G,MATCH("LeaseLiabilitiesCurrent",LTI_HS_CONSOLIDATED!$C:$C,0)),0)))&gt;0),IFERROR(INDEX(LTI_HS_CONSOLIDATED!G:G,MATCH("InterestExpense",LTI_HS_CONSOLIDATED!$C:$C,0)),0),(IFERROR(INDEX(LTI_HS_CONSOLIDATED!G:G,MATCH("InterestExpense",LTI_HS_CONSOLIDATED!$C:$C,0)),0))-(IFERROR(INDEX(LTI_HS_CONSOLIDATED!G:G,MATCH("InterestExpenseOnLeaseLiabilities",LTI_HS_CONSOLIDATED!$C:$C,0)),0))))/F95,0)</f>
        <v/>
      </c>
      <c r="G96" s="89">
        <f>IFERROR((IF(AND(IF('LTI_Inputs &amp; Assumptions'!$C$61="",'LTI_Inputs &amp; Assumptions'!$C$60,'LTI_Inputs &amp; Assumptions'!$C$61)=1,((IFERROR(INDEX(LTI_HS_CONSOLIDATED!H:H,MATCH("NoncurrentLeaseLiabilities",LTI_HS_CONSOLIDATED!$C:$C,0)),0)+IFERROR(INDEX(LTI_HS_CONSOLIDATED!H:H,MATCH("LeaseLiabilitiesNonCurrent",LTI_HS_CONSOLIDATED!$C:$C,0)),0))+(IFERROR(INDEX(LTI_HS_CONSOLIDATED!H:H,MATCH("CurrentLeaseLiabilities",LTI_HS_CONSOLIDATED!$C:$C,0)),0)+IFERROR(INDEX(LTI_HS_CONSOLIDATED!H:H,MATCH("LeaseLiabilitiesCurrent",LTI_HS_CONSOLIDATED!$C:$C,0)),0)))&gt;0),IFERROR(INDEX(LTI_HS_CONSOLIDATED!H:H,MATCH("InterestExpense",LTI_HS_CONSOLIDATED!$C:$C,0)),0),(IFERROR(INDEX(LTI_HS_CONSOLIDATED!H:H,MATCH("InterestExpense",LTI_HS_CONSOLIDATED!$C:$C,0)),0))-(IFERROR(INDEX(LTI_HS_CONSOLIDATED!H:H,MATCH("InterestExpenseOnLeaseLiabilities",LTI_HS_CONSOLIDATED!$C:$C,0)),0))))/G95,0)</f>
        <v/>
      </c>
      <c r="H96" s="89">
        <f>IFERROR((IF(AND(IF('LTI_Inputs &amp; Assumptions'!$C$61="",'LTI_Inputs &amp; Assumptions'!$C$60,'LTI_Inputs &amp; Assumptions'!$C$61)=1,((IFERROR(INDEX(LTI_HS_CONSOLIDATED!I:I,MATCH("NoncurrentLeaseLiabilities",LTI_HS_CONSOLIDATED!$C:$C,0)),0)+IFERROR(INDEX(LTI_HS_CONSOLIDATED!I:I,MATCH("LeaseLiabilitiesNonCurrent",LTI_HS_CONSOLIDATED!$C:$C,0)),0))+(IFERROR(INDEX(LTI_HS_CONSOLIDATED!I:I,MATCH("CurrentLeaseLiabilities",LTI_HS_CONSOLIDATED!$C:$C,0)),0)+IFERROR(INDEX(LTI_HS_CONSOLIDATED!I:I,MATCH("LeaseLiabilitiesCurrent",LTI_HS_CONSOLIDATED!$C:$C,0)),0)))&gt;0),IFERROR(INDEX(LTI_HS_CONSOLIDATED!I:I,MATCH("InterestExpense",LTI_HS_CONSOLIDATED!$C:$C,0)),0),(IFERROR(INDEX(LTI_HS_CONSOLIDATED!I:I,MATCH("InterestExpense",LTI_HS_CONSOLIDATED!$C:$C,0)),0))-(IFERROR(INDEX(LTI_HS_CONSOLIDATED!I:I,MATCH("InterestExpenseOnLeaseLiabilities",LTI_HS_CONSOLIDATED!$C:$C,0)),0))))/H95,0)</f>
        <v/>
      </c>
    </row>
    <row r="97">
      <c r="B97" s="82" t="inlineStr">
        <is>
          <t>Interest Expense</t>
        </is>
      </c>
      <c r="C97" s="90">
        <f>C95*C96</f>
        <v/>
      </c>
      <c r="D97" s="90">
        <f>D95*D96</f>
        <v/>
      </c>
      <c r="E97" s="90">
        <f>E95*E96</f>
        <v/>
      </c>
      <c r="F97" s="90">
        <f>F95*F96</f>
        <v/>
      </c>
      <c r="G97" s="90">
        <f>G95*G96</f>
        <v/>
      </c>
      <c r="H97" s="90">
        <f>H95*H96</f>
        <v/>
      </c>
      <c r="I97" s="90">
        <f>I95*(IF('LTI_Inputs &amp; Assumptions'!C64="",'LTI_Inputs &amp; Assumptions'!C63,'LTI_Inputs &amp; Assumptions'!C64))</f>
        <v/>
      </c>
      <c r="J97" s="90">
        <f>J95*(IF('LTI_Inputs &amp; Assumptions'!D64="",'LTI_Inputs &amp; Assumptions'!D63,'LTI_Inputs &amp; Assumptions'!D64))</f>
        <v/>
      </c>
      <c r="K97" s="90">
        <f>K95*(IF('LTI_Inputs &amp; Assumptions'!E64="",'LTI_Inputs &amp; Assumptions'!E63,'LTI_Inputs &amp; Assumptions'!E64))</f>
        <v/>
      </c>
      <c r="L97" s="90">
        <f>L95*(IF('LTI_Inputs &amp; Assumptions'!F64="",'LTI_Inputs &amp; Assumptions'!F63,'LTI_Inputs &amp; Assumptions'!F64))</f>
        <v/>
      </c>
      <c r="M97" s="90">
        <f>M95*(IF('LTI_Inputs &amp; Assumptions'!G64="",'LTI_Inputs &amp; Assumptions'!G63,'LTI_Inputs &amp; Assumptions'!G64))</f>
        <v/>
      </c>
      <c r="N97" s="90">
        <f>N95*(IF('LTI_Inputs &amp; Assumptions'!H64="",'LTI_Inputs &amp; Assumptions'!H63,'LTI_Inputs &amp; Assumptions'!H64))</f>
        <v/>
      </c>
      <c r="O97" s="90">
        <f>O95*(IF('LTI_Inputs &amp; Assumptions'!I64="",'LTI_Inputs &amp; Assumptions'!I63,'LTI_Inputs &amp; Assumptions'!I64))</f>
        <v/>
      </c>
      <c r="P97" s="90">
        <f>P95*(IF('LTI_Inputs &amp; Assumptions'!J64="",'LTI_Inputs &amp; Assumptions'!J63,'LTI_Inputs &amp; Assumptions'!J64))</f>
        <v/>
      </c>
      <c r="Q97" s="90">
        <f>Q95*(IF('LTI_Inputs &amp; Assumptions'!K64="",'LTI_Inputs &amp; Assumptions'!K63,'LTI_Inputs &amp; Assumptions'!K64))</f>
        <v/>
      </c>
      <c r="R97" s="90">
        <f>R95*(IF('LTI_Inputs &amp; Assumptions'!L64="",'LTI_Inputs &amp; Assumptions'!L63,'LTI_Inputs &amp; Assumptions'!L64))</f>
        <v/>
      </c>
    </row>
    <row r="99" ht="40" customHeight="1" s="203">
      <c r="B99" s="88">
        <f>IF(AND(IF('LTI_Inputs &amp; Assumptions'!$C$61="",'LTI_Inputs &amp; Assumptions'!$C$60,'LTI_Inputs &amp; Assumptions'!$C$61)=1,((IFERROR(INDEX('LTI_HS_CONSOLIDATED'!I:I,MATCH("NoncurrentLeaseLiabilities",'LTI_HS_CONSOLIDATED'!$C:$C,0)),0)+IFERROR(INDEX('LTI_HS_CONSOLIDATED'!I:I,MATCH("LeaseLiabilitiesNonCurrent",'LTI_HS_CONSOLIDATED'!$C:$C,0)),0)+IFERROR(INDEX('LTI_HS_CONSOLIDATED'!I:I,MATCH("CurrentLeaseLiabilities",'LTI_HS_CONSOLIDATED'!$C:$C,0)),0)+IFERROR(INDEX('LTI_HS_CONSOLIDATED'!I:I,MATCH("LeaseLiabilitiesCurrent",'LTI_HS_CONSOLIDATED'!$C:$C,0)),0)))&lt;=0),"⚠ Include Lease Liabilities as Quasi-Debt is ON, but this company's filing does not separately tag a lease liability balance (only lease interest/payments) -- Total Debt still excludes leases, and the interest treatment has fallen back to excluding lease interest too, to avoid mismatching a bigger interest numerator against an unchanged debt base.","")</f>
        <v/>
      </c>
    </row>
    <row r="102" ht="18.5" customHeight="1" s="203">
      <c r="A102" t="inlineStr">
        <is>
          <t>#</t>
        </is>
      </c>
      <c r="B102" s="78" t="inlineStr">
        <is>
          <t>Tax Schedule</t>
        </is>
      </c>
    </row>
    <row r="105">
      <c r="B105" s="205" t="inlineStr">
        <is>
          <t>Profit Before Tax (from Income Statement)</t>
        </is>
      </c>
      <c r="C105" s="80">
        <f>IFERROR(INDEX(LTI_HS_CONSOLIDATED!D:D,MATCH("ProfitBeforeTax",LTI_HS_CONSOLIDATED!$C:$C,0)),0)</f>
        <v/>
      </c>
      <c r="D105" s="80">
        <f>IFERROR(INDEX(LTI_HS_CONSOLIDATED!E:E,MATCH("ProfitBeforeTax",LTI_HS_CONSOLIDATED!$C:$C,0)),0)</f>
        <v/>
      </c>
      <c r="E105" s="80">
        <f>IFERROR(INDEX(LTI_HS_CONSOLIDATED!F:F,MATCH("ProfitBeforeTax",LTI_HS_CONSOLIDATED!$C:$C,0)),0)</f>
        <v/>
      </c>
      <c r="F105" s="80">
        <f>IFERROR(INDEX(LTI_HS_CONSOLIDATED!G:G,MATCH("ProfitBeforeTax",LTI_HS_CONSOLIDATED!$C:$C,0)),0)</f>
        <v/>
      </c>
      <c r="G105" s="80">
        <f>IFERROR(INDEX(LTI_HS_CONSOLIDATED!H:H,MATCH("ProfitBeforeTax",LTI_HS_CONSOLIDATED!$C:$C,0)),0)</f>
        <v/>
      </c>
      <c r="H105" s="80">
        <f>IFERROR(INDEX(LTI_HS_CONSOLIDATED!I:I,MATCH("ProfitBeforeTax",LTI_HS_CONSOLIDATED!$C:$C,0)),0)</f>
        <v/>
      </c>
      <c r="I105" s="81">
        <f>'LTI_P&amp;L Schedule'!I19</f>
        <v/>
      </c>
      <c r="J105" s="81">
        <f>'LTI_P&amp;L Schedule'!J19</f>
        <v/>
      </c>
      <c r="K105" s="81">
        <f>'LTI_P&amp;L Schedule'!K19</f>
        <v/>
      </c>
      <c r="L105" s="81">
        <f>'LTI_P&amp;L Schedule'!L19</f>
        <v/>
      </c>
      <c r="M105" s="81">
        <f>'LTI_P&amp;L Schedule'!M19</f>
        <v/>
      </c>
      <c r="N105" s="81">
        <f>'LTI_P&amp;L Schedule'!N19</f>
        <v/>
      </c>
      <c r="O105" s="81">
        <f>'LTI_P&amp;L Schedule'!O19</f>
        <v/>
      </c>
      <c r="P105" s="81">
        <f>'LTI_P&amp;L Schedule'!P19</f>
        <v/>
      </c>
      <c r="Q105" s="81">
        <f>'LTI_P&amp;L Schedule'!Q19</f>
        <v/>
      </c>
      <c r="R105" s="81">
        <f>'LTI_P&amp;L Schedule'!R19</f>
        <v/>
      </c>
    </row>
    <row r="106">
      <c r="B106" s="82" t="inlineStr">
        <is>
          <t>Total Tax Expense (= Current + Deferred)</t>
        </is>
      </c>
      <c r="C106" s="91">
        <f>IFERROR(INDEX(LTI_HS_CONSOLIDATED!D:D,MATCH("IncomeTaxExpenseContinuingOperations",LTI_HS_CONSOLIDATED!$C:$C,0)),0)</f>
        <v/>
      </c>
      <c r="D106" s="91">
        <f>IFERROR(INDEX(LTI_HS_CONSOLIDATED!E:E,MATCH("IncomeTaxExpenseContinuingOperations",LTI_HS_CONSOLIDATED!$C:$C,0)),0)</f>
        <v/>
      </c>
      <c r="E106" s="91">
        <f>IFERROR(INDEX(LTI_HS_CONSOLIDATED!F:F,MATCH("IncomeTaxExpenseContinuingOperations",LTI_HS_CONSOLIDATED!$C:$C,0)),0)</f>
        <v/>
      </c>
      <c r="F106" s="91">
        <f>IFERROR(INDEX(LTI_HS_CONSOLIDATED!G:G,MATCH("IncomeTaxExpenseContinuingOperations",LTI_HS_CONSOLIDATED!$C:$C,0)),0)</f>
        <v/>
      </c>
      <c r="G106" s="91">
        <f>IFERROR(INDEX(LTI_HS_CONSOLIDATED!H:H,MATCH("IncomeTaxExpenseContinuingOperations",LTI_HS_CONSOLIDATED!$C:$C,0)),0)</f>
        <v/>
      </c>
      <c r="H106" s="91">
        <f>IFERROR(INDEX(LTI_HS_CONSOLIDATED!I:I,MATCH("IncomeTaxExpenseContinuingOperations",LTI_HS_CONSOLIDATED!$C:$C,0)),0)</f>
        <v/>
      </c>
      <c r="I106" s="83">
        <f>I108+I109</f>
        <v/>
      </c>
      <c r="J106" s="83">
        <f>J108+J109</f>
        <v/>
      </c>
      <c r="K106" s="83">
        <f>K108+K109</f>
        <v/>
      </c>
      <c r="L106" s="83">
        <f>L108+L109</f>
        <v/>
      </c>
      <c r="M106" s="83">
        <f>M108+M109</f>
        <v/>
      </c>
      <c r="N106" s="83">
        <f>N108+N109</f>
        <v/>
      </c>
      <c r="O106" s="83">
        <f>O108+O109</f>
        <v/>
      </c>
      <c r="P106" s="83">
        <f>P108+P109</f>
        <v/>
      </c>
      <c r="Q106" s="83">
        <f>Q108+Q109</f>
        <v/>
      </c>
      <c r="R106" s="83">
        <f>R108+R109</f>
        <v/>
      </c>
    </row>
    <row r="108">
      <c r="B108" s="205" t="inlineStr">
        <is>
          <t>Current Tax Expense</t>
        </is>
      </c>
      <c r="C108" s="80">
        <f>IFERROR(INDEX(LTI_HS_CONSOLIDATED!D:D,MATCH("CurrentTaxExpenseIncomeAndAdjustmentsForCurrentTaxOfPriorPeriods",LTI_HS_CONSOLIDATED!$C:$C,0)),0)</f>
        <v/>
      </c>
      <c r="D108" s="80">
        <f>IFERROR(INDEX(LTI_HS_CONSOLIDATED!E:E,MATCH("CurrentTaxExpenseIncomeAndAdjustmentsForCurrentTaxOfPriorPeriods",LTI_HS_CONSOLIDATED!$C:$C,0)),0)</f>
        <v/>
      </c>
      <c r="E108" s="80">
        <f>IFERROR(INDEX(LTI_HS_CONSOLIDATED!F:F,MATCH("CurrentTaxExpenseIncomeAndAdjustmentsForCurrentTaxOfPriorPeriods",LTI_HS_CONSOLIDATED!$C:$C,0)),0)</f>
        <v/>
      </c>
      <c r="F108" s="80">
        <f>IFERROR(INDEX(LTI_HS_CONSOLIDATED!G:G,MATCH("CurrentTaxExpenseIncomeAndAdjustmentsForCurrentTaxOfPriorPeriods",LTI_HS_CONSOLIDATED!$C:$C,0)),0)</f>
        <v/>
      </c>
      <c r="G108" s="80">
        <f>IFERROR(INDEX(LTI_HS_CONSOLIDATED!H:H,MATCH("CurrentTaxExpenseIncomeAndAdjustmentsForCurrentTaxOfPriorPeriods",LTI_HS_CONSOLIDATED!$C:$C,0)),0)</f>
        <v/>
      </c>
      <c r="H108" s="80">
        <f>IFERROR(INDEX(LTI_HS_CONSOLIDATED!I:I,MATCH("CurrentTaxExpenseIncomeAndAdjustmentsForCurrentTaxOfPriorPeriods",LTI_HS_CONSOLIDATED!$C:$C,0)),0)</f>
        <v/>
      </c>
      <c r="I108" s="90">
        <f>MAX(I125*(IF('LTI_Inputs &amp; Assumptions'!$C$72="",'LTI_Inputs &amp; Assumptions'!$C$71,'LTI_Inputs &amp; Assumptions'!$C$72)),MAX(I105,0)*(IF('LTI_Inputs &amp; Assumptions'!C75="",'LTI_Inputs &amp; Assumptions'!C74,'LTI_Inputs &amp; Assumptions'!C75)))</f>
        <v/>
      </c>
      <c r="J108" s="90">
        <f>MAX(J125*(IF('LTI_Inputs &amp; Assumptions'!$C$72="",'LTI_Inputs &amp; Assumptions'!$C$71,'LTI_Inputs &amp; Assumptions'!$C$72)),MAX(J105,0)*(IF('LTI_Inputs &amp; Assumptions'!D75="",'LTI_Inputs &amp; Assumptions'!D74,'LTI_Inputs &amp; Assumptions'!D75)))</f>
        <v/>
      </c>
      <c r="K108" s="90">
        <f>MAX(K125*(IF('LTI_Inputs &amp; Assumptions'!$C$72="",'LTI_Inputs &amp; Assumptions'!$C$71,'LTI_Inputs &amp; Assumptions'!$C$72)),MAX(K105,0)*(IF('LTI_Inputs &amp; Assumptions'!E75="",'LTI_Inputs &amp; Assumptions'!E74,'LTI_Inputs &amp; Assumptions'!E75)))</f>
        <v/>
      </c>
      <c r="L108" s="90">
        <f>MAX(L125*(IF('LTI_Inputs &amp; Assumptions'!$C$72="",'LTI_Inputs &amp; Assumptions'!$C$71,'LTI_Inputs &amp; Assumptions'!$C$72)),MAX(L105,0)*(IF('LTI_Inputs &amp; Assumptions'!F75="",'LTI_Inputs &amp; Assumptions'!F74,'LTI_Inputs &amp; Assumptions'!F75)))</f>
        <v/>
      </c>
      <c r="M108" s="90">
        <f>MAX(M125*(IF('LTI_Inputs &amp; Assumptions'!$C$72="",'LTI_Inputs &amp; Assumptions'!$C$71,'LTI_Inputs &amp; Assumptions'!$C$72)),MAX(M105,0)*(IF('LTI_Inputs &amp; Assumptions'!G75="",'LTI_Inputs &amp; Assumptions'!G74,'LTI_Inputs &amp; Assumptions'!G75)))</f>
        <v/>
      </c>
      <c r="N108" s="90">
        <f>MAX(N125*(IF('LTI_Inputs &amp; Assumptions'!$C$72="",'LTI_Inputs &amp; Assumptions'!$C$71,'LTI_Inputs &amp; Assumptions'!$C$72)),MAX(N105,0)*(IF('LTI_Inputs &amp; Assumptions'!H75="",'LTI_Inputs &amp; Assumptions'!H74,'LTI_Inputs &amp; Assumptions'!H75)))</f>
        <v/>
      </c>
      <c r="O108" s="90">
        <f>MAX(O125*(IF('LTI_Inputs &amp; Assumptions'!$C$72="",'LTI_Inputs &amp; Assumptions'!$C$71,'LTI_Inputs &amp; Assumptions'!$C$72)),MAX(O105,0)*(IF('LTI_Inputs &amp; Assumptions'!I75="",'LTI_Inputs &amp; Assumptions'!I74,'LTI_Inputs &amp; Assumptions'!I75)))</f>
        <v/>
      </c>
      <c r="P108" s="90">
        <f>MAX(P125*(IF('LTI_Inputs &amp; Assumptions'!$C$72="",'LTI_Inputs &amp; Assumptions'!$C$71,'LTI_Inputs &amp; Assumptions'!$C$72)),MAX(P105,0)*(IF('LTI_Inputs &amp; Assumptions'!J75="",'LTI_Inputs &amp; Assumptions'!J74,'LTI_Inputs &amp; Assumptions'!J75)))</f>
        <v/>
      </c>
      <c r="Q108" s="90">
        <f>MAX(Q125*(IF('LTI_Inputs &amp; Assumptions'!$C$72="",'LTI_Inputs &amp; Assumptions'!$C$71,'LTI_Inputs &amp; Assumptions'!$C$72)),MAX(Q105,0)*(IF('LTI_Inputs &amp; Assumptions'!K75="",'LTI_Inputs &amp; Assumptions'!K74,'LTI_Inputs &amp; Assumptions'!K75)))</f>
        <v/>
      </c>
      <c r="R108" s="90">
        <f>MAX(R125*(IF('LTI_Inputs &amp; Assumptions'!$C$72="",'LTI_Inputs &amp; Assumptions'!$C$71,'LTI_Inputs &amp; Assumptions'!$C$72)),MAX(R105,0)*(IF('LTI_Inputs &amp; Assumptions'!L75="",'LTI_Inputs &amp; Assumptions'!L74,'LTI_Inputs &amp; Assumptions'!L75)))</f>
        <v/>
      </c>
    </row>
    <row r="109">
      <c r="B109" s="205" t="inlineStr">
        <is>
          <t>Deferred Tax Expense</t>
        </is>
      </c>
      <c r="C109" s="80">
        <f>C106-C108</f>
        <v/>
      </c>
      <c r="D109" s="80">
        <f>D106-D108</f>
        <v/>
      </c>
      <c r="E109" s="80">
        <f>E106-E108</f>
        <v/>
      </c>
      <c r="F109" s="80">
        <f>F106-F108</f>
        <v/>
      </c>
      <c r="G109" s="80">
        <f>G106-G108</f>
        <v/>
      </c>
      <c r="H109" s="80">
        <f>H106-H108</f>
        <v/>
      </c>
      <c r="I109" s="90">
        <f>I113</f>
        <v/>
      </c>
      <c r="J109" s="90">
        <f>J113</f>
        <v/>
      </c>
      <c r="K109" s="90">
        <f>K113</f>
        <v/>
      </c>
      <c r="L109" s="90">
        <f>L113</f>
        <v/>
      </c>
      <c r="M109" s="90">
        <f>M113</f>
        <v/>
      </c>
      <c r="N109" s="90">
        <f>N113</f>
        <v/>
      </c>
      <c r="O109" s="90">
        <f>O113</f>
        <v/>
      </c>
      <c r="P109" s="90">
        <f>P113</f>
        <v/>
      </c>
      <c r="Q109" s="90">
        <f>Q113</f>
        <v/>
      </c>
      <c r="R109" s="90">
        <f>R113</f>
        <v/>
      </c>
    </row>
    <row r="110">
      <c r="B110" s="202" t="inlineStr">
        <is>
          <t>Tie-check, historical only</t>
        </is>
      </c>
      <c r="C110" s="85" t="n">
        <v>0</v>
      </c>
      <c r="D110" s="85" t="n">
        <v>0</v>
      </c>
      <c r="E110" s="85" t="n">
        <v>0</v>
      </c>
      <c r="F110" s="85" t="n">
        <v>0</v>
      </c>
      <c r="G110" s="85" t="n">
        <v>0</v>
      </c>
      <c r="H110" s="85" t="n">
        <v>0</v>
      </c>
    </row>
    <row r="112">
      <c r="B112" s="205" t="inlineStr">
        <is>
          <t>Beginning Deferred Tax Liability (Asset)</t>
        </is>
      </c>
      <c r="C112" s="211" t="inlineStr">
        <is>
          <t>n/a</t>
        </is>
      </c>
      <c r="D112" s="90">
        <f>C115</f>
        <v/>
      </c>
      <c r="E112" s="90">
        <f>D115</f>
        <v/>
      </c>
      <c r="F112" s="90">
        <f>E115</f>
        <v/>
      </c>
      <c r="G112" s="90">
        <f>F115</f>
        <v/>
      </c>
      <c r="H112" s="90">
        <f>G115</f>
        <v/>
      </c>
      <c r="I112" s="90">
        <f>-I121*(IF('LTI_Inputs &amp; Assumptions'!$C$72="",'LTI_Inputs &amp; Assumptions'!$C$71,'LTI_Inputs &amp; Assumptions'!$C$72))</f>
        <v/>
      </c>
      <c r="J112" s="90">
        <f>-J121*(IF('LTI_Inputs &amp; Assumptions'!$C$72="",'LTI_Inputs &amp; Assumptions'!$C$71,'LTI_Inputs &amp; Assumptions'!$C$72))</f>
        <v/>
      </c>
      <c r="K112" s="90">
        <f>-K121*(IF('LTI_Inputs &amp; Assumptions'!$C$72="",'LTI_Inputs &amp; Assumptions'!$C$71,'LTI_Inputs &amp; Assumptions'!$C$72))</f>
        <v/>
      </c>
      <c r="L112" s="90">
        <f>-L121*(IF('LTI_Inputs &amp; Assumptions'!$C$72="",'LTI_Inputs &amp; Assumptions'!$C$71,'LTI_Inputs &amp; Assumptions'!$C$72))</f>
        <v/>
      </c>
      <c r="M112" s="90">
        <f>-M121*(IF('LTI_Inputs &amp; Assumptions'!$C$72="",'LTI_Inputs &amp; Assumptions'!$C$71,'LTI_Inputs &amp; Assumptions'!$C$72))</f>
        <v/>
      </c>
      <c r="N112" s="90">
        <f>-N121*(IF('LTI_Inputs &amp; Assumptions'!$C$72="",'LTI_Inputs &amp; Assumptions'!$C$71,'LTI_Inputs &amp; Assumptions'!$C$72))</f>
        <v/>
      </c>
      <c r="O112" s="90">
        <f>-O121*(IF('LTI_Inputs &amp; Assumptions'!$C$72="",'LTI_Inputs &amp; Assumptions'!$C$71,'LTI_Inputs &amp; Assumptions'!$C$72))</f>
        <v/>
      </c>
      <c r="P112" s="90">
        <f>-P121*(IF('LTI_Inputs &amp; Assumptions'!$C$72="",'LTI_Inputs &amp; Assumptions'!$C$71,'LTI_Inputs &amp; Assumptions'!$C$72))</f>
        <v/>
      </c>
      <c r="Q112" s="90">
        <f>-Q121*(IF('LTI_Inputs &amp; Assumptions'!$C$72="",'LTI_Inputs &amp; Assumptions'!$C$71,'LTI_Inputs &amp; Assumptions'!$C$72))</f>
        <v/>
      </c>
      <c r="R112" s="90">
        <f>-R121*(IF('LTI_Inputs &amp; Assumptions'!$C$72="",'LTI_Inputs &amp; Assumptions'!$C$71,'LTI_Inputs &amp; Assumptions'!$C$72))</f>
        <v/>
      </c>
    </row>
    <row r="113">
      <c r="B113" s="205" t="inlineStr">
        <is>
          <t>(+) Deferred Tax Expense recognised in P&amp;L</t>
        </is>
      </c>
      <c r="C113" s="80">
        <f>IFERROR(INDEX(LTI_HS_CONSOLIDATED!D:D,MATCH("DeferredTaxExpenseIncomeRecognisedInProfitOrLoss",LTI_HS_CONSOLIDATED!$C:$C,0)),0)</f>
        <v/>
      </c>
      <c r="D113" s="80">
        <f>IFERROR(INDEX(LTI_HS_CONSOLIDATED!E:E,MATCH("DeferredTaxExpenseIncomeRecognisedInProfitOrLoss",LTI_HS_CONSOLIDATED!$C:$C,0)),0)</f>
        <v/>
      </c>
      <c r="E113" s="80">
        <f>IFERROR(INDEX(LTI_HS_CONSOLIDATED!F:F,MATCH("DeferredTaxExpenseIncomeRecognisedInProfitOrLoss",LTI_HS_CONSOLIDATED!$C:$C,0)),0)</f>
        <v/>
      </c>
      <c r="F113" s="80">
        <f>IFERROR(INDEX(LTI_HS_CONSOLIDATED!G:G,MATCH("DeferredTaxExpenseIncomeRecognisedInProfitOrLoss",LTI_HS_CONSOLIDATED!$C:$C,0)),0)</f>
        <v/>
      </c>
      <c r="G113" s="80">
        <f>IFERROR(INDEX(LTI_HS_CONSOLIDATED!H:H,MATCH("DeferredTaxExpenseIncomeRecognisedInProfitOrLoss",LTI_HS_CONSOLIDATED!$C:$C,0)),0)</f>
        <v/>
      </c>
      <c r="H113" s="80">
        <f>IFERROR(INDEX(LTI_HS_CONSOLIDATED!I:I,MATCH("DeferredTaxExpenseIncomeRecognisedInProfitOrLoss",LTI_HS_CONSOLIDATED!$C:$C,0)),0)</f>
        <v/>
      </c>
      <c r="I113" s="90">
        <f>I115-I112-I114</f>
        <v/>
      </c>
      <c r="J113" s="90">
        <f>J115-J112-J114</f>
        <v/>
      </c>
      <c r="K113" s="90">
        <f>K115-K112-K114</f>
        <v/>
      </c>
      <c r="L113" s="90">
        <f>L115-L112-L114</f>
        <v/>
      </c>
      <c r="M113" s="90">
        <f>M115-M112-M114</f>
        <v/>
      </c>
      <c r="N113" s="90">
        <f>N115-N112-N114</f>
        <v/>
      </c>
      <c r="O113" s="90">
        <f>O115-O112-O114</f>
        <v/>
      </c>
      <c r="P113" s="90">
        <f>P115-P112-P114</f>
        <v/>
      </c>
      <c r="Q113" s="90">
        <f>Q115-Q112-Q114</f>
        <v/>
      </c>
      <c r="R113" s="90">
        <f>R115-R112-R114</f>
        <v/>
      </c>
    </row>
    <row r="114">
      <c r="B114" s="205" t="inlineStr">
        <is>
          <t>(+) Increase through Business Combinations</t>
        </is>
      </c>
      <c r="C114" s="80">
        <f>IFERROR(INDEX(LTI_HS_CONSOLIDATED!D:D,MATCH("IncreaseDecreaseThroughBusinessCombinationsDeferredTaxLiabilityAssets",LTI_HS_CONSOLIDATED!$C:$C,0)),0)</f>
        <v/>
      </c>
      <c r="D114" s="80">
        <f>IFERROR(INDEX(LTI_HS_CONSOLIDATED!E:E,MATCH("IncreaseDecreaseThroughBusinessCombinationsDeferredTaxLiabilityAssets",LTI_HS_CONSOLIDATED!$C:$C,0)),0)</f>
        <v/>
      </c>
      <c r="E114" s="80">
        <f>IFERROR(INDEX(LTI_HS_CONSOLIDATED!F:F,MATCH("IncreaseDecreaseThroughBusinessCombinationsDeferredTaxLiabilityAssets",LTI_HS_CONSOLIDATED!$C:$C,0)),0)</f>
        <v/>
      </c>
      <c r="F114" s="80">
        <f>IFERROR(INDEX(LTI_HS_CONSOLIDATED!G:G,MATCH("IncreaseDecreaseThroughBusinessCombinationsDeferredTaxLiabilityAssets",LTI_HS_CONSOLIDATED!$C:$C,0)),0)</f>
        <v/>
      </c>
      <c r="G114" s="80">
        <f>IFERROR(INDEX(LTI_HS_CONSOLIDATED!H:H,MATCH("IncreaseDecreaseThroughBusinessCombinationsDeferredTaxLiabilityAssets",LTI_HS_CONSOLIDATED!$C:$C,0)),0)</f>
        <v/>
      </c>
      <c r="H114" s="80">
        <f>IFERROR(INDEX(LTI_HS_CONSOLIDATED!I:I,MATCH("IncreaseDecreaseThroughBusinessCombinationsDeferredTaxLiabilityAssets",LTI_HS_CONSOLIDATED!$C:$C,0)),0)</f>
        <v/>
      </c>
      <c r="I114" s="90" t="n">
        <v>0</v>
      </c>
      <c r="J114" s="90" t="n">
        <v>0</v>
      </c>
      <c r="K114" s="90" t="n">
        <v>0</v>
      </c>
      <c r="L114" s="90" t="n">
        <v>0</v>
      </c>
      <c r="M114" s="90" t="n">
        <v>0</v>
      </c>
      <c r="N114" s="90" t="n">
        <v>0</v>
      </c>
      <c r="O114" s="90" t="n">
        <v>0</v>
      </c>
      <c r="P114" s="90" t="n">
        <v>0</v>
      </c>
      <c r="Q114" s="90" t="n">
        <v>0</v>
      </c>
      <c r="R114" s="90" t="n">
        <v>0</v>
      </c>
    </row>
    <row r="115">
      <c r="B115" s="82" t="inlineStr">
        <is>
          <t>Ending Deferred Tax Liability (Asset)</t>
        </is>
      </c>
      <c r="C115" s="83">
        <f>IFERROR(INDEX(LTI_HS_CONSOLIDATED!D:D,MATCH("DeferredTaxLiabilityAssets",LTI_HS_CONSOLIDATED!$C:$C,0)),0)</f>
        <v/>
      </c>
      <c r="D115" s="83">
        <f>IFERROR(INDEX(LTI_HS_CONSOLIDATED!E:E,MATCH("DeferredTaxLiabilityAssets",LTI_HS_CONSOLIDATED!$C:$C,0)),0)</f>
        <v/>
      </c>
      <c r="E115" s="83">
        <f>IFERROR(INDEX(LTI_HS_CONSOLIDATED!F:F,MATCH("DeferredTaxLiabilityAssets",LTI_HS_CONSOLIDATED!$C:$C,0)),0)</f>
        <v/>
      </c>
      <c r="F115" s="83">
        <f>IFERROR(INDEX(LTI_HS_CONSOLIDATED!G:G,MATCH("DeferredTaxLiabilityAssets",LTI_HS_CONSOLIDATED!$C:$C,0)),0)</f>
        <v/>
      </c>
      <c r="G115" s="83">
        <f>IFERROR(INDEX(LTI_HS_CONSOLIDATED!H:H,MATCH("DeferredTaxLiabilityAssets",LTI_HS_CONSOLIDATED!$C:$C,0)),0)</f>
        <v/>
      </c>
      <c r="H115" s="83">
        <f>IFERROR(INDEX(LTI_HS_CONSOLIDATED!I:I,MATCH("DeferredTaxLiabilityAssets",LTI_HS_CONSOLIDATED!$C:$C,0)),0)</f>
        <v/>
      </c>
      <c r="I115" s="83">
        <f>-I124*(IF('LTI_Inputs &amp; Assumptions'!$C$72="",'LTI_Inputs &amp; Assumptions'!$C$71,'LTI_Inputs &amp; Assumptions'!$C$72))</f>
        <v/>
      </c>
      <c r="J115" s="83">
        <f>-J124*(IF('LTI_Inputs &amp; Assumptions'!$C$72="",'LTI_Inputs &amp; Assumptions'!$C$71,'LTI_Inputs &amp; Assumptions'!$C$72))</f>
        <v/>
      </c>
      <c r="K115" s="83">
        <f>-K124*(IF('LTI_Inputs &amp; Assumptions'!$C$72="",'LTI_Inputs &amp; Assumptions'!$C$71,'LTI_Inputs &amp; Assumptions'!$C$72))</f>
        <v/>
      </c>
      <c r="L115" s="83">
        <f>-L124*(IF('LTI_Inputs &amp; Assumptions'!$C$72="",'LTI_Inputs &amp; Assumptions'!$C$71,'LTI_Inputs &amp; Assumptions'!$C$72))</f>
        <v/>
      </c>
      <c r="M115" s="83">
        <f>-M124*(IF('LTI_Inputs &amp; Assumptions'!$C$72="",'LTI_Inputs &amp; Assumptions'!$C$71,'LTI_Inputs &amp; Assumptions'!$C$72))</f>
        <v/>
      </c>
      <c r="N115" s="83">
        <f>-N124*(IF('LTI_Inputs &amp; Assumptions'!$C$72="",'LTI_Inputs &amp; Assumptions'!$C$71,'LTI_Inputs &amp; Assumptions'!$C$72))</f>
        <v/>
      </c>
      <c r="O115" s="83">
        <f>-O124*(IF('LTI_Inputs &amp; Assumptions'!$C$72="",'LTI_Inputs &amp; Assumptions'!$C$71,'LTI_Inputs &amp; Assumptions'!$C$72))</f>
        <v/>
      </c>
      <c r="P115" s="83">
        <f>-P124*(IF('LTI_Inputs &amp; Assumptions'!$C$72="",'LTI_Inputs &amp; Assumptions'!$C$71,'LTI_Inputs &amp; Assumptions'!$C$72))</f>
        <v/>
      </c>
      <c r="Q115" s="83">
        <f>-Q124*(IF('LTI_Inputs &amp; Assumptions'!$C$72="",'LTI_Inputs &amp; Assumptions'!$C$71,'LTI_Inputs &amp; Assumptions'!$C$72))</f>
        <v/>
      </c>
      <c r="R115" s="83">
        <f>-R124*(IF('LTI_Inputs &amp; Assumptions'!$C$72="",'LTI_Inputs &amp; Assumptions'!$C$71,'LTI_Inputs &amp; Assumptions'!$C$72))</f>
        <v/>
      </c>
    </row>
    <row r="116">
      <c r="B116" s="202" t="inlineStr">
        <is>
          <t>Tie-check, historical only</t>
        </is>
      </c>
      <c r="C116" s="211" t="inlineStr">
        <is>
          <t>n/a</t>
        </is>
      </c>
      <c r="D116" s="85">
        <f>D115-IFERROR(INDEX(LTI_HS_CONSOLIDATED!E:E,MATCH("DeferredTaxLiabilityAssets",LTI_HS_CONSOLIDATED!$C:$C,0)),0)</f>
        <v/>
      </c>
      <c r="E116" s="85">
        <f>E115-IFERROR(INDEX(LTI_HS_CONSOLIDATED!F:F,MATCH("DeferredTaxLiabilityAssets",LTI_HS_CONSOLIDATED!$C:$C,0)),0)</f>
        <v/>
      </c>
      <c r="F116" s="85">
        <f>F115-IFERROR(INDEX(LTI_HS_CONSOLIDATED!G:G,MATCH("DeferredTaxLiabilityAssets",LTI_HS_CONSOLIDATED!$C:$C,0)),0)</f>
        <v/>
      </c>
      <c r="G116" s="85">
        <f>G115-IFERROR(INDEX(LTI_HS_CONSOLIDATED!H:H,MATCH("DeferredTaxLiabilityAssets",LTI_HS_CONSOLIDATED!$C:$C,0)),0)</f>
        <v/>
      </c>
      <c r="H116" s="85">
        <f>H115-IFERROR(INDEX(LTI_HS_CONSOLIDATED!I:I,MATCH("DeferredTaxLiabilityAssets",LTI_HS_CONSOLIDATED!$C:$C,0)),0)</f>
        <v/>
      </c>
    </row>
    <row r="118">
      <c r="B118" s="211" t="inlineStr">
        <is>
          <t>Current Tax Rate -- Inclusion Flag (materially profitable &amp; plausible rate)</t>
        </is>
      </c>
      <c r="C118" s="86">
        <f>IF(AND(ABS(C105)&gt;0,C119&gt;=0,C119&lt;=0.5),1,0)</f>
        <v/>
      </c>
      <c r="D118" s="86">
        <f>IF(AND(ABS(D105)&gt;0,D119&gt;=0,D119&lt;=0.5),1,0)</f>
        <v/>
      </c>
      <c r="E118" s="86">
        <f>IF(AND(ABS(E105)&gt;0,E119&gt;=0,E119&lt;=0.5),1,0)</f>
        <v/>
      </c>
      <c r="F118" s="86">
        <f>IF(AND(ABS(F105)&gt;0,F119&gt;=0,F119&lt;=0.5),1,0)</f>
        <v/>
      </c>
      <c r="G118" s="86">
        <f>IF(AND(ABS(G105)&gt;0,G119&gt;=0,G119&lt;=0.5),1,0)</f>
        <v/>
      </c>
      <c r="H118" s="86">
        <f>IF(AND(ABS(H105)&gt;0,H119&gt;=0,H119&lt;=0.5),1,0)</f>
        <v/>
      </c>
    </row>
    <row r="119">
      <c r="B119" s="211" t="inlineStr">
        <is>
          <t>Current Tax Rate (Current Tax / PBT), per year</t>
        </is>
      </c>
      <c r="C119" s="89">
        <f>IFERROR(C108/C105,0)</f>
        <v/>
      </c>
      <c r="D119" s="89">
        <f>IFERROR(D108/D105,0)</f>
        <v/>
      </c>
      <c r="E119" s="89">
        <f>IFERROR(E108/E105,0)</f>
        <v/>
      </c>
      <c r="F119" s="89">
        <f>IFERROR(F108/F105,0)</f>
        <v/>
      </c>
      <c r="G119" s="89">
        <f>IFERROR(G108/G105,0)</f>
        <v/>
      </c>
      <c r="H119" s="89">
        <f>IFERROR(H108/H105,0)</f>
        <v/>
      </c>
    </row>
    <row r="121">
      <c r="B121" s="205" t="inlineStr">
        <is>
          <t>Beginning NOL Pool (= prior year Ending; FY-end start = |Ending DTA| / Statutory Rate)</t>
        </is>
      </c>
      <c r="I121" s="90">
        <f>ABS(H115)/(IF('LTI_Inputs &amp; Assumptions'!$C$72="",'LTI_Inputs &amp; Assumptions'!$C$71,'LTI_Inputs &amp; Assumptions'!$C$72))</f>
        <v/>
      </c>
      <c r="J121" s="90">
        <f>I124</f>
        <v/>
      </c>
      <c r="K121" s="90">
        <f>J124</f>
        <v/>
      </c>
      <c r="L121" s="90">
        <f>K124</f>
        <v/>
      </c>
      <c r="M121" s="90">
        <f>L124</f>
        <v/>
      </c>
      <c r="N121" s="90">
        <f>M124</f>
        <v/>
      </c>
      <c r="O121" s="90">
        <f>N124</f>
        <v/>
      </c>
      <c r="P121" s="90">
        <f>O124</f>
        <v/>
      </c>
      <c r="Q121" s="90">
        <f>P124</f>
        <v/>
      </c>
      <c r="R121" s="90">
        <f>Q124</f>
        <v/>
      </c>
    </row>
    <row r="122">
      <c r="B122" s="205" t="inlineStr">
        <is>
          <t>(-) NOL Utilised against positive Taxable Income</t>
        </is>
      </c>
      <c r="I122" s="90">
        <f>-MIN(I121,MAX(I105,0))</f>
        <v/>
      </c>
      <c r="J122" s="90">
        <f>-MIN(J121,MAX(J105,0))</f>
        <v/>
      </c>
      <c r="K122" s="90">
        <f>-MIN(K121,MAX(K105,0))</f>
        <v/>
      </c>
      <c r="L122" s="90">
        <f>-MIN(L121,MAX(L105,0))</f>
        <v/>
      </c>
      <c r="M122" s="90">
        <f>-MIN(M121,MAX(M105,0))</f>
        <v/>
      </c>
      <c r="N122" s="90">
        <f>-MIN(N121,MAX(N105,0))</f>
        <v/>
      </c>
      <c r="O122" s="90">
        <f>-MIN(O121,MAX(O105,0))</f>
        <v/>
      </c>
      <c r="P122" s="90">
        <f>-MIN(P121,MAX(P105,0))</f>
        <v/>
      </c>
      <c r="Q122" s="90">
        <f>-MIN(Q121,MAX(Q105,0))</f>
        <v/>
      </c>
      <c r="R122" s="90">
        <f>-MIN(R121,MAX(R105,0))</f>
        <v/>
      </c>
    </row>
    <row r="123">
      <c r="B123" s="205" t="inlineStr">
        <is>
          <t>(+) New Losses Added (if PBT negative)</t>
        </is>
      </c>
      <c r="I123" s="90">
        <f>MAX(-I105,0)</f>
        <v/>
      </c>
      <c r="J123" s="90">
        <f>MAX(-J105,0)</f>
        <v/>
      </c>
      <c r="K123" s="90">
        <f>MAX(-K105,0)</f>
        <v/>
      </c>
      <c r="L123" s="90">
        <f>MAX(-L105,0)</f>
        <v/>
      </c>
      <c r="M123" s="90">
        <f>MAX(-M105,0)</f>
        <v/>
      </c>
      <c r="N123" s="90">
        <f>MAX(-N105,0)</f>
        <v/>
      </c>
      <c r="O123" s="90">
        <f>MAX(-O105,0)</f>
        <v/>
      </c>
      <c r="P123" s="90">
        <f>MAX(-P105,0)</f>
        <v/>
      </c>
      <c r="Q123" s="90">
        <f>MAX(-Q105,0)</f>
        <v/>
      </c>
      <c r="R123" s="90">
        <f>MAX(-R105,0)</f>
        <v/>
      </c>
    </row>
    <row r="124">
      <c r="B124" s="82" t="inlineStr">
        <is>
          <t>Ending NOL Pool</t>
        </is>
      </c>
      <c r="I124" s="83">
        <f>I121+I122+I123</f>
        <v/>
      </c>
      <c r="J124" s="83">
        <f>J121+J122+J123</f>
        <v/>
      </c>
      <c r="K124" s="83">
        <f>K121+K122+K123</f>
        <v/>
      </c>
      <c r="L124" s="83">
        <f>L121+L122+L123</f>
        <v/>
      </c>
      <c r="M124" s="83">
        <f>M121+M122+M123</f>
        <v/>
      </c>
      <c r="N124" s="83">
        <f>N121+N122+N123</f>
        <v/>
      </c>
      <c r="O124" s="83">
        <f>O121+O122+O123</f>
        <v/>
      </c>
      <c r="P124" s="83">
        <f>P121+P122+P123</f>
        <v/>
      </c>
      <c r="Q124" s="83">
        <f>Q121+Q122+Q123</f>
        <v/>
      </c>
      <c r="R124" s="83">
        <f>R121+R122+R123</f>
        <v/>
      </c>
    </row>
    <row r="125">
      <c r="B125" s="205" t="inlineStr">
        <is>
          <t>Taxable Income = MAX(PBT - Beginning NOL, 0)</t>
        </is>
      </c>
      <c r="I125" s="90">
        <f>MAX(I105-I121,0)</f>
        <v/>
      </c>
      <c r="J125" s="90">
        <f>MAX(J105-J121,0)</f>
        <v/>
      </c>
      <c r="K125" s="90">
        <f>MAX(K105-K121,0)</f>
        <v/>
      </c>
      <c r="L125" s="90">
        <f>MAX(L105-L121,0)</f>
        <v/>
      </c>
      <c r="M125" s="90">
        <f>MAX(M105-M121,0)</f>
        <v/>
      </c>
      <c r="N125" s="90">
        <f>MAX(N105-N121,0)</f>
        <v/>
      </c>
      <c r="O125" s="90">
        <f>MAX(O105-O121,0)</f>
        <v/>
      </c>
      <c r="P125" s="90">
        <f>MAX(P105-P121,0)</f>
        <v/>
      </c>
      <c r="Q125" s="90">
        <f>MAX(Q105-Q121,0)</f>
        <v/>
      </c>
      <c r="R125" s="90">
        <f>MAX(R105-R121,0)</f>
        <v/>
      </c>
    </row>
    <row r="128" ht="18.5" customHeight="1" s="203">
      <c r="A128" t="inlineStr">
        <is>
          <t>#</t>
        </is>
      </c>
      <c r="B128" s="78" t="inlineStr">
        <is>
          <t>Equity Schedule</t>
        </is>
      </c>
    </row>
    <row r="131">
      <c r="B131" s="205" t="inlineStr">
        <is>
          <t>Equity Share Capital (held flat -- no new issuance assumed)</t>
        </is>
      </c>
      <c r="C131" s="80">
        <f>IFERROR(INDEX(LTI_HS_CONSOLIDATED!D:D,MATCH("EquityShareCapital",LTI_HS_CONSOLIDATED!$C:$C,0)),0)</f>
        <v/>
      </c>
      <c r="D131" s="80">
        <f>IFERROR(INDEX(LTI_HS_CONSOLIDATED!E:E,MATCH("EquityShareCapital",LTI_HS_CONSOLIDATED!$C:$C,0)),0)</f>
        <v/>
      </c>
      <c r="E131" s="80">
        <f>IFERROR(INDEX(LTI_HS_CONSOLIDATED!F:F,MATCH("EquityShareCapital",LTI_HS_CONSOLIDATED!$C:$C,0)),0)</f>
        <v/>
      </c>
      <c r="F131" s="80">
        <f>IFERROR(INDEX(LTI_HS_CONSOLIDATED!G:G,MATCH("EquityShareCapital",LTI_HS_CONSOLIDATED!$C:$C,0)),0)</f>
        <v/>
      </c>
      <c r="G131" s="80">
        <f>IFERROR(INDEX(LTI_HS_CONSOLIDATED!H:H,MATCH("EquityShareCapital",LTI_HS_CONSOLIDATED!$C:$C,0)),0)</f>
        <v/>
      </c>
      <c r="H131" s="80">
        <f>IFERROR(INDEX(LTI_HS_CONSOLIDATED!I:I,MATCH("EquityShareCapital",LTI_HS_CONSOLIDATED!$C:$C,0)),0)</f>
        <v/>
      </c>
      <c r="I131" s="90">
        <f>H131</f>
        <v/>
      </c>
      <c r="J131" s="90">
        <f>H131</f>
        <v/>
      </c>
      <c r="K131" s="90">
        <f>H131</f>
        <v/>
      </c>
      <c r="L131" s="90">
        <f>H131</f>
        <v/>
      </c>
      <c r="M131" s="90">
        <f>H131</f>
        <v/>
      </c>
      <c r="N131" s="90">
        <f>H131</f>
        <v/>
      </c>
      <c r="O131" s="90">
        <f>H131</f>
        <v/>
      </c>
      <c r="P131" s="90">
        <f>H131</f>
        <v/>
      </c>
      <c r="Q131" s="90">
        <f>H131</f>
        <v/>
      </c>
      <c r="R131" s="90">
        <f>H131</f>
        <v/>
      </c>
    </row>
    <row r="132">
      <c r="B132" s="202" t="inlineStr">
        <is>
          <t>Tie-check, historical only</t>
        </is>
      </c>
      <c r="C132" s="85">
        <f>C131-IFERROR(INDEX(LTI_HS_CONSOLIDATED!D:D,MATCH("EquityShareCapital",LTI_HS_CONSOLIDATED!$C:$C,0)),0)</f>
        <v/>
      </c>
      <c r="D132" s="85">
        <f>D131-IFERROR(INDEX(LTI_HS_CONSOLIDATED!E:E,MATCH("EquityShareCapital",LTI_HS_CONSOLIDATED!$C:$C,0)),0)</f>
        <v/>
      </c>
      <c r="E132" s="85">
        <f>E131-IFERROR(INDEX(LTI_HS_CONSOLIDATED!F:F,MATCH("EquityShareCapital",LTI_HS_CONSOLIDATED!$C:$C,0)),0)</f>
        <v/>
      </c>
      <c r="F132" s="85">
        <f>F131-IFERROR(INDEX(LTI_HS_CONSOLIDATED!G:G,MATCH("EquityShareCapital",LTI_HS_CONSOLIDATED!$C:$C,0)),0)</f>
        <v/>
      </c>
      <c r="G132" s="85">
        <f>G131-IFERROR(INDEX(LTI_HS_CONSOLIDATED!H:H,MATCH("EquityShareCapital",LTI_HS_CONSOLIDATED!$C:$C,0)),0)</f>
        <v/>
      </c>
      <c r="H132" s="85">
        <f>H131-IFERROR(INDEX(LTI_HS_CONSOLIDATED!I:I,MATCH("EquityShareCapital",LTI_HS_CONSOLIDATED!$C:$C,0)),0)</f>
        <v/>
      </c>
    </row>
    <row r="134">
      <c r="B134" s="205" t="inlineStr">
        <is>
          <t>Beginning Other Equity / Reserves</t>
        </is>
      </c>
      <c r="C134" s="211" t="inlineStr">
        <is>
          <t>n/a</t>
        </is>
      </c>
      <c r="D134" s="90">
        <f>C139</f>
        <v/>
      </c>
      <c r="E134" s="90">
        <f>D139</f>
        <v/>
      </c>
      <c r="F134" s="90">
        <f>E139</f>
        <v/>
      </c>
      <c r="G134" s="90">
        <f>F139</f>
        <v/>
      </c>
      <c r="H134" s="90">
        <f>G139</f>
        <v/>
      </c>
      <c r="I134" s="90">
        <f>H139</f>
        <v/>
      </c>
      <c r="J134" s="90">
        <f>I139</f>
        <v/>
      </c>
      <c r="K134" s="90">
        <f>J139</f>
        <v/>
      </c>
      <c r="L134" s="90">
        <f>K139</f>
        <v/>
      </c>
      <c r="M134" s="90">
        <f>L139</f>
        <v/>
      </c>
      <c r="N134" s="90">
        <f>M139</f>
        <v/>
      </c>
      <c r="O134" s="90">
        <f>N139</f>
        <v/>
      </c>
      <c r="P134" s="90">
        <f>O139</f>
        <v/>
      </c>
      <c r="Q134" s="90">
        <f>P139</f>
        <v/>
      </c>
      <c r="R134" s="90">
        <f>Q139</f>
        <v/>
      </c>
    </row>
    <row r="135">
      <c r="B135" s="205" t="inlineStr">
        <is>
          <t>(+) Profit for the year (= P&amp;L Schedule Net Income)</t>
        </is>
      </c>
      <c r="C135" s="81">
        <f>'LTI_P&amp;L Schedule'!C22</f>
        <v/>
      </c>
      <c r="D135" s="81">
        <f>'LTI_P&amp;L Schedule'!D22</f>
        <v/>
      </c>
      <c r="E135" s="81">
        <f>'LTI_P&amp;L Schedule'!E22</f>
        <v/>
      </c>
      <c r="F135" s="81">
        <f>'LTI_P&amp;L Schedule'!F22</f>
        <v/>
      </c>
      <c r="G135" s="81">
        <f>'LTI_P&amp;L Schedule'!G22</f>
        <v/>
      </c>
      <c r="H135" s="81">
        <f>'LTI_P&amp;L Schedule'!H22</f>
        <v/>
      </c>
      <c r="I135" s="90">
        <f>'LTI_P&amp;L Schedule'!I22</f>
        <v/>
      </c>
      <c r="J135" s="90">
        <f>'LTI_P&amp;L Schedule'!J22</f>
        <v/>
      </c>
      <c r="K135" s="90">
        <f>'LTI_P&amp;L Schedule'!K22</f>
        <v/>
      </c>
      <c r="L135" s="90">
        <f>'LTI_P&amp;L Schedule'!L22</f>
        <v/>
      </c>
      <c r="M135" s="90">
        <f>'LTI_P&amp;L Schedule'!M22</f>
        <v/>
      </c>
      <c r="N135" s="90">
        <f>'LTI_P&amp;L Schedule'!N22</f>
        <v/>
      </c>
      <c r="O135" s="90">
        <f>'LTI_P&amp;L Schedule'!O22</f>
        <v/>
      </c>
      <c r="P135" s="90">
        <f>'LTI_P&amp;L Schedule'!P22</f>
        <v/>
      </c>
      <c r="Q135" s="90">
        <f>'LTI_P&amp;L Schedule'!Q22</f>
        <v/>
      </c>
      <c r="R135" s="90">
        <f>'LTI_P&amp;L Schedule'!R22</f>
        <v/>
      </c>
    </row>
    <row r="136">
      <c r="B136" s="205" t="inlineStr">
        <is>
          <t>(+/-) Other Comprehensive Income, net of tax</t>
        </is>
      </c>
      <c r="C136" s="80">
        <f>(IFERROR(INDEX(LTI_HS_CONSOLIDATED!D:D,MATCH("OtherComprehensiveIncomeThatWillNotBeReclassifiedToProfitOrLossNetOfTax",LTI_HS_CONSOLIDATED!$C:$C,0)),0))+(IFERROR(INDEX(LTI_HS_CONSOLIDATED!D:D,MATCH("OtherComprehensiveIncomeThatWillBeReclassifiedToProfitOrLossNetOfTax",LTI_HS_CONSOLIDATED!$C:$C,0)),0))</f>
        <v/>
      </c>
      <c r="D136" s="80">
        <f>(IFERROR(INDEX(LTI_HS_CONSOLIDATED!E:E,MATCH("OtherComprehensiveIncomeThatWillNotBeReclassifiedToProfitOrLossNetOfTax",LTI_HS_CONSOLIDATED!$C:$C,0)),0))+(IFERROR(INDEX(LTI_HS_CONSOLIDATED!E:E,MATCH("OtherComprehensiveIncomeThatWillBeReclassifiedToProfitOrLossNetOfTax",LTI_HS_CONSOLIDATED!$C:$C,0)),0))</f>
        <v/>
      </c>
      <c r="E136" s="80">
        <f>(IFERROR(INDEX(LTI_HS_CONSOLIDATED!F:F,MATCH("OtherComprehensiveIncomeThatWillNotBeReclassifiedToProfitOrLossNetOfTax",LTI_HS_CONSOLIDATED!$C:$C,0)),0))+(IFERROR(INDEX(LTI_HS_CONSOLIDATED!F:F,MATCH("OtherComprehensiveIncomeThatWillBeReclassifiedToProfitOrLossNetOfTax",LTI_HS_CONSOLIDATED!$C:$C,0)),0))</f>
        <v/>
      </c>
      <c r="F136" s="80">
        <f>(IFERROR(INDEX(LTI_HS_CONSOLIDATED!G:G,MATCH("OtherComprehensiveIncomeThatWillNotBeReclassifiedToProfitOrLossNetOfTax",LTI_HS_CONSOLIDATED!$C:$C,0)),0))+(IFERROR(INDEX(LTI_HS_CONSOLIDATED!G:G,MATCH("OtherComprehensiveIncomeThatWillBeReclassifiedToProfitOrLossNetOfTax",LTI_HS_CONSOLIDATED!$C:$C,0)),0))</f>
        <v/>
      </c>
      <c r="G136" s="80">
        <f>(IFERROR(INDEX(LTI_HS_CONSOLIDATED!H:H,MATCH("OtherComprehensiveIncomeThatWillNotBeReclassifiedToProfitOrLossNetOfTax",LTI_HS_CONSOLIDATED!$C:$C,0)),0))+(IFERROR(INDEX(LTI_HS_CONSOLIDATED!H:H,MATCH("OtherComprehensiveIncomeThatWillBeReclassifiedToProfitOrLossNetOfTax",LTI_HS_CONSOLIDATED!$C:$C,0)),0))</f>
        <v/>
      </c>
      <c r="H136" s="80">
        <f>(IFERROR(INDEX(LTI_HS_CONSOLIDATED!I:I,MATCH("OtherComprehensiveIncomeThatWillNotBeReclassifiedToProfitOrLossNetOfTax",LTI_HS_CONSOLIDATED!$C:$C,0)),0))+(IFERROR(INDEX(LTI_HS_CONSOLIDATED!I:I,MATCH("OtherComprehensiveIncomeThatWillBeReclassifiedToProfitOrLossNetOfTax",LTI_HS_CONSOLIDATED!$C:$C,0)),0))</f>
        <v/>
      </c>
      <c r="I136" s="90" t="n">
        <v>0</v>
      </c>
      <c r="J136" s="90" t="n">
        <v>0</v>
      </c>
      <c r="K136" s="90" t="n">
        <v>0</v>
      </c>
      <c r="L136" s="90" t="n">
        <v>0</v>
      </c>
      <c r="M136" s="90" t="n">
        <v>0</v>
      </c>
      <c r="N136" s="90" t="n">
        <v>0</v>
      </c>
      <c r="O136" s="90" t="n">
        <v>0</v>
      </c>
      <c r="P136" s="90" t="n">
        <v>0</v>
      </c>
      <c r="Q136" s="90" t="n">
        <v>0</v>
      </c>
      <c r="R136" s="90" t="n">
        <v>0</v>
      </c>
    </row>
    <row r="137">
      <c r="B137" s="205" t="inlineStr">
        <is>
          <t>(-) Dividends Paid</t>
        </is>
      </c>
      <c r="C137" s="80">
        <f>-IFERROR(INDEX(LTI_HS_CONSOLIDATED!D:D,MATCH("DividendsPaidClassifiedAsFinancingActivities",LTI_HS_CONSOLIDATED!$C:$C,0)),0)</f>
        <v/>
      </c>
      <c r="D137" s="80">
        <f>-IFERROR(INDEX(LTI_HS_CONSOLIDATED!E:E,MATCH("DividendsPaidClassifiedAsFinancingActivities",LTI_HS_CONSOLIDATED!$C:$C,0)),0)</f>
        <v/>
      </c>
      <c r="E137" s="80">
        <f>-IFERROR(INDEX(LTI_HS_CONSOLIDATED!F:F,MATCH("DividendsPaidClassifiedAsFinancingActivities",LTI_HS_CONSOLIDATED!$C:$C,0)),0)</f>
        <v/>
      </c>
      <c r="F137" s="80">
        <f>-IFERROR(INDEX(LTI_HS_CONSOLIDATED!G:G,MATCH("DividendsPaidClassifiedAsFinancingActivities",LTI_HS_CONSOLIDATED!$C:$C,0)),0)</f>
        <v/>
      </c>
      <c r="G137" s="80">
        <f>-IFERROR(INDEX(LTI_HS_CONSOLIDATED!H:H,MATCH("DividendsPaidClassifiedAsFinancingActivities",LTI_HS_CONSOLIDATED!$C:$C,0)),0)</f>
        <v/>
      </c>
      <c r="H137" s="80">
        <f>-IFERROR(INDEX(LTI_HS_CONSOLIDATED!I:I,MATCH("DividendsPaidClassifiedAsFinancingActivities",LTI_HS_CONSOLIDATED!$C:$C,0)),0)</f>
        <v/>
      </c>
      <c r="I137" s="90">
        <f>-I135*(IF('LTI_Inputs &amp; Assumptions'!C80="",'LTI_Inputs &amp; Assumptions'!C79,'LTI_Inputs &amp; Assumptions'!C80))</f>
        <v/>
      </c>
      <c r="J137" s="90">
        <f>-J135*(IF('LTI_Inputs &amp; Assumptions'!D80="",'LTI_Inputs &amp; Assumptions'!D79,'LTI_Inputs &amp; Assumptions'!D80))</f>
        <v/>
      </c>
      <c r="K137" s="90">
        <f>-K135*(IF('LTI_Inputs &amp; Assumptions'!E80="",'LTI_Inputs &amp; Assumptions'!E79,'LTI_Inputs &amp; Assumptions'!E80))</f>
        <v/>
      </c>
      <c r="L137" s="90">
        <f>-L135*(IF('LTI_Inputs &amp; Assumptions'!F80="",'LTI_Inputs &amp; Assumptions'!F79,'LTI_Inputs &amp; Assumptions'!F80))</f>
        <v/>
      </c>
      <c r="M137" s="90">
        <f>-M135*(IF('LTI_Inputs &amp; Assumptions'!G80="",'LTI_Inputs &amp; Assumptions'!G79,'LTI_Inputs &amp; Assumptions'!G80))</f>
        <v/>
      </c>
      <c r="N137" s="90">
        <f>-N135*(IF('LTI_Inputs &amp; Assumptions'!H80="",'LTI_Inputs &amp; Assumptions'!H79,'LTI_Inputs &amp; Assumptions'!H80))</f>
        <v/>
      </c>
      <c r="O137" s="90">
        <f>-O135*(IF('LTI_Inputs &amp; Assumptions'!I80="",'LTI_Inputs &amp; Assumptions'!I79,'LTI_Inputs &amp; Assumptions'!I80))</f>
        <v/>
      </c>
      <c r="P137" s="90">
        <f>-P135*(IF('LTI_Inputs &amp; Assumptions'!J80="",'LTI_Inputs &amp; Assumptions'!J79,'LTI_Inputs &amp; Assumptions'!J80))</f>
        <v/>
      </c>
      <c r="Q137" s="90">
        <f>-Q135*(IF('LTI_Inputs &amp; Assumptions'!K80="",'LTI_Inputs &amp; Assumptions'!K79,'LTI_Inputs &amp; Assumptions'!K80))</f>
        <v/>
      </c>
      <c r="R137" s="90">
        <f>-R135*(IF('LTI_Inputs &amp; Assumptions'!L80="",'LTI_Inputs &amp; Assumptions'!L79,'LTI_Inputs &amp; Assumptions'!L80))</f>
        <v/>
      </c>
    </row>
    <row r="138">
      <c r="B138" s="205" t="inlineStr">
        <is>
          <t>(+/-) Other Non-Cash Equity Movements -- residual</t>
        </is>
      </c>
      <c r="C138" s="211" t="inlineStr">
        <is>
          <t>n/a</t>
        </is>
      </c>
      <c r="D138" s="90">
        <f>IFERROR(INDEX(LTI_HS_CONSOLIDATED!E:E,MATCH("OtherEquity",LTI_HS_CONSOLIDATED!$C:$C,0)),0)-D134-D135-D136-D137</f>
        <v/>
      </c>
      <c r="E138" s="90">
        <f>IFERROR(INDEX(LTI_HS_CONSOLIDATED!F:F,MATCH("OtherEquity",LTI_HS_CONSOLIDATED!$C:$C,0)),0)-E134-E135-E136-E137</f>
        <v/>
      </c>
      <c r="F138" s="90">
        <f>IFERROR(INDEX(LTI_HS_CONSOLIDATED!G:G,MATCH("OtherEquity",LTI_HS_CONSOLIDATED!$C:$C,0)),0)-F134-F135-F136-F137</f>
        <v/>
      </c>
      <c r="G138" s="90">
        <f>IFERROR(INDEX(LTI_HS_CONSOLIDATED!H:H,MATCH("OtherEquity",LTI_HS_CONSOLIDATED!$C:$C,0)),0)-G134-G135-G136-G137</f>
        <v/>
      </c>
      <c r="H138" s="90">
        <f>IFERROR(INDEX(LTI_HS_CONSOLIDATED!I:I,MATCH("OtherEquity",LTI_HS_CONSOLIDATED!$C:$C,0)),0)-H134-H135-H136-H137</f>
        <v/>
      </c>
      <c r="I138" s="90" t="n">
        <v>0</v>
      </c>
      <c r="J138" s="90" t="n">
        <v>0</v>
      </c>
      <c r="K138" s="90" t="n">
        <v>0</v>
      </c>
      <c r="L138" s="90" t="n">
        <v>0</v>
      </c>
      <c r="M138" s="90" t="n">
        <v>0</v>
      </c>
      <c r="N138" s="90" t="n">
        <v>0</v>
      </c>
      <c r="O138" s="90" t="n">
        <v>0</v>
      </c>
      <c r="P138" s="90" t="n">
        <v>0</v>
      </c>
      <c r="Q138" s="90" t="n">
        <v>0</v>
      </c>
      <c r="R138" s="90" t="n">
        <v>0</v>
      </c>
    </row>
    <row r="139">
      <c r="B139" s="82" t="inlineStr">
        <is>
          <t>Ending Other Equity / Reserves</t>
        </is>
      </c>
      <c r="C139" s="83">
        <f>IFERROR(INDEX(LTI_HS_CONSOLIDATED!D:D,MATCH("OtherEquity",LTI_HS_CONSOLIDATED!$C:$C,0)),0)</f>
        <v/>
      </c>
      <c r="D139" s="83">
        <f>IFERROR(INDEX(LTI_HS_CONSOLIDATED!E:E,MATCH("OtherEquity",LTI_HS_CONSOLIDATED!$C:$C,0)),0)</f>
        <v/>
      </c>
      <c r="E139" s="83">
        <f>IFERROR(INDEX(LTI_HS_CONSOLIDATED!F:F,MATCH("OtherEquity",LTI_HS_CONSOLIDATED!$C:$C,0)),0)</f>
        <v/>
      </c>
      <c r="F139" s="83">
        <f>IFERROR(INDEX(LTI_HS_CONSOLIDATED!G:G,MATCH("OtherEquity",LTI_HS_CONSOLIDATED!$C:$C,0)),0)</f>
        <v/>
      </c>
      <c r="G139" s="83">
        <f>IFERROR(INDEX(LTI_HS_CONSOLIDATED!H:H,MATCH("OtherEquity",LTI_HS_CONSOLIDATED!$C:$C,0)),0)</f>
        <v/>
      </c>
      <c r="H139" s="83">
        <f>IFERROR(INDEX(LTI_HS_CONSOLIDATED!I:I,MATCH("OtherEquity",LTI_HS_CONSOLIDATED!$C:$C,0)),0)</f>
        <v/>
      </c>
      <c r="I139" s="83">
        <f>I134+I135+I136+I137+I138</f>
        <v/>
      </c>
      <c r="J139" s="83">
        <f>J134+J135+J136+J137+J138</f>
        <v/>
      </c>
      <c r="K139" s="83">
        <f>K134+K135+K136+K137+K138</f>
        <v/>
      </c>
      <c r="L139" s="83">
        <f>L134+L135+L136+L137+L138</f>
        <v/>
      </c>
      <c r="M139" s="83">
        <f>M134+M135+M136+M137+M138</f>
        <v/>
      </c>
      <c r="N139" s="83">
        <f>N134+N135+N136+N137+N138</f>
        <v/>
      </c>
      <c r="O139" s="83">
        <f>O134+O135+O136+O137+O138</f>
        <v/>
      </c>
      <c r="P139" s="83">
        <f>P134+P135+P136+P137+P138</f>
        <v/>
      </c>
      <c r="Q139" s="83">
        <f>Q134+Q135+Q136+Q137+Q138</f>
        <v/>
      </c>
      <c r="R139" s="83">
        <f>R134+R135+R136+R137+R138</f>
        <v/>
      </c>
    </row>
    <row r="140">
      <c r="B140" s="202" t="inlineStr">
        <is>
          <t>Tie-check, historical only</t>
        </is>
      </c>
      <c r="C140" s="211" t="inlineStr">
        <is>
          <t>n/a</t>
        </is>
      </c>
      <c r="D140" s="85">
        <f>D139-IFERROR(INDEX(LTI_HS_CONSOLIDATED!E:E,MATCH("OtherEquity",LTI_HS_CONSOLIDATED!$C:$C,0)),0)</f>
        <v/>
      </c>
      <c r="E140" s="85">
        <f>E139-IFERROR(INDEX(LTI_HS_CONSOLIDATED!F:F,MATCH("OtherEquity",LTI_HS_CONSOLIDATED!$C:$C,0)),0)</f>
        <v/>
      </c>
      <c r="F140" s="85">
        <f>F139-IFERROR(INDEX(LTI_HS_CONSOLIDATED!G:G,MATCH("OtherEquity",LTI_HS_CONSOLIDATED!$C:$C,0)),0)</f>
        <v/>
      </c>
      <c r="G140" s="85">
        <f>G139-IFERROR(INDEX(LTI_HS_CONSOLIDATED!H:H,MATCH("OtherEquity",LTI_HS_CONSOLIDATED!$C:$C,0)),0)</f>
        <v/>
      </c>
      <c r="H140" s="85">
        <f>H139-IFERROR(INDEX(LTI_HS_CONSOLIDATED!I:I,MATCH("OtherEquity",LTI_HS_CONSOLIDATED!$C:$C,0)),0)</f>
        <v/>
      </c>
    </row>
    <row r="141">
      <c r="B141" s="211" t="inlineStr">
        <is>
          <t>Dividend Payout %, of Profit for the year</t>
        </is>
      </c>
      <c r="C141" s="87">
        <f>IFERROR(-C137/C135,0)</f>
        <v/>
      </c>
      <c r="D141" s="87">
        <f>IFERROR(-D137/D135,0)</f>
        <v/>
      </c>
      <c r="E141" s="87">
        <f>IFERROR(-E137/E135,0)</f>
        <v/>
      </c>
      <c r="F141" s="87">
        <f>IFERROR(-F137/F135,0)</f>
        <v/>
      </c>
      <c r="G141" s="87">
        <f>IFERROR(-G137/G135,0)</f>
        <v/>
      </c>
      <c r="H141" s="87">
        <f>IFERROR(-H137/H135,0)</f>
        <v/>
      </c>
    </row>
    <row r="143" ht="45" customHeight="1" s="203">
      <c r="B143" s="88">
        <f>IF(OR((LTI_Schedules!H92/(LTI_Schedules!H92+(LTI_Schedules!H131+LTI_Schedules!H139)))&lt;0,(LTI_Schedules!H92/(LTI_Schedules!H92+(LTI_Schedules!H131+LTI_Schedules!H139)))&gt;0.95),"⚠ Raw Target Debt/Capitalization Ratio ("&amp;TEXT((LTI_Schedules!H92/(LTI_Schedules!H92+(LTI_Schedules!H131+LTI_Schedules!H139))),"0.0%")&amp;") is outside a sane [0%,95%] range, driven by negative or near-zero Equity in the last actual year -- clamped to "&amp;TEXT('LTI_Inputs &amp; Assumptions'!$C$66,"0.0%")&amp;" for the forecast. A distressed snapshot is not a sustainable target capital structure; if you have a better-informed view of this company's intended target leverage, override it directly in the INPUT cell below.","")</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97"/>
  <sheetViews>
    <sheetView showGridLines="0" workbookViewId="0">
      <selection activeCell="A1" sqref="A1"/>
    </sheetView>
  </sheetViews>
  <sheetFormatPr baseColWidth="8" defaultRowHeight="15"/>
  <cols>
    <col width="3.5" customWidth="1" style="203" min="1" max="1"/>
    <col width="65" customWidth="1" style="203" min="2" max="2"/>
    <col width="17" customWidth="1" style="203" min="3" max="3"/>
    <col width="17" customWidth="1" style="203" min="4" max="4"/>
    <col width="17" customWidth="1" style="203" min="5" max="5"/>
    <col width="17" customWidth="1" style="203" min="6" max="6"/>
    <col width="17" customWidth="1" style="203" min="7" max="7"/>
    <col width="17" customWidth="1" style="203" min="8" max="8"/>
    <col width="17" customWidth="1" style="203" min="9" max="9"/>
    <col width="17" customWidth="1" style="203" min="10" max="10"/>
    <col width="17" customWidth="1" style="203" min="11" max="11"/>
    <col width="17" customWidth="1" style="203" min="12" max="12"/>
    <col width="17" customWidth="1" style="203" min="13" max="13"/>
    <col width="17" customWidth="1" style="203" min="14" max="14"/>
    <col width="17" customWidth="1" style="203" min="15" max="15"/>
    <col width="17" customWidth="1" style="203" min="16" max="16"/>
    <col width="17" customWidth="1" style="203" min="17" max="17"/>
    <col width="17" customWidth="1" style="203" min="18" max="18"/>
    <col width="17" customWidth="1" style="203" min="19" max="19"/>
  </cols>
  <sheetData>
    <row r="1">
      <c r="A1" t="inlineStr">
        <is>
          <t>#</t>
        </is>
      </c>
      <c r="B1" t="inlineStr">
        <is>
          <t>Inputs &amp; Assumptions -- forecast years only</t>
        </is>
      </c>
    </row>
    <row r="3">
      <c r="A3" t="inlineStr">
        <is>
          <t>#</t>
        </is>
      </c>
      <c r="B3" s="340" t="inlineStr">
        <is>
          <t>Outlier Filter -- excludes statistically anomalous years (IQR fence on YoY growth) from the Terminal Growth Rate and PP&amp;E Additions Growth trend regressions</t>
        </is>
      </c>
    </row>
    <row r="5">
      <c r="B5" t="inlineStr">
        <is>
          <t>Suggested: Outlier Filter Enabled (1=on, 0=off) -- default 1 (&gt;=5yr history, enough points for a meaningful IQR fence)</t>
        </is>
      </c>
      <c r="C5" s="341" t="n">
        <v>1</v>
      </c>
    </row>
    <row r="6">
      <c r="B6" t="inlineStr">
        <is>
          <t>INPUT: Outlier Filter Enabled (1=on, 0=off)</t>
        </is>
      </c>
    </row>
    <row r="8">
      <c r="A8" t="inlineStr">
        <is>
          <t>#</t>
        </is>
      </c>
      <c r="B8" s="340" t="inlineStr">
        <is>
          <t>Terminal / Fade-Target Growth Rate (computed from this company's own full history)</t>
        </is>
      </c>
    </row>
    <row r="10">
      <c r="B10" t="inlineStr">
        <is>
          <t>Suggested: Terminal Growth Rate -- MIN(this company's own full-history log-linear trend on Total Revenue, with statistically anomalous years excluded per the Outlier Filter above, the Risk-Free Rate). No company grows faster than the risk-free rate forever -- caps a fast-growing company's own historical trend (seen on AdaniPorts: ~16.5%/yr, which broke the Value-Driver TV formula outright) without hardcoding an external macro number; slow-growth companies (e.g. Suzlon, ~0.75%/yr) are unaffected since their own trend already sits below the cap.</t>
        </is>
      </c>
      <c r="C10" s="342">
        <f>MIN(SLOPE('LTI_Schedules'!C17:H17,'LTI_Schedules'!C11:H11),'LTI_WACC Schedule'!$C$21)</f>
        <v/>
      </c>
      <c r="D10" s="342">
        <f>$C$10</f>
        <v/>
      </c>
      <c r="E10" s="342">
        <f>$C$10</f>
        <v/>
      </c>
      <c r="F10" s="342">
        <f>$C$10</f>
        <v/>
      </c>
      <c r="G10" s="342">
        <f>$C$10</f>
        <v/>
      </c>
      <c r="H10" s="342">
        <f>$C$10</f>
        <v/>
      </c>
      <c r="I10" s="342">
        <f>$C$10</f>
        <v/>
      </c>
      <c r="J10" s="342">
        <f>$C$10</f>
        <v/>
      </c>
      <c r="K10" s="342">
        <f>$C$10</f>
        <v/>
      </c>
      <c r="L10" s="342">
        <f>$C$10</f>
        <v/>
      </c>
    </row>
    <row r="11">
      <c r="B11" t="inlineStr">
        <is>
          <t>INPUT: Terminal Growth Rate (used by the fade)</t>
        </is>
      </c>
    </row>
    <row r="13">
      <c r="B13" t="inlineStr">
        <is>
          <t>Suggested: Growth Fade Half-Life, years -- default 6yr</t>
        </is>
      </c>
      <c r="C13" s="341" t="n">
        <v>6</v>
      </c>
    </row>
    <row r="14">
      <c r="B14" t="inlineStr">
        <is>
          <t>INPUT: Growth Fade Half-Life, years</t>
        </is>
      </c>
    </row>
    <row r="16">
      <c r="B16" t="inlineStr">
        <is>
          <t>Suggested: Products Revenue Growth % -- log-linear, last 3yr, half-life decay to terminal</t>
        </is>
      </c>
      <c r="C16" s="342">
        <f>IFERROR(IF('LTI_Inputs &amp; Assumptions'!$C$11="",'LTI_Inputs &amp; Assumptions'!$C$10,'LTI_Inputs &amp; Assumptions'!$C$11)+(IF('LTI_Inputs &amp; Assumptions'!$C$17="",SLOPE('LTI_Schedules'!F12:H12,'LTI_Schedules'!F11:H11),'LTI_Inputs &amp; Assumptions'!$C$17)-(IF('LTI_Inputs &amp; Assumptions'!$C$11="",'LTI_Inputs &amp; Assumptions'!$C$10,'LTI_Inputs &amp; Assumptions'!$C$11)))*0.5^(1/(IF('LTI_Inputs &amp; Assumptions'!$C$14="",'LTI_Inputs &amp; Assumptions'!$C$13,'LTI_Inputs &amp; Assumptions'!$C$14))),IF('LTI_Inputs &amp; Assumptions'!$C$11="",'LTI_Inputs &amp; Assumptions'!$C$10,'LTI_Inputs &amp; Assumptions'!$C$11))</f>
        <v/>
      </c>
      <c r="D16" s="342">
        <f>IFERROR(IF('LTI_Inputs &amp; Assumptions'!$C$11="",'LTI_Inputs &amp; Assumptions'!$C$10,'LTI_Inputs &amp; Assumptions'!$C$11)+(IF('LTI_Inputs &amp; Assumptions'!$C$17="",SLOPE('LTI_Schedules'!F12:H12,'LTI_Schedules'!F11:H11),'LTI_Inputs &amp; Assumptions'!$C$17)-(IF('LTI_Inputs &amp; Assumptions'!$C$11="",'LTI_Inputs &amp; Assumptions'!$C$10,'LTI_Inputs &amp; Assumptions'!$C$11)))*0.5^(2/(IF('LTI_Inputs &amp; Assumptions'!$C$14="",'LTI_Inputs &amp; Assumptions'!$C$13,'LTI_Inputs &amp; Assumptions'!$C$14))),IF('LTI_Inputs &amp; Assumptions'!$C$11="",'LTI_Inputs &amp; Assumptions'!$C$10,'LTI_Inputs &amp; Assumptions'!$C$11))</f>
        <v/>
      </c>
      <c r="E16" s="342">
        <f>IFERROR(IF('LTI_Inputs &amp; Assumptions'!$C$11="",'LTI_Inputs &amp; Assumptions'!$C$10,'LTI_Inputs &amp; Assumptions'!$C$11)+(IF('LTI_Inputs &amp; Assumptions'!$C$17="",SLOPE('LTI_Schedules'!F12:H12,'LTI_Schedules'!F11:H11),'LTI_Inputs &amp; Assumptions'!$C$17)-(IF('LTI_Inputs &amp; Assumptions'!$C$11="",'LTI_Inputs &amp; Assumptions'!$C$10,'LTI_Inputs &amp; Assumptions'!$C$11)))*0.5^(3/(IF('LTI_Inputs &amp; Assumptions'!$C$14="",'LTI_Inputs &amp; Assumptions'!$C$13,'LTI_Inputs &amp; Assumptions'!$C$14))),IF('LTI_Inputs &amp; Assumptions'!$C$11="",'LTI_Inputs &amp; Assumptions'!$C$10,'LTI_Inputs &amp; Assumptions'!$C$11))</f>
        <v/>
      </c>
      <c r="F16" s="342">
        <f>IFERROR(IF('LTI_Inputs &amp; Assumptions'!$C$11="",'LTI_Inputs &amp; Assumptions'!$C$10,'LTI_Inputs &amp; Assumptions'!$C$11)+(IF('LTI_Inputs &amp; Assumptions'!$C$17="",SLOPE('LTI_Schedules'!F12:H12,'LTI_Schedules'!F11:H11),'LTI_Inputs &amp; Assumptions'!$C$17)-(IF('LTI_Inputs &amp; Assumptions'!$C$11="",'LTI_Inputs &amp; Assumptions'!$C$10,'LTI_Inputs &amp; Assumptions'!$C$11)))*0.5^(4/(IF('LTI_Inputs &amp; Assumptions'!$C$14="",'LTI_Inputs &amp; Assumptions'!$C$13,'LTI_Inputs &amp; Assumptions'!$C$14))),IF('LTI_Inputs &amp; Assumptions'!$C$11="",'LTI_Inputs &amp; Assumptions'!$C$10,'LTI_Inputs &amp; Assumptions'!$C$11))</f>
        <v/>
      </c>
      <c r="G16" s="342">
        <f>IFERROR(IF('LTI_Inputs &amp; Assumptions'!$C$11="",'LTI_Inputs &amp; Assumptions'!$C$10,'LTI_Inputs &amp; Assumptions'!$C$11)+(IF('LTI_Inputs &amp; Assumptions'!$C$17="",SLOPE('LTI_Schedules'!F12:H12,'LTI_Schedules'!F11:H11),'LTI_Inputs &amp; Assumptions'!$C$17)-(IF('LTI_Inputs &amp; Assumptions'!$C$11="",'LTI_Inputs &amp; Assumptions'!$C$10,'LTI_Inputs &amp; Assumptions'!$C$11)))*0.5^(5/(IF('LTI_Inputs &amp; Assumptions'!$C$14="",'LTI_Inputs &amp; Assumptions'!$C$13,'LTI_Inputs &amp; Assumptions'!$C$14))),IF('LTI_Inputs &amp; Assumptions'!$C$11="",'LTI_Inputs &amp; Assumptions'!$C$10,'LTI_Inputs &amp; Assumptions'!$C$11))</f>
        <v/>
      </c>
      <c r="H16" s="342">
        <f>IFERROR(IF('LTI_Inputs &amp; Assumptions'!$C$11="",'LTI_Inputs &amp; Assumptions'!$C$10,'LTI_Inputs &amp; Assumptions'!$C$11)+(IF('LTI_Inputs &amp; Assumptions'!$C$17="",SLOPE('LTI_Schedules'!F12:H12,'LTI_Schedules'!F11:H11),'LTI_Inputs &amp; Assumptions'!$C$17)-(IF('LTI_Inputs &amp; Assumptions'!$C$11="",'LTI_Inputs &amp; Assumptions'!$C$10,'LTI_Inputs &amp; Assumptions'!$C$11)))*0.5^(6/(IF('LTI_Inputs &amp; Assumptions'!$C$14="",'LTI_Inputs &amp; Assumptions'!$C$13,'LTI_Inputs &amp; Assumptions'!$C$14))),IF('LTI_Inputs &amp; Assumptions'!$C$11="",'LTI_Inputs &amp; Assumptions'!$C$10,'LTI_Inputs &amp; Assumptions'!$C$11))</f>
        <v/>
      </c>
      <c r="I16" s="342">
        <f>IFERROR(IF('LTI_Inputs &amp; Assumptions'!$C$11="",'LTI_Inputs &amp; Assumptions'!$C$10,'LTI_Inputs &amp; Assumptions'!$C$11)+(IF('LTI_Inputs &amp; Assumptions'!$C$17="",SLOPE('LTI_Schedules'!F12:H12,'LTI_Schedules'!F11:H11),'LTI_Inputs &amp; Assumptions'!$C$17)-(IF('LTI_Inputs &amp; Assumptions'!$C$11="",'LTI_Inputs &amp; Assumptions'!$C$10,'LTI_Inputs &amp; Assumptions'!$C$11)))*0.5^(7/(IF('LTI_Inputs &amp; Assumptions'!$C$14="",'LTI_Inputs &amp; Assumptions'!$C$13,'LTI_Inputs &amp; Assumptions'!$C$14))),IF('LTI_Inputs &amp; Assumptions'!$C$11="",'LTI_Inputs &amp; Assumptions'!$C$10,'LTI_Inputs &amp; Assumptions'!$C$11))</f>
        <v/>
      </c>
      <c r="J16" s="342">
        <f>IFERROR(IF('LTI_Inputs &amp; Assumptions'!$C$11="",'LTI_Inputs &amp; Assumptions'!$C$10,'LTI_Inputs &amp; Assumptions'!$C$11)+(IF('LTI_Inputs &amp; Assumptions'!$C$17="",SLOPE('LTI_Schedules'!F12:H12,'LTI_Schedules'!F11:H11),'LTI_Inputs &amp; Assumptions'!$C$17)-(IF('LTI_Inputs &amp; Assumptions'!$C$11="",'LTI_Inputs &amp; Assumptions'!$C$10,'LTI_Inputs &amp; Assumptions'!$C$11)))*0.5^(8/(IF('LTI_Inputs &amp; Assumptions'!$C$14="",'LTI_Inputs &amp; Assumptions'!$C$13,'LTI_Inputs &amp; Assumptions'!$C$14))),IF('LTI_Inputs &amp; Assumptions'!$C$11="",'LTI_Inputs &amp; Assumptions'!$C$10,'LTI_Inputs &amp; Assumptions'!$C$11))</f>
        <v/>
      </c>
      <c r="K16" s="342">
        <f>IFERROR(IF('LTI_Inputs &amp; Assumptions'!$C$11="",'LTI_Inputs &amp; Assumptions'!$C$10,'LTI_Inputs &amp; Assumptions'!$C$11)+(IF('LTI_Inputs &amp; Assumptions'!$C$17="",SLOPE('LTI_Schedules'!F12:H12,'LTI_Schedules'!F11:H11),'LTI_Inputs &amp; Assumptions'!$C$17)-(IF('LTI_Inputs &amp; Assumptions'!$C$11="",'LTI_Inputs &amp; Assumptions'!$C$10,'LTI_Inputs &amp; Assumptions'!$C$11)))*0.5^(9/(IF('LTI_Inputs &amp; Assumptions'!$C$14="",'LTI_Inputs &amp; Assumptions'!$C$13,'LTI_Inputs &amp; Assumptions'!$C$14))),IF('LTI_Inputs &amp; Assumptions'!$C$11="",'LTI_Inputs &amp; Assumptions'!$C$10,'LTI_Inputs &amp; Assumptions'!$C$11))</f>
        <v/>
      </c>
      <c r="L16" s="342">
        <f>IFERROR(IF('LTI_Inputs &amp; Assumptions'!$C$11="",'LTI_Inputs &amp; Assumptions'!$C$10,'LTI_Inputs &amp; Assumptions'!$C$11)+(IF('LTI_Inputs &amp; Assumptions'!$C$17="",SLOPE('LTI_Schedules'!F12:H12,'LTI_Schedules'!F11:H11),'LTI_Inputs &amp; Assumptions'!$C$17)-(IF('LTI_Inputs &amp; Assumptions'!$C$11="",'LTI_Inputs &amp; Assumptions'!$C$10,'LTI_Inputs &amp; Assumptions'!$C$11)))*0.5^(10/(IF('LTI_Inputs &amp; Assumptions'!$C$14="",'LTI_Inputs &amp; Assumptions'!$C$13,'LTI_Inputs &amp; Assumptions'!$C$14))),IF('LTI_Inputs &amp; Assumptions'!$C$11="",'LTI_Inputs &amp; Assumptions'!$C$10,'LTI_Inputs &amp; Assumptions'!$C$11))</f>
        <v/>
      </c>
    </row>
    <row r="17">
      <c r="B17" t="inlineStr">
        <is>
          <t>INPUT: Products Revenue Growth % (overrides the trend/fade)</t>
        </is>
      </c>
    </row>
    <row r="19">
      <c r="A19" t="inlineStr">
        <is>
          <t>#</t>
        </is>
      </c>
      <c r="B19" s="340" t="inlineStr">
        <is>
          <t>Misc. Revenue / WC Schedule Drivers</t>
        </is>
      </c>
    </row>
    <row r="21">
      <c r="B21" t="inlineStr">
        <is>
          <t>Suggested: Misc. Other Operating Revenue % of Total Revenue, last 3yr avg</t>
        </is>
      </c>
      <c r="C21" s="326">
        <f>AVERAGE('LTI_Schedules'!F23:H23)</f>
        <v/>
      </c>
      <c r="D21" s="326">
        <f>$C$21</f>
        <v/>
      </c>
      <c r="E21" s="326">
        <f>$C$21</f>
        <v/>
      </c>
      <c r="F21" s="326">
        <f>$C$21</f>
        <v/>
      </c>
      <c r="G21" s="326">
        <f>$C$21</f>
        <v/>
      </c>
      <c r="H21" s="326">
        <f>$C$21</f>
        <v/>
      </c>
      <c r="I21" s="326">
        <f>$C$21</f>
        <v/>
      </c>
      <c r="J21" s="326">
        <f>$C$21</f>
        <v/>
      </c>
      <c r="K21" s="326">
        <f>$C$21</f>
        <v/>
      </c>
      <c r="L21" s="326">
        <f>$C$21</f>
        <v/>
      </c>
    </row>
    <row r="22">
      <c r="B22" t="inlineStr">
        <is>
          <t>INPUT: Misc. Other Operating Revenue % of Total Revenue</t>
        </is>
      </c>
    </row>
    <row r="24">
      <c r="B24" t="inlineStr">
        <is>
          <t>Suggested: Services Revenue Growth % -- log-linear, last 3yr, half-life decay to terminal (simplified vs. an installed-base driver)</t>
        </is>
      </c>
      <c r="C24" s="342">
        <f>IFERROR(IF('LTI_Inputs &amp; Assumptions'!$C$11="",'LTI_Inputs &amp; Assumptions'!$C$10,'LTI_Inputs &amp; Assumptions'!$C$11)+(IF('LTI_Inputs &amp; Assumptions'!$C$25="",SLOPE('LTI_Schedules'!F24:H24,'LTI_Schedules'!F11:H11),'LTI_Inputs &amp; Assumptions'!$C$25)-(IF('LTI_Inputs &amp; Assumptions'!$C$11="",'LTI_Inputs &amp; Assumptions'!$C$10,'LTI_Inputs &amp; Assumptions'!$C$11)))*0.5^(1/(IF('LTI_Inputs &amp; Assumptions'!$C$14="",'LTI_Inputs &amp; Assumptions'!$C$13,'LTI_Inputs &amp; Assumptions'!$C$14))),IF('LTI_Inputs &amp; Assumptions'!$C$11="",'LTI_Inputs &amp; Assumptions'!$C$10,'LTI_Inputs &amp; Assumptions'!$C$11))</f>
        <v/>
      </c>
      <c r="D24" s="342">
        <f>IFERROR(IF('LTI_Inputs &amp; Assumptions'!$C$11="",'LTI_Inputs &amp; Assumptions'!$C$10,'LTI_Inputs &amp; Assumptions'!$C$11)+(IF('LTI_Inputs &amp; Assumptions'!$C$25="",SLOPE('LTI_Schedules'!F24:H24,'LTI_Schedules'!F11:H11),'LTI_Inputs &amp; Assumptions'!$C$25)-(IF('LTI_Inputs &amp; Assumptions'!$C$11="",'LTI_Inputs &amp; Assumptions'!$C$10,'LTI_Inputs &amp; Assumptions'!$C$11)))*0.5^(2/(IF('LTI_Inputs &amp; Assumptions'!$C$14="",'LTI_Inputs &amp; Assumptions'!$C$13,'LTI_Inputs &amp; Assumptions'!$C$14))),IF('LTI_Inputs &amp; Assumptions'!$C$11="",'LTI_Inputs &amp; Assumptions'!$C$10,'LTI_Inputs &amp; Assumptions'!$C$11))</f>
        <v/>
      </c>
      <c r="E24" s="342">
        <f>IFERROR(IF('LTI_Inputs &amp; Assumptions'!$C$11="",'LTI_Inputs &amp; Assumptions'!$C$10,'LTI_Inputs &amp; Assumptions'!$C$11)+(IF('LTI_Inputs &amp; Assumptions'!$C$25="",SLOPE('LTI_Schedules'!F24:H24,'LTI_Schedules'!F11:H11),'LTI_Inputs &amp; Assumptions'!$C$25)-(IF('LTI_Inputs &amp; Assumptions'!$C$11="",'LTI_Inputs &amp; Assumptions'!$C$10,'LTI_Inputs &amp; Assumptions'!$C$11)))*0.5^(3/(IF('LTI_Inputs &amp; Assumptions'!$C$14="",'LTI_Inputs &amp; Assumptions'!$C$13,'LTI_Inputs &amp; Assumptions'!$C$14))),IF('LTI_Inputs &amp; Assumptions'!$C$11="",'LTI_Inputs &amp; Assumptions'!$C$10,'LTI_Inputs &amp; Assumptions'!$C$11))</f>
        <v/>
      </c>
      <c r="F24" s="342">
        <f>IFERROR(IF('LTI_Inputs &amp; Assumptions'!$C$11="",'LTI_Inputs &amp; Assumptions'!$C$10,'LTI_Inputs &amp; Assumptions'!$C$11)+(IF('LTI_Inputs &amp; Assumptions'!$C$25="",SLOPE('LTI_Schedules'!F24:H24,'LTI_Schedules'!F11:H11),'LTI_Inputs &amp; Assumptions'!$C$25)-(IF('LTI_Inputs &amp; Assumptions'!$C$11="",'LTI_Inputs &amp; Assumptions'!$C$10,'LTI_Inputs &amp; Assumptions'!$C$11)))*0.5^(4/(IF('LTI_Inputs &amp; Assumptions'!$C$14="",'LTI_Inputs &amp; Assumptions'!$C$13,'LTI_Inputs &amp; Assumptions'!$C$14))),IF('LTI_Inputs &amp; Assumptions'!$C$11="",'LTI_Inputs &amp; Assumptions'!$C$10,'LTI_Inputs &amp; Assumptions'!$C$11))</f>
        <v/>
      </c>
      <c r="G24" s="342">
        <f>IFERROR(IF('LTI_Inputs &amp; Assumptions'!$C$11="",'LTI_Inputs &amp; Assumptions'!$C$10,'LTI_Inputs &amp; Assumptions'!$C$11)+(IF('LTI_Inputs &amp; Assumptions'!$C$25="",SLOPE('LTI_Schedules'!F24:H24,'LTI_Schedules'!F11:H11),'LTI_Inputs &amp; Assumptions'!$C$25)-(IF('LTI_Inputs &amp; Assumptions'!$C$11="",'LTI_Inputs &amp; Assumptions'!$C$10,'LTI_Inputs &amp; Assumptions'!$C$11)))*0.5^(5/(IF('LTI_Inputs &amp; Assumptions'!$C$14="",'LTI_Inputs &amp; Assumptions'!$C$13,'LTI_Inputs &amp; Assumptions'!$C$14))),IF('LTI_Inputs &amp; Assumptions'!$C$11="",'LTI_Inputs &amp; Assumptions'!$C$10,'LTI_Inputs &amp; Assumptions'!$C$11))</f>
        <v/>
      </c>
      <c r="H24" s="342">
        <f>IFERROR(IF('LTI_Inputs &amp; Assumptions'!$C$11="",'LTI_Inputs &amp; Assumptions'!$C$10,'LTI_Inputs &amp; Assumptions'!$C$11)+(IF('LTI_Inputs &amp; Assumptions'!$C$25="",SLOPE('LTI_Schedules'!F24:H24,'LTI_Schedules'!F11:H11),'LTI_Inputs &amp; Assumptions'!$C$25)-(IF('LTI_Inputs &amp; Assumptions'!$C$11="",'LTI_Inputs &amp; Assumptions'!$C$10,'LTI_Inputs &amp; Assumptions'!$C$11)))*0.5^(6/(IF('LTI_Inputs &amp; Assumptions'!$C$14="",'LTI_Inputs &amp; Assumptions'!$C$13,'LTI_Inputs &amp; Assumptions'!$C$14))),IF('LTI_Inputs &amp; Assumptions'!$C$11="",'LTI_Inputs &amp; Assumptions'!$C$10,'LTI_Inputs &amp; Assumptions'!$C$11))</f>
        <v/>
      </c>
      <c r="I24" s="342">
        <f>IFERROR(IF('LTI_Inputs &amp; Assumptions'!$C$11="",'LTI_Inputs &amp; Assumptions'!$C$10,'LTI_Inputs &amp; Assumptions'!$C$11)+(IF('LTI_Inputs &amp; Assumptions'!$C$25="",SLOPE('LTI_Schedules'!F24:H24,'LTI_Schedules'!F11:H11),'LTI_Inputs &amp; Assumptions'!$C$25)-(IF('LTI_Inputs &amp; Assumptions'!$C$11="",'LTI_Inputs &amp; Assumptions'!$C$10,'LTI_Inputs &amp; Assumptions'!$C$11)))*0.5^(7/(IF('LTI_Inputs &amp; Assumptions'!$C$14="",'LTI_Inputs &amp; Assumptions'!$C$13,'LTI_Inputs &amp; Assumptions'!$C$14))),IF('LTI_Inputs &amp; Assumptions'!$C$11="",'LTI_Inputs &amp; Assumptions'!$C$10,'LTI_Inputs &amp; Assumptions'!$C$11))</f>
        <v/>
      </c>
      <c r="J24" s="342">
        <f>IFERROR(IF('LTI_Inputs &amp; Assumptions'!$C$11="",'LTI_Inputs &amp; Assumptions'!$C$10,'LTI_Inputs &amp; Assumptions'!$C$11)+(IF('LTI_Inputs &amp; Assumptions'!$C$25="",SLOPE('LTI_Schedules'!F24:H24,'LTI_Schedules'!F11:H11),'LTI_Inputs &amp; Assumptions'!$C$25)-(IF('LTI_Inputs &amp; Assumptions'!$C$11="",'LTI_Inputs &amp; Assumptions'!$C$10,'LTI_Inputs &amp; Assumptions'!$C$11)))*0.5^(8/(IF('LTI_Inputs &amp; Assumptions'!$C$14="",'LTI_Inputs &amp; Assumptions'!$C$13,'LTI_Inputs &amp; Assumptions'!$C$14))),IF('LTI_Inputs &amp; Assumptions'!$C$11="",'LTI_Inputs &amp; Assumptions'!$C$10,'LTI_Inputs &amp; Assumptions'!$C$11))</f>
        <v/>
      </c>
      <c r="K24" s="342">
        <f>IFERROR(IF('LTI_Inputs &amp; Assumptions'!$C$11="",'LTI_Inputs &amp; Assumptions'!$C$10,'LTI_Inputs &amp; Assumptions'!$C$11)+(IF('LTI_Inputs &amp; Assumptions'!$C$25="",SLOPE('LTI_Schedules'!F24:H24,'LTI_Schedules'!F11:H11),'LTI_Inputs &amp; Assumptions'!$C$25)-(IF('LTI_Inputs &amp; Assumptions'!$C$11="",'LTI_Inputs &amp; Assumptions'!$C$10,'LTI_Inputs &amp; Assumptions'!$C$11)))*0.5^(9/(IF('LTI_Inputs &amp; Assumptions'!$C$14="",'LTI_Inputs &amp; Assumptions'!$C$13,'LTI_Inputs &amp; Assumptions'!$C$14))),IF('LTI_Inputs &amp; Assumptions'!$C$11="",'LTI_Inputs &amp; Assumptions'!$C$10,'LTI_Inputs &amp; Assumptions'!$C$11))</f>
        <v/>
      </c>
      <c r="L24" s="342">
        <f>IFERROR(IF('LTI_Inputs &amp; Assumptions'!$C$11="",'LTI_Inputs &amp; Assumptions'!$C$10,'LTI_Inputs &amp; Assumptions'!$C$11)+(IF('LTI_Inputs &amp; Assumptions'!$C$25="",SLOPE('LTI_Schedules'!F24:H24,'LTI_Schedules'!F11:H11),'LTI_Inputs &amp; Assumptions'!$C$25)-(IF('LTI_Inputs &amp; Assumptions'!$C$11="",'LTI_Inputs &amp; Assumptions'!$C$10,'LTI_Inputs &amp; Assumptions'!$C$11)))*0.5^(10/(IF('LTI_Inputs &amp; Assumptions'!$C$14="",'LTI_Inputs &amp; Assumptions'!$C$13,'LTI_Inputs &amp; Assumptions'!$C$14))),IF('LTI_Inputs &amp; Assumptions'!$C$11="",'LTI_Inputs &amp; Assumptions'!$C$10,'LTI_Inputs &amp; Assumptions'!$C$11))</f>
        <v/>
      </c>
    </row>
    <row r="25">
      <c r="B25" t="inlineStr">
        <is>
          <t>INPUT: Services Revenue Growth % (overrides the trend/fade)</t>
        </is>
      </c>
      <c r="C25" s="323" t="n">
        <v>0.2476</v>
      </c>
    </row>
    <row r="27">
      <c r="A27" t="inlineStr">
        <is>
          <t>#</t>
        </is>
      </c>
      <c r="B27" s="340" t="inlineStr">
        <is>
          <t>Working Capital Schedule Drivers</t>
        </is>
      </c>
    </row>
    <row r="29">
      <c r="B29" t="inlineStr">
        <is>
          <t>Suggested: COGS % of Revenue, last 3yr avg</t>
        </is>
      </c>
      <c r="C29" s="326">
        <f>AVERAGE('LTI_Schedules'!F32:H32)</f>
        <v/>
      </c>
      <c r="D29" s="326">
        <f>$C$29</f>
        <v/>
      </c>
      <c r="E29" s="326">
        <f>$C$29</f>
        <v/>
      </c>
      <c r="F29" s="326">
        <f>$C$29</f>
        <v/>
      </c>
      <c r="G29" s="326">
        <f>$C$29</f>
        <v/>
      </c>
      <c r="H29" s="326">
        <f>$C$29</f>
        <v/>
      </c>
      <c r="I29" s="326">
        <f>$C$29</f>
        <v/>
      </c>
      <c r="J29" s="326">
        <f>$C$29</f>
        <v/>
      </c>
      <c r="K29" s="326">
        <f>$C$29</f>
        <v/>
      </c>
      <c r="L29" s="326">
        <f>$C$29</f>
        <v/>
      </c>
    </row>
    <row r="30">
      <c r="B30" t="inlineStr">
        <is>
          <t>INPUT: COGS % of Revenue</t>
        </is>
      </c>
    </row>
    <row r="32">
      <c r="B32" t="inlineStr">
        <is>
          <t>Suggested: Days Sales Outstanding, last 3yr avg</t>
        </is>
      </c>
      <c r="C32" s="343">
        <f>AVERAGE('LTI_Schedules'!F39:H39)</f>
        <v/>
      </c>
      <c r="D32" s="343">
        <f>$C$32</f>
        <v/>
      </c>
      <c r="E32" s="343">
        <f>$C$32</f>
        <v/>
      </c>
      <c r="F32" s="343">
        <f>$C$32</f>
        <v/>
      </c>
      <c r="G32" s="343">
        <f>$C$32</f>
        <v/>
      </c>
      <c r="H32" s="343">
        <f>$C$32</f>
        <v/>
      </c>
      <c r="I32" s="343">
        <f>$C$32</f>
        <v/>
      </c>
      <c r="J32" s="343">
        <f>$C$32</f>
        <v/>
      </c>
      <c r="K32" s="343">
        <f>$C$32</f>
        <v/>
      </c>
      <c r="L32" s="343">
        <f>$C$32</f>
        <v/>
      </c>
    </row>
    <row r="33">
      <c r="B33" t="inlineStr">
        <is>
          <t>INPUT: Days Sales Outstanding</t>
        </is>
      </c>
    </row>
    <row r="35">
      <c r="B35" t="inlineStr">
        <is>
          <t>Suggested: Days Inventory Outstanding, last 3yr avg</t>
        </is>
      </c>
      <c r="C35" s="343">
        <f>AVERAGE('LTI_Schedules'!F40:H40)</f>
        <v/>
      </c>
      <c r="D35" s="343">
        <f>$C$35</f>
        <v/>
      </c>
      <c r="E35" s="343">
        <f>$C$35</f>
        <v/>
      </c>
      <c r="F35" s="343">
        <f>$C$35</f>
        <v/>
      </c>
      <c r="G35" s="343">
        <f>$C$35</f>
        <v/>
      </c>
      <c r="H35" s="343">
        <f>$C$35</f>
        <v/>
      </c>
      <c r="I35" s="343">
        <f>$C$35</f>
        <v/>
      </c>
      <c r="J35" s="343">
        <f>$C$35</f>
        <v/>
      </c>
      <c r="K35" s="343">
        <f>$C$35</f>
        <v/>
      </c>
      <c r="L35" s="343">
        <f>$C$35</f>
        <v/>
      </c>
    </row>
    <row r="36">
      <c r="B36" t="inlineStr">
        <is>
          <t>INPUT: Days Inventory Outstanding</t>
        </is>
      </c>
    </row>
    <row r="38">
      <c r="B38" t="inlineStr">
        <is>
          <t>Suggested: Days Payable Outstanding, last 3yr avg</t>
        </is>
      </c>
      <c r="C38" s="343">
        <f>AVERAGE('LTI_Schedules'!F41:H41)</f>
        <v/>
      </c>
      <c r="D38" s="343">
        <f>$C$38</f>
        <v/>
      </c>
      <c r="E38" s="343">
        <f>$C$38</f>
        <v/>
      </c>
      <c r="F38" s="343">
        <f>$C$38</f>
        <v/>
      </c>
      <c r="G38" s="343">
        <f>$C$38</f>
        <v/>
      </c>
      <c r="H38" s="343">
        <f>$C$38</f>
        <v/>
      </c>
      <c r="I38" s="343">
        <f>$C$38</f>
        <v/>
      </c>
      <c r="J38" s="343">
        <f>$C$38</f>
        <v/>
      </c>
      <c r="K38" s="343">
        <f>$C$38</f>
        <v/>
      </c>
      <c r="L38" s="343">
        <f>$C$38</f>
        <v/>
      </c>
    </row>
    <row r="39">
      <c r="B39" t="inlineStr">
        <is>
          <t>INPUT: Days Payable Outstanding</t>
        </is>
      </c>
    </row>
    <row r="41">
      <c r="A41" t="inlineStr">
        <is>
          <t>#</t>
        </is>
      </c>
      <c r="B41" s="340" t="inlineStr">
        <is>
          <t>PP&amp;E Schedule Drivers</t>
        </is>
      </c>
    </row>
    <row r="43">
      <c r="B43" t="inlineStr">
        <is>
          <t>Suggested: Additions Growth % -- log-linear, last 3yr, half-life decay to terminal</t>
        </is>
      </c>
      <c r="C43" s="342">
        <f>(IF('LTI_Inputs &amp; Assumptions'!$C$11="",'LTI_Inputs &amp; Assumptions'!$C$10,'LTI_Inputs &amp; Assumptions'!$C$11)+(IF('LTI_Inputs &amp; Assumptions'!$C$44="",MIN(SLOPE('LTI_Schedules'!F73:H73,'LTI_Schedules'!F69:H69),'LTI_WACC Schedule'!$C$21),'LTI_Inputs &amp; Assumptions'!$C$44)-(IF('LTI_Inputs &amp; Assumptions'!$C$11="",'LTI_Inputs &amp; Assumptions'!$C$10,'LTI_Inputs &amp; Assumptions'!$C$11)))*0.5^(1/(IF('LTI_Inputs &amp; Assumptions'!$C$14="",'LTI_Inputs &amp; Assumptions'!$C$13,'LTI_Inputs &amp; Assumptions'!$C$14))))</f>
        <v/>
      </c>
      <c r="D43" s="342">
        <f>(IF('LTI_Inputs &amp; Assumptions'!$C$11="",'LTI_Inputs &amp; Assumptions'!$C$10,'LTI_Inputs &amp; Assumptions'!$C$11)+(IF('LTI_Inputs &amp; Assumptions'!$C$44="",MIN(SLOPE('LTI_Schedules'!F73:H73,'LTI_Schedules'!F69:H69),'LTI_WACC Schedule'!$C$21),'LTI_Inputs &amp; Assumptions'!$C$44)-(IF('LTI_Inputs &amp; Assumptions'!$C$11="",'LTI_Inputs &amp; Assumptions'!$C$10,'LTI_Inputs &amp; Assumptions'!$C$11)))*0.5^(2/(IF('LTI_Inputs &amp; Assumptions'!$C$14="",'LTI_Inputs &amp; Assumptions'!$C$13,'LTI_Inputs &amp; Assumptions'!$C$14))))</f>
        <v/>
      </c>
      <c r="E43" s="342">
        <f>(IF('LTI_Inputs &amp; Assumptions'!$C$11="",'LTI_Inputs &amp; Assumptions'!$C$10,'LTI_Inputs &amp; Assumptions'!$C$11)+(IF('LTI_Inputs &amp; Assumptions'!$C$44="",MIN(SLOPE('LTI_Schedules'!F73:H73,'LTI_Schedules'!F69:H69),'LTI_WACC Schedule'!$C$21),'LTI_Inputs &amp; Assumptions'!$C$44)-(IF('LTI_Inputs &amp; Assumptions'!$C$11="",'LTI_Inputs &amp; Assumptions'!$C$10,'LTI_Inputs &amp; Assumptions'!$C$11)))*0.5^(3/(IF('LTI_Inputs &amp; Assumptions'!$C$14="",'LTI_Inputs &amp; Assumptions'!$C$13,'LTI_Inputs &amp; Assumptions'!$C$14))))</f>
        <v/>
      </c>
      <c r="F43" s="342">
        <f>(IF('LTI_Inputs &amp; Assumptions'!$C$11="",'LTI_Inputs &amp; Assumptions'!$C$10,'LTI_Inputs &amp; Assumptions'!$C$11)+(IF('LTI_Inputs &amp; Assumptions'!$C$44="",MIN(SLOPE('LTI_Schedules'!F73:H73,'LTI_Schedules'!F69:H69),'LTI_WACC Schedule'!$C$21),'LTI_Inputs &amp; Assumptions'!$C$44)-(IF('LTI_Inputs &amp; Assumptions'!$C$11="",'LTI_Inputs &amp; Assumptions'!$C$10,'LTI_Inputs &amp; Assumptions'!$C$11)))*0.5^(4/(IF('LTI_Inputs &amp; Assumptions'!$C$14="",'LTI_Inputs &amp; Assumptions'!$C$13,'LTI_Inputs &amp; Assumptions'!$C$14))))</f>
        <v/>
      </c>
      <c r="G43" s="342">
        <f>(IF('LTI_Inputs &amp; Assumptions'!$C$11="",'LTI_Inputs &amp; Assumptions'!$C$10,'LTI_Inputs &amp; Assumptions'!$C$11)+(IF('LTI_Inputs &amp; Assumptions'!$C$44="",MIN(SLOPE('LTI_Schedules'!F73:H73,'LTI_Schedules'!F69:H69),'LTI_WACC Schedule'!$C$21),'LTI_Inputs &amp; Assumptions'!$C$44)-(IF('LTI_Inputs &amp; Assumptions'!$C$11="",'LTI_Inputs &amp; Assumptions'!$C$10,'LTI_Inputs &amp; Assumptions'!$C$11)))*0.5^(5/(IF('LTI_Inputs &amp; Assumptions'!$C$14="",'LTI_Inputs &amp; Assumptions'!$C$13,'LTI_Inputs &amp; Assumptions'!$C$14))))</f>
        <v/>
      </c>
      <c r="H43" s="342">
        <f>(IF('LTI_Inputs &amp; Assumptions'!$C$11="",'LTI_Inputs &amp; Assumptions'!$C$10,'LTI_Inputs &amp; Assumptions'!$C$11)+(IF('LTI_Inputs &amp; Assumptions'!$C$44="",MIN(SLOPE('LTI_Schedules'!F73:H73,'LTI_Schedules'!F69:H69),'LTI_WACC Schedule'!$C$21),'LTI_Inputs &amp; Assumptions'!$C$44)-(IF('LTI_Inputs &amp; Assumptions'!$C$11="",'LTI_Inputs &amp; Assumptions'!$C$10,'LTI_Inputs &amp; Assumptions'!$C$11)))*0.5^(6/(IF('LTI_Inputs &amp; Assumptions'!$C$14="",'LTI_Inputs &amp; Assumptions'!$C$13,'LTI_Inputs &amp; Assumptions'!$C$14))))</f>
        <v/>
      </c>
      <c r="I43" s="342">
        <f>(IF('LTI_Inputs &amp; Assumptions'!$C$11="",'LTI_Inputs &amp; Assumptions'!$C$10,'LTI_Inputs &amp; Assumptions'!$C$11)+(IF('LTI_Inputs &amp; Assumptions'!$C$44="",MIN(SLOPE('LTI_Schedules'!F73:H73,'LTI_Schedules'!F69:H69),'LTI_WACC Schedule'!$C$21),'LTI_Inputs &amp; Assumptions'!$C$44)-(IF('LTI_Inputs &amp; Assumptions'!$C$11="",'LTI_Inputs &amp; Assumptions'!$C$10,'LTI_Inputs &amp; Assumptions'!$C$11)))*0.5^(7/(IF('LTI_Inputs &amp; Assumptions'!$C$14="",'LTI_Inputs &amp; Assumptions'!$C$13,'LTI_Inputs &amp; Assumptions'!$C$14))))</f>
        <v/>
      </c>
      <c r="J43" s="342">
        <f>(IF('LTI_Inputs &amp; Assumptions'!$C$11="",'LTI_Inputs &amp; Assumptions'!$C$10,'LTI_Inputs &amp; Assumptions'!$C$11)+(IF('LTI_Inputs &amp; Assumptions'!$C$44="",MIN(SLOPE('LTI_Schedules'!F73:H73,'LTI_Schedules'!F69:H69),'LTI_WACC Schedule'!$C$21),'LTI_Inputs &amp; Assumptions'!$C$44)-(IF('LTI_Inputs &amp; Assumptions'!$C$11="",'LTI_Inputs &amp; Assumptions'!$C$10,'LTI_Inputs &amp; Assumptions'!$C$11)))*0.5^(8/(IF('LTI_Inputs &amp; Assumptions'!$C$14="",'LTI_Inputs &amp; Assumptions'!$C$13,'LTI_Inputs &amp; Assumptions'!$C$14))))</f>
        <v/>
      </c>
      <c r="K43" s="342">
        <f>(IF('LTI_Inputs &amp; Assumptions'!$C$11="",'LTI_Inputs &amp; Assumptions'!$C$10,'LTI_Inputs &amp; Assumptions'!$C$11)+(IF('LTI_Inputs &amp; Assumptions'!$C$44="",MIN(SLOPE('LTI_Schedules'!F73:H73,'LTI_Schedules'!F69:H69),'LTI_WACC Schedule'!$C$21),'LTI_Inputs &amp; Assumptions'!$C$44)-(IF('LTI_Inputs &amp; Assumptions'!$C$11="",'LTI_Inputs &amp; Assumptions'!$C$10,'LTI_Inputs &amp; Assumptions'!$C$11)))*0.5^(9/(IF('LTI_Inputs &amp; Assumptions'!$C$14="",'LTI_Inputs &amp; Assumptions'!$C$13,'LTI_Inputs &amp; Assumptions'!$C$14))))</f>
        <v/>
      </c>
      <c r="L43" s="342">
        <f>(IF('LTI_Inputs &amp; Assumptions'!$C$11="",'LTI_Inputs &amp; Assumptions'!$C$10,'LTI_Inputs &amp; Assumptions'!$C$11)+(IF('LTI_Inputs &amp; Assumptions'!$C$44="",MIN(SLOPE('LTI_Schedules'!F73:H73,'LTI_Schedules'!F69:H69),'LTI_WACC Schedule'!$C$21),'LTI_Inputs &amp; Assumptions'!$C$44)-(IF('LTI_Inputs &amp; Assumptions'!$C$11="",'LTI_Inputs &amp; Assumptions'!$C$10,'LTI_Inputs &amp; Assumptions'!$C$11)))*0.5^(10/(IF('LTI_Inputs &amp; Assumptions'!$C$14="",'LTI_Inputs &amp; Assumptions'!$C$13,'LTI_Inputs &amp; Assumptions'!$C$14))))</f>
        <v/>
      </c>
    </row>
    <row r="44">
      <c r="B44" t="inlineStr">
        <is>
          <t>INPUT: Additions Growth % (overrides the trend/fade)</t>
        </is>
      </c>
    </row>
    <row r="46">
      <c r="B46" t="inlineStr">
        <is>
          <t>Suggested: New Asset Useful Life, years -- Ind AS Schedule II general Plant &amp; Machinery default (15yr, generic regulatory constant)</t>
        </is>
      </c>
      <c r="C46" s="341" t="n">
        <v>15</v>
      </c>
    </row>
    <row r="47">
      <c r="B47" t="inlineStr">
        <is>
          <t>INPUT: New Asset Useful Life, years</t>
        </is>
      </c>
    </row>
    <row r="49">
      <c r="B49" t="inlineStr">
        <is>
          <t>Suggested: Impairment, % of Opening PP&amp;E, last 3yr avg</t>
        </is>
      </c>
      <c r="C49" s="326">
        <f>AVERAGE('LTI_Schedules'!F76:H76)</f>
        <v/>
      </c>
      <c r="D49" s="326">
        <f>$C$49</f>
        <v/>
      </c>
      <c r="E49" s="326">
        <f>$C$49</f>
        <v/>
      </c>
      <c r="F49" s="326">
        <f>$C$49</f>
        <v/>
      </c>
      <c r="G49" s="326">
        <f>$C$49</f>
        <v/>
      </c>
      <c r="H49" s="326">
        <f>$C$49</f>
        <v/>
      </c>
      <c r="I49" s="326">
        <f>$C$49</f>
        <v/>
      </c>
      <c r="J49" s="326">
        <f>$C$49</f>
        <v/>
      </c>
      <c r="K49" s="326">
        <f>$C$49</f>
        <v/>
      </c>
      <c r="L49" s="326">
        <f>$C$49</f>
        <v/>
      </c>
    </row>
    <row r="50">
      <c r="B50" t="inlineStr">
        <is>
          <t>INPUT: Impairment % of Opening PP&amp;E</t>
        </is>
      </c>
    </row>
    <row r="52">
      <c r="B52" t="inlineStr">
        <is>
          <t>Suggested: Other Changes, % of Opening PP&amp;E, last 3yr avg</t>
        </is>
      </c>
      <c r="C52" s="326">
        <f>AVERAGE('LTI_Schedules'!F77:H77)</f>
        <v/>
      </c>
      <c r="D52" s="326">
        <f>$C$52</f>
        <v/>
      </c>
      <c r="E52" s="326">
        <f>$C$52</f>
        <v/>
      </c>
      <c r="F52" s="326">
        <f>$C$52</f>
        <v/>
      </c>
      <c r="G52" s="326">
        <f>$C$52</f>
        <v/>
      </c>
      <c r="H52" s="326">
        <f>$C$52</f>
        <v/>
      </c>
      <c r="I52" s="326">
        <f>$C$52</f>
        <v/>
      </c>
      <c r="J52" s="326">
        <f>$C$52</f>
        <v/>
      </c>
      <c r="K52" s="326">
        <f>$C$52</f>
        <v/>
      </c>
      <c r="L52" s="326">
        <f>$C$52</f>
        <v/>
      </c>
    </row>
    <row r="53">
      <c r="B53" t="inlineStr">
        <is>
          <t>INPUT: Other Changes % of Opening PP&amp;E</t>
        </is>
      </c>
    </row>
    <row r="55">
      <c r="B55" t="inlineStr">
        <is>
          <t>Suggested: Disposals, % of Opening PP&amp;E, last 3yr avg</t>
        </is>
      </c>
      <c r="C55" s="326">
        <f>AVERAGE('LTI_Schedules'!F78:H78)</f>
        <v/>
      </c>
      <c r="D55" s="326">
        <f>$C$55</f>
        <v/>
      </c>
      <c r="E55" s="326">
        <f>$C$55</f>
        <v/>
      </c>
      <c r="F55" s="326">
        <f>$C$55</f>
        <v/>
      </c>
      <c r="G55" s="326">
        <f>$C$55</f>
        <v/>
      </c>
      <c r="H55" s="326">
        <f>$C$55</f>
        <v/>
      </c>
      <c r="I55" s="326">
        <f>$C$55</f>
        <v/>
      </c>
      <c r="J55" s="326">
        <f>$C$55</f>
        <v/>
      </c>
      <c r="K55" s="326">
        <f>$C$55</f>
        <v/>
      </c>
      <c r="L55" s="326">
        <f>$C$55</f>
        <v/>
      </c>
    </row>
    <row r="56">
      <c r="B56" t="inlineStr">
        <is>
          <t>INPUT: Disposals % of Opening PP&amp;E</t>
        </is>
      </c>
    </row>
    <row r="58">
      <c r="A58" t="inlineStr">
        <is>
          <t>#</t>
        </is>
      </c>
      <c r="B58" s="340" t="inlineStr">
        <is>
          <t>Debt Schedule Drivers</t>
        </is>
      </c>
    </row>
    <row r="60">
      <c r="B60" t="inlineStr">
        <is>
          <t>Suggested: Include Lease Liabilities as Quasi-Debt (1=yes, 0=no) -- default 0 (Borrowings only)</t>
        </is>
      </c>
      <c r="C60" s="341" t="n">
        <v>0</v>
      </c>
    </row>
    <row r="61">
      <c r="B61" t="inlineStr">
        <is>
          <t>INPUT: Include Lease Liabilities as Quasi-Debt (1=yes, 0=no)</t>
        </is>
      </c>
    </row>
    <row r="63">
      <c r="B63" t="inlineStr">
        <is>
          <t>Suggested: Effective Interest Rate % -- weighted avg (SUM Interest/SUM Avg Debt), last 3yr</t>
        </is>
      </c>
      <c r="C63" s="326">
        <f>SUM('LTI_Schedules'!F97:H97)/SUM('LTI_Schedules'!F95:H95)</f>
        <v/>
      </c>
      <c r="D63" s="326">
        <f>$C$63</f>
        <v/>
      </c>
      <c r="E63" s="326">
        <f>$C$63</f>
        <v/>
      </c>
      <c r="F63" s="326">
        <f>$C$63</f>
        <v/>
      </c>
      <c r="G63" s="326">
        <f>$C$63</f>
        <v/>
      </c>
      <c r="H63" s="326">
        <f>$C$63</f>
        <v/>
      </c>
      <c r="I63" s="326">
        <f>$C$63</f>
        <v/>
      </c>
      <c r="J63" s="326">
        <f>$C$63</f>
        <v/>
      </c>
      <c r="K63" s="326">
        <f>$C$63</f>
        <v/>
      </c>
      <c r="L63" s="326">
        <f>$C$63</f>
        <v/>
      </c>
    </row>
    <row r="64">
      <c r="B64" t="inlineStr">
        <is>
          <t>INPUT: Effective Interest Rate %</t>
        </is>
      </c>
    </row>
    <row r="66">
      <c r="B66" t="inlineStr">
        <is>
          <t>Suggested: Target Debt/Capitalization Ratio -- last actual year (no fade by default, generic)</t>
        </is>
      </c>
      <c r="C66" s="326">
        <f>MAX(0,MIN(0.95,('LTI_Schedules'!H92/('LTI_Schedules'!H92+('LTI_Schedules'!H131+'LTI_Schedules'!H139)))))</f>
        <v/>
      </c>
      <c r="D66" s="326">
        <f>$C$66</f>
        <v/>
      </c>
      <c r="E66" s="326">
        <f>$C$66</f>
        <v/>
      </c>
      <c r="F66" s="326">
        <f>$C$66</f>
        <v/>
      </c>
      <c r="G66" s="326">
        <f>$C$66</f>
        <v/>
      </c>
      <c r="H66" s="326">
        <f>$C$66</f>
        <v/>
      </c>
      <c r="I66" s="326">
        <f>$C$66</f>
        <v/>
      </c>
      <c r="J66" s="326">
        <f>$C$66</f>
        <v/>
      </c>
      <c r="K66" s="326">
        <f>$C$66</f>
        <v/>
      </c>
      <c r="L66" s="326">
        <f>$C$66</f>
        <v/>
      </c>
    </row>
    <row r="67">
      <c r="B67" t="inlineStr">
        <is>
          <t>INPUT: Target Debt/Capitalization Ratio</t>
        </is>
      </c>
    </row>
    <row r="69">
      <c r="A69" t="inlineStr">
        <is>
          <t>#</t>
        </is>
      </c>
      <c r="B69" s="340" t="inlineStr">
        <is>
          <t>Tax Schedule Drivers</t>
        </is>
      </c>
    </row>
    <row r="71">
      <c r="B71" t="inlineStr">
        <is>
          <t>Suggested: Statutory Corporate Tax Rate -- 25.17% (India Section 115BAA default; override for a different jurisdiction)</t>
        </is>
      </c>
      <c r="C71" s="326" t="n">
        <v>0.2517</v>
      </c>
    </row>
    <row r="72">
      <c r="B72" t="inlineStr">
        <is>
          <t>INPUT: Statutory Corporate Tax Rate</t>
        </is>
      </c>
    </row>
    <row r="74">
      <c r="B74" t="inlineStr">
        <is>
          <t>Suggested: Current Tax (MAT-floor) Rate -- materiality/plausibility-filtered avg, last 3yr, widening to full history if none qualify</t>
        </is>
      </c>
      <c r="C74" s="326">
        <f>IFERROR(AVERAGEIFS('LTI_Schedules'!F119:H119,'LTI_Schedules'!F118:H118,1),IFERROR(AVERAGEIFS('LTI_Schedules'!C119:H119,'LTI_Schedules'!C118:H118,1),0))</f>
        <v/>
      </c>
      <c r="D74" s="326">
        <f>$C$74</f>
        <v/>
      </c>
      <c r="E74" s="326">
        <f>$C$74</f>
        <v/>
      </c>
      <c r="F74" s="326">
        <f>$C$74</f>
        <v/>
      </c>
      <c r="G74" s="326">
        <f>$C$74</f>
        <v/>
      </c>
      <c r="H74" s="326">
        <f>$C$74</f>
        <v/>
      </c>
      <c r="I74" s="326">
        <f>$C$74</f>
        <v/>
      </c>
      <c r="J74" s="326">
        <f>$C$74</f>
        <v/>
      </c>
      <c r="K74" s="326">
        <f>$C$74</f>
        <v/>
      </c>
      <c r="L74" s="326">
        <f>$C$74</f>
        <v/>
      </c>
    </row>
    <row r="75">
      <c r="B75" t="inlineStr">
        <is>
          <t>INPUT: Current Tax (MAT-floor) Rate</t>
        </is>
      </c>
    </row>
    <row r="77">
      <c r="A77" t="inlineStr">
        <is>
          <t>#</t>
        </is>
      </c>
      <c r="B77" s="340" t="inlineStr">
        <is>
          <t>Equity Schedule Drivers</t>
        </is>
      </c>
    </row>
    <row r="79">
      <c r="B79" t="inlineStr">
        <is>
          <t>Suggested: Dividend Payout %, last 3yr avg</t>
        </is>
      </c>
      <c r="C79" s="344">
        <f>AVERAGE('LTI_Schedules'!F141:H141)</f>
        <v/>
      </c>
      <c r="D79" s="344">
        <f>$C$79</f>
        <v/>
      </c>
      <c r="E79" s="344">
        <f>$C$79</f>
        <v/>
      </c>
      <c r="F79" s="344">
        <f>$C$79</f>
        <v/>
      </c>
      <c r="G79" s="344">
        <f>$C$79</f>
        <v/>
      </c>
      <c r="H79" s="344">
        <f>$C$79</f>
        <v/>
      </c>
      <c r="I79" s="344">
        <f>$C$79</f>
        <v/>
      </c>
      <c r="J79" s="344">
        <f>$C$79</f>
        <v/>
      </c>
      <c r="K79" s="344">
        <f>$C$79</f>
        <v/>
      </c>
      <c r="L79" s="344">
        <f>$C$79</f>
        <v/>
      </c>
    </row>
    <row r="80">
      <c r="B80" t="inlineStr">
        <is>
          <t>INPUT: Dividend Payout %</t>
        </is>
      </c>
    </row>
    <row r="82">
      <c r="A82" t="inlineStr">
        <is>
          <t>#</t>
        </is>
      </c>
      <c r="B82" s="340" t="inlineStr">
        <is>
          <t>P&amp;L Schedule Drivers</t>
        </is>
      </c>
    </row>
    <row r="84">
      <c r="B84" t="inlineStr">
        <is>
          <t>Suggested: Employee Benefit Expense, % of Revenue, last 3yr avg</t>
        </is>
      </c>
      <c r="C84" s="326">
        <f>-AVERAGE('LTI_P&amp;L Schedule'!F9:H9)/AVERAGE('LTI_P&amp;L Schedule'!F7:H7)</f>
        <v/>
      </c>
      <c r="D84" s="326">
        <f>$C$84</f>
        <v/>
      </c>
      <c r="E84" s="326">
        <f>$C$84</f>
        <v/>
      </c>
      <c r="F84" s="326">
        <f>$C$84</f>
        <v/>
      </c>
      <c r="G84" s="326">
        <f>$C$84</f>
        <v/>
      </c>
      <c r="H84" s="326">
        <f>$C$84</f>
        <v/>
      </c>
      <c r="I84" s="326">
        <f>$C$84</f>
        <v/>
      </c>
      <c r="J84" s="326">
        <f>$C$84</f>
        <v/>
      </c>
      <c r="K84" s="326">
        <f>$C$84</f>
        <v/>
      </c>
      <c r="L84" s="326">
        <f>$C$84</f>
        <v/>
      </c>
    </row>
    <row r="85">
      <c r="B85" t="inlineStr">
        <is>
          <t>INPUT: Employee Benefit Expense, % of Revenue</t>
        </is>
      </c>
    </row>
    <row r="86" ht="60" customHeight="1" s="203">
      <c r="B86" s="339" t="inlineStr">
        <is>
          <t>Sensitivity test run 25-Aug-2026 (audit gap #4, Task 26): the 3yr-average 'Suggested' value above understates the documented post-merger labor-cost-pressure trend (Task 21: actual combined Employee Benefit % rose 56.0% -&gt; 62.9%, FY22-&gt;FY23; Porter's Force 2: attrition 14.8%-&gt;24.0%, wage hikes up to 13%). Testing this input at 62.9% (combined with the WACC risk premium test on the WACC Schedule sheet) shifted this company's DCF value materially - see build_log.md Task 27 for the full before/after figures. Reverted to blank (uses the 3yr-average Suggested value again) - this was a documented test, not a committed change, per Sasi's explicit instruction.</t>
        </is>
      </c>
    </row>
    <row r="87">
      <c r="B87" t="inlineStr">
        <is>
          <t>Suggested: Other Expenses, % of Revenue, last 3yr avg</t>
        </is>
      </c>
      <c r="C87" s="326">
        <f>-AVERAGE('LTI_P&amp;L Schedule'!F10:H10)/AVERAGE('LTI_P&amp;L Schedule'!F7:H7)</f>
        <v/>
      </c>
      <c r="D87" s="326">
        <f>$C$87</f>
        <v/>
      </c>
      <c r="E87" s="326">
        <f>$C$87</f>
        <v/>
      </c>
      <c r="F87" s="326">
        <f>$C$87</f>
        <v/>
      </c>
      <c r="G87" s="326">
        <f>$C$87</f>
        <v/>
      </c>
      <c r="H87" s="326">
        <f>$C$87</f>
        <v/>
      </c>
      <c r="I87" s="326">
        <f>$C$87</f>
        <v/>
      </c>
      <c r="J87" s="326">
        <f>$C$87</f>
        <v/>
      </c>
      <c r="K87" s="326">
        <f>$C$87</f>
        <v/>
      </c>
      <c r="L87" s="326">
        <f>$C$87</f>
        <v/>
      </c>
    </row>
    <row r="88">
      <c r="B88" t="inlineStr">
        <is>
          <t>INPUT: Other Expenses, % of Revenue</t>
        </is>
      </c>
    </row>
    <row r="90">
      <c r="B90" t="inlineStr">
        <is>
          <t>Suggested: Other Income, % of Revenue, last 3yr avg</t>
        </is>
      </c>
      <c r="C90" s="326">
        <f>AVERAGE('LTI_P&amp;L Schedule'!F16:H16)/AVERAGE('LTI_P&amp;L Schedule'!F7:H7)</f>
        <v/>
      </c>
      <c r="D90" s="326">
        <f>$C$90</f>
        <v/>
      </c>
      <c r="E90" s="326">
        <f>$C$90</f>
        <v/>
      </c>
      <c r="F90" s="326">
        <f>$C$90</f>
        <v/>
      </c>
      <c r="G90" s="326">
        <f>$C$90</f>
        <v/>
      </c>
      <c r="H90" s="326">
        <f>$C$90</f>
        <v/>
      </c>
      <c r="I90" s="326">
        <f>$C$90</f>
        <v/>
      </c>
      <c r="J90" s="326">
        <f>$C$90</f>
        <v/>
      </c>
      <c r="K90" s="326">
        <f>$C$90</f>
        <v/>
      </c>
      <c r="L90" s="326">
        <f>$C$90</f>
        <v/>
      </c>
    </row>
    <row r="91">
      <c r="B91" t="inlineStr">
        <is>
          <t>INPUT: Other Income, % of Revenue</t>
        </is>
      </c>
    </row>
    <row r="93">
      <c r="B93" t="inlineStr">
        <is>
          <t>Suggested: D&amp;A Uplift Ratio, last 3yr avg</t>
        </is>
      </c>
      <c r="C93" s="345">
        <f>AVERAGE('LTI_P&amp;L Schedule'!F26:H26)</f>
        <v/>
      </c>
      <c r="D93" s="345">
        <f>$C$93</f>
        <v/>
      </c>
      <c r="E93" s="345">
        <f>$C$93</f>
        <v/>
      </c>
      <c r="F93" s="345">
        <f>$C$93</f>
        <v/>
      </c>
      <c r="G93" s="345">
        <f>$C$93</f>
        <v/>
      </c>
      <c r="H93" s="345">
        <f>$C$93</f>
        <v/>
      </c>
      <c r="I93" s="345">
        <f>$C$93</f>
        <v/>
      </c>
      <c r="J93" s="345">
        <f>$C$93</f>
        <v/>
      </c>
      <c r="K93" s="345">
        <f>$C$93</f>
        <v/>
      </c>
      <c r="L93" s="345">
        <f>$C$93</f>
        <v/>
      </c>
    </row>
    <row r="94">
      <c r="B94" t="inlineStr">
        <is>
          <t>INPUT: D&amp;A Uplift Ratio</t>
        </is>
      </c>
    </row>
    <row r="96">
      <c r="B96" t="inlineStr">
        <is>
          <t>Suggested: Finance Cost Uplift Ratio, last 3yr avg</t>
        </is>
      </c>
      <c r="C96" s="345">
        <f>AVERAGE('LTI_P&amp;L Schedule'!F28:H28)</f>
        <v/>
      </c>
      <c r="D96" s="345">
        <f>$C$96</f>
        <v/>
      </c>
      <c r="E96" s="345">
        <f>$C$96</f>
        <v/>
      </c>
      <c r="F96" s="345">
        <f>$C$96</f>
        <v/>
      </c>
      <c r="G96" s="345">
        <f>$C$96</f>
        <v/>
      </c>
      <c r="H96" s="345">
        <f>$C$96</f>
        <v/>
      </c>
      <c r="I96" s="345">
        <f>$C$96</f>
        <v/>
      </c>
      <c r="J96" s="345">
        <f>$C$96</f>
        <v/>
      </c>
      <c r="K96" s="345">
        <f>$C$96</f>
        <v/>
      </c>
      <c r="L96" s="345">
        <f>$C$96</f>
        <v/>
      </c>
    </row>
    <row r="97">
      <c r="B97" t="inlineStr">
        <is>
          <t>INPUT: Finance Cost Uplift Ratio</t>
        </is>
      </c>
    </row>
  </sheetData>
  <mergeCells count="1">
    <mergeCell ref="B86:F86"/>
  </mergeCells>
  <pageMargins left="0.75" right="0.75" top="1" bottom="1" header="0.5" footer="0.5"/>
</worksheet>
</file>

<file path=xl/worksheets/sheet23.xml><?xml version="1.0" encoding="utf-8"?>
<worksheet xmlns="http://schemas.openxmlformats.org/spreadsheetml/2006/main">
  <sheetPr>
    <tabColor rgb="001F4E78"/>
    <outlinePr summaryBelow="1" summaryRight="1"/>
    <pageSetUpPr/>
  </sheetPr>
  <dimension ref="A1:R28"/>
  <sheetViews>
    <sheetView showGridLines="0" workbookViewId="0">
      <selection activeCell="A1" sqref="A1"/>
    </sheetView>
  </sheetViews>
  <sheetFormatPr baseColWidth="8" defaultRowHeight="14.5"/>
  <cols>
    <col width="3.453125" customWidth="1" style="203" min="1" max="1"/>
    <col width="65" customWidth="1" style="203" min="2" max="2"/>
    <col width="17" customWidth="1" style="203" min="3" max="19"/>
  </cols>
  <sheetData>
    <row r="1" ht="21" customHeight="1" s="203">
      <c r="A1" t="inlineStr">
        <is>
          <t>#</t>
        </is>
      </c>
      <c r="B1" s="99" t="inlineStr">
        <is>
          <t>Forecast Income Statement</t>
        </is>
      </c>
    </row>
    <row r="5">
      <c r="B5" s="100" t="inlineStr">
        <is>
          <t>Line item</t>
        </is>
      </c>
      <c r="C5" s="100" t="inlineStr">
        <is>
          <t>FY2017</t>
        </is>
      </c>
      <c r="D5" s="100" t="inlineStr">
        <is>
          <t>FY2018</t>
        </is>
      </c>
      <c r="E5" s="100" t="inlineStr">
        <is>
          <t>FY2019</t>
        </is>
      </c>
      <c r="F5" s="100" t="inlineStr">
        <is>
          <t>FY2020</t>
        </is>
      </c>
      <c r="G5" s="100" t="inlineStr">
        <is>
          <t>FY2021</t>
        </is>
      </c>
      <c r="H5" s="100" t="inlineStr">
        <is>
          <t>FY2022</t>
        </is>
      </c>
      <c r="I5" s="100" t="inlineStr">
        <is>
          <t>FY2023E</t>
        </is>
      </c>
      <c r="J5" s="100" t="inlineStr">
        <is>
          <t>FY2024E</t>
        </is>
      </c>
      <c r="K5" s="100" t="inlineStr">
        <is>
          <t>FY2025E</t>
        </is>
      </c>
      <c r="L5" s="100" t="inlineStr">
        <is>
          <t>FY2026E</t>
        </is>
      </c>
      <c r="M5" s="100" t="inlineStr">
        <is>
          <t>FY2027E</t>
        </is>
      </c>
      <c r="N5" s="100" t="inlineStr">
        <is>
          <t>FY2028E</t>
        </is>
      </c>
      <c r="O5" s="100" t="inlineStr">
        <is>
          <t>FY2029E</t>
        </is>
      </c>
      <c r="P5" s="100" t="inlineStr">
        <is>
          <t>FY2030E</t>
        </is>
      </c>
      <c r="Q5" s="100" t="inlineStr">
        <is>
          <t>FY2031E</t>
        </is>
      </c>
      <c r="R5" s="100" t="inlineStr">
        <is>
          <t>FY2032E</t>
        </is>
      </c>
    </row>
    <row r="7">
      <c r="B7" s="205" t="inlineStr">
        <is>
          <t>Revenue</t>
        </is>
      </c>
      <c r="C7" s="80">
        <f>LTI_Schedules!C7</f>
        <v/>
      </c>
      <c r="D7" s="80">
        <f>LTI_Schedules!D7</f>
        <v/>
      </c>
      <c r="E7" s="80">
        <f>LTI_Schedules!E7</f>
        <v/>
      </c>
      <c r="F7" s="80">
        <f>LTI_Schedules!F7</f>
        <v/>
      </c>
      <c r="G7" s="80">
        <f>LTI_Schedules!G7</f>
        <v/>
      </c>
      <c r="H7" s="80">
        <f>LTI_Schedules!H7</f>
        <v/>
      </c>
      <c r="I7" s="90">
        <f>LTI_Schedules!I7</f>
        <v/>
      </c>
      <c r="J7" s="90">
        <f>LTI_Schedules!J7</f>
        <v/>
      </c>
      <c r="K7" s="90">
        <f>LTI_Schedules!K7</f>
        <v/>
      </c>
      <c r="L7" s="90">
        <f>LTI_Schedules!L7</f>
        <v/>
      </c>
      <c r="M7" s="90">
        <f>LTI_Schedules!M7</f>
        <v/>
      </c>
      <c r="N7" s="90">
        <f>LTI_Schedules!N7</f>
        <v/>
      </c>
      <c r="O7" s="90">
        <f>LTI_Schedules!O7</f>
        <v/>
      </c>
      <c r="P7" s="90">
        <f>LTI_Schedules!P7</f>
        <v/>
      </c>
      <c r="Q7" s="90">
        <f>LTI_Schedules!Q7</f>
        <v/>
      </c>
      <c r="R7" s="90">
        <f>LTI_Schedules!R7</f>
        <v/>
      </c>
    </row>
    <row r="8">
      <c r="B8" s="205" t="inlineStr">
        <is>
          <t>(-) COGS</t>
        </is>
      </c>
      <c r="C8" s="80">
        <f>LTI_Schedules!C31</f>
        <v/>
      </c>
      <c r="D8" s="80">
        <f>LTI_Schedules!D31</f>
        <v/>
      </c>
      <c r="E8" s="80">
        <f>LTI_Schedules!E31</f>
        <v/>
      </c>
      <c r="F8" s="80">
        <f>LTI_Schedules!F31</f>
        <v/>
      </c>
      <c r="G8" s="80">
        <f>LTI_Schedules!G31</f>
        <v/>
      </c>
      <c r="H8" s="80">
        <f>LTI_Schedules!H31</f>
        <v/>
      </c>
      <c r="I8" s="90">
        <f>LTI_Schedules!I31</f>
        <v/>
      </c>
      <c r="J8" s="90">
        <f>LTI_Schedules!J31</f>
        <v/>
      </c>
      <c r="K8" s="90">
        <f>LTI_Schedules!K31</f>
        <v/>
      </c>
      <c r="L8" s="90">
        <f>LTI_Schedules!L31</f>
        <v/>
      </c>
      <c r="M8" s="90">
        <f>LTI_Schedules!M31</f>
        <v/>
      </c>
      <c r="N8" s="90">
        <f>LTI_Schedules!N31</f>
        <v/>
      </c>
      <c r="O8" s="90">
        <f>LTI_Schedules!O31</f>
        <v/>
      </c>
      <c r="P8" s="90">
        <f>LTI_Schedules!P31</f>
        <v/>
      </c>
      <c r="Q8" s="90">
        <f>LTI_Schedules!Q31</f>
        <v/>
      </c>
      <c r="R8" s="90">
        <f>LTI_Schedules!R31</f>
        <v/>
      </c>
    </row>
    <row r="9">
      <c r="B9" s="205" t="inlineStr">
        <is>
          <t>(-) Employee Benefit Expense</t>
        </is>
      </c>
      <c r="C9" s="80">
        <f>-IFERROR(INDEX(LTI_HS_CONSOLIDATED!D:D,MATCH("EmployeeBenefitExpense",LTI_HS_CONSOLIDATED!$C:$C,0)),0)</f>
        <v/>
      </c>
      <c r="D9" s="80">
        <f>-IFERROR(INDEX(LTI_HS_CONSOLIDATED!E:E,MATCH("EmployeeBenefitExpense",LTI_HS_CONSOLIDATED!$C:$C,0)),0)</f>
        <v/>
      </c>
      <c r="E9" s="80">
        <f>-IFERROR(INDEX(LTI_HS_CONSOLIDATED!F:F,MATCH("EmployeeBenefitExpense",LTI_HS_CONSOLIDATED!$C:$C,0)),0)</f>
        <v/>
      </c>
      <c r="F9" s="80">
        <f>-IFERROR(INDEX(LTI_HS_CONSOLIDATED!G:G,MATCH("EmployeeBenefitExpense",LTI_HS_CONSOLIDATED!$C:$C,0)),0)</f>
        <v/>
      </c>
      <c r="G9" s="80">
        <f>-IFERROR(INDEX(LTI_HS_CONSOLIDATED!H:H,MATCH("EmployeeBenefitExpense",LTI_HS_CONSOLIDATED!$C:$C,0)),0)</f>
        <v/>
      </c>
      <c r="H9" s="80">
        <f>-IFERROR(INDEX(LTI_HS_CONSOLIDATED!I:I,MATCH("EmployeeBenefitExpense",LTI_HS_CONSOLIDATED!$C:$C,0)),0)</f>
        <v/>
      </c>
      <c r="I9" s="90">
        <f>-I7*IF('LTI_Inputs &amp; Assumptions'!C85="",'LTI_Inputs &amp; Assumptions'!C84,'LTI_Inputs &amp; Assumptions'!C85)</f>
        <v/>
      </c>
      <c r="J9" s="90">
        <f>-J7*IF('LTI_Inputs &amp; Assumptions'!D85="",'LTI_Inputs &amp; Assumptions'!D84,'LTI_Inputs &amp; Assumptions'!D85)</f>
        <v/>
      </c>
      <c r="K9" s="90">
        <f>-K7*IF('LTI_Inputs &amp; Assumptions'!E85="",'LTI_Inputs &amp; Assumptions'!E84,'LTI_Inputs &amp; Assumptions'!E85)</f>
        <v/>
      </c>
      <c r="L9" s="90">
        <f>-L7*IF('LTI_Inputs &amp; Assumptions'!F85="",'LTI_Inputs &amp; Assumptions'!F84,'LTI_Inputs &amp; Assumptions'!F85)</f>
        <v/>
      </c>
      <c r="M9" s="90">
        <f>-M7*IF('LTI_Inputs &amp; Assumptions'!G85="",'LTI_Inputs &amp; Assumptions'!G84,'LTI_Inputs &amp; Assumptions'!G85)</f>
        <v/>
      </c>
      <c r="N9" s="90">
        <f>-N7*IF('LTI_Inputs &amp; Assumptions'!H85="",'LTI_Inputs &amp; Assumptions'!H84,'LTI_Inputs &amp; Assumptions'!H85)</f>
        <v/>
      </c>
      <c r="O9" s="90">
        <f>-O7*IF('LTI_Inputs &amp; Assumptions'!I85="",'LTI_Inputs &amp; Assumptions'!I84,'LTI_Inputs &amp; Assumptions'!I85)</f>
        <v/>
      </c>
      <c r="P9" s="90">
        <f>-P7*IF('LTI_Inputs &amp; Assumptions'!J85="",'LTI_Inputs &amp; Assumptions'!J84,'LTI_Inputs &amp; Assumptions'!J85)</f>
        <v/>
      </c>
      <c r="Q9" s="90">
        <f>-Q7*IF('LTI_Inputs &amp; Assumptions'!K85="",'LTI_Inputs &amp; Assumptions'!K84,'LTI_Inputs &amp; Assumptions'!K85)</f>
        <v/>
      </c>
      <c r="R9" s="90">
        <f>-R7*IF('LTI_Inputs &amp; Assumptions'!L85="",'LTI_Inputs &amp; Assumptions'!L84,'LTI_Inputs &amp; Assumptions'!L85)</f>
        <v/>
      </c>
    </row>
    <row r="10">
      <c r="B10" s="205" t="inlineStr">
        <is>
          <t>(-) Other Expenses</t>
        </is>
      </c>
      <c r="C10" s="80">
        <f>-IFERROR(INDEX(LTI_HS_CONSOLIDATED!D:D,MATCH("OtherExpenses",LTI_HS_CONSOLIDATED!$C:$C,0)),0)</f>
        <v/>
      </c>
      <c r="D10" s="80">
        <f>-IFERROR(INDEX(LTI_HS_CONSOLIDATED!E:E,MATCH("OtherExpenses",LTI_HS_CONSOLIDATED!$C:$C,0)),0)</f>
        <v/>
      </c>
      <c r="E10" s="80">
        <f>-IFERROR(INDEX(LTI_HS_CONSOLIDATED!F:F,MATCH("OtherExpenses",LTI_HS_CONSOLIDATED!$C:$C,0)),0)</f>
        <v/>
      </c>
      <c r="F10" s="80">
        <f>-IFERROR(INDEX(LTI_HS_CONSOLIDATED!G:G,MATCH("OtherExpenses",LTI_HS_CONSOLIDATED!$C:$C,0)),0)</f>
        <v/>
      </c>
      <c r="G10" s="80">
        <f>-IFERROR(INDEX(LTI_HS_CONSOLIDATED!H:H,MATCH("OtherExpenses",LTI_HS_CONSOLIDATED!$C:$C,0)),0)</f>
        <v/>
      </c>
      <c r="H10" s="80">
        <f>-IFERROR(INDEX(LTI_HS_CONSOLIDATED!I:I,MATCH("OtherExpenses",LTI_HS_CONSOLIDATED!$C:$C,0)),0)</f>
        <v/>
      </c>
      <c r="I10" s="90">
        <f>-I7*IF('LTI_Inputs &amp; Assumptions'!C88="",'LTI_Inputs &amp; Assumptions'!C87,'LTI_Inputs &amp; Assumptions'!C88)</f>
        <v/>
      </c>
      <c r="J10" s="90">
        <f>-J7*IF('LTI_Inputs &amp; Assumptions'!D88="",'LTI_Inputs &amp; Assumptions'!D87,'LTI_Inputs &amp; Assumptions'!D88)</f>
        <v/>
      </c>
      <c r="K10" s="90">
        <f>-K7*IF('LTI_Inputs &amp; Assumptions'!E88="",'LTI_Inputs &amp; Assumptions'!E87,'LTI_Inputs &amp; Assumptions'!E88)</f>
        <v/>
      </c>
      <c r="L10" s="90">
        <f>-L7*IF('LTI_Inputs &amp; Assumptions'!F88="",'LTI_Inputs &amp; Assumptions'!F87,'LTI_Inputs &amp; Assumptions'!F88)</f>
        <v/>
      </c>
      <c r="M10" s="90">
        <f>-M7*IF('LTI_Inputs &amp; Assumptions'!G88="",'LTI_Inputs &amp; Assumptions'!G87,'LTI_Inputs &amp; Assumptions'!G88)</f>
        <v/>
      </c>
      <c r="N10" s="90">
        <f>-N7*IF('LTI_Inputs &amp; Assumptions'!H88="",'LTI_Inputs &amp; Assumptions'!H87,'LTI_Inputs &amp; Assumptions'!H88)</f>
        <v/>
      </c>
      <c r="O10" s="90">
        <f>-O7*IF('LTI_Inputs &amp; Assumptions'!I88="",'LTI_Inputs &amp; Assumptions'!I87,'LTI_Inputs &amp; Assumptions'!I88)</f>
        <v/>
      </c>
      <c r="P10" s="90">
        <f>-P7*IF('LTI_Inputs &amp; Assumptions'!J88="",'LTI_Inputs &amp; Assumptions'!J87,'LTI_Inputs &amp; Assumptions'!J88)</f>
        <v/>
      </c>
      <c r="Q10" s="90">
        <f>-Q7*IF('LTI_Inputs &amp; Assumptions'!K88="",'LTI_Inputs &amp; Assumptions'!K87,'LTI_Inputs &amp; Assumptions'!K88)</f>
        <v/>
      </c>
      <c r="R10" s="90">
        <f>-R7*IF('LTI_Inputs &amp; Assumptions'!L88="",'LTI_Inputs &amp; Assumptions'!L87,'LTI_Inputs &amp; Assumptions'!L88)</f>
        <v/>
      </c>
    </row>
    <row r="11">
      <c r="B11" s="101" t="inlineStr">
        <is>
          <t>EBITDA</t>
        </is>
      </c>
      <c r="C11" s="83">
        <f>C7+C8+C9+C10</f>
        <v/>
      </c>
      <c r="D11" s="83">
        <f>D7+D8+D9+D10</f>
        <v/>
      </c>
      <c r="E11" s="83">
        <f>E7+E8+E9+E10</f>
        <v/>
      </c>
      <c r="F11" s="83">
        <f>F7+F8+F9+F10</f>
        <v/>
      </c>
      <c r="G11" s="83">
        <f>G7+G8+G9+G10</f>
        <v/>
      </c>
      <c r="H11" s="83">
        <f>H7+H8+H9+H10</f>
        <v/>
      </c>
      <c r="I11" s="83">
        <f>I7+I8+I9+I10</f>
        <v/>
      </c>
      <c r="J11" s="83">
        <f>J7+J8+J9+J10</f>
        <v/>
      </c>
      <c r="K11" s="83">
        <f>K7+K8+K9+K10</f>
        <v/>
      </c>
      <c r="L11" s="83">
        <f>L7+L8+L9+L10</f>
        <v/>
      </c>
      <c r="M11" s="83">
        <f>M7+M8+M9+M10</f>
        <v/>
      </c>
      <c r="N11" s="83">
        <f>N7+N8+N9+N10</f>
        <v/>
      </c>
      <c r="O11" s="83">
        <f>O7+O8+O9+O10</f>
        <v/>
      </c>
      <c r="P11" s="83">
        <f>P7+P8+P9+P10</f>
        <v/>
      </c>
      <c r="Q11" s="83">
        <f>Q7+Q8+Q9+Q10</f>
        <v/>
      </c>
      <c r="R11" s="83">
        <f>R7+R8+R9+R10</f>
        <v/>
      </c>
    </row>
    <row r="13">
      <c r="B13" s="205" t="inlineStr">
        <is>
          <t>(-) Depreciation &amp; Amortisation</t>
        </is>
      </c>
      <c r="C13" s="80">
        <f>-IFERROR(INDEX(LTI_HS_CONSOLIDATED!D:D,MATCH("DepreciationDepletionAndAmortisationExpense",LTI_HS_CONSOLIDATED!$C:$C,0)),0)</f>
        <v/>
      </c>
      <c r="D13" s="80">
        <f>-IFERROR(INDEX(LTI_HS_CONSOLIDATED!E:E,MATCH("DepreciationDepletionAndAmortisationExpense",LTI_HS_CONSOLIDATED!$C:$C,0)),0)</f>
        <v/>
      </c>
      <c r="E13" s="80">
        <f>-IFERROR(INDEX(LTI_HS_CONSOLIDATED!F:F,MATCH("DepreciationDepletionAndAmortisationExpense",LTI_HS_CONSOLIDATED!$C:$C,0)),0)</f>
        <v/>
      </c>
      <c r="F13" s="80">
        <f>-IFERROR(INDEX(LTI_HS_CONSOLIDATED!G:G,MATCH("DepreciationDepletionAndAmortisationExpense",LTI_HS_CONSOLIDATED!$C:$C,0)),0)</f>
        <v/>
      </c>
      <c r="G13" s="80">
        <f>-IFERROR(INDEX(LTI_HS_CONSOLIDATED!H:H,MATCH("DepreciationDepletionAndAmortisationExpense",LTI_HS_CONSOLIDATED!$C:$C,0)),0)</f>
        <v/>
      </c>
      <c r="H13" s="80">
        <f>-IFERROR(INDEX(LTI_HS_CONSOLIDATED!I:I,MATCH("DepreciationDepletionAndAmortisationExpense",LTI_HS_CONSOLIDATED!$C:$C,0)),0)</f>
        <v/>
      </c>
      <c r="I13" s="90">
        <f>LTI_Schedules!I55*IF('LTI_Inputs &amp; Assumptions'!C94="",'LTI_Inputs &amp; Assumptions'!C93,'LTI_Inputs &amp; Assumptions'!C94)</f>
        <v/>
      </c>
      <c r="J13" s="90">
        <f>LTI_Schedules!J55*IF('LTI_Inputs &amp; Assumptions'!D94="",'LTI_Inputs &amp; Assumptions'!D93,'LTI_Inputs &amp; Assumptions'!D94)</f>
        <v/>
      </c>
      <c r="K13" s="90">
        <f>LTI_Schedules!K55*IF('LTI_Inputs &amp; Assumptions'!E94="",'LTI_Inputs &amp; Assumptions'!E93,'LTI_Inputs &amp; Assumptions'!E94)</f>
        <v/>
      </c>
      <c r="L13" s="90">
        <f>LTI_Schedules!L55*IF('LTI_Inputs &amp; Assumptions'!F94="",'LTI_Inputs &amp; Assumptions'!F93,'LTI_Inputs &amp; Assumptions'!F94)</f>
        <v/>
      </c>
      <c r="M13" s="90">
        <f>LTI_Schedules!M55*IF('LTI_Inputs &amp; Assumptions'!G94="",'LTI_Inputs &amp; Assumptions'!G93,'LTI_Inputs &amp; Assumptions'!G94)</f>
        <v/>
      </c>
      <c r="N13" s="90">
        <f>LTI_Schedules!N55*IF('LTI_Inputs &amp; Assumptions'!H94="",'LTI_Inputs &amp; Assumptions'!H93,'LTI_Inputs &amp; Assumptions'!H94)</f>
        <v/>
      </c>
      <c r="O13" s="90">
        <f>LTI_Schedules!O55*IF('LTI_Inputs &amp; Assumptions'!I94="",'LTI_Inputs &amp; Assumptions'!I93,'LTI_Inputs &amp; Assumptions'!I94)</f>
        <v/>
      </c>
      <c r="P13" s="90">
        <f>LTI_Schedules!P55*IF('LTI_Inputs &amp; Assumptions'!J94="",'LTI_Inputs &amp; Assumptions'!J93,'LTI_Inputs &amp; Assumptions'!J94)</f>
        <v/>
      </c>
      <c r="Q13" s="90">
        <f>LTI_Schedules!Q55*IF('LTI_Inputs &amp; Assumptions'!K94="",'LTI_Inputs &amp; Assumptions'!K93,'LTI_Inputs &amp; Assumptions'!K94)</f>
        <v/>
      </c>
      <c r="R13" s="90">
        <f>LTI_Schedules!R55*IF('LTI_Inputs &amp; Assumptions'!L94="",'LTI_Inputs &amp; Assumptions'!L93,'LTI_Inputs &amp; Assumptions'!L94)</f>
        <v/>
      </c>
    </row>
    <row r="14">
      <c r="B14" s="101" t="inlineStr">
        <is>
          <t>EBIT</t>
        </is>
      </c>
      <c r="C14" s="83">
        <f>C11+C13</f>
        <v/>
      </c>
      <c r="D14" s="83">
        <f>D11+D13</f>
        <v/>
      </c>
      <c r="E14" s="83">
        <f>E11+E13</f>
        <v/>
      </c>
      <c r="F14" s="83">
        <f>F11+F13</f>
        <v/>
      </c>
      <c r="G14" s="83">
        <f>G11+G13</f>
        <v/>
      </c>
      <c r="H14" s="83">
        <f>H11+H13</f>
        <v/>
      </c>
      <c r="I14" s="83">
        <f>I11+I13</f>
        <v/>
      </c>
      <c r="J14" s="83">
        <f>J11+J13</f>
        <v/>
      </c>
      <c r="K14" s="83">
        <f>K11+K13</f>
        <v/>
      </c>
      <c r="L14" s="83">
        <f>L11+L13</f>
        <v/>
      </c>
      <c r="M14" s="83">
        <f>M11+M13</f>
        <v/>
      </c>
      <c r="N14" s="83">
        <f>N11+N13</f>
        <v/>
      </c>
      <c r="O14" s="83">
        <f>O11+O13</f>
        <v/>
      </c>
      <c r="P14" s="83">
        <f>P11+P13</f>
        <v/>
      </c>
      <c r="Q14" s="83">
        <f>Q11+Q13</f>
        <v/>
      </c>
      <c r="R14" s="83">
        <f>R11+R13</f>
        <v/>
      </c>
    </row>
    <row r="16">
      <c r="B16" s="205" t="inlineStr">
        <is>
          <t>(+) Other Income</t>
        </is>
      </c>
      <c r="C16" s="80">
        <f>IFERROR(INDEX(LTI_HS_CONSOLIDATED!D:D,MATCH("OtherIncome",LTI_HS_CONSOLIDATED!$C:$C,0)),0)</f>
        <v/>
      </c>
      <c r="D16" s="80">
        <f>IFERROR(INDEX(LTI_HS_CONSOLIDATED!E:E,MATCH("OtherIncome",LTI_HS_CONSOLIDATED!$C:$C,0)),0)</f>
        <v/>
      </c>
      <c r="E16" s="80">
        <f>IFERROR(INDEX(LTI_HS_CONSOLIDATED!F:F,MATCH("OtherIncome",LTI_HS_CONSOLIDATED!$C:$C,0)),0)</f>
        <v/>
      </c>
      <c r="F16" s="80">
        <f>IFERROR(INDEX(LTI_HS_CONSOLIDATED!G:G,MATCH("OtherIncome",LTI_HS_CONSOLIDATED!$C:$C,0)),0)</f>
        <v/>
      </c>
      <c r="G16" s="80">
        <f>IFERROR(INDEX(LTI_HS_CONSOLIDATED!H:H,MATCH("OtherIncome",LTI_HS_CONSOLIDATED!$C:$C,0)),0)</f>
        <v/>
      </c>
      <c r="H16" s="80">
        <f>IFERROR(INDEX(LTI_HS_CONSOLIDATED!I:I,MATCH("OtherIncome",LTI_HS_CONSOLIDATED!$C:$C,0)),0)</f>
        <v/>
      </c>
      <c r="I16" s="90">
        <f>I7*IF('LTI_Inputs &amp; Assumptions'!C91="",'LTI_Inputs &amp; Assumptions'!C90,'LTI_Inputs &amp; Assumptions'!C91)</f>
        <v/>
      </c>
      <c r="J16" s="90">
        <f>J7*IF('LTI_Inputs &amp; Assumptions'!D91="",'LTI_Inputs &amp; Assumptions'!D90,'LTI_Inputs &amp; Assumptions'!D91)</f>
        <v/>
      </c>
      <c r="K16" s="90">
        <f>K7*IF('LTI_Inputs &amp; Assumptions'!E91="",'LTI_Inputs &amp; Assumptions'!E90,'LTI_Inputs &amp; Assumptions'!E91)</f>
        <v/>
      </c>
      <c r="L16" s="90">
        <f>L7*IF('LTI_Inputs &amp; Assumptions'!F91="",'LTI_Inputs &amp; Assumptions'!F90,'LTI_Inputs &amp; Assumptions'!F91)</f>
        <v/>
      </c>
      <c r="M16" s="90">
        <f>M7*IF('LTI_Inputs &amp; Assumptions'!G91="",'LTI_Inputs &amp; Assumptions'!G90,'LTI_Inputs &amp; Assumptions'!G91)</f>
        <v/>
      </c>
      <c r="N16" s="90">
        <f>N7*IF('LTI_Inputs &amp; Assumptions'!H91="",'LTI_Inputs &amp; Assumptions'!H90,'LTI_Inputs &amp; Assumptions'!H91)</f>
        <v/>
      </c>
      <c r="O16" s="90">
        <f>O7*IF('LTI_Inputs &amp; Assumptions'!I91="",'LTI_Inputs &amp; Assumptions'!I90,'LTI_Inputs &amp; Assumptions'!I91)</f>
        <v/>
      </c>
      <c r="P16" s="90">
        <f>P7*IF('LTI_Inputs &amp; Assumptions'!J91="",'LTI_Inputs &amp; Assumptions'!J90,'LTI_Inputs &amp; Assumptions'!J91)</f>
        <v/>
      </c>
      <c r="Q16" s="90">
        <f>Q7*IF('LTI_Inputs &amp; Assumptions'!K91="",'LTI_Inputs &amp; Assumptions'!K90,'LTI_Inputs &amp; Assumptions'!K91)</f>
        <v/>
      </c>
      <c r="R16" s="90">
        <f>R7*IF('LTI_Inputs &amp; Assumptions'!L91="",'LTI_Inputs &amp; Assumptions'!L90,'LTI_Inputs &amp; Assumptions'!L91)</f>
        <v/>
      </c>
    </row>
    <row r="17">
      <c r="B17" s="205" t="inlineStr">
        <is>
          <t>(-) Interest Expense</t>
        </is>
      </c>
      <c r="C17" s="80">
        <f>-IFERROR(INDEX(LTI_HS_CONSOLIDATED!D:D,MATCH("FinanceCosts",LTI_HS_CONSOLIDATED!$C:$C,0)),0)</f>
        <v/>
      </c>
      <c r="D17" s="80">
        <f>-IFERROR(INDEX(LTI_HS_CONSOLIDATED!E:E,MATCH("FinanceCosts",LTI_HS_CONSOLIDATED!$C:$C,0)),0)</f>
        <v/>
      </c>
      <c r="E17" s="80">
        <f>-IFERROR(INDEX(LTI_HS_CONSOLIDATED!F:F,MATCH("FinanceCosts",LTI_HS_CONSOLIDATED!$C:$C,0)),0)</f>
        <v/>
      </c>
      <c r="F17" s="80">
        <f>-IFERROR(INDEX(LTI_HS_CONSOLIDATED!G:G,MATCH("FinanceCosts",LTI_HS_CONSOLIDATED!$C:$C,0)),0)</f>
        <v/>
      </c>
      <c r="G17" s="80">
        <f>-IFERROR(INDEX(LTI_HS_CONSOLIDATED!H:H,MATCH("FinanceCosts",LTI_HS_CONSOLIDATED!$C:$C,0)),0)</f>
        <v/>
      </c>
      <c r="H17" s="80">
        <f>-IFERROR(INDEX(LTI_HS_CONSOLIDATED!I:I,MATCH("FinanceCosts",LTI_HS_CONSOLIDATED!$C:$C,0)),0)</f>
        <v/>
      </c>
      <c r="I17" s="90">
        <f>-LTI_Schedules!I97*IF('LTI_Inputs &amp; Assumptions'!C97="",'LTI_Inputs &amp; Assumptions'!C96,'LTI_Inputs &amp; Assumptions'!C97)</f>
        <v/>
      </c>
      <c r="J17" s="90">
        <f>-LTI_Schedules!J97*IF('LTI_Inputs &amp; Assumptions'!D97="",'LTI_Inputs &amp; Assumptions'!D96,'LTI_Inputs &amp; Assumptions'!D97)</f>
        <v/>
      </c>
      <c r="K17" s="90">
        <f>-LTI_Schedules!K97*IF('LTI_Inputs &amp; Assumptions'!E97="",'LTI_Inputs &amp; Assumptions'!E96,'LTI_Inputs &amp; Assumptions'!E97)</f>
        <v/>
      </c>
      <c r="L17" s="90">
        <f>-LTI_Schedules!L97*IF('LTI_Inputs &amp; Assumptions'!F97="",'LTI_Inputs &amp; Assumptions'!F96,'LTI_Inputs &amp; Assumptions'!F97)</f>
        <v/>
      </c>
      <c r="M17" s="90">
        <f>-LTI_Schedules!M97*IF('LTI_Inputs &amp; Assumptions'!G97="",'LTI_Inputs &amp; Assumptions'!G96,'LTI_Inputs &amp; Assumptions'!G97)</f>
        <v/>
      </c>
      <c r="N17" s="90">
        <f>-LTI_Schedules!N97*IF('LTI_Inputs &amp; Assumptions'!H97="",'LTI_Inputs &amp; Assumptions'!H96,'LTI_Inputs &amp; Assumptions'!H97)</f>
        <v/>
      </c>
      <c r="O17" s="90">
        <f>-LTI_Schedules!O97*IF('LTI_Inputs &amp; Assumptions'!I97="",'LTI_Inputs &amp; Assumptions'!I96,'LTI_Inputs &amp; Assumptions'!I97)</f>
        <v/>
      </c>
      <c r="P17" s="90">
        <f>-LTI_Schedules!P97*IF('LTI_Inputs &amp; Assumptions'!J97="",'LTI_Inputs &amp; Assumptions'!J96,'LTI_Inputs &amp; Assumptions'!J97)</f>
        <v/>
      </c>
      <c r="Q17" s="90">
        <f>-LTI_Schedules!Q97*IF('LTI_Inputs &amp; Assumptions'!K97="",'LTI_Inputs &amp; Assumptions'!K96,'LTI_Inputs &amp; Assumptions'!K97)</f>
        <v/>
      </c>
      <c r="R17" s="90">
        <f>-LTI_Schedules!R97*IF('LTI_Inputs &amp; Assumptions'!L97="",'LTI_Inputs &amp; Assumptions'!L96,'LTI_Inputs &amp; Assumptions'!L97)</f>
        <v/>
      </c>
    </row>
    <row r="18">
      <c r="B18" s="205" t="inlineStr">
        <is>
          <t>(-) Exceptional Items (historical only)</t>
        </is>
      </c>
      <c r="C18" s="80">
        <f>IFERROR(INDEX(LTI_HS_CONSOLIDATED!D:D,MATCH("ExceptionalItemsBeforeTax",LTI_HS_CONSOLIDATED!$C:$C,0)),0)</f>
        <v/>
      </c>
      <c r="D18" s="80">
        <f>IFERROR(INDEX(LTI_HS_CONSOLIDATED!E:E,MATCH("ExceptionalItemsBeforeTax",LTI_HS_CONSOLIDATED!$C:$C,0)),0)</f>
        <v/>
      </c>
      <c r="E18" s="80">
        <f>IFERROR(INDEX(LTI_HS_CONSOLIDATED!F:F,MATCH("ExceptionalItemsBeforeTax",LTI_HS_CONSOLIDATED!$C:$C,0)),0)</f>
        <v/>
      </c>
      <c r="F18" s="80">
        <f>IFERROR(INDEX(LTI_HS_CONSOLIDATED!G:G,MATCH("ExceptionalItemsBeforeTax",LTI_HS_CONSOLIDATED!$C:$C,0)),0)</f>
        <v/>
      </c>
      <c r="G18" s="80">
        <f>IFERROR(INDEX(LTI_HS_CONSOLIDATED!H:H,MATCH("ExceptionalItemsBeforeTax",LTI_HS_CONSOLIDATED!$C:$C,0)),0)</f>
        <v/>
      </c>
      <c r="H18" s="80">
        <f>IFERROR(INDEX(LTI_HS_CONSOLIDATED!I:I,MATCH("ExceptionalItemsBeforeTax",LTI_HS_CONSOLIDATED!$C:$C,0)),0)</f>
        <v/>
      </c>
      <c r="I18" s="90" t="n">
        <v>0</v>
      </c>
      <c r="J18" s="90" t="n">
        <v>0</v>
      </c>
      <c r="K18" s="90" t="n">
        <v>0</v>
      </c>
      <c r="L18" s="90" t="n">
        <v>0</v>
      </c>
      <c r="M18" s="90" t="n">
        <v>0</v>
      </c>
      <c r="N18" s="90" t="n">
        <v>0</v>
      </c>
      <c r="O18" s="90" t="n">
        <v>0</v>
      </c>
      <c r="P18" s="90" t="n">
        <v>0</v>
      </c>
      <c r="Q18" s="90" t="n">
        <v>0</v>
      </c>
      <c r="R18" s="90" t="n">
        <v>0</v>
      </c>
    </row>
    <row r="19">
      <c r="B19" s="101" t="inlineStr">
        <is>
          <t>Profit Before Tax</t>
        </is>
      </c>
      <c r="C19" s="83">
        <f>C14+C16+C17+C18</f>
        <v/>
      </c>
      <c r="D19" s="83">
        <f>D14+D16+D17+D18</f>
        <v/>
      </c>
      <c r="E19" s="83">
        <f>E14+E16+E17+E18</f>
        <v/>
      </c>
      <c r="F19" s="83">
        <f>F14+F16+F17+F18</f>
        <v/>
      </c>
      <c r="G19" s="83">
        <f>G14+G16+G17+G18</f>
        <v/>
      </c>
      <c r="H19" s="83">
        <f>H14+H16+H17+H18</f>
        <v/>
      </c>
      <c r="I19" s="83">
        <f>I14+I16+I17+I18</f>
        <v/>
      </c>
      <c r="J19" s="83">
        <f>J14+J16+J17+J18</f>
        <v/>
      </c>
      <c r="K19" s="83">
        <f>K14+K16+K17+K18</f>
        <v/>
      </c>
      <c r="L19" s="83">
        <f>L14+L16+L17+L18</f>
        <v/>
      </c>
      <c r="M19" s="83">
        <f>M14+M16+M17+M18</f>
        <v/>
      </c>
      <c r="N19" s="83">
        <f>N14+N16+N17+N18</f>
        <v/>
      </c>
      <c r="O19" s="83">
        <f>O14+O16+O17+O18</f>
        <v/>
      </c>
      <c r="P19" s="83">
        <f>P14+P16+P17+P18</f>
        <v/>
      </c>
      <c r="Q19" s="83">
        <f>Q14+Q16+Q17+Q18</f>
        <v/>
      </c>
      <c r="R19" s="83">
        <f>R14+R16+R17+R18</f>
        <v/>
      </c>
    </row>
    <row r="21">
      <c r="B21" s="205" t="inlineStr">
        <is>
          <t>(-) Total Tax Expense</t>
        </is>
      </c>
      <c r="C21" s="80">
        <f>-LTI_Schedules!C106</f>
        <v/>
      </c>
      <c r="D21" s="80">
        <f>-LTI_Schedules!D106</f>
        <v/>
      </c>
      <c r="E21" s="80">
        <f>-LTI_Schedules!E106</f>
        <v/>
      </c>
      <c r="F21" s="80">
        <f>-LTI_Schedules!F106</f>
        <v/>
      </c>
      <c r="G21" s="80">
        <f>-LTI_Schedules!G106</f>
        <v/>
      </c>
      <c r="H21" s="80">
        <f>-LTI_Schedules!H106</f>
        <v/>
      </c>
      <c r="I21" s="90">
        <f>-LTI_Schedules!I106</f>
        <v/>
      </c>
      <c r="J21" s="90">
        <f>-LTI_Schedules!J106</f>
        <v/>
      </c>
      <c r="K21" s="90">
        <f>-LTI_Schedules!K106</f>
        <v/>
      </c>
      <c r="L21" s="90">
        <f>-LTI_Schedules!L106</f>
        <v/>
      </c>
      <c r="M21" s="90">
        <f>-LTI_Schedules!M106</f>
        <v/>
      </c>
      <c r="N21" s="90">
        <f>-LTI_Schedules!N106</f>
        <v/>
      </c>
      <c r="O21" s="90">
        <f>-LTI_Schedules!O106</f>
        <v/>
      </c>
      <c r="P21" s="90">
        <f>-LTI_Schedules!P106</f>
        <v/>
      </c>
      <c r="Q21" s="90">
        <f>-LTI_Schedules!Q106</f>
        <v/>
      </c>
      <c r="R21" s="90">
        <f>-LTI_Schedules!R106</f>
        <v/>
      </c>
    </row>
    <row r="22" ht="15.5" customHeight="1" s="203">
      <c r="B22" s="102" t="inlineStr">
        <is>
          <t>Net Income</t>
        </is>
      </c>
      <c r="C22" s="103">
        <f>C19+C21</f>
        <v/>
      </c>
      <c r="D22" s="103">
        <f>D19+D21</f>
        <v/>
      </c>
      <c r="E22" s="103">
        <f>E19+E21</f>
        <v/>
      </c>
      <c r="F22" s="103">
        <f>F19+F21</f>
        <v/>
      </c>
      <c r="G22" s="103">
        <f>G19+G21</f>
        <v/>
      </c>
      <c r="H22" s="103">
        <f>H19+H21</f>
        <v/>
      </c>
      <c r="I22" s="103">
        <f>I19+I21</f>
        <v/>
      </c>
      <c r="J22" s="103">
        <f>J19+J21</f>
        <v/>
      </c>
      <c r="K22" s="103">
        <f>K19+K21</f>
        <v/>
      </c>
      <c r="L22" s="103">
        <f>L19+L21</f>
        <v/>
      </c>
      <c r="M22" s="103">
        <f>M19+M21</f>
        <v/>
      </c>
      <c r="N22" s="103">
        <f>N19+N21</f>
        <v/>
      </c>
      <c r="O22" s="103">
        <f>O19+O21</f>
        <v/>
      </c>
      <c r="P22" s="103">
        <f>P19+P21</f>
        <v/>
      </c>
      <c r="Q22" s="103">
        <f>Q19+Q21</f>
        <v/>
      </c>
      <c r="R22" s="103">
        <f>R19+R21</f>
        <v/>
      </c>
    </row>
    <row r="23">
      <c r="B23" s="202" t="inlineStr">
        <is>
          <t>Tie-check, historical only</t>
        </is>
      </c>
      <c r="C23" s="85">
        <f>C19-IFERROR(INDEX(LTI_HS_CONSOLIDATED!D:D,MATCH("ProfitBeforeTax",LTI_HS_CONSOLIDATED!$C:$C,0)),0)</f>
        <v/>
      </c>
      <c r="D23" s="85">
        <f>D19-IFERROR(INDEX(LTI_HS_CONSOLIDATED!E:E,MATCH("ProfitBeforeTax",LTI_HS_CONSOLIDATED!$C:$C,0)),0)</f>
        <v/>
      </c>
      <c r="E23" s="85">
        <f>E19-IFERROR(INDEX(LTI_HS_CONSOLIDATED!F:F,MATCH("ProfitBeforeTax",LTI_HS_CONSOLIDATED!$C:$C,0)),0)</f>
        <v/>
      </c>
      <c r="F23" s="85">
        <f>F19-IFERROR(INDEX(LTI_HS_CONSOLIDATED!G:G,MATCH("ProfitBeforeTax",LTI_HS_CONSOLIDATED!$C:$C,0)),0)</f>
        <v/>
      </c>
      <c r="G23" s="85">
        <f>G19-IFERROR(INDEX(LTI_HS_CONSOLIDATED!H:H,MATCH("ProfitBeforeTax",LTI_HS_CONSOLIDATED!$C:$C,0)),0)</f>
        <v/>
      </c>
      <c r="H23" s="85">
        <f>H19-IFERROR(INDEX(LTI_HS_CONSOLIDATED!I:I,MATCH("ProfitBeforeTax",LTI_HS_CONSOLIDATED!$C:$C,0)),0)</f>
        <v/>
      </c>
    </row>
    <row r="26">
      <c r="B26" s="211" t="inlineStr">
        <is>
          <t>D&amp;A Uplift Ratio, per year (|Total D&amp;A| / |PP&amp;E Schedule Depreciation|)</t>
        </is>
      </c>
      <c r="C26" s="86">
        <f>IFERROR(ABS(C13)/ABS(LTI_Schedules!C55),1)</f>
        <v/>
      </c>
      <c r="D26" s="86">
        <f>IFERROR(ABS(D13)/ABS(LTI_Schedules!D55),1)</f>
        <v/>
      </c>
      <c r="E26" s="86">
        <f>IFERROR(ABS(E13)/ABS(LTI_Schedules!E55),1)</f>
        <v/>
      </c>
      <c r="F26" s="86">
        <f>IFERROR(ABS(F13)/ABS(LTI_Schedules!F55),1)</f>
        <v/>
      </c>
      <c r="G26" s="86">
        <f>IFERROR(ABS(G13)/ABS(LTI_Schedules!G55),1)</f>
        <v/>
      </c>
      <c r="H26" s="86">
        <f>IFERROR(ABS(H13)/ABS(LTI_Schedules!H55),1)</f>
        <v/>
      </c>
    </row>
    <row r="28">
      <c r="B28" s="211" t="inlineStr">
        <is>
          <t>Finance Cost Uplift Ratio, per year (|Total Finance Costs| / |Debt Schedule Interest|)</t>
        </is>
      </c>
      <c r="C28" s="86">
        <f>IFERROR(ABS(C17)/ABS(LTI_Schedules!C97),1)</f>
        <v/>
      </c>
      <c r="D28" s="86">
        <f>IFERROR(ABS(D17)/ABS(LTI_Schedules!D97),1)</f>
        <v/>
      </c>
      <c r="E28" s="86">
        <f>IFERROR(ABS(E17)/ABS(LTI_Schedules!E97),1)</f>
        <v/>
      </c>
      <c r="F28" s="86">
        <f>IFERROR(ABS(F17)/ABS(LTI_Schedules!F97),1)</f>
        <v/>
      </c>
      <c r="G28" s="86">
        <f>IFERROR(ABS(G17)/ABS(LTI_Schedules!G97),1)</f>
        <v/>
      </c>
      <c r="H28" s="86">
        <f>IFERROR(ABS(H17)/ABS(LTI_Schedules!H97),1)</f>
        <v/>
      </c>
    </row>
  </sheetData>
  <pageMargins left="0.75" right="0.75" top="1" bottom="1" header="0.5" footer="0.5"/>
</worksheet>
</file>

<file path=xl/worksheets/sheet24.xml><?xml version="1.0" encoding="utf-8"?>
<worksheet xmlns="http://schemas.openxmlformats.org/spreadsheetml/2006/main">
  <sheetPr>
    <tabColor rgb="001F4E78"/>
    <outlinePr summaryBelow="1" summaryRight="1"/>
    <pageSetUpPr/>
  </sheetPr>
  <dimension ref="A1:H506"/>
  <sheetViews>
    <sheetView showGridLines="0" workbookViewId="0">
      <selection activeCell="A1" sqref="A1"/>
    </sheetView>
  </sheetViews>
  <sheetFormatPr baseColWidth="8" defaultRowHeight="14.5"/>
  <cols>
    <col width="30" customWidth="1" style="203" min="1" max="1"/>
    <col width="16" customWidth="1" style="203" min="2" max="8"/>
  </cols>
  <sheetData>
    <row r="1" ht="18.5" customHeight="1" s="203">
      <c r="A1" s="78" t="inlineStr">
        <is>
          <t>Damodaran Data -- downloaded live each run</t>
        </is>
      </c>
    </row>
    <row r="5" ht="15.5" customHeight="1" s="203">
      <c r="A5" s="102" t="inlineStr">
        <is>
          <t>1. Country ERP/CRP/Default Spread</t>
        </is>
      </c>
    </row>
    <row r="7">
      <c r="A7" s="100" t="inlineStr">
        <is>
          <t>Country</t>
        </is>
      </c>
      <c r="B7" s="100" t="inlineStr">
        <is>
          <t>Region</t>
        </is>
      </c>
      <c r="C7" s="100" t="inlineStr">
        <is>
          <t>Rating</t>
        </is>
      </c>
      <c r="D7" s="100" t="inlineStr">
        <is>
          <t>Default Spread</t>
        </is>
      </c>
      <c r="E7" s="100" t="inlineStr">
        <is>
          <t>Total ERP</t>
        </is>
      </c>
      <c r="F7" s="100" t="inlineStr">
        <is>
          <t>Country Risk Premium</t>
        </is>
      </c>
    </row>
    <row r="8">
      <c r="A8" t="inlineStr">
        <is>
          <t>Abu Dhabi</t>
        </is>
      </c>
      <c r="B8" t="inlineStr">
        <is>
          <t>Middle East</t>
        </is>
      </c>
      <c r="C8" t="inlineStr">
        <is>
          <t>Aa2</t>
        </is>
      </c>
      <c r="D8" t="n">
        <v>0.004195048511608233</v>
      </c>
      <c r="E8" t="n">
        <v>0.0486906451636496</v>
      </c>
      <c r="F8" t="n">
        <v>0.006390645163649599</v>
      </c>
    </row>
    <row r="9">
      <c r="A9" t="inlineStr">
        <is>
          <t>Albania</t>
        </is>
      </c>
      <c r="B9" t="inlineStr">
        <is>
          <t>Eastern Europe &amp; Russia</t>
        </is>
      </c>
      <c r="C9" t="inlineStr">
        <is>
          <t>Ba3</t>
        </is>
      </c>
      <c r="D9" t="n">
        <v>0.03056392487028855</v>
      </c>
      <c r="E9" t="n">
        <v>0.08886041476373278</v>
      </c>
      <c r="F9" t="n">
        <v>0.04656041476373279</v>
      </c>
    </row>
    <row r="10">
      <c r="A10" t="inlineStr">
        <is>
          <t>Andorra (Principality of)</t>
        </is>
      </c>
      <c r="B10" t="inlineStr">
        <is>
          <t>Western Europe</t>
        </is>
      </c>
      <c r="C10" t="inlineStr">
        <is>
          <t>Baa1</t>
        </is>
      </c>
      <c r="D10" t="n">
        <v>0.01358396660901713</v>
      </c>
      <c r="E10" t="n">
        <v>0.06299351767277012</v>
      </c>
      <c r="F10" t="n">
        <v>0.02069351767277013</v>
      </c>
    </row>
    <row r="11">
      <c r="A11" t="inlineStr">
        <is>
          <t>Angola</t>
        </is>
      </c>
      <c r="B11" t="inlineStr">
        <is>
          <t>Africa</t>
        </is>
      </c>
      <c r="C11" t="inlineStr">
        <is>
          <t>B3</t>
        </is>
      </c>
      <c r="D11" t="n">
        <v>0.05523480540284173</v>
      </c>
      <c r="E11" t="n">
        <v>0.1264434946547197</v>
      </c>
      <c r="F11" t="n">
        <v>0.08414349465471971</v>
      </c>
    </row>
    <row r="12">
      <c r="A12" t="inlineStr">
        <is>
          <t>Argentina</t>
        </is>
      </c>
      <c r="B12" t="inlineStr">
        <is>
          <t>Central and South America</t>
        </is>
      </c>
      <c r="C12" t="inlineStr">
        <is>
          <t>Caa1</t>
        </is>
      </c>
      <c r="D12" t="n">
        <v>0.06372478453347744</v>
      </c>
      <c r="E12" t="n">
        <v>0.139376943200201</v>
      </c>
      <c r="F12" t="n">
        <v>0.09707694320020104</v>
      </c>
    </row>
    <row r="13">
      <c r="A13" t="inlineStr">
        <is>
          <t>Armenia</t>
        </is>
      </c>
      <c r="B13" t="inlineStr">
        <is>
          <t>Eastern Europe &amp; Russia</t>
        </is>
      </c>
      <c r="C13" t="inlineStr">
        <is>
          <t>Ba3</t>
        </is>
      </c>
      <c r="D13" t="n">
        <v>0.03056392487028855</v>
      </c>
      <c r="E13" t="n">
        <v>0.08886041476373278</v>
      </c>
      <c r="F13" t="n">
        <v>0.04656041476373279</v>
      </c>
    </row>
    <row r="14">
      <c r="A14" t="inlineStr">
        <is>
          <t>Aruba</t>
        </is>
      </c>
      <c r="B14" t="inlineStr">
        <is>
          <t>Caribbean</t>
        </is>
      </c>
      <c r="C14" t="inlineStr">
        <is>
          <t>Baa3</t>
        </is>
      </c>
      <c r="D14" t="n">
        <v>0.01867795408739856</v>
      </c>
      <c r="E14" t="n">
        <v>0.07075358680005893</v>
      </c>
      <c r="F14" t="n">
        <v>0.02845358680005893</v>
      </c>
    </row>
    <row r="15">
      <c r="A15" t="inlineStr">
        <is>
          <t>Australia</t>
        </is>
      </c>
      <c r="B15" t="inlineStr">
        <is>
          <t>Australia &amp; New Zealand</t>
        </is>
      </c>
      <c r="C15" t="inlineStr">
        <is>
          <t>Aaa</t>
        </is>
      </c>
      <c r="D15" t="n">
        <v>0</v>
      </c>
      <c r="E15" t="n">
        <v>0.0423</v>
      </c>
      <c r="F15" t="n">
        <v>0</v>
      </c>
    </row>
    <row r="16">
      <c r="A16" t="inlineStr">
        <is>
          <t>Austria</t>
        </is>
      </c>
      <c r="B16" t="inlineStr">
        <is>
          <t>Western Europe</t>
        </is>
      </c>
      <c r="C16" t="inlineStr">
        <is>
          <t>Aa1</t>
        </is>
      </c>
      <c r="D16" t="n">
        <v>0.002333679169992019</v>
      </c>
      <c r="E16" t="n">
        <v>0.04585507581377215</v>
      </c>
      <c r="F16" t="n">
        <v>0.003555075813772155</v>
      </c>
    </row>
    <row r="17">
      <c r="A17" t="inlineStr">
        <is>
          <t>Azerbaijan</t>
        </is>
      </c>
      <c r="B17" t="inlineStr">
        <is>
          <t>Eastern Europe &amp; Russia</t>
        </is>
      </c>
      <c r="C17" t="inlineStr">
        <is>
          <t>Baa3</t>
        </is>
      </c>
      <c r="D17" t="n">
        <v>0.01867795408739856</v>
      </c>
      <c r="E17" t="n">
        <v>0.07075358680005893</v>
      </c>
      <c r="F17" t="n">
        <v>0.02845358680005893</v>
      </c>
    </row>
    <row r="18">
      <c r="A18" t="inlineStr">
        <is>
          <t>Bahamas</t>
        </is>
      </c>
      <c r="B18" t="inlineStr">
        <is>
          <t>Caribbean</t>
        </is>
      </c>
      <c r="C18" t="inlineStr">
        <is>
          <t>B1</t>
        </is>
      </c>
      <c r="D18" t="n">
        <v>0.03825484714157031</v>
      </c>
      <c r="E18" t="n">
        <v>0.100576597563757</v>
      </c>
      <c r="F18" t="n">
        <v>0.05827659756375704</v>
      </c>
    </row>
    <row r="19">
      <c r="A19" t="inlineStr">
        <is>
          <t>Bahrain</t>
        </is>
      </c>
      <c r="B19" t="inlineStr">
        <is>
          <t>Middle East</t>
        </is>
      </c>
      <c r="C19" t="inlineStr">
        <is>
          <t>B2</t>
        </is>
      </c>
      <c r="D19" t="n">
        <v>0.04674482627220602</v>
      </c>
      <c r="E19" t="n">
        <v>0.1135100461092384</v>
      </c>
      <c r="F19" t="n">
        <v>0.07121004610923838</v>
      </c>
    </row>
    <row r="20">
      <c r="A20" t="inlineStr">
        <is>
          <t>Bangladesh</t>
        </is>
      </c>
      <c r="B20" t="inlineStr">
        <is>
          <t>Asia</t>
        </is>
      </c>
      <c r="C20" t="inlineStr">
        <is>
          <t>B2</t>
        </is>
      </c>
      <c r="D20" t="n">
        <v>0.04674482627220602</v>
      </c>
      <c r="E20" t="n">
        <v>0.1135100461092384</v>
      </c>
      <c r="F20" t="n">
        <v>0.07121004610923838</v>
      </c>
    </row>
    <row r="21">
      <c r="A21" t="inlineStr">
        <is>
          <t>Barbados</t>
        </is>
      </c>
      <c r="B21" t="inlineStr">
        <is>
          <t>Caribbean</t>
        </is>
      </c>
      <c r="C21" t="inlineStr">
        <is>
          <t>B2</t>
        </is>
      </c>
      <c r="D21" t="n">
        <v>0.04674482627220602</v>
      </c>
      <c r="E21" t="n">
        <v>0.1135100461092384</v>
      </c>
      <c r="F21" t="n">
        <v>0.07121004610923838</v>
      </c>
    </row>
    <row r="22">
      <c r="A22" t="inlineStr">
        <is>
          <t>Belarus</t>
        </is>
      </c>
      <c r="B22" t="inlineStr">
        <is>
          <t>Eastern Europe &amp; Russia</t>
        </is>
      </c>
      <c r="C22" t="inlineStr">
        <is>
          <t>C</t>
        </is>
      </c>
      <c r="D22" t="n">
        <v>0.175</v>
      </c>
      <c r="E22" t="n">
        <v>0.3088911730326901</v>
      </c>
      <c r="F22" t="n">
        <v>0.2665911730326901</v>
      </c>
    </row>
    <row r="23">
      <c r="A23" t="inlineStr">
        <is>
          <t>Belgium</t>
        </is>
      </c>
      <c r="B23" t="inlineStr">
        <is>
          <t>Western Europe</t>
        </is>
      </c>
      <c r="C23" t="inlineStr">
        <is>
          <t>Aa3</t>
        </is>
      </c>
      <c r="D23" t="n">
        <v>0.005093987478381426</v>
      </c>
      <c r="E23" t="n">
        <v>0.0500600691272888</v>
      </c>
      <c r="F23" t="n">
        <v>0.007760069127288798</v>
      </c>
    </row>
    <row r="24">
      <c r="A24" t="inlineStr">
        <is>
          <t>Belize</t>
        </is>
      </c>
      <c r="B24" t="inlineStr">
        <is>
          <t>Central and South America</t>
        </is>
      </c>
      <c r="C24" t="inlineStr">
        <is>
          <t>Caa1</t>
        </is>
      </c>
      <c r="D24" t="n">
        <v>0.06372478453347744</v>
      </c>
      <c r="E24" t="n">
        <v>0.139376943200201</v>
      </c>
      <c r="F24" t="n">
        <v>0.09707694320020104</v>
      </c>
    </row>
    <row r="25">
      <c r="A25" t="inlineStr">
        <is>
          <t>Benin</t>
        </is>
      </c>
      <c r="B25" t="inlineStr">
        <is>
          <t>Africa</t>
        </is>
      </c>
      <c r="C25" t="inlineStr">
        <is>
          <t>B1</t>
        </is>
      </c>
      <c r="D25" t="n">
        <v>0.03825484714157031</v>
      </c>
      <c r="E25" t="n">
        <v>0.100576597563757</v>
      </c>
      <c r="F25" t="n">
        <v>0.05827659756375704</v>
      </c>
    </row>
    <row r="26">
      <c r="A26" t="inlineStr">
        <is>
          <t>Bermuda</t>
        </is>
      </c>
      <c r="B26" t="inlineStr">
        <is>
          <t>Caribbean</t>
        </is>
      </c>
      <c r="C26" t="inlineStr">
        <is>
          <t>A2</t>
        </is>
      </c>
      <c r="D26" t="n">
        <v>0.007191511734185542</v>
      </c>
      <c r="E26" t="n">
        <v>0.05325539170911359</v>
      </c>
      <c r="F26" t="n">
        <v>0.0109553917091136</v>
      </c>
    </row>
    <row r="27">
      <c r="A27" t="inlineStr">
        <is>
          <t>Bolivia</t>
        </is>
      </c>
      <c r="B27" t="inlineStr">
        <is>
          <t>Central and South America</t>
        </is>
      </c>
      <c r="C27" t="inlineStr">
        <is>
          <t>Ca</t>
        </is>
      </c>
      <c r="D27" t="n">
        <v>0.1019796316750478</v>
      </c>
      <c r="E27" t="n">
        <v>0.1976535407639581</v>
      </c>
      <c r="F27" t="n">
        <v>0.1553535407639581</v>
      </c>
    </row>
    <row r="28">
      <c r="A28" t="inlineStr">
        <is>
          <t>Bosnia and Herzegovina</t>
        </is>
      </c>
      <c r="B28" t="inlineStr">
        <is>
          <t>Eastern Europe &amp; Russia</t>
        </is>
      </c>
      <c r="C28" t="inlineStr">
        <is>
          <t>B3</t>
        </is>
      </c>
      <c r="D28" t="n">
        <v>0.05523480540284173</v>
      </c>
      <c r="E28" t="n">
        <v>0.1264434946547197</v>
      </c>
      <c r="F28" t="n">
        <v>0.08414349465471971</v>
      </c>
    </row>
    <row r="29">
      <c r="A29" t="inlineStr">
        <is>
          <t>Botswana</t>
        </is>
      </c>
      <c r="B29" t="inlineStr">
        <is>
          <t>Africa</t>
        </is>
      </c>
      <c r="C29" t="inlineStr">
        <is>
          <t>Baa1</t>
        </is>
      </c>
      <c r="D29" t="n">
        <v>0.01358396660901713</v>
      </c>
      <c r="E29" t="n">
        <v>0.06299351767277012</v>
      </c>
      <c r="F29" t="n">
        <v>0.02069351767277013</v>
      </c>
    </row>
    <row r="30">
      <c r="A30" t="inlineStr">
        <is>
          <t>Brazil</t>
        </is>
      </c>
      <c r="B30" t="inlineStr">
        <is>
          <t>Central and South America</t>
        </is>
      </c>
      <c r="C30" t="inlineStr">
        <is>
          <t>Ba1</t>
        </is>
      </c>
      <c r="D30" t="n">
        <v>0.0212748888802989</v>
      </c>
      <c r="E30" t="n">
        <v>0.07470970047279439</v>
      </c>
      <c r="F30" t="n">
        <v>0.03240970047279439</v>
      </c>
    </row>
    <row r="31">
      <c r="A31" t="inlineStr">
        <is>
          <t>Bulgaria</t>
        </is>
      </c>
      <c r="B31" t="inlineStr">
        <is>
          <t>Eastern Europe &amp; Russia</t>
        </is>
      </c>
      <c r="C31" t="inlineStr">
        <is>
          <t>Baa1</t>
        </is>
      </c>
      <c r="D31" t="n">
        <v>0.01358396660901713</v>
      </c>
      <c r="E31" t="n">
        <v>0.06299351767277012</v>
      </c>
      <c r="F31" t="n">
        <v>0.02069351767277013</v>
      </c>
    </row>
    <row r="32">
      <c r="A32" t="inlineStr">
        <is>
          <t>Burkina Faso</t>
        </is>
      </c>
      <c r="B32" t="inlineStr">
        <is>
          <t>Africa</t>
        </is>
      </c>
      <c r="C32" t="inlineStr">
        <is>
          <t>Caa1</t>
        </is>
      </c>
      <c r="D32" t="n">
        <v>0.06372478453347744</v>
      </c>
      <c r="E32" t="n">
        <v>0.139376943200201</v>
      </c>
      <c r="F32" t="n">
        <v>0.09707694320020104</v>
      </c>
    </row>
    <row r="33">
      <c r="A33" t="inlineStr">
        <is>
          <t>Cambodia</t>
        </is>
      </c>
      <c r="B33" t="inlineStr">
        <is>
          <t>Asia</t>
        </is>
      </c>
      <c r="C33" t="inlineStr">
        <is>
          <t>B2</t>
        </is>
      </c>
      <c r="D33" t="n">
        <v>0.04674482627220602</v>
      </c>
      <c r="E33" t="n">
        <v>0.1135100461092384</v>
      </c>
      <c r="F33" t="n">
        <v>0.07121004610923838</v>
      </c>
    </row>
    <row r="34">
      <c r="A34" t="inlineStr">
        <is>
          <t>Cameroon</t>
        </is>
      </c>
      <c r="B34" t="inlineStr">
        <is>
          <t>Africa</t>
        </is>
      </c>
      <c r="C34" t="inlineStr">
        <is>
          <t>Caa1</t>
        </is>
      </c>
      <c r="D34" t="n">
        <v>0.06372478453347744</v>
      </c>
      <c r="E34" t="n">
        <v>0.139376943200201</v>
      </c>
      <c r="F34" t="n">
        <v>0.09707694320020104</v>
      </c>
    </row>
    <row r="35">
      <c r="A35" t="inlineStr">
        <is>
          <t>Canada</t>
        </is>
      </c>
      <c r="B35" t="inlineStr">
        <is>
          <t>North America</t>
        </is>
      </c>
      <c r="C35" t="inlineStr">
        <is>
          <t>Aaa</t>
        </is>
      </c>
      <c r="D35" t="n">
        <v>0</v>
      </c>
      <c r="E35" t="n">
        <v>0.0423</v>
      </c>
      <c r="F35" t="n">
        <v>0</v>
      </c>
    </row>
    <row r="36">
      <c r="A36" t="inlineStr">
        <is>
          <t>Cape Verde</t>
        </is>
      </c>
      <c r="B36" t="inlineStr">
        <is>
          <t>Africa</t>
        </is>
      </c>
      <c r="C36" t="inlineStr">
        <is>
          <t>B2</t>
        </is>
      </c>
      <c r="D36" t="n">
        <v>0.04674482627220602</v>
      </c>
      <c r="E36" t="n">
        <v>0.1135100461092384</v>
      </c>
      <c r="F36" t="n">
        <v>0.07121004610923838</v>
      </c>
    </row>
    <row r="37">
      <c r="A37" t="inlineStr">
        <is>
          <t>Cayman Islands</t>
        </is>
      </c>
      <c r="B37" t="inlineStr">
        <is>
          <t>Caribbean</t>
        </is>
      </c>
      <c r="C37" t="inlineStr">
        <is>
          <t>Aa3</t>
        </is>
      </c>
      <c r="D37" t="n">
        <v>0.005093987478381426</v>
      </c>
      <c r="E37" t="n">
        <v>0.0500600691272888</v>
      </c>
      <c r="F37" t="n">
        <v>0.007760069127288798</v>
      </c>
    </row>
    <row r="38">
      <c r="A38" t="inlineStr">
        <is>
          <t>Chile</t>
        </is>
      </c>
      <c r="B38" t="inlineStr">
        <is>
          <t>Central and South America</t>
        </is>
      </c>
      <c r="C38" t="inlineStr">
        <is>
          <t>A2</t>
        </is>
      </c>
      <c r="D38" t="n">
        <v>0.007191511734185542</v>
      </c>
      <c r="E38" t="n">
        <v>0.05325539170911359</v>
      </c>
      <c r="F38" t="n">
        <v>0.0109553917091136</v>
      </c>
    </row>
    <row r="39">
      <c r="A39" t="inlineStr">
        <is>
          <t>China</t>
        </is>
      </c>
      <c r="B39" t="inlineStr">
        <is>
          <t>Asia</t>
        </is>
      </c>
      <c r="C39" t="inlineStr">
        <is>
          <t>A1</t>
        </is>
      </c>
      <c r="D39" t="n">
        <v>0.005992926445154621</v>
      </c>
      <c r="E39" t="n">
        <v>0.05142949309092799</v>
      </c>
      <c r="F39" t="n">
        <v>0.009129493090928</v>
      </c>
    </row>
    <row r="40">
      <c r="A40" t="inlineStr">
        <is>
          <t>Colombia</t>
        </is>
      </c>
      <c r="B40" t="inlineStr">
        <is>
          <t>Central and South America</t>
        </is>
      </c>
      <c r="C40" t="inlineStr">
        <is>
          <t>Baa3</t>
        </is>
      </c>
      <c r="D40" t="n">
        <v>0.01867795408739856</v>
      </c>
      <c r="E40" t="n">
        <v>0.07075358680005893</v>
      </c>
      <c r="F40" t="n">
        <v>0.02845358680005893</v>
      </c>
    </row>
    <row r="41">
      <c r="A41" t="inlineStr">
        <is>
          <t>Congo (Democratic Republic of)</t>
        </is>
      </c>
      <c r="B41" t="inlineStr">
        <is>
          <t>Africa</t>
        </is>
      </c>
      <c r="C41" t="inlineStr">
        <is>
          <t>B3</t>
        </is>
      </c>
      <c r="D41" t="n">
        <v>0.05523480540284173</v>
      </c>
      <c r="E41" t="n">
        <v>0.1264434946547197</v>
      </c>
      <c r="F41" t="n">
        <v>0.08414349465471971</v>
      </c>
    </row>
    <row r="42">
      <c r="A42" t="inlineStr">
        <is>
          <t>Congo (Republic of)</t>
        </is>
      </c>
      <c r="B42" t="inlineStr">
        <is>
          <t>Africa</t>
        </is>
      </c>
      <c r="C42" t="inlineStr">
        <is>
          <t>Caa2</t>
        </is>
      </c>
      <c r="D42" t="n">
        <v>0.07650969428314061</v>
      </c>
      <c r="E42" t="n">
        <v>0.1588531951275141</v>
      </c>
      <c r="F42" t="n">
        <v>0.1165531951275141</v>
      </c>
    </row>
    <row r="43">
      <c r="A43" t="inlineStr">
        <is>
          <t>Cook Islands</t>
        </is>
      </c>
      <c r="B43" t="inlineStr">
        <is>
          <t>Australia &amp; New Zealand</t>
        </is>
      </c>
      <c r="C43" t="inlineStr">
        <is>
          <t>B1</t>
        </is>
      </c>
      <c r="D43" t="n">
        <v>0.03825484714157031</v>
      </c>
      <c r="E43" t="n">
        <v>0.100576597563757</v>
      </c>
      <c r="F43" t="n">
        <v>0.05827659756375704</v>
      </c>
    </row>
    <row r="44">
      <c r="A44" t="inlineStr">
        <is>
          <t>Costa Rica</t>
        </is>
      </c>
      <c r="B44" t="inlineStr">
        <is>
          <t>Central and South America</t>
        </is>
      </c>
      <c r="C44" t="inlineStr">
        <is>
          <t>Ba2</t>
        </is>
      </c>
      <c r="D44" t="n">
        <v>0.02556981949932637</v>
      </c>
      <c r="E44" t="n">
        <v>0.08125250385462612</v>
      </c>
      <c r="F44" t="n">
        <v>0.03895250385462613</v>
      </c>
    </row>
    <row r="45">
      <c r="A45" t="inlineStr">
        <is>
          <t>Côte d'Ivoire</t>
        </is>
      </c>
      <c r="B45" t="inlineStr">
        <is>
          <t>Africa</t>
        </is>
      </c>
      <c r="C45" t="inlineStr">
        <is>
          <t>Ba2</t>
        </is>
      </c>
      <c r="D45" t="n">
        <v>0.02556981949932637</v>
      </c>
      <c r="E45" t="n">
        <v>0.08125250385462612</v>
      </c>
      <c r="F45" t="n">
        <v>0.03895250385462613</v>
      </c>
    </row>
    <row r="46">
      <c r="A46" t="inlineStr">
        <is>
          <t>Croatia</t>
        </is>
      </c>
      <c r="B46" t="inlineStr">
        <is>
          <t>Eastern Europe &amp; Russia</t>
        </is>
      </c>
      <c r="C46" t="inlineStr">
        <is>
          <t>A3</t>
        </is>
      </c>
      <c r="D46" t="n">
        <v>0.01018797495676285</v>
      </c>
      <c r="E46" t="n">
        <v>0.0578201382545776</v>
      </c>
      <c r="F46" t="n">
        <v>0.0155201382545776</v>
      </c>
    </row>
    <row r="47">
      <c r="A47" t="inlineStr">
        <is>
          <t>Cuba</t>
        </is>
      </c>
      <c r="B47" t="inlineStr">
        <is>
          <t>Caribbean</t>
        </is>
      </c>
      <c r="C47" t="inlineStr">
        <is>
          <t>Ca</t>
        </is>
      </c>
      <c r="D47" t="n">
        <v>0.1019796316750478</v>
      </c>
      <c r="E47" t="n">
        <v>0.1976535407639581</v>
      </c>
      <c r="F47" t="n">
        <v>0.1553535407639581</v>
      </c>
    </row>
    <row r="48">
      <c r="A48" t="inlineStr">
        <is>
          <t>Curacao</t>
        </is>
      </c>
      <c r="B48" t="inlineStr">
        <is>
          <t>Caribbean</t>
        </is>
      </c>
      <c r="C48" t="inlineStr">
        <is>
          <t>Baa3</t>
        </is>
      </c>
      <c r="D48" t="n">
        <v>0.01867795408739856</v>
      </c>
      <c r="E48" t="n">
        <v>0.07075358680005893</v>
      </c>
      <c r="F48" t="n">
        <v>0.02845358680005893</v>
      </c>
    </row>
    <row r="49">
      <c r="A49" t="inlineStr">
        <is>
          <t>Cyprus</t>
        </is>
      </c>
      <c r="B49" t="inlineStr">
        <is>
          <t>Western Europe</t>
        </is>
      </c>
      <c r="C49" t="inlineStr">
        <is>
          <t>A3</t>
        </is>
      </c>
      <c r="D49" t="n">
        <v>0.01018797495676285</v>
      </c>
      <c r="E49" t="n">
        <v>0.0578201382545776</v>
      </c>
      <c r="F49" t="n">
        <v>0.0155201382545776</v>
      </c>
    </row>
    <row r="50">
      <c r="A50" t="inlineStr">
        <is>
          <t>Czech Republic</t>
        </is>
      </c>
      <c r="B50" t="inlineStr">
        <is>
          <t>Eastern Europe &amp; Russia</t>
        </is>
      </c>
      <c r="C50" t="inlineStr">
        <is>
          <t>Aa3</t>
        </is>
      </c>
      <c r="D50" t="n">
        <v>0.005093987478381426</v>
      </c>
      <c r="E50" t="n">
        <v>0.0500600691272888</v>
      </c>
      <c r="F50" t="n">
        <v>0.007760069127288798</v>
      </c>
    </row>
    <row r="51">
      <c r="A51" t="inlineStr">
        <is>
          <t>Denmark</t>
        </is>
      </c>
      <c r="B51" t="inlineStr">
        <is>
          <t>Western Europe</t>
        </is>
      </c>
      <c r="C51" t="inlineStr">
        <is>
          <t>Aaa</t>
        </is>
      </c>
      <c r="D51" t="n">
        <v>0</v>
      </c>
      <c r="E51" t="n">
        <v>0.0423</v>
      </c>
      <c r="F51" t="n">
        <v>0</v>
      </c>
    </row>
    <row r="52">
      <c r="A52" t="inlineStr">
        <is>
          <t>Dominican Republic</t>
        </is>
      </c>
      <c r="B52" t="inlineStr">
        <is>
          <t>Caribbean</t>
        </is>
      </c>
      <c r="C52" t="inlineStr">
        <is>
          <t>Ba2</t>
        </is>
      </c>
      <c r="D52" t="n">
        <v>0.02556981949932637</v>
      </c>
      <c r="E52" t="n">
        <v>0.08125250385462612</v>
      </c>
      <c r="F52" t="n">
        <v>0.03895250385462613</v>
      </c>
    </row>
    <row r="53">
      <c r="A53" t="inlineStr">
        <is>
          <t>Ecuador</t>
        </is>
      </c>
      <c r="B53" t="inlineStr">
        <is>
          <t>Central and South America</t>
        </is>
      </c>
      <c r="C53" t="inlineStr">
        <is>
          <t>Caa3</t>
        </is>
      </c>
      <c r="D53" t="n">
        <v>0.08499967341377634</v>
      </c>
      <c r="E53" t="n">
        <v>0.1717866436729955</v>
      </c>
      <c r="F53" t="n">
        <v>0.1294866436729954</v>
      </c>
    </row>
    <row r="54">
      <c r="A54" t="inlineStr">
        <is>
          <t>Egypt</t>
        </is>
      </c>
      <c r="B54" t="inlineStr">
        <is>
          <t>Africa</t>
        </is>
      </c>
      <c r="C54" t="inlineStr">
        <is>
          <t>Caa1</t>
        </is>
      </c>
      <c r="D54" t="n">
        <v>0.06372478453347744</v>
      </c>
      <c r="E54" t="n">
        <v>0.139376943200201</v>
      </c>
      <c r="F54" t="n">
        <v>0.09707694320020104</v>
      </c>
    </row>
    <row r="55">
      <c r="A55" t="inlineStr">
        <is>
          <t>El Salvador</t>
        </is>
      </c>
      <c r="B55" t="inlineStr">
        <is>
          <t>Central and South America</t>
        </is>
      </c>
      <c r="C55" t="inlineStr">
        <is>
          <t>B3</t>
        </is>
      </c>
      <c r="D55" t="n">
        <v>0.05523480540284173</v>
      </c>
      <c r="E55" t="n">
        <v>0.1264434946547197</v>
      </c>
      <c r="F55" t="n">
        <v>0.08414349465471971</v>
      </c>
    </row>
    <row r="56">
      <c r="A56" t="inlineStr">
        <is>
          <t>Estonia</t>
        </is>
      </c>
      <c r="B56" t="inlineStr">
        <is>
          <t>Eastern Europe &amp; Russia</t>
        </is>
      </c>
      <c r="C56" t="inlineStr">
        <is>
          <t>A1</t>
        </is>
      </c>
      <c r="D56" t="n">
        <v>0.005992926445154621</v>
      </c>
      <c r="E56" t="n">
        <v>0.05142949309092799</v>
      </c>
      <c r="F56" t="n">
        <v>0.009129493090928</v>
      </c>
    </row>
    <row r="57">
      <c r="A57" t="inlineStr">
        <is>
          <t>Ethiopia</t>
        </is>
      </c>
      <c r="B57" t="inlineStr">
        <is>
          <t>Africa</t>
        </is>
      </c>
      <c r="C57" t="inlineStr">
        <is>
          <t>Caa2</t>
        </is>
      </c>
      <c r="D57" t="n">
        <v>0.07650969428314061</v>
      </c>
      <c r="E57" t="n">
        <v>0.1588531951275141</v>
      </c>
      <c r="F57" t="n">
        <v>0.1165531951275141</v>
      </c>
    </row>
    <row r="58">
      <c r="A58" t="inlineStr">
        <is>
          <t>Fiji</t>
        </is>
      </c>
      <c r="B58" t="inlineStr">
        <is>
          <t>Asia</t>
        </is>
      </c>
      <c r="C58" t="inlineStr">
        <is>
          <t>B1</t>
        </is>
      </c>
      <c r="D58" t="n">
        <v>0.03825484714157031</v>
      </c>
      <c r="E58" t="n">
        <v>0.100576597563757</v>
      </c>
      <c r="F58" t="n">
        <v>0.05827659756375704</v>
      </c>
    </row>
    <row r="59">
      <c r="A59" t="inlineStr">
        <is>
          <t>Finland</t>
        </is>
      </c>
      <c r="B59" t="inlineStr">
        <is>
          <t>Western Europe</t>
        </is>
      </c>
      <c r="C59" t="inlineStr">
        <is>
          <t>Aa1</t>
        </is>
      </c>
      <c r="D59" t="n">
        <v>0.002333679169992019</v>
      </c>
      <c r="E59" t="n">
        <v>0.04585507581377215</v>
      </c>
      <c r="F59" t="n">
        <v>0.003555075813772155</v>
      </c>
    </row>
    <row r="60">
      <c r="A60" t="inlineStr">
        <is>
          <t>France</t>
        </is>
      </c>
      <c r="B60" t="inlineStr">
        <is>
          <t>Western Europe</t>
        </is>
      </c>
      <c r="C60" t="inlineStr">
        <is>
          <t>Aa3</t>
        </is>
      </c>
      <c r="D60" t="n">
        <v>0.005093987478381426</v>
      </c>
      <c r="E60" t="n">
        <v>0.0500600691272888</v>
      </c>
      <c r="F60" t="n">
        <v>0.007760069127288798</v>
      </c>
    </row>
    <row r="61">
      <c r="A61" t="inlineStr">
        <is>
          <t>Gabon</t>
        </is>
      </c>
      <c r="B61" t="inlineStr">
        <is>
          <t>Africa</t>
        </is>
      </c>
      <c r="C61" t="inlineStr">
        <is>
          <t>Caa2</t>
        </is>
      </c>
      <c r="D61" t="n">
        <v>0.07650969428314061</v>
      </c>
      <c r="E61" t="n">
        <v>0.1588531951275141</v>
      </c>
      <c r="F61" t="n">
        <v>0.1165531951275141</v>
      </c>
    </row>
    <row r="62">
      <c r="A62" t="inlineStr">
        <is>
          <t>Georgia</t>
        </is>
      </c>
      <c r="B62" t="inlineStr">
        <is>
          <t>Eastern Europe &amp; Russia</t>
        </is>
      </c>
      <c r="C62" t="inlineStr">
        <is>
          <t>Ba2</t>
        </is>
      </c>
      <c r="D62" t="n">
        <v>0.02556981949932637</v>
      </c>
      <c r="E62" t="n">
        <v>0.08125250385462612</v>
      </c>
      <c r="F62" t="n">
        <v>0.03895250385462613</v>
      </c>
    </row>
    <row r="63">
      <c r="A63" t="inlineStr">
        <is>
          <t>Germany</t>
        </is>
      </c>
      <c r="B63" t="inlineStr">
        <is>
          <t>Western Europe</t>
        </is>
      </c>
      <c r="C63" t="inlineStr">
        <is>
          <t>Aaa</t>
        </is>
      </c>
      <c r="D63" t="n">
        <v>0</v>
      </c>
      <c r="E63" t="n">
        <v>0.0423</v>
      </c>
      <c r="F63" t="n">
        <v>0</v>
      </c>
    </row>
    <row r="64">
      <c r="A64" t="inlineStr">
        <is>
          <t>Ghana</t>
        </is>
      </c>
      <c r="B64" t="inlineStr">
        <is>
          <t>Africa</t>
        </is>
      </c>
      <c r="C64" t="inlineStr">
        <is>
          <t>Caa1</t>
        </is>
      </c>
      <c r="D64" t="n">
        <v>0.06372478453347744</v>
      </c>
      <c r="E64" t="n">
        <v>0.139376943200201</v>
      </c>
      <c r="F64" t="n">
        <v>0.09707694320020104</v>
      </c>
    </row>
    <row r="65">
      <c r="A65" t="inlineStr">
        <is>
          <t>Greece</t>
        </is>
      </c>
      <c r="B65" t="inlineStr">
        <is>
          <t>Western Europe</t>
        </is>
      </c>
      <c r="C65" t="inlineStr">
        <is>
          <t>Baa3</t>
        </is>
      </c>
      <c r="D65" t="n">
        <v>0.01867795408739856</v>
      </c>
      <c r="E65" t="n">
        <v>0.07075358680005893</v>
      </c>
      <c r="F65" t="n">
        <v>0.02845358680005893</v>
      </c>
    </row>
    <row r="66">
      <c r="A66" t="inlineStr">
        <is>
          <t>Guatemala</t>
        </is>
      </c>
      <c r="B66" t="inlineStr">
        <is>
          <t>Central and South America</t>
        </is>
      </c>
      <c r="C66" t="inlineStr">
        <is>
          <t>Ba1</t>
        </is>
      </c>
      <c r="D66" t="n">
        <v>0.0212748888802989</v>
      </c>
      <c r="E66" t="n">
        <v>0.07470970047279439</v>
      </c>
      <c r="F66" t="n">
        <v>0.03240970047279439</v>
      </c>
    </row>
    <row r="67">
      <c r="A67" t="inlineStr">
        <is>
          <t>Guernsey (States of)</t>
        </is>
      </c>
      <c r="B67" t="inlineStr">
        <is>
          <t>Western Europe</t>
        </is>
      </c>
      <c r="C67" t="inlineStr">
        <is>
          <t>A1</t>
        </is>
      </c>
      <c r="D67" t="n">
        <v>0.005992926445154621</v>
      </c>
      <c r="E67" t="n">
        <v>0.05142949309092799</v>
      </c>
      <c r="F67" t="n">
        <v>0.009129493090928</v>
      </c>
    </row>
    <row r="68">
      <c r="A68" t="inlineStr">
        <is>
          <t>Honduras</t>
        </is>
      </c>
      <c r="B68" t="inlineStr">
        <is>
          <t>Central and South America</t>
        </is>
      </c>
      <c r="C68" t="inlineStr">
        <is>
          <t>B1</t>
        </is>
      </c>
      <c r="D68" t="n">
        <v>0.03825484714157031</v>
      </c>
      <c r="E68" t="n">
        <v>0.100576597563757</v>
      </c>
      <c r="F68" t="n">
        <v>0.05827659756375704</v>
      </c>
    </row>
    <row r="69">
      <c r="A69" t="inlineStr">
        <is>
          <t>Hong Kong</t>
        </is>
      </c>
      <c r="B69" t="inlineStr">
        <is>
          <t>Asia</t>
        </is>
      </c>
      <c r="C69" t="inlineStr">
        <is>
          <t>Aa3</t>
        </is>
      </c>
      <c r="D69" t="n">
        <v>0.005093987478381426</v>
      </c>
      <c r="E69" t="n">
        <v>0.0500600691272888</v>
      </c>
      <c r="F69" t="n">
        <v>0.007760069127288798</v>
      </c>
    </row>
    <row r="70">
      <c r="A70" t="inlineStr">
        <is>
          <t>Hungary</t>
        </is>
      </c>
      <c r="B70" t="inlineStr">
        <is>
          <t>Eastern Europe &amp; Russia</t>
        </is>
      </c>
      <c r="C70" t="inlineStr">
        <is>
          <t>Baa2</t>
        </is>
      </c>
      <c r="D70" t="n">
        <v>0.01618090140191747</v>
      </c>
      <c r="E70" t="n">
        <v>0.06694963134550559</v>
      </c>
      <c r="F70" t="n">
        <v>0.0246496313455056</v>
      </c>
    </row>
    <row r="71">
      <c r="A71" t="inlineStr">
        <is>
          <t>Iceland</t>
        </is>
      </c>
      <c r="B71" t="inlineStr">
        <is>
          <t>Western Europe</t>
        </is>
      </c>
      <c r="C71" t="inlineStr">
        <is>
          <t>A1</t>
        </is>
      </c>
      <c r="D71" t="n">
        <v>0.005992926445154621</v>
      </c>
      <c r="E71" t="n">
        <v>0.05142949309092799</v>
      </c>
      <c r="F71" t="n">
        <v>0.009129493090928</v>
      </c>
    </row>
    <row r="72">
      <c r="A72" t="inlineStr">
        <is>
          <t>India</t>
        </is>
      </c>
      <c r="B72" t="inlineStr">
        <is>
          <t>Asia</t>
        </is>
      </c>
      <c r="C72" t="inlineStr">
        <is>
          <t>Baa3</t>
        </is>
      </c>
      <c r="D72" t="n">
        <v>0.01867795408739856</v>
      </c>
      <c r="E72" t="n">
        <v>0.07075358680005893</v>
      </c>
      <c r="F72" t="n">
        <v>0.02845358680005893</v>
      </c>
    </row>
    <row r="73">
      <c r="A73" t="inlineStr">
        <is>
          <t>Indonesia</t>
        </is>
      </c>
      <c r="B73" t="inlineStr">
        <is>
          <t>Asia</t>
        </is>
      </c>
      <c r="C73" t="inlineStr">
        <is>
          <t>Baa2</t>
        </is>
      </c>
      <c r="D73" t="n">
        <v>0.01618090140191747</v>
      </c>
      <c r="E73" t="n">
        <v>0.06694963134550559</v>
      </c>
      <c r="F73" t="n">
        <v>0.0246496313455056</v>
      </c>
    </row>
    <row r="74">
      <c r="A74" t="inlineStr">
        <is>
          <t>Iraq</t>
        </is>
      </c>
      <c r="B74" t="inlineStr">
        <is>
          <t>Middle East</t>
        </is>
      </c>
      <c r="C74" t="inlineStr">
        <is>
          <t>Caa1</t>
        </is>
      </c>
      <c r="D74" t="n">
        <v>0.06372478453347744</v>
      </c>
      <c r="E74" t="n">
        <v>0.139376943200201</v>
      </c>
      <c r="F74" t="n">
        <v>0.09707694320020104</v>
      </c>
    </row>
    <row r="75">
      <c r="A75" t="inlineStr">
        <is>
          <t>Ireland</t>
        </is>
      </c>
      <c r="B75" t="inlineStr">
        <is>
          <t>Western Europe</t>
        </is>
      </c>
      <c r="C75" t="inlineStr">
        <is>
          <t>Aa3</t>
        </is>
      </c>
      <c r="D75" t="n">
        <v>0.005093987478381426</v>
      </c>
      <c r="E75" t="n">
        <v>0.0500600691272888</v>
      </c>
      <c r="F75" t="n">
        <v>0.007760069127288798</v>
      </c>
    </row>
    <row r="76">
      <c r="A76" t="inlineStr">
        <is>
          <t>Isle of Man</t>
        </is>
      </c>
      <c r="B76" t="inlineStr">
        <is>
          <t>Western Europe</t>
        </is>
      </c>
      <c r="C76" t="inlineStr">
        <is>
          <t>Aa3</t>
        </is>
      </c>
      <c r="D76" t="n">
        <v>0.005093987478381426</v>
      </c>
      <c r="E76" t="n">
        <v>0.0500600691272888</v>
      </c>
      <c r="F76" t="n">
        <v>0.007760069127288798</v>
      </c>
    </row>
    <row r="77">
      <c r="A77" t="inlineStr">
        <is>
          <t>Israel</t>
        </is>
      </c>
      <c r="B77" t="inlineStr">
        <is>
          <t>Middle East</t>
        </is>
      </c>
      <c r="C77" t="inlineStr">
        <is>
          <t>Baa1</t>
        </is>
      </c>
      <c r="D77" t="n">
        <v>0.01358396660901713</v>
      </c>
      <c r="E77" t="n">
        <v>0.06299351767277012</v>
      </c>
      <c r="F77" t="n">
        <v>0.02069351767277013</v>
      </c>
    </row>
    <row r="78">
      <c r="A78" t="inlineStr">
        <is>
          <t>Italy</t>
        </is>
      </c>
      <c r="B78" t="inlineStr">
        <is>
          <t>Western Europe</t>
        </is>
      </c>
      <c r="C78" t="inlineStr">
        <is>
          <t>Baa2</t>
        </is>
      </c>
      <c r="D78" t="n">
        <v>0.01618090140191747</v>
      </c>
      <c r="E78" t="n">
        <v>0.06694963134550559</v>
      </c>
      <c r="F78" t="n">
        <v>0.0246496313455056</v>
      </c>
    </row>
    <row r="79">
      <c r="A79" t="inlineStr">
        <is>
          <t>Jamaica</t>
        </is>
      </c>
      <c r="B79" t="inlineStr">
        <is>
          <t>Caribbean</t>
        </is>
      </c>
      <c r="C79" t="inlineStr">
        <is>
          <t>Ba3</t>
        </is>
      </c>
      <c r="D79" t="n">
        <v>0.03056392487028855</v>
      </c>
      <c r="E79" t="n">
        <v>0.08886041476373278</v>
      </c>
      <c r="F79" t="n">
        <v>0.04656041476373279</v>
      </c>
    </row>
    <row r="80">
      <c r="A80" t="inlineStr">
        <is>
          <t>Japan</t>
        </is>
      </c>
      <c r="B80" t="inlineStr">
        <is>
          <t>Asia</t>
        </is>
      </c>
      <c r="C80" t="inlineStr">
        <is>
          <t>A1</t>
        </is>
      </c>
      <c r="D80" t="n">
        <v>0.005992926445154621</v>
      </c>
      <c r="E80" t="n">
        <v>0.05142949309092799</v>
      </c>
      <c r="F80" t="n">
        <v>0.009129493090928</v>
      </c>
    </row>
    <row r="81">
      <c r="A81" t="inlineStr">
        <is>
          <t>Jersey (States of)</t>
        </is>
      </c>
      <c r="B81" t="inlineStr">
        <is>
          <t>Western Europe</t>
        </is>
      </c>
      <c r="C81" t="inlineStr">
        <is>
          <t>Aa3</t>
        </is>
      </c>
      <c r="D81" t="n">
        <v>0.005093987478381426</v>
      </c>
      <c r="E81" t="n">
        <v>0.0500600691272888</v>
      </c>
      <c r="F81" t="n">
        <v>0.007760069127288798</v>
      </c>
    </row>
    <row r="82">
      <c r="A82" t="inlineStr">
        <is>
          <t>Jordan</t>
        </is>
      </c>
      <c r="B82" t="inlineStr">
        <is>
          <t>Middle East</t>
        </is>
      </c>
      <c r="C82" t="inlineStr">
        <is>
          <t>Ba3</t>
        </is>
      </c>
      <c r="D82" t="n">
        <v>0.03056392487028855</v>
      </c>
      <c r="E82" t="n">
        <v>0.08886041476373278</v>
      </c>
      <c r="F82" t="n">
        <v>0.04656041476373279</v>
      </c>
    </row>
    <row r="83">
      <c r="A83" t="inlineStr">
        <is>
          <t>Kazakhstan</t>
        </is>
      </c>
      <c r="B83" t="inlineStr">
        <is>
          <t>Eastern Europe &amp; Russia</t>
        </is>
      </c>
      <c r="C83" t="inlineStr">
        <is>
          <t>Baa1</t>
        </is>
      </c>
      <c r="D83" t="n">
        <v>0.01358396660901713</v>
      </c>
      <c r="E83" t="n">
        <v>0.06299351767277012</v>
      </c>
      <c r="F83" t="n">
        <v>0.02069351767277013</v>
      </c>
    </row>
    <row r="84">
      <c r="A84" t="inlineStr">
        <is>
          <t>Kenya</t>
        </is>
      </c>
      <c r="B84" t="inlineStr">
        <is>
          <t>Africa</t>
        </is>
      </c>
      <c r="C84" t="inlineStr">
        <is>
          <t>B3</t>
        </is>
      </c>
      <c r="D84" t="n">
        <v>0.05523480540284173</v>
      </c>
      <c r="E84" t="n">
        <v>0.1264434946547197</v>
      </c>
      <c r="F84" t="n">
        <v>0.08414349465471971</v>
      </c>
    </row>
    <row r="85">
      <c r="A85" t="inlineStr">
        <is>
          <t>Korea</t>
        </is>
      </c>
      <c r="B85" t="inlineStr">
        <is>
          <t>Asia</t>
        </is>
      </c>
      <c r="C85" t="inlineStr">
        <is>
          <t>Aa2</t>
        </is>
      </c>
      <c r="D85" t="n">
        <v>0.004195048511608233</v>
      </c>
      <c r="E85" t="n">
        <v>0.0486906451636496</v>
      </c>
      <c r="F85" t="n">
        <v>0.006390645163649599</v>
      </c>
    </row>
    <row r="86">
      <c r="A86" t="inlineStr">
        <is>
          <t>Kuwait</t>
        </is>
      </c>
      <c r="B86" t="inlineStr">
        <is>
          <t>Middle East</t>
        </is>
      </c>
      <c r="C86" t="inlineStr">
        <is>
          <t>A1</t>
        </is>
      </c>
      <c r="D86" t="n">
        <v>0.005992926445154621</v>
      </c>
      <c r="E86" t="n">
        <v>0.05142949309092799</v>
      </c>
      <c r="F86" t="n">
        <v>0.009129493090928</v>
      </c>
    </row>
    <row r="87">
      <c r="A87" t="inlineStr">
        <is>
          <t>Kyrgyzstan</t>
        </is>
      </c>
      <c r="B87" t="inlineStr">
        <is>
          <t>Eastern Europe &amp; Russia</t>
        </is>
      </c>
      <c r="C87" t="inlineStr">
        <is>
          <t>B3</t>
        </is>
      </c>
      <c r="D87" t="n">
        <v>0.05523480540284173</v>
      </c>
      <c r="E87" t="n">
        <v>0.1264434946547197</v>
      </c>
      <c r="F87" t="n">
        <v>0.08414349465471971</v>
      </c>
    </row>
    <row r="88">
      <c r="A88" t="inlineStr">
        <is>
          <t>Laos</t>
        </is>
      </c>
      <c r="B88" t="inlineStr">
        <is>
          <t>Asia</t>
        </is>
      </c>
      <c r="C88" t="inlineStr">
        <is>
          <t>Caa2</t>
        </is>
      </c>
      <c r="D88" t="n">
        <v>0.07650969428314061</v>
      </c>
      <c r="E88" t="n">
        <v>0.1588531951275141</v>
      </c>
      <c r="F88" t="n">
        <v>0.1165531951275141</v>
      </c>
    </row>
    <row r="89">
      <c r="A89" t="inlineStr">
        <is>
          <t>Latvia</t>
        </is>
      </c>
      <c r="B89" t="inlineStr">
        <is>
          <t>Eastern Europe &amp; Russia</t>
        </is>
      </c>
      <c r="C89" t="inlineStr">
        <is>
          <t>A3</t>
        </is>
      </c>
      <c r="D89" t="n">
        <v>0.01018797495676285</v>
      </c>
      <c r="E89" t="n">
        <v>0.0578201382545776</v>
      </c>
      <c r="F89" t="n">
        <v>0.0155201382545776</v>
      </c>
    </row>
    <row r="90">
      <c r="A90" t="inlineStr">
        <is>
          <t>Lebanon</t>
        </is>
      </c>
      <c r="B90" t="inlineStr">
        <is>
          <t>Middle East</t>
        </is>
      </c>
      <c r="C90" t="inlineStr">
        <is>
          <t>C</t>
        </is>
      </c>
      <c r="D90" t="n">
        <v>0.175</v>
      </c>
      <c r="E90" t="n">
        <v>0.3088911730326901</v>
      </c>
      <c r="F90" t="n">
        <v>0.2665911730326901</v>
      </c>
    </row>
    <row r="91">
      <c r="A91" t="inlineStr">
        <is>
          <t>Liechtenstein</t>
        </is>
      </c>
      <c r="B91" t="inlineStr">
        <is>
          <t>Western Europe</t>
        </is>
      </c>
      <c r="C91" t="inlineStr">
        <is>
          <t>Aaa</t>
        </is>
      </c>
      <c r="D91" t="n">
        <v>0</v>
      </c>
      <c r="E91" t="n">
        <v>0.0423</v>
      </c>
      <c r="F91" t="n">
        <v>0</v>
      </c>
    </row>
    <row r="92">
      <c r="A92" t="inlineStr">
        <is>
          <t>Lithuania</t>
        </is>
      </c>
      <c r="B92" t="inlineStr">
        <is>
          <t>Eastern Europe &amp; Russia</t>
        </is>
      </c>
      <c r="C92" t="inlineStr">
        <is>
          <t>A2</t>
        </is>
      </c>
      <c r="D92" t="n">
        <v>0.007191511734185542</v>
      </c>
      <c r="E92" t="n">
        <v>0.05325539170911359</v>
      </c>
      <c r="F92" t="n">
        <v>0.0109553917091136</v>
      </c>
    </row>
    <row r="93">
      <c r="A93" t="inlineStr">
        <is>
          <t>Luxembourg</t>
        </is>
      </c>
      <c r="B93" t="inlineStr">
        <is>
          <t>Western Europe</t>
        </is>
      </c>
      <c r="C93" t="inlineStr">
        <is>
          <t>Aaa</t>
        </is>
      </c>
      <c r="D93" t="n">
        <v>0</v>
      </c>
      <c r="E93" t="n">
        <v>0.0423</v>
      </c>
      <c r="F93" t="n">
        <v>0</v>
      </c>
    </row>
    <row r="94">
      <c r="A94" t="inlineStr">
        <is>
          <t>Macao</t>
        </is>
      </c>
      <c r="B94" t="inlineStr">
        <is>
          <t>Asia</t>
        </is>
      </c>
      <c r="C94" t="inlineStr">
        <is>
          <t>Aa3</t>
        </is>
      </c>
      <c r="D94" t="n">
        <v>0.005093987478381426</v>
      </c>
      <c r="E94" t="n">
        <v>0.0500600691272888</v>
      </c>
      <c r="F94" t="n">
        <v>0.007760069127288798</v>
      </c>
    </row>
    <row r="95">
      <c r="A95" t="inlineStr">
        <is>
          <t>Macedonia</t>
        </is>
      </c>
      <c r="B95" t="inlineStr">
        <is>
          <t>Eastern Europe &amp; Russia</t>
        </is>
      </c>
      <c r="C95" t="inlineStr">
        <is>
          <t>Ba3</t>
        </is>
      </c>
      <c r="D95" t="n">
        <v>0.03056392487028855</v>
      </c>
      <c r="E95" t="n">
        <v>0.08886041476373278</v>
      </c>
      <c r="F95" t="n">
        <v>0.04656041476373279</v>
      </c>
    </row>
    <row r="96">
      <c r="A96" t="inlineStr">
        <is>
          <t>Malaysia</t>
        </is>
      </c>
      <c r="B96" t="inlineStr">
        <is>
          <t>Asia</t>
        </is>
      </c>
      <c r="C96" t="inlineStr">
        <is>
          <t>A3</t>
        </is>
      </c>
      <c r="D96" t="n">
        <v>0.01018797495676285</v>
      </c>
      <c r="E96" t="n">
        <v>0.0578201382545776</v>
      </c>
      <c r="F96" t="n">
        <v>0.0155201382545776</v>
      </c>
    </row>
    <row r="97">
      <c r="A97" t="inlineStr">
        <is>
          <t>Maldives</t>
        </is>
      </c>
      <c r="B97" t="inlineStr">
        <is>
          <t>Asia</t>
        </is>
      </c>
      <c r="C97" t="inlineStr">
        <is>
          <t>Caa2</t>
        </is>
      </c>
      <c r="D97" t="n">
        <v>0.07650969428314061</v>
      </c>
      <c r="E97" t="n">
        <v>0.1588531951275141</v>
      </c>
      <c r="F97" t="n">
        <v>0.1165531951275141</v>
      </c>
    </row>
    <row r="98">
      <c r="A98" t="inlineStr">
        <is>
          <t>Mali</t>
        </is>
      </c>
      <c r="B98" t="inlineStr">
        <is>
          <t>Africa</t>
        </is>
      </c>
      <c r="C98" t="inlineStr">
        <is>
          <t>Caa2</t>
        </is>
      </c>
      <c r="D98" t="n">
        <v>0.07650969428314061</v>
      </c>
      <c r="E98" t="n">
        <v>0.1588531951275141</v>
      </c>
      <c r="F98" t="n">
        <v>0.1165531951275141</v>
      </c>
    </row>
    <row r="99">
      <c r="A99" t="inlineStr">
        <is>
          <t>Malta</t>
        </is>
      </c>
      <c r="B99" t="inlineStr">
        <is>
          <t>Western Europe</t>
        </is>
      </c>
      <c r="C99" t="inlineStr">
        <is>
          <t>A2</t>
        </is>
      </c>
      <c r="D99" t="n">
        <v>0.007191511734185542</v>
      </c>
      <c r="E99" t="n">
        <v>0.05325539170911359</v>
      </c>
      <c r="F99" t="n">
        <v>0.0109553917091136</v>
      </c>
    </row>
    <row r="100">
      <c r="A100" t="inlineStr">
        <is>
          <t>Mauritius</t>
        </is>
      </c>
      <c r="B100" t="inlineStr">
        <is>
          <t>Africa</t>
        </is>
      </c>
      <c r="C100" t="inlineStr">
        <is>
          <t>Baa3</t>
        </is>
      </c>
      <c r="D100" t="n">
        <v>0.01867795408739856</v>
      </c>
      <c r="E100" t="n">
        <v>0.07075358680005893</v>
      </c>
      <c r="F100" t="n">
        <v>0.02845358680005893</v>
      </c>
    </row>
    <row r="101">
      <c r="A101" t="inlineStr">
        <is>
          <t>Mexico</t>
        </is>
      </c>
      <c r="B101" t="inlineStr">
        <is>
          <t>Central and South America</t>
        </is>
      </c>
      <c r="C101" t="inlineStr">
        <is>
          <t>Baa2</t>
        </is>
      </c>
      <c r="D101" t="n">
        <v>0.01618090140191747</v>
      </c>
      <c r="E101" t="n">
        <v>0.06694963134550559</v>
      </c>
      <c r="F101" t="n">
        <v>0.0246496313455056</v>
      </c>
    </row>
    <row r="102">
      <c r="A102" t="inlineStr">
        <is>
          <t>Moldova</t>
        </is>
      </c>
      <c r="B102" t="inlineStr">
        <is>
          <t>Eastern Europe &amp; Russia</t>
        </is>
      </c>
      <c r="C102" t="inlineStr">
        <is>
          <t>B3</t>
        </is>
      </c>
      <c r="D102" t="n">
        <v>0.05523480540284173</v>
      </c>
      <c r="E102" t="n">
        <v>0.1264434946547197</v>
      </c>
      <c r="F102" t="n">
        <v>0.08414349465471971</v>
      </c>
    </row>
    <row r="103">
      <c r="A103" t="inlineStr">
        <is>
          <t>Mongolia</t>
        </is>
      </c>
      <c r="B103" t="inlineStr">
        <is>
          <t>Asia</t>
        </is>
      </c>
      <c r="C103" t="inlineStr">
        <is>
          <t>B1</t>
        </is>
      </c>
      <c r="D103" t="n">
        <v>0.03825484714157031</v>
      </c>
      <c r="E103" t="n">
        <v>0.100576597563757</v>
      </c>
      <c r="F103" t="n">
        <v>0.05827659756375704</v>
      </c>
    </row>
    <row r="104">
      <c r="A104" t="inlineStr">
        <is>
          <t>Montenegro</t>
        </is>
      </c>
      <c r="B104" t="inlineStr">
        <is>
          <t>Eastern Europe &amp; Russia</t>
        </is>
      </c>
      <c r="C104" t="inlineStr">
        <is>
          <t>B1</t>
        </is>
      </c>
      <c r="D104" t="n">
        <v>0.03825484714157031</v>
      </c>
      <c r="E104" t="n">
        <v>0.100576597563757</v>
      </c>
      <c r="F104" t="n">
        <v>0.05827659756375704</v>
      </c>
    </row>
    <row r="105">
      <c r="A105" t="inlineStr">
        <is>
          <t>Montserrat</t>
        </is>
      </c>
      <c r="B105" t="inlineStr">
        <is>
          <t>Caribbean</t>
        </is>
      </c>
      <c r="C105" t="inlineStr">
        <is>
          <t>Baa3</t>
        </is>
      </c>
      <c r="D105" t="n">
        <v>0.01867795408739856</v>
      </c>
      <c r="E105" t="n">
        <v>0.07075358680005893</v>
      </c>
      <c r="F105" t="n">
        <v>0.02845358680005893</v>
      </c>
    </row>
    <row r="106">
      <c r="A106" t="inlineStr">
        <is>
          <t>Morocco</t>
        </is>
      </c>
      <c r="B106" t="inlineStr">
        <is>
          <t>Africa</t>
        </is>
      </c>
      <c r="C106" t="inlineStr">
        <is>
          <t>Ba1</t>
        </is>
      </c>
      <c r="D106" t="n">
        <v>0.0212748888802989</v>
      </c>
      <c r="E106" t="n">
        <v>0.07470970047279439</v>
      </c>
      <c r="F106" t="n">
        <v>0.03240970047279439</v>
      </c>
    </row>
    <row r="107">
      <c r="A107" t="inlineStr">
        <is>
          <t>Mozambique</t>
        </is>
      </c>
      <c r="B107" t="inlineStr">
        <is>
          <t>Africa</t>
        </is>
      </c>
      <c r="C107" t="inlineStr">
        <is>
          <t>Caa3</t>
        </is>
      </c>
      <c r="D107" t="n">
        <v>0.08499967341377634</v>
      </c>
      <c r="E107" t="n">
        <v>0.1717866436729955</v>
      </c>
      <c r="F107" t="n">
        <v>0.1294866436729954</v>
      </c>
    </row>
    <row r="108">
      <c r="A108" t="inlineStr">
        <is>
          <t>Namibia</t>
        </is>
      </c>
      <c r="B108" t="inlineStr">
        <is>
          <t>Africa</t>
        </is>
      </c>
      <c r="C108" t="inlineStr">
        <is>
          <t>B1</t>
        </is>
      </c>
      <c r="D108" t="n">
        <v>0.03825484714157031</v>
      </c>
      <c r="E108" t="n">
        <v>0.100576597563757</v>
      </c>
      <c r="F108" t="n">
        <v>0.05827659756375704</v>
      </c>
    </row>
    <row r="109">
      <c r="A109" t="inlineStr">
        <is>
          <t>Nepal</t>
        </is>
      </c>
      <c r="B109" t="inlineStr">
        <is>
          <t>Asia</t>
        </is>
      </c>
      <c r="C109" t="inlineStr">
        <is>
          <t>Ba3</t>
        </is>
      </c>
      <c r="D109" t="n">
        <v>0.03056392487028855</v>
      </c>
      <c r="E109" t="n">
        <v>0.08886041476373278</v>
      </c>
      <c r="F109" t="n">
        <v>0.04656041476373279</v>
      </c>
    </row>
    <row r="110">
      <c r="A110" t="inlineStr">
        <is>
          <t>Netherlands</t>
        </is>
      </c>
      <c r="B110" t="inlineStr">
        <is>
          <t>Western Europe</t>
        </is>
      </c>
      <c r="C110" t="inlineStr">
        <is>
          <t>Aaa</t>
        </is>
      </c>
      <c r="D110" t="n">
        <v>0</v>
      </c>
      <c r="E110" t="n">
        <v>0.0423</v>
      </c>
      <c r="F110" t="n">
        <v>0</v>
      </c>
    </row>
    <row r="111">
      <c r="A111" t="inlineStr">
        <is>
          <t>New Zealand</t>
        </is>
      </c>
      <c r="B111" t="inlineStr">
        <is>
          <t>Australia &amp; New Zealand</t>
        </is>
      </c>
      <c r="C111" t="inlineStr">
        <is>
          <t>Aaa</t>
        </is>
      </c>
      <c r="D111" t="n">
        <v>0</v>
      </c>
      <c r="E111" t="n">
        <v>0.0423</v>
      </c>
      <c r="F111" t="n">
        <v>0</v>
      </c>
    </row>
    <row r="112">
      <c r="A112" t="inlineStr">
        <is>
          <t>Nicaragua</t>
        </is>
      </c>
      <c r="B112" t="inlineStr">
        <is>
          <t>Central and South America</t>
        </is>
      </c>
      <c r="C112" t="inlineStr">
        <is>
          <t>B2</t>
        </is>
      </c>
      <c r="D112" t="n">
        <v>0.04674482627220602</v>
      </c>
      <c r="E112" t="n">
        <v>0.1135100461092384</v>
      </c>
      <c r="F112" t="n">
        <v>0.07121004610923838</v>
      </c>
    </row>
    <row r="113">
      <c r="A113" t="inlineStr">
        <is>
          <t>Niger</t>
        </is>
      </c>
      <c r="B113" t="inlineStr">
        <is>
          <t>Africa</t>
        </is>
      </c>
      <c r="C113" t="inlineStr">
        <is>
          <t>Caa3</t>
        </is>
      </c>
      <c r="D113" t="n">
        <v>0.08499967341377634</v>
      </c>
      <c r="E113" t="n">
        <v>0.1717866436729955</v>
      </c>
      <c r="F113" t="n">
        <v>0.1294866436729954</v>
      </c>
    </row>
    <row r="114">
      <c r="A114" t="inlineStr">
        <is>
          <t>Nigeria</t>
        </is>
      </c>
      <c r="B114" t="inlineStr">
        <is>
          <t>Africa</t>
        </is>
      </c>
      <c r="C114" t="inlineStr">
        <is>
          <t>B3</t>
        </is>
      </c>
      <c r="D114" t="n">
        <v>0.05523480540284173</v>
      </c>
      <c r="E114" t="n">
        <v>0.1264434946547197</v>
      </c>
      <c r="F114" t="n">
        <v>0.08414349465471971</v>
      </c>
    </row>
    <row r="115">
      <c r="A115" t="inlineStr">
        <is>
          <t>Norway</t>
        </is>
      </c>
      <c r="B115" t="inlineStr">
        <is>
          <t>Western Europe</t>
        </is>
      </c>
      <c r="C115" t="inlineStr">
        <is>
          <t>Aaa</t>
        </is>
      </c>
      <c r="D115" t="n">
        <v>0</v>
      </c>
      <c r="E115" t="n">
        <v>0.0423</v>
      </c>
      <c r="F115" t="n">
        <v>0</v>
      </c>
    </row>
    <row r="116">
      <c r="A116" t="inlineStr">
        <is>
          <t>Oman</t>
        </is>
      </c>
      <c r="B116" t="inlineStr">
        <is>
          <t>Middle East</t>
        </is>
      </c>
      <c r="C116" t="inlineStr">
        <is>
          <t>Baa3</t>
        </is>
      </c>
      <c r="D116" t="n">
        <v>0.01867795408739856</v>
      </c>
      <c r="E116" t="n">
        <v>0.07075358680005893</v>
      </c>
      <c r="F116" t="n">
        <v>0.02845358680005893</v>
      </c>
    </row>
    <row r="117">
      <c r="A117" t="inlineStr">
        <is>
          <t>Pakistan</t>
        </is>
      </c>
      <c r="B117" t="inlineStr">
        <is>
          <t>Asia</t>
        </is>
      </c>
      <c r="C117" t="inlineStr">
        <is>
          <t>Caa1</t>
        </is>
      </c>
      <c r="D117" t="n">
        <v>0.06372478453347744</v>
      </c>
      <c r="E117" t="n">
        <v>0.139376943200201</v>
      </c>
      <c r="F117" t="n">
        <v>0.09707694320020104</v>
      </c>
    </row>
    <row r="118">
      <c r="A118" t="inlineStr">
        <is>
          <t>Panama</t>
        </is>
      </c>
      <c r="B118" t="inlineStr">
        <is>
          <t>Central and South America</t>
        </is>
      </c>
      <c r="C118" t="inlineStr">
        <is>
          <t>Baa3</t>
        </is>
      </c>
      <c r="D118" t="n">
        <v>0.01867795408739856</v>
      </c>
      <c r="E118" t="n">
        <v>0.07075358680005893</v>
      </c>
      <c r="F118" t="n">
        <v>0.02845358680005893</v>
      </c>
    </row>
    <row r="119">
      <c r="A119" t="inlineStr">
        <is>
          <t>Papua New Guinea</t>
        </is>
      </c>
      <c r="B119" t="inlineStr">
        <is>
          <t>Asia</t>
        </is>
      </c>
      <c r="C119" t="inlineStr">
        <is>
          <t>B2</t>
        </is>
      </c>
      <c r="D119" t="n">
        <v>0.04674482627220602</v>
      </c>
      <c r="E119" t="n">
        <v>0.1135100461092384</v>
      </c>
      <c r="F119" t="n">
        <v>0.07121004610923838</v>
      </c>
    </row>
    <row r="120">
      <c r="A120" t="inlineStr">
        <is>
          <t>Paraguay</t>
        </is>
      </c>
      <c r="B120" t="inlineStr">
        <is>
          <t>Central and South America</t>
        </is>
      </c>
      <c r="C120" t="inlineStr">
        <is>
          <t>Baa3</t>
        </is>
      </c>
      <c r="D120" t="n">
        <v>0.01867795408739856</v>
      </c>
      <c r="E120" t="n">
        <v>0.07075358680005893</v>
      </c>
      <c r="F120" t="n">
        <v>0.02845358680005893</v>
      </c>
    </row>
    <row r="121">
      <c r="A121" t="inlineStr">
        <is>
          <t>Peru</t>
        </is>
      </c>
      <c r="B121" t="inlineStr">
        <is>
          <t>Central and South America</t>
        </is>
      </c>
      <c r="C121" t="inlineStr">
        <is>
          <t>Baa1</t>
        </is>
      </c>
      <c r="D121" t="n">
        <v>0.01358396660901713</v>
      </c>
      <c r="E121" t="n">
        <v>0.06299351767277012</v>
      </c>
      <c r="F121" t="n">
        <v>0.02069351767277013</v>
      </c>
    </row>
    <row r="122">
      <c r="A122" t="inlineStr">
        <is>
          <t>Philippines</t>
        </is>
      </c>
      <c r="B122" t="inlineStr">
        <is>
          <t>Asia</t>
        </is>
      </c>
      <c r="C122" t="inlineStr">
        <is>
          <t>Baa2</t>
        </is>
      </c>
      <c r="D122" t="n">
        <v>0.01618090140191747</v>
      </c>
      <c r="E122" t="n">
        <v>0.06694963134550559</v>
      </c>
      <c r="F122" t="n">
        <v>0.0246496313455056</v>
      </c>
    </row>
    <row r="123">
      <c r="A123" t="inlineStr">
        <is>
          <t>Poland</t>
        </is>
      </c>
      <c r="B123" t="inlineStr">
        <is>
          <t>Eastern Europe &amp; Russia</t>
        </is>
      </c>
      <c r="C123" t="inlineStr">
        <is>
          <t>A2</t>
        </is>
      </c>
      <c r="D123" t="n">
        <v>0.007191511734185542</v>
      </c>
      <c r="E123" t="n">
        <v>0.05325539170911359</v>
      </c>
      <c r="F123" t="n">
        <v>0.0109553917091136</v>
      </c>
    </row>
    <row r="124">
      <c r="A124" t="inlineStr">
        <is>
          <t>Portugal</t>
        </is>
      </c>
      <c r="B124" t="inlineStr">
        <is>
          <t>Western Europe</t>
        </is>
      </c>
      <c r="C124" t="inlineStr">
        <is>
          <t>A3</t>
        </is>
      </c>
      <c r="D124" t="n">
        <v>0.01018797495676285</v>
      </c>
      <c r="E124" t="n">
        <v>0.0578201382545776</v>
      </c>
      <c r="F124" t="n">
        <v>0.0155201382545776</v>
      </c>
    </row>
    <row r="125">
      <c r="A125" t="inlineStr">
        <is>
          <t>Qatar</t>
        </is>
      </c>
      <c r="B125" t="inlineStr">
        <is>
          <t>Middle East</t>
        </is>
      </c>
      <c r="C125" t="inlineStr">
        <is>
          <t>Aa2</t>
        </is>
      </c>
      <c r="D125" t="n">
        <v>0.004195048511608233</v>
      </c>
      <c r="E125" t="n">
        <v>0.0486906451636496</v>
      </c>
      <c r="F125" t="n">
        <v>0.006390645163649599</v>
      </c>
    </row>
    <row r="126">
      <c r="A126" t="inlineStr">
        <is>
          <t>Ras Al Khaimah (Emirate of)</t>
        </is>
      </c>
      <c r="B126" t="inlineStr">
        <is>
          <t>Middle East</t>
        </is>
      </c>
      <c r="C126" t="inlineStr">
        <is>
          <t>A3</t>
        </is>
      </c>
      <c r="D126" t="n">
        <v>0.01018797495676285</v>
      </c>
      <c r="E126" t="n">
        <v>0.0578201382545776</v>
      </c>
      <c r="F126" t="n">
        <v>0.0155201382545776</v>
      </c>
    </row>
    <row r="127">
      <c r="A127" t="inlineStr">
        <is>
          <t>Romania</t>
        </is>
      </c>
      <c r="B127" t="inlineStr">
        <is>
          <t>Eastern Europe &amp; Russia</t>
        </is>
      </c>
      <c r="C127" t="inlineStr">
        <is>
          <t>Baa3</t>
        </is>
      </c>
      <c r="D127" t="n">
        <v>0.01867795408739856</v>
      </c>
      <c r="E127" t="n">
        <v>0.07075358680005893</v>
      </c>
      <c r="F127" t="n">
        <v>0.02845358680005893</v>
      </c>
    </row>
    <row r="128">
      <c r="A128" t="inlineStr">
        <is>
          <t>Rwanda</t>
        </is>
      </c>
      <c r="B128" t="inlineStr">
        <is>
          <t>Africa</t>
        </is>
      </c>
      <c r="C128" t="inlineStr">
        <is>
          <t>B2</t>
        </is>
      </c>
      <c r="D128" t="n">
        <v>0.04674482627220602</v>
      </c>
      <c r="E128" t="n">
        <v>0.1135100461092384</v>
      </c>
      <c r="F128" t="n">
        <v>0.07121004610923838</v>
      </c>
    </row>
    <row r="129">
      <c r="A129" t="inlineStr">
        <is>
          <t>Saudi Arabia</t>
        </is>
      </c>
      <c r="B129" t="inlineStr">
        <is>
          <t>Middle East</t>
        </is>
      </c>
      <c r="C129" t="inlineStr">
        <is>
          <t>Aa3</t>
        </is>
      </c>
      <c r="D129" t="n">
        <v>0.005093987478381426</v>
      </c>
      <c r="E129" t="n">
        <v>0.0500600691272888</v>
      </c>
      <c r="F129" t="n">
        <v>0.007760069127288798</v>
      </c>
    </row>
    <row r="130">
      <c r="A130" t="inlineStr">
        <is>
          <t>Senegal</t>
        </is>
      </c>
      <c r="B130" t="inlineStr">
        <is>
          <t>Africa</t>
        </is>
      </c>
      <c r="C130" t="inlineStr">
        <is>
          <t>Caa1</t>
        </is>
      </c>
      <c r="D130" t="n">
        <v>0.06372478453347744</v>
      </c>
      <c r="E130" t="n">
        <v>0.139376943200201</v>
      </c>
      <c r="F130" t="n">
        <v>0.09707694320020104</v>
      </c>
    </row>
    <row r="131">
      <c r="A131" t="inlineStr">
        <is>
          <t>Serbia</t>
        </is>
      </c>
      <c r="B131" t="inlineStr">
        <is>
          <t>Eastern Europe &amp; Russia</t>
        </is>
      </c>
      <c r="C131" t="inlineStr">
        <is>
          <t>Ba2</t>
        </is>
      </c>
      <c r="D131" t="n">
        <v>0.02556981949932637</v>
      </c>
      <c r="E131" t="n">
        <v>0.08125250385462612</v>
      </c>
      <c r="F131" t="n">
        <v>0.03895250385462613</v>
      </c>
    </row>
    <row r="132">
      <c r="A132" t="inlineStr">
        <is>
          <t>Sharjah</t>
        </is>
      </c>
      <c r="B132" t="inlineStr">
        <is>
          <t>Middle East</t>
        </is>
      </c>
      <c r="C132" t="inlineStr">
        <is>
          <t>Ba1</t>
        </is>
      </c>
      <c r="D132" t="n">
        <v>0.0212748888802989</v>
      </c>
      <c r="E132" t="n">
        <v>0.07470970047279439</v>
      </c>
      <c r="F132" t="n">
        <v>0.03240970047279439</v>
      </c>
    </row>
    <row r="133">
      <c r="A133" t="inlineStr">
        <is>
          <t>Singapore</t>
        </is>
      </c>
      <c r="B133" t="inlineStr">
        <is>
          <t>Asia</t>
        </is>
      </c>
      <c r="C133" t="inlineStr">
        <is>
          <t>Aaa</t>
        </is>
      </c>
      <c r="D133" t="n">
        <v>0</v>
      </c>
      <c r="E133" t="n">
        <v>0.0423</v>
      </c>
      <c r="F133" t="n">
        <v>0</v>
      </c>
    </row>
    <row r="134">
      <c r="A134" t="inlineStr">
        <is>
          <t>Slovakia</t>
        </is>
      </c>
      <c r="B134" t="inlineStr">
        <is>
          <t>Eastern Europe &amp; Russia</t>
        </is>
      </c>
      <c r="C134" t="inlineStr">
        <is>
          <t>A3</t>
        </is>
      </c>
      <c r="D134" t="n">
        <v>0.01018797495676285</v>
      </c>
      <c r="E134" t="n">
        <v>0.0578201382545776</v>
      </c>
      <c r="F134" t="n">
        <v>0.0155201382545776</v>
      </c>
    </row>
    <row r="135">
      <c r="A135" t="inlineStr">
        <is>
          <t>Slovenia</t>
        </is>
      </c>
      <c r="B135" t="inlineStr">
        <is>
          <t>Eastern Europe &amp; Russia</t>
        </is>
      </c>
      <c r="C135" t="inlineStr">
        <is>
          <t>A3</t>
        </is>
      </c>
      <c r="D135" t="n">
        <v>0.01018797495676285</v>
      </c>
      <c r="E135" t="n">
        <v>0.0578201382545776</v>
      </c>
      <c r="F135" t="n">
        <v>0.0155201382545776</v>
      </c>
    </row>
    <row r="136">
      <c r="A136" t="inlineStr">
        <is>
          <t>Solomon Islands</t>
        </is>
      </c>
      <c r="B136" t="inlineStr">
        <is>
          <t>Asia</t>
        </is>
      </c>
      <c r="C136" t="inlineStr">
        <is>
          <t>Caa1</t>
        </is>
      </c>
      <c r="D136" t="n">
        <v>0.06372478453347744</v>
      </c>
      <c r="E136" t="n">
        <v>0.139376943200201</v>
      </c>
      <c r="F136" t="n">
        <v>0.09707694320020104</v>
      </c>
    </row>
    <row r="137">
      <c r="A137" t="inlineStr">
        <is>
          <t>South Africa</t>
        </is>
      </c>
      <c r="B137" t="inlineStr">
        <is>
          <t>Africa</t>
        </is>
      </c>
      <c r="C137" t="inlineStr">
        <is>
          <t>Ba2</t>
        </is>
      </c>
      <c r="D137" t="n">
        <v>0.02556981949932637</v>
      </c>
      <c r="E137" t="n">
        <v>0.08125250385462612</v>
      </c>
      <c r="F137" t="n">
        <v>0.03895250385462613</v>
      </c>
    </row>
    <row r="138">
      <c r="A138" t="inlineStr">
        <is>
          <t>Spain</t>
        </is>
      </c>
      <c r="B138" t="inlineStr">
        <is>
          <t>Western Europe</t>
        </is>
      </c>
      <c r="C138" t="inlineStr">
        <is>
          <t>A3</t>
        </is>
      </c>
      <c r="D138" t="n">
        <v>0.01018797495676285</v>
      </c>
      <c r="E138" t="n">
        <v>0.0578201382545776</v>
      </c>
      <c r="F138" t="n">
        <v>0.0155201382545776</v>
      </c>
    </row>
    <row r="139">
      <c r="A139" t="inlineStr">
        <is>
          <t>Sri Lanka</t>
        </is>
      </c>
      <c r="B139" t="inlineStr">
        <is>
          <t>Asia</t>
        </is>
      </c>
      <c r="C139" t="inlineStr">
        <is>
          <t>Ca</t>
        </is>
      </c>
      <c r="D139" t="n">
        <v>0.1019796316750478</v>
      </c>
      <c r="E139" t="n">
        <v>0.1976535407639581</v>
      </c>
      <c r="F139" t="n">
        <v>0.1553535407639581</v>
      </c>
    </row>
    <row r="140">
      <c r="A140" t="inlineStr">
        <is>
          <t>St. Maarten</t>
        </is>
      </c>
      <c r="B140" t="inlineStr">
        <is>
          <t>Caribbean</t>
        </is>
      </c>
      <c r="C140" t="inlineStr">
        <is>
          <t>Ba2</t>
        </is>
      </c>
      <c r="D140" t="n">
        <v>0.02556981949932637</v>
      </c>
      <c r="E140" t="n">
        <v>0.08125250385462612</v>
      </c>
      <c r="F140" t="n">
        <v>0.03895250385462613</v>
      </c>
    </row>
    <row r="141">
      <c r="A141" t="inlineStr">
        <is>
          <t>St. Vincent &amp; the Grenadines</t>
        </is>
      </c>
      <c r="B141" t="inlineStr">
        <is>
          <t>Caribbean</t>
        </is>
      </c>
      <c r="C141" t="inlineStr">
        <is>
          <t>B3</t>
        </is>
      </c>
      <c r="D141" t="n">
        <v>0.05523480540284173</v>
      </c>
      <c r="E141" t="n">
        <v>0.1264434946547197</v>
      </c>
      <c r="F141" t="n">
        <v>0.08414349465471971</v>
      </c>
    </row>
    <row r="142">
      <c r="A142" t="inlineStr">
        <is>
          <t>Suriname</t>
        </is>
      </c>
      <c r="B142" t="inlineStr">
        <is>
          <t>Central and South America</t>
        </is>
      </c>
      <c r="C142" t="inlineStr">
        <is>
          <t>Caa1</t>
        </is>
      </c>
      <c r="D142" t="n">
        <v>0.06372478453347744</v>
      </c>
      <c r="E142" t="n">
        <v>0.139376943200201</v>
      </c>
      <c r="F142" t="n">
        <v>0.09707694320020104</v>
      </c>
    </row>
    <row r="143">
      <c r="A143" t="inlineStr">
        <is>
          <t>Swaziland</t>
        </is>
      </c>
      <c r="B143" t="inlineStr">
        <is>
          <t>Africa</t>
        </is>
      </c>
      <c r="C143" t="inlineStr">
        <is>
          <t>B2</t>
        </is>
      </c>
      <c r="D143" t="n">
        <v>0.04674482627220602</v>
      </c>
      <c r="E143" t="n">
        <v>0.1135100461092384</v>
      </c>
      <c r="F143" t="n">
        <v>0.07121004610923838</v>
      </c>
    </row>
    <row r="144">
      <c r="A144" t="inlineStr">
        <is>
          <t>Sweden</t>
        </is>
      </c>
      <c r="B144" t="inlineStr">
        <is>
          <t>Western Europe</t>
        </is>
      </c>
      <c r="C144" t="inlineStr">
        <is>
          <t>Aaa</t>
        </is>
      </c>
      <c r="D144" t="n">
        <v>0</v>
      </c>
      <c r="E144" t="n">
        <v>0.0423</v>
      </c>
      <c r="F144" t="n">
        <v>0</v>
      </c>
    </row>
    <row r="145">
      <c r="A145" t="inlineStr">
        <is>
          <t>Switzerland</t>
        </is>
      </c>
      <c r="B145" t="inlineStr">
        <is>
          <t>Western Europe</t>
        </is>
      </c>
      <c r="C145" t="inlineStr">
        <is>
          <t>Aaa</t>
        </is>
      </c>
      <c r="D145" t="n">
        <v>0</v>
      </c>
      <c r="E145" t="n">
        <v>0.0423</v>
      </c>
      <c r="F145" t="n">
        <v>0</v>
      </c>
    </row>
    <row r="146">
      <c r="A146" t="inlineStr">
        <is>
          <t>Taiwan</t>
        </is>
      </c>
      <c r="B146" t="inlineStr">
        <is>
          <t>Asia</t>
        </is>
      </c>
      <c r="C146" t="inlineStr">
        <is>
          <t>Aa3</t>
        </is>
      </c>
      <c r="D146" t="n">
        <v>0.005093987478381426</v>
      </c>
      <c r="E146" t="n">
        <v>0.0500600691272888</v>
      </c>
      <c r="F146" t="n">
        <v>0.007760069127288798</v>
      </c>
    </row>
    <row r="147">
      <c r="A147" t="inlineStr">
        <is>
          <t>Tajikistan</t>
        </is>
      </c>
      <c r="B147" t="inlineStr">
        <is>
          <t>Eastern Europe &amp; Russia</t>
        </is>
      </c>
      <c r="C147" t="inlineStr">
        <is>
          <t>B3</t>
        </is>
      </c>
      <c r="D147" t="n">
        <v>0.05523480540284173</v>
      </c>
      <c r="E147" t="n">
        <v>0.1264434946547197</v>
      </c>
      <c r="F147" t="n">
        <v>0.08414349465471971</v>
      </c>
    </row>
    <row r="148">
      <c r="A148" t="inlineStr">
        <is>
          <t>Tanzania</t>
        </is>
      </c>
      <c r="B148" t="inlineStr">
        <is>
          <t>Africa</t>
        </is>
      </c>
      <c r="C148" t="inlineStr">
        <is>
          <t>B1</t>
        </is>
      </c>
      <c r="D148" t="n">
        <v>0.03825484714157031</v>
      </c>
      <c r="E148" t="n">
        <v>0.100576597563757</v>
      </c>
      <c r="F148" t="n">
        <v>0.05827659756375704</v>
      </c>
    </row>
    <row r="149">
      <c r="A149" t="inlineStr">
        <is>
          <t>Thailand</t>
        </is>
      </c>
      <c r="B149" t="inlineStr">
        <is>
          <t>Asia</t>
        </is>
      </c>
      <c r="C149" t="inlineStr">
        <is>
          <t>Baa1</t>
        </is>
      </c>
      <c r="D149" t="n">
        <v>0.01358396660901713</v>
      </c>
      <c r="E149" t="n">
        <v>0.06299351767277012</v>
      </c>
      <c r="F149" t="n">
        <v>0.02069351767277013</v>
      </c>
    </row>
    <row r="150">
      <c r="A150" t="inlineStr">
        <is>
          <t>Togo</t>
        </is>
      </c>
      <c r="B150" t="inlineStr">
        <is>
          <t>Africa</t>
        </is>
      </c>
      <c r="C150" t="inlineStr">
        <is>
          <t>B3</t>
        </is>
      </c>
      <c r="D150" t="n">
        <v>0.05523480540284173</v>
      </c>
      <c r="E150" t="n">
        <v>0.1264434946547197</v>
      </c>
      <c r="F150" t="n">
        <v>0.08414349465471971</v>
      </c>
    </row>
    <row r="151">
      <c r="A151" t="inlineStr">
        <is>
          <t>Trinidad and Tobago</t>
        </is>
      </c>
      <c r="B151" t="inlineStr">
        <is>
          <t>Caribbean</t>
        </is>
      </c>
      <c r="C151" t="inlineStr">
        <is>
          <t>Ba2</t>
        </is>
      </c>
      <c r="D151" t="n">
        <v>0.02556981949932637</v>
      </c>
      <c r="E151" t="n">
        <v>0.08125250385462612</v>
      </c>
      <c r="F151" t="n">
        <v>0.03895250385462613</v>
      </c>
    </row>
    <row r="152">
      <c r="A152" t="inlineStr">
        <is>
          <t>Tunisia</t>
        </is>
      </c>
      <c r="B152" t="inlineStr">
        <is>
          <t>Africa</t>
        </is>
      </c>
      <c r="C152" t="inlineStr">
        <is>
          <t>Caa1</t>
        </is>
      </c>
      <c r="D152" t="n">
        <v>0.06372478453347744</v>
      </c>
      <c r="E152" t="n">
        <v>0.139376943200201</v>
      </c>
      <c r="F152" t="n">
        <v>0.09707694320020104</v>
      </c>
    </row>
    <row r="153">
      <c r="A153" t="inlineStr">
        <is>
          <t>Turkey</t>
        </is>
      </c>
      <c r="B153" t="inlineStr">
        <is>
          <t>Western Europe</t>
        </is>
      </c>
      <c r="C153" t="inlineStr">
        <is>
          <t>Ba3</t>
        </is>
      </c>
      <c r="D153" t="n">
        <v>0.03056392487028855</v>
      </c>
      <c r="E153" t="n">
        <v>0.08886041476373278</v>
      </c>
      <c r="F153" t="n">
        <v>0.04656041476373279</v>
      </c>
    </row>
    <row r="154">
      <c r="A154" t="inlineStr">
        <is>
          <t>Turks and Caicos Islands</t>
        </is>
      </c>
      <c r="B154" t="inlineStr">
        <is>
          <t>Caribbean</t>
        </is>
      </c>
      <c r="C154" t="inlineStr">
        <is>
          <t>Baa1</t>
        </is>
      </c>
      <c r="D154" t="n">
        <v>0.01358396660901713</v>
      </c>
      <c r="E154" t="n">
        <v>0.06299351767277012</v>
      </c>
      <c r="F154" t="n">
        <v>0.02069351767277013</v>
      </c>
    </row>
    <row r="155">
      <c r="A155" t="inlineStr">
        <is>
          <t>Uganda</t>
        </is>
      </c>
      <c r="B155" t="inlineStr">
        <is>
          <t>Africa</t>
        </is>
      </c>
      <c r="C155" t="inlineStr">
        <is>
          <t>B3</t>
        </is>
      </c>
      <c r="D155" t="n">
        <v>0.05523480540284173</v>
      </c>
      <c r="E155" t="n">
        <v>0.1264434946547197</v>
      </c>
      <c r="F155" t="n">
        <v>0.08414349465471971</v>
      </c>
    </row>
    <row r="156">
      <c r="A156" t="inlineStr">
        <is>
          <t>Ukraine</t>
        </is>
      </c>
      <c r="B156" t="inlineStr">
        <is>
          <t>Eastern Europe &amp; Russia</t>
        </is>
      </c>
      <c r="C156" t="inlineStr">
        <is>
          <t>Ca</t>
        </is>
      </c>
      <c r="D156" t="n">
        <v>0.1019796316750478</v>
      </c>
      <c r="E156" t="n">
        <v>0.1976535407639581</v>
      </c>
      <c r="F156" t="n">
        <v>0.1553535407639581</v>
      </c>
    </row>
    <row r="157">
      <c r="A157" t="inlineStr">
        <is>
          <t>United Arab Emirates</t>
        </is>
      </c>
      <c r="B157" t="inlineStr">
        <is>
          <t>Middle East</t>
        </is>
      </c>
      <c r="C157" t="inlineStr">
        <is>
          <t>Aa2</t>
        </is>
      </c>
      <c r="D157" t="n">
        <v>0.004195048511608233</v>
      </c>
      <c r="E157" t="n">
        <v>0.0486906451636496</v>
      </c>
      <c r="F157" t="n">
        <v>0.006390645163649599</v>
      </c>
    </row>
    <row r="158">
      <c r="A158" t="inlineStr">
        <is>
          <t>United Kingdom</t>
        </is>
      </c>
      <c r="B158" t="inlineStr">
        <is>
          <t>Western Europe</t>
        </is>
      </c>
      <c r="C158" t="inlineStr">
        <is>
          <t>Aa3</t>
        </is>
      </c>
      <c r="D158" t="n">
        <v>0.005093987478381426</v>
      </c>
      <c r="E158" t="n">
        <v>0.0500600691272888</v>
      </c>
      <c r="F158" t="n">
        <v>0.007760069127288798</v>
      </c>
    </row>
    <row r="159">
      <c r="A159" t="inlineStr">
        <is>
          <t>United States</t>
        </is>
      </c>
      <c r="B159" t="inlineStr">
        <is>
          <t>North America</t>
        </is>
      </c>
      <c r="C159" t="inlineStr">
        <is>
          <t>Aa1</t>
        </is>
      </c>
      <c r="D159" t="n">
        <v>0.002333679169992019</v>
      </c>
      <c r="E159" t="n">
        <v>0.0446</v>
      </c>
      <c r="F159" t="n">
        <v>0.002333679169992019</v>
      </c>
    </row>
    <row r="160">
      <c r="A160" t="inlineStr">
        <is>
          <t>Uruguay</t>
        </is>
      </c>
      <c r="B160" t="inlineStr">
        <is>
          <t>Central and South America</t>
        </is>
      </c>
      <c r="C160" t="inlineStr">
        <is>
          <t>Baa1</t>
        </is>
      </c>
      <c r="D160" t="n">
        <v>0.01358396660901713</v>
      </c>
      <c r="E160" t="n">
        <v>0.06299351767277012</v>
      </c>
      <c r="F160" t="n">
        <v>0.02069351767277013</v>
      </c>
    </row>
    <row r="161">
      <c r="A161" t="inlineStr">
        <is>
          <t>Uzbekistan</t>
        </is>
      </c>
      <c r="B161" t="inlineStr">
        <is>
          <t>Eastern Europe &amp; Russia</t>
        </is>
      </c>
      <c r="C161" t="inlineStr">
        <is>
          <t>Ba3</t>
        </is>
      </c>
      <c r="D161" t="n">
        <v>0.03056392487028855</v>
      </c>
      <c r="E161" t="n">
        <v>0.08886041476373278</v>
      </c>
      <c r="F161" t="n">
        <v>0.04656041476373279</v>
      </c>
    </row>
    <row r="162">
      <c r="A162" t="inlineStr">
        <is>
          <t>Venezuela</t>
        </is>
      </c>
      <c r="B162" t="inlineStr">
        <is>
          <t>Central and South America</t>
        </is>
      </c>
      <c r="C162" t="inlineStr">
        <is>
          <t>C</t>
        </is>
      </c>
      <c r="D162" t="n">
        <v>0.175</v>
      </c>
      <c r="E162" t="n">
        <v>0.3088911730326901</v>
      </c>
      <c r="F162" t="n">
        <v>0.2665911730326901</v>
      </c>
    </row>
    <row r="163">
      <c r="A163" t="inlineStr">
        <is>
          <t>Vietnam</t>
        </is>
      </c>
      <c r="B163" t="inlineStr">
        <is>
          <t>Asia</t>
        </is>
      </c>
      <c r="C163" t="inlineStr">
        <is>
          <t>Ba2</t>
        </is>
      </c>
      <c r="D163" t="n">
        <v>0.02556981949932637</v>
      </c>
      <c r="E163" t="n">
        <v>0.08125250385462612</v>
      </c>
      <c r="F163" t="n">
        <v>0.03895250385462613</v>
      </c>
    </row>
    <row r="164">
      <c r="A164" t="inlineStr">
        <is>
          <t>Zambia</t>
        </is>
      </c>
      <c r="B164" t="inlineStr">
        <is>
          <t>Africa</t>
        </is>
      </c>
      <c r="C164" t="inlineStr">
        <is>
          <t>Caa2</t>
        </is>
      </c>
      <c r="D164" t="n">
        <v>0.07650969428314061</v>
      </c>
      <c r="E164" t="n">
        <v>0.1588531951275141</v>
      </c>
      <c r="F164" t="n">
        <v>0.1165531951275141</v>
      </c>
    </row>
    <row r="165">
      <c r="A165" t="inlineStr">
        <is>
          <t>Frontier Markets (no sovereign ratings)</t>
        </is>
      </c>
    </row>
    <row r="166">
      <c r="A166" t="inlineStr">
        <is>
          <t>Country</t>
        </is>
      </c>
      <c r="B166" t="inlineStr">
        <is>
          <t>PRS Composite Risk Score</t>
        </is>
      </c>
      <c r="C166" t="inlineStr">
        <is>
          <t>ERP</t>
        </is>
      </c>
      <c r="D166" t="inlineStr">
        <is>
          <t>CRP</t>
        </is>
      </c>
      <c r="E166" t="inlineStr">
        <is>
          <t>Default Spread</t>
        </is>
      </c>
    </row>
    <row r="167">
      <c r="A167" t="inlineStr">
        <is>
          <t>Algeria</t>
        </is>
      </c>
      <c r="B167" t="n">
        <v>67</v>
      </c>
      <c r="C167" t="n">
        <v>0.100576597563757</v>
      </c>
      <c r="D167" t="n">
        <v>0.05827659756375703</v>
      </c>
      <c r="E167" t="n">
        <v>0.03825484714157031</v>
      </c>
    </row>
    <row r="168">
      <c r="A168" t="inlineStr">
        <is>
          <t>Brunei</t>
        </is>
      </c>
      <c r="B168" t="n">
        <v>80.75</v>
      </c>
      <c r="C168" t="n">
        <v>0.0500600691272888</v>
      </c>
      <c r="D168" t="n">
        <v>0.007760069127288799</v>
      </c>
      <c r="E168" t="n">
        <v>0.005093987478381427</v>
      </c>
    </row>
    <row r="169">
      <c r="A169" t="inlineStr">
        <is>
          <t>Gambia</t>
        </is>
      </c>
      <c r="B169" t="n">
        <v>65.5</v>
      </c>
      <c r="C169" t="n">
        <v>0.1135100461092384</v>
      </c>
      <c r="D169" t="n">
        <v>0.07121004610923837</v>
      </c>
      <c r="E169" t="n">
        <v>0.04674482627220602</v>
      </c>
    </row>
    <row r="170">
      <c r="A170" t="inlineStr">
        <is>
          <t>Guinea</t>
        </is>
      </c>
      <c r="B170" t="n">
        <v>59.5</v>
      </c>
      <c r="C170" t="n">
        <v>0.1588531951275141</v>
      </c>
      <c r="D170" t="n">
        <v>0.1165531951275141</v>
      </c>
      <c r="E170" t="n">
        <v>0.07650969428314061</v>
      </c>
    </row>
    <row r="171">
      <c r="A171" t="inlineStr">
        <is>
          <t>Guinea-Bissau</t>
        </is>
      </c>
      <c r="B171" t="n">
        <v>60.75</v>
      </c>
      <c r="C171" t="n">
        <v>0.139376943200201</v>
      </c>
      <c r="D171" t="n">
        <v>0.09707694320020102</v>
      </c>
      <c r="E171" t="n">
        <v>0.06372478453347744</v>
      </c>
    </row>
    <row r="172">
      <c r="A172" t="inlineStr">
        <is>
          <t>Guyana</t>
        </is>
      </c>
      <c r="B172" t="n">
        <v>75.5</v>
      </c>
      <c r="C172" t="n">
        <v>0.06299351767277012</v>
      </c>
      <c r="D172" t="n">
        <v>0.02069351767277012</v>
      </c>
      <c r="E172" t="n">
        <v>0.01358396660901713</v>
      </c>
    </row>
    <row r="173">
      <c r="A173" t="inlineStr">
        <is>
          <t>Haiti</t>
        </is>
      </c>
      <c r="B173" t="n">
        <v>56.75</v>
      </c>
      <c r="C173" t="n">
        <v>0.1717866436729955</v>
      </c>
      <c r="D173" t="n">
        <v>0.1294866436729954</v>
      </c>
      <c r="E173" t="n">
        <v>0.08499967341377634</v>
      </c>
    </row>
    <row r="174">
      <c r="A174" t="inlineStr">
        <is>
          <t>Iran</t>
        </is>
      </c>
      <c r="B174" t="n">
        <v>61.25</v>
      </c>
      <c r="C174" t="n">
        <v>0.139376943200201</v>
      </c>
      <c r="D174" t="n">
        <v>0.09707694320020102</v>
      </c>
      <c r="E174" t="n">
        <v>0.06372478453347744</v>
      </c>
    </row>
    <row r="175">
      <c r="A175" t="inlineStr">
        <is>
          <t>Korea, D.P.R.</t>
        </is>
      </c>
      <c r="B175" t="n">
        <v>51</v>
      </c>
      <c r="C175" t="n">
        <v>0.1976535407639581</v>
      </c>
      <c r="D175" t="n">
        <v>0.1553535407639581</v>
      </c>
      <c r="E175" t="n">
        <v>0.1019796316750478</v>
      </c>
    </row>
    <row r="176">
      <c r="A176" t="inlineStr">
        <is>
          <t>Liberia</t>
        </is>
      </c>
      <c r="B176" t="n">
        <v>57.75</v>
      </c>
      <c r="C176" t="n">
        <v>0.1588531951275141</v>
      </c>
      <c r="D176" t="n">
        <v>0.1165531951275141</v>
      </c>
      <c r="E176" t="n">
        <v>0.07650969428314061</v>
      </c>
    </row>
    <row r="177">
      <c r="A177" t="inlineStr">
        <is>
          <t>Libya</t>
        </is>
      </c>
      <c r="B177" t="n">
        <v>71.5</v>
      </c>
      <c r="C177" t="n">
        <v>0.08125250385462612</v>
      </c>
      <c r="D177" t="n">
        <v>0.03895250385462613</v>
      </c>
      <c r="E177" t="n">
        <v>0.02556981949932638</v>
      </c>
    </row>
    <row r="178">
      <c r="A178" t="inlineStr">
        <is>
          <t>Madagascar</t>
        </is>
      </c>
      <c r="B178" t="n">
        <v>62.5</v>
      </c>
      <c r="C178" t="n">
        <v>0.1264434946547197</v>
      </c>
      <c r="D178" t="n">
        <v>0.08414349465471971</v>
      </c>
      <c r="E178" t="n">
        <v>0.05523480540284173</v>
      </c>
    </row>
    <row r="179">
      <c r="A179" t="inlineStr">
        <is>
          <t>Malawi</t>
        </is>
      </c>
      <c r="B179" t="n">
        <v>56</v>
      </c>
      <c r="C179" t="n">
        <v>0.1717866436729955</v>
      </c>
      <c r="D179" t="n">
        <v>0.1294866436729954</v>
      </c>
      <c r="E179" t="n">
        <v>0.08499967341377634</v>
      </c>
    </row>
    <row r="180">
      <c r="A180" t="inlineStr">
        <is>
          <t>Myanmar</t>
        </is>
      </c>
      <c r="B180" t="n">
        <v>54.75</v>
      </c>
      <c r="C180" t="n">
        <v>0.1976535407639581</v>
      </c>
      <c r="D180" t="n">
        <v>0.1553535407639581</v>
      </c>
      <c r="E180" t="n">
        <v>0.1019796316750478</v>
      </c>
    </row>
    <row r="181">
      <c r="A181" t="inlineStr">
        <is>
          <t>Russia</t>
        </is>
      </c>
      <c r="B181" t="n">
        <v>70.25</v>
      </c>
      <c r="C181" t="n">
        <v>0.08125250385462612</v>
      </c>
      <c r="D181" t="n">
        <v>0.03895250385462613</v>
      </c>
      <c r="E181" t="n">
        <v>0.02556981949932638</v>
      </c>
    </row>
    <row r="182">
      <c r="A182" t="inlineStr">
        <is>
          <t>Sierra Leone</t>
        </is>
      </c>
      <c r="B182" t="n">
        <v>62.75</v>
      </c>
      <c r="C182" t="n">
        <v>0.1264434946547197</v>
      </c>
      <c r="D182" t="n">
        <v>0.08414349465471971</v>
      </c>
      <c r="E182" t="n">
        <v>0.05523480540284173</v>
      </c>
    </row>
    <row r="183">
      <c r="A183" t="inlineStr">
        <is>
          <t>Somalia</t>
        </is>
      </c>
      <c r="B183" t="n">
        <v>55.5</v>
      </c>
      <c r="C183" t="n">
        <v>0.1717866436729955</v>
      </c>
      <c r="D183" t="n">
        <v>0.1294866436729954</v>
      </c>
      <c r="E183" t="n">
        <v>0.08499967341377634</v>
      </c>
    </row>
    <row r="184">
      <c r="A184" t="inlineStr">
        <is>
          <t>Sudan</t>
        </is>
      </c>
      <c r="B184" t="n">
        <v>47.75</v>
      </c>
      <c r="C184" t="n">
        <v>0.3088911730326901</v>
      </c>
      <c r="D184" t="n">
        <v>0.2665911730326901</v>
      </c>
      <c r="E184" t="n">
        <v>0.175</v>
      </c>
    </row>
    <row r="185">
      <c r="A185" t="inlineStr">
        <is>
          <t>Syria</t>
        </is>
      </c>
      <c r="B185" t="n">
        <v>51.5</v>
      </c>
      <c r="C185" t="n">
        <v>0.1976535407639581</v>
      </c>
      <c r="D185" t="n">
        <v>0.1553535407639581</v>
      </c>
      <c r="E185" t="n">
        <v>0.1019796316750478</v>
      </c>
    </row>
    <row r="186">
      <c r="A186" t="inlineStr">
        <is>
          <t>Yemen, Republic</t>
        </is>
      </c>
      <c r="B186" t="n">
        <v>51.75</v>
      </c>
      <c r="C186" t="n">
        <v>0.1976535407639581</v>
      </c>
      <c r="D186" t="n">
        <v>0.1553535407639581</v>
      </c>
      <c r="E186" t="n">
        <v>0.1019796316750478</v>
      </c>
    </row>
    <row r="187">
      <c r="A187" t="inlineStr">
        <is>
          <t>Zimbabwe</t>
        </is>
      </c>
      <c r="B187" t="n">
        <v>58.5</v>
      </c>
      <c r="C187" t="n">
        <v>0.1588531951275141</v>
      </c>
      <c r="D187" t="n">
        <v>0.1165531951275141</v>
      </c>
      <c r="E187" t="n">
        <v>0.07650969428314061</v>
      </c>
    </row>
    <row r="190" ht="15.5" customHeight="1" s="203">
      <c r="A190" s="102" t="inlineStr">
        <is>
          <t>2. Industry Beta -- one block per Beta Source</t>
        </is>
      </c>
    </row>
    <row r="192">
      <c r="A192" s="104" t="inlineStr">
        <is>
          <t>Beta Source: Global</t>
        </is>
      </c>
    </row>
    <row r="193">
      <c r="A193" s="100" t="inlineStr">
        <is>
          <t>Industry</t>
        </is>
      </c>
      <c r="B193" s="100" t="inlineStr">
        <is>
          <t>N Firms</t>
        </is>
      </c>
      <c r="C193" s="100" t="inlineStr">
        <is>
          <t>Levered Beta</t>
        </is>
      </c>
      <c r="D193" s="100" t="inlineStr">
        <is>
          <t>D/E</t>
        </is>
      </c>
      <c r="E193" s="100" t="inlineStr">
        <is>
          <t>Eff. Tax</t>
        </is>
      </c>
      <c r="F193" s="100" t="inlineStr">
        <is>
          <t>Unlevered Beta</t>
        </is>
      </c>
      <c r="G193" s="100" t="inlineStr">
        <is>
          <t>Cash/Firm Value</t>
        </is>
      </c>
      <c r="H193" s="100" t="inlineStr">
        <is>
          <t>Unlevered Beta (cash-adj)</t>
        </is>
      </c>
    </row>
    <row r="194">
      <c r="A194" t="inlineStr">
        <is>
          <t>Advertising</t>
        </is>
      </c>
      <c r="B194" t="n">
        <v>419</v>
      </c>
      <c r="C194" t="n">
        <v>1.272831803339158</v>
      </c>
      <c r="D194" t="n">
        <v>0.4055491701033854</v>
      </c>
      <c r="E194" t="n">
        <v>0.13471057671207</v>
      </c>
      <c r="F194" t="n">
        <v>0.9771010766469344</v>
      </c>
      <c r="G194" t="n">
        <v>0.1003714574506041</v>
      </c>
      <c r="H194" t="n">
        <v>1.086116136197718</v>
      </c>
    </row>
    <row r="195">
      <c r="A195" t="inlineStr">
        <is>
          <t>Aerospace/Defense</t>
        </is>
      </c>
      <c r="B195" t="n">
        <v>319</v>
      </c>
      <c r="C195" t="n">
        <v>1.230944636330449</v>
      </c>
      <c r="D195" t="n">
        <v>0.1300043535764734</v>
      </c>
      <c r="E195" t="n">
        <v>0.1092581112415271</v>
      </c>
      <c r="F195" t="n">
        <v>1.122078095835665</v>
      </c>
      <c r="G195" t="n">
        <v>0.03823331094223267</v>
      </c>
      <c r="H195" t="n">
        <v>1.166684299427081</v>
      </c>
    </row>
    <row r="196">
      <c r="A196" t="inlineStr">
        <is>
          <t>Air Transport</t>
        </is>
      </c>
      <c r="B196" t="n">
        <v>150</v>
      </c>
      <c r="C196" t="n">
        <v>0.990625140921233</v>
      </c>
      <c r="D196" t="n">
        <v>0.7888537626128624</v>
      </c>
      <c r="E196" t="n">
        <v>0.1461896109369087</v>
      </c>
      <c r="F196" t="n">
        <v>0.6235360329766932</v>
      </c>
      <c r="G196" t="n">
        <v>0.08848044255172303</v>
      </c>
      <c r="H196" t="n">
        <v>0.6840621552018372</v>
      </c>
    </row>
    <row r="197">
      <c r="A197" t="inlineStr">
        <is>
          <t>Apparel</t>
        </is>
      </c>
      <c r="B197" t="n">
        <v>1207</v>
      </c>
      <c r="C197" t="n">
        <v>0.7624174150098879</v>
      </c>
      <c r="D197" t="n">
        <v>0.1870465875936281</v>
      </c>
      <c r="E197" t="n">
        <v>0.1524329632900584</v>
      </c>
      <c r="F197" t="n">
        <v>0.6690261374951384</v>
      </c>
      <c r="G197" t="n">
        <v>0.05138555916291056</v>
      </c>
      <c r="H197" t="n">
        <v>0.7052666591336804</v>
      </c>
    </row>
    <row r="198">
      <c r="A198" t="inlineStr">
        <is>
          <t>Auto &amp; Truck</t>
        </is>
      </c>
      <c r="B198" t="n">
        <v>165</v>
      </c>
      <c r="C198" t="n">
        <v>1.405957835982734</v>
      </c>
      <c r="D198" t="n">
        <v>0.4781070991865961</v>
      </c>
      <c r="E198" t="n">
        <v>0.1156742737157233</v>
      </c>
      <c r="F198" t="n">
        <v>1.036222064808206</v>
      </c>
      <c r="G198" t="n">
        <v>0.09530469653670426</v>
      </c>
      <c r="H198" t="n">
        <v>1.145382385474323</v>
      </c>
    </row>
    <row r="199">
      <c r="A199" t="inlineStr">
        <is>
          <t>Auto Parts</t>
        </is>
      </c>
      <c r="B199" t="n">
        <v>797</v>
      </c>
      <c r="C199" t="n">
        <v>1.449821287328946</v>
      </c>
      <c r="D199" t="n">
        <v>0.2779991897643115</v>
      </c>
      <c r="E199" t="n">
        <v>0.172831128509092</v>
      </c>
      <c r="F199" t="n">
        <v>1.20070919557387</v>
      </c>
      <c r="G199" t="n">
        <v>0.112867275917486</v>
      </c>
      <c r="H199" t="n">
        <v>1.35347187966227</v>
      </c>
    </row>
    <row r="200">
      <c r="A200" t="inlineStr">
        <is>
          <t>Bank (Money Center)</t>
        </is>
      </c>
      <c r="B200" t="n">
        <v>604</v>
      </c>
      <c r="C200" t="n">
        <v>0.6974939226520271</v>
      </c>
      <c r="D200" t="n">
        <v>2.117205683954108</v>
      </c>
      <c r="E200" t="n">
        <v>0.2158957088203008</v>
      </c>
      <c r="F200" t="n">
        <v>0.2703390837944257</v>
      </c>
      <c r="G200" t="n">
        <v>0.2547818951398583</v>
      </c>
      <c r="H200" t="n">
        <v>0.3627650509714354</v>
      </c>
    </row>
    <row r="201">
      <c r="A201" t="inlineStr">
        <is>
          <t>Banks (Regional)</t>
        </is>
      </c>
      <c r="B201" t="n">
        <v>825</v>
      </c>
      <c r="C201" t="n">
        <v>0.5134872216822973</v>
      </c>
      <c r="D201" t="n">
        <v>2.022754998452419</v>
      </c>
      <c r="E201" t="n">
        <v>0.1836263180691012</v>
      </c>
      <c r="F201" t="n">
        <v>0.2046106524345937</v>
      </c>
      <c r="G201" t="n">
        <v>0.318789625353476</v>
      </c>
      <c r="H201" t="n">
        <v>0.300363382663931</v>
      </c>
    </row>
    <row r="202">
      <c r="A202" t="inlineStr">
        <is>
          <t>Beverage (Alcoholic)</t>
        </is>
      </c>
      <c r="B202" t="n">
        <v>217</v>
      </c>
      <c r="C202" t="n">
        <v>0.7926708486212135</v>
      </c>
      <c r="D202" t="n">
        <v>0.2029343073804749</v>
      </c>
      <c r="E202" t="n">
        <v>0.1761972881877432</v>
      </c>
      <c r="F202" t="n">
        <v>0.6884110778911088</v>
      </c>
      <c r="G202" t="n">
        <v>0.05052555254308583</v>
      </c>
      <c r="H202" t="n">
        <v>0.7250443439894131</v>
      </c>
    </row>
    <row r="203">
      <c r="A203" t="inlineStr">
        <is>
          <t>Beverage (Soft)</t>
        </is>
      </c>
      <c r="B203" t="n">
        <v>94</v>
      </c>
      <c r="C203" t="n">
        <v>0.5928484661583204</v>
      </c>
      <c r="D203" t="n">
        <v>0.1872019345608891</v>
      </c>
      <c r="E203" t="n">
        <v>0.1330461940018373</v>
      </c>
      <c r="F203" t="n">
        <v>0.5201753853273826</v>
      </c>
      <c r="G203" t="n">
        <v>0.04030693517924273</v>
      </c>
      <c r="H203" t="n">
        <v>0.5420226574467705</v>
      </c>
    </row>
    <row r="204">
      <c r="A204" t="inlineStr">
        <is>
          <t>Broadcasting</t>
        </is>
      </c>
      <c r="B204" t="n">
        <v>127</v>
      </c>
      <c r="C204" t="n">
        <v>0.832172827138835</v>
      </c>
      <c r="D204" t="n">
        <v>0.5677225300728672</v>
      </c>
      <c r="E204" t="n">
        <v>0.1519882221308051</v>
      </c>
      <c r="F204" t="n">
        <v>0.5845177342850763</v>
      </c>
      <c r="G204" t="n">
        <v>0.1086553906426504</v>
      </c>
      <c r="H204" t="n">
        <v>0.6557707626756251</v>
      </c>
    </row>
    <row r="205">
      <c r="A205" t="inlineStr">
        <is>
          <t>Brokerage &amp; Investment Banking</t>
        </is>
      </c>
      <c r="B205" t="n">
        <v>623</v>
      </c>
      <c r="C205" t="n">
        <v>0.9846136258120903</v>
      </c>
      <c r="D205" t="n">
        <v>1.791363344583766</v>
      </c>
      <c r="E205" t="n">
        <v>0.1536801641703711</v>
      </c>
      <c r="F205" t="n">
        <v>0.4213342283760074</v>
      </c>
      <c r="G205" t="n">
        <v>0.1393856014940655</v>
      </c>
      <c r="H205" t="n">
        <v>0.4895737616143335</v>
      </c>
    </row>
    <row r="206">
      <c r="A206" t="inlineStr">
        <is>
          <t>Building Materials</t>
        </is>
      </c>
      <c r="B206" t="n">
        <v>469</v>
      </c>
      <c r="C206" t="n">
        <v>1.004830306752776</v>
      </c>
      <c r="D206" t="n">
        <v>0.2277946549291506</v>
      </c>
      <c r="E206" t="n">
        <v>0.1671675684230229</v>
      </c>
      <c r="F206" t="n">
        <v>0.8588270090696772</v>
      </c>
      <c r="G206" t="n">
        <v>0.04862366564916687</v>
      </c>
      <c r="H206" t="n">
        <v>0.9027205933766406</v>
      </c>
    </row>
    <row r="207">
      <c r="A207" t="inlineStr">
        <is>
          <t>Business &amp; Consumer Services</t>
        </is>
      </c>
      <c r="B207" t="n">
        <v>994</v>
      </c>
      <c r="C207" t="n">
        <v>0.9921459759086856</v>
      </c>
      <c r="D207" t="n">
        <v>0.2060692530791814</v>
      </c>
      <c r="E207" t="n">
        <v>0.158173661255646</v>
      </c>
      <c r="F207" t="n">
        <v>0.8599020792218192</v>
      </c>
      <c r="G207" t="n">
        <v>0.05331573512611337</v>
      </c>
      <c r="H207" t="n">
        <v>0.9083303812347316</v>
      </c>
    </row>
    <row r="208">
      <c r="A208" t="inlineStr">
        <is>
          <t>Cable TV</t>
        </is>
      </c>
      <c r="B208" t="n">
        <v>42</v>
      </c>
      <c r="C208" t="n">
        <v>1.096995264367076</v>
      </c>
      <c r="D208" t="n">
        <v>1.24165921182802</v>
      </c>
      <c r="E208" t="n">
        <v>0.100169244792237</v>
      </c>
      <c r="F208" t="n">
        <v>0.5693795503883593</v>
      </c>
      <c r="G208" t="n">
        <v>0.03630502124655822</v>
      </c>
      <c r="H208" t="n">
        <v>0.5908296327587623</v>
      </c>
    </row>
    <row r="209">
      <c r="A209" t="inlineStr">
        <is>
          <t>Chemical (Basic)</t>
        </is>
      </c>
      <c r="B209" t="n">
        <v>909</v>
      </c>
      <c r="C209" t="n">
        <v>1.256025755860968</v>
      </c>
      <c r="D209" t="n">
        <v>0.5047972115839878</v>
      </c>
      <c r="E209" t="n">
        <v>0.1471814097886014</v>
      </c>
      <c r="F209" t="n">
        <v>0.9123253003832014</v>
      </c>
      <c r="G209" t="n">
        <v>0.08962950298463233</v>
      </c>
      <c r="H209" t="n">
        <v>1.002147261333976</v>
      </c>
    </row>
    <row r="210">
      <c r="A210" t="inlineStr">
        <is>
          <t>Chemical (Diversified)</t>
        </is>
      </c>
      <c r="B210" t="n">
        <v>63</v>
      </c>
      <c r="C210" t="n">
        <v>1.169202539534707</v>
      </c>
      <c r="D210" t="n">
        <v>0.5251915023392947</v>
      </c>
      <c r="E210" t="n">
        <v>0.2112929557491781</v>
      </c>
      <c r="F210" t="n">
        <v>0.8399742722518635</v>
      </c>
      <c r="G210" t="n">
        <v>0.07700929186787749</v>
      </c>
      <c r="H210" t="n">
        <v>0.9100571271749189</v>
      </c>
    </row>
    <row r="211">
      <c r="A211" t="inlineStr">
        <is>
          <t>Chemical (Specialty)</t>
        </is>
      </c>
      <c r="B211" t="n">
        <v>952</v>
      </c>
      <c r="C211" t="n">
        <v>1.153626570549779</v>
      </c>
      <c r="D211" t="n">
        <v>0.2351513687756194</v>
      </c>
      <c r="E211" t="n">
        <v>0.1572604229256801</v>
      </c>
      <c r="F211" t="n">
        <v>0.9813976882132293</v>
      </c>
      <c r="G211" t="n">
        <v>0.05888836115464469</v>
      </c>
      <c r="H211" t="n">
        <v>1.042806876150528</v>
      </c>
    </row>
    <row r="212">
      <c r="A212" t="inlineStr">
        <is>
          <t>Coal &amp; Related Energy</t>
        </is>
      </c>
      <c r="B212" t="n">
        <v>212</v>
      </c>
      <c r="C212" t="n">
        <v>1.142939745797756</v>
      </c>
      <c r="D212" t="n">
        <v>0.1990312795335694</v>
      </c>
      <c r="E212" t="n">
        <v>0.1066062390222547</v>
      </c>
      <c r="F212" t="n">
        <v>0.9951265845992541</v>
      </c>
      <c r="G212" t="n">
        <v>0.1216925845887359</v>
      </c>
      <c r="H212" t="n">
        <v>1.133004876354471</v>
      </c>
    </row>
    <row r="213">
      <c r="A213" t="inlineStr">
        <is>
          <t>Computer Services</t>
        </is>
      </c>
      <c r="B213" t="n">
        <v>1225</v>
      </c>
      <c r="C213" t="n">
        <v>1.116690482307339</v>
      </c>
      <c r="D213" t="n">
        <v>0.1501341301665899</v>
      </c>
      <c r="E213" t="n">
        <v>0.1658085826817919</v>
      </c>
      <c r="F213" t="n">
        <v>1.004177331439527</v>
      </c>
      <c r="G213" t="n">
        <v>0.0628976107389634</v>
      </c>
      <c r="H213" t="n">
        <v>1.071576962077093</v>
      </c>
    </row>
    <row r="214">
      <c r="A214" t="inlineStr">
        <is>
          <t>Computers/Peripherals</t>
        </is>
      </c>
      <c r="B214" t="n">
        <v>343</v>
      </c>
      <c r="C214" t="n">
        <v>1.486104698951083</v>
      </c>
      <c r="D214" t="n">
        <v>0.06190260779843423</v>
      </c>
      <c r="E214" t="n">
        <v>0.1293411098040572</v>
      </c>
      <c r="F214" t="n">
        <v>1.420481417463488</v>
      </c>
      <c r="G214" t="n">
        <v>0.03250026905642021</v>
      </c>
      <c r="H214" t="n">
        <v>1.468198255805328</v>
      </c>
    </row>
    <row r="215">
      <c r="A215" t="inlineStr">
        <is>
          <t>Construction Supplies</t>
        </is>
      </c>
      <c r="B215" t="n">
        <v>804</v>
      </c>
      <c r="C215" t="n">
        <v>1.034395575517056</v>
      </c>
      <c r="D215" t="n">
        <v>0.3027187253876971</v>
      </c>
      <c r="E215" t="n">
        <v>0.1672304363808076</v>
      </c>
      <c r="F215" t="n">
        <v>0.8437715610727968</v>
      </c>
      <c r="G215" t="n">
        <v>0.07953157026778944</v>
      </c>
      <c r="H215" t="n">
        <v>0.916676263756567</v>
      </c>
    </row>
    <row r="216">
      <c r="A216" t="inlineStr">
        <is>
          <t>Diversified</t>
        </is>
      </c>
      <c r="B216" t="n">
        <v>329</v>
      </c>
      <c r="C216" t="n">
        <v>0.7973881744550738</v>
      </c>
      <c r="D216" t="n">
        <v>0.4850302644904126</v>
      </c>
      <c r="E216" t="n">
        <v>0.151815592881826</v>
      </c>
      <c r="F216" t="n">
        <v>0.5854632922685766</v>
      </c>
      <c r="G216" t="n">
        <v>0.1028405432287318</v>
      </c>
      <c r="H216" t="n">
        <v>0.6525743978395595</v>
      </c>
    </row>
    <row r="217">
      <c r="A217" t="inlineStr">
        <is>
          <t>Drugs (Biotechnology)</t>
        </is>
      </c>
      <c r="B217" t="n">
        <v>1193</v>
      </c>
      <c r="C217" t="n">
        <v>1.23079009870406</v>
      </c>
      <c r="D217" t="n">
        <v>0.1234988485906331</v>
      </c>
      <c r="E217" t="n">
        <v>0.02081166417619476</v>
      </c>
      <c r="F217" t="n">
        <v>1.126924622146559</v>
      </c>
      <c r="G217" t="n">
        <v>0.04563362376582616</v>
      </c>
      <c r="H217" t="n">
        <v>1.180809226110082</v>
      </c>
    </row>
    <row r="218">
      <c r="A218" t="inlineStr">
        <is>
          <t>Drugs (Pharmaceutical)</t>
        </is>
      </c>
      <c r="B218" t="n">
        <v>1260</v>
      </c>
      <c r="C218" t="n">
        <v>1.062590304522225</v>
      </c>
      <c r="D218" t="n">
        <v>0.1493973751589695</v>
      </c>
      <c r="E218" t="n">
        <v>0.1035076012030151</v>
      </c>
      <c r="F218" t="n">
        <v>0.956000751176083</v>
      </c>
      <c r="G218" t="n">
        <v>0.04280687674612704</v>
      </c>
      <c r="H218" t="n">
        <v>0.9987543035477139</v>
      </c>
    </row>
    <row r="219">
      <c r="A219" t="inlineStr">
        <is>
          <t>Education</t>
        </is>
      </c>
      <c r="B219" t="n">
        <v>281</v>
      </c>
      <c r="C219" t="n">
        <v>0.8117409279101255</v>
      </c>
      <c r="D219" t="n">
        <v>0.2860777113490164</v>
      </c>
      <c r="E219" t="n">
        <v>0.1454958526582427</v>
      </c>
      <c r="F219" t="n">
        <v>0.6689254753889199</v>
      </c>
      <c r="G219" t="n">
        <v>0.1016036348350432</v>
      </c>
      <c r="H219" t="n">
        <v>0.7445772281882472</v>
      </c>
    </row>
    <row r="220">
      <c r="A220" t="inlineStr">
        <is>
          <t>Electrical Equipment</t>
        </is>
      </c>
      <c r="B220" t="n">
        <v>1158</v>
      </c>
      <c r="C220" t="n">
        <v>1.37347459397753</v>
      </c>
      <c r="D220" t="n">
        <v>0.1373802587553477</v>
      </c>
      <c r="E220" t="n">
        <v>0.1219777674380809</v>
      </c>
      <c r="F220" t="n">
        <v>1.245751564008433</v>
      </c>
      <c r="G220" t="n">
        <v>0.07077917376682916</v>
      </c>
      <c r="H220" t="n">
        <v>1.340641028310137</v>
      </c>
    </row>
    <row r="221">
      <c r="A221" t="inlineStr">
        <is>
          <t>Electronics (Consumer &amp; Office)</t>
        </is>
      </c>
      <c r="B221" t="n">
        <v>122</v>
      </c>
      <c r="C221" t="n">
        <v>1.197057726576267</v>
      </c>
      <c r="D221" t="n">
        <v>0.1633423180243271</v>
      </c>
      <c r="E221" t="n">
        <v>0.1327745891106304</v>
      </c>
      <c r="F221" t="n">
        <v>1.066989210928085</v>
      </c>
      <c r="G221" t="n">
        <v>0.1053156061617144</v>
      </c>
      <c r="H221" t="n">
        <v>1.192587261247057</v>
      </c>
    </row>
    <row r="222">
      <c r="A222" t="inlineStr">
        <is>
          <t>Electronics (General)</t>
        </is>
      </c>
      <c r="B222" t="n">
        <v>1481</v>
      </c>
      <c r="C222" t="n">
        <v>1.598188009962662</v>
      </c>
      <c r="D222" t="n">
        <v>0.1416847160789399</v>
      </c>
      <c r="E222" t="n">
        <v>0.118861693644047</v>
      </c>
      <c r="F222" t="n">
        <v>1.445356970440807</v>
      </c>
      <c r="G222" t="n">
        <v>0.07851288075679309</v>
      </c>
      <c r="H222" t="n">
        <v>1.568504800835242</v>
      </c>
    </row>
    <row r="223">
      <c r="A223" t="inlineStr">
        <is>
          <t>Engineering/Construction</t>
        </is>
      </c>
      <c r="B223" t="n">
        <v>1390</v>
      </c>
      <c r="C223" t="n">
        <v>1.001049199678247</v>
      </c>
      <c r="D223" t="n">
        <v>0.7655187434771671</v>
      </c>
      <c r="E223" t="n">
        <v>0.1765790480575051</v>
      </c>
      <c r="F223" t="n">
        <v>0.6370807424250895</v>
      </c>
      <c r="G223" t="n">
        <v>0.1609822889823409</v>
      </c>
      <c r="H223" t="n">
        <v>0.7593173946857013</v>
      </c>
    </row>
    <row r="224">
      <c r="A224" t="inlineStr">
        <is>
          <t>Entertainment</t>
        </is>
      </c>
      <c r="B224" t="n">
        <v>733</v>
      </c>
      <c r="C224" t="n">
        <v>1.01273062606517</v>
      </c>
      <c r="D224" t="n">
        <v>0.1273317053637792</v>
      </c>
      <c r="E224" t="n">
        <v>0.0802914183132733</v>
      </c>
      <c r="F224" t="n">
        <v>0.9248447968240087</v>
      </c>
      <c r="G224" t="n">
        <v>0.0582770037353487</v>
      </c>
      <c r="H224" t="n">
        <v>0.9820773204991382</v>
      </c>
    </row>
    <row r="225">
      <c r="A225" t="inlineStr">
        <is>
          <t>Environmental &amp; Waste Services</t>
        </is>
      </c>
      <c r="B225" t="n">
        <v>397</v>
      </c>
      <c r="C225" t="n">
        <v>1.101814896754947</v>
      </c>
      <c r="D225" t="n">
        <v>0.356988550754999</v>
      </c>
      <c r="E225" t="n">
        <v>0.128003871059393</v>
      </c>
      <c r="F225" t="n">
        <v>0.8700229098715009</v>
      </c>
      <c r="G225" t="n">
        <v>0.04182209384301552</v>
      </c>
      <c r="H225" t="n">
        <v>0.9079972563351502</v>
      </c>
    </row>
    <row r="226">
      <c r="A226" t="inlineStr">
        <is>
          <t>Farming/Agriculture</t>
        </is>
      </c>
      <c r="B226" t="n">
        <v>428</v>
      </c>
      <c r="C226" t="n">
        <v>0.6698983445718822</v>
      </c>
      <c r="D226" t="n">
        <v>0.5904066711724765</v>
      </c>
      <c r="E226" t="n">
        <v>0.1562795744907282</v>
      </c>
      <c r="F226" t="n">
        <v>0.4650068114248285</v>
      </c>
      <c r="G226" t="n">
        <v>0.05615239456794762</v>
      </c>
      <c r="H226" t="n">
        <v>0.4926714956404097</v>
      </c>
    </row>
    <row r="227">
      <c r="A227" t="inlineStr">
        <is>
          <t>Financial Svcs. (Non-bank &amp; Insurance)</t>
        </is>
      </c>
      <c r="B227" t="n">
        <v>1138</v>
      </c>
      <c r="C227" t="n">
        <v>0.8234879512698963</v>
      </c>
      <c r="D227" t="n">
        <v>2.648144776092079</v>
      </c>
      <c r="E227" t="n">
        <v>0.1590552459398816</v>
      </c>
      <c r="F227" t="n">
        <v>0.2766807986265793</v>
      </c>
      <c r="G227" t="n">
        <v>0.06246393074550221</v>
      </c>
      <c r="H227" t="n">
        <v>0.2951148309916098</v>
      </c>
    </row>
    <row r="228">
      <c r="A228" t="inlineStr">
        <is>
          <t>Food Processing</t>
        </is>
      </c>
      <c r="B228" t="n">
        <v>1450</v>
      </c>
      <c r="C228" t="n">
        <v>0.6737244514596056</v>
      </c>
      <c r="D228" t="n">
        <v>0.3710259541480742</v>
      </c>
      <c r="E228" t="n">
        <v>0.1635157035911877</v>
      </c>
      <c r="F228" t="n">
        <v>0.527626445827316</v>
      </c>
      <c r="G228" t="n">
        <v>0.05818890669386814</v>
      </c>
      <c r="H228" t="n">
        <v>0.5602253462264254</v>
      </c>
    </row>
    <row r="229">
      <c r="A229" t="inlineStr">
        <is>
          <t>Food Wholesalers</t>
        </is>
      </c>
      <c r="B229" t="n">
        <v>183</v>
      </c>
      <c r="C229" t="n">
        <v>0.6848175876595803</v>
      </c>
      <c r="D229" t="n">
        <v>0.5824351024210169</v>
      </c>
      <c r="E229" t="n">
        <v>0.1743834801387952</v>
      </c>
      <c r="F229" t="n">
        <v>0.4773341319193221</v>
      </c>
      <c r="G229" t="n">
        <v>0.04318353389130633</v>
      </c>
      <c r="H229" t="n">
        <v>0.498877421978958</v>
      </c>
    </row>
    <row r="230">
      <c r="A230" t="inlineStr">
        <is>
          <t>Furn/Home Furnishings</t>
        </is>
      </c>
      <c r="B230" t="n">
        <v>383</v>
      </c>
      <c r="C230" t="n">
        <v>0.9675096670659729</v>
      </c>
      <c r="D230" t="n">
        <v>0.2572754619927642</v>
      </c>
      <c r="E230" t="n">
        <v>0.1539139645844338</v>
      </c>
      <c r="F230" t="n">
        <v>0.8116659988864169</v>
      </c>
      <c r="G230" t="n">
        <v>0.1350389291343517</v>
      </c>
      <c r="H230" t="n">
        <v>0.9383844270287286</v>
      </c>
    </row>
    <row r="231">
      <c r="A231" t="inlineStr">
        <is>
          <t>Green &amp; Renewable Energy</t>
        </is>
      </c>
      <c r="B231" t="n">
        <v>258</v>
      </c>
      <c r="C231" t="n">
        <v>0.8366528343155816</v>
      </c>
      <c r="D231" t="n">
        <v>0.7142960228465005</v>
      </c>
      <c r="E231" t="n">
        <v>0.1100334750756013</v>
      </c>
      <c r="F231" t="n">
        <v>0.5457336300462998</v>
      </c>
      <c r="G231" t="n">
        <v>0.03716756430709534</v>
      </c>
      <c r="H231" t="n">
        <v>0.5668002134281666</v>
      </c>
    </row>
    <row r="232">
      <c r="A232" t="inlineStr">
        <is>
          <t>Healthcare Products</t>
        </is>
      </c>
      <c r="B232" t="n">
        <v>842</v>
      </c>
      <c r="C232" t="n">
        <v>1.181953930030054</v>
      </c>
      <c r="D232" t="n">
        <v>0.1386142368674534</v>
      </c>
      <c r="E232" t="n">
        <v>0.08451238620550149</v>
      </c>
      <c r="F232" t="n">
        <v>1.07114620619297</v>
      </c>
      <c r="G232" t="n">
        <v>0.04063025010259086</v>
      </c>
      <c r="H232" t="n">
        <v>1.116510298878523</v>
      </c>
    </row>
    <row r="233">
      <c r="A233" t="inlineStr">
        <is>
          <t>Healthcare Support Services</t>
        </is>
      </c>
      <c r="B233" t="n">
        <v>478</v>
      </c>
      <c r="C233" t="n">
        <v>0.916558867242304</v>
      </c>
      <c r="D233" t="n">
        <v>0.3812624076537349</v>
      </c>
      <c r="E233" t="n">
        <v>0.1462247057835288</v>
      </c>
      <c r="F233" t="n">
        <v>0.7135329574533067</v>
      </c>
      <c r="G233" t="n">
        <v>0.08365351691898103</v>
      </c>
      <c r="H233" t="n">
        <v>0.7786715730650319</v>
      </c>
    </row>
    <row r="234">
      <c r="A234" t="inlineStr">
        <is>
          <t>Heathcare Information and Technology</t>
        </is>
      </c>
      <c r="B234" t="n">
        <v>430</v>
      </c>
      <c r="C234" t="n">
        <v>1.289920212997853</v>
      </c>
      <c r="D234" t="n">
        <v>0.1395843915670682</v>
      </c>
      <c r="E234" t="n">
        <v>0.07858084006691447</v>
      </c>
      <c r="F234" t="n">
        <v>1.168224162476032</v>
      </c>
      <c r="G234" t="n">
        <v>0.03232577801813594</v>
      </c>
      <c r="H234" t="n">
        <v>1.207249439882182</v>
      </c>
    </row>
    <row r="235">
      <c r="A235" t="inlineStr">
        <is>
          <t>Homebuilding</t>
        </is>
      </c>
      <c r="B235" t="n">
        <v>160</v>
      </c>
      <c r="C235" t="n">
        <v>0.9602309512811922</v>
      </c>
      <c r="D235" t="n">
        <v>0.3990085226621078</v>
      </c>
      <c r="E235" t="n">
        <v>0.1972754713566421</v>
      </c>
      <c r="F235" t="n">
        <v>0.7399026850041263</v>
      </c>
      <c r="G235" t="n">
        <v>0.1003124483378525</v>
      </c>
      <c r="H235" t="n">
        <v>0.8223996026589195</v>
      </c>
    </row>
    <row r="236">
      <c r="A236" t="inlineStr">
        <is>
          <t>Hospitals/Healthcare Facilities</t>
        </is>
      </c>
      <c r="B236" t="n">
        <v>249</v>
      </c>
      <c r="C236" t="n">
        <v>0.7601799253122585</v>
      </c>
      <c r="D236" t="n">
        <v>0.4658336467806488</v>
      </c>
      <c r="E236" t="n">
        <v>0.1846022536868153</v>
      </c>
      <c r="F236" t="n">
        <v>0.5640774639188845</v>
      </c>
      <c r="G236" t="n">
        <v>0.03386823927678347</v>
      </c>
      <c r="H236" t="n">
        <v>0.5838514857400334</v>
      </c>
    </row>
    <row r="237">
      <c r="A237" t="inlineStr">
        <is>
          <t>Hotel/Gaming</t>
        </is>
      </c>
      <c r="B237" t="n">
        <v>656</v>
      </c>
      <c r="C237" t="n">
        <v>0.7984302381267229</v>
      </c>
      <c r="D237" t="n">
        <v>0.4024019145325064</v>
      </c>
      <c r="E237" t="n">
        <v>0.1506476666348678</v>
      </c>
      <c r="F237" t="n">
        <v>0.6140294799538569</v>
      </c>
      <c r="G237" t="n">
        <v>0.06429959879629275</v>
      </c>
      <c r="H237" t="n">
        <v>0.6562244487273435</v>
      </c>
    </row>
    <row r="238">
      <c r="A238" t="inlineStr">
        <is>
          <t>Household Products</t>
        </is>
      </c>
      <c r="B238" t="n">
        <v>588</v>
      </c>
      <c r="C238" t="n">
        <v>0.8301058978401478</v>
      </c>
      <c r="D238" t="n">
        <v>0.1567416901207325</v>
      </c>
      <c r="E238" t="n">
        <v>0.1311479960442065</v>
      </c>
      <c r="F238" t="n">
        <v>0.743172330958731</v>
      </c>
      <c r="G238" t="n">
        <v>0.04000815879683719</v>
      </c>
      <c r="H238" t="n">
        <v>0.7741444240060512</v>
      </c>
    </row>
    <row r="239">
      <c r="A239" t="inlineStr">
        <is>
          <t>Information Services</t>
        </is>
      </c>
      <c r="B239" t="n">
        <v>86</v>
      </c>
      <c r="C239" t="n">
        <v>1.023720593319527</v>
      </c>
      <c r="D239" t="n">
        <v>0.3198027502093926</v>
      </c>
      <c r="E239" t="n">
        <v>0.1981794702603416</v>
      </c>
      <c r="F239" t="n">
        <v>0.8264683824550356</v>
      </c>
      <c r="G239" t="n">
        <v>0.05409822499908355</v>
      </c>
      <c r="H239" t="n">
        <v>0.8737359462659163</v>
      </c>
    </row>
    <row r="240">
      <c r="A240" t="inlineStr">
        <is>
          <t>Insurance (General)</t>
        </is>
      </c>
      <c r="B240" t="n">
        <v>204</v>
      </c>
      <c r="C240" t="n">
        <v>0.5102355818446773</v>
      </c>
      <c r="D240" t="n">
        <v>0.3006146781521701</v>
      </c>
      <c r="E240" t="n">
        <v>0.1538150969937597</v>
      </c>
      <c r="F240" t="n">
        <v>0.4167404004663154</v>
      </c>
      <c r="G240" t="n">
        <v>0.119087746591681</v>
      </c>
      <c r="H240" t="n">
        <v>0.4730782196000951</v>
      </c>
    </row>
    <row r="241">
      <c r="A241" t="inlineStr">
        <is>
          <t>Insurance (Life)</t>
        </is>
      </c>
      <c r="B241" t="n">
        <v>143</v>
      </c>
      <c r="C241" t="n">
        <v>0.8037813390844742</v>
      </c>
      <c r="D241" t="n">
        <v>0.7513489195239539</v>
      </c>
      <c r="E241" t="n">
        <v>0.1724952752453146</v>
      </c>
      <c r="F241" t="n">
        <v>0.5150028924154638</v>
      </c>
      <c r="G241" t="n">
        <v>0.3520740929098605</v>
      </c>
      <c r="H241" t="n">
        <v>0.7948484337173086</v>
      </c>
    </row>
    <row r="242">
      <c r="A242" t="inlineStr">
        <is>
          <t>Insurance (Prop/Cas.)</t>
        </is>
      </c>
      <c r="B242" t="n">
        <v>248</v>
      </c>
      <c r="C242" t="n">
        <v>0.4318265479631265</v>
      </c>
      <c r="D242" t="n">
        <v>0.1633675814005323</v>
      </c>
      <c r="E242" t="n">
        <v>0.1937687179701888</v>
      </c>
      <c r="F242" t="n">
        <v>0.3848991693499056</v>
      </c>
      <c r="G242" t="n">
        <v>0.06662017505035266</v>
      </c>
      <c r="H242" t="n">
        <v>0.4123714259312061</v>
      </c>
    </row>
    <row r="243">
      <c r="A243" t="inlineStr">
        <is>
          <t>Investments &amp; Asset Management</t>
        </is>
      </c>
      <c r="B243" t="n">
        <v>1315</v>
      </c>
      <c r="C243" t="n">
        <v>0.7483402046417704</v>
      </c>
      <c r="D243" t="n">
        <v>0.6033886561927545</v>
      </c>
      <c r="E243" t="n">
        <v>0.07283248080092801</v>
      </c>
      <c r="F243" t="n">
        <v>0.5159867506282935</v>
      </c>
      <c r="G243" t="n">
        <v>0.08790022276459948</v>
      </c>
      <c r="H243" t="n">
        <v>0.5657130541049615</v>
      </c>
    </row>
    <row r="244">
      <c r="A244" t="inlineStr">
        <is>
          <t>Machinery</t>
        </is>
      </c>
      <c r="B244" t="n">
        <v>1553</v>
      </c>
      <c r="C244" t="n">
        <v>1.369473758004885</v>
      </c>
      <c r="D244" t="n">
        <v>0.1355569335409548</v>
      </c>
      <c r="E244" t="n">
        <v>0.1599210560192924</v>
      </c>
      <c r="F244" t="n">
        <v>1.243657708749295</v>
      </c>
      <c r="G244" t="n">
        <v>0.06465298085328587</v>
      </c>
      <c r="H244" t="n">
        <v>1.329621716102589</v>
      </c>
    </row>
    <row r="245">
      <c r="A245" t="inlineStr">
        <is>
          <t>Metals &amp; Mining</t>
        </is>
      </c>
      <c r="B245" t="n">
        <v>1874</v>
      </c>
      <c r="C245" t="n">
        <v>1.236271241649942</v>
      </c>
      <c r="D245" t="n">
        <v>0.2304232157144556</v>
      </c>
      <c r="E245" t="n">
        <v>0.04372311543056163</v>
      </c>
      <c r="F245" t="n">
        <v>1.054870584205566</v>
      </c>
      <c r="G245" t="n">
        <v>0.06284574145488793</v>
      </c>
      <c r="H245" t="n">
        <v>1.125610404676817</v>
      </c>
    </row>
    <row r="246">
      <c r="A246" t="inlineStr">
        <is>
          <t>Office Equipment &amp; Services</t>
        </is>
      </c>
      <c r="B246" t="n">
        <v>139</v>
      </c>
      <c r="C246" t="n">
        <v>0.758696340294383</v>
      </c>
      <c r="D246" t="n">
        <v>0.285689718412683</v>
      </c>
      <c r="E246" t="n">
        <v>0.1619254575758645</v>
      </c>
      <c r="F246" t="n">
        <v>0.6253626265661992</v>
      </c>
      <c r="G246" t="n">
        <v>0.1208190616858758</v>
      </c>
      <c r="H246" t="n">
        <v>0.7113013935053746</v>
      </c>
    </row>
    <row r="247">
      <c r="A247" t="inlineStr">
        <is>
          <t>Oil/Gas (Integrated)</t>
        </is>
      </c>
      <c r="B247" t="n">
        <v>34</v>
      </c>
      <c r="C247" t="n">
        <v>0.6887330580062661</v>
      </c>
      <c r="D247" t="n">
        <v>0.2160177663824132</v>
      </c>
      <c r="E247" t="n">
        <v>0.2826819447184662</v>
      </c>
      <c r="F247" t="n">
        <v>0.593114639491203</v>
      </c>
      <c r="G247" t="n">
        <v>0.06222133464727558</v>
      </c>
      <c r="H247" t="n">
        <v>0.6324676188577144</v>
      </c>
    </row>
    <row r="248">
      <c r="A248" t="inlineStr">
        <is>
          <t>Oil/Gas (Production and Exploration)</t>
        </is>
      </c>
      <c r="B248" t="n">
        <v>539</v>
      </c>
      <c r="C248" t="n">
        <v>0.8855554675584711</v>
      </c>
      <c r="D248" t="n">
        <v>0.3581608929824404</v>
      </c>
      <c r="E248" t="n">
        <v>0.08958282196877995</v>
      </c>
      <c r="F248" t="n">
        <v>0.6987758462207245</v>
      </c>
      <c r="G248" t="n">
        <v>0.0637868977150341</v>
      </c>
      <c r="H248" t="n">
        <v>0.7463854591601625</v>
      </c>
    </row>
    <row r="249">
      <c r="A249" t="inlineStr">
        <is>
          <t>Oil/Gas Distribution</t>
        </is>
      </c>
      <c r="B249" t="n">
        <v>186</v>
      </c>
      <c r="C249" t="n">
        <v>0.6534778887963208</v>
      </c>
      <c r="D249" t="n">
        <v>0.6154001929641649</v>
      </c>
      <c r="E249" t="n">
        <v>0.1214413920533999</v>
      </c>
      <c r="F249" t="n">
        <v>0.4478105298674708</v>
      </c>
      <c r="G249" t="n">
        <v>0.0289354869188094</v>
      </c>
      <c r="H249" t="n">
        <v>0.4611542527144429</v>
      </c>
    </row>
    <row r="250">
      <c r="A250" t="inlineStr">
        <is>
          <t>Oilfield Svcs/Equip.</t>
        </is>
      </c>
      <c r="B250" t="n">
        <v>431</v>
      </c>
      <c r="C250" t="n">
        <v>0.9482360006929875</v>
      </c>
      <c r="D250" t="n">
        <v>0.3966307373470815</v>
      </c>
      <c r="E250" t="n">
        <v>0.1372803033016991</v>
      </c>
      <c r="F250" t="n">
        <v>0.7316604648552939</v>
      </c>
      <c r="G250" t="n">
        <v>0.08502511180768001</v>
      </c>
      <c r="H250" t="n">
        <v>0.7996508694362168</v>
      </c>
    </row>
    <row r="251">
      <c r="A251" t="inlineStr">
        <is>
          <t>Packaging &amp; Container</t>
        </is>
      </c>
      <c r="B251" t="n">
        <v>438</v>
      </c>
      <c r="C251" t="n">
        <v>0.7591351325704163</v>
      </c>
      <c r="D251" t="n">
        <v>0.5264689021137591</v>
      </c>
      <c r="E251" t="n">
        <v>0.1666520970549143</v>
      </c>
      <c r="F251" t="n">
        <v>0.5450018618461938</v>
      </c>
      <c r="G251" t="n">
        <v>0.05308044894663993</v>
      </c>
      <c r="H251" t="n">
        <v>0.5755524439641465</v>
      </c>
    </row>
    <row r="252">
      <c r="A252" t="inlineStr">
        <is>
          <t>Paper/Forest Products</t>
        </is>
      </c>
      <c r="B252" t="n">
        <v>271</v>
      </c>
      <c r="C252" t="n">
        <v>0.8886903362780022</v>
      </c>
      <c r="D252" t="n">
        <v>0.7808078248889015</v>
      </c>
      <c r="E252" t="n">
        <v>0.1250668142375533</v>
      </c>
      <c r="F252" t="n">
        <v>0.561496719765989</v>
      </c>
      <c r="G252" t="n">
        <v>0.0804994160077349</v>
      </c>
      <c r="H252" t="n">
        <v>0.6106540110372702</v>
      </c>
    </row>
    <row r="253">
      <c r="A253" t="inlineStr">
        <is>
          <t>Power</t>
        </is>
      </c>
      <c r="B253" t="n">
        <v>486</v>
      </c>
      <c r="C253" t="n">
        <v>0.713095834385215</v>
      </c>
      <c r="D253" t="n">
        <v>0.858657624884019</v>
      </c>
      <c r="E253" t="n">
        <v>0.1786063384060824</v>
      </c>
      <c r="F253" t="n">
        <v>0.4345982448906888</v>
      </c>
      <c r="G253" t="n">
        <v>0.04545334789229938</v>
      </c>
      <c r="H253" t="n">
        <v>0.45529282820391</v>
      </c>
    </row>
    <row r="254">
      <c r="A254" t="inlineStr">
        <is>
          <t>Precious Metals</t>
        </is>
      </c>
      <c r="B254" t="n">
        <v>777</v>
      </c>
      <c r="C254" t="n">
        <v>1.397502721670588</v>
      </c>
      <c r="D254" t="n">
        <v>0.09055723216993652</v>
      </c>
      <c r="E254" t="n">
        <v>0.05111634044564177</v>
      </c>
      <c r="F254" t="n">
        <v>1.309034428081994</v>
      </c>
      <c r="G254" t="n">
        <v>0.04723921603551472</v>
      </c>
      <c r="H254" t="n">
        <v>1.373938191111347</v>
      </c>
    </row>
    <row r="255">
      <c r="A255" t="inlineStr">
        <is>
          <t>Publishing &amp; Newspapers</t>
        </is>
      </c>
      <c r="B255" t="n">
        <v>307</v>
      </c>
      <c r="C255" t="n">
        <v>0.8166280629364139</v>
      </c>
      <c r="D255" t="n">
        <v>0.2798890840324695</v>
      </c>
      <c r="E255" t="n">
        <v>0.150337447698557</v>
      </c>
      <c r="F255" t="n">
        <v>0.6755238208023111</v>
      </c>
      <c r="G255" t="n">
        <v>0.1325970797315459</v>
      </c>
      <c r="H255" t="n">
        <v>0.7787889630268272</v>
      </c>
    </row>
    <row r="256">
      <c r="A256" t="inlineStr">
        <is>
          <t>R.E.I.T.</t>
        </is>
      </c>
      <c r="B256" t="n">
        <v>643</v>
      </c>
      <c r="C256" t="n">
        <v>0.5649158041768807</v>
      </c>
      <c r="D256" t="n">
        <v>0.8007445430582508</v>
      </c>
      <c r="E256" t="n">
        <v>0.03972064845574495</v>
      </c>
      <c r="F256" t="n">
        <v>0.353603744037734</v>
      </c>
      <c r="G256" t="n">
        <v>0.02241303414208161</v>
      </c>
      <c r="H256" t="n">
        <v>0.3617107801017127</v>
      </c>
    </row>
    <row r="257">
      <c r="A257" t="inlineStr">
        <is>
          <t>Real Estate (Development)</t>
        </is>
      </c>
      <c r="B257" t="n">
        <v>895</v>
      </c>
      <c r="C257" t="n">
        <v>0.9255963509212772</v>
      </c>
      <c r="D257" t="n">
        <v>1.911843342843763</v>
      </c>
      <c r="E257" t="n">
        <v>0.1452046070237328</v>
      </c>
      <c r="F257" t="n">
        <v>0.3814047460640123</v>
      </c>
      <c r="G257" t="n">
        <v>0.1447231193594272</v>
      </c>
      <c r="H257" t="n">
        <v>0.4459430094478332</v>
      </c>
    </row>
    <row r="258">
      <c r="A258" t="inlineStr">
        <is>
          <t>Real Estate (General/Diversified)</t>
        </is>
      </c>
      <c r="B258" t="n">
        <v>312</v>
      </c>
      <c r="C258" t="n">
        <v>0.9278510967823941</v>
      </c>
      <c r="D258" t="n">
        <v>0.8855910470521566</v>
      </c>
      <c r="E258" t="n">
        <v>0.1428570535355463</v>
      </c>
      <c r="F258" t="n">
        <v>0.5586379819840572</v>
      </c>
      <c r="G258" t="n">
        <v>0.0652624893639039</v>
      </c>
      <c r="H258" t="n">
        <v>0.5976415577929464</v>
      </c>
    </row>
    <row r="259">
      <c r="A259" t="inlineStr">
        <is>
          <t>Real Estate (Operations &amp; Services)</t>
        </is>
      </c>
      <c r="B259" t="n">
        <v>752</v>
      </c>
      <c r="C259" t="n">
        <v>0.7817615978661525</v>
      </c>
      <c r="D259" t="n">
        <v>0.8250235343665596</v>
      </c>
      <c r="E259" t="n">
        <v>0.142715382357555</v>
      </c>
      <c r="F259" t="n">
        <v>0.4838486781679157</v>
      </c>
      <c r="G259" t="n">
        <v>0.05888789747767325</v>
      </c>
      <c r="H259" t="n">
        <v>0.5141243820700275</v>
      </c>
    </row>
    <row r="260">
      <c r="A260" t="inlineStr">
        <is>
          <t>Recreation</t>
        </is>
      </c>
      <c r="B260" t="n">
        <v>332</v>
      </c>
      <c r="C260" t="n">
        <v>1.006379861589296</v>
      </c>
      <c r="D260" t="n">
        <v>0.3336766048658676</v>
      </c>
      <c r="E260" t="n">
        <v>0.147663142389578</v>
      </c>
      <c r="F260" t="n">
        <v>0.8057337473201284</v>
      </c>
      <c r="G260" t="n">
        <v>0.09465124078352319</v>
      </c>
      <c r="H260" t="n">
        <v>0.8899705656165486</v>
      </c>
    </row>
    <row r="261">
      <c r="A261" t="inlineStr">
        <is>
          <t>Reinsurance</t>
        </is>
      </c>
      <c r="B261" t="n">
        <v>32</v>
      </c>
      <c r="C261" t="n">
        <v>0.9894656018903776</v>
      </c>
      <c r="D261" t="n">
        <v>0.2027957244084444</v>
      </c>
      <c r="E261" t="n">
        <v>0.1774437521312097</v>
      </c>
      <c r="F261" t="n">
        <v>0.8593986654855044</v>
      </c>
      <c r="G261" t="n">
        <v>0.09790305143198366</v>
      </c>
      <c r="H261" t="n">
        <v>0.9526677446916421</v>
      </c>
    </row>
    <row r="262">
      <c r="A262" t="inlineStr">
        <is>
          <t>Restaurant/Dining</t>
        </is>
      </c>
      <c r="B262" t="n">
        <v>410</v>
      </c>
      <c r="C262" t="n">
        <v>0.7547042188005285</v>
      </c>
      <c r="D262" t="n">
        <v>0.2601403000064184</v>
      </c>
      <c r="E262" t="n">
        <v>0.1521225770596238</v>
      </c>
      <c r="F262" t="n">
        <v>0.6320050485381618</v>
      </c>
      <c r="G262" t="n">
        <v>0.04332450205361598</v>
      </c>
      <c r="H262" t="n">
        <v>0.6606263564759781</v>
      </c>
    </row>
    <row r="263">
      <c r="A263" t="inlineStr">
        <is>
          <t>Retail (Automotive)</t>
        </is>
      </c>
      <c r="B263" t="n">
        <v>212</v>
      </c>
      <c r="C263" t="n">
        <v>0.8345533783845093</v>
      </c>
      <c r="D263" t="n">
        <v>0.527485319407323</v>
      </c>
      <c r="E263" t="n">
        <v>0.1693167304161292</v>
      </c>
      <c r="F263" t="n">
        <v>0.5988203756771432</v>
      </c>
      <c r="G263" t="n">
        <v>0.04919812898283576</v>
      </c>
      <c r="H263" t="n">
        <v>0.6298056345182907</v>
      </c>
    </row>
    <row r="264">
      <c r="A264" t="inlineStr">
        <is>
          <t>Retail (Building Supply)</t>
        </is>
      </c>
      <c r="B264" t="n">
        <v>121</v>
      </c>
      <c r="C264" t="n">
        <v>0.9448886263181572</v>
      </c>
      <c r="D264" t="n">
        <v>0.2595179795427864</v>
      </c>
      <c r="E264" t="n">
        <v>0.1843887301146109</v>
      </c>
      <c r="F264" t="n">
        <v>0.7915773048262033</v>
      </c>
      <c r="G264" t="n">
        <v>0.01625148109362718</v>
      </c>
      <c r="H264" t="n">
        <v>0.8046541261441439</v>
      </c>
    </row>
    <row r="265">
      <c r="A265" t="inlineStr">
        <is>
          <t>Retail (Distributors)</t>
        </is>
      </c>
      <c r="B265" t="n">
        <v>1079</v>
      </c>
      <c r="C265" t="n">
        <v>0.8135943038880372</v>
      </c>
      <c r="D265" t="n">
        <v>0.4833561690752768</v>
      </c>
      <c r="E265" t="n">
        <v>0.1748253846722432</v>
      </c>
      <c r="F265" t="n">
        <v>0.5979107360036378</v>
      </c>
      <c r="G265" t="n">
        <v>0.06981519065862023</v>
      </c>
      <c r="H265" t="n">
        <v>0.6427870354354531</v>
      </c>
    </row>
    <row r="266">
      <c r="A266" t="inlineStr">
        <is>
          <t>Retail (General)</t>
        </is>
      </c>
      <c r="B266" t="n">
        <v>252</v>
      </c>
      <c r="C266" t="n">
        <v>0.9825458040668552</v>
      </c>
      <c r="D266" t="n">
        <v>0.130445470606331</v>
      </c>
      <c r="E266" t="n">
        <v>0.1767388230084012</v>
      </c>
      <c r="F266" t="n">
        <v>0.8953793243235615</v>
      </c>
      <c r="G266" t="n">
        <v>0.0447024544030705</v>
      </c>
      <c r="H266" t="n">
        <v>0.9372779491064982</v>
      </c>
    </row>
    <row r="267">
      <c r="A267" t="inlineStr">
        <is>
          <t>Retail (Grocery and Food)</t>
        </is>
      </c>
      <c r="B267" t="n">
        <v>215</v>
      </c>
      <c r="C267" t="n">
        <v>0.8735269236418004</v>
      </c>
      <c r="D267" t="n">
        <v>0.4596116425636215</v>
      </c>
      <c r="E267" t="n">
        <v>0.2080925358647144</v>
      </c>
      <c r="F267" t="n">
        <v>0.6504256220517943</v>
      </c>
      <c r="G267" t="n">
        <v>0.05805976401814359</v>
      </c>
      <c r="H267" t="n">
        <v>0.6905168684866784</v>
      </c>
    </row>
    <row r="268">
      <c r="A268" t="inlineStr">
        <is>
          <t>Retail (REITs)</t>
        </is>
      </c>
      <c r="B268" t="n">
        <v>113</v>
      </c>
      <c r="C268" t="n">
        <v>0.6078154093364273</v>
      </c>
      <c r="D268" t="n">
        <v>0.7113264128682715</v>
      </c>
      <c r="E268" t="n">
        <v>0.0682137936717401</v>
      </c>
      <c r="F268" t="n">
        <v>0.397041046962914</v>
      </c>
      <c r="G268" t="n">
        <v>0.02521212340039027</v>
      </c>
      <c r="H268" t="n">
        <v>0.4073102020389581</v>
      </c>
    </row>
    <row r="269">
      <c r="A269" t="inlineStr">
        <is>
          <t>Retail (Special Lines)</t>
        </is>
      </c>
      <c r="B269" t="n">
        <v>649</v>
      </c>
      <c r="C269" t="n">
        <v>0.9604159304469734</v>
      </c>
      <c r="D269" t="n">
        <v>0.1836495038779235</v>
      </c>
      <c r="E269" t="n">
        <v>0.1692124554941876</v>
      </c>
      <c r="F269" t="n">
        <v>0.8446501826704906</v>
      </c>
      <c r="G269" t="n">
        <v>0.0652788116557214</v>
      </c>
      <c r="H269" t="n">
        <v>0.9036386392039154</v>
      </c>
    </row>
    <row r="270">
      <c r="A270" t="inlineStr">
        <is>
          <t>Rubber&amp; Tires</t>
        </is>
      </c>
      <c r="B270" t="n">
        <v>91</v>
      </c>
      <c r="C270" t="n">
        <v>0.9407597331040694</v>
      </c>
      <c r="D270" t="n">
        <v>0.4412067746146189</v>
      </c>
      <c r="E270" t="n">
        <v>0.1803651854912596</v>
      </c>
      <c r="F270" t="n">
        <v>0.7077252038858357</v>
      </c>
      <c r="G270" t="n">
        <v>0.09352781604763093</v>
      </c>
      <c r="H270" t="n">
        <v>0.7807467415051133</v>
      </c>
    </row>
    <row r="271">
      <c r="A271" t="inlineStr">
        <is>
          <t>Semiconductor</t>
        </is>
      </c>
      <c r="B271" t="n">
        <v>675</v>
      </c>
      <c r="C271" t="n">
        <v>1.876765888655153</v>
      </c>
      <c r="D271" t="n">
        <v>0.04125298692135482</v>
      </c>
      <c r="E271" t="n">
        <v>0.08455188140183831</v>
      </c>
      <c r="F271" t="n">
        <v>1.820711455467853</v>
      </c>
      <c r="G271" t="n">
        <v>0.02578289544873887</v>
      </c>
      <c r="H271" t="n">
        <v>1.86889703225494</v>
      </c>
    </row>
    <row r="272">
      <c r="A272" t="inlineStr">
        <is>
          <t>Semiconductor Equip</t>
        </is>
      </c>
      <c r="B272" t="n">
        <v>391</v>
      </c>
      <c r="C272" t="n">
        <v>2.125766710261747</v>
      </c>
      <c r="D272" t="n">
        <v>0.05609079090864195</v>
      </c>
      <c r="E272" t="n">
        <v>0.1218586972637093</v>
      </c>
      <c r="F272" t="n">
        <v>2.04035626021037</v>
      </c>
      <c r="G272" t="n">
        <v>0.03631845495712649</v>
      </c>
      <c r="H272" t="n">
        <v>2.117251565837131</v>
      </c>
    </row>
    <row r="273">
      <c r="A273" t="inlineStr">
        <is>
          <t>Shipbuilding &amp; Marine</t>
        </is>
      </c>
      <c r="B273" t="n">
        <v>359</v>
      </c>
      <c r="C273" t="n">
        <v>0.8743989647644601</v>
      </c>
      <c r="D273" t="n">
        <v>0.4169437731135859</v>
      </c>
      <c r="E273" t="n">
        <v>0.1506234132703901</v>
      </c>
      <c r="F273" t="n">
        <v>0.6668869843365539</v>
      </c>
      <c r="G273" t="n">
        <v>0.1527557323777331</v>
      </c>
      <c r="H273" t="n">
        <v>0.7871248113700747</v>
      </c>
    </row>
    <row r="274">
      <c r="A274" t="inlineStr">
        <is>
          <t>Shoe</t>
        </is>
      </c>
      <c r="B274" t="n">
        <v>84</v>
      </c>
      <c r="C274" t="n">
        <v>0.9183732849112812</v>
      </c>
      <c r="D274" t="n">
        <v>0.1429401795839217</v>
      </c>
      <c r="E274" t="n">
        <v>0.1507081994654365</v>
      </c>
      <c r="F274" t="n">
        <v>0.82984818722974</v>
      </c>
      <c r="G274" t="n">
        <v>0.07156990271418091</v>
      </c>
      <c r="H274" t="n">
        <v>0.8938187049899886</v>
      </c>
    </row>
    <row r="275">
      <c r="A275" t="inlineStr">
        <is>
          <t>Software (Entertainment)</t>
        </is>
      </c>
      <c r="B275" t="n">
        <v>298</v>
      </c>
      <c r="C275" t="n">
        <v>1.246407316079466</v>
      </c>
      <c r="D275" t="n">
        <v>0.03136994094591206</v>
      </c>
      <c r="E275" t="n">
        <v>0.1087313519445311</v>
      </c>
      <c r="F275" t="n">
        <v>1.217894711745312</v>
      </c>
      <c r="G275" t="n">
        <v>0.01355737715850175</v>
      </c>
      <c r="H275" t="n">
        <v>1.23463309831149</v>
      </c>
    </row>
    <row r="276">
      <c r="A276" t="inlineStr">
        <is>
          <t>Software (Internet)</t>
        </is>
      </c>
      <c r="B276" t="n">
        <v>150</v>
      </c>
      <c r="C276" t="n">
        <v>1.392131688617691</v>
      </c>
      <c r="D276" t="n">
        <v>0.1001249524054494</v>
      </c>
      <c r="E276" t="n">
        <v>0.1132491780018262</v>
      </c>
      <c r="F276" t="n">
        <v>1.295339694244705</v>
      </c>
      <c r="G276" t="n">
        <v>0.03118852981188183</v>
      </c>
      <c r="H276" t="n">
        <v>1.337040006342187</v>
      </c>
    </row>
    <row r="277">
      <c r="A277" t="inlineStr">
        <is>
          <t>Software (System &amp; Application)</t>
        </is>
      </c>
      <c r="B277" t="n">
        <v>1532</v>
      </c>
      <c r="C277" t="n">
        <v>1.353955269445132</v>
      </c>
      <c r="D277" t="n">
        <v>0.05835609504461194</v>
      </c>
      <c r="E277" t="n">
        <v>0.09035165721298412</v>
      </c>
      <c r="F277" t="n">
        <v>1.297449832337703</v>
      </c>
      <c r="G277" t="n">
        <v>0.02517030405852957</v>
      </c>
      <c r="H277" t="n">
        <v>1.330950254941355</v>
      </c>
    </row>
    <row r="278">
      <c r="A278" t="inlineStr">
        <is>
          <t>Steel</t>
        </is>
      </c>
      <c r="B278" t="n">
        <v>719</v>
      </c>
      <c r="C278" t="n">
        <v>1.128858237850021</v>
      </c>
      <c r="D278" t="n">
        <v>0.4733555833912187</v>
      </c>
      <c r="E278" t="n">
        <v>0.1454820371476613</v>
      </c>
      <c r="F278" t="n">
        <v>0.8341736548649583</v>
      </c>
      <c r="G278" t="n">
        <v>0.1024096235248743</v>
      </c>
      <c r="H278" t="n">
        <v>0.929347814691143</v>
      </c>
    </row>
    <row r="279">
      <c r="A279" t="inlineStr">
        <is>
          <t>Telecom (Wireless)</t>
        </is>
      </c>
      <c r="B279" t="n">
        <v>101</v>
      </c>
      <c r="C279" t="n">
        <v>0.7824176683719886</v>
      </c>
      <c r="D279" t="n">
        <v>0.499675198127862</v>
      </c>
      <c r="E279" t="n">
        <v>0.1766993253918939</v>
      </c>
      <c r="F279" t="n">
        <v>0.5698982714970884</v>
      </c>
      <c r="G279" t="n">
        <v>0.05464749677784661</v>
      </c>
      <c r="H279" t="n">
        <v>0.6028420822440717</v>
      </c>
    </row>
    <row r="280">
      <c r="A280" t="inlineStr">
        <is>
          <t>Telecom. Equipment</t>
        </is>
      </c>
      <c r="B280" t="n">
        <v>437</v>
      </c>
      <c r="C280" t="n">
        <v>1.327918509598088</v>
      </c>
      <c r="D280" t="n">
        <v>0.09624938101189369</v>
      </c>
      <c r="E280" t="n">
        <v>0.08268900800414042</v>
      </c>
      <c r="F280" t="n">
        <v>1.238925369133445</v>
      </c>
      <c r="G280" t="n">
        <v>0.04546213178697672</v>
      </c>
      <c r="H280" t="n">
        <v>1.29793213071035</v>
      </c>
    </row>
    <row r="281">
      <c r="A281" t="inlineStr">
        <is>
          <t>Telecom. Services</t>
        </is>
      </c>
      <c r="B281" t="n">
        <v>283</v>
      </c>
      <c r="C281" t="n">
        <v>0.7289777763741335</v>
      </c>
      <c r="D281" t="n">
        <v>0.7318091840259973</v>
      </c>
      <c r="E281" t="n">
        <v>0.1539609628420266</v>
      </c>
      <c r="F281" t="n">
        <v>0.4714795824263344</v>
      </c>
      <c r="G281" t="n">
        <v>0.04992614403089267</v>
      </c>
      <c r="H281" t="n">
        <v>0.4962557168204669</v>
      </c>
    </row>
    <row r="282">
      <c r="A282" t="inlineStr">
        <is>
          <t>Tobacco</t>
        </is>
      </c>
      <c r="B282" t="n">
        <v>48</v>
      </c>
      <c r="C282" t="n">
        <v>0.4272798643267071</v>
      </c>
      <c r="D282" t="n">
        <v>0.2366201258396629</v>
      </c>
      <c r="E282" t="n">
        <v>0.2013011288695667</v>
      </c>
      <c r="F282" t="n">
        <v>0.3631511483340386</v>
      </c>
      <c r="G282" t="n">
        <v>0.02982206851242859</v>
      </c>
      <c r="H282" t="n">
        <v>0.3743139650447623</v>
      </c>
    </row>
    <row r="283">
      <c r="A283" t="inlineStr">
        <is>
          <t>Transportation</t>
        </is>
      </c>
      <c r="B283" t="n">
        <v>451</v>
      </c>
      <c r="C283" t="n">
        <v>0.9638627393739637</v>
      </c>
      <c r="D283" t="n">
        <v>0.5346982882783899</v>
      </c>
      <c r="E283" t="n">
        <v>0.1758750666766586</v>
      </c>
      <c r="F283" t="n">
        <v>0.6889431792910944</v>
      </c>
      <c r="G283" t="n">
        <v>0.07829138017326806</v>
      </c>
      <c r="H283" t="n">
        <v>0.7474630967654462</v>
      </c>
    </row>
    <row r="284">
      <c r="A284" t="inlineStr">
        <is>
          <t>Transportation (Railroads)</t>
        </is>
      </c>
      <c r="B284" t="n">
        <v>54</v>
      </c>
      <c r="C284" t="n">
        <v>0.7199789317393676</v>
      </c>
      <c r="D284" t="n">
        <v>0.4744128747096817</v>
      </c>
      <c r="E284" t="n">
        <v>0.2419039902769412</v>
      </c>
      <c r="F284" t="n">
        <v>0.5317208598212859</v>
      </c>
      <c r="G284" t="n">
        <v>0.04083863115371039</v>
      </c>
      <c r="H284" t="n">
        <v>0.5543601703442842</v>
      </c>
    </row>
    <row r="285">
      <c r="A285" t="inlineStr">
        <is>
          <t>Trucking</t>
        </is>
      </c>
      <c r="B285" t="n">
        <v>130</v>
      </c>
      <c r="C285" t="n">
        <v>0.8497807821021479</v>
      </c>
      <c r="D285" t="n">
        <v>0.3987451650244613</v>
      </c>
      <c r="E285" t="n">
        <v>0.2002882256674042</v>
      </c>
      <c r="F285" t="n">
        <v>0.6548948651035325</v>
      </c>
      <c r="G285" t="n">
        <v>0.03300351993326162</v>
      </c>
      <c r="H285" t="n">
        <v>0.6772463794887177</v>
      </c>
    </row>
    <row r="286">
      <c r="A286" t="inlineStr">
        <is>
          <t>Utility (General)</t>
        </is>
      </c>
      <c r="B286" t="n">
        <v>52</v>
      </c>
      <c r="C286" t="n">
        <v>0.5038591187475229</v>
      </c>
      <c r="D286" t="n">
        <v>0.7622819820690094</v>
      </c>
      <c r="E286" t="n">
        <v>0.1853773565541158</v>
      </c>
      <c r="F286" t="n">
        <v>0.3211562210936009</v>
      </c>
      <c r="G286" t="n">
        <v>0.03954893521531418</v>
      </c>
      <c r="H286" t="n">
        <v>0.3343806185124047</v>
      </c>
    </row>
    <row r="287">
      <c r="A287" t="inlineStr">
        <is>
          <t>Utility (Water)</t>
        </is>
      </c>
      <c r="B287" t="n">
        <v>106</v>
      </c>
      <c r="C287" t="n">
        <v>0.7045959106451266</v>
      </c>
      <c r="D287" t="n">
        <v>0.9127189532318376</v>
      </c>
      <c r="E287" t="n">
        <v>0.1609000357899883</v>
      </c>
      <c r="F287" t="n">
        <v>0.4191124030687212</v>
      </c>
      <c r="G287" t="n">
        <v>0.05889031741833998</v>
      </c>
      <c r="H287" t="n">
        <v>0.4453385304877626</v>
      </c>
    </row>
    <row r="288">
      <c r="A288" t="inlineStr">
        <is>
          <t>Total Market</t>
        </is>
      </c>
      <c r="B288" t="n">
        <v>48156</v>
      </c>
      <c r="C288" t="n">
        <v>1.040286407651103</v>
      </c>
      <c r="D288" t="n">
        <v>0.5147865905250966</v>
      </c>
      <c r="E288" t="n">
        <v>0.1331046097658632</v>
      </c>
      <c r="F288" t="n">
        <v>0.7515514421184449</v>
      </c>
      <c r="G288" t="n">
        <v>0.09703640238992461</v>
      </c>
      <c r="H288" t="n">
        <v>0.8323164345801076</v>
      </c>
    </row>
    <row r="289">
      <c r="A289" t="inlineStr">
        <is>
          <t>Total Market (without financials)</t>
        </is>
      </c>
      <c r="B289" t="n">
        <v>43056</v>
      </c>
      <c r="C289" t="n">
        <v>1.077443010011765</v>
      </c>
      <c r="D289" t="n">
        <v>0.2594926780702931</v>
      </c>
      <c r="E289" t="n">
        <v>0.1312539668509866</v>
      </c>
      <c r="F289" t="n">
        <v>0.9026385776128193</v>
      </c>
      <c r="G289" t="n">
        <v>0.05518851257789983</v>
      </c>
      <c r="H289" t="n">
        <v>0.9553636779709899</v>
      </c>
    </row>
    <row r="291">
      <c r="A291" s="104" t="inlineStr">
        <is>
          <t>Beta Source: India</t>
        </is>
      </c>
    </row>
    <row r="292">
      <c r="A292" s="100" t="inlineStr">
        <is>
          <t>Industry</t>
        </is>
      </c>
      <c r="B292" s="100" t="inlineStr">
        <is>
          <t>N Firms</t>
        </is>
      </c>
      <c r="C292" s="100" t="inlineStr">
        <is>
          <t>Levered Beta</t>
        </is>
      </c>
      <c r="D292" s="100" t="inlineStr">
        <is>
          <t>D/E</t>
        </is>
      </c>
      <c r="E292" s="100" t="inlineStr">
        <is>
          <t>Eff. Tax</t>
        </is>
      </c>
      <c r="F292" s="100" t="inlineStr">
        <is>
          <t>Unlevered Beta</t>
        </is>
      </c>
      <c r="G292" s="100" t="inlineStr">
        <is>
          <t>Cash/Firm Value</t>
        </is>
      </c>
      <c r="H292" s="100" t="inlineStr">
        <is>
          <t>Unlevered Beta (cash-adj)</t>
        </is>
      </c>
    </row>
    <row r="293">
      <c r="A293" t="inlineStr">
        <is>
          <t>Advertising</t>
        </is>
      </c>
      <c r="B293" t="n">
        <v>24</v>
      </c>
      <c r="C293" t="n">
        <v>1.402911987812592</v>
      </c>
      <c r="D293" t="n">
        <v>0.04878971143616855</v>
      </c>
      <c r="E293" t="n">
        <v>0.2214864220209927</v>
      </c>
      <c r="F293" t="n">
        <v>1.356580952561884</v>
      </c>
      <c r="G293" t="n">
        <v>0.06490140298074008</v>
      </c>
      <c r="H293" t="n">
        <v>1.450735737264659</v>
      </c>
    </row>
    <row r="294">
      <c r="A294" t="inlineStr">
        <is>
          <t>Aerospace/Defense</t>
        </is>
      </c>
      <c r="B294" t="n">
        <v>23</v>
      </c>
      <c r="C294" t="n">
        <v>1.403673107092587</v>
      </c>
      <c r="D294" t="n">
        <v>0.03931777457805865</v>
      </c>
      <c r="E294" t="n">
        <v>0.2271372620009181</v>
      </c>
      <c r="F294" t="n">
        <v>1.366075376495798</v>
      </c>
      <c r="G294" t="n">
        <v>0.08733540524839141</v>
      </c>
      <c r="H294" t="n">
        <v>1.49679891643829</v>
      </c>
    </row>
    <row r="295">
      <c r="A295" t="inlineStr">
        <is>
          <t>Air Transport</t>
        </is>
      </c>
      <c r="B295" t="n">
        <v>5</v>
      </c>
      <c r="C295" t="n">
        <v>1.001009571447322</v>
      </c>
      <c r="D295" t="n">
        <v>0.3913453190304912</v>
      </c>
      <c r="E295" t="n">
        <v>0.2188880473737279</v>
      </c>
      <c r="F295" t="n">
        <v>0.7857577416002598</v>
      </c>
      <c r="G295" t="n">
        <v>0.05260290455253045</v>
      </c>
      <c r="H295" t="n">
        <v>0.8293858460998711</v>
      </c>
    </row>
    <row r="296">
      <c r="A296" t="inlineStr">
        <is>
          <t>Apparel</t>
        </is>
      </c>
      <c r="B296" t="n">
        <v>386</v>
      </c>
      <c r="C296" t="n">
        <v>0.5501231372330071</v>
      </c>
      <c r="D296" t="n">
        <v>0.1693050054255403</v>
      </c>
      <c r="E296" t="n">
        <v>0.1675807244483278</v>
      </c>
      <c r="F296" t="n">
        <v>0.4918341489531248</v>
      </c>
      <c r="G296" t="n">
        <v>0.01909810958987834</v>
      </c>
      <c r="H296" t="n">
        <v>0.5014101346542269</v>
      </c>
    </row>
    <row r="297">
      <c r="A297" t="inlineStr">
        <is>
          <t>Auto &amp; Truck</t>
        </is>
      </c>
      <c r="B297" t="n">
        <v>19</v>
      </c>
      <c r="C297" t="n">
        <v>1.349400559915886</v>
      </c>
      <c r="D297" t="n">
        <v>0.3568654286529024</v>
      </c>
      <c r="E297" t="n">
        <v>0.2100528115211527</v>
      </c>
      <c r="F297" t="n">
        <v>1.079688188240373</v>
      </c>
      <c r="G297" t="n">
        <v>0.02469071124022907</v>
      </c>
      <c r="H297" t="n">
        <v>1.107021332292788</v>
      </c>
    </row>
    <row r="298">
      <c r="A298" t="inlineStr">
        <is>
          <t>Auto Parts</t>
        </is>
      </c>
      <c r="B298" t="n">
        <v>120</v>
      </c>
      <c r="C298" t="n">
        <v>0.9533319047981746</v>
      </c>
      <c r="D298" t="n">
        <v>0.117601210506367</v>
      </c>
      <c r="E298" t="n">
        <v>0.2395053007247523</v>
      </c>
      <c r="F298" t="n">
        <v>0.8808218996505767</v>
      </c>
      <c r="G298" t="n">
        <v>0.02201390057327538</v>
      </c>
      <c r="H298" t="n">
        <v>0.9006486903718738</v>
      </c>
    </row>
    <row r="299">
      <c r="A299" t="inlineStr">
        <is>
          <t>Bank (Money Center)</t>
        </is>
      </c>
      <c r="B299" t="n">
        <v>35</v>
      </c>
      <c r="C299" t="n">
        <v>1.207461747212826</v>
      </c>
      <c r="D299" t="n">
        <v>0.4938990151873397</v>
      </c>
      <c r="E299" t="n">
        <v>0.1585451459496698</v>
      </c>
      <c r="F299" t="n">
        <v>0.8972545501342579</v>
      </c>
      <c r="G299" t="n">
        <v>0.2292923005049907</v>
      </c>
      <c r="H299" t="n">
        <v>1.164195648651448</v>
      </c>
    </row>
    <row r="300">
      <c r="A300" t="inlineStr">
        <is>
          <t>Banks (Regional)</t>
        </is>
      </c>
      <c r="B300" t="n">
        <v>6</v>
      </c>
      <c r="C300" t="n">
        <v>0.7407233327157169</v>
      </c>
      <c r="D300" t="n">
        <v>0.3674561235480979</v>
      </c>
      <c r="E300" t="n">
        <v>0.1190528034367678</v>
      </c>
      <c r="F300" t="n">
        <v>0.5891759223543689</v>
      </c>
      <c r="G300" t="n">
        <v>0.1244355915034626</v>
      </c>
      <c r="H300" t="n">
        <v>0.6729098586431393</v>
      </c>
    </row>
    <row r="301">
      <c r="A301" t="inlineStr">
        <is>
          <t>Beverage (Alcoholic)</t>
        </is>
      </c>
      <c r="B301" t="n">
        <v>22</v>
      </c>
      <c r="C301" t="n">
        <v>0.9495077590048095</v>
      </c>
      <c r="D301" t="n">
        <v>0.03865431650512597</v>
      </c>
      <c r="E301" t="n">
        <v>0.1928006688686044</v>
      </c>
      <c r="F301" t="n">
        <v>0.9244928125565178</v>
      </c>
      <c r="G301" t="n">
        <v>0.01355865053905285</v>
      </c>
      <c r="H301" t="n">
        <v>0.9371999795646423</v>
      </c>
    </row>
    <row r="302">
      <c r="A302" t="inlineStr">
        <is>
          <t>Beverage (Soft)</t>
        </is>
      </c>
      <c r="B302" t="n">
        <v>5</v>
      </c>
      <c r="C302" t="n">
        <v>0.5853386355247261</v>
      </c>
      <c r="D302" t="n">
        <v>0.0143082283129422</v>
      </c>
      <c r="E302" t="n">
        <v>0.1540515452423511</v>
      </c>
      <c r="F302" t="n">
        <v>0.5795341605655612</v>
      </c>
      <c r="G302" t="n">
        <v>4.201631384693477e-05</v>
      </c>
      <c r="H302" t="n">
        <v>0.5795585114778721</v>
      </c>
    </row>
    <row r="303">
      <c r="A303" t="inlineStr">
        <is>
          <t>Broadcasting</t>
        </is>
      </c>
      <c r="B303" t="n">
        <v>19</v>
      </c>
      <c r="C303" t="n">
        <v>0.9616412925620239</v>
      </c>
      <c r="D303" t="n">
        <v>0.1161218090469949</v>
      </c>
      <c r="E303" t="n">
        <v>0.1221134078199693</v>
      </c>
      <c r="F303" t="n">
        <v>0.8893502228356105</v>
      </c>
      <c r="G303" t="n">
        <v>0.03097021460150704</v>
      </c>
      <c r="H303" t="n">
        <v>0.9177738767543498</v>
      </c>
    </row>
    <row r="304">
      <c r="A304" t="inlineStr">
        <is>
          <t>Brokerage &amp; Investment Banking</t>
        </is>
      </c>
      <c r="B304" t="n">
        <v>186</v>
      </c>
      <c r="C304" t="n">
        <v>0.6038390125746357</v>
      </c>
      <c r="D304" t="n">
        <v>0.2133430566338891</v>
      </c>
      <c r="E304" t="n">
        <v>0.1425516474123018</v>
      </c>
      <c r="F304" t="n">
        <v>0.5253788602230637</v>
      </c>
      <c r="G304" t="n">
        <v>0.1822166444848274</v>
      </c>
      <c r="H304" t="n">
        <v>0.6424425939704957</v>
      </c>
    </row>
    <row r="305">
      <c r="A305" t="inlineStr">
        <is>
          <t>Building Materials</t>
        </is>
      </c>
      <c r="B305" t="n">
        <v>67</v>
      </c>
      <c r="C305" t="n">
        <v>0.8223837199770335</v>
      </c>
      <c r="D305" t="n">
        <v>0.1016367855352705</v>
      </c>
      <c r="E305" t="n">
        <v>0.1897177014177354</v>
      </c>
      <c r="F305" t="n">
        <v>0.767760801994726</v>
      </c>
      <c r="G305" t="n">
        <v>0.0186282206587265</v>
      </c>
      <c r="H305" t="n">
        <v>0.7823342979253696</v>
      </c>
    </row>
    <row r="306">
      <c r="A306" t="inlineStr">
        <is>
          <t>Business &amp; Consumer Services</t>
        </is>
      </c>
      <c r="B306" t="n">
        <v>75</v>
      </c>
      <c r="C306" t="n">
        <v>0.7101461229120972</v>
      </c>
      <c r="D306" t="n">
        <v>0.1452138637395021</v>
      </c>
      <c r="E306" t="n">
        <v>0.149402638485643</v>
      </c>
      <c r="F306" t="n">
        <v>0.6446206266252003</v>
      </c>
      <c r="G306" t="n">
        <v>0.04588579714679934</v>
      </c>
      <c r="H306" t="n">
        <v>0.6756220845445072</v>
      </c>
    </row>
    <row r="307">
      <c r="A307" t="inlineStr">
        <is>
          <t>Cable TV</t>
        </is>
      </c>
      <c r="B307" t="n">
        <v>8</v>
      </c>
      <c r="C307" t="n">
        <v>0.5945488585213772</v>
      </c>
      <c r="D307" t="n">
        <v>0.2119396055360574</v>
      </c>
      <c r="E307" t="n">
        <v>0.1564052730160328</v>
      </c>
      <c r="F307" t="n">
        <v>0.5177383720771405</v>
      </c>
      <c r="G307" t="n">
        <v>0.2972759762681279</v>
      </c>
      <c r="H307" t="n">
        <v>0.7367591751419703</v>
      </c>
    </row>
    <row r="308">
      <c r="A308" t="inlineStr">
        <is>
          <t>Chemical (Basic)</t>
        </is>
      </c>
      <c r="B308" t="n">
        <v>152</v>
      </c>
      <c r="C308" t="n">
        <v>0.7702928535722655</v>
      </c>
      <c r="D308" t="n">
        <v>0.1098672675361068</v>
      </c>
      <c r="E308" t="n">
        <v>0.199905241578652</v>
      </c>
      <c r="F308" t="n">
        <v>0.715282555639237</v>
      </c>
      <c r="G308" t="n">
        <v>0.02044327881713345</v>
      </c>
      <c r="H308" t="n">
        <v>0.7302104514943204</v>
      </c>
    </row>
    <row r="309">
      <c r="A309" t="inlineStr">
        <is>
          <t>Chemical (Diversified)</t>
        </is>
      </c>
      <c r="B309" t="n">
        <v>8</v>
      </c>
      <c r="C309" t="n">
        <v>0.7400026998733038</v>
      </c>
      <c r="D309" t="n">
        <v>0.03379607257391381</v>
      </c>
      <c r="E309" t="n">
        <v>0.2888202967082276</v>
      </c>
      <c r="F309" t="n">
        <v>0.7229008530870323</v>
      </c>
      <c r="G309" t="n">
        <v>0.009780429452284731</v>
      </c>
      <c r="H309" t="n">
        <v>0.7300409672646418</v>
      </c>
    </row>
    <row r="310">
      <c r="A310" t="inlineStr">
        <is>
          <t>Chemical (Specialty)</t>
        </is>
      </c>
      <c r="B310" t="n">
        <v>202</v>
      </c>
      <c r="C310" t="n">
        <v>0.6786282381859908</v>
      </c>
      <c r="D310" t="n">
        <v>0.1005361118130748</v>
      </c>
      <c r="E310" t="n">
        <v>0.2145632897966341</v>
      </c>
      <c r="F310" t="n">
        <v>0.6340096337831763</v>
      </c>
      <c r="G310" t="n">
        <v>0.02265996173237898</v>
      </c>
      <c r="H310" t="n">
        <v>0.6487093631270717</v>
      </c>
    </row>
    <row r="311">
      <c r="A311" t="inlineStr">
        <is>
          <t>Coal &amp; Related Energy</t>
        </is>
      </c>
      <c r="B311" t="n">
        <v>5</v>
      </c>
      <c r="C311" t="n">
        <v>1.032339555111121</v>
      </c>
      <c r="D311" t="n">
        <v>0.05026382439881515</v>
      </c>
      <c r="E311" t="n">
        <v>0.2057304691715288</v>
      </c>
      <c r="F311" t="n">
        <v>0.9972515802918589</v>
      </c>
      <c r="G311" t="n">
        <v>0.1128806643629252</v>
      </c>
      <c r="H311" t="n">
        <v>1.124145918401941</v>
      </c>
    </row>
    <row r="312">
      <c r="A312" t="inlineStr">
        <is>
          <t>Computer Services</t>
        </is>
      </c>
      <c r="B312" t="n">
        <v>196</v>
      </c>
      <c r="C312" t="n">
        <v>0.7307708131964623</v>
      </c>
      <c r="D312" t="n">
        <v>0.02727032407674334</v>
      </c>
      <c r="E312" t="n">
        <v>0.179498107648433</v>
      </c>
      <c r="F312" t="n">
        <v>0.7170822671265044</v>
      </c>
      <c r="G312" t="n">
        <v>0.02541791632198275</v>
      </c>
      <c r="H312" t="n">
        <v>0.7357843727439322</v>
      </c>
    </row>
    <row r="313">
      <c r="A313" t="inlineStr">
        <is>
          <t>Computers/Peripherals</t>
        </is>
      </c>
      <c r="B313" t="n">
        <v>12</v>
      </c>
      <c r="C313" t="n">
        <v>1.003530101284582</v>
      </c>
      <c r="D313" t="n">
        <v>0.02604606112388848</v>
      </c>
      <c r="E313" t="n">
        <v>0.1657718665554274</v>
      </c>
      <c r="F313" t="n">
        <v>0.9855611118128588</v>
      </c>
      <c r="G313" t="n">
        <v>0.03968768440231038</v>
      </c>
      <c r="H313" t="n">
        <v>1.026292275757658</v>
      </c>
    </row>
    <row r="314">
      <c r="A314" t="inlineStr">
        <is>
          <t>Construction Supplies</t>
        </is>
      </c>
      <c r="B314" t="n">
        <v>109</v>
      </c>
      <c r="C314" t="n">
        <v>0.9124091639849948</v>
      </c>
      <c r="D314" t="n">
        <v>0.2431378952188814</v>
      </c>
      <c r="E314" t="n">
        <v>0.1767546838564487</v>
      </c>
      <c r="F314" t="n">
        <v>0.7797059239224554</v>
      </c>
      <c r="G314" t="n">
        <v>0.01555725198291494</v>
      </c>
      <c r="H314" t="n">
        <v>0.7920276984039741</v>
      </c>
    </row>
    <row r="315">
      <c r="A315" t="inlineStr">
        <is>
          <t>Diversified</t>
        </is>
      </c>
      <c r="B315" t="n">
        <v>13</v>
      </c>
      <c r="C315" t="n">
        <v>0.8981694470076711</v>
      </c>
      <c r="D315" t="n">
        <v>0.1867628411374098</v>
      </c>
      <c r="E315" t="n">
        <v>0.2020978118719629</v>
      </c>
      <c r="F315" t="n">
        <v>0.7943242671637465</v>
      </c>
      <c r="G315" t="n">
        <v>0.04284361267007866</v>
      </c>
      <c r="H315" t="n">
        <v>0.8298792942076993</v>
      </c>
    </row>
    <row r="316">
      <c r="A316" t="inlineStr">
        <is>
          <t>Drugs (Biotechnology)</t>
        </is>
      </c>
      <c r="B316" t="n">
        <v>9</v>
      </c>
      <c r="C316" t="n">
        <v>0.6276755011232337</v>
      </c>
      <c r="D316" t="n">
        <v>0.2991147168298118</v>
      </c>
      <c r="E316" t="n">
        <v>0.09670277398087566</v>
      </c>
      <c r="F316" t="n">
        <v>0.5190058910327484</v>
      </c>
      <c r="G316" t="n">
        <v>0.06478213431857872</v>
      </c>
      <c r="H316" t="n">
        <v>0.5549572031053842</v>
      </c>
    </row>
    <row r="317">
      <c r="A317" t="inlineStr">
        <is>
          <t>Drugs (Pharmaceutical)</t>
        </is>
      </c>
      <c r="B317" t="n">
        <v>188</v>
      </c>
      <c r="C317" t="n">
        <v>0.7668135212056132</v>
      </c>
      <c r="D317" t="n">
        <v>0.04837709619265333</v>
      </c>
      <c r="E317" t="n">
        <v>0.1923467956827768</v>
      </c>
      <c r="F317" t="n">
        <v>0.7416967274547162</v>
      </c>
      <c r="G317" t="n">
        <v>0.02610753389253566</v>
      </c>
      <c r="H317" t="n">
        <v>0.7615796951579185</v>
      </c>
    </row>
    <row r="318">
      <c r="A318" t="inlineStr">
        <is>
          <t>Education</t>
        </is>
      </c>
      <c r="B318" t="n">
        <v>40</v>
      </c>
      <c r="C318" t="n">
        <v>0.6102978896416136</v>
      </c>
      <c r="D318" t="n">
        <v>0.09247361130434743</v>
      </c>
      <c r="E318" t="n">
        <v>0.1393760510261719</v>
      </c>
      <c r="F318" t="n">
        <v>0.5731941561248262</v>
      </c>
      <c r="G318" t="n">
        <v>0.02163001941596775</v>
      </c>
      <c r="H318" t="n">
        <v>0.5858664590083409</v>
      </c>
    </row>
    <row r="319">
      <c r="A319" t="inlineStr">
        <is>
          <t>Electrical Equipment</t>
        </is>
      </c>
      <c r="B319" t="n">
        <v>139</v>
      </c>
      <c r="C319" t="n">
        <v>0.9736831320810101</v>
      </c>
      <c r="D319" t="n">
        <v>0.03089255403869191</v>
      </c>
      <c r="E319" t="n">
        <v>0.211987452901004</v>
      </c>
      <c r="F319" t="n">
        <v>0.9530731279063399</v>
      </c>
      <c r="G319" t="n">
        <v>0.02325914586961713</v>
      </c>
      <c r="H319" t="n">
        <v>0.9757686738258584</v>
      </c>
    </row>
    <row r="320">
      <c r="A320" t="inlineStr">
        <is>
          <t>Electronics (Consumer &amp; Office)</t>
        </is>
      </c>
      <c r="B320" t="n">
        <v>9</v>
      </c>
      <c r="C320" t="n">
        <v>0.5294553263102685</v>
      </c>
      <c r="D320" t="n">
        <v>0.02592972393557626</v>
      </c>
      <c r="E320" t="n">
        <v>0.166464542582112</v>
      </c>
      <c r="F320" t="n">
        <v>0.520016605396378</v>
      </c>
      <c r="G320" t="n">
        <v>0.00886793550574932</v>
      </c>
      <c r="H320" t="n">
        <v>0.5246693392587688</v>
      </c>
    </row>
    <row r="321">
      <c r="A321" t="inlineStr">
        <is>
          <t>Electronics (General)</t>
        </is>
      </c>
      <c r="B321" t="n">
        <v>37</v>
      </c>
      <c r="C321" t="n">
        <v>0.5496354559761163</v>
      </c>
      <c r="D321" t="n">
        <v>0.05010680171821944</v>
      </c>
      <c r="E321" t="n">
        <v>0.1787697419988951</v>
      </c>
      <c r="F321" t="n">
        <v>0.5310103932371433</v>
      </c>
      <c r="G321" t="n">
        <v>0.05087025868365587</v>
      </c>
      <c r="H321" t="n">
        <v>0.5594708185002054</v>
      </c>
    </row>
    <row r="322">
      <c r="A322" t="inlineStr">
        <is>
          <t>Engineering/Construction</t>
        </is>
      </c>
      <c r="B322" t="n">
        <v>219</v>
      </c>
      <c r="C322" t="n">
        <v>1.040927393322846</v>
      </c>
      <c r="D322" t="n">
        <v>0.2371918275658211</v>
      </c>
      <c r="E322" t="n">
        <v>0.1998513898381846</v>
      </c>
      <c r="F322" t="n">
        <v>0.8927073687329714</v>
      </c>
      <c r="G322" t="n">
        <v>0.04149418867185848</v>
      </c>
      <c r="H322" t="n">
        <v>0.9313531104167253</v>
      </c>
    </row>
    <row r="323">
      <c r="A323" t="inlineStr">
        <is>
          <t>Entertainment</t>
        </is>
      </c>
      <c r="B323" t="n">
        <v>66</v>
      </c>
      <c r="C323" t="n">
        <v>0.4828096314095803</v>
      </c>
      <c r="D323" t="n">
        <v>0.2218609374024934</v>
      </c>
      <c r="E323" t="n">
        <v>0.1057888288877825</v>
      </c>
      <c r="F323" t="n">
        <v>0.4179074884197509</v>
      </c>
      <c r="G323" t="n">
        <v>0.02134757745208044</v>
      </c>
      <c r="H323" t="n">
        <v>0.4270234036019955</v>
      </c>
    </row>
    <row r="324">
      <c r="A324" t="inlineStr">
        <is>
          <t>Environmental &amp; Waste Services</t>
        </is>
      </c>
      <c r="B324" t="n">
        <v>20</v>
      </c>
      <c r="C324" t="n">
        <v>1.062025795416626</v>
      </c>
      <c r="D324" t="n">
        <v>0.1418682756187901</v>
      </c>
      <c r="E324" t="n">
        <v>0.2102952252538689</v>
      </c>
      <c r="F324" t="n">
        <v>0.9660859335700224</v>
      </c>
      <c r="G324" t="n">
        <v>0.063305021422186</v>
      </c>
      <c r="H324" t="n">
        <v>1.031377295346275</v>
      </c>
    </row>
    <row r="325">
      <c r="A325" t="inlineStr">
        <is>
          <t>Farming/Agriculture</t>
        </is>
      </c>
      <c r="B325" t="n">
        <v>75</v>
      </c>
      <c r="C325" t="n">
        <v>0.6646785711136719</v>
      </c>
      <c r="D325" t="n">
        <v>0.1005427278984116</v>
      </c>
      <c r="E325" t="n">
        <v>0.1682840221626205</v>
      </c>
      <c r="F325" t="n">
        <v>0.6209744457986139</v>
      </c>
      <c r="G325" t="n">
        <v>0.02834421504360113</v>
      </c>
      <c r="H325" t="n">
        <v>0.639088919566798</v>
      </c>
    </row>
    <row r="326">
      <c r="A326" t="inlineStr">
        <is>
          <t>Financial Svcs. (Non-bank &amp; Insurance)</t>
        </is>
      </c>
      <c r="B326" t="n">
        <v>291</v>
      </c>
      <c r="C326" t="n">
        <v>0.6035256692949578</v>
      </c>
      <c r="D326" t="n">
        <v>1.465096352374807</v>
      </c>
      <c r="E326" t="n">
        <v>0.16752019371862</v>
      </c>
      <c r="F326" t="n">
        <v>0.2979538747472562</v>
      </c>
      <c r="G326" t="n">
        <v>0.02412143184297785</v>
      </c>
      <c r="H326" t="n">
        <v>0.3053185964622132</v>
      </c>
    </row>
    <row r="327">
      <c r="A327" t="inlineStr">
        <is>
          <t>Food Processing</t>
        </is>
      </c>
      <c r="B327" t="n">
        <v>220</v>
      </c>
      <c r="C327" t="n">
        <v>0.8040315259374237</v>
      </c>
      <c r="D327" t="n">
        <v>0.07284172957594263</v>
      </c>
      <c r="E327" t="n">
        <v>0.157367673962433</v>
      </c>
      <c r="F327" t="n">
        <v>0.7650235775488978</v>
      </c>
      <c r="G327" t="n">
        <v>0.01514844784905311</v>
      </c>
      <c r="H327" t="n">
        <v>0.7767907517412773</v>
      </c>
    </row>
    <row r="328">
      <c r="A328" t="inlineStr">
        <is>
          <t>Food Wholesalers</t>
        </is>
      </c>
      <c r="B328" t="n">
        <v>41</v>
      </c>
      <c r="C328" t="n">
        <v>0.5309243467675671</v>
      </c>
      <c r="D328" t="n">
        <v>0.1613252909899107</v>
      </c>
      <c r="E328" t="n">
        <v>0.1367309699614528</v>
      </c>
      <c r="F328" t="n">
        <v>0.4770519639378586</v>
      </c>
      <c r="G328" t="n">
        <v>0.03439235522644904</v>
      </c>
      <c r="H328" t="n">
        <v>0.4940432757755706</v>
      </c>
    </row>
    <row r="329">
      <c r="A329" t="inlineStr">
        <is>
          <t>Furn/Home Furnishings</t>
        </is>
      </c>
      <c r="B329" t="n">
        <v>52</v>
      </c>
      <c r="C329" t="n">
        <v>0.6877096082678248</v>
      </c>
      <c r="D329" t="n">
        <v>0.05595928348231128</v>
      </c>
      <c r="E329" t="n">
        <v>0.214563583911055</v>
      </c>
      <c r="F329" t="n">
        <v>0.6617864417007088</v>
      </c>
      <c r="G329" t="n">
        <v>0.03894790858668402</v>
      </c>
      <c r="H329" t="n">
        <v>0.6886062135586123</v>
      </c>
    </row>
    <row r="330">
      <c r="A330" t="inlineStr">
        <is>
          <t>Green &amp; Renewable Energy</t>
        </is>
      </c>
      <c r="B330" t="n">
        <v>18</v>
      </c>
      <c r="C330" t="n">
        <v>1.275540772225443</v>
      </c>
      <c r="D330" t="n">
        <v>0.4986536277505467</v>
      </c>
      <c r="E330" t="n">
        <v>0.1203172960662237</v>
      </c>
      <c r="F330" t="n">
        <v>0.9455050914794534</v>
      </c>
      <c r="G330" t="n">
        <v>0.02230926005772345</v>
      </c>
      <c r="H330" t="n">
        <v>0.9670799291146776</v>
      </c>
    </row>
    <row r="331">
      <c r="A331" t="inlineStr">
        <is>
          <t>Healthcare Products</t>
        </is>
      </c>
      <c r="B331" t="n">
        <v>19</v>
      </c>
      <c r="C331" t="n">
        <v>2.001729204646493</v>
      </c>
      <c r="D331" t="n">
        <v>0.01638335230464522</v>
      </c>
      <c r="E331" t="n">
        <v>0.1812560331679657</v>
      </c>
      <c r="F331" t="n">
        <v>1.979032968603496</v>
      </c>
      <c r="G331" t="n">
        <v>0.0145674227414264</v>
      </c>
      <c r="H331" t="n">
        <v>2.008288557000085</v>
      </c>
    </row>
    <row r="332">
      <c r="A332" t="inlineStr">
        <is>
          <t>Healthcare Support Services</t>
        </is>
      </c>
      <c r="B332" t="n">
        <v>45</v>
      </c>
      <c r="C332" t="n">
        <v>0.5002976697526326</v>
      </c>
      <c r="D332" t="n">
        <v>0.08113575762977487</v>
      </c>
      <c r="E332" t="n">
        <v>0.1947749618754851</v>
      </c>
      <c r="F332" t="n">
        <v>0.4734103164653171</v>
      </c>
      <c r="G332" t="n">
        <v>0.02075667225138622</v>
      </c>
      <c r="H332" t="n">
        <v>0.4834450264304976</v>
      </c>
    </row>
    <row r="333">
      <c r="A333" t="inlineStr">
        <is>
          <t>Heathcare Information and Technology</t>
        </is>
      </c>
      <c r="B333" t="n">
        <v>25</v>
      </c>
      <c r="C333" t="n">
        <v>1.182581009750978</v>
      </c>
      <c r="D333" t="n">
        <v>0.01265365115896761</v>
      </c>
      <c r="E333" t="n">
        <v>0.1527195809780027</v>
      </c>
      <c r="F333" t="n">
        <v>1.172198198783375</v>
      </c>
      <c r="G333" t="n">
        <v>0.02361657426711487</v>
      </c>
      <c r="H333" t="n">
        <v>1.200551103070506</v>
      </c>
    </row>
    <row r="334">
      <c r="A334" t="inlineStr">
        <is>
          <t>Homebuilding</t>
        </is>
      </c>
      <c r="B334" t="n">
        <v>1</v>
      </c>
      <c r="C334" t="n">
        <v>-1.874969689417661</v>
      </c>
      <c r="D334" t="n">
        <v>0</v>
      </c>
      <c r="E334" t="n">
        <v>0.3333333333333334</v>
      </c>
      <c r="F334" t="n">
        <v>-1.874969689417661</v>
      </c>
      <c r="G334" t="n">
        <v>0.1217277486910995</v>
      </c>
      <c r="H334" t="n">
        <v>-2.134838811795965</v>
      </c>
    </row>
    <row r="335">
      <c r="A335" t="inlineStr">
        <is>
          <t>Hospitals/Healthcare Facilities</t>
        </is>
      </c>
      <c r="B335" t="n">
        <v>42</v>
      </c>
      <c r="C335" t="n">
        <v>0.5281021650608396</v>
      </c>
      <c r="D335" t="n">
        <v>0.06146799353931728</v>
      </c>
      <c r="E335" t="n">
        <v>0.2195704727219952</v>
      </c>
      <c r="F335" t="n">
        <v>0.5063165800700242</v>
      </c>
      <c r="G335" t="n">
        <v>0.0148428087115342</v>
      </c>
      <c r="H335" t="n">
        <v>0.5139449669020065</v>
      </c>
    </row>
    <row r="336">
      <c r="A336" t="inlineStr">
        <is>
          <t>Hotel/Gaming</t>
        </is>
      </c>
      <c r="B336" t="n">
        <v>80</v>
      </c>
      <c r="C336" t="n">
        <v>0.7829938511914565</v>
      </c>
      <c r="D336" t="n">
        <v>0.09747216052115698</v>
      </c>
      <c r="E336" t="n">
        <v>0.1852746596502212</v>
      </c>
      <c r="F336" t="n">
        <v>0.7329821065100388</v>
      </c>
      <c r="G336" t="n">
        <v>0.03379918156970325</v>
      </c>
      <c r="H336" t="n">
        <v>0.7586229410370938</v>
      </c>
    </row>
    <row r="337">
      <c r="A337" t="inlineStr">
        <is>
          <t>Household Products</t>
        </is>
      </c>
      <c r="B337" t="n">
        <v>43</v>
      </c>
      <c r="C337" t="n">
        <v>0.509036243791432</v>
      </c>
      <c r="D337" t="n">
        <v>0.01885870886023815</v>
      </c>
      <c r="E337" t="n">
        <v>0.2045217043089756</v>
      </c>
      <c r="F337" t="n">
        <v>0.502403960772919</v>
      </c>
      <c r="G337" t="n">
        <v>0.009662951749646577</v>
      </c>
      <c r="H337" t="n">
        <v>0.5073060345066615</v>
      </c>
    </row>
    <row r="338">
      <c r="A338" t="inlineStr">
        <is>
          <t>Information Services</t>
        </is>
      </c>
      <c r="B338" t="n">
        <v>26</v>
      </c>
      <c r="C338" t="n">
        <v>1.057593363999085</v>
      </c>
      <c r="D338" t="n">
        <v>0.1062340437306739</v>
      </c>
      <c r="E338" t="n">
        <v>0.2261584043762248</v>
      </c>
      <c r="F338" t="n">
        <v>0.9843903283649802</v>
      </c>
      <c r="G338" t="n">
        <v>0.0373005319279891</v>
      </c>
      <c r="H338" t="n">
        <v>1.022531289371552</v>
      </c>
    </row>
    <row r="339">
      <c r="A339" t="inlineStr">
        <is>
          <t>Insurance (General)</t>
        </is>
      </c>
      <c r="B339" t="n">
        <v>2</v>
      </c>
      <c r="C339" t="n">
        <v>0.7001696451657812</v>
      </c>
      <c r="D339" t="n">
        <v>0.004470764427944651</v>
      </c>
      <c r="E339" t="n">
        <v>0.1941986626855629</v>
      </c>
      <c r="F339" t="n">
        <v>0.697985275746356</v>
      </c>
      <c r="G339" t="n">
        <v>0.004574448314204446</v>
      </c>
      <c r="H339" t="n">
        <v>0.7011928461794941</v>
      </c>
    </row>
    <row r="340">
      <c r="A340" t="inlineStr">
        <is>
          <t>Insurance (Life)</t>
        </is>
      </c>
      <c r="B340" t="n">
        <v>9</v>
      </c>
      <c r="C340" t="n">
        <v>0.8626956453139668</v>
      </c>
      <c r="D340" t="n">
        <v>0.007748892092078801</v>
      </c>
      <c r="E340" t="n">
        <v>0.1921199846780502</v>
      </c>
      <c r="F340" t="n">
        <v>0.8580414359654867</v>
      </c>
      <c r="G340" t="n">
        <v>0.05391686143713891</v>
      </c>
      <c r="H340" t="n">
        <v>0.9069408395427981</v>
      </c>
    </row>
    <row r="341">
      <c r="A341" t="inlineStr">
        <is>
          <t>Insurance (Prop/Cas.)</t>
        </is>
      </c>
      <c r="B341" t="n">
        <v>3</v>
      </c>
      <c r="C341" t="n">
        <v>1.304458446341286</v>
      </c>
      <c r="D341" t="n">
        <v>0.00546844220767468</v>
      </c>
      <c r="E341" t="n">
        <v>0.1070308313903813</v>
      </c>
      <c r="F341" t="n">
        <v>1.299484138603067</v>
      </c>
      <c r="G341" t="n">
        <v>0.1033234172852824</v>
      </c>
      <c r="H341" t="n">
        <v>1.449222789635965</v>
      </c>
    </row>
    <row r="342">
      <c r="A342" t="inlineStr">
        <is>
          <t>Investments &amp; Asset Management</t>
        </is>
      </c>
      <c r="B342" t="n">
        <v>115</v>
      </c>
      <c r="C342" t="n">
        <v>0.5119756349382035</v>
      </c>
      <c r="D342" t="n">
        <v>0.08318926590715382</v>
      </c>
      <c r="E342" t="n">
        <v>0.1290639959003046</v>
      </c>
      <c r="F342" t="n">
        <v>0.4838026063706444</v>
      </c>
      <c r="G342" t="n">
        <v>0.0136191554870218</v>
      </c>
      <c r="H342" t="n">
        <v>0.4904825646827318</v>
      </c>
    </row>
    <row r="343">
      <c r="A343" t="inlineStr">
        <is>
          <t>Machinery</t>
        </is>
      </c>
      <c r="B343" t="n">
        <v>187</v>
      </c>
      <c r="C343" t="n">
        <v>0.8270585522395903</v>
      </c>
      <c r="D343" t="n">
        <v>0.09100787401821954</v>
      </c>
      <c r="E343" t="n">
        <v>0.2151741258884686</v>
      </c>
      <c r="F343" t="n">
        <v>0.7775258688188308</v>
      </c>
      <c r="G343" t="n">
        <v>0.02825613603454687</v>
      </c>
      <c r="H343" t="n">
        <v>0.8001345803676441</v>
      </c>
    </row>
    <row r="344">
      <c r="A344" t="inlineStr">
        <is>
          <t>Metals &amp; Mining</t>
        </is>
      </c>
      <c r="B344" t="n">
        <v>51</v>
      </c>
      <c r="C344" t="n">
        <v>1.480926065199198</v>
      </c>
      <c r="D344" t="n">
        <v>0.2364603676758908</v>
      </c>
      <c r="E344" t="n">
        <v>0.2217177778642758</v>
      </c>
      <c r="F344" t="n">
        <v>1.27061156990424</v>
      </c>
      <c r="G344" t="n">
        <v>0.03294604512123109</v>
      </c>
      <c r="H344" t="n">
        <v>1.313899357418507</v>
      </c>
    </row>
    <row r="345">
      <c r="A345" t="inlineStr">
        <is>
          <t>Office Equipment &amp; Services</t>
        </is>
      </c>
      <c r="B345" t="n">
        <v>20</v>
      </c>
      <c r="C345" t="n">
        <v>0.6947257447936592</v>
      </c>
      <c r="D345" t="n">
        <v>0.02282731766268942</v>
      </c>
      <c r="E345" t="n">
        <v>0.2202524007404117</v>
      </c>
      <c r="F345" t="n">
        <v>0.6837992331744359</v>
      </c>
      <c r="G345" t="n">
        <v>0.01805970877867415</v>
      </c>
      <c r="H345" t="n">
        <v>0.696375573227507</v>
      </c>
    </row>
    <row r="346">
      <c r="A346" t="inlineStr">
        <is>
          <t>Oil/Gas (Integrated)</t>
        </is>
      </c>
      <c r="B346" t="n">
        <v>1</v>
      </c>
      <c r="C346" t="n">
        <v>0.7628200965713868</v>
      </c>
      <c r="D346" t="n">
        <v>0.5887634974119437</v>
      </c>
      <c r="E346" t="n">
        <v>0.2782338252665261</v>
      </c>
      <c r="F346" t="n">
        <v>0.5401894256952766</v>
      </c>
      <c r="G346" t="n">
        <v>0.09901401180492696</v>
      </c>
      <c r="H346" t="n">
        <v>0.5995536365414817</v>
      </c>
    </row>
    <row r="347">
      <c r="A347" t="inlineStr">
        <is>
          <t>Oil/Gas (Production and Exploration)</t>
        </is>
      </c>
      <c r="B347" t="n">
        <v>7</v>
      </c>
      <c r="C347" t="n">
        <v>0.6550142163398917</v>
      </c>
      <c r="D347" t="n">
        <v>0.6786180161123803</v>
      </c>
      <c r="E347" t="n">
        <v>0.06449369869394461</v>
      </c>
      <c r="F347" t="n">
        <v>0.4440676167641321</v>
      </c>
      <c r="G347" t="n">
        <v>0.07413911815449784</v>
      </c>
      <c r="H347" t="n">
        <v>0.4796267187344387</v>
      </c>
    </row>
    <row r="348">
      <c r="A348" t="inlineStr">
        <is>
          <t>Oil/Gas Distribution</t>
        </is>
      </c>
      <c r="B348" t="n">
        <v>12</v>
      </c>
      <c r="C348" t="n">
        <v>1.101368053230925</v>
      </c>
      <c r="D348" t="n">
        <v>0.1411082060318252</v>
      </c>
      <c r="E348" t="n">
        <v>0.1559423813841462</v>
      </c>
      <c r="F348" t="n">
        <v>1.002359270326342</v>
      </c>
      <c r="G348" t="n">
        <v>0.1477011938734279</v>
      </c>
      <c r="H348" t="n">
        <v>1.176065557197888</v>
      </c>
    </row>
    <row r="349">
      <c r="A349" t="inlineStr">
        <is>
          <t>Oilfield Svcs/Equip.</t>
        </is>
      </c>
      <c r="B349" t="n">
        <v>30</v>
      </c>
      <c r="C349" t="n">
        <v>0.9732462082118339</v>
      </c>
      <c r="D349" t="n">
        <v>0.2461784331933114</v>
      </c>
      <c r="E349" t="n">
        <v>0.1932010849070938</v>
      </c>
      <c r="F349" t="n">
        <v>0.8301847086297685</v>
      </c>
      <c r="G349" t="n">
        <v>0.0393340827912722</v>
      </c>
      <c r="H349" t="n">
        <v>0.8641762903819047</v>
      </c>
    </row>
    <row r="350">
      <c r="A350" t="inlineStr">
        <is>
          <t>Packaging &amp; Container</t>
        </is>
      </c>
      <c r="B350" t="n">
        <v>101</v>
      </c>
      <c r="C350" t="n">
        <v>0.5633593131348688</v>
      </c>
      <c r="D350" t="n">
        <v>0.3885337288129759</v>
      </c>
      <c r="E350" t="n">
        <v>0.172717218389364</v>
      </c>
      <c r="F350" t="n">
        <v>0.4429017305319578</v>
      </c>
      <c r="G350" t="n">
        <v>0.0374112308668938</v>
      </c>
      <c r="H350" t="n">
        <v>0.4601152067573246</v>
      </c>
    </row>
    <row r="351">
      <c r="A351" t="inlineStr">
        <is>
          <t>Paper/Forest Products</t>
        </is>
      </c>
      <c r="B351" t="n">
        <v>55</v>
      </c>
      <c r="C351" t="n">
        <v>0.5728420339690721</v>
      </c>
      <c r="D351" t="n">
        <v>0.2515853112677793</v>
      </c>
      <c r="E351" t="n">
        <v>0.1656165707961309</v>
      </c>
      <c r="F351" t="n">
        <v>0.4870651311325134</v>
      </c>
      <c r="G351" t="n">
        <v>0.02126465980183437</v>
      </c>
      <c r="H351" t="n">
        <v>0.4976474345290289</v>
      </c>
    </row>
    <row r="352">
      <c r="A352" t="inlineStr">
        <is>
          <t>Power</t>
        </is>
      </c>
      <c r="B352" t="n">
        <v>33</v>
      </c>
      <c r="C352" t="n">
        <v>1.190734752997699</v>
      </c>
      <c r="D352" t="n">
        <v>0.4862600838726512</v>
      </c>
      <c r="E352" t="n">
        <v>0.1695728212597256</v>
      </c>
      <c r="F352" t="n">
        <v>0.8883547383071635</v>
      </c>
      <c r="G352" t="n">
        <v>0.03127218556025244</v>
      </c>
      <c r="H352" t="n">
        <v>0.9170323439313376</v>
      </c>
    </row>
    <row r="353">
      <c r="A353" t="inlineStr">
        <is>
          <t>Precious Metals</t>
        </is>
      </c>
      <c r="B353" t="n">
        <v>1</v>
      </c>
      <c r="C353" t="n">
        <v>1.336963249874173</v>
      </c>
      <c r="D353" t="n">
        <v>0.1607254534083802</v>
      </c>
      <c r="E353" t="n">
        <v>0</v>
      </c>
      <c r="F353" t="n">
        <v>1.20175627441048</v>
      </c>
      <c r="G353" t="n">
        <v>0.003265086206896552</v>
      </c>
      <c r="H353" t="n">
        <v>1.205692965883137</v>
      </c>
    </row>
    <row r="354">
      <c r="A354" t="inlineStr">
        <is>
          <t>Publishing &amp; Newspapers</t>
        </is>
      </c>
      <c r="B354" t="n">
        <v>25</v>
      </c>
      <c r="C354" t="n">
        <v>0.5994099948665204</v>
      </c>
      <c r="D354" t="n">
        <v>0.1446440981123593</v>
      </c>
      <c r="E354" t="n">
        <v>0.1296860017555733</v>
      </c>
      <c r="F354" t="n">
        <v>0.5442992254668814</v>
      </c>
      <c r="G354" t="n">
        <v>0.08071797298619489</v>
      </c>
      <c r="H354" t="n">
        <v>0.59209166444272</v>
      </c>
    </row>
    <row r="355">
      <c r="A355" t="inlineStr">
        <is>
          <t>R.E.I.T.</t>
        </is>
      </c>
      <c r="B355" t="n">
        <v>5</v>
      </c>
      <c r="C355" t="n">
        <v>0.2796313151449938</v>
      </c>
      <c r="D355" t="n">
        <v>0.1698057226005206</v>
      </c>
      <c r="E355" t="n">
        <v>0.2778925888800317</v>
      </c>
      <c r="F355" t="n">
        <v>0.2499243104526942</v>
      </c>
      <c r="G355" t="n">
        <v>0.03376438108028527</v>
      </c>
      <c r="H355" t="n">
        <v>0.2586577285694749</v>
      </c>
    </row>
    <row r="356">
      <c r="A356" t="inlineStr">
        <is>
          <t>Real Estate (Development)</t>
        </is>
      </c>
      <c r="B356" t="n">
        <v>156</v>
      </c>
      <c r="C356" t="n">
        <v>0.7553042627845126</v>
      </c>
      <c r="D356" t="n">
        <v>0.2126776639375235</v>
      </c>
      <c r="E356" t="n">
        <v>0.1325926204363046</v>
      </c>
      <c r="F356" t="n">
        <v>0.6574298164836764</v>
      </c>
      <c r="G356" t="n">
        <v>0.04432381966376315</v>
      </c>
      <c r="H356" t="n">
        <v>0.6879211075998274</v>
      </c>
    </row>
    <row r="357">
      <c r="A357" t="inlineStr">
        <is>
          <t>Real Estate (General/Diversified)</t>
        </is>
      </c>
      <c r="B357" t="n">
        <v>16</v>
      </c>
      <c r="C357" t="n">
        <v>1.173949558723969</v>
      </c>
      <c r="D357" t="n">
        <v>0.06554242499150495</v>
      </c>
      <c r="E357" t="n">
        <v>0.1728982231292486</v>
      </c>
      <c r="F357" t="n">
        <v>1.122451809263315</v>
      </c>
      <c r="G357" t="n">
        <v>0.02237932520979121</v>
      </c>
      <c r="H357" t="n">
        <v>1.148146554392568</v>
      </c>
    </row>
    <row r="358">
      <c r="A358" t="inlineStr">
        <is>
          <t>Real Estate (Operations &amp; Services)</t>
        </is>
      </c>
      <c r="B358" t="n">
        <v>42</v>
      </c>
      <c r="C358" t="n">
        <v>0.3393979135251153</v>
      </c>
      <c r="D358" t="n">
        <v>0.6808835612418569</v>
      </c>
      <c r="E358" t="n">
        <v>0.1370478839404288</v>
      </c>
      <c r="F358" t="n">
        <v>0.2298480719048915</v>
      </c>
      <c r="G358" t="n">
        <v>0.02356185237202815</v>
      </c>
      <c r="H358" t="n">
        <v>0.2353944000070599</v>
      </c>
    </row>
    <row r="359">
      <c r="A359" t="inlineStr">
        <is>
          <t>Recreation</t>
        </is>
      </c>
      <c r="B359" t="n">
        <v>15</v>
      </c>
      <c r="C359" t="n">
        <v>0.09960242348159977</v>
      </c>
      <c r="D359" t="n">
        <v>0.05249390248429976</v>
      </c>
      <c r="E359" t="n">
        <v>0.1011967138246756</v>
      </c>
      <c r="F359" t="n">
        <v>0.09607218089485577</v>
      </c>
      <c r="G359" t="n">
        <v>0.03824697306663717</v>
      </c>
      <c r="H359" t="n">
        <v>0.09989277725612226</v>
      </c>
    </row>
    <row r="360">
      <c r="A360" t="inlineStr">
        <is>
          <t>Reinsurance</t>
        </is>
      </c>
      <c r="B360" t="n">
        <v>1</v>
      </c>
      <c r="C360" t="n">
        <v>0.9366522015346528</v>
      </c>
      <c r="D360" t="n">
        <v>0</v>
      </c>
      <c r="E360" t="n">
        <v>0.2035450516986706</v>
      </c>
      <c r="F360" t="n">
        <v>0.9366522015346528</v>
      </c>
      <c r="G360" t="n">
        <v>0.3832279757901816</v>
      </c>
      <c r="H360" t="n">
        <v>1.518636002880726</v>
      </c>
    </row>
    <row r="361">
      <c r="A361" t="inlineStr">
        <is>
          <t>Restaurant/Dining</t>
        </is>
      </c>
      <c r="B361" t="n">
        <v>19</v>
      </c>
      <c r="C361" t="n">
        <v>0.5884395044378293</v>
      </c>
      <c r="D361" t="n">
        <v>0.06793284307336843</v>
      </c>
      <c r="E361" t="n">
        <v>0.1674203725252069</v>
      </c>
      <c r="F361" t="n">
        <v>0.5617276738934299</v>
      </c>
      <c r="G361" t="n">
        <v>0.006969913623656565</v>
      </c>
      <c r="H361" t="n">
        <v>0.5656703473539507</v>
      </c>
    </row>
    <row r="362">
      <c r="A362" t="inlineStr">
        <is>
          <t>Retail (Automotive)</t>
        </is>
      </c>
      <c r="B362" t="n">
        <v>10</v>
      </c>
      <c r="C362" t="n">
        <v>0.7879712070548727</v>
      </c>
      <c r="D362" t="n">
        <v>0.1676594370441976</v>
      </c>
      <c r="E362" t="n">
        <v>0.1537105588622089</v>
      </c>
      <c r="F362" t="n">
        <v>0.7052069830145706</v>
      </c>
      <c r="G362" t="n">
        <v>0.01230483088514408</v>
      </c>
      <c r="H362" t="n">
        <v>0.7139925404784119</v>
      </c>
    </row>
    <row r="363">
      <c r="A363" t="inlineStr">
        <is>
          <t>Retail (Building Supply)</t>
        </is>
      </c>
      <c r="B363" t="n">
        <v>3</v>
      </c>
      <c r="C363" t="n">
        <v>1.188483147080861</v>
      </c>
      <c r="D363" t="n">
        <v>0.2113309695319195</v>
      </c>
      <c r="E363" t="n">
        <v>0.08333333333333333</v>
      </c>
      <c r="F363" t="n">
        <v>1.035325681102745</v>
      </c>
      <c r="G363" t="n">
        <v>0.14257096308331</v>
      </c>
      <c r="H363" t="n">
        <v>1.20747681327165</v>
      </c>
    </row>
    <row r="364">
      <c r="A364" t="inlineStr">
        <is>
          <t>Retail (Distributors)</t>
        </is>
      </c>
      <c r="B364" t="n">
        <v>276</v>
      </c>
      <c r="C364" t="n">
        <v>0.5598017072707557</v>
      </c>
      <c r="D364" t="n">
        <v>0.3224832868132056</v>
      </c>
      <c r="E364" t="n">
        <v>0.1490785710652718</v>
      </c>
      <c r="F364" t="n">
        <v>0.4567057314921444</v>
      </c>
      <c r="G364" t="n">
        <v>0.0321288099909435</v>
      </c>
      <c r="H364" t="n">
        <v>0.4718662320012552</v>
      </c>
    </row>
    <row r="365">
      <c r="A365" t="inlineStr">
        <is>
          <t>Retail (General)</t>
        </is>
      </c>
      <c r="B365" t="n">
        <v>11</v>
      </c>
      <c r="C365" t="n">
        <v>1.098425254355333</v>
      </c>
      <c r="D365" t="n">
        <v>0.05555686985965096</v>
      </c>
      <c r="E365" t="n">
        <v>0.1033749897497021</v>
      </c>
      <c r="F365" t="n">
        <v>1.057306795141742</v>
      </c>
      <c r="G365" t="n">
        <v>0.005431960009297142</v>
      </c>
      <c r="H365" t="n">
        <v>1.063081410852118</v>
      </c>
    </row>
    <row r="366">
      <c r="A366" t="inlineStr">
        <is>
          <t>Retail (Grocery and Food)</t>
        </is>
      </c>
      <c r="B366" t="n">
        <v>13</v>
      </c>
      <c r="C366" t="n">
        <v>0.9880405592643846</v>
      </c>
      <c r="D366" t="n">
        <v>0.007867997759355507</v>
      </c>
      <c r="E366" t="n">
        <v>0.2092255035525968</v>
      </c>
      <c r="F366" t="n">
        <v>0.9826286353336261</v>
      </c>
      <c r="G366" t="n">
        <v>0.001360224128329873</v>
      </c>
      <c r="H366" t="n">
        <v>0.9839670510579568</v>
      </c>
    </row>
    <row r="367">
      <c r="A367" t="inlineStr">
        <is>
          <t>Retail (REITs)</t>
        </is>
      </c>
      <c r="B367" t="n">
        <v>1</v>
      </c>
      <c r="C367" t="n">
        <v>0.5139311569072718</v>
      </c>
      <c r="D367" t="n">
        <v>0.2519350141773316</v>
      </c>
      <c r="E367" t="n">
        <v>0.3325183374083129</v>
      </c>
      <c r="F367" t="n">
        <v>0.4368845892726821</v>
      </c>
      <c r="G367" t="n">
        <v>0.0005662167538946531</v>
      </c>
      <c r="H367" t="n">
        <v>0.4371321007918156</v>
      </c>
    </row>
    <row r="368">
      <c r="A368" t="inlineStr">
        <is>
          <t>Retail (Special Lines)</t>
        </is>
      </c>
      <c r="B368" t="n">
        <v>61</v>
      </c>
      <c r="C368" t="n">
        <v>0.6400962701338794</v>
      </c>
      <c r="D368" t="n">
        <v>0.08075191338918304</v>
      </c>
      <c r="E368" t="n">
        <v>0.2170786138579232</v>
      </c>
      <c r="F368" t="n">
        <v>0.6058497987982899</v>
      </c>
      <c r="G368" t="n">
        <v>0.01591456453982217</v>
      </c>
      <c r="H368" t="n">
        <v>0.6156475616519846</v>
      </c>
    </row>
    <row r="369">
      <c r="A369" t="inlineStr">
        <is>
          <t>Rubber&amp; Tires</t>
        </is>
      </c>
      <c r="B369" t="n">
        <v>18</v>
      </c>
      <c r="C369" t="n">
        <v>0.719485645150865</v>
      </c>
      <c r="D369" t="n">
        <v>0.1205465513226189</v>
      </c>
      <c r="E369" t="n">
        <v>0.2397683441930293</v>
      </c>
      <c r="F369" t="n">
        <v>0.6634979706323636</v>
      </c>
      <c r="G369" t="n">
        <v>0.01218761646848107</v>
      </c>
      <c r="H369" t="n">
        <v>0.6716842000505179</v>
      </c>
    </row>
    <row r="370">
      <c r="A370" t="inlineStr">
        <is>
          <t>Semiconductor</t>
        </is>
      </c>
      <c r="B370" t="n">
        <v>18</v>
      </c>
      <c r="C370" t="n">
        <v>1.91728065056186</v>
      </c>
      <c r="D370" t="n">
        <v>0.04578508420995792</v>
      </c>
      <c r="E370" t="n">
        <v>0.2289526714736909</v>
      </c>
      <c r="F370" t="n">
        <v>1.857740874884067</v>
      </c>
      <c r="G370" t="n">
        <v>0.06478848051249458</v>
      </c>
      <c r="H370" t="n">
        <v>1.986439255904489</v>
      </c>
    </row>
    <row r="371">
      <c r="A371" t="inlineStr">
        <is>
          <t>Semiconductor Equip</t>
        </is>
      </c>
      <c r="B371" t="n">
        <v>2</v>
      </c>
      <c r="C371" t="n">
        <v>1.321416612322032</v>
      </c>
      <c r="D371" t="n">
        <v>0.02595014164305949</v>
      </c>
      <c r="E371" t="n">
        <v>0.1239583333333333</v>
      </c>
      <c r="F371" t="n">
        <v>1.297841198274242</v>
      </c>
      <c r="G371" t="n">
        <v>0.00851998175394107</v>
      </c>
      <c r="H371" t="n">
        <v>1.308993801579723</v>
      </c>
    </row>
    <row r="372">
      <c r="A372" t="inlineStr">
        <is>
          <t>Shipbuilding &amp; Marine</t>
        </is>
      </c>
      <c r="B372" t="n">
        <v>28</v>
      </c>
      <c r="C372" t="n">
        <v>1.164401736767606</v>
      </c>
      <c r="D372" t="n">
        <v>0.1764725619716452</v>
      </c>
      <c r="E372" t="n">
        <v>0.1719280380732822</v>
      </c>
      <c r="F372" t="n">
        <v>1.03637723472135</v>
      </c>
      <c r="G372" t="n">
        <v>0.03040652840803671</v>
      </c>
      <c r="H372" t="n">
        <v>1.068878107254307</v>
      </c>
    </row>
    <row r="373">
      <c r="A373" t="inlineStr">
        <is>
          <t>Shoe</t>
        </is>
      </c>
      <c r="B373" t="n">
        <v>13</v>
      </c>
      <c r="C373" t="n">
        <v>0.2774972615031248</v>
      </c>
      <c r="D373" t="n">
        <v>0.07640596523103137</v>
      </c>
      <c r="E373" t="n">
        <v>0.1914191137801803</v>
      </c>
      <c r="F373" t="n">
        <v>0.263409045825317</v>
      </c>
      <c r="G373" t="n">
        <v>0.01877566596529191</v>
      </c>
      <c r="H373" t="n">
        <v>0.268449361362862</v>
      </c>
    </row>
    <row r="374">
      <c r="A374" t="inlineStr">
        <is>
          <t>Software (Entertainment)</t>
        </is>
      </c>
      <c r="B374" t="n">
        <v>4</v>
      </c>
      <c r="C374" t="n">
        <v>0.6079900983330981</v>
      </c>
      <c r="D374" t="n">
        <v>0.005724595373232898</v>
      </c>
      <c r="E374" t="n">
        <v>0.2190969949443717</v>
      </c>
      <c r="F374" t="n">
        <v>0.6055634742291583</v>
      </c>
      <c r="G374" t="n">
        <v>0.005236916511780398</v>
      </c>
      <c r="H374" t="n">
        <v>0.6087514547742359</v>
      </c>
    </row>
    <row r="375">
      <c r="A375" t="inlineStr">
        <is>
          <t>Software (Internet)</t>
        </is>
      </c>
      <c r="B375" t="n">
        <v>6</v>
      </c>
      <c r="C375" t="n">
        <v>0.4634610856496328</v>
      </c>
      <c r="D375" t="n">
        <v>0.1186200609390487</v>
      </c>
      <c r="E375" t="n">
        <v>0.159483879082638</v>
      </c>
      <c r="F375" t="n">
        <v>0.4279284559813871</v>
      </c>
      <c r="G375" t="n">
        <v>0.07673406096937312</v>
      </c>
      <c r="H375" t="n">
        <v>0.4634942521877131</v>
      </c>
    </row>
    <row r="376">
      <c r="A376" t="inlineStr">
        <is>
          <t>Software (System &amp; Application)</t>
        </is>
      </c>
      <c r="B376" t="n">
        <v>82</v>
      </c>
      <c r="C376" t="n">
        <v>0.8643981814885346</v>
      </c>
      <c r="D376" t="n">
        <v>0.01556056209728855</v>
      </c>
      <c r="E376" t="n">
        <v>0.1740720883531169</v>
      </c>
      <c r="F376" t="n">
        <v>0.8550842672017891</v>
      </c>
      <c r="G376" t="n">
        <v>0.06046175163803328</v>
      </c>
      <c r="H376" t="n">
        <v>0.9101111835442373</v>
      </c>
    </row>
    <row r="377">
      <c r="A377" t="inlineStr">
        <is>
          <t>Steel</t>
        </is>
      </c>
      <c r="B377" t="n">
        <v>185</v>
      </c>
      <c r="C377" t="n">
        <v>1.060177306054625</v>
      </c>
      <c r="D377" t="n">
        <v>0.2625521861546137</v>
      </c>
      <c r="E377" t="n">
        <v>0.1851456735047935</v>
      </c>
      <c r="F377" t="n">
        <v>0.8955814911820124</v>
      </c>
      <c r="G377" t="n">
        <v>0.03050657849104326</v>
      </c>
      <c r="H377" t="n">
        <v>0.9237623188696783</v>
      </c>
    </row>
    <row r="378">
      <c r="A378" t="inlineStr">
        <is>
          <t>Telecom (Wireless)</t>
        </is>
      </c>
      <c r="B378" t="n">
        <v>4</v>
      </c>
      <c r="C378" t="n">
        <v>0.9637785266591039</v>
      </c>
      <c r="D378" t="n">
        <v>0.3397016057116352</v>
      </c>
      <c r="E378" t="n">
        <v>0.07906563461620252</v>
      </c>
      <c r="F378" t="n">
        <v>0.7786277571178872</v>
      </c>
      <c r="G378" t="n">
        <v>0.01160791104555326</v>
      </c>
      <c r="H378" t="n">
        <v>0.7877721461141448</v>
      </c>
    </row>
    <row r="379">
      <c r="A379" t="inlineStr">
        <is>
          <t>Telecom. Equipment</t>
        </is>
      </c>
      <c r="B379" t="n">
        <v>22</v>
      </c>
      <c r="C379" t="n">
        <v>0.9368345900394728</v>
      </c>
      <c r="D379" t="n">
        <v>0.2634544498456961</v>
      </c>
      <c r="E379" t="n">
        <v>0.1509182649660353</v>
      </c>
      <c r="F379" t="n">
        <v>0.790966110920135</v>
      </c>
      <c r="G379" t="n">
        <v>0.0144345573712056</v>
      </c>
      <c r="H379" t="n">
        <v>0.8025505732124643</v>
      </c>
    </row>
    <row r="380">
      <c r="A380" t="inlineStr">
        <is>
          <t>Telecom. Services</t>
        </is>
      </c>
      <c r="B380" t="n">
        <v>11</v>
      </c>
      <c r="C380" t="n">
        <v>0.8608167913982094</v>
      </c>
      <c r="D380" t="n">
        <v>0.4894195782073655</v>
      </c>
      <c r="E380" t="n">
        <v>0.1400837962184348</v>
      </c>
      <c r="F380" t="n">
        <v>0.6411595617913352</v>
      </c>
      <c r="G380" t="n">
        <v>0.01119190473776656</v>
      </c>
      <c r="H380" t="n">
        <v>0.648416578366805</v>
      </c>
    </row>
    <row r="381">
      <c r="A381" t="inlineStr">
        <is>
          <t>Tobacco</t>
        </is>
      </c>
      <c r="B381" t="n">
        <v>7</v>
      </c>
      <c r="C381" t="n">
        <v>0.1580866526123928</v>
      </c>
      <c r="D381" t="n">
        <v>0.01465164579067161</v>
      </c>
      <c r="E381" t="n">
        <v>0.1293642563775049</v>
      </c>
      <c r="F381" t="n">
        <v>0.1564817519705891</v>
      </c>
      <c r="G381" t="n">
        <v>0.007377456827617197</v>
      </c>
      <c r="H381" t="n">
        <v>0.1576447694513158</v>
      </c>
    </row>
    <row r="382">
      <c r="A382" t="inlineStr">
        <is>
          <t>Transportation</t>
        </is>
      </c>
      <c r="B382" t="n">
        <v>59</v>
      </c>
      <c r="C382" t="n">
        <v>1.129276008108128</v>
      </c>
      <c r="D382" t="n">
        <v>0.2128924577202274</v>
      </c>
      <c r="E382" t="n">
        <v>0.169439645237244</v>
      </c>
      <c r="F382" t="n">
        <v>0.9828126306202662</v>
      </c>
      <c r="G382" t="n">
        <v>0.03153496301540224</v>
      </c>
      <c r="H382" t="n">
        <v>1.014814777083064</v>
      </c>
    </row>
    <row r="383">
      <c r="A383" t="inlineStr">
        <is>
          <t>Transportation (Railroads)</t>
        </is>
      </c>
      <c r="B383" t="n">
        <v>3</v>
      </c>
      <c r="C383" t="n">
        <v>1.339235176249429</v>
      </c>
      <c r="D383" t="n">
        <v>0.02292057760115412</v>
      </c>
      <c r="E383" t="n">
        <v>0.2509887795585228</v>
      </c>
      <c r="F383" t="n">
        <v>1.318087251456951</v>
      </c>
      <c r="G383" t="n">
        <v>0.09885230855548816</v>
      </c>
      <c r="H383" t="n">
        <v>1.462676167259662</v>
      </c>
    </row>
    <row r="384">
      <c r="A384" t="inlineStr">
        <is>
          <t>Trucking</t>
        </is>
      </c>
      <c r="B384" t="n">
        <v>24</v>
      </c>
      <c r="C384" t="n">
        <v>0.3372011563253062</v>
      </c>
      <c r="D384" t="n">
        <v>0.2833678469908806</v>
      </c>
      <c r="E384" t="n">
        <v>0.2507819249194936</v>
      </c>
      <c r="F384" t="n">
        <v>0.2813861125122877</v>
      </c>
      <c r="G384" t="n">
        <v>0.01698270159754656</v>
      </c>
      <c r="H384" t="n">
        <v>0.2862473661140869</v>
      </c>
    </row>
    <row r="385">
      <c r="A385" t="inlineStr">
        <is>
          <t>Utility (General)</t>
        </is>
      </c>
      <c r="B385" t="n">
        <v>0</v>
      </c>
      <c r="C385" t="n">
        <v>0</v>
      </c>
      <c r="D385" t="n">
        <v>7</v>
      </c>
      <c r="E385" t="n">
        <v>0</v>
      </c>
      <c r="F385" t="inlineStr">
        <is>
          <t>NA</t>
        </is>
      </c>
      <c r="G385" t="n">
        <v>7</v>
      </c>
      <c r="H385" t="inlineStr">
        <is>
          <t>NA</t>
        </is>
      </c>
    </row>
    <row r="386">
      <c r="A386" t="inlineStr">
        <is>
          <t>Utility (Water)</t>
        </is>
      </c>
      <c r="B386" t="n">
        <v>1</v>
      </c>
      <c r="C386" t="n">
        <v>1.3711491996254</v>
      </c>
      <c r="D386" t="n">
        <v>0.02999114652501107</v>
      </c>
      <c r="E386" t="n">
        <v>0.2372881355932203</v>
      </c>
      <c r="F386" t="n">
        <v>1.342955457885593</v>
      </c>
      <c r="G386" t="n">
        <v>0.0964865155259482</v>
      </c>
      <c r="H386" t="n">
        <v>1.486370132779309</v>
      </c>
    </row>
    <row r="387">
      <c r="A387" t="inlineStr">
        <is>
          <t>Total Market</t>
        </is>
      </c>
      <c r="B387" t="n">
        <v>5170</v>
      </c>
      <c r="C387" t="n">
        <v>0.7655218011357747</v>
      </c>
      <c r="D387" t="n">
        <v>0.3027444163948531</v>
      </c>
      <c r="E387" t="n">
        <v>0.1775469137245779</v>
      </c>
      <c r="F387" t="n">
        <v>0.6316597726698477</v>
      </c>
      <c r="G387" t="n">
        <v>0.05745549373408934</v>
      </c>
      <c r="H387" t="n">
        <v>0.6701643991033394</v>
      </c>
    </row>
    <row r="388">
      <c r="A388" t="inlineStr">
        <is>
          <t>Total Market (without financials)</t>
        </is>
      </c>
      <c r="B388" t="n">
        <v>4523</v>
      </c>
      <c r="C388" t="n">
        <v>0.7851308890480704</v>
      </c>
      <c r="D388" t="n">
        <v>0.1729757068191648</v>
      </c>
      <c r="E388" t="n">
        <v>0.1810988801738277</v>
      </c>
      <c r="F388" t="n">
        <v>0.700332529088763</v>
      </c>
      <c r="G388" t="n">
        <v>0.02978721543664717</v>
      </c>
      <c r="H388" t="n">
        <v>0.721833952542637</v>
      </c>
    </row>
    <row r="390">
      <c r="A390" s="104" t="inlineStr">
        <is>
          <t>Beta Source: Emerging Markets</t>
        </is>
      </c>
    </row>
    <row r="391">
      <c r="A391" s="100" t="inlineStr">
        <is>
          <t>Industry</t>
        </is>
      </c>
      <c r="B391" s="100" t="inlineStr">
        <is>
          <t>N Firms</t>
        </is>
      </c>
      <c r="C391" s="100" t="inlineStr">
        <is>
          <t>Levered Beta</t>
        </is>
      </c>
      <c r="D391" s="100" t="inlineStr">
        <is>
          <t>D/E</t>
        </is>
      </c>
      <c r="E391" s="100" t="inlineStr">
        <is>
          <t>Eff. Tax</t>
        </is>
      </c>
      <c r="F391" s="100" t="inlineStr">
        <is>
          <t>Unlevered Beta</t>
        </is>
      </c>
      <c r="G391" s="100" t="inlineStr">
        <is>
          <t>Cash/Firm Value</t>
        </is>
      </c>
      <c r="H391" s="100" t="inlineStr">
        <is>
          <t>Unlevered Beta (cash-adj)</t>
        </is>
      </c>
    </row>
    <row r="392">
      <c r="A392" t="inlineStr">
        <is>
          <t>Advertising</t>
        </is>
      </c>
      <c r="B392" t="n">
        <v>184</v>
      </c>
      <c r="C392" t="n">
        <v>1.439915980520334</v>
      </c>
      <c r="D392" t="n">
        <v>0.3158500452291263</v>
      </c>
      <c r="E392" t="n">
        <v>0.1028054729138268</v>
      </c>
      <c r="F392" t="n">
        <v>1.163283171862054</v>
      </c>
      <c r="G392" t="n">
        <v>0.09188410723512229</v>
      </c>
      <c r="H392" t="n">
        <v>1.280985368861111</v>
      </c>
    </row>
    <row r="393">
      <c r="A393" t="inlineStr">
        <is>
          <t>Aerospace/Defense</t>
        </is>
      </c>
      <c r="B393" t="n">
        <v>151</v>
      </c>
      <c r="C393" t="n">
        <v>1.282566043518644</v>
      </c>
      <c r="D393" t="n">
        <v>0.1203011179767004</v>
      </c>
      <c r="E393" t="n">
        <v>0.1074434135253777</v>
      </c>
      <c r="F393" t="n">
        <v>1.176046014757088</v>
      </c>
      <c r="G393" t="n">
        <v>0.06385832398002231</v>
      </c>
      <c r="H393" t="n">
        <v>1.256269264452649</v>
      </c>
    </row>
    <row r="394">
      <c r="A394" t="inlineStr">
        <is>
          <t>Air Transport</t>
        </is>
      </c>
      <c r="B394" t="n">
        <v>79</v>
      </c>
      <c r="C394" t="n">
        <v>0.8725264691967543</v>
      </c>
      <c r="D394" t="n">
        <v>0.8001972141639346</v>
      </c>
      <c r="E394" t="n">
        <v>0.1373716340744387</v>
      </c>
      <c r="F394" t="n">
        <v>0.5444890047457032</v>
      </c>
      <c r="G394" t="n">
        <v>0.07994547039546288</v>
      </c>
      <c r="H394" t="n">
        <v>0.5918007979154652</v>
      </c>
    </row>
    <row r="395">
      <c r="A395" t="inlineStr">
        <is>
          <t>Apparel</t>
        </is>
      </c>
      <c r="B395" t="n">
        <v>993</v>
      </c>
      <c r="C395" t="n">
        <v>0.7324387030598308</v>
      </c>
      <c r="D395" t="n">
        <v>0.2597807911140349</v>
      </c>
      <c r="E395" t="n">
        <v>0.1450155280246053</v>
      </c>
      <c r="F395" t="n">
        <v>0.6126174872941978</v>
      </c>
      <c r="G395" t="n">
        <v>0.08041120003106456</v>
      </c>
      <c r="H395" t="n">
        <v>0.6661863294930219</v>
      </c>
    </row>
    <row r="396">
      <c r="A396" t="inlineStr">
        <is>
          <t>Auto &amp; Truck</t>
        </is>
      </c>
      <c r="B396" t="n">
        <v>89</v>
      </c>
      <c r="C396" t="n">
        <v>1.350538916415219</v>
      </c>
      <c r="D396" t="n">
        <v>0.4021626021950477</v>
      </c>
      <c r="E396" t="n">
        <v>0.139095305533551</v>
      </c>
      <c r="F396" t="n">
        <v>1.036652690262695</v>
      </c>
      <c r="G396" t="n">
        <v>0.1483002440638085</v>
      </c>
      <c r="H396" t="n">
        <v>1.217157434926352</v>
      </c>
    </row>
    <row r="397">
      <c r="A397" t="inlineStr">
        <is>
          <t>Auto Parts</t>
        </is>
      </c>
      <c r="B397" t="n">
        <v>592</v>
      </c>
      <c r="C397" t="n">
        <v>1.524830621431327</v>
      </c>
      <c r="D397" t="n">
        <v>0.1844752050536944</v>
      </c>
      <c r="E397" t="n">
        <v>0.1618776203480402</v>
      </c>
      <c r="F397" t="n">
        <v>1.338872736843131</v>
      </c>
      <c r="G397" t="n">
        <v>0.08727324042953315</v>
      </c>
      <c r="H397" t="n">
        <v>1.466893265486387</v>
      </c>
    </row>
    <row r="398">
      <c r="A398" t="inlineStr">
        <is>
          <t>Bank (Money Center)</t>
        </is>
      </c>
      <c r="B398" t="n">
        <v>455</v>
      </c>
      <c r="C398" t="n">
        <v>0.5856977191575352</v>
      </c>
      <c r="D398" t="n">
        <v>1.789918979940586</v>
      </c>
      <c r="E398" t="n">
        <v>0.215455026357326</v>
      </c>
      <c r="F398" t="n">
        <v>0.2494846799360278</v>
      </c>
      <c r="G398" t="n">
        <v>0.1800725605209288</v>
      </c>
      <c r="H398" t="n">
        <v>0.3042765346340089</v>
      </c>
    </row>
    <row r="399">
      <c r="A399" t="inlineStr">
        <is>
          <t>Banks (Regional)</t>
        </is>
      </c>
      <c r="B399" t="n">
        <v>104</v>
      </c>
      <c r="C399" t="n">
        <v>0.6040309212598437</v>
      </c>
      <c r="D399" t="n">
        <v>5.401252648141996</v>
      </c>
      <c r="E399" t="n">
        <v>0.1529717858406711</v>
      </c>
      <c r="F399" t="n">
        <v>0.1192181244708509</v>
      </c>
      <c r="G399" t="n">
        <v>0.1278879479800823</v>
      </c>
      <c r="H399" t="n">
        <v>0.1367004666369731</v>
      </c>
    </row>
    <row r="400">
      <c r="A400" t="inlineStr">
        <is>
          <t>Beverage (Alcoholic)</t>
        </is>
      </c>
      <c r="B400" t="n">
        <v>132</v>
      </c>
      <c r="C400" t="n">
        <v>0.9057099640294072</v>
      </c>
      <c r="D400" t="n">
        <v>0.02593069824815781</v>
      </c>
      <c r="E400" t="n">
        <v>0.1923418527997469</v>
      </c>
      <c r="F400" t="n">
        <v>0.8883661929946163</v>
      </c>
      <c r="G400" t="n">
        <v>0.06779654388871395</v>
      </c>
      <c r="H400" t="n">
        <v>0.9529745756365909</v>
      </c>
    </row>
    <row r="401">
      <c r="A401" t="inlineStr">
        <is>
          <t>Beverage (Soft)</t>
        </is>
      </c>
      <c r="B401" t="n">
        <v>40</v>
      </c>
      <c r="C401" t="n">
        <v>0.570851010291039</v>
      </c>
      <c r="D401" t="n">
        <v>0.05010321856128182</v>
      </c>
      <c r="E401" t="n">
        <v>0.1658905924979863</v>
      </c>
      <c r="F401" t="n">
        <v>0.550099754972675</v>
      </c>
      <c r="G401" t="n">
        <v>0.05077460320685437</v>
      </c>
      <c r="H401" t="n">
        <v>0.5795249019159485</v>
      </c>
    </row>
    <row r="402">
      <c r="A402" t="inlineStr">
        <is>
          <t>Broadcasting</t>
        </is>
      </c>
      <c r="B402" t="n">
        <v>63</v>
      </c>
      <c r="C402" t="n">
        <v>0.9032628137533893</v>
      </c>
      <c r="D402" t="n">
        <v>0.3304295254960128</v>
      </c>
      <c r="E402" t="n">
        <v>0.1238041540842583</v>
      </c>
      <c r="F402" t="n">
        <v>0.7233159818734415</v>
      </c>
      <c r="G402" t="n">
        <v>0.1552264902572237</v>
      </c>
      <c r="H402" t="n">
        <v>0.8562247437111076</v>
      </c>
    </row>
    <row r="403">
      <c r="A403" t="inlineStr">
        <is>
          <t>Brokerage &amp; Investment Banking</t>
        </is>
      </c>
      <c r="B403" t="n">
        <v>468</v>
      </c>
      <c r="C403" t="n">
        <v>0.9674978077764113</v>
      </c>
      <c r="D403" t="n">
        <v>2.063838536424714</v>
      </c>
      <c r="E403" t="n">
        <v>0.1425919458417571</v>
      </c>
      <c r="F403" t="n">
        <v>0.378836850696772</v>
      </c>
      <c r="G403" t="n">
        <v>0.1068522450190361</v>
      </c>
      <c r="H403" t="n">
        <v>0.4241592150728145</v>
      </c>
    </row>
    <row r="404">
      <c r="A404" t="inlineStr">
        <is>
          <t>Building Materials</t>
        </is>
      </c>
      <c r="B404" t="n">
        <v>281</v>
      </c>
      <c r="C404" t="n">
        <v>1.005170562699042</v>
      </c>
      <c r="D404" t="n">
        <v>0.2881995389807001</v>
      </c>
      <c r="E404" t="n">
        <v>0.1479493437625396</v>
      </c>
      <c r="F404" t="n">
        <v>0.8259511868642218</v>
      </c>
      <c r="G404" t="n">
        <v>0.07267630493479899</v>
      </c>
      <c r="H404" t="n">
        <v>0.8906827154957453</v>
      </c>
    </row>
    <row r="405">
      <c r="A405" t="inlineStr">
        <is>
          <t>Business &amp; Consumer Services</t>
        </is>
      </c>
      <c r="B405" t="n">
        <v>379</v>
      </c>
      <c r="C405" t="n">
        <v>1.097230680162762</v>
      </c>
      <c r="D405" t="n">
        <v>0.1529132181158824</v>
      </c>
      <c r="E405" t="n">
        <v>0.1216014447255067</v>
      </c>
      <c r="F405" t="n">
        <v>0.983950115190435</v>
      </c>
      <c r="G405" t="n">
        <v>0.1142035725818388</v>
      </c>
      <c r="H405" t="n">
        <v>1.110808403301381</v>
      </c>
    </row>
    <row r="406">
      <c r="A406" t="inlineStr">
        <is>
          <t>Cable TV</t>
        </is>
      </c>
      <c r="B406" t="n">
        <v>29</v>
      </c>
      <c r="C406" t="n">
        <v>1.103695188360488</v>
      </c>
      <c r="D406" t="n">
        <v>0.2336502193761894</v>
      </c>
      <c r="E406" t="n">
        <v>0.09165195408919299</v>
      </c>
      <c r="F406" t="n">
        <v>0.9385839567966258</v>
      </c>
      <c r="G406" t="n">
        <v>0.08675279304666751</v>
      </c>
      <c r="H406" t="n">
        <v>1.027743583172642</v>
      </c>
    </row>
    <row r="407">
      <c r="A407" t="inlineStr">
        <is>
          <t>Chemical (Basic)</t>
        </is>
      </c>
      <c r="B407" t="n">
        <v>741</v>
      </c>
      <c r="C407" t="n">
        <v>1.306326312636334</v>
      </c>
      <c r="D407" t="n">
        <v>0.4623011023544075</v>
      </c>
      <c r="E407" t="n">
        <v>0.1455514955122085</v>
      </c>
      <c r="F407" t="n">
        <v>0.96903699681918</v>
      </c>
      <c r="G407" t="n">
        <v>0.08625606935467355</v>
      </c>
      <c r="H407" t="n">
        <v>1.060512649462747</v>
      </c>
    </row>
    <row r="408">
      <c r="A408" t="inlineStr">
        <is>
          <t>Chemical (Diversified)</t>
        </is>
      </c>
      <c r="B408" t="n">
        <v>29</v>
      </c>
      <c r="C408" t="n">
        <v>0.9832736565837665</v>
      </c>
      <c r="D408" t="n">
        <v>0.3193476045897463</v>
      </c>
      <c r="E408" t="n">
        <v>0.2135787881271695</v>
      </c>
      <c r="F408" t="n">
        <v>0.7926833898118627</v>
      </c>
      <c r="G408" t="n">
        <v>0.07764542875793352</v>
      </c>
      <c r="H408" t="n">
        <v>0.8594128706321852</v>
      </c>
    </row>
    <row r="409">
      <c r="A409" t="inlineStr">
        <is>
          <t>Chemical (Specialty)</t>
        </is>
      </c>
      <c r="B409" t="n">
        <v>687</v>
      </c>
      <c r="C409" t="n">
        <v>1.182250775088484</v>
      </c>
      <c r="D409" t="n">
        <v>0.2005629252968154</v>
      </c>
      <c r="E409" t="n">
        <v>0.1601022750330642</v>
      </c>
      <c r="F409" t="n">
        <v>1.027147562774594</v>
      </c>
      <c r="G409" t="n">
        <v>0.07141968485248609</v>
      </c>
      <c r="H409" t="n">
        <v>1.106148327742034</v>
      </c>
    </row>
    <row r="410">
      <c r="A410" t="inlineStr">
        <is>
          <t>Coal &amp; Related Energy</t>
        </is>
      </c>
      <c r="B410" t="n">
        <v>96</v>
      </c>
      <c r="C410" t="n">
        <v>0.9880559600328697</v>
      </c>
      <c r="D410" t="n">
        <v>0.2303014482249752</v>
      </c>
      <c r="E410" t="n">
        <v>0.2021672555188101</v>
      </c>
      <c r="F410" t="n">
        <v>0.8420496384032041</v>
      </c>
      <c r="G410" t="n">
        <v>0.1296144073526779</v>
      </c>
      <c r="H410" t="n">
        <v>0.9674443666307335</v>
      </c>
    </row>
    <row r="411">
      <c r="A411" t="inlineStr">
        <is>
          <t>Computer Services</t>
        </is>
      </c>
      <c r="B411" t="n">
        <v>693</v>
      </c>
      <c r="C411" t="n">
        <v>1.101243225379237</v>
      </c>
      <c r="D411" t="n">
        <v>0.1018818673373844</v>
      </c>
      <c r="E411" t="n">
        <v>0.1377830720927192</v>
      </c>
      <c r="F411" t="n">
        <v>1.022788345110347</v>
      </c>
      <c r="G411" t="n">
        <v>0.05493737891285173</v>
      </c>
      <c r="H411" t="n">
        <v>1.082243993454939</v>
      </c>
    </row>
    <row r="412">
      <c r="A412" t="inlineStr">
        <is>
          <t>Computers/Peripherals</t>
        </is>
      </c>
      <c r="B412" t="n">
        <v>244</v>
      </c>
      <c r="C412" t="n">
        <v>1.590448069557944</v>
      </c>
      <c r="D412" t="n">
        <v>0.1051500528423654</v>
      </c>
      <c r="E412" t="n">
        <v>0.133903610640047</v>
      </c>
      <c r="F412" t="n">
        <v>1.473773169335723</v>
      </c>
      <c r="G412" t="n">
        <v>0.08901265868886668</v>
      </c>
      <c r="H412" t="n">
        <v>1.61777568414354</v>
      </c>
    </row>
    <row r="413">
      <c r="A413" t="inlineStr">
        <is>
          <t>Construction Supplies</t>
        </is>
      </c>
      <c r="B413" t="n">
        <v>580</v>
      </c>
      <c r="C413" t="n">
        <v>0.9973400371271698</v>
      </c>
      <c r="D413" t="n">
        <v>0.3264751773337438</v>
      </c>
      <c r="E413" t="n">
        <v>0.1529399911217126</v>
      </c>
      <c r="F413" t="n">
        <v>0.8005598864550489</v>
      </c>
      <c r="G413" t="n">
        <v>0.1165849007488396</v>
      </c>
      <c r="H413" t="n">
        <v>0.9062103275500444</v>
      </c>
    </row>
    <row r="414">
      <c r="A414" t="inlineStr">
        <is>
          <t>Diversified</t>
        </is>
      </c>
      <c r="B414" t="n">
        <v>215</v>
      </c>
      <c r="C414" t="n">
        <v>0.6979138911702634</v>
      </c>
      <c r="D414" t="n">
        <v>1.222829525149484</v>
      </c>
      <c r="E414" t="n">
        <v>0.1502244464065926</v>
      </c>
      <c r="F414" t="n">
        <v>0.3633703295820864</v>
      </c>
      <c r="G414" t="n">
        <v>0.1557055519251317</v>
      </c>
      <c r="H414" t="n">
        <v>0.4303834170775743</v>
      </c>
    </row>
    <row r="415">
      <c r="A415" t="inlineStr">
        <is>
          <t>Drugs (Biotechnology)</t>
        </is>
      </c>
      <c r="B415" t="n">
        <v>382</v>
      </c>
      <c r="C415" t="n">
        <v>1.423715612685613</v>
      </c>
      <c r="D415" t="n">
        <v>0.0844749992833545</v>
      </c>
      <c r="E415" t="n">
        <v>0.03273948797653944</v>
      </c>
      <c r="F415" t="n">
        <v>1.338580265419881</v>
      </c>
      <c r="G415" t="n">
        <v>0.05295206612394963</v>
      </c>
      <c r="H415" t="n">
        <v>1.41342398577586</v>
      </c>
    </row>
    <row r="416">
      <c r="A416" t="inlineStr">
        <is>
          <t>Drugs (Pharmaceutical)</t>
        </is>
      </c>
      <c r="B416" t="n">
        <v>753</v>
      </c>
      <c r="C416" t="n">
        <v>1.050896875780674</v>
      </c>
      <c r="D416" t="n">
        <v>0.1058894542705116</v>
      </c>
      <c r="E416" t="n">
        <v>0.139462978306192</v>
      </c>
      <c r="F416" t="n">
        <v>0.9733012419862904</v>
      </c>
      <c r="G416" t="n">
        <v>0.07333270096902407</v>
      </c>
      <c r="H416" t="n">
        <v>1.050324364530916</v>
      </c>
    </row>
    <row r="417">
      <c r="A417" t="inlineStr">
        <is>
          <t>Education</t>
        </is>
      </c>
      <c r="B417" t="n">
        <v>182</v>
      </c>
      <c r="C417" t="n">
        <v>0.8473308822893773</v>
      </c>
      <c r="D417" t="n">
        <v>0.3394631792631491</v>
      </c>
      <c r="E417" t="n">
        <v>0.1194367957432647</v>
      </c>
      <c r="F417" t="n">
        <v>0.6748511834259766</v>
      </c>
      <c r="G417" t="n">
        <v>0.1237988550193329</v>
      </c>
      <c r="H417" t="n">
        <v>0.7702012115504218</v>
      </c>
    </row>
    <row r="418">
      <c r="A418" t="inlineStr">
        <is>
          <t>Electrical Equipment</t>
        </is>
      </c>
      <c r="B418" t="n">
        <v>810</v>
      </c>
      <c r="C418" t="n">
        <v>1.475099665042089</v>
      </c>
      <c r="D418" t="n">
        <v>0.1605882636657565</v>
      </c>
      <c r="E418" t="n">
        <v>0.1295766980475969</v>
      </c>
      <c r="F418" t="n">
        <v>1.315987670478769</v>
      </c>
      <c r="G418" t="n">
        <v>0.09267950247101667</v>
      </c>
      <c r="H418" t="n">
        <v>1.450411044457564</v>
      </c>
    </row>
    <row r="419">
      <c r="A419" t="inlineStr">
        <is>
          <t>Electronics (Consumer &amp; Office)</t>
        </is>
      </c>
      <c r="B419" t="n">
        <v>81</v>
      </c>
      <c r="C419" t="n">
        <v>1.21272516432425</v>
      </c>
      <c r="D419" t="n">
        <v>0.2815941573368771</v>
      </c>
      <c r="E419" t="n">
        <v>0.1357096829482956</v>
      </c>
      <c r="F419" t="n">
        <v>1.000588214575038</v>
      </c>
      <c r="G419" t="n">
        <v>0.1705252981928508</v>
      </c>
      <c r="H419" t="n">
        <v>1.206291418406239</v>
      </c>
    </row>
    <row r="420">
      <c r="A420" t="inlineStr">
        <is>
          <t>Electronics (General)</t>
        </is>
      </c>
      <c r="B420" t="n">
        <v>1050</v>
      </c>
      <c r="C420" t="n">
        <v>1.765296948905287</v>
      </c>
      <c r="D420" t="n">
        <v>0.1602160914664816</v>
      </c>
      <c r="E420" t="n">
        <v>0.1117496237405109</v>
      </c>
      <c r="F420" t="n">
        <v>1.57527654513679</v>
      </c>
      <c r="G420" t="n">
        <v>0.08602208199508594</v>
      </c>
      <c r="H420" t="n">
        <v>1.723538954393339</v>
      </c>
    </row>
    <row r="421">
      <c r="A421" t="inlineStr">
        <is>
          <t>Engineering/Construction</t>
        </is>
      </c>
      <c r="B421" t="n">
        <v>999</v>
      </c>
      <c r="C421" t="n">
        <v>1.02013786757261</v>
      </c>
      <c r="D421" t="n">
        <v>1.444944063456838</v>
      </c>
      <c r="E421" t="n">
        <v>0.1591598884614167</v>
      </c>
      <c r="F421" t="n">
        <v>0.4885955536521852</v>
      </c>
      <c r="G421" t="n">
        <v>0.2028776896416235</v>
      </c>
      <c r="H421" t="n">
        <v>0.6129492893412035</v>
      </c>
    </row>
    <row r="422">
      <c r="A422" t="inlineStr">
        <is>
          <t>Entertainment</t>
        </is>
      </c>
      <c r="B422" t="n">
        <v>343</v>
      </c>
      <c r="C422" t="n">
        <v>1.187443027971161</v>
      </c>
      <c r="D422" t="n">
        <v>0.08157896017399456</v>
      </c>
      <c r="E422" t="n">
        <v>0.07968092664070184</v>
      </c>
      <c r="F422" t="n">
        <v>1.11872975257432</v>
      </c>
      <c r="G422" t="n">
        <v>0.07982735976838215</v>
      </c>
      <c r="H422" t="n">
        <v>1.215782456097285</v>
      </c>
    </row>
    <row r="423">
      <c r="A423" t="inlineStr">
        <is>
          <t>Environmental &amp; Waste Services</t>
        </is>
      </c>
      <c r="B423" t="n">
        <v>223</v>
      </c>
      <c r="C423" t="n">
        <v>1.242502585150676</v>
      </c>
      <c r="D423" t="n">
        <v>0.6755421551077743</v>
      </c>
      <c r="E423" t="n">
        <v>0.1262884700404943</v>
      </c>
      <c r="F423" t="n">
        <v>0.8236044438326535</v>
      </c>
      <c r="G423" t="n">
        <v>0.07498859590834667</v>
      </c>
      <c r="H423" t="n">
        <v>0.8903722053474792</v>
      </c>
    </row>
    <row r="424">
      <c r="A424" t="inlineStr">
        <is>
          <t>Farming/Agriculture</t>
        </is>
      </c>
      <c r="B424" t="n">
        <v>312</v>
      </c>
      <c r="C424" t="n">
        <v>0.6610476378895598</v>
      </c>
      <c r="D424" t="n">
        <v>0.5780333635546242</v>
      </c>
      <c r="E424" t="n">
        <v>0.1618101675265132</v>
      </c>
      <c r="F424" t="n">
        <v>0.4605957568075383</v>
      </c>
      <c r="G424" t="n">
        <v>0.07511026397261421</v>
      </c>
      <c r="H424" t="n">
        <v>0.4980007225357512</v>
      </c>
    </row>
    <row r="425">
      <c r="A425" t="inlineStr">
        <is>
          <t>Financial Svcs. (Non-bank &amp; Insurance)</t>
        </is>
      </c>
      <c r="B425" t="n">
        <v>697</v>
      </c>
      <c r="C425" t="n">
        <v>0.698907800341391</v>
      </c>
      <c r="D425" t="n">
        <v>1.166350899483573</v>
      </c>
      <c r="E425" t="n">
        <v>0.1708418267503516</v>
      </c>
      <c r="F425" t="n">
        <v>0.3721265290806503</v>
      </c>
      <c r="G425" t="n">
        <v>0.07922115713483291</v>
      </c>
      <c r="H425" t="n">
        <v>0.4041432228424281</v>
      </c>
    </row>
    <row r="426">
      <c r="A426" t="inlineStr">
        <is>
          <t>Food Processing</t>
        </is>
      </c>
      <c r="B426" t="n">
        <v>1030</v>
      </c>
      <c r="C426" t="n">
        <v>0.7204485712618069</v>
      </c>
      <c r="D426" t="n">
        <v>0.3800447922196758</v>
      </c>
      <c r="E426" t="n">
        <v>0.1636050401218475</v>
      </c>
      <c r="F426" t="n">
        <v>0.5601652747707737</v>
      </c>
      <c r="G426" t="n">
        <v>0.07917086555785956</v>
      </c>
      <c r="H426" t="n">
        <v>0.6083270541935392</v>
      </c>
    </row>
    <row r="427">
      <c r="A427" t="inlineStr">
        <is>
          <t>Food Wholesalers</t>
        </is>
      </c>
      <c r="B427" t="n">
        <v>121</v>
      </c>
      <c r="C427" t="n">
        <v>0.6415331231484579</v>
      </c>
      <c r="D427" t="n">
        <v>0.8008908009447548</v>
      </c>
      <c r="E427" t="n">
        <v>0.1516864991798565</v>
      </c>
      <c r="F427" t="n">
        <v>0.4002101381744081</v>
      </c>
      <c r="G427" t="n">
        <v>0.07566075437291973</v>
      </c>
      <c r="H427" t="n">
        <v>0.4329688910946347</v>
      </c>
    </row>
    <row r="428">
      <c r="A428" t="inlineStr">
        <is>
          <t>Furn/Home Furnishings</t>
        </is>
      </c>
      <c r="B428" t="n">
        <v>278</v>
      </c>
      <c r="C428" t="n">
        <v>1.058682276500289</v>
      </c>
      <c r="D428" t="n">
        <v>0.1722203781190045</v>
      </c>
      <c r="E428" t="n">
        <v>0.1448535447161569</v>
      </c>
      <c r="F428" t="n">
        <v>0.9371650324560481</v>
      </c>
      <c r="G428" t="n">
        <v>0.1525944749443243</v>
      </c>
      <c r="H428" t="n">
        <v>1.105922730907938</v>
      </c>
    </row>
    <row r="429">
      <c r="A429" t="inlineStr">
        <is>
          <t>Green &amp; Renewable Energy</t>
        </is>
      </c>
      <c r="B429" t="n">
        <v>154</v>
      </c>
      <c r="C429" t="n">
        <v>0.8550872257340345</v>
      </c>
      <c r="D429" t="n">
        <v>0.6622375403485513</v>
      </c>
      <c r="E429" t="n">
        <v>0.1317644886601787</v>
      </c>
      <c r="F429" t="n">
        <v>0.5705912180584869</v>
      </c>
      <c r="G429" t="n">
        <v>0.03380041913000213</v>
      </c>
      <c r="H429" t="n">
        <v>0.5905521274856151</v>
      </c>
    </row>
    <row r="430">
      <c r="A430" t="inlineStr">
        <is>
          <t>Healthcare Products</t>
        </is>
      </c>
      <c r="B430" t="n">
        <v>380</v>
      </c>
      <c r="C430" t="n">
        <v>1.381341703669531</v>
      </c>
      <c r="D430" t="n">
        <v>0.09221044790684403</v>
      </c>
      <c r="E430" t="n">
        <v>0.08749210829554217</v>
      </c>
      <c r="F430" t="n">
        <v>1.291667377911947</v>
      </c>
      <c r="G430" t="n">
        <v>0.09922026412190965</v>
      </c>
      <c r="H430" t="n">
        <v>1.433943645116322</v>
      </c>
    </row>
    <row r="431">
      <c r="A431" t="inlineStr">
        <is>
          <t>Healthcare Support Services</t>
        </is>
      </c>
      <c r="B431" t="n">
        <v>256</v>
      </c>
      <c r="C431" t="n">
        <v>0.9684710656907174</v>
      </c>
      <c r="D431" t="n">
        <v>0.616250825824043</v>
      </c>
      <c r="E431" t="n">
        <v>0.1425811224228185</v>
      </c>
      <c r="F431" t="n">
        <v>0.6615351371767781</v>
      </c>
      <c r="G431" t="n">
        <v>0.1501905829517317</v>
      </c>
      <c r="H431" t="n">
        <v>0.7784511725870926</v>
      </c>
    </row>
    <row r="432">
      <c r="A432" t="inlineStr">
        <is>
          <t>Heathcare Information and Technology</t>
        </is>
      </c>
      <c r="B432" t="n">
        <v>146</v>
      </c>
      <c r="C432" t="n">
        <v>1.559137175156177</v>
      </c>
      <c r="D432" t="n">
        <v>0.06586637610838725</v>
      </c>
      <c r="E432" t="n">
        <v>0.08196068166789691</v>
      </c>
      <c r="F432" t="n">
        <v>1.485471464897852</v>
      </c>
      <c r="G432" t="n">
        <v>0.04916212679448007</v>
      </c>
      <c r="H432" t="n">
        <v>1.562276289952508</v>
      </c>
    </row>
    <row r="433">
      <c r="A433" t="inlineStr">
        <is>
          <t>Homebuilding</t>
        </is>
      </c>
      <c r="B433" t="n">
        <v>46</v>
      </c>
      <c r="C433" t="n">
        <v>0.7115842201630759</v>
      </c>
      <c r="D433" t="n">
        <v>0.7041073255891518</v>
      </c>
      <c r="E433" t="n">
        <v>0.1093181041697855</v>
      </c>
      <c r="F433" t="n">
        <v>0.4650505199028703</v>
      </c>
      <c r="G433" t="n">
        <v>0.08068671567443866</v>
      </c>
      <c r="H433" t="n">
        <v>0.5058672901088846</v>
      </c>
    </row>
    <row r="434">
      <c r="A434" t="inlineStr">
        <is>
          <t>Hospitals/Healthcare Facilities</t>
        </is>
      </c>
      <c r="B434" t="n">
        <v>164</v>
      </c>
      <c r="C434" t="n">
        <v>0.7168840449448689</v>
      </c>
      <c r="D434" t="n">
        <v>0.2079567731114573</v>
      </c>
      <c r="E434" t="n">
        <v>0.1845343398848152</v>
      </c>
      <c r="F434" t="n">
        <v>0.6198359280262915</v>
      </c>
      <c r="G434" t="n">
        <v>0.04060117638319823</v>
      </c>
      <c r="H434" t="n">
        <v>0.6460670085977334</v>
      </c>
    </row>
    <row r="435">
      <c r="A435" t="inlineStr">
        <is>
          <t>Hotel/Gaming</t>
        </is>
      </c>
      <c r="B435" t="n">
        <v>427</v>
      </c>
      <c r="C435" t="n">
        <v>0.7043981942324246</v>
      </c>
      <c r="D435" t="n">
        <v>0.4537094352919057</v>
      </c>
      <c r="E435" t="n">
        <v>0.1562909884885809</v>
      </c>
      <c r="F435" t="n">
        <v>0.5250442244833053</v>
      </c>
      <c r="G435" t="n">
        <v>0.09444223704523656</v>
      </c>
      <c r="H435" t="n">
        <v>0.5798020247434328</v>
      </c>
    </row>
    <row r="436">
      <c r="A436" t="inlineStr">
        <is>
          <t>Household Products</t>
        </is>
      </c>
      <c r="B436" t="n">
        <v>339</v>
      </c>
      <c r="C436" t="n">
        <v>0.8471859587008457</v>
      </c>
      <c r="D436" t="n">
        <v>0.1341406757692066</v>
      </c>
      <c r="E436" t="n">
        <v>0.1401154315073192</v>
      </c>
      <c r="F436" t="n">
        <v>0.7694733691430097</v>
      </c>
      <c r="G436" t="n">
        <v>0.06277665235781273</v>
      </c>
      <c r="H436" t="n">
        <v>0.8210138715374586</v>
      </c>
    </row>
    <row r="437">
      <c r="A437" t="inlineStr">
        <is>
          <t>Information Services</t>
        </is>
      </c>
      <c r="B437" t="n">
        <v>49</v>
      </c>
      <c r="C437" t="n">
        <v>1.065801645978198</v>
      </c>
      <c r="D437" t="n">
        <v>0.1412300648475752</v>
      </c>
      <c r="E437" t="n">
        <v>0.1798267181697626</v>
      </c>
      <c r="F437" t="n">
        <v>0.9633650065239558</v>
      </c>
      <c r="G437" t="n">
        <v>0.06390370885264356</v>
      </c>
      <c r="H437" t="n">
        <v>1.029130246145059</v>
      </c>
    </row>
    <row r="438">
      <c r="A438" t="inlineStr">
        <is>
          <t>Insurance (General)</t>
        </is>
      </c>
      <c r="B438" t="n">
        <v>140</v>
      </c>
      <c r="C438" t="n">
        <v>0.3741700786373461</v>
      </c>
      <c r="D438" t="n">
        <v>0.3088258604692389</v>
      </c>
      <c r="E438" t="n">
        <v>0.143771402158095</v>
      </c>
      <c r="F438" t="n">
        <v>0.3035825783602963</v>
      </c>
      <c r="G438" t="n">
        <v>0.1656127811305629</v>
      </c>
      <c r="H438" t="n">
        <v>0.3638389604908368</v>
      </c>
    </row>
    <row r="439">
      <c r="A439" t="inlineStr">
        <is>
          <t>Insurance (Life)</t>
        </is>
      </c>
      <c r="B439" t="n">
        <v>92</v>
      </c>
      <c r="C439" t="n">
        <v>0.8230807539316263</v>
      </c>
      <c r="D439" t="n">
        <v>0.5906409826996044</v>
      </c>
      <c r="E439" t="n">
        <v>0.1619757580389056</v>
      </c>
      <c r="F439" t="n">
        <v>0.5697268654626947</v>
      </c>
      <c r="G439" t="n">
        <v>0.1910737333049334</v>
      </c>
      <c r="H439" t="n">
        <v>0.7043001184648876</v>
      </c>
    </row>
    <row r="440">
      <c r="A440" t="inlineStr">
        <is>
          <t>Insurance (Prop/Cas.)</t>
        </is>
      </c>
      <c r="B440" t="n">
        <v>158</v>
      </c>
      <c r="C440" t="n">
        <v>0.3593800628299575</v>
      </c>
      <c r="D440" t="n">
        <v>0.2102164974164099</v>
      </c>
      <c r="E440" t="n">
        <v>0.1903882176731861</v>
      </c>
      <c r="F440" t="n">
        <v>0.3102725979296903</v>
      </c>
      <c r="G440" t="n">
        <v>0.06405283637856896</v>
      </c>
      <c r="H440" t="n">
        <v>0.3315065315537282</v>
      </c>
    </row>
    <row r="441">
      <c r="A441" t="inlineStr">
        <is>
          <t>Investments &amp; Asset Management</t>
        </is>
      </c>
      <c r="B441" t="n">
        <v>486</v>
      </c>
      <c r="C441" t="n">
        <v>0.6687136956861367</v>
      </c>
      <c r="D441" t="n">
        <v>0.8943941680475486</v>
      </c>
      <c r="E441" t="n">
        <v>0.08883564375578094</v>
      </c>
      <c r="F441" t="n">
        <v>0.399616316456343</v>
      </c>
      <c r="G441" t="n">
        <v>0.03614485326880589</v>
      </c>
      <c r="H441" t="n">
        <v>0.4146020465954834</v>
      </c>
    </row>
    <row r="442">
      <c r="A442" t="inlineStr">
        <is>
          <t>Machinery</t>
        </is>
      </c>
      <c r="B442" t="n">
        <v>987</v>
      </c>
      <c r="C442" t="n">
        <v>1.511373977735429</v>
      </c>
      <c r="D442" t="n">
        <v>0.1219778504459821</v>
      </c>
      <c r="E442" t="n">
        <v>0.14078976337626</v>
      </c>
      <c r="F442" t="n">
        <v>1.384248570657732</v>
      </c>
      <c r="G442" t="n">
        <v>0.0744335230034029</v>
      </c>
      <c r="H442" t="n">
        <v>1.495569043457071</v>
      </c>
    </row>
    <row r="443">
      <c r="A443" t="inlineStr">
        <is>
          <t>Metals &amp; Mining</t>
        </is>
      </c>
      <c r="B443" t="n">
        <v>358</v>
      </c>
      <c r="C443" t="n">
        <v>1.546768151898949</v>
      </c>
      <c r="D443" t="n">
        <v>0.2505560048450671</v>
      </c>
      <c r="E443" t="n">
        <v>0.1513817271767529</v>
      </c>
      <c r="F443" t="n">
        <v>1.301288402188904</v>
      </c>
      <c r="G443" t="n">
        <v>0.07169064794515773</v>
      </c>
      <c r="H443" t="n">
        <v>1.401783144065565</v>
      </c>
    </row>
    <row r="444">
      <c r="A444" t="inlineStr">
        <is>
          <t>Office Equipment &amp; Services</t>
        </is>
      </c>
      <c r="B444" t="n">
        <v>78</v>
      </c>
      <c r="C444" t="n">
        <v>0.7490908072291393</v>
      </c>
      <c r="D444" t="n">
        <v>0.1774692994637674</v>
      </c>
      <c r="E444" t="n">
        <v>0.1415732092492547</v>
      </c>
      <c r="F444" t="n">
        <v>0.6607972957762298</v>
      </c>
      <c r="G444" t="n">
        <v>0.1519050192792772</v>
      </c>
      <c r="H444" t="n">
        <v>0.7791548243979408</v>
      </c>
    </row>
    <row r="445">
      <c r="A445" t="inlineStr">
        <is>
          <t>Oil/Gas (Integrated)</t>
        </is>
      </c>
      <c r="B445" t="n">
        <v>15</v>
      </c>
      <c r="C445" t="n">
        <v>0.7885400477249773</v>
      </c>
      <c r="D445" t="n">
        <v>0.1588689396530378</v>
      </c>
      <c r="E445" t="n">
        <v>0.2349815529379119</v>
      </c>
      <c r="F445" t="n">
        <v>0.7042973357151493</v>
      </c>
      <c r="G445" t="n">
        <v>0.05159685433999563</v>
      </c>
      <c r="H445" t="n">
        <v>0.742613875689985</v>
      </c>
    </row>
    <row r="446">
      <c r="A446" t="inlineStr">
        <is>
          <t>Oil/Gas (Production and Exploration)</t>
        </is>
      </c>
      <c r="B446" t="n">
        <v>105</v>
      </c>
      <c r="C446" t="n">
        <v>0.8749102082877708</v>
      </c>
      <c r="D446" t="n">
        <v>0.3154161197341466</v>
      </c>
      <c r="E446" t="n">
        <v>0.1413254887700449</v>
      </c>
      <c r="F446" t="n">
        <v>0.7070114047620836</v>
      </c>
      <c r="G446" t="n">
        <v>0.1308355054865817</v>
      </c>
      <c r="H446" t="n">
        <v>0.8134379731628218</v>
      </c>
    </row>
    <row r="447">
      <c r="A447" t="inlineStr">
        <is>
          <t>Oil/Gas Distribution</t>
        </is>
      </c>
      <c r="B447" t="n">
        <v>120</v>
      </c>
      <c r="C447" t="n">
        <v>0.6271214926430645</v>
      </c>
      <c r="D447" t="n">
        <v>0.5389325746927932</v>
      </c>
      <c r="E447" t="n">
        <v>0.1288169833383369</v>
      </c>
      <c r="F447" t="n">
        <v>0.446107764315769</v>
      </c>
      <c r="G447" t="n">
        <v>0.08923764342088053</v>
      </c>
      <c r="H447" t="n">
        <v>0.4898179652388992</v>
      </c>
    </row>
    <row r="448">
      <c r="A448" t="inlineStr">
        <is>
          <t>Oilfield Svcs/Equip.</t>
        </is>
      </c>
      <c r="B448" t="n">
        <v>228</v>
      </c>
      <c r="C448" t="n">
        <v>0.9228367633685076</v>
      </c>
      <c r="D448" t="n">
        <v>0.3770499903790666</v>
      </c>
      <c r="E448" t="n">
        <v>0.1558149682519182</v>
      </c>
      <c r="F448" t="n">
        <v>0.7187868720764548</v>
      </c>
      <c r="G448" t="n">
        <v>0.08831008682584138</v>
      </c>
      <c r="H448" t="n">
        <v>0.7884115659170906</v>
      </c>
    </row>
    <row r="449">
      <c r="A449" t="inlineStr">
        <is>
          <t>Packaging &amp; Container</t>
        </is>
      </c>
      <c r="B449" t="n">
        <v>341</v>
      </c>
      <c r="C449" t="n">
        <v>0.7396732812616924</v>
      </c>
      <c r="D449" t="n">
        <v>0.4205403147561813</v>
      </c>
      <c r="E449" t="n">
        <v>0.1607571386362981</v>
      </c>
      <c r="F449" t="n">
        <v>0.5617950380302598</v>
      </c>
      <c r="G449" t="n">
        <v>0.08263223150170045</v>
      </c>
      <c r="H449" t="n">
        <v>0.6123989280219638</v>
      </c>
    </row>
    <row r="450">
      <c r="A450" t="inlineStr">
        <is>
          <t>Paper/Forest Products</t>
        </is>
      </c>
      <c r="B450" t="n">
        <v>197</v>
      </c>
      <c r="C450" t="n">
        <v>0.9017645790781355</v>
      </c>
      <c r="D450" t="n">
        <v>1.011486691818188</v>
      </c>
      <c r="E450" t="n">
        <v>0.1241016787139017</v>
      </c>
      <c r="F450" t="n">
        <v>0.5119158887567746</v>
      </c>
      <c r="G450" t="n">
        <v>0.09011214692933969</v>
      </c>
      <c r="H450" t="n">
        <v>0.5626142683729399</v>
      </c>
    </row>
    <row r="451">
      <c r="A451" t="inlineStr">
        <is>
          <t>Power</t>
        </is>
      </c>
      <c r="B451" t="n">
        <v>328</v>
      </c>
      <c r="C451" t="n">
        <v>0.7737062226709736</v>
      </c>
      <c r="D451" t="n">
        <v>1.044283859872563</v>
      </c>
      <c r="E451" t="n">
        <v>0.1735531069719269</v>
      </c>
      <c r="F451" t="n">
        <v>0.4331476463072736</v>
      </c>
      <c r="G451" t="n">
        <v>0.06040097650541848</v>
      </c>
      <c r="H451" t="n">
        <v>0.4609920141214062</v>
      </c>
    </row>
    <row r="452">
      <c r="A452" t="inlineStr">
        <is>
          <t>Precious Metals</t>
        </is>
      </c>
      <c r="B452" t="n">
        <v>64</v>
      </c>
      <c r="C452" t="n">
        <v>1.576971182342801</v>
      </c>
      <c r="D452" t="n">
        <v>0.149351905991459</v>
      </c>
      <c r="E452" t="n">
        <v>0.1592667382946683</v>
      </c>
      <c r="F452" t="n">
        <v>1.417569656293371</v>
      </c>
      <c r="G452" t="n">
        <v>0.05426494091624557</v>
      </c>
      <c r="H452" t="n">
        <v>1.49890779947054</v>
      </c>
    </row>
    <row r="453">
      <c r="A453" t="inlineStr">
        <is>
          <t>Publishing &amp; Newspapers</t>
        </is>
      </c>
      <c r="B453" t="n">
        <v>171</v>
      </c>
      <c r="C453" t="n">
        <v>0.8979448832998133</v>
      </c>
      <c r="D453" t="n">
        <v>0.1069183654391282</v>
      </c>
      <c r="E453" t="n">
        <v>0.1161638566322803</v>
      </c>
      <c r="F453" t="n">
        <v>0.8310465983574113</v>
      </c>
      <c r="G453" t="n">
        <v>0.1752270352957334</v>
      </c>
      <c r="H453" t="n">
        <v>1.007606497692846</v>
      </c>
    </row>
    <row r="454">
      <c r="A454" t="inlineStr">
        <is>
          <t>R.E.I.T.</t>
        </is>
      </c>
      <c r="B454" t="n">
        <v>208</v>
      </c>
      <c r="C454" t="n">
        <v>0.4476749137119347</v>
      </c>
      <c r="D454" t="n">
        <v>0.5726795415599727</v>
      </c>
      <c r="E454" t="n">
        <v>0.02472442138562907</v>
      </c>
      <c r="F454" t="n">
        <v>0.3128033568302804</v>
      </c>
      <c r="G454" t="n">
        <v>0.02716218165350749</v>
      </c>
      <c r="H454" t="n">
        <v>0.3215370033228604</v>
      </c>
    </row>
    <row r="455">
      <c r="A455" t="inlineStr">
        <is>
          <t>Real Estate (Development)</t>
        </is>
      </c>
      <c r="B455" t="n">
        <v>786</v>
      </c>
      <c r="C455" t="n">
        <v>0.9590087728972034</v>
      </c>
      <c r="D455" t="n">
        <v>1.967436212130997</v>
      </c>
      <c r="E455" t="n">
        <v>0.1419649103132068</v>
      </c>
      <c r="F455" t="n">
        <v>0.3864971788895444</v>
      </c>
      <c r="G455" t="n">
        <v>0.1453252679996612</v>
      </c>
      <c r="H455" t="n">
        <v>0.452215520616785</v>
      </c>
    </row>
    <row r="456">
      <c r="A456" t="inlineStr">
        <is>
          <t>Real Estate (General/Diversified)</t>
        </is>
      </c>
      <c r="B456" t="n">
        <v>205</v>
      </c>
      <c r="C456" t="n">
        <v>1.013490761126807</v>
      </c>
      <c r="D456" t="n">
        <v>0.7139461954182472</v>
      </c>
      <c r="E456" t="n">
        <v>0.1188578245870151</v>
      </c>
      <c r="F456" t="n">
        <v>0.6591680822176205</v>
      </c>
      <c r="G456" t="n">
        <v>0.08360037145383782</v>
      </c>
      <c r="H456" t="n">
        <v>0.7193019962954033</v>
      </c>
    </row>
    <row r="457">
      <c r="A457" t="inlineStr">
        <is>
          <t>Real Estate (Operations &amp; Services)</t>
        </is>
      </c>
      <c r="B457" t="n">
        <v>406</v>
      </c>
      <c r="C457" t="n">
        <v>0.7917191083145428</v>
      </c>
      <c r="D457" t="n">
        <v>0.6132226316104563</v>
      </c>
      <c r="E457" t="n">
        <v>0.1409304871353461</v>
      </c>
      <c r="F457" t="n">
        <v>0.5416444164795521</v>
      </c>
      <c r="G457" t="n">
        <v>0.08166310850901036</v>
      </c>
      <c r="H457" t="n">
        <v>0.5898101464704868</v>
      </c>
    </row>
    <row r="458">
      <c r="A458" t="inlineStr">
        <is>
          <t>Recreation</t>
        </is>
      </c>
      <c r="B458" t="n">
        <v>158</v>
      </c>
      <c r="C458" t="n">
        <v>1.039327835277307</v>
      </c>
      <c r="D458" t="n">
        <v>0.235527631073895</v>
      </c>
      <c r="E458" t="n">
        <v>0.1182583641382887</v>
      </c>
      <c r="F458" t="n">
        <v>0.8827847211277812</v>
      </c>
      <c r="G458" t="n">
        <v>0.1127047305119633</v>
      </c>
      <c r="H458" t="n">
        <v>0.9949165193195968</v>
      </c>
    </row>
    <row r="459">
      <c r="A459" t="inlineStr">
        <is>
          <t>Reinsurance</t>
        </is>
      </c>
      <c r="B459" t="n">
        <v>27</v>
      </c>
      <c r="C459" t="n">
        <v>0.9767453428600437</v>
      </c>
      <c r="D459" t="n">
        <v>0.3214958634123989</v>
      </c>
      <c r="E459" t="n">
        <v>0.163855181133209</v>
      </c>
      <c r="F459" t="n">
        <v>0.7863950823509327</v>
      </c>
      <c r="G459" t="n">
        <v>0.1303445331932814</v>
      </c>
      <c r="H459" t="n">
        <v>0.904260494375423</v>
      </c>
    </row>
    <row r="460">
      <c r="A460" t="inlineStr">
        <is>
          <t>Restaurant/Dining</t>
        </is>
      </c>
      <c r="B460" t="n">
        <v>184</v>
      </c>
      <c r="C460" t="n">
        <v>0.819396339397763</v>
      </c>
      <c r="D460" t="n">
        <v>0.1342755272944145</v>
      </c>
      <c r="E460" t="n">
        <v>0.1230843432409557</v>
      </c>
      <c r="F460" t="n">
        <v>0.7441642747612189</v>
      </c>
      <c r="G460" t="n">
        <v>0.09023053917371623</v>
      </c>
      <c r="H460" t="n">
        <v>0.8179701636559041</v>
      </c>
    </row>
    <row r="461">
      <c r="A461" t="inlineStr">
        <is>
          <t>Retail (Automotive)</t>
        </is>
      </c>
      <c r="B461" t="n">
        <v>122</v>
      </c>
      <c r="C461" t="n">
        <v>0.817941499519877</v>
      </c>
      <c r="D461" t="n">
        <v>0.7448646331304316</v>
      </c>
      <c r="E461" t="n">
        <v>0.1657943644462227</v>
      </c>
      <c r="F461" t="n">
        <v>0.5240498474982747</v>
      </c>
      <c r="G461" t="n">
        <v>0.1007468823785402</v>
      </c>
      <c r="H461" t="n">
        <v>0.5827612239859625</v>
      </c>
    </row>
    <row r="462">
      <c r="A462" t="inlineStr">
        <is>
          <t>Retail (Building Supply)</t>
        </is>
      </c>
      <c r="B462" t="n">
        <v>55</v>
      </c>
      <c r="C462" t="n">
        <v>0.784624718247505</v>
      </c>
      <c r="D462" t="n">
        <v>0.3461377470941163</v>
      </c>
      <c r="E462" t="n">
        <v>0.1447434934750621</v>
      </c>
      <c r="F462" t="n">
        <v>0.6224181286586432</v>
      </c>
      <c r="G462" t="n">
        <v>0.06261879306726917</v>
      </c>
      <c r="H462" t="n">
        <v>0.6639968073344463</v>
      </c>
    </row>
    <row r="463">
      <c r="A463" t="inlineStr">
        <is>
          <t>Retail (Distributors)</t>
        </is>
      </c>
      <c r="B463" t="n">
        <v>731</v>
      </c>
      <c r="C463" t="n">
        <v>0.7577479326145385</v>
      </c>
      <c r="D463" t="n">
        <v>0.8789732270600019</v>
      </c>
      <c r="E463" t="n">
        <v>0.1544501017019826</v>
      </c>
      <c r="F463" t="n">
        <v>0.4559859998012677</v>
      </c>
      <c r="G463" t="n">
        <v>0.1440211322406154</v>
      </c>
      <c r="H463" t="n">
        <v>0.5327070760460003</v>
      </c>
    </row>
    <row r="464">
      <c r="A464" t="inlineStr">
        <is>
          <t>Retail (General)</t>
        </is>
      </c>
      <c r="B464" t="n">
        <v>147</v>
      </c>
      <c r="C464" t="n">
        <v>1.034360895540623</v>
      </c>
      <c r="D464" t="n">
        <v>0.3664822644432515</v>
      </c>
      <c r="E464" t="n">
        <v>0.1601073174673642</v>
      </c>
      <c r="F464" t="n">
        <v>0.8106756301444683</v>
      </c>
      <c r="G464" t="n">
        <v>0.08930096148142211</v>
      </c>
      <c r="H464" t="n">
        <v>0.8901685363181931</v>
      </c>
    </row>
    <row r="465">
      <c r="A465" t="inlineStr">
        <is>
          <t>Retail (Grocery and Food)</t>
        </is>
      </c>
      <c r="B465" t="n">
        <v>97</v>
      </c>
      <c r="C465" t="n">
        <v>1.013993374682919</v>
      </c>
      <c r="D465" t="n">
        <v>0.3779395172743017</v>
      </c>
      <c r="E465" t="n">
        <v>0.1752956230846009</v>
      </c>
      <c r="F465" t="n">
        <v>0.7893759306195169</v>
      </c>
      <c r="G465" t="n">
        <v>0.07806381165966672</v>
      </c>
      <c r="H465" t="n">
        <v>0.8562153656648939</v>
      </c>
    </row>
    <row r="466">
      <c r="A466" t="inlineStr">
        <is>
          <t>Retail (REITs)</t>
        </is>
      </c>
      <c r="B466" t="n">
        <v>39</v>
      </c>
      <c r="C466" t="n">
        <v>0.6076404508046936</v>
      </c>
      <c r="D466" t="n">
        <v>0.6073351993739499</v>
      </c>
      <c r="E466" t="n">
        <v>0.05696677692732207</v>
      </c>
      <c r="F466" t="n">
        <v>0.4169738665809163</v>
      </c>
      <c r="G466" t="n">
        <v>0.02518952579409341</v>
      </c>
      <c r="H466" t="n">
        <v>0.4277486522911941</v>
      </c>
    </row>
    <row r="467">
      <c r="A467" t="inlineStr">
        <is>
          <t>Retail (Special Lines)</t>
        </is>
      </c>
      <c r="B467" t="n">
        <v>282</v>
      </c>
      <c r="C467" t="n">
        <v>0.8962978561436582</v>
      </c>
      <c r="D467" t="n">
        <v>0.194502730824498</v>
      </c>
      <c r="E467" t="n">
        <v>0.1611515027730663</v>
      </c>
      <c r="F467" t="n">
        <v>0.781808896613424</v>
      </c>
      <c r="G467" t="n">
        <v>0.08376482827575608</v>
      </c>
      <c r="H467" t="n">
        <v>0.8532840920548314</v>
      </c>
    </row>
    <row r="468">
      <c r="A468" t="inlineStr">
        <is>
          <t>Rubber&amp; Tires</t>
        </is>
      </c>
      <c r="B468" t="n">
        <v>72</v>
      </c>
      <c r="C468" t="n">
        <v>0.9241722708845875</v>
      </c>
      <c r="D468" t="n">
        <v>0.3803839010368815</v>
      </c>
      <c r="E468" t="n">
        <v>0.1781975238037871</v>
      </c>
      <c r="F468" t="n">
        <v>0.7184225035785946</v>
      </c>
      <c r="G468" t="n">
        <v>0.0905158711583159</v>
      </c>
      <c r="H468" t="n">
        <v>0.7899230792444669</v>
      </c>
    </row>
    <row r="469">
      <c r="A469" t="inlineStr">
        <is>
          <t>Semiconductor</t>
        </is>
      </c>
      <c r="B469" t="n">
        <v>546</v>
      </c>
      <c r="C469" t="n">
        <v>1.944099307880918</v>
      </c>
      <c r="D469" t="n">
        <v>0.06576582736327577</v>
      </c>
      <c r="E469" t="n">
        <v>0.08645253427932258</v>
      </c>
      <c r="F469" t="n">
        <v>1.852378611580694</v>
      </c>
      <c r="G469" t="n">
        <v>0.06251564568344627</v>
      </c>
      <c r="H469" t="n">
        <v>1.975903494337372</v>
      </c>
    </row>
    <row r="470">
      <c r="A470" t="inlineStr">
        <is>
          <t>Semiconductor Equip</t>
        </is>
      </c>
      <c r="B470" t="n">
        <v>300</v>
      </c>
      <c r="C470" t="n">
        <v>2.179576569307808</v>
      </c>
      <c r="D470" t="n">
        <v>0.1423131716429305</v>
      </c>
      <c r="E470" t="n">
        <v>0.1072714053113322</v>
      </c>
      <c r="F470" t="n">
        <v>1.968641394370565</v>
      </c>
      <c r="G470" t="n">
        <v>0.05652931950526408</v>
      </c>
      <c r="H470" t="n">
        <v>2.086595201175994</v>
      </c>
    </row>
    <row r="471">
      <c r="A471" t="inlineStr">
        <is>
          <t>Shipbuilding &amp; Marine</t>
        </is>
      </c>
      <c r="B471" t="n">
        <v>252</v>
      </c>
      <c r="C471" t="n">
        <v>0.8804494869778248</v>
      </c>
      <c r="D471" t="n">
        <v>0.3694102880214563</v>
      </c>
      <c r="E471" t="n">
        <v>0.1584580751455054</v>
      </c>
      <c r="F471" t="n">
        <v>0.6888580753171801</v>
      </c>
      <c r="G471" t="n">
        <v>0.182607475018722</v>
      </c>
      <c r="H471" t="n">
        <v>0.8427506421507318</v>
      </c>
    </row>
    <row r="472">
      <c r="A472" t="inlineStr">
        <is>
          <t>Shoe</t>
        </is>
      </c>
      <c r="B472" t="n">
        <v>60</v>
      </c>
      <c r="C472" t="n">
        <v>0.8140970747596379</v>
      </c>
      <c r="D472" t="n">
        <v>0.2058620535718887</v>
      </c>
      <c r="E472" t="n">
        <v>0.1661322105956063</v>
      </c>
      <c r="F472" t="n">
        <v>0.7048498943682353</v>
      </c>
      <c r="G472" t="n">
        <v>0.1064700448840738</v>
      </c>
      <c r="H472" t="n">
        <v>0.7888374534424963</v>
      </c>
    </row>
    <row r="473">
      <c r="A473" t="inlineStr">
        <is>
          <t>Software (Entertainment)</t>
        </is>
      </c>
      <c r="B473" t="n">
        <v>67</v>
      </c>
      <c r="C473" t="n">
        <v>1.538532379360275</v>
      </c>
      <c r="D473" t="n">
        <v>0.08493370438760092</v>
      </c>
      <c r="E473" t="n">
        <v>0.1062300870557068</v>
      </c>
      <c r="F473" t="n">
        <v>1.446061672227539</v>
      </c>
      <c r="G473" t="n">
        <v>0.04018876097156273</v>
      </c>
      <c r="H473" t="n">
        <v>1.506610480714214</v>
      </c>
    </row>
    <row r="474">
      <c r="A474" t="inlineStr">
        <is>
          <t>Software (Internet)</t>
        </is>
      </c>
      <c r="B474" t="n">
        <v>49</v>
      </c>
      <c r="C474" t="n">
        <v>1.41784263934302</v>
      </c>
      <c r="D474" t="n">
        <v>0.1583529892164807</v>
      </c>
      <c r="E474" t="n">
        <v>0.1225580019321263</v>
      </c>
      <c r="F474" t="n">
        <v>1.266808684360947</v>
      </c>
      <c r="G474" t="n">
        <v>0.04693243676756509</v>
      </c>
      <c r="H474" t="n">
        <v>1.329190849874718</v>
      </c>
    </row>
    <row r="475">
      <c r="A475" t="inlineStr">
        <is>
          <t>Software (System &amp; Application)</t>
        </is>
      </c>
      <c r="B475" t="n">
        <v>548</v>
      </c>
      <c r="C475" t="n">
        <v>1.584698312769968</v>
      </c>
      <c r="D475" t="n">
        <v>0.05271732836959483</v>
      </c>
      <c r="E475" t="n">
        <v>0.08205549974551207</v>
      </c>
      <c r="F475" t="n">
        <v>1.524201422310984</v>
      </c>
      <c r="G475" t="n">
        <v>0.07041622870102547</v>
      </c>
      <c r="H475" t="n">
        <v>1.639660103124549</v>
      </c>
    </row>
    <row r="476">
      <c r="A476" t="inlineStr">
        <is>
          <t>Steel</t>
        </is>
      </c>
      <c r="B476" t="n">
        <v>555</v>
      </c>
      <c r="C476" t="n">
        <v>1.157908860282777</v>
      </c>
      <c r="D476" t="n">
        <v>0.508993067228213</v>
      </c>
      <c r="E476" t="n">
        <v>0.1433183122766153</v>
      </c>
      <c r="F476" t="n">
        <v>0.8371105994424751</v>
      </c>
      <c r="G476" t="n">
        <v>0.1000128782935213</v>
      </c>
      <c r="H476" t="n">
        <v>0.9301361977882723</v>
      </c>
    </row>
    <row r="477">
      <c r="A477" t="inlineStr">
        <is>
          <t>Telecom (Wireless)</t>
        </is>
      </c>
      <c r="B477" t="n">
        <v>68</v>
      </c>
      <c r="C477" t="n">
        <v>0.7842438973074944</v>
      </c>
      <c r="D477" t="n">
        <v>0.3003654513582292</v>
      </c>
      <c r="E477" t="n">
        <v>0.1955039147059292</v>
      </c>
      <c r="F477" t="n">
        <v>0.639601191080156</v>
      </c>
      <c r="G477" t="n">
        <v>0.04314847002582016</v>
      </c>
      <c r="H477" t="n">
        <v>0.6684435056475432</v>
      </c>
    </row>
    <row r="478">
      <c r="A478" t="inlineStr">
        <is>
          <t>Telecom. Equipment</t>
        </is>
      </c>
      <c r="B478" t="n">
        <v>296</v>
      </c>
      <c r="C478" t="n">
        <v>1.526192133081761</v>
      </c>
      <c r="D478" t="n">
        <v>0.09397246709990772</v>
      </c>
      <c r="E478" t="n">
        <v>0.08395715037819061</v>
      </c>
      <c r="F478" t="n">
        <v>1.425346221807932</v>
      </c>
      <c r="G478" t="n">
        <v>0.05910139037188269</v>
      </c>
      <c r="H478" t="n">
        <v>1.514877593847534</v>
      </c>
    </row>
    <row r="479">
      <c r="A479" t="inlineStr">
        <is>
          <t>Telecom. Services</t>
        </is>
      </c>
      <c r="B479" t="n">
        <v>142</v>
      </c>
      <c r="C479" t="n">
        <v>0.7143580227656771</v>
      </c>
      <c r="D479" t="n">
        <v>0.3263610211273725</v>
      </c>
      <c r="E479" t="n">
        <v>0.1584544115276233</v>
      </c>
      <c r="F479" t="n">
        <v>0.5734511937553748</v>
      </c>
      <c r="G479" t="n">
        <v>0.06623079954446821</v>
      </c>
      <c r="H479" t="n">
        <v>0.6141251965428087</v>
      </c>
    </row>
    <row r="480">
      <c r="A480" t="inlineStr">
        <is>
          <t>Tobacco</t>
        </is>
      </c>
      <c r="B480" t="n">
        <v>30</v>
      </c>
      <c r="C480" t="n">
        <v>0.2334160505074012</v>
      </c>
      <c r="D480" t="n">
        <v>0.04582821776407702</v>
      </c>
      <c r="E480" t="n">
        <v>0.2287716400718702</v>
      </c>
      <c r="F480" t="n">
        <v>0.2256308683258047</v>
      </c>
      <c r="G480" t="n">
        <v>0.02127423999660414</v>
      </c>
      <c r="H480" t="n">
        <v>0.2305353323131311</v>
      </c>
    </row>
    <row r="481">
      <c r="A481" t="inlineStr">
        <is>
          <t>Transportation</t>
        </is>
      </c>
      <c r="B481" t="n">
        <v>330</v>
      </c>
      <c r="C481" t="n">
        <v>1.027493380601033</v>
      </c>
      <c r="D481" t="n">
        <v>0.5880705462473591</v>
      </c>
      <c r="E481" t="n">
        <v>0.1718494052269166</v>
      </c>
      <c r="F481" t="n">
        <v>0.7121729054953866</v>
      </c>
      <c r="G481" t="n">
        <v>0.1028297974137855</v>
      </c>
      <c r="H481" t="n">
        <v>0.7937991068388717</v>
      </c>
    </row>
    <row r="482">
      <c r="A482" t="inlineStr">
        <is>
          <t>Transportation (Railroads)</t>
        </is>
      </c>
      <c r="B482" t="n">
        <v>18</v>
      </c>
      <c r="C482" t="n">
        <v>0.9586521735367419</v>
      </c>
      <c r="D482" t="n">
        <v>0.3763634399225725</v>
      </c>
      <c r="E482" t="n">
        <v>0.2573475934694324</v>
      </c>
      <c r="F482" t="n">
        <v>0.746983823919609</v>
      </c>
      <c r="G482" t="n">
        <v>0.158117109000096</v>
      </c>
      <c r="H482" t="n">
        <v>0.8872775915809581</v>
      </c>
    </row>
    <row r="483">
      <c r="A483" t="inlineStr">
        <is>
          <t>Trucking</t>
        </is>
      </c>
      <c r="B483" t="n">
        <v>76</v>
      </c>
      <c r="C483" t="n">
        <v>0.8076102574868994</v>
      </c>
      <c r="D483" t="n">
        <v>1.751651383132671</v>
      </c>
      <c r="E483" t="n">
        <v>0.1916802969524588</v>
      </c>
      <c r="F483" t="n">
        <v>0.3482852659502882</v>
      </c>
      <c r="G483" t="n">
        <v>0.05197760672375347</v>
      </c>
      <c r="H483" t="n">
        <v>0.3673808429215031</v>
      </c>
    </row>
    <row r="484">
      <c r="A484" t="inlineStr">
        <is>
          <t>Utility (General)</t>
        </is>
      </c>
      <c r="B484" t="n">
        <v>14</v>
      </c>
      <c r="C484" t="n">
        <v>0.6988646044356418</v>
      </c>
      <c r="D484" t="n">
        <v>0.3657269916162388</v>
      </c>
      <c r="E484" t="n">
        <v>0.1656926149888799</v>
      </c>
      <c r="F484" t="n">
        <v>0.5479761615915577</v>
      </c>
      <c r="G484" t="n">
        <v>0.04279351829204829</v>
      </c>
      <c r="H484" t="n">
        <v>0.5724743533012847</v>
      </c>
    </row>
    <row r="485">
      <c r="A485" t="inlineStr">
        <is>
          <t>Utility (Water)</t>
        </is>
      </c>
      <c r="B485" t="n">
        <v>76</v>
      </c>
      <c r="C485" t="n">
        <v>0.7438685035323099</v>
      </c>
      <c r="D485" t="n">
        <v>0.9324381996694178</v>
      </c>
      <c r="E485" t="n">
        <v>0.1711068771038909</v>
      </c>
      <c r="F485" t="n">
        <v>0.437047122866235</v>
      </c>
      <c r="G485" t="n">
        <v>0.07571997630762232</v>
      </c>
      <c r="H485" t="n">
        <v>0.4728514212827937</v>
      </c>
    </row>
    <row r="486">
      <c r="A486" t="inlineStr">
        <is>
          <t>Total Market</t>
        </is>
      </c>
      <c r="B486" t="n">
        <v>27360</v>
      </c>
      <c r="C486" t="n">
        <v>1.081352840966182</v>
      </c>
      <c r="D486" t="n">
        <v>0.5755508402510654</v>
      </c>
      <c r="E486" t="n">
        <v>0.1390950338875734</v>
      </c>
      <c r="F486" t="n">
        <v>0.7544327966154362</v>
      </c>
      <c r="G486" t="n">
        <v>0.1102342844615956</v>
      </c>
      <c r="H486" t="n">
        <v>0.8479005017168175</v>
      </c>
    </row>
    <row r="487">
      <c r="A487" t="inlineStr">
        <is>
          <t>Total Market (without financials)</t>
        </is>
      </c>
      <c r="B487" t="n">
        <v>24760</v>
      </c>
      <c r="C487" t="n">
        <v>1.123048876959943</v>
      </c>
      <c r="D487" t="n">
        <v>0.3277527286759824</v>
      </c>
      <c r="E487" t="n">
        <v>0.1372214868031369</v>
      </c>
      <c r="F487" t="n">
        <v>0.9007702738360067</v>
      </c>
      <c r="G487" t="n">
        <v>0.08810406744075058</v>
      </c>
      <c r="H487" t="n">
        <v>0.9877994206071099</v>
      </c>
    </row>
    <row r="489" ht="15.5" customHeight="1" s="203">
      <c r="A489" s="102" t="inlineStr">
        <is>
          <t>3. Interest Coverage -&gt; Rating -&gt; Spread (large firms)</t>
        </is>
      </c>
    </row>
    <row r="491">
      <c r="A491" s="100" t="inlineStr">
        <is>
          <t>IC Greater Than</t>
        </is>
      </c>
      <c r="B491" s="100" t="inlineStr">
        <is>
          <t>IC Less Than</t>
        </is>
      </c>
      <c r="C491" s="100" t="inlineStr">
        <is>
          <t>Rating</t>
        </is>
      </c>
      <c r="D491" s="100" t="inlineStr">
        <is>
          <t>Spread</t>
        </is>
      </c>
    </row>
    <row r="492">
      <c r="A492" t="n">
        <v>-100000</v>
      </c>
      <c r="B492" t="n">
        <v>0.199999</v>
      </c>
      <c r="C492" t="inlineStr">
        <is>
          <t>D2/D</t>
        </is>
      </c>
      <c r="D492" t="n">
        <v>0.19</v>
      </c>
    </row>
    <row r="493">
      <c r="A493" t="n">
        <v>0.2</v>
      </c>
      <c r="B493" t="n">
        <v>0.649999</v>
      </c>
      <c r="C493" t="inlineStr">
        <is>
          <t>C2/C</t>
        </is>
      </c>
      <c r="D493" t="n">
        <v>0.16</v>
      </c>
    </row>
    <row r="494">
      <c r="A494" t="n">
        <v>0.65</v>
      </c>
      <c r="B494" t="n">
        <v>0.799999</v>
      </c>
      <c r="C494" t="inlineStr">
        <is>
          <t>Ca2/CC</t>
        </is>
      </c>
      <c r="D494" t="n">
        <v>0.1261</v>
      </c>
    </row>
    <row r="495">
      <c r="A495" t="n">
        <v>0.8</v>
      </c>
      <c r="B495" t="n">
        <v>1.249999</v>
      </c>
      <c r="C495" t="inlineStr">
        <is>
          <t>Caa/CCC</t>
        </is>
      </c>
      <c r="D495" t="n">
        <v>0.0885</v>
      </c>
    </row>
    <row r="496">
      <c r="A496" t="n">
        <v>1.25</v>
      </c>
      <c r="B496" t="n">
        <v>1.499999</v>
      </c>
      <c r="C496" t="inlineStr">
        <is>
          <t>B3/B-</t>
        </is>
      </c>
      <c r="D496" t="n">
        <v>0.0509</v>
      </c>
    </row>
    <row r="497">
      <c r="A497" t="n">
        <v>1.5</v>
      </c>
      <c r="B497" t="n">
        <v>1.749999</v>
      </c>
      <c r="C497" t="inlineStr">
        <is>
          <t>B2/B</t>
        </is>
      </c>
      <c r="D497" t="n">
        <v>0.0321</v>
      </c>
    </row>
    <row r="498">
      <c r="A498" t="n">
        <v>1.75</v>
      </c>
      <c r="B498" t="n">
        <v>1.999999</v>
      </c>
      <c r="C498" t="inlineStr">
        <is>
          <t>B1/B+</t>
        </is>
      </c>
      <c r="D498" t="n">
        <v>0.0275</v>
      </c>
    </row>
    <row r="499">
      <c r="A499" t="n">
        <v>2</v>
      </c>
      <c r="B499" t="n">
        <v>2.2499999</v>
      </c>
      <c r="C499" t="inlineStr">
        <is>
          <t>Ba2/BB</t>
        </is>
      </c>
      <c r="D499" t="n">
        <v>0.0184</v>
      </c>
    </row>
    <row r="500">
      <c r="A500" t="n">
        <v>2.25</v>
      </c>
      <c r="B500" t="n">
        <v>2.49999</v>
      </c>
      <c r="C500" t="inlineStr">
        <is>
          <t>Ba1/BB+</t>
        </is>
      </c>
      <c r="D500" t="n">
        <v>0.0138</v>
      </c>
    </row>
    <row r="501">
      <c r="A501" t="n">
        <v>2.5</v>
      </c>
      <c r="B501" t="n">
        <v>2.999999</v>
      </c>
      <c r="C501" t="inlineStr">
        <is>
          <t>Baa2/BBB</t>
        </is>
      </c>
      <c r="D501" t="n">
        <v>0.0111</v>
      </c>
    </row>
    <row r="502">
      <c r="A502" t="n">
        <v>3</v>
      </c>
      <c r="B502" t="n">
        <v>4.249999</v>
      </c>
      <c r="C502" t="inlineStr">
        <is>
          <t>A3/A-</t>
        </is>
      </c>
      <c r="D502" t="n">
        <v>0.0089</v>
      </c>
    </row>
    <row r="503">
      <c r="A503" t="n">
        <v>4.25</v>
      </c>
      <c r="B503" t="n">
        <v>5.499999</v>
      </c>
      <c r="C503" t="inlineStr">
        <is>
          <t>A2/A</t>
        </is>
      </c>
      <c r="D503" t="n">
        <v>0.0078</v>
      </c>
    </row>
    <row r="504">
      <c r="A504" t="n">
        <v>5.5</v>
      </c>
      <c r="B504" t="n">
        <v>6.499999</v>
      </c>
      <c r="C504" t="inlineStr">
        <is>
          <t>A1/A+</t>
        </is>
      </c>
      <c r="D504" t="n">
        <v>0.007</v>
      </c>
    </row>
    <row r="505">
      <c r="A505" t="n">
        <v>6.5</v>
      </c>
      <c r="B505" t="n">
        <v>8.499999000000001</v>
      </c>
      <c r="C505" t="inlineStr">
        <is>
          <t>Aa2/AA</t>
        </is>
      </c>
      <c r="D505" t="n">
        <v>0.0055</v>
      </c>
    </row>
    <row r="506">
      <c r="A506" t="n">
        <v>8.5</v>
      </c>
      <c r="B506" t="n">
        <v>100000</v>
      </c>
      <c r="C506" t="inlineStr">
        <is>
          <t>Aaa/AAA</t>
        </is>
      </c>
      <c r="D506" t="n">
        <v>0.004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3.5" customWidth="1" style="203" min="1" max="1"/>
    <col width="65" customWidth="1" style="203" min="2" max="2"/>
    <col width="17" customWidth="1" style="203" min="3" max="3"/>
    <col width="17" customWidth="1" style="203" min="4" max="4"/>
    <col width="17" customWidth="1" style="203" min="5" max="5"/>
    <col width="17" customWidth="1" style="203" min="6" max="6"/>
    <col width="17" customWidth="1" style="203" min="7" max="7"/>
    <col width="17" customWidth="1" style="203" min="8" max="8"/>
    <col width="17" customWidth="1" style="203" min="9" max="9"/>
    <col width="17" customWidth="1" style="203" min="10" max="10"/>
    <col width="17" customWidth="1" style="203" min="11" max="11"/>
    <col width="17" customWidth="1" style="203" min="12" max="12"/>
    <col width="17" customWidth="1" style="203" min="13" max="13"/>
    <col width="17" customWidth="1" style="203" min="14" max="14"/>
    <col width="17" customWidth="1" style="203" min="15" max="15"/>
    <col width="17" customWidth="1" style="203" min="16" max="16"/>
    <col width="17" customWidth="1" style="203" min="17" max="17"/>
    <col width="17" customWidth="1" style="203" min="18" max="18"/>
    <col width="17" customWidth="1" style="203" min="19" max="19"/>
  </cols>
  <sheetData>
    <row r="1">
      <c r="A1" t="inlineStr">
        <is>
          <t>#</t>
        </is>
      </c>
      <c r="B1" s="283" t="inlineStr">
        <is>
          <t>WACC Schedule</t>
        </is>
      </c>
    </row>
    <row r="4">
      <c r="B4" s="322" t="inlineStr">
        <is>
          <t>Country</t>
        </is>
      </c>
      <c r="C4" s="323" t="inlineStr">
        <is>
          <t>India</t>
        </is>
      </c>
    </row>
    <row r="6">
      <c r="B6" t="inlineStr">
        <is>
          <t>Share Price (live NSE snapshot)</t>
        </is>
      </c>
      <c r="C6" s="324" t="n">
        <v>4593.1</v>
      </c>
    </row>
    <row r="7">
      <c r="B7" t="inlineStr">
        <is>
          <t>Shares Outstanding (live NSE snapshot)</t>
        </is>
      </c>
      <c r="C7" s="324" t="n">
        <v>175270156</v>
      </c>
    </row>
    <row r="8">
      <c r="B8" s="292" t="inlineStr">
        <is>
          <t>Market Value of Equity</t>
        </is>
      </c>
      <c r="C8" s="293">
        <f>IF(OR(C6="",C7="",C6&lt;=0,C7&lt;=0),NA(),C6*C7)</f>
        <v/>
      </c>
    </row>
    <row r="11">
      <c r="B11" s="322" t="inlineStr">
        <is>
          <t>Industry Sector</t>
        </is>
      </c>
      <c r="C11" s="323" t="inlineStr">
        <is>
          <t>Computer Services</t>
        </is>
      </c>
    </row>
    <row r="12">
      <c r="B12" s="322" t="inlineStr">
        <is>
          <t>Beta Source (options: Global, India, Emerging Markets)</t>
        </is>
      </c>
      <c r="C12" s="323" t="inlineStr">
        <is>
          <t>India</t>
        </is>
      </c>
    </row>
    <row r="13">
      <c r="B13" t="inlineStr">
        <is>
          <t>Sector Unlevered Beta</t>
        </is>
      </c>
      <c r="C13" s="325">
        <f>IF($C$12="Global",INDEX('LTI_Damodaran Data'!$F$194:$F$289,MATCH($C$11,'LTI_Damodaran Data'!$A$194:$A$289,0)),IF($C$12="India",INDEX('LTI_Damodaran Data'!$F$293:$F$388,MATCH($C$11,'LTI_Damodaran Data'!$A$293:$A$388,0)),INDEX('LTI_Damodaran Data'!$F$392:$F$487,MATCH($C$11,'LTI_Damodaran Data'!$A$392:$A$487,0))))</f>
        <v/>
      </c>
    </row>
    <row r="14">
      <c r="B14" t="inlineStr">
        <is>
          <t>This company's D/E (= Debt Schedule Target Debt/Cap)</t>
        </is>
      </c>
      <c r="C14" s="326">
        <f>'LTI_Inputs &amp; Assumptions'!C66/(1-'LTI_Inputs &amp; Assumptions'!C66)</f>
        <v/>
      </c>
    </row>
    <row r="15">
      <c r="B15" t="inlineStr">
        <is>
          <t>Marginal Tax Rate</t>
        </is>
      </c>
      <c r="C15" s="327" t="n">
        <v>0.3</v>
      </c>
    </row>
    <row r="16">
      <c r="B16" s="292" t="inlineStr">
        <is>
          <t>Relevered Beta</t>
        </is>
      </c>
      <c r="C16" s="328">
        <f>C13*(1+(1-C15)*C14)</f>
        <v/>
      </c>
    </row>
    <row r="17">
      <c r="B17" s="329" t="inlineStr">
        <is>
          <t>INPUT: Company-Specific Risk Premium (Porter's Five Forces-informed, default 0%)</t>
        </is>
      </c>
      <c r="C17" s="330" t="n">
        <v>0</v>
      </c>
    </row>
    <row r="18" ht="60" customHeight="1" s="203">
      <c r="B18" s="339" t="inlineStr">
        <is>
          <t>Sensitivity test run 25-Aug-2026 (audit gap #4, Task 26): with this premium set to 1.0% (grounded via notebook consult - single-client concentration &gt;10% would typically justify a CSRP, offset toward the low end by 95-97% repeat revenue), combined with the Employee Benefit % test below, LTI's WACC rose to 11.04% and value/share fell to Rs.3,382 (73.6% of market, was 83.9%). Reverted to 0% (this line) - see build_log.md Task 27 for the full test-and-revert record and Mindtree's parallel result.</t>
        </is>
      </c>
    </row>
    <row r="19">
      <c r="B19" t="inlineStr">
        <is>
          <t>India 10-Year G-Sec Yield (or local equivalent)</t>
        </is>
      </c>
      <c r="C19" s="327" t="n">
        <v>0.0688</v>
      </c>
    </row>
    <row r="20">
      <c r="B20" t="inlineStr">
        <is>
          <t>Sovereign Default Spread (looked up by Country)</t>
        </is>
      </c>
      <c r="C20" s="326">
        <f>INDEX('LTI_Damodaran Data'!$D$8:$D$187,MATCH(C4,'LTI_Damodaran Data'!$A$8:$A$187,0))</f>
        <v/>
      </c>
    </row>
    <row r="21">
      <c r="B21" s="292" t="inlineStr">
        <is>
          <t>Risk-Free Rate</t>
        </is>
      </c>
      <c r="C21" s="331">
        <f>C19-C20</f>
        <v/>
      </c>
    </row>
    <row r="22">
      <c r="B22" t="inlineStr">
        <is>
          <t>Total Equity Risk Premium (looked up by Country)</t>
        </is>
      </c>
      <c r="C22" s="326">
        <f>INDEX('LTI_Damodaran Data'!$E$8:$E$187,MATCH(C4,'LTI_Damodaran Data'!$A$8:$A$187,0))</f>
        <v/>
      </c>
    </row>
    <row r="23">
      <c r="B23" s="332" t="inlineStr">
        <is>
          <t>Cost of Equity = Rf + Beta x ERP</t>
        </is>
      </c>
      <c r="C23" s="333">
        <f>C21+C16*C22+C17</f>
        <v/>
      </c>
    </row>
    <row r="26">
      <c r="B26" t="inlineStr">
        <is>
          <t>EBIT (last actual)</t>
        </is>
      </c>
      <c r="C26" s="334">
        <f>'LTI_P&amp;L Schedule'!H14</f>
        <v/>
      </c>
    </row>
    <row r="27">
      <c r="B27" t="inlineStr">
        <is>
          <t>Interest Expense (last actual)</t>
        </is>
      </c>
      <c r="C27" s="334">
        <f>ABS('LTI_P&amp;L Schedule'!H17)</f>
        <v/>
      </c>
    </row>
    <row r="28">
      <c r="B28" s="292" t="inlineStr">
        <is>
          <t>Interest Coverage Ratio</t>
        </is>
      </c>
      <c r="C28" s="335">
        <f>IFERROR(C26/C27,999)</f>
        <v/>
      </c>
    </row>
    <row r="29">
      <c r="B29" t="inlineStr">
        <is>
          <t>Company Default Spread (looked up by Interest Coverage)</t>
        </is>
      </c>
      <c r="C29" s="326">
        <f>IFERROR(INDEX('LTI_Damodaran Data'!$D$492:$D$506,MATCH(C28,'LTI_Damodaran Data'!$A$492:$A$506,1)),0)</f>
        <v/>
      </c>
    </row>
    <row r="30">
      <c r="B30" s="292" t="inlineStr">
        <is>
          <t>Pre-tax Cost of Debt</t>
        </is>
      </c>
      <c r="C30" s="331">
        <f>C21+C20+C29</f>
        <v/>
      </c>
    </row>
    <row r="31">
      <c r="B31" s="332" t="inlineStr">
        <is>
          <t>After-Tax Cost of Debt</t>
        </is>
      </c>
      <c r="C31" s="333">
        <f>C30*(1-C15)</f>
        <v/>
      </c>
    </row>
    <row r="32" ht="45" customHeight="1" s="203">
      <c r="B32" s="336">
        <f>IF(C27&lt;=0,"⚠ Interest Expense is zero or negative (company appears debt-free on Borrowings). Interest Coverage defaulted to 999x -&gt; near-riskless Cost of Debt. Verify Total Debt below is really ~0 -- Lease Liabilities are NOT included in Book Value of Debt by this pipeline, so a lease-heavy but Borrowings-free company would show debt-free here even if it is not.","")</f>
        <v/>
      </c>
    </row>
    <row r="34">
      <c r="B34" t="inlineStr">
        <is>
          <t>Book Value of Debt (last actual)</t>
        </is>
      </c>
      <c r="C34" s="334" t="n">
        <v>7836000000</v>
      </c>
    </row>
    <row r="35">
      <c r="B35" t="inlineStr">
        <is>
          <t>Total Capital</t>
        </is>
      </c>
      <c r="C35" s="287">
        <f>C8+C34</f>
        <v/>
      </c>
    </row>
    <row r="36">
      <c r="B36" t="inlineStr">
        <is>
          <t>Weight of Equity</t>
        </is>
      </c>
      <c r="C36" s="326">
        <f>C8/C35</f>
        <v/>
      </c>
    </row>
    <row r="37">
      <c r="B37" t="inlineStr">
        <is>
          <t>Weight of Debt</t>
        </is>
      </c>
      <c r="C37" s="326">
        <f>C34/C35</f>
        <v/>
      </c>
    </row>
    <row r="39">
      <c r="B39" s="337" t="inlineStr">
        <is>
          <t>WACC</t>
        </is>
      </c>
      <c r="C39" s="338">
        <f>C36*C23+C37*C31</f>
        <v/>
      </c>
    </row>
  </sheetData>
  <mergeCells count="1">
    <mergeCell ref="B18:F18"/>
  </mergeCells>
  <pageMargins left="0.75" right="0.75" top="1" bottom="1" header="0.5" footer="0.5"/>
</worksheet>
</file>

<file path=xl/worksheets/sheet26.xml><?xml version="1.0" encoding="utf-8"?>
<worksheet xmlns="http://schemas.openxmlformats.org/spreadsheetml/2006/main">
  <sheetPr>
    <tabColor rgb="001F4E78"/>
    <outlinePr summaryBelow="1" summaryRight="1"/>
    <pageSetUpPr/>
  </sheetPr>
  <dimension ref="A1:R45"/>
  <sheetViews>
    <sheetView showGridLines="0" workbookViewId="0">
      <selection activeCell="A1" sqref="A1"/>
    </sheetView>
  </sheetViews>
  <sheetFormatPr baseColWidth="8" defaultRowHeight="14.5"/>
  <cols>
    <col width="3.453125" customWidth="1" style="203" min="1" max="1"/>
    <col width="65" customWidth="1" style="203" min="2" max="2"/>
    <col width="17" customWidth="1" style="203" min="3" max="19"/>
  </cols>
  <sheetData>
    <row r="1" ht="21" customHeight="1" s="203">
      <c r="A1" t="inlineStr">
        <is>
          <t>#</t>
        </is>
      </c>
      <c r="B1" s="99" t="inlineStr">
        <is>
          <t>DCF Valuation -- Unlevered FCFF</t>
        </is>
      </c>
    </row>
    <row r="5">
      <c r="B5" s="100" t="inlineStr">
        <is>
          <t>Line item</t>
        </is>
      </c>
      <c r="C5" s="100" t="inlineStr">
        <is>
          <t>FY2023E</t>
        </is>
      </c>
      <c r="D5" s="100" t="inlineStr">
        <is>
          <t>FY2024E</t>
        </is>
      </c>
      <c r="E5" s="100" t="inlineStr">
        <is>
          <t>FY2025E</t>
        </is>
      </c>
      <c r="F5" s="100" t="inlineStr">
        <is>
          <t>FY2026E</t>
        </is>
      </c>
      <c r="G5" s="100" t="inlineStr">
        <is>
          <t>FY2027E</t>
        </is>
      </c>
      <c r="H5" s="100" t="inlineStr">
        <is>
          <t>FY2028E</t>
        </is>
      </c>
      <c r="I5" s="100" t="inlineStr">
        <is>
          <t>FY2029E</t>
        </is>
      </c>
      <c r="J5" s="100" t="inlineStr">
        <is>
          <t>FY2030E</t>
        </is>
      </c>
      <c r="K5" s="100" t="inlineStr">
        <is>
          <t>FY2031E</t>
        </is>
      </c>
      <c r="L5" s="100" t="inlineStr">
        <is>
          <t>FY2032E</t>
        </is>
      </c>
    </row>
    <row r="7">
      <c r="B7" t="inlineStr">
        <is>
          <t>EBIT</t>
        </is>
      </c>
      <c r="C7" s="80">
        <f>'LTI_P&amp;L Schedule'!I14</f>
        <v/>
      </c>
      <c r="D7" s="80">
        <f>'LTI_P&amp;L Schedule'!J14</f>
        <v/>
      </c>
      <c r="E7" s="80">
        <f>'LTI_P&amp;L Schedule'!K14</f>
        <v/>
      </c>
      <c r="F7" s="80">
        <f>'LTI_P&amp;L Schedule'!L14</f>
        <v/>
      </c>
      <c r="G7" s="80">
        <f>'LTI_P&amp;L Schedule'!M14</f>
        <v/>
      </c>
      <c r="H7" s="80">
        <f>'LTI_P&amp;L Schedule'!N14</f>
        <v/>
      </c>
      <c r="I7" s="80">
        <f>'LTI_P&amp;L Schedule'!O14</f>
        <v/>
      </c>
      <c r="J7" s="80">
        <f>'LTI_P&amp;L Schedule'!P14</f>
        <v/>
      </c>
      <c r="K7" s="80">
        <f>'LTI_P&amp;L Schedule'!Q14</f>
        <v/>
      </c>
      <c r="L7" s="80">
        <f>'LTI_P&amp;L Schedule'!R14</f>
        <v/>
      </c>
    </row>
    <row r="8">
      <c r="B8" s="119" t="inlineStr">
        <is>
          <t>Effective Tax Rate (Tax Schedule)</t>
        </is>
      </c>
      <c r="C8" s="85">
        <f>IFERROR(LTI_Schedules!I106/LTI_Schedules!I105,0)</f>
        <v/>
      </c>
      <c r="D8" s="85">
        <f>IFERROR(LTI_Schedules!J106/LTI_Schedules!J105,0)</f>
        <v/>
      </c>
      <c r="E8" s="85">
        <f>IFERROR(LTI_Schedules!K106/LTI_Schedules!K105,0)</f>
        <v/>
      </c>
      <c r="F8" s="85">
        <f>IFERROR(LTI_Schedules!L106/LTI_Schedules!L105,0)</f>
        <v/>
      </c>
      <c r="G8" s="85">
        <f>IFERROR(LTI_Schedules!M106/LTI_Schedules!M105,0)</f>
        <v/>
      </c>
      <c r="H8" s="85">
        <f>IFERROR(LTI_Schedules!N106/LTI_Schedules!N105,0)</f>
        <v/>
      </c>
      <c r="I8" s="85">
        <f>IFERROR(LTI_Schedules!O106/LTI_Schedules!O105,0)</f>
        <v/>
      </c>
      <c r="J8" s="85">
        <f>IFERROR(LTI_Schedules!P106/LTI_Schedules!P105,0)</f>
        <v/>
      </c>
      <c r="K8" s="85">
        <f>IFERROR(LTI_Schedules!Q106/LTI_Schedules!Q105,0)</f>
        <v/>
      </c>
      <c r="L8" s="85">
        <f>IFERROR(LTI_Schedules!R106/LTI_Schedules!R105,0)</f>
        <v/>
      </c>
    </row>
    <row r="9">
      <c r="B9" s="20" t="inlineStr">
        <is>
          <t>NOPAT</t>
        </is>
      </c>
      <c r="C9" s="83">
        <f>C7*(1-C8)</f>
        <v/>
      </c>
      <c r="D9" s="83">
        <f>D7*(1-D8)</f>
        <v/>
      </c>
      <c r="E9" s="83">
        <f>E7*(1-E8)</f>
        <v/>
      </c>
      <c r="F9" s="83">
        <f>F7*(1-F8)</f>
        <v/>
      </c>
      <c r="G9" s="83">
        <f>G7*(1-G8)</f>
        <v/>
      </c>
      <c r="H9" s="83">
        <f>H7*(1-H8)</f>
        <v/>
      </c>
      <c r="I9" s="83">
        <f>I7*(1-I8)</f>
        <v/>
      </c>
      <c r="J9" s="83">
        <f>J7*(1-J8)</f>
        <v/>
      </c>
      <c r="K9" s="83">
        <f>K7*(1-K8)</f>
        <v/>
      </c>
      <c r="L9" s="83">
        <f>L7*(1-L8)</f>
        <v/>
      </c>
    </row>
    <row r="10">
      <c r="B10" t="inlineStr">
        <is>
          <t>(+) D&amp;A</t>
        </is>
      </c>
      <c r="C10" s="80">
        <f>-'LTI_P&amp;L Schedule'!I13</f>
        <v/>
      </c>
      <c r="D10" s="80">
        <f>-'LTI_P&amp;L Schedule'!J13</f>
        <v/>
      </c>
      <c r="E10" s="80">
        <f>-'LTI_P&amp;L Schedule'!K13</f>
        <v/>
      </c>
      <c r="F10" s="80">
        <f>-'LTI_P&amp;L Schedule'!L13</f>
        <v/>
      </c>
      <c r="G10" s="80">
        <f>-'LTI_P&amp;L Schedule'!M13</f>
        <v/>
      </c>
      <c r="H10" s="80">
        <f>-'LTI_P&amp;L Schedule'!N13</f>
        <v/>
      </c>
      <c r="I10" s="80">
        <f>-'LTI_P&amp;L Schedule'!O13</f>
        <v/>
      </c>
      <c r="J10" s="80">
        <f>-'LTI_P&amp;L Schedule'!P13</f>
        <v/>
      </c>
      <c r="K10" s="80">
        <f>-'LTI_P&amp;L Schedule'!Q13</f>
        <v/>
      </c>
      <c r="L10" s="80">
        <f>-'LTI_P&amp;L Schedule'!R13</f>
        <v/>
      </c>
    </row>
    <row r="11">
      <c r="B11" t="inlineStr">
        <is>
          <t>(-) Capex</t>
        </is>
      </c>
      <c r="C11" s="80">
        <f>-LTI_Schedules!I52</f>
        <v/>
      </c>
      <c r="D11" s="80">
        <f>-LTI_Schedules!J52</f>
        <v/>
      </c>
      <c r="E11" s="80">
        <f>-LTI_Schedules!K52</f>
        <v/>
      </c>
      <c r="F11" s="80">
        <f>-LTI_Schedules!L52</f>
        <v/>
      </c>
      <c r="G11" s="80">
        <f>-LTI_Schedules!M52</f>
        <v/>
      </c>
      <c r="H11" s="80">
        <f>-LTI_Schedules!N52</f>
        <v/>
      </c>
      <c r="I11" s="80">
        <f>-LTI_Schedules!O52</f>
        <v/>
      </c>
      <c r="J11" s="80">
        <f>-LTI_Schedules!P52</f>
        <v/>
      </c>
      <c r="K11" s="80">
        <f>-LTI_Schedules!Q52</f>
        <v/>
      </c>
      <c r="L11" s="80">
        <f>-LTI_Schedules!R52</f>
        <v/>
      </c>
    </row>
    <row r="12">
      <c r="B12" t="inlineStr">
        <is>
          <t>(+/-) Cash from Working Capital</t>
        </is>
      </c>
      <c r="C12" s="80">
        <f>LTI_Schedules!I44</f>
        <v/>
      </c>
      <c r="D12" s="80">
        <f>LTI_Schedules!J44</f>
        <v/>
      </c>
      <c r="E12" s="80">
        <f>LTI_Schedules!K44</f>
        <v/>
      </c>
      <c r="F12" s="80">
        <f>LTI_Schedules!L44</f>
        <v/>
      </c>
      <c r="G12" s="80">
        <f>LTI_Schedules!M44</f>
        <v/>
      </c>
      <c r="H12" s="80">
        <f>LTI_Schedules!N44</f>
        <v/>
      </c>
      <c r="I12" s="80">
        <f>LTI_Schedules!O44</f>
        <v/>
      </c>
      <c r="J12" s="80">
        <f>LTI_Schedules!P44</f>
        <v/>
      </c>
      <c r="K12" s="80">
        <f>LTI_Schedules!Q44</f>
        <v/>
      </c>
      <c r="L12" s="80">
        <f>LTI_Schedules!R44</f>
        <v/>
      </c>
    </row>
    <row r="13">
      <c r="B13" s="112" t="inlineStr">
        <is>
          <t>Unlevered FCFF</t>
        </is>
      </c>
      <c r="C13" s="103">
        <f>C9+C10+C11+C12</f>
        <v/>
      </c>
      <c r="D13" s="103">
        <f>D9+D10+D11+D12</f>
        <v/>
      </c>
      <c r="E13" s="103">
        <f>E9+E10+E11+E12</f>
        <v/>
      </c>
      <c r="F13" s="103">
        <f>F9+F10+F11+F12</f>
        <v/>
      </c>
      <c r="G13" s="103">
        <f>G9+G10+G11+G12</f>
        <v/>
      </c>
      <c r="H13" s="103">
        <f>H9+H10+H11+H12</f>
        <v/>
      </c>
      <c r="I13" s="103">
        <f>I9+I10+I11+I12</f>
        <v/>
      </c>
      <c r="J13" s="103">
        <f>J9+J10+J11+J12</f>
        <v/>
      </c>
      <c r="K13" s="103">
        <f>K9+K10+K11+K12</f>
        <v/>
      </c>
      <c r="L13" s="103">
        <f>L9+L10+L11+L12</f>
        <v/>
      </c>
    </row>
    <row r="15">
      <c r="B15" s="119" t="inlineStr">
        <is>
          <t>Discount Factor</t>
        </is>
      </c>
      <c r="C15" s="120">
        <f>1/(1+'LTI_WACC Schedule'!$C39)^1</f>
        <v/>
      </c>
      <c r="D15" s="120">
        <f>1/(1+'LTI_WACC Schedule'!$C39)^2</f>
        <v/>
      </c>
      <c r="E15" s="120">
        <f>1/(1+'LTI_WACC Schedule'!$C39)^3</f>
        <v/>
      </c>
      <c r="F15" s="120">
        <f>1/(1+'LTI_WACC Schedule'!$C39)^4</f>
        <v/>
      </c>
      <c r="G15" s="120">
        <f>1/(1+'LTI_WACC Schedule'!$C39)^5</f>
        <v/>
      </c>
      <c r="H15" s="120">
        <f>1/(1+'LTI_WACC Schedule'!$C39)^6</f>
        <v/>
      </c>
      <c r="I15" s="120">
        <f>1/(1+'LTI_WACC Schedule'!$C39)^7</f>
        <v/>
      </c>
      <c r="J15" s="120">
        <f>1/(1+'LTI_WACC Schedule'!$C39)^8</f>
        <v/>
      </c>
      <c r="K15" s="120">
        <f>1/(1+'LTI_WACC Schedule'!$C39)^9</f>
        <v/>
      </c>
      <c r="L15" s="120">
        <f>1/(1+'LTI_WACC Schedule'!$C39)^10</f>
        <v/>
      </c>
    </row>
    <row r="16">
      <c r="B16" s="20" t="inlineStr">
        <is>
          <t>PV of FCFF</t>
        </is>
      </c>
      <c r="C16" s="83">
        <f>C13*C15</f>
        <v/>
      </c>
      <c r="D16" s="83">
        <f>D13*D15</f>
        <v/>
      </c>
      <c r="E16" s="83">
        <f>E13*E15</f>
        <v/>
      </c>
      <c r="F16" s="83">
        <f>F13*F15</f>
        <v/>
      </c>
      <c r="G16" s="83">
        <f>G13*G15</f>
        <v/>
      </c>
      <c r="H16" s="83">
        <f>H13*H15</f>
        <v/>
      </c>
      <c r="I16" s="83">
        <f>I13*I15</f>
        <v/>
      </c>
      <c r="J16" s="83">
        <f>J13*J15</f>
        <v/>
      </c>
      <c r="K16" s="83">
        <f>K13*K15</f>
        <v/>
      </c>
      <c r="L16" s="83">
        <f>L13*L15</f>
        <v/>
      </c>
    </row>
    <row r="18">
      <c r="B18" s="112" t="inlineStr">
        <is>
          <t>Sum of PV of Explicit FCFF</t>
        </is>
      </c>
      <c r="C18" s="121">
        <f>SUM(C16:L16)</f>
        <v/>
      </c>
    </row>
    <row r="20" ht="17" customHeight="1" s="203">
      <c r="A20" t="inlineStr">
        <is>
          <t>#</t>
        </is>
      </c>
      <c r="B20" s="117" t="inlineStr">
        <is>
          <t>Terminal Value (Value Driver Formula)</t>
        </is>
      </c>
    </row>
    <row r="22">
      <c r="B22" t="inlineStr">
        <is>
          <t>Terminal Growth Rate</t>
        </is>
      </c>
      <c r="C22" s="122">
        <f>IF('LTI_Inputs &amp; Assumptions'!C11="",'LTI_Inputs &amp; Assumptions'!C10,'LTI_Inputs &amp; Assumptions'!C11)</f>
        <v/>
      </c>
    </row>
    <row r="23">
      <c r="B23" t="inlineStr">
        <is>
          <t>Terminal Effective Tax Rate (= Statutory Rate)</t>
        </is>
      </c>
      <c r="C23" s="122">
        <f>'LTI_Inputs &amp; Assumptions'!C71</f>
        <v/>
      </c>
    </row>
    <row r="24">
      <c r="B24" t="inlineStr">
        <is>
          <t>Terminal NOPAT</t>
        </is>
      </c>
      <c r="C24" s="116">
        <f>L7*(1+C22)*(1-C23)</f>
        <v/>
      </c>
    </row>
    <row r="25">
      <c r="B25" s="119" t="inlineStr">
        <is>
          <t>Terminal Reinvestment Rate = g/WACC</t>
        </is>
      </c>
      <c r="C25" s="123">
        <f>C22/'LTI_WACC Schedule'!$C39</f>
        <v/>
      </c>
    </row>
    <row r="26">
      <c r="B26" s="112" t="inlineStr">
        <is>
          <t>Terminal Value</t>
        </is>
      </c>
      <c r="C26" s="124">
        <f>C24*(1-C25)/('LTI_WACC Schedule'!$C39-C22)</f>
        <v/>
      </c>
    </row>
    <row r="27">
      <c r="B27" t="inlineStr">
        <is>
          <t>PV of Terminal Value</t>
        </is>
      </c>
      <c r="C27" s="116">
        <f>C26*L15</f>
        <v/>
      </c>
    </row>
    <row r="29" ht="15.5" customHeight="1" s="203">
      <c r="B29" s="102" t="inlineStr">
        <is>
          <t>Enterprise Value</t>
        </is>
      </c>
      <c r="C29" s="125">
        <f>C18+C27</f>
        <v/>
      </c>
    </row>
    <row r="30">
      <c r="B30" t="inlineStr">
        <is>
          <t>(-) Total Debt</t>
        </is>
      </c>
      <c r="C30" s="114">
        <f>-LTI_Schedules!$H$92</f>
        <v/>
      </c>
    </row>
    <row r="31">
      <c r="B31" t="inlineStr">
        <is>
          <t>(+) Cash &amp; Equivalents</t>
        </is>
      </c>
      <c r="C31" s="114">
        <f>IFERROR(INDEX(LTI_HS_CONSOLIDATED!I:I,MATCH("CashAndCashEquivalents",LTI_HS_CONSOLIDATED!$C:$C,0)),0)</f>
        <v/>
      </c>
    </row>
    <row r="32" ht="15.5" customHeight="1" s="203">
      <c r="B32" s="102" t="inlineStr">
        <is>
          <t>Equity Value</t>
        </is>
      </c>
      <c r="C32" s="125">
        <f>C29+C30+C31</f>
        <v/>
      </c>
    </row>
    <row r="33" ht="17" customHeight="1" s="203">
      <c r="B33" s="117" t="inlineStr">
        <is>
          <t>Implied Value Per Share</t>
        </is>
      </c>
      <c r="C33" s="126">
        <f>C32/'LTI_WACC Schedule'!$C7</f>
        <v/>
      </c>
    </row>
    <row r="36" ht="17" customHeight="1" s="203">
      <c r="A36" t="inlineStr">
        <is>
          <t>#</t>
        </is>
      </c>
      <c r="B36" s="117" t="inlineStr">
        <is>
          <t>Implied ROIC Check (diagnostic only -- does not feed the valuation above)</t>
        </is>
      </c>
    </row>
    <row r="38">
      <c r="B38" s="100" t="inlineStr">
        <is>
          <t>Line item</t>
        </is>
      </c>
      <c r="C38" s="100" t="inlineStr">
        <is>
          <t>FY2017</t>
        </is>
      </c>
      <c r="D38" s="100" t="inlineStr">
        <is>
          <t>FY2018</t>
        </is>
      </c>
      <c r="E38" s="100" t="inlineStr">
        <is>
          <t>FY2019</t>
        </is>
      </c>
      <c r="F38" s="100" t="inlineStr">
        <is>
          <t>FY2020</t>
        </is>
      </c>
      <c r="G38" s="100" t="inlineStr">
        <is>
          <t>FY2021</t>
        </is>
      </c>
      <c r="H38" s="100" t="inlineStr">
        <is>
          <t>FY2022</t>
        </is>
      </c>
      <c r="I38" s="100" t="inlineStr">
        <is>
          <t>FY2023E</t>
        </is>
      </c>
      <c r="J38" s="100" t="inlineStr">
        <is>
          <t>FY2024E</t>
        </is>
      </c>
      <c r="K38" s="100" t="inlineStr">
        <is>
          <t>FY2025E</t>
        </is>
      </c>
      <c r="L38" s="100" t="inlineStr">
        <is>
          <t>FY2026E</t>
        </is>
      </c>
      <c r="M38" s="100" t="inlineStr">
        <is>
          <t>FY2027E</t>
        </is>
      </c>
      <c r="N38" s="100" t="inlineStr">
        <is>
          <t>FY2028E</t>
        </is>
      </c>
      <c r="O38" s="100" t="inlineStr">
        <is>
          <t>FY2029E</t>
        </is>
      </c>
      <c r="P38" s="100" t="inlineStr">
        <is>
          <t>FY2030E</t>
        </is>
      </c>
      <c r="Q38" s="100" t="inlineStr">
        <is>
          <t>FY2031E</t>
        </is>
      </c>
      <c r="R38" s="100" t="inlineStr">
        <is>
          <t>FY2032E</t>
        </is>
      </c>
    </row>
    <row r="39">
      <c r="B39" s="211" t="inlineStr">
        <is>
          <t>Invested Capital, Beginning of Year (= prior year Net PP&amp;E + NWC)</t>
        </is>
      </c>
      <c r="C39" s="211" t="inlineStr">
        <is>
          <t>n/a</t>
        </is>
      </c>
      <c r="D39" s="86">
        <f>LTI_Schedules!C63+LTI_Schedules!C43</f>
        <v/>
      </c>
      <c r="E39" s="86">
        <f>LTI_Schedules!D63+LTI_Schedules!D43</f>
        <v/>
      </c>
      <c r="F39" s="86">
        <f>LTI_Schedules!E63+LTI_Schedules!E43</f>
        <v/>
      </c>
      <c r="G39" s="86">
        <f>LTI_Schedules!F63+LTI_Schedules!F43</f>
        <v/>
      </c>
      <c r="H39" s="86">
        <f>LTI_Schedules!G63+LTI_Schedules!G43</f>
        <v/>
      </c>
      <c r="I39" s="86">
        <f>LTI_Schedules!H63+LTI_Schedules!H43</f>
        <v/>
      </c>
      <c r="J39" s="86">
        <f>LTI_Schedules!I63+LTI_Schedules!I43</f>
        <v/>
      </c>
      <c r="K39" s="86">
        <f>LTI_Schedules!J63+LTI_Schedules!J43</f>
        <v/>
      </c>
      <c r="L39" s="86">
        <f>LTI_Schedules!K63+LTI_Schedules!K43</f>
        <v/>
      </c>
      <c r="M39" s="86">
        <f>LTI_Schedules!L63+LTI_Schedules!L43</f>
        <v/>
      </c>
      <c r="N39" s="86">
        <f>LTI_Schedules!M63+LTI_Schedules!M43</f>
        <v/>
      </c>
      <c r="O39" s="86">
        <f>LTI_Schedules!N63+LTI_Schedules!N43</f>
        <v/>
      </c>
      <c r="P39" s="86">
        <f>LTI_Schedules!O63+LTI_Schedules!O43</f>
        <v/>
      </c>
      <c r="Q39" s="86">
        <f>LTI_Schedules!P63+LTI_Schedules!P43</f>
        <v/>
      </c>
      <c r="R39" s="86">
        <f>LTI_Schedules!Q63+LTI_Schedules!Q43</f>
        <v/>
      </c>
    </row>
    <row r="40">
      <c r="B40" s="211" t="inlineStr">
        <is>
          <t>NOPAT (EBIT x (1 - Effective Tax Rate))</t>
        </is>
      </c>
      <c r="C40" s="86">
        <f>'LTI_P&amp;L Schedule'!C14*(1-(IF(AND(ABS(LTI_Schedules!C105)&gt;0,IFERROR(LTI_Schedules!C106/LTI_Schedules!C105,-1)&gt;=0,IFERROR(LTI_Schedules!C106/LTI_Schedules!C105,2)&lt;=0.6),LTI_Schedules!C106/LTI_Schedules!C105,'LTI_Inputs &amp; Assumptions'!$C$71)))</f>
        <v/>
      </c>
      <c r="D40" s="86">
        <f>'LTI_P&amp;L Schedule'!D14*(1-(IF(AND(ABS(LTI_Schedules!D105)&gt;0,IFERROR(LTI_Schedules!D106/LTI_Schedules!D105,-1)&gt;=0,IFERROR(LTI_Schedules!D106/LTI_Schedules!D105,2)&lt;=0.6),LTI_Schedules!D106/LTI_Schedules!D105,'LTI_Inputs &amp; Assumptions'!$C$71)))</f>
        <v/>
      </c>
      <c r="E40" s="86">
        <f>'LTI_P&amp;L Schedule'!E14*(1-(IF(AND(ABS(LTI_Schedules!E105)&gt;0,IFERROR(LTI_Schedules!E106/LTI_Schedules!E105,-1)&gt;=0,IFERROR(LTI_Schedules!E106/LTI_Schedules!E105,2)&lt;=0.6),LTI_Schedules!E106/LTI_Schedules!E105,'LTI_Inputs &amp; Assumptions'!$C$71)))</f>
        <v/>
      </c>
      <c r="F40" s="86">
        <f>'LTI_P&amp;L Schedule'!F14*(1-(IF(AND(ABS(LTI_Schedules!F105)&gt;0,IFERROR(LTI_Schedules!F106/LTI_Schedules!F105,-1)&gt;=0,IFERROR(LTI_Schedules!F106/LTI_Schedules!F105,2)&lt;=0.6),LTI_Schedules!F106/LTI_Schedules!F105,'LTI_Inputs &amp; Assumptions'!$C$71)))</f>
        <v/>
      </c>
      <c r="G40" s="86">
        <f>'LTI_P&amp;L Schedule'!G14*(1-(IF(AND(ABS(LTI_Schedules!G105)&gt;0,IFERROR(LTI_Schedules!G106/LTI_Schedules!G105,-1)&gt;=0,IFERROR(LTI_Schedules!G106/LTI_Schedules!G105,2)&lt;=0.6),LTI_Schedules!G106/LTI_Schedules!G105,'LTI_Inputs &amp; Assumptions'!$C$71)))</f>
        <v/>
      </c>
      <c r="H40" s="86">
        <f>'LTI_P&amp;L Schedule'!H14*(1-(IF(AND(ABS(LTI_Schedules!H105)&gt;0,IFERROR(LTI_Schedules!H106/LTI_Schedules!H105,-1)&gt;=0,IFERROR(LTI_Schedules!H106/LTI_Schedules!H105,2)&lt;=0.6),LTI_Schedules!H106/LTI_Schedules!H105,'LTI_Inputs &amp; Assumptions'!$C$71)))</f>
        <v/>
      </c>
      <c r="I40" s="86">
        <f>C7*(1-(C8))</f>
        <v/>
      </c>
      <c r="J40" s="86">
        <f>D7*(1-(D8))</f>
        <v/>
      </c>
      <c r="K40" s="86">
        <f>E7*(1-(E8))</f>
        <v/>
      </c>
      <c r="L40" s="86">
        <f>F7*(1-(F8))</f>
        <v/>
      </c>
      <c r="M40" s="86">
        <f>G7*(1-(G8))</f>
        <v/>
      </c>
      <c r="N40" s="86">
        <f>H7*(1-(H8))</f>
        <v/>
      </c>
      <c r="O40" s="86">
        <f>I7*(1-(I8))</f>
        <v/>
      </c>
      <c r="P40" s="86">
        <f>J7*(1-(J8))</f>
        <v/>
      </c>
      <c r="Q40" s="86">
        <f>K7*(1-(K8))</f>
        <v/>
      </c>
      <c r="R40" s="86">
        <f>L7*(1-(L8))</f>
        <v/>
      </c>
    </row>
    <row r="41">
      <c r="B41" s="20" t="inlineStr">
        <is>
          <t>Implied ROIC = NOPAT / Beginning Invested Capital</t>
        </is>
      </c>
      <c r="C41" s="211" t="inlineStr">
        <is>
          <t>n/a</t>
        </is>
      </c>
      <c r="D41" s="127">
        <f>IFERROR(D40/D39,"")</f>
        <v/>
      </c>
      <c r="E41" s="127">
        <f>IFERROR(E40/E39,"")</f>
        <v/>
      </c>
      <c r="F41" s="127">
        <f>IFERROR(F40/F39,"")</f>
        <v/>
      </c>
      <c r="G41" s="127">
        <f>IFERROR(G40/G39,"")</f>
        <v/>
      </c>
      <c r="H41" s="127">
        <f>IFERROR(H40/H39,"")</f>
        <v/>
      </c>
      <c r="I41" s="127">
        <f>IFERROR(I40/I39,"")</f>
        <v/>
      </c>
      <c r="J41" s="127">
        <f>IFERROR(J40/J39,"")</f>
        <v/>
      </c>
      <c r="K41" s="127">
        <f>IFERROR(K40/K39,"")</f>
        <v/>
      </c>
      <c r="L41" s="127">
        <f>IFERROR(L40/L39,"")</f>
        <v/>
      </c>
      <c r="M41" s="127">
        <f>IFERROR(M40/M39,"")</f>
        <v/>
      </c>
      <c r="N41" s="127">
        <f>IFERROR(N40/N39,"")</f>
        <v/>
      </c>
      <c r="O41" s="127">
        <f>IFERROR(O40/O39,"")</f>
        <v/>
      </c>
      <c r="P41" s="127">
        <f>IFERROR(P40/P39,"")</f>
        <v/>
      </c>
      <c r="Q41" s="127">
        <f>IFERROR(Q40/Q39,"")</f>
        <v/>
      </c>
      <c r="R41" s="127">
        <f>IFERROR(R40/R39,"")</f>
        <v/>
      </c>
    </row>
    <row r="44">
      <c r="B44" t="inlineStr">
        <is>
          <t>Average Historical ROIC (last 3yr, for context)</t>
        </is>
      </c>
      <c r="C44" s="97">
        <f>AVERAGE(F41:H41)</f>
        <v/>
      </c>
    </row>
    <row r="45" ht="40" customHeight="1" s="203">
      <c r="B45" s="88">
        <f>IF(ABS(I41-C44)&gt;0.15,"⚠ Implied ROIC in the first forecast year ("&amp;TEXT(I41,"0.0%")&amp;") differs from the last 3yr average historical ROIC ("&amp;TEXT(C44,"0.0%")&amp;") by more than 15 percentage points. The assumed growth and reinvestment levels imply a return on capital very different from what this company has actually earned -- confirm this is deliberate (e.g. a genuine margin/efficiency inflection) before relying on the DCF.","")</f>
        <v/>
      </c>
    </row>
  </sheetData>
  <pageMargins left="0.75" right="0.75" top="1" bottom="1" header="0.5" footer="0.5"/>
</worksheet>
</file>

<file path=xl/worksheets/sheet27.xml><?xml version="1.0" encoding="utf-8"?>
<worksheet xmlns="http://schemas.openxmlformats.org/spreadsheetml/2006/main">
  <sheetPr>
    <tabColor rgb="001F4E78"/>
    <outlinePr summaryBelow="1" summaryRight="1"/>
    <pageSetUpPr/>
  </sheetPr>
  <dimension ref="A1:G31"/>
  <sheetViews>
    <sheetView showGridLines="0" workbookViewId="0">
      <selection activeCell="A1" sqref="A1"/>
    </sheetView>
  </sheetViews>
  <sheetFormatPr baseColWidth="8" defaultRowHeight="14.5"/>
  <cols>
    <col width="3.453125" customWidth="1" style="203" min="1" max="1"/>
    <col width="65" customWidth="1" style="203" min="2" max="2"/>
    <col width="17" customWidth="1" style="203" min="3" max="19"/>
  </cols>
  <sheetData>
    <row r="1" ht="21" customHeight="1" s="203">
      <c r="A1" t="inlineStr">
        <is>
          <t>#</t>
        </is>
      </c>
      <c r="B1" s="99" t="inlineStr">
        <is>
          <t>Sensitivity Tables</t>
        </is>
      </c>
    </row>
    <row r="4" ht="17" customHeight="1" s="203">
      <c r="A4" t="inlineStr">
        <is>
          <t>#</t>
        </is>
      </c>
      <c r="B4" s="117" t="inlineStr">
        <is>
          <t>Table 1: WACC (rows) x Terminal Growth Rate (cols) -&gt; Implied Value/Share</t>
        </is>
      </c>
    </row>
    <row r="6">
      <c r="B6" s="128" t="inlineStr">
        <is>
          <t>Terminal Growth Rate</t>
        </is>
      </c>
    </row>
    <row r="7">
      <c r="B7" s="128" t="inlineStr">
        <is>
          <t>WACC</t>
        </is>
      </c>
      <c r="C7" s="129">
        <f>(IF('LTI_Inputs &amp; Assumptions'!$C$11="",'LTI_Inputs &amp; Assumptions'!$C$10,'LTI_Inputs &amp; Assumptions'!$C$11))+(-0.02)</f>
        <v/>
      </c>
      <c r="D7" s="129">
        <f>(IF('LTI_Inputs &amp; Assumptions'!$C$11="",'LTI_Inputs &amp; Assumptions'!$C$10,'LTI_Inputs &amp; Assumptions'!$C$11))+(-0.01)</f>
        <v/>
      </c>
      <c r="E7" s="129">
        <f>(IF('LTI_Inputs &amp; Assumptions'!$C$11="",'LTI_Inputs &amp; Assumptions'!$C$10,'LTI_Inputs &amp; Assumptions'!$C$11))+(0)</f>
        <v/>
      </c>
      <c r="F7" s="129">
        <f>(IF('LTI_Inputs &amp; Assumptions'!$C$11="",'LTI_Inputs &amp; Assumptions'!$C$10,'LTI_Inputs &amp; Assumptions'!$C$11))+(0.01)</f>
        <v/>
      </c>
      <c r="G7" s="129">
        <f>(IF('LTI_Inputs &amp; Assumptions'!$C$11="",'LTI_Inputs &amp; Assumptions'!$C$10,'LTI_Inputs &amp; Assumptions'!$C$11))+(0.02)</f>
        <v/>
      </c>
    </row>
    <row r="8">
      <c r="B8" s="111">
        <f>'LTI_WACC Schedule'!$C39+(-0.02)</f>
        <v/>
      </c>
      <c r="C8" s="130">
        <f>(((((((('LTI_P&amp;L Schedule'!I14)*(1-(IFERROR(LTI_Schedules!I106/LTI_Schedules!I105,0))))+((-'LTI_P&amp;L Schedule'!I13))+((-LTI_Schedules!I52))+((LTI_Schedules!I44*(1)))))*(1/(1+$B8)^1)+(((('LTI_P&amp;L Schedule'!J14)*(1-(IFERROR(LTI_Schedules!J106/LTI_Schedules!J105,0))))+((-'LTI_P&amp;L Schedule'!J13))+((-LTI_Schedules!J52))+((LTI_Schedules!J44*(1)))))*(1/(1+$B8)^2)+(((('LTI_P&amp;L Schedule'!K14)*(1-(IFERROR(LTI_Schedules!K106/LTI_Schedules!K105,0))))+((-'LTI_P&amp;L Schedule'!K13))+((-LTI_Schedules!K52))+((LTI_Schedules!K44*(1)))))*(1/(1+$B8)^3)+(((('LTI_P&amp;L Schedule'!L14)*(1-(IFERROR(LTI_Schedules!L106/LTI_Schedules!L105,0))))+((-'LTI_P&amp;L Schedule'!L13))+((-LTI_Schedules!L52))+((LTI_Schedules!L44*(1)))))*(1/(1+$B8)^4)+(((('LTI_P&amp;L Schedule'!M14)*(1-(IFERROR(LTI_Schedules!M106/LTI_Schedules!M105,0))))+((-'LTI_P&amp;L Schedule'!M13))+((-LTI_Schedules!M52))+((LTI_Schedules!M44*(1)))))*(1/(1+$B8)^5)+(((('LTI_P&amp;L Schedule'!N14)*(1-(IFERROR(LTI_Schedules!N106/LTI_Schedules!N105,0))))+((-'LTI_P&amp;L Schedule'!N13))+((-LTI_Schedules!N52))+((LTI_Schedules!N44*(1)))))*(1/(1+$B8)^6)+(((('LTI_P&amp;L Schedule'!O14)*(1-(IFERROR(LTI_Schedules!O106/LTI_Schedules!O105,0))))+((-'LTI_P&amp;L Schedule'!O13))+((-LTI_Schedules!O52))+((LTI_Schedules!O44*(1)))))*(1/(1+$B8)^7)+(((('LTI_P&amp;L Schedule'!P14)*(1-(IFERROR(LTI_Schedules!P106/LTI_Schedules!P105,0))))+((-'LTI_P&amp;L Schedule'!P13))+((-LTI_Schedules!P52))+((LTI_Schedules!P44*(1)))))*(1/(1+$B8)^8)+(((('LTI_P&amp;L Schedule'!Q14)*(1-(IFERROR(LTI_Schedules!Q106/LTI_Schedules!Q105,0))))+((-'LTI_P&amp;L Schedule'!Q13))+((-LTI_Schedules!Q52))+((LTI_Schedules!Q44*(1)))))*(1/(1+$B8)^9)+(((('LTI_P&amp;L Schedule'!R14)*(1-(IFERROR(LTI_Schedules!R106/LTI_Schedules!R105,0))))+((-'LTI_P&amp;L Schedule'!R13))+((-LTI_Schedules!R52))+((LTI_Schedules!R44*(1)))))*(1/(1+$B8)^10))+((((('LTI_P&amp;L Schedule'!R14)*(1+(C$7))*(1-('LTI_Inputs &amp; Assumptions'!$C$71)))*(1-(((C$7)/($B8))))/(($B8)-(C$7))))*(1/(1+$B8)^10))))-(LTI_Schedules!$H$92)+(IFERROR(INDEX(LTI_HS_CONSOLIDATED!I:I,MATCH("CashAndCashEquivalents",LTI_HS_CONSOLIDATED!$C:$C,0)),0)))/'LTI_WACC Schedule'!$C7</f>
        <v/>
      </c>
      <c r="D8" s="130">
        <f>(((((((('LTI_P&amp;L Schedule'!I14)*(1-(IFERROR(LTI_Schedules!I106/LTI_Schedules!I105,0))))+((-'LTI_P&amp;L Schedule'!I13))+((-LTI_Schedules!I52))+((LTI_Schedules!I44*(1)))))*(1/(1+$B8)^1)+(((('LTI_P&amp;L Schedule'!J14)*(1-(IFERROR(LTI_Schedules!J106/LTI_Schedules!J105,0))))+((-'LTI_P&amp;L Schedule'!J13))+((-LTI_Schedules!J52))+((LTI_Schedules!J44*(1)))))*(1/(1+$B8)^2)+(((('LTI_P&amp;L Schedule'!K14)*(1-(IFERROR(LTI_Schedules!K106/LTI_Schedules!K105,0))))+((-'LTI_P&amp;L Schedule'!K13))+((-LTI_Schedules!K52))+((LTI_Schedules!K44*(1)))))*(1/(1+$B8)^3)+(((('LTI_P&amp;L Schedule'!L14)*(1-(IFERROR(LTI_Schedules!L106/LTI_Schedules!L105,0))))+((-'LTI_P&amp;L Schedule'!L13))+((-LTI_Schedules!L52))+((LTI_Schedules!L44*(1)))))*(1/(1+$B8)^4)+(((('LTI_P&amp;L Schedule'!M14)*(1-(IFERROR(LTI_Schedules!M106/LTI_Schedules!M105,0))))+((-'LTI_P&amp;L Schedule'!M13))+((-LTI_Schedules!M52))+((LTI_Schedules!M44*(1)))))*(1/(1+$B8)^5)+(((('LTI_P&amp;L Schedule'!N14)*(1-(IFERROR(LTI_Schedules!N106/LTI_Schedules!N105,0))))+((-'LTI_P&amp;L Schedule'!N13))+((-LTI_Schedules!N52))+((LTI_Schedules!N44*(1)))))*(1/(1+$B8)^6)+(((('LTI_P&amp;L Schedule'!O14)*(1-(IFERROR(LTI_Schedules!O106/LTI_Schedules!O105,0))))+((-'LTI_P&amp;L Schedule'!O13))+((-LTI_Schedules!O52))+((LTI_Schedules!O44*(1)))))*(1/(1+$B8)^7)+(((('LTI_P&amp;L Schedule'!P14)*(1-(IFERROR(LTI_Schedules!P106/LTI_Schedules!P105,0))))+((-'LTI_P&amp;L Schedule'!P13))+((-LTI_Schedules!P52))+((LTI_Schedules!P44*(1)))))*(1/(1+$B8)^8)+(((('LTI_P&amp;L Schedule'!Q14)*(1-(IFERROR(LTI_Schedules!Q106/LTI_Schedules!Q105,0))))+((-'LTI_P&amp;L Schedule'!Q13))+((-LTI_Schedules!Q52))+((LTI_Schedules!Q44*(1)))))*(1/(1+$B8)^9)+(((('LTI_P&amp;L Schedule'!R14)*(1-(IFERROR(LTI_Schedules!R106/LTI_Schedules!R105,0))))+((-'LTI_P&amp;L Schedule'!R13))+((-LTI_Schedules!R52))+((LTI_Schedules!R44*(1)))))*(1/(1+$B8)^10))+((((('LTI_P&amp;L Schedule'!R14)*(1+(D$7))*(1-('LTI_Inputs &amp; Assumptions'!$C$71)))*(1-(((D$7)/($B8))))/(($B8)-(D$7))))*(1/(1+$B8)^10))))-(LTI_Schedules!$H$92)+(IFERROR(INDEX(LTI_HS_CONSOLIDATED!I:I,MATCH("CashAndCashEquivalents",LTI_HS_CONSOLIDATED!$C:$C,0)),0)))/'LTI_WACC Schedule'!$C7</f>
        <v/>
      </c>
      <c r="E8" s="130">
        <f>(((((((('LTI_P&amp;L Schedule'!I14)*(1-(IFERROR(LTI_Schedules!I106/LTI_Schedules!I105,0))))+((-'LTI_P&amp;L Schedule'!I13))+((-LTI_Schedules!I52))+((LTI_Schedules!I44*(1)))))*(1/(1+$B8)^1)+(((('LTI_P&amp;L Schedule'!J14)*(1-(IFERROR(LTI_Schedules!J106/LTI_Schedules!J105,0))))+((-'LTI_P&amp;L Schedule'!J13))+((-LTI_Schedules!J52))+((LTI_Schedules!J44*(1)))))*(1/(1+$B8)^2)+(((('LTI_P&amp;L Schedule'!K14)*(1-(IFERROR(LTI_Schedules!K106/LTI_Schedules!K105,0))))+((-'LTI_P&amp;L Schedule'!K13))+((-LTI_Schedules!K52))+((LTI_Schedules!K44*(1)))))*(1/(1+$B8)^3)+(((('LTI_P&amp;L Schedule'!L14)*(1-(IFERROR(LTI_Schedules!L106/LTI_Schedules!L105,0))))+((-'LTI_P&amp;L Schedule'!L13))+((-LTI_Schedules!L52))+((LTI_Schedules!L44*(1)))))*(1/(1+$B8)^4)+(((('LTI_P&amp;L Schedule'!M14)*(1-(IFERROR(LTI_Schedules!M106/LTI_Schedules!M105,0))))+((-'LTI_P&amp;L Schedule'!M13))+((-LTI_Schedules!M52))+((LTI_Schedules!M44*(1)))))*(1/(1+$B8)^5)+(((('LTI_P&amp;L Schedule'!N14)*(1-(IFERROR(LTI_Schedules!N106/LTI_Schedules!N105,0))))+((-'LTI_P&amp;L Schedule'!N13))+((-LTI_Schedules!N52))+((LTI_Schedules!N44*(1)))))*(1/(1+$B8)^6)+(((('LTI_P&amp;L Schedule'!O14)*(1-(IFERROR(LTI_Schedules!O106/LTI_Schedules!O105,0))))+((-'LTI_P&amp;L Schedule'!O13))+((-LTI_Schedules!O52))+((LTI_Schedules!O44*(1)))))*(1/(1+$B8)^7)+(((('LTI_P&amp;L Schedule'!P14)*(1-(IFERROR(LTI_Schedules!P106/LTI_Schedules!P105,0))))+((-'LTI_P&amp;L Schedule'!P13))+((-LTI_Schedules!P52))+((LTI_Schedules!P44*(1)))))*(1/(1+$B8)^8)+(((('LTI_P&amp;L Schedule'!Q14)*(1-(IFERROR(LTI_Schedules!Q106/LTI_Schedules!Q105,0))))+((-'LTI_P&amp;L Schedule'!Q13))+((-LTI_Schedules!Q52))+((LTI_Schedules!Q44*(1)))))*(1/(1+$B8)^9)+(((('LTI_P&amp;L Schedule'!R14)*(1-(IFERROR(LTI_Schedules!R106/LTI_Schedules!R105,0))))+((-'LTI_P&amp;L Schedule'!R13))+((-LTI_Schedules!R52))+((LTI_Schedules!R44*(1)))))*(1/(1+$B8)^10))+((((('LTI_P&amp;L Schedule'!R14)*(1+(E$7))*(1-('LTI_Inputs &amp; Assumptions'!$C$71)))*(1-(((E$7)/($B8))))/(($B8)-(E$7))))*(1/(1+$B8)^10))))-(LTI_Schedules!$H$92)+(IFERROR(INDEX(LTI_HS_CONSOLIDATED!I:I,MATCH("CashAndCashEquivalents",LTI_HS_CONSOLIDATED!$C:$C,0)),0)))/'LTI_WACC Schedule'!$C7</f>
        <v/>
      </c>
      <c r="F8" s="130">
        <f>(((((((('LTI_P&amp;L Schedule'!I14)*(1-(IFERROR(LTI_Schedules!I106/LTI_Schedules!I105,0))))+((-'LTI_P&amp;L Schedule'!I13))+((-LTI_Schedules!I52))+((LTI_Schedules!I44*(1)))))*(1/(1+$B8)^1)+(((('LTI_P&amp;L Schedule'!J14)*(1-(IFERROR(LTI_Schedules!J106/LTI_Schedules!J105,0))))+((-'LTI_P&amp;L Schedule'!J13))+((-LTI_Schedules!J52))+((LTI_Schedules!J44*(1)))))*(1/(1+$B8)^2)+(((('LTI_P&amp;L Schedule'!K14)*(1-(IFERROR(LTI_Schedules!K106/LTI_Schedules!K105,0))))+((-'LTI_P&amp;L Schedule'!K13))+((-LTI_Schedules!K52))+((LTI_Schedules!K44*(1)))))*(1/(1+$B8)^3)+(((('LTI_P&amp;L Schedule'!L14)*(1-(IFERROR(LTI_Schedules!L106/LTI_Schedules!L105,0))))+((-'LTI_P&amp;L Schedule'!L13))+((-LTI_Schedules!L52))+((LTI_Schedules!L44*(1)))))*(1/(1+$B8)^4)+(((('LTI_P&amp;L Schedule'!M14)*(1-(IFERROR(LTI_Schedules!M106/LTI_Schedules!M105,0))))+((-'LTI_P&amp;L Schedule'!M13))+((-LTI_Schedules!M52))+((LTI_Schedules!M44*(1)))))*(1/(1+$B8)^5)+(((('LTI_P&amp;L Schedule'!N14)*(1-(IFERROR(LTI_Schedules!N106/LTI_Schedules!N105,0))))+((-'LTI_P&amp;L Schedule'!N13))+((-LTI_Schedules!N52))+((LTI_Schedules!N44*(1)))))*(1/(1+$B8)^6)+(((('LTI_P&amp;L Schedule'!O14)*(1-(IFERROR(LTI_Schedules!O106/LTI_Schedules!O105,0))))+((-'LTI_P&amp;L Schedule'!O13))+((-LTI_Schedules!O52))+((LTI_Schedules!O44*(1)))))*(1/(1+$B8)^7)+(((('LTI_P&amp;L Schedule'!P14)*(1-(IFERROR(LTI_Schedules!P106/LTI_Schedules!P105,0))))+((-'LTI_P&amp;L Schedule'!P13))+((-LTI_Schedules!P52))+((LTI_Schedules!P44*(1)))))*(1/(1+$B8)^8)+(((('LTI_P&amp;L Schedule'!Q14)*(1-(IFERROR(LTI_Schedules!Q106/LTI_Schedules!Q105,0))))+((-'LTI_P&amp;L Schedule'!Q13))+((-LTI_Schedules!Q52))+((LTI_Schedules!Q44*(1)))))*(1/(1+$B8)^9)+(((('LTI_P&amp;L Schedule'!R14)*(1-(IFERROR(LTI_Schedules!R106/LTI_Schedules!R105,0))))+((-'LTI_P&amp;L Schedule'!R13))+((-LTI_Schedules!R52))+((LTI_Schedules!R44*(1)))))*(1/(1+$B8)^10))+((((('LTI_P&amp;L Schedule'!R14)*(1+(F$7))*(1-('LTI_Inputs &amp; Assumptions'!$C$71)))*(1-(((F$7)/($B8))))/(($B8)-(F$7))))*(1/(1+$B8)^10))))-(LTI_Schedules!$H$92)+(IFERROR(INDEX(LTI_HS_CONSOLIDATED!I:I,MATCH("CashAndCashEquivalents",LTI_HS_CONSOLIDATED!$C:$C,0)),0)))/'LTI_WACC Schedule'!$C7</f>
        <v/>
      </c>
      <c r="G8" s="130">
        <f>(((((((('LTI_P&amp;L Schedule'!I14)*(1-(IFERROR(LTI_Schedules!I106/LTI_Schedules!I105,0))))+((-'LTI_P&amp;L Schedule'!I13))+((-LTI_Schedules!I52))+((LTI_Schedules!I44*(1)))))*(1/(1+$B8)^1)+(((('LTI_P&amp;L Schedule'!J14)*(1-(IFERROR(LTI_Schedules!J106/LTI_Schedules!J105,0))))+((-'LTI_P&amp;L Schedule'!J13))+((-LTI_Schedules!J52))+((LTI_Schedules!J44*(1)))))*(1/(1+$B8)^2)+(((('LTI_P&amp;L Schedule'!K14)*(1-(IFERROR(LTI_Schedules!K106/LTI_Schedules!K105,0))))+((-'LTI_P&amp;L Schedule'!K13))+((-LTI_Schedules!K52))+((LTI_Schedules!K44*(1)))))*(1/(1+$B8)^3)+(((('LTI_P&amp;L Schedule'!L14)*(1-(IFERROR(LTI_Schedules!L106/LTI_Schedules!L105,0))))+((-'LTI_P&amp;L Schedule'!L13))+((-LTI_Schedules!L52))+((LTI_Schedules!L44*(1)))))*(1/(1+$B8)^4)+(((('LTI_P&amp;L Schedule'!M14)*(1-(IFERROR(LTI_Schedules!M106/LTI_Schedules!M105,0))))+((-'LTI_P&amp;L Schedule'!M13))+((-LTI_Schedules!M52))+((LTI_Schedules!M44*(1)))))*(1/(1+$B8)^5)+(((('LTI_P&amp;L Schedule'!N14)*(1-(IFERROR(LTI_Schedules!N106/LTI_Schedules!N105,0))))+((-'LTI_P&amp;L Schedule'!N13))+((-LTI_Schedules!N52))+((LTI_Schedules!N44*(1)))))*(1/(1+$B8)^6)+(((('LTI_P&amp;L Schedule'!O14)*(1-(IFERROR(LTI_Schedules!O106/LTI_Schedules!O105,0))))+((-'LTI_P&amp;L Schedule'!O13))+((-LTI_Schedules!O52))+((LTI_Schedules!O44*(1)))))*(1/(1+$B8)^7)+(((('LTI_P&amp;L Schedule'!P14)*(1-(IFERROR(LTI_Schedules!P106/LTI_Schedules!P105,0))))+((-'LTI_P&amp;L Schedule'!P13))+((-LTI_Schedules!P52))+((LTI_Schedules!P44*(1)))))*(1/(1+$B8)^8)+(((('LTI_P&amp;L Schedule'!Q14)*(1-(IFERROR(LTI_Schedules!Q106/LTI_Schedules!Q105,0))))+((-'LTI_P&amp;L Schedule'!Q13))+((-LTI_Schedules!Q52))+((LTI_Schedules!Q44*(1)))))*(1/(1+$B8)^9)+(((('LTI_P&amp;L Schedule'!R14)*(1-(IFERROR(LTI_Schedules!R106/LTI_Schedules!R105,0))))+((-'LTI_P&amp;L Schedule'!R13))+((-LTI_Schedules!R52))+((LTI_Schedules!R44*(1)))))*(1/(1+$B8)^10))+((((('LTI_P&amp;L Schedule'!R14)*(1+(G$7))*(1-('LTI_Inputs &amp; Assumptions'!$C$71)))*(1-(((G$7)/($B8))))/(($B8)-(G$7))))*(1/(1+$B8)^10))))-(LTI_Schedules!$H$92)+(IFERROR(INDEX(LTI_HS_CONSOLIDATED!I:I,MATCH("CashAndCashEquivalents",LTI_HS_CONSOLIDATED!$C:$C,0)),0)))/'LTI_WACC Schedule'!$C7</f>
        <v/>
      </c>
    </row>
    <row r="9">
      <c r="B9" s="111">
        <f>'LTI_WACC Schedule'!$C39+(-0.01)</f>
        <v/>
      </c>
      <c r="C9" s="130">
        <f>(((((((('LTI_P&amp;L Schedule'!I14)*(1-(IFERROR(LTI_Schedules!I106/LTI_Schedules!I105,0))))+((-'LTI_P&amp;L Schedule'!I13))+((-LTI_Schedules!I52))+((LTI_Schedules!I44*(1)))))*(1/(1+$B9)^1)+(((('LTI_P&amp;L Schedule'!J14)*(1-(IFERROR(LTI_Schedules!J106/LTI_Schedules!J105,0))))+((-'LTI_P&amp;L Schedule'!J13))+((-LTI_Schedules!J52))+((LTI_Schedules!J44*(1)))))*(1/(1+$B9)^2)+(((('LTI_P&amp;L Schedule'!K14)*(1-(IFERROR(LTI_Schedules!K106/LTI_Schedules!K105,0))))+((-'LTI_P&amp;L Schedule'!K13))+((-LTI_Schedules!K52))+((LTI_Schedules!K44*(1)))))*(1/(1+$B9)^3)+(((('LTI_P&amp;L Schedule'!L14)*(1-(IFERROR(LTI_Schedules!L106/LTI_Schedules!L105,0))))+((-'LTI_P&amp;L Schedule'!L13))+((-LTI_Schedules!L52))+((LTI_Schedules!L44*(1)))))*(1/(1+$B9)^4)+(((('LTI_P&amp;L Schedule'!M14)*(1-(IFERROR(LTI_Schedules!M106/LTI_Schedules!M105,0))))+((-'LTI_P&amp;L Schedule'!M13))+((-LTI_Schedules!M52))+((LTI_Schedules!M44*(1)))))*(1/(1+$B9)^5)+(((('LTI_P&amp;L Schedule'!N14)*(1-(IFERROR(LTI_Schedules!N106/LTI_Schedules!N105,0))))+((-'LTI_P&amp;L Schedule'!N13))+((-LTI_Schedules!N52))+((LTI_Schedules!N44*(1)))))*(1/(1+$B9)^6)+(((('LTI_P&amp;L Schedule'!O14)*(1-(IFERROR(LTI_Schedules!O106/LTI_Schedules!O105,0))))+((-'LTI_P&amp;L Schedule'!O13))+((-LTI_Schedules!O52))+((LTI_Schedules!O44*(1)))))*(1/(1+$B9)^7)+(((('LTI_P&amp;L Schedule'!P14)*(1-(IFERROR(LTI_Schedules!P106/LTI_Schedules!P105,0))))+((-'LTI_P&amp;L Schedule'!P13))+((-LTI_Schedules!P52))+((LTI_Schedules!P44*(1)))))*(1/(1+$B9)^8)+(((('LTI_P&amp;L Schedule'!Q14)*(1-(IFERROR(LTI_Schedules!Q106/LTI_Schedules!Q105,0))))+((-'LTI_P&amp;L Schedule'!Q13))+((-LTI_Schedules!Q52))+((LTI_Schedules!Q44*(1)))))*(1/(1+$B9)^9)+(((('LTI_P&amp;L Schedule'!R14)*(1-(IFERROR(LTI_Schedules!R106/LTI_Schedules!R105,0))))+((-'LTI_P&amp;L Schedule'!R13))+((-LTI_Schedules!R52))+((LTI_Schedules!R44*(1)))))*(1/(1+$B9)^10))+((((('LTI_P&amp;L Schedule'!R14)*(1+(C$7))*(1-('LTI_Inputs &amp; Assumptions'!$C$71)))*(1-(((C$7)/($B9))))/(($B9)-(C$7))))*(1/(1+$B9)^10))))-(LTI_Schedules!$H$92)+(IFERROR(INDEX(LTI_HS_CONSOLIDATED!I:I,MATCH("CashAndCashEquivalents",LTI_HS_CONSOLIDATED!$C:$C,0)),0)))/'LTI_WACC Schedule'!$C7</f>
        <v/>
      </c>
      <c r="D9" s="130">
        <f>(((((((('LTI_P&amp;L Schedule'!I14)*(1-(IFERROR(LTI_Schedules!I106/LTI_Schedules!I105,0))))+((-'LTI_P&amp;L Schedule'!I13))+((-LTI_Schedules!I52))+((LTI_Schedules!I44*(1)))))*(1/(1+$B9)^1)+(((('LTI_P&amp;L Schedule'!J14)*(1-(IFERROR(LTI_Schedules!J106/LTI_Schedules!J105,0))))+((-'LTI_P&amp;L Schedule'!J13))+((-LTI_Schedules!J52))+((LTI_Schedules!J44*(1)))))*(1/(1+$B9)^2)+(((('LTI_P&amp;L Schedule'!K14)*(1-(IFERROR(LTI_Schedules!K106/LTI_Schedules!K105,0))))+((-'LTI_P&amp;L Schedule'!K13))+((-LTI_Schedules!K52))+((LTI_Schedules!K44*(1)))))*(1/(1+$B9)^3)+(((('LTI_P&amp;L Schedule'!L14)*(1-(IFERROR(LTI_Schedules!L106/LTI_Schedules!L105,0))))+((-'LTI_P&amp;L Schedule'!L13))+((-LTI_Schedules!L52))+((LTI_Schedules!L44*(1)))))*(1/(1+$B9)^4)+(((('LTI_P&amp;L Schedule'!M14)*(1-(IFERROR(LTI_Schedules!M106/LTI_Schedules!M105,0))))+((-'LTI_P&amp;L Schedule'!M13))+((-LTI_Schedules!M52))+((LTI_Schedules!M44*(1)))))*(1/(1+$B9)^5)+(((('LTI_P&amp;L Schedule'!N14)*(1-(IFERROR(LTI_Schedules!N106/LTI_Schedules!N105,0))))+((-'LTI_P&amp;L Schedule'!N13))+((-LTI_Schedules!N52))+((LTI_Schedules!N44*(1)))))*(1/(1+$B9)^6)+(((('LTI_P&amp;L Schedule'!O14)*(1-(IFERROR(LTI_Schedules!O106/LTI_Schedules!O105,0))))+((-'LTI_P&amp;L Schedule'!O13))+((-LTI_Schedules!O52))+((LTI_Schedules!O44*(1)))))*(1/(1+$B9)^7)+(((('LTI_P&amp;L Schedule'!P14)*(1-(IFERROR(LTI_Schedules!P106/LTI_Schedules!P105,0))))+((-'LTI_P&amp;L Schedule'!P13))+((-LTI_Schedules!P52))+((LTI_Schedules!P44*(1)))))*(1/(1+$B9)^8)+(((('LTI_P&amp;L Schedule'!Q14)*(1-(IFERROR(LTI_Schedules!Q106/LTI_Schedules!Q105,0))))+((-'LTI_P&amp;L Schedule'!Q13))+((-LTI_Schedules!Q52))+((LTI_Schedules!Q44*(1)))))*(1/(1+$B9)^9)+(((('LTI_P&amp;L Schedule'!R14)*(1-(IFERROR(LTI_Schedules!R106/LTI_Schedules!R105,0))))+((-'LTI_P&amp;L Schedule'!R13))+((-LTI_Schedules!R52))+((LTI_Schedules!R44*(1)))))*(1/(1+$B9)^10))+((((('LTI_P&amp;L Schedule'!R14)*(1+(D$7))*(1-('LTI_Inputs &amp; Assumptions'!$C$71)))*(1-(((D$7)/($B9))))/(($B9)-(D$7))))*(1/(1+$B9)^10))))-(LTI_Schedules!$H$92)+(IFERROR(INDEX(LTI_HS_CONSOLIDATED!I:I,MATCH("CashAndCashEquivalents",LTI_HS_CONSOLIDATED!$C:$C,0)),0)))/'LTI_WACC Schedule'!$C7</f>
        <v/>
      </c>
      <c r="E9" s="130">
        <f>(((((((('LTI_P&amp;L Schedule'!I14)*(1-(IFERROR(LTI_Schedules!I106/LTI_Schedules!I105,0))))+((-'LTI_P&amp;L Schedule'!I13))+((-LTI_Schedules!I52))+((LTI_Schedules!I44*(1)))))*(1/(1+$B9)^1)+(((('LTI_P&amp;L Schedule'!J14)*(1-(IFERROR(LTI_Schedules!J106/LTI_Schedules!J105,0))))+((-'LTI_P&amp;L Schedule'!J13))+((-LTI_Schedules!J52))+((LTI_Schedules!J44*(1)))))*(1/(1+$B9)^2)+(((('LTI_P&amp;L Schedule'!K14)*(1-(IFERROR(LTI_Schedules!K106/LTI_Schedules!K105,0))))+((-'LTI_P&amp;L Schedule'!K13))+((-LTI_Schedules!K52))+((LTI_Schedules!K44*(1)))))*(1/(1+$B9)^3)+(((('LTI_P&amp;L Schedule'!L14)*(1-(IFERROR(LTI_Schedules!L106/LTI_Schedules!L105,0))))+((-'LTI_P&amp;L Schedule'!L13))+((-LTI_Schedules!L52))+((LTI_Schedules!L44*(1)))))*(1/(1+$B9)^4)+(((('LTI_P&amp;L Schedule'!M14)*(1-(IFERROR(LTI_Schedules!M106/LTI_Schedules!M105,0))))+((-'LTI_P&amp;L Schedule'!M13))+((-LTI_Schedules!M52))+((LTI_Schedules!M44*(1)))))*(1/(1+$B9)^5)+(((('LTI_P&amp;L Schedule'!N14)*(1-(IFERROR(LTI_Schedules!N106/LTI_Schedules!N105,0))))+((-'LTI_P&amp;L Schedule'!N13))+((-LTI_Schedules!N52))+((LTI_Schedules!N44*(1)))))*(1/(1+$B9)^6)+(((('LTI_P&amp;L Schedule'!O14)*(1-(IFERROR(LTI_Schedules!O106/LTI_Schedules!O105,0))))+((-'LTI_P&amp;L Schedule'!O13))+((-LTI_Schedules!O52))+((LTI_Schedules!O44*(1)))))*(1/(1+$B9)^7)+(((('LTI_P&amp;L Schedule'!P14)*(1-(IFERROR(LTI_Schedules!P106/LTI_Schedules!P105,0))))+((-'LTI_P&amp;L Schedule'!P13))+((-LTI_Schedules!P52))+((LTI_Schedules!P44*(1)))))*(1/(1+$B9)^8)+(((('LTI_P&amp;L Schedule'!Q14)*(1-(IFERROR(LTI_Schedules!Q106/LTI_Schedules!Q105,0))))+((-'LTI_P&amp;L Schedule'!Q13))+((-LTI_Schedules!Q52))+((LTI_Schedules!Q44*(1)))))*(1/(1+$B9)^9)+(((('LTI_P&amp;L Schedule'!R14)*(1-(IFERROR(LTI_Schedules!R106/LTI_Schedules!R105,0))))+((-'LTI_P&amp;L Schedule'!R13))+((-LTI_Schedules!R52))+((LTI_Schedules!R44*(1)))))*(1/(1+$B9)^10))+((((('LTI_P&amp;L Schedule'!R14)*(1+(E$7))*(1-('LTI_Inputs &amp; Assumptions'!$C$71)))*(1-(((E$7)/($B9))))/(($B9)-(E$7))))*(1/(1+$B9)^10))))-(LTI_Schedules!$H$92)+(IFERROR(INDEX(LTI_HS_CONSOLIDATED!I:I,MATCH("CashAndCashEquivalents",LTI_HS_CONSOLIDATED!$C:$C,0)),0)))/'LTI_WACC Schedule'!$C7</f>
        <v/>
      </c>
      <c r="F9" s="130">
        <f>(((((((('LTI_P&amp;L Schedule'!I14)*(1-(IFERROR(LTI_Schedules!I106/LTI_Schedules!I105,0))))+((-'LTI_P&amp;L Schedule'!I13))+((-LTI_Schedules!I52))+((LTI_Schedules!I44*(1)))))*(1/(1+$B9)^1)+(((('LTI_P&amp;L Schedule'!J14)*(1-(IFERROR(LTI_Schedules!J106/LTI_Schedules!J105,0))))+((-'LTI_P&amp;L Schedule'!J13))+((-LTI_Schedules!J52))+((LTI_Schedules!J44*(1)))))*(1/(1+$B9)^2)+(((('LTI_P&amp;L Schedule'!K14)*(1-(IFERROR(LTI_Schedules!K106/LTI_Schedules!K105,0))))+((-'LTI_P&amp;L Schedule'!K13))+((-LTI_Schedules!K52))+((LTI_Schedules!K44*(1)))))*(1/(1+$B9)^3)+(((('LTI_P&amp;L Schedule'!L14)*(1-(IFERROR(LTI_Schedules!L106/LTI_Schedules!L105,0))))+((-'LTI_P&amp;L Schedule'!L13))+((-LTI_Schedules!L52))+((LTI_Schedules!L44*(1)))))*(1/(1+$B9)^4)+(((('LTI_P&amp;L Schedule'!M14)*(1-(IFERROR(LTI_Schedules!M106/LTI_Schedules!M105,0))))+((-'LTI_P&amp;L Schedule'!M13))+((-LTI_Schedules!M52))+((LTI_Schedules!M44*(1)))))*(1/(1+$B9)^5)+(((('LTI_P&amp;L Schedule'!N14)*(1-(IFERROR(LTI_Schedules!N106/LTI_Schedules!N105,0))))+((-'LTI_P&amp;L Schedule'!N13))+((-LTI_Schedules!N52))+((LTI_Schedules!N44*(1)))))*(1/(1+$B9)^6)+(((('LTI_P&amp;L Schedule'!O14)*(1-(IFERROR(LTI_Schedules!O106/LTI_Schedules!O105,0))))+((-'LTI_P&amp;L Schedule'!O13))+((-LTI_Schedules!O52))+((LTI_Schedules!O44*(1)))))*(1/(1+$B9)^7)+(((('LTI_P&amp;L Schedule'!P14)*(1-(IFERROR(LTI_Schedules!P106/LTI_Schedules!P105,0))))+((-'LTI_P&amp;L Schedule'!P13))+((-LTI_Schedules!P52))+((LTI_Schedules!P44*(1)))))*(1/(1+$B9)^8)+(((('LTI_P&amp;L Schedule'!Q14)*(1-(IFERROR(LTI_Schedules!Q106/LTI_Schedules!Q105,0))))+((-'LTI_P&amp;L Schedule'!Q13))+((-LTI_Schedules!Q52))+((LTI_Schedules!Q44*(1)))))*(1/(1+$B9)^9)+(((('LTI_P&amp;L Schedule'!R14)*(1-(IFERROR(LTI_Schedules!R106/LTI_Schedules!R105,0))))+((-'LTI_P&amp;L Schedule'!R13))+((-LTI_Schedules!R52))+((LTI_Schedules!R44*(1)))))*(1/(1+$B9)^10))+((((('LTI_P&amp;L Schedule'!R14)*(1+(F$7))*(1-('LTI_Inputs &amp; Assumptions'!$C$71)))*(1-(((F$7)/($B9))))/(($B9)-(F$7))))*(1/(1+$B9)^10))))-(LTI_Schedules!$H$92)+(IFERROR(INDEX(LTI_HS_CONSOLIDATED!I:I,MATCH("CashAndCashEquivalents",LTI_HS_CONSOLIDATED!$C:$C,0)),0)))/'LTI_WACC Schedule'!$C7</f>
        <v/>
      </c>
      <c r="G9" s="130">
        <f>(((((((('LTI_P&amp;L Schedule'!I14)*(1-(IFERROR(LTI_Schedules!I106/LTI_Schedules!I105,0))))+((-'LTI_P&amp;L Schedule'!I13))+((-LTI_Schedules!I52))+((LTI_Schedules!I44*(1)))))*(1/(1+$B9)^1)+(((('LTI_P&amp;L Schedule'!J14)*(1-(IFERROR(LTI_Schedules!J106/LTI_Schedules!J105,0))))+((-'LTI_P&amp;L Schedule'!J13))+((-LTI_Schedules!J52))+((LTI_Schedules!J44*(1)))))*(1/(1+$B9)^2)+(((('LTI_P&amp;L Schedule'!K14)*(1-(IFERROR(LTI_Schedules!K106/LTI_Schedules!K105,0))))+((-'LTI_P&amp;L Schedule'!K13))+((-LTI_Schedules!K52))+((LTI_Schedules!K44*(1)))))*(1/(1+$B9)^3)+(((('LTI_P&amp;L Schedule'!L14)*(1-(IFERROR(LTI_Schedules!L106/LTI_Schedules!L105,0))))+((-'LTI_P&amp;L Schedule'!L13))+((-LTI_Schedules!L52))+((LTI_Schedules!L44*(1)))))*(1/(1+$B9)^4)+(((('LTI_P&amp;L Schedule'!M14)*(1-(IFERROR(LTI_Schedules!M106/LTI_Schedules!M105,0))))+((-'LTI_P&amp;L Schedule'!M13))+((-LTI_Schedules!M52))+((LTI_Schedules!M44*(1)))))*(1/(1+$B9)^5)+(((('LTI_P&amp;L Schedule'!N14)*(1-(IFERROR(LTI_Schedules!N106/LTI_Schedules!N105,0))))+((-'LTI_P&amp;L Schedule'!N13))+((-LTI_Schedules!N52))+((LTI_Schedules!N44*(1)))))*(1/(1+$B9)^6)+(((('LTI_P&amp;L Schedule'!O14)*(1-(IFERROR(LTI_Schedules!O106/LTI_Schedules!O105,0))))+((-'LTI_P&amp;L Schedule'!O13))+((-LTI_Schedules!O52))+((LTI_Schedules!O44*(1)))))*(1/(1+$B9)^7)+(((('LTI_P&amp;L Schedule'!P14)*(1-(IFERROR(LTI_Schedules!P106/LTI_Schedules!P105,0))))+((-'LTI_P&amp;L Schedule'!P13))+((-LTI_Schedules!P52))+((LTI_Schedules!P44*(1)))))*(1/(1+$B9)^8)+(((('LTI_P&amp;L Schedule'!Q14)*(1-(IFERROR(LTI_Schedules!Q106/LTI_Schedules!Q105,0))))+((-'LTI_P&amp;L Schedule'!Q13))+((-LTI_Schedules!Q52))+((LTI_Schedules!Q44*(1)))))*(1/(1+$B9)^9)+(((('LTI_P&amp;L Schedule'!R14)*(1-(IFERROR(LTI_Schedules!R106/LTI_Schedules!R105,0))))+((-'LTI_P&amp;L Schedule'!R13))+((-LTI_Schedules!R52))+((LTI_Schedules!R44*(1)))))*(1/(1+$B9)^10))+((((('LTI_P&amp;L Schedule'!R14)*(1+(G$7))*(1-('LTI_Inputs &amp; Assumptions'!$C$71)))*(1-(((G$7)/($B9))))/(($B9)-(G$7))))*(1/(1+$B9)^10))))-(LTI_Schedules!$H$92)+(IFERROR(INDEX(LTI_HS_CONSOLIDATED!I:I,MATCH("CashAndCashEquivalents",LTI_HS_CONSOLIDATED!$C:$C,0)),0)))/'LTI_WACC Schedule'!$C7</f>
        <v/>
      </c>
    </row>
    <row r="10">
      <c r="B10" s="111">
        <f>'LTI_WACC Schedule'!$C39+(0)</f>
        <v/>
      </c>
      <c r="C10" s="130">
        <f>(((((((('LTI_P&amp;L Schedule'!I14)*(1-(IFERROR(LTI_Schedules!I106/LTI_Schedules!I105,0))))+((-'LTI_P&amp;L Schedule'!I13))+((-LTI_Schedules!I52))+((LTI_Schedules!I44*(1)))))*(1/(1+$B10)^1)+(((('LTI_P&amp;L Schedule'!J14)*(1-(IFERROR(LTI_Schedules!J106/LTI_Schedules!J105,0))))+((-'LTI_P&amp;L Schedule'!J13))+((-LTI_Schedules!J52))+((LTI_Schedules!J44*(1)))))*(1/(1+$B10)^2)+(((('LTI_P&amp;L Schedule'!K14)*(1-(IFERROR(LTI_Schedules!K106/LTI_Schedules!K105,0))))+((-'LTI_P&amp;L Schedule'!K13))+((-LTI_Schedules!K52))+((LTI_Schedules!K44*(1)))))*(1/(1+$B10)^3)+(((('LTI_P&amp;L Schedule'!L14)*(1-(IFERROR(LTI_Schedules!L106/LTI_Schedules!L105,0))))+((-'LTI_P&amp;L Schedule'!L13))+((-LTI_Schedules!L52))+((LTI_Schedules!L44*(1)))))*(1/(1+$B10)^4)+(((('LTI_P&amp;L Schedule'!M14)*(1-(IFERROR(LTI_Schedules!M106/LTI_Schedules!M105,0))))+((-'LTI_P&amp;L Schedule'!M13))+((-LTI_Schedules!M52))+((LTI_Schedules!M44*(1)))))*(1/(1+$B10)^5)+(((('LTI_P&amp;L Schedule'!N14)*(1-(IFERROR(LTI_Schedules!N106/LTI_Schedules!N105,0))))+((-'LTI_P&amp;L Schedule'!N13))+((-LTI_Schedules!N52))+((LTI_Schedules!N44*(1)))))*(1/(1+$B10)^6)+(((('LTI_P&amp;L Schedule'!O14)*(1-(IFERROR(LTI_Schedules!O106/LTI_Schedules!O105,0))))+((-'LTI_P&amp;L Schedule'!O13))+((-LTI_Schedules!O52))+((LTI_Schedules!O44*(1)))))*(1/(1+$B10)^7)+(((('LTI_P&amp;L Schedule'!P14)*(1-(IFERROR(LTI_Schedules!P106/LTI_Schedules!P105,0))))+((-'LTI_P&amp;L Schedule'!P13))+((-LTI_Schedules!P52))+((LTI_Schedules!P44*(1)))))*(1/(1+$B10)^8)+(((('LTI_P&amp;L Schedule'!Q14)*(1-(IFERROR(LTI_Schedules!Q106/LTI_Schedules!Q105,0))))+((-'LTI_P&amp;L Schedule'!Q13))+((-LTI_Schedules!Q52))+((LTI_Schedules!Q44*(1)))))*(1/(1+$B10)^9)+(((('LTI_P&amp;L Schedule'!R14)*(1-(IFERROR(LTI_Schedules!R106/LTI_Schedules!R105,0))))+((-'LTI_P&amp;L Schedule'!R13))+((-LTI_Schedules!R52))+((LTI_Schedules!R44*(1)))))*(1/(1+$B10)^10))+((((('LTI_P&amp;L Schedule'!R14)*(1+(C$7))*(1-('LTI_Inputs &amp; Assumptions'!$C$71)))*(1-(((C$7)/($B10))))/(($B10)-(C$7))))*(1/(1+$B10)^10))))-(LTI_Schedules!$H$92)+(IFERROR(INDEX(LTI_HS_CONSOLIDATED!I:I,MATCH("CashAndCashEquivalents",LTI_HS_CONSOLIDATED!$C:$C,0)),0)))/'LTI_WACC Schedule'!$C7</f>
        <v/>
      </c>
      <c r="D10" s="130">
        <f>(((((((('LTI_P&amp;L Schedule'!I14)*(1-(IFERROR(LTI_Schedules!I106/LTI_Schedules!I105,0))))+((-'LTI_P&amp;L Schedule'!I13))+((-LTI_Schedules!I52))+((LTI_Schedules!I44*(1)))))*(1/(1+$B10)^1)+(((('LTI_P&amp;L Schedule'!J14)*(1-(IFERROR(LTI_Schedules!J106/LTI_Schedules!J105,0))))+((-'LTI_P&amp;L Schedule'!J13))+((-LTI_Schedules!J52))+((LTI_Schedules!J44*(1)))))*(1/(1+$B10)^2)+(((('LTI_P&amp;L Schedule'!K14)*(1-(IFERROR(LTI_Schedules!K106/LTI_Schedules!K105,0))))+((-'LTI_P&amp;L Schedule'!K13))+((-LTI_Schedules!K52))+((LTI_Schedules!K44*(1)))))*(1/(1+$B10)^3)+(((('LTI_P&amp;L Schedule'!L14)*(1-(IFERROR(LTI_Schedules!L106/LTI_Schedules!L105,0))))+((-'LTI_P&amp;L Schedule'!L13))+((-LTI_Schedules!L52))+((LTI_Schedules!L44*(1)))))*(1/(1+$B10)^4)+(((('LTI_P&amp;L Schedule'!M14)*(1-(IFERROR(LTI_Schedules!M106/LTI_Schedules!M105,0))))+((-'LTI_P&amp;L Schedule'!M13))+((-LTI_Schedules!M52))+((LTI_Schedules!M44*(1)))))*(1/(1+$B10)^5)+(((('LTI_P&amp;L Schedule'!N14)*(1-(IFERROR(LTI_Schedules!N106/LTI_Schedules!N105,0))))+((-'LTI_P&amp;L Schedule'!N13))+((-LTI_Schedules!N52))+((LTI_Schedules!N44*(1)))))*(1/(1+$B10)^6)+(((('LTI_P&amp;L Schedule'!O14)*(1-(IFERROR(LTI_Schedules!O106/LTI_Schedules!O105,0))))+((-'LTI_P&amp;L Schedule'!O13))+((-LTI_Schedules!O52))+((LTI_Schedules!O44*(1)))))*(1/(1+$B10)^7)+(((('LTI_P&amp;L Schedule'!P14)*(1-(IFERROR(LTI_Schedules!P106/LTI_Schedules!P105,0))))+((-'LTI_P&amp;L Schedule'!P13))+((-LTI_Schedules!P52))+((LTI_Schedules!P44*(1)))))*(1/(1+$B10)^8)+(((('LTI_P&amp;L Schedule'!Q14)*(1-(IFERROR(LTI_Schedules!Q106/LTI_Schedules!Q105,0))))+((-'LTI_P&amp;L Schedule'!Q13))+((-LTI_Schedules!Q52))+((LTI_Schedules!Q44*(1)))))*(1/(1+$B10)^9)+(((('LTI_P&amp;L Schedule'!R14)*(1-(IFERROR(LTI_Schedules!R106/LTI_Schedules!R105,0))))+((-'LTI_P&amp;L Schedule'!R13))+((-LTI_Schedules!R52))+((LTI_Schedules!R44*(1)))))*(1/(1+$B10)^10))+((((('LTI_P&amp;L Schedule'!R14)*(1+(D$7))*(1-('LTI_Inputs &amp; Assumptions'!$C$71)))*(1-(((D$7)/($B10))))/(($B10)-(D$7))))*(1/(1+$B10)^10))))-(LTI_Schedules!$H$92)+(IFERROR(INDEX(LTI_HS_CONSOLIDATED!I:I,MATCH("CashAndCashEquivalents",LTI_HS_CONSOLIDATED!$C:$C,0)),0)))/'LTI_WACC Schedule'!$C7</f>
        <v/>
      </c>
      <c r="E10" s="130">
        <f>(((((((('LTI_P&amp;L Schedule'!I14)*(1-(IFERROR(LTI_Schedules!I106/LTI_Schedules!I105,0))))+((-'LTI_P&amp;L Schedule'!I13))+((-LTI_Schedules!I52))+((LTI_Schedules!I44*(1)))))*(1/(1+$B10)^1)+(((('LTI_P&amp;L Schedule'!J14)*(1-(IFERROR(LTI_Schedules!J106/LTI_Schedules!J105,0))))+((-'LTI_P&amp;L Schedule'!J13))+((-LTI_Schedules!J52))+((LTI_Schedules!J44*(1)))))*(1/(1+$B10)^2)+(((('LTI_P&amp;L Schedule'!K14)*(1-(IFERROR(LTI_Schedules!K106/LTI_Schedules!K105,0))))+((-'LTI_P&amp;L Schedule'!K13))+((-LTI_Schedules!K52))+((LTI_Schedules!K44*(1)))))*(1/(1+$B10)^3)+(((('LTI_P&amp;L Schedule'!L14)*(1-(IFERROR(LTI_Schedules!L106/LTI_Schedules!L105,0))))+((-'LTI_P&amp;L Schedule'!L13))+((-LTI_Schedules!L52))+((LTI_Schedules!L44*(1)))))*(1/(1+$B10)^4)+(((('LTI_P&amp;L Schedule'!M14)*(1-(IFERROR(LTI_Schedules!M106/LTI_Schedules!M105,0))))+((-'LTI_P&amp;L Schedule'!M13))+((-LTI_Schedules!M52))+((LTI_Schedules!M44*(1)))))*(1/(1+$B10)^5)+(((('LTI_P&amp;L Schedule'!N14)*(1-(IFERROR(LTI_Schedules!N106/LTI_Schedules!N105,0))))+((-'LTI_P&amp;L Schedule'!N13))+((-LTI_Schedules!N52))+((LTI_Schedules!N44*(1)))))*(1/(1+$B10)^6)+(((('LTI_P&amp;L Schedule'!O14)*(1-(IFERROR(LTI_Schedules!O106/LTI_Schedules!O105,0))))+((-'LTI_P&amp;L Schedule'!O13))+((-LTI_Schedules!O52))+((LTI_Schedules!O44*(1)))))*(1/(1+$B10)^7)+(((('LTI_P&amp;L Schedule'!P14)*(1-(IFERROR(LTI_Schedules!P106/LTI_Schedules!P105,0))))+((-'LTI_P&amp;L Schedule'!P13))+((-LTI_Schedules!P52))+((LTI_Schedules!P44*(1)))))*(1/(1+$B10)^8)+(((('LTI_P&amp;L Schedule'!Q14)*(1-(IFERROR(LTI_Schedules!Q106/LTI_Schedules!Q105,0))))+((-'LTI_P&amp;L Schedule'!Q13))+((-LTI_Schedules!Q52))+((LTI_Schedules!Q44*(1)))))*(1/(1+$B10)^9)+(((('LTI_P&amp;L Schedule'!R14)*(1-(IFERROR(LTI_Schedules!R106/LTI_Schedules!R105,0))))+((-'LTI_P&amp;L Schedule'!R13))+((-LTI_Schedules!R52))+((LTI_Schedules!R44*(1)))))*(1/(1+$B10)^10))+((((('LTI_P&amp;L Schedule'!R14)*(1+(E$7))*(1-('LTI_Inputs &amp; Assumptions'!$C$71)))*(1-(((E$7)/($B10))))/(($B10)-(E$7))))*(1/(1+$B10)^10))))-(LTI_Schedules!$H$92)+(IFERROR(INDEX(LTI_HS_CONSOLIDATED!I:I,MATCH("CashAndCashEquivalents",LTI_HS_CONSOLIDATED!$C:$C,0)),0)))/'LTI_WACC Schedule'!$C7</f>
        <v/>
      </c>
      <c r="F10" s="130">
        <f>(((((((('LTI_P&amp;L Schedule'!I14)*(1-(IFERROR(LTI_Schedules!I106/LTI_Schedules!I105,0))))+((-'LTI_P&amp;L Schedule'!I13))+((-LTI_Schedules!I52))+((LTI_Schedules!I44*(1)))))*(1/(1+$B10)^1)+(((('LTI_P&amp;L Schedule'!J14)*(1-(IFERROR(LTI_Schedules!J106/LTI_Schedules!J105,0))))+((-'LTI_P&amp;L Schedule'!J13))+((-LTI_Schedules!J52))+((LTI_Schedules!J44*(1)))))*(1/(1+$B10)^2)+(((('LTI_P&amp;L Schedule'!K14)*(1-(IFERROR(LTI_Schedules!K106/LTI_Schedules!K105,0))))+((-'LTI_P&amp;L Schedule'!K13))+((-LTI_Schedules!K52))+((LTI_Schedules!K44*(1)))))*(1/(1+$B10)^3)+(((('LTI_P&amp;L Schedule'!L14)*(1-(IFERROR(LTI_Schedules!L106/LTI_Schedules!L105,0))))+((-'LTI_P&amp;L Schedule'!L13))+((-LTI_Schedules!L52))+((LTI_Schedules!L44*(1)))))*(1/(1+$B10)^4)+(((('LTI_P&amp;L Schedule'!M14)*(1-(IFERROR(LTI_Schedules!M106/LTI_Schedules!M105,0))))+((-'LTI_P&amp;L Schedule'!M13))+((-LTI_Schedules!M52))+((LTI_Schedules!M44*(1)))))*(1/(1+$B10)^5)+(((('LTI_P&amp;L Schedule'!N14)*(1-(IFERROR(LTI_Schedules!N106/LTI_Schedules!N105,0))))+((-'LTI_P&amp;L Schedule'!N13))+((-LTI_Schedules!N52))+((LTI_Schedules!N44*(1)))))*(1/(1+$B10)^6)+(((('LTI_P&amp;L Schedule'!O14)*(1-(IFERROR(LTI_Schedules!O106/LTI_Schedules!O105,0))))+((-'LTI_P&amp;L Schedule'!O13))+((-LTI_Schedules!O52))+((LTI_Schedules!O44*(1)))))*(1/(1+$B10)^7)+(((('LTI_P&amp;L Schedule'!P14)*(1-(IFERROR(LTI_Schedules!P106/LTI_Schedules!P105,0))))+((-'LTI_P&amp;L Schedule'!P13))+((-LTI_Schedules!P52))+((LTI_Schedules!P44*(1)))))*(1/(1+$B10)^8)+(((('LTI_P&amp;L Schedule'!Q14)*(1-(IFERROR(LTI_Schedules!Q106/LTI_Schedules!Q105,0))))+((-'LTI_P&amp;L Schedule'!Q13))+((-LTI_Schedules!Q52))+((LTI_Schedules!Q44*(1)))))*(1/(1+$B10)^9)+(((('LTI_P&amp;L Schedule'!R14)*(1-(IFERROR(LTI_Schedules!R106/LTI_Schedules!R105,0))))+((-'LTI_P&amp;L Schedule'!R13))+((-LTI_Schedules!R52))+((LTI_Schedules!R44*(1)))))*(1/(1+$B10)^10))+((((('LTI_P&amp;L Schedule'!R14)*(1+(F$7))*(1-('LTI_Inputs &amp; Assumptions'!$C$71)))*(1-(((F$7)/($B10))))/(($B10)-(F$7))))*(1/(1+$B10)^10))))-(LTI_Schedules!$H$92)+(IFERROR(INDEX(LTI_HS_CONSOLIDATED!I:I,MATCH("CashAndCashEquivalents",LTI_HS_CONSOLIDATED!$C:$C,0)),0)))/'LTI_WACC Schedule'!$C7</f>
        <v/>
      </c>
      <c r="G10" s="130">
        <f>(((((((('LTI_P&amp;L Schedule'!I14)*(1-(IFERROR(LTI_Schedules!I106/LTI_Schedules!I105,0))))+((-'LTI_P&amp;L Schedule'!I13))+((-LTI_Schedules!I52))+((LTI_Schedules!I44*(1)))))*(1/(1+$B10)^1)+(((('LTI_P&amp;L Schedule'!J14)*(1-(IFERROR(LTI_Schedules!J106/LTI_Schedules!J105,0))))+((-'LTI_P&amp;L Schedule'!J13))+((-LTI_Schedules!J52))+((LTI_Schedules!J44*(1)))))*(1/(1+$B10)^2)+(((('LTI_P&amp;L Schedule'!K14)*(1-(IFERROR(LTI_Schedules!K106/LTI_Schedules!K105,0))))+((-'LTI_P&amp;L Schedule'!K13))+((-LTI_Schedules!K52))+((LTI_Schedules!K44*(1)))))*(1/(1+$B10)^3)+(((('LTI_P&amp;L Schedule'!L14)*(1-(IFERROR(LTI_Schedules!L106/LTI_Schedules!L105,0))))+((-'LTI_P&amp;L Schedule'!L13))+((-LTI_Schedules!L52))+((LTI_Schedules!L44*(1)))))*(1/(1+$B10)^4)+(((('LTI_P&amp;L Schedule'!M14)*(1-(IFERROR(LTI_Schedules!M106/LTI_Schedules!M105,0))))+((-'LTI_P&amp;L Schedule'!M13))+((-LTI_Schedules!M52))+((LTI_Schedules!M44*(1)))))*(1/(1+$B10)^5)+(((('LTI_P&amp;L Schedule'!N14)*(1-(IFERROR(LTI_Schedules!N106/LTI_Schedules!N105,0))))+((-'LTI_P&amp;L Schedule'!N13))+((-LTI_Schedules!N52))+((LTI_Schedules!N44*(1)))))*(1/(1+$B10)^6)+(((('LTI_P&amp;L Schedule'!O14)*(1-(IFERROR(LTI_Schedules!O106/LTI_Schedules!O105,0))))+((-'LTI_P&amp;L Schedule'!O13))+((-LTI_Schedules!O52))+((LTI_Schedules!O44*(1)))))*(1/(1+$B10)^7)+(((('LTI_P&amp;L Schedule'!P14)*(1-(IFERROR(LTI_Schedules!P106/LTI_Schedules!P105,0))))+((-'LTI_P&amp;L Schedule'!P13))+((-LTI_Schedules!P52))+((LTI_Schedules!P44*(1)))))*(1/(1+$B10)^8)+(((('LTI_P&amp;L Schedule'!Q14)*(1-(IFERROR(LTI_Schedules!Q106/LTI_Schedules!Q105,0))))+((-'LTI_P&amp;L Schedule'!Q13))+((-LTI_Schedules!Q52))+((LTI_Schedules!Q44*(1)))))*(1/(1+$B10)^9)+(((('LTI_P&amp;L Schedule'!R14)*(1-(IFERROR(LTI_Schedules!R106/LTI_Schedules!R105,0))))+((-'LTI_P&amp;L Schedule'!R13))+((-LTI_Schedules!R52))+((LTI_Schedules!R44*(1)))))*(1/(1+$B10)^10))+((((('LTI_P&amp;L Schedule'!R14)*(1+(G$7))*(1-('LTI_Inputs &amp; Assumptions'!$C$71)))*(1-(((G$7)/($B10))))/(($B10)-(G$7))))*(1/(1+$B10)^10))))-(LTI_Schedules!$H$92)+(IFERROR(INDEX(LTI_HS_CONSOLIDATED!I:I,MATCH("CashAndCashEquivalents",LTI_HS_CONSOLIDATED!$C:$C,0)),0)))/'LTI_WACC Schedule'!$C7</f>
        <v/>
      </c>
    </row>
    <row r="11">
      <c r="B11" s="111">
        <f>'LTI_WACC Schedule'!$C39+(0.01)</f>
        <v/>
      </c>
      <c r="C11" s="130">
        <f>(((((((('LTI_P&amp;L Schedule'!I14)*(1-(IFERROR(LTI_Schedules!I106/LTI_Schedules!I105,0))))+((-'LTI_P&amp;L Schedule'!I13))+((-LTI_Schedules!I52))+((LTI_Schedules!I44*(1)))))*(1/(1+$B11)^1)+(((('LTI_P&amp;L Schedule'!J14)*(1-(IFERROR(LTI_Schedules!J106/LTI_Schedules!J105,0))))+((-'LTI_P&amp;L Schedule'!J13))+((-LTI_Schedules!J52))+((LTI_Schedules!J44*(1)))))*(1/(1+$B11)^2)+(((('LTI_P&amp;L Schedule'!K14)*(1-(IFERROR(LTI_Schedules!K106/LTI_Schedules!K105,0))))+((-'LTI_P&amp;L Schedule'!K13))+((-LTI_Schedules!K52))+((LTI_Schedules!K44*(1)))))*(1/(1+$B11)^3)+(((('LTI_P&amp;L Schedule'!L14)*(1-(IFERROR(LTI_Schedules!L106/LTI_Schedules!L105,0))))+((-'LTI_P&amp;L Schedule'!L13))+((-LTI_Schedules!L52))+((LTI_Schedules!L44*(1)))))*(1/(1+$B11)^4)+(((('LTI_P&amp;L Schedule'!M14)*(1-(IFERROR(LTI_Schedules!M106/LTI_Schedules!M105,0))))+((-'LTI_P&amp;L Schedule'!M13))+((-LTI_Schedules!M52))+((LTI_Schedules!M44*(1)))))*(1/(1+$B11)^5)+(((('LTI_P&amp;L Schedule'!N14)*(1-(IFERROR(LTI_Schedules!N106/LTI_Schedules!N105,0))))+((-'LTI_P&amp;L Schedule'!N13))+((-LTI_Schedules!N52))+((LTI_Schedules!N44*(1)))))*(1/(1+$B11)^6)+(((('LTI_P&amp;L Schedule'!O14)*(1-(IFERROR(LTI_Schedules!O106/LTI_Schedules!O105,0))))+((-'LTI_P&amp;L Schedule'!O13))+((-LTI_Schedules!O52))+((LTI_Schedules!O44*(1)))))*(1/(1+$B11)^7)+(((('LTI_P&amp;L Schedule'!P14)*(1-(IFERROR(LTI_Schedules!P106/LTI_Schedules!P105,0))))+((-'LTI_P&amp;L Schedule'!P13))+((-LTI_Schedules!P52))+((LTI_Schedules!P44*(1)))))*(1/(1+$B11)^8)+(((('LTI_P&amp;L Schedule'!Q14)*(1-(IFERROR(LTI_Schedules!Q106/LTI_Schedules!Q105,0))))+((-'LTI_P&amp;L Schedule'!Q13))+((-LTI_Schedules!Q52))+((LTI_Schedules!Q44*(1)))))*(1/(1+$B11)^9)+(((('LTI_P&amp;L Schedule'!R14)*(1-(IFERROR(LTI_Schedules!R106/LTI_Schedules!R105,0))))+((-'LTI_P&amp;L Schedule'!R13))+((-LTI_Schedules!R52))+((LTI_Schedules!R44*(1)))))*(1/(1+$B11)^10))+((((('LTI_P&amp;L Schedule'!R14)*(1+(C$7))*(1-('LTI_Inputs &amp; Assumptions'!$C$71)))*(1-(((C$7)/($B11))))/(($B11)-(C$7))))*(1/(1+$B11)^10))))-(LTI_Schedules!$H$92)+(IFERROR(INDEX(LTI_HS_CONSOLIDATED!I:I,MATCH("CashAndCashEquivalents",LTI_HS_CONSOLIDATED!$C:$C,0)),0)))/'LTI_WACC Schedule'!$C7</f>
        <v/>
      </c>
      <c r="D11" s="130">
        <f>(((((((('LTI_P&amp;L Schedule'!I14)*(1-(IFERROR(LTI_Schedules!I106/LTI_Schedules!I105,0))))+((-'LTI_P&amp;L Schedule'!I13))+((-LTI_Schedules!I52))+((LTI_Schedules!I44*(1)))))*(1/(1+$B11)^1)+(((('LTI_P&amp;L Schedule'!J14)*(1-(IFERROR(LTI_Schedules!J106/LTI_Schedules!J105,0))))+((-'LTI_P&amp;L Schedule'!J13))+((-LTI_Schedules!J52))+((LTI_Schedules!J44*(1)))))*(1/(1+$B11)^2)+(((('LTI_P&amp;L Schedule'!K14)*(1-(IFERROR(LTI_Schedules!K106/LTI_Schedules!K105,0))))+((-'LTI_P&amp;L Schedule'!K13))+((-LTI_Schedules!K52))+((LTI_Schedules!K44*(1)))))*(1/(1+$B11)^3)+(((('LTI_P&amp;L Schedule'!L14)*(1-(IFERROR(LTI_Schedules!L106/LTI_Schedules!L105,0))))+((-'LTI_P&amp;L Schedule'!L13))+((-LTI_Schedules!L52))+((LTI_Schedules!L44*(1)))))*(1/(1+$B11)^4)+(((('LTI_P&amp;L Schedule'!M14)*(1-(IFERROR(LTI_Schedules!M106/LTI_Schedules!M105,0))))+((-'LTI_P&amp;L Schedule'!M13))+((-LTI_Schedules!M52))+((LTI_Schedules!M44*(1)))))*(1/(1+$B11)^5)+(((('LTI_P&amp;L Schedule'!N14)*(1-(IFERROR(LTI_Schedules!N106/LTI_Schedules!N105,0))))+((-'LTI_P&amp;L Schedule'!N13))+((-LTI_Schedules!N52))+((LTI_Schedules!N44*(1)))))*(1/(1+$B11)^6)+(((('LTI_P&amp;L Schedule'!O14)*(1-(IFERROR(LTI_Schedules!O106/LTI_Schedules!O105,0))))+((-'LTI_P&amp;L Schedule'!O13))+((-LTI_Schedules!O52))+((LTI_Schedules!O44*(1)))))*(1/(1+$B11)^7)+(((('LTI_P&amp;L Schedule'!P14)*(1-(IFERROR(LTI_Schedules!P106/LTI_Schedules!P105,0))))+((-'LTI_P&amp;L Schedule'!P13))+((-LTI_Schedules!P52))+((LTI_Schedules!P44*(1)))))*(1/(1+$B11)^8)+(((('LTI_P&amp;L Schedule'!Q14)*(1-(IFERROR(LTI_Schedules!Q106/LTI_Schedules!Q105,0))))+((-'LTI_P&amp;L Schedule'!Q13))+((-LTI_Schedules!Q52))+((LTI_Schedules!Q44*(1)))))*(1/(1+$B11)^9)+(((('LTI_P&amp;L Schedule'!R14)*(1-(IFERROR(LTI_Schedules!R106/LTI_Schedules!R105,0))))+((-'LTI_P&amp;L Schedule'!R13))+((-LTI_Schedules!R52))+((LTI_Schedules!R44*(1)))))*(1/(1+$B11)^10))+((((('LTI_P&amp;L Schedule'!R14)*(1+(D$7))*(1-('LTI_Inputs &amp; Assumptions'!$C$71)))*(1-(((D$7)/($B11))))/(($B11)-(D$7))))*(1/(1+$B11)^10))))-(LTI_Schedules!$H$92)+(IFERROR(INDEX(LTI_HS_CONSOLIDATED!I:I,MATCH("CashAndCashEquivalents",LTI_HS_CONSOLIDATED!$C:$C,0)),0)))/'LTI_WACC Schedule'!$C7</f>
        <v/>
      </c>
      <c r="E11" s="130">
        <f>(((((((('LTI_P&amp;L Schedule'!I14)*(1-(IFERROR(LTI_Schedules!I106/LTI_Schedules!I105,0))))+((-'LTI_P&amp;L Schedule'!I13))+((-LTI_Schedules!I52))+((LTI_Schedules!I44*(1)))))*(1/(1+$B11)^1)+(((('LTI_P&amp;L Schedule'!J14)*(1-(IFERROR(LTI_Schedules!J106/LTI_Schedules!J105,0))))+((-'LTI_P&amp;L Schedule'!J13))+((-LTI_Schedules!J52))+((LTI_Schedules!J44*(1)))))*(1/(1+$B11)^2)+(((('LTI_P&amp;L Schedule'!K14)*(1-(IFERROR(LTI_Schedules!K106/LTI_Schedules!K105,0))))+((-'LTI_P&amp;L Schedule'!K13))+((-LTI_Schedules!K52))+((LTI_Schedules!K44*(1)))))*(1/(1+$B11)^3)+(((('LTI_P&amp;L Schedule'!L14)*(1-(IFERROR(LTI_Schedules!L106/LTI_Schedules!L105,0))))+((-'LTI_P&amp;L Schedule'!L13))+((-LTI_Schedules!L52))+((LTI_Schedules!L44*(1)))))*(1/(1+$B11)^4)+(((('LTI_P&amp;L Schedule'!M14)*(1-(IFERROR(LTI_Schedules!M106/LTI_Schedules!M105,0))))+((-'LTI_P&amp;L Schedule'!M13))+((-LTI_Schedules!M52))+((LTI_Schedules!M44*(1)))))*(1/(1+$B11)^5)+(((('LTI_P&amp;L Schedule'!N14)*(1-(IFERROR(LTI_Schedules!N106/LTI_Schedules!N105,0))))+((-'LTI_P&amp;L Schedule'!N13))+((-LTI_Schedules!N52))+((LTI_Schedules!N44*(1)))))*(1/(1+$B11)^6)+(((('LTI_P&amp;L Schedule'!O14)*(1-(IFERROR(LTI_Schedules!O106/LTI_Schedules!O105,0))))+((-'LTI_P&amp;L Schedule'!O13))+((-LTI_Schedules!O52))+((LTI_Schedules!O44*(1)))))*(1/(1+$B11)^7)+(((('LTI_P&amp;L Schedule'!P14)*(1-(IFERROR(LTI_Schedules!P106/LTI_Schedules!P105,0))))+((-'LTI_P&amp;L Schedule'!P13))+((-LTI_Schedules!P52))+((LTI_Schedules!P44*(1)))))*(1/(1+$B11)^8)+(((('LTI_P&amp;L Schedule'!Q14)*(1-(IFERROR(LTI_Schedules!Q106/LTI_Schedules!Q105,0))))+((-'LTI_P&amp;L Schedule'!Q13))+((-LTI_Schedules!Q52))+((LTI_Schedules!Q44*(1)))))*(1/(1+$B11)^9)+(((('LTI_P&amp;L Schedule'!R14)*(1-(IFERROR(LTI_Schedules!R106/LTI_Schedules!R105,0))))+((-'LTI_P&amp;L Schedule'!R13))+((-LTI_Schedules!R52))+((LTI_Schedules!R44*(1)))))*(1/(1+$B11)^10))+((((('LTI_P&amp;L Schedule'!R14)*(1+(E$7))*(1-('LTI_Inputs &amp; Assumptions'!$C$71)))*(1-(((E$7)/($B11))))/(($B11)-(E$7))))*(1/(1+$B11)^10))))-(LTI_Schedules!$H$92)+(IFERROR(INDEX(LTI_HS_CONSOLIDATED!I:I,MATCH("CashAndCashEquivalents",LTI_HS_CONSOLIDATED!$C:$C,0)),0)))/'LTI_WACC Schedule'!$C7</f>
        <v/>
      </c>
      <c r="F11" s="130">
        <f>(((((((('LTI_P&amp;L Schedule'!I14)*(1-(IFERROR(LTI_Schedules!I106/LTI_Schedules!I105,0))))+((-'LTI_P&amp;L Schedule'!I13))+((-LTI_Schedules!I52))+((LTI_Schedules!I44*(1)))))*(1/(1+$B11)^1)+(((('LTI_P&amp;L Schedule'!J14)*(1-(IFERROR(LTI_Schedules!J106/LTI_Schedules!J105,0))))+((-'LTI_P&amp;L Schedule'!J13))+((-LTI_Schedules!J52))+((LTI_Schedules!J44*(1)))))*(1/(1+$B11)^2)+(((('LTI_P&amp;L Schedule'!K14)*(1-(IFERROR(LTI_Schedules!K106/LTI_Schedules!K105,0))))+((-'LTI_P&amp;L Schedule'!K13))+((-LTI_Schedules!K52))+((LTI_Schedules!K44*(1)))))*(1/(1+$B11)^3)+(((('LTI_P&amp;L Schedule'!L14)*(1-(IFERROR(LTI_Schedules!L106/LTI_Schedules!L105,0))))+((-'LTI_P&amp;L Schedule'!L13))+((-LTI_Schedules!L52))+((LTI_Schedules!L44*(1)))))*(1/(1+$B11)^4)+(((('LTI_P&amp;L Schedule'!M14)*(1-(IFERROR(LTI_Schedules!M106/LTI_Schedules!M105,0))))+((-'LTI_P&amp;L Schedule'!M13))+((-LTI_Schedules!M52))+((LTI_Schedules!M44*(1)))))*(1/(1+$B11)^5)+(((('LTI_P&amp;L Schedule'!N14)*(1-(IFERROR(LTI_Schedules!N106/LTI_Schedules!N105,0))))+((-'LTI_P&amp;L Schedule'!N13))+((-LTI_Schedules!N52))+((LTI_Schedules!N44*(1)))))*(1/(1+$B11)^6)+(((('LTI_P&amp;L Schedule'!O14)*(1-(IFERROR(LTI_Schedules!O106/LTI_Schedules!O105,0))))+((-'LTI_P&amp;L Schedule'!O13))+((-LTI_Schedules!O52))+((LTI_Schedules!O44*(1)))))*(1/(1+$B11)^7)+(((('LTI_P&amp;L Schedule'!P14)*(1-(IFERROR(LTI_Schedules!P106/LTI_Schedules!P105,0))))+((-'LTI_P&amp;L Schedule'!P13))+((-LTI_Schedules!P52))+((LTI_Schedules!P44*(1)))))*(1/(1+$B11)^8)+(((('LTI_P&amp;L Schedule'!Q14)*(1-(IFERROR(LTI_Schedules!Q106/LTI_Schedules!Q105,0))))+((-'LTI_P&amp;L Schedule'!Q13))+((-LTI_Schedules!Q52))+((LTI_Schedules!Q44*(1)))))*(1/(1+$B11)^9)+(((('LTI_P&amp;L Schedule'!R14)*(1-(IFERROR(LTI_Schedules!R106/LTI_Schedules!R105,0))))+((-'LTI_P&amp;L Schedule'!R13))+((-LTI_Schedules!R52))+((LTI_Schedules!R44*(1)))))*(1/(1+$B11)^10))+((((('LTI_P&amp;L Schedule'!R14)*(1+(F$7))*(1-('LTI_Inputs &amp; Assumptions'!$C$71)))*(1-(((F$7)/($B11))))/(($B11)-(F$7))))*(1/(1+$B11)^10))))-(LTI_Schedules!$H$92)+(IFERROR(INDEX(LTI_HS_CONSOLIDATED!I:I,MATCH("CashAndCashEquivalents",LTI_HS_CONSOLIDATED!$C:$C,0)),0)))/'LTI_WACC Schedule'!$C7</f>
        <v/>
      </c>
      <c r="G11" s="130">
        <f>(((((((('LTI_P&amp;L Schedule'!I14)*(1-(IFERROR(LTI_Schedules!I106/LTI_Schedules!I105,0))))+((-'LTI_P&amp;L Schedule'!I13))+((-LTI_Schedules!I52))+((LTI_Schedules!I44*(1)))))*(1/(1+$B11)^1)+(((('LTI_P&amp;L Schedule'!J14)*(1-(IFERROR(LTI_Schedules!J106/LTI_Schedules!J105,0))))+((-'LTI_P&amp;L Schedule'!J13))+((-LTI_Schedules!J52))+((LTI_Schedules!J44*(1)))))*(1/(1+$B11)^2)+(((('LTI_P&amp;L Schedule'!K14)*(1-(IFERROR(LTI_Schedules!K106/LTI_Schedules!K105,0))))+((-'LTI_P&amp;L Schedule'!K13))+((-LTI_Schedules!K52))+((LTI_Schedules!K44*(1)))))*(1/(1+$B11)^3)+(((('LTI_P&amp;L Schedule'!L14)*(1-(IFERROR(LTI_Schedules!L106/LTI_Schedules!L105,0))))+((-'LTI_P&amp;L Schedule'!L13))+((-LTI_Schedules!L52))+((LTI_Schedules!L44*(1)))))*(1/(1+$B11)^4)+(((('LTI_P&amp;L Schedule'!M14)*(1-(IFERROR(LTI_Schedules!M106/LTI_Schedules!M105,0))))+((-'LTI_P&amp;L Schedule'!M13))+((-LTI_Schedules!M52))+((LTI_Schedules!M44*(1)))))*(1/(1+$B11)^5)+(((('LTI_P&amp;L Schedule'!N14)*(1-(IFERROR(LTI_Schedules!N106/LTI_Schedules!N105,0))))+((-'LTI_P&amp;L Schedule'!N13))+((-LTI_Schedules!N52))+((LTI_Schedules!N44*(1)))))*(1/(1+$B11)^6)+(((('LTI_P&amp;L Schedule'!O14)*(1-(IFERROR(LTI_Schedules!O106/LTI_Schedules!O105,0))))+((-'LTI_P&amp;L Schedule'!O13))+((-LTI_Schedules!O52))+((LTI_Schedules!O44*(1)))))*(1/(1+$B11)^7)+(((('LTI_P&amp;L Schedule'!P14)*(1-(IFERROR(LTI_Schedules!P106/LTI_Schedules!P105,0))))+((-'LTI_P&amp;L Schedule'!P13))+((-LTI_Schedules!P52))+((LTI_Schedules!P44*(1)))))*(1/(1+$B11)^8)+(((('LTI_P&amp;L Schedule'!Q14)*(1-(IFERROR(LTI_Schedules!Q106/LTI_Schedules!Q105,0))))+((-'LTI_P&amp;L Schedule'!Q13))+((-LTI_Schedules!Q52))+((LTI_Schedules!Q44*(1)))))*(1/(1+$B11)^9)+(((('LTI_P&amp;L Schedule'!R14)*(1-(IFERROR(LTI_Schedules!R106/LTI_Schedules!R105,0))))+((-'LTI_P&amp;L Schedule'!R13))+((-LTI_Schedules!R52))+((LTI_Schedules!R44*(1)))))*(1/(1+$B11)^10))+((((('LTI_P&amp;L Schedule'!R14)*(1+(G$7))*(1-('LTI_Inputs &amp; Assumptions'!$C$71)))*(1-(((G$7)/($B11))))/(($B11)-(G$7))))*(1/(1+$B11)^10))))-(LTI_Schedules!$H$92)+(IFERROR(INDEX(LTI_HS_CONSOLIDATED!I:I,MATCH("CashAndCashEquivalents",LTI_HS_CONSOLIDATED!$C:$C,0)),0)))/'LTI_WACC Schedule'!$C7</f>
        <v/>
      </c>
    </row>
    <row r="12">
      <c r="B12" s="111">
        <f>'LTI_WACC Schedule'!$C39+(0.02)</f>
        <v/>
      </c>
      <c r="C12" s="130">
        <f>(((((((('LTI_P&amp;L Schedule'!I14)*(1-(IFERROR(LTI_Schedules!I106/LTI_Schedules!I105,0))))+((-'LTI_P&amp;L Schedule'!I13))+((-LTI_Schedules!I52))+((LTI_Schedules!I44*(1)))))*(1/(1+$B12)^1)+(((('LTI_P&amp;L Schedule'!J14)*(1-(IFERROR(LTI_Schedules!J106/LTI_Schedules!J105,0))))+((-'LTI_P&amp;L Schedule'!J13))+((-LTI_Schedules!J52))+((LTI_Schedules!J44*(1)))))*(1/(1+$B12)^2)+(((('LTI_P&amp;L Schedule'!K14)*(1-(IFERROR(LTI_Schedules!K106/LTI_Schedules!K105,0))))+((-'LTI_P&amp;L Schedule'!K13))+((-LTI_Schedules!K52))+((LTI_Schedules!K44*(1)))))*(1/(1+$B12)^3)+(((('LTI_P&amp;L Schedule'!L14)*(1-(IFERROR(LTI_Schedules!L106/LTI_Schedules!L105,0))))+((-'LTI_P&amp;L Schedule'!L13))+((-LTI_Schedules!L52))+((LTI_Schedules!L44*(1)))))*(1/(1+$B12)^4)+(((('LTI_P&amp;L Schedule'!M14)*(1-(IFERROR(LTI_Schedules!M106/LTI_Schedules!M105,0))))+((-'LTI_P&amp;L Schedule'!M13))+((-LTI_Schedules!M52))+((LTI_Schedules!M44*(1)))))*(1/(1+$B12)^5)+(((('LTI_P&amp;L Schedule'!N14)*(1-(IFERROR(LTI_Schedules!N106/LTI_Schedules!N105,0))))+((-'LTI_P&amp;L Schedule'!N13))+((-LTI_Schedules!N52))+((LTI_Schedules!N44*(1)))))*(1/(1+$B12)^6)+(((('LTI_P&amp;L Schedule'!O14)*(1-(IFERROR(LTI_Schedules!O106/LTI_Schedules!O105,0))))+((-'LTI_P&amp;L Schedule'!O13))+((-LTI_Schedules!O52))+((LTI_Schedules!O44*(1)))))*(1/(1+$B12)^7)+(((('LTI_P&amp;L Schedule'!P14)*(1-(IFERROR(LTI_Schedules!P106/LTI_Schedules!P105,0))))+((-'LTI_P&amp;L Schedule'!P13))+((-LTI_Schedules!P52))+((LTI_Schedules!P44*(1)))))*(1/(1+$B12)^8)+(((('LTI_P&amp;L Schedule'!Q14)*(1-(IFERROR(LTI_Schedules!Q106/LTI_Schedules!Q105,0))))+((-'LTI_P&amp;L Schedule'!Q13))+((-LTI_Schedules!Q52))+((LTI_Schedules!Q44*(1)))))*(1/(1+$B12)^9)+(((('LTI_P&amp;L Schedule'!R14)*(1-(IFERROR(LTI_Schedules!R106/LTI_Schedules!R105,0))))+((-'LTI_P&amp;L Schedule'!R13))+((-LTI_Schedules!R52))+((LTI_Schedules!R44*(1)))))*(1/(1+$B12)^10))+((((('LTI_P&amp;L Schedule'!R14)*(1+(C$7))*(1-('LTI_Inputs &amp; Assumptions'!$C$71)))*(1-(((C$7)/($B12))))/(($B12)-(C$7))))*(1/(1+$B12)^10))))-(LTI_Schedules!$H$92)+(IFERROR(INDEX(LTI_HS_CONSOLIDATED!I:I,MATCH("CashAndCashEquivalents",LTI_HS_CONSOLIDATED!$C:$C,0)),0)))/'LTI_WACC Schedule'!$C7</f>
        <v/>
      </c>
      <c r="D12" s="130">
        <f>(((((((('LTI_P&amp;L Schedule'!I14)*(1-(IFERROR(LTI_Schedules!I106/LTI_Schedules!I105,0))))+((-'LTI_P&amp;L Schedule'!I13))+((-LTI_Schedules!I52))+((LTI_Schedules!I44*(1)))))*(1/(1+$B12)^1)+(((('LTI_P&amp;L Schedule'!J14)*(1-(IFERROR(LTI_Schedules!J106/LTI_Schedules!J105,0))))+((-'LTI_P&amp;L Schedule'!J13))+((-LTI_Schedules!J52))+((LTI_Schedules!J44*(1)))))*(1/(1+$B12)^2)+(((('LTI_P&amp;L Schedule'!K14)*(1-(IFERROR(LTI_Schedules!K106/LTI_Schedules!K105,0))))+((-'LTI_P&amp;L Schedule'!K13))+((-LTI_Schedules!K52))+((LTI_Schedules!K44*(1)))))*(1/(1+$B12)^3)+(((('LTI_P&amp;L Schedule'!L14)*(1-(IFERROR(LTI_Schedules!L106/LTI_Schedules!L105,0))))+((-'LTI_P&amp;L Schedule'!L13))+((-LTI_Schedules!L52))+((LTI_Schedules!L44*(1)))))*(1/(1+$B12)^4)+(((('LTI_P&amp;L Schedule'!M14)*(1-(IFERROR(LTI_Schedules!M106/LTI_Schedules!M105,0))))+((-'LTI_P&amp;L Schedule'!M13))+((-LTI_Schedules!M52))+((LTI_Schedules!M44*(1)))))*(1/(1+$B12)^5)+(((('LTI_P&amp;L Schedule'!N14)*(1-(IFERROR(LTI_Schedules!N106/LTI_Schedules!N105,0))))+((-'LTI_P&amp;L Schedule'!N13))+((-LTI_Schedules!N52))+((LTI_Schedules!N44*(1)))))*(1/(1+$B12)^6)+(((('LTI_P&amp;L Schedule'!O14)*(1-(IFERROR(LTI_Schedules!O106/LTI_Schedules!O105,0))))+((-'LTI_P&amp;L Schedule'!O13))+((-LTI_Schedules!O52))+((LTI_Schedules!O44*(1)))))*(1/(1+$B12)^7)+(((('LTI_P&amp;L Schedule'!P14)*(1-(IFERROR(LTI_Schedules!P106/LTI_Schedules!P105,0))))+((-'LTI_P&amp;L Schedule'!P13))+((-LTI_Schedules!P52))+((LTI_Schedules!P44*(1)))))*(1/(1+$B12)^8)+(((('LTI_P&amp;L Schedule'!Q14)*(1-(IFERROR(LTI_Schedules!Q106/LTI_Schedules!Q105,0))))+((-'LTI_P&amp;L Schedule'!Q13))+((-LTI_Schedules!Q52))+((LTI_Schedules!Q44*(1)))))*(1/(1+$B12)^9)+(((('LTI_P&amp;L Schedule'!R14)*(1-(IFERROR(LTI_Schedules!R106/LTI_Schedules!R105,0))))+((-'LTI_P&amp;L Schedule'!R13))+((-LTI_Schedules!R52))+((LTI_Schedules!R44*(1)))))*(1/(1+$B12)^10))+((((('LTI_P&amp;L Schedule'!R14)*(1+(D$7))*(1-('LTI_Inputs &amp; Assumptions'!$C$71)))*(1-(((D$7)/($B12))))/(($B12)-(D$7))))*(1/(1+$B12)^10))))-(LTI_Schedules!$H$92)+(IFERROR(INDEX(LTI_HS_CONSOLIDATED!I:I,MATCH("CashAndCashEquivalents",LTI_HS_CONSOLIDATED!$C:$C,0)),0)))/'LTI_WACC Schedule'!$C7</f>
        <v/>
      </c>
      <c r="E12" s="130">
        <f>(((((((('LTI_P&amp;L Schedule'!I14)*(1-(IFERROR(LTI_Schedules!I106/LTI_Schedules!I105,0))))+((-'LTI_P&amp;L Schedule'!I13))+((-LTI_Schedules!I52))+((LTI_Schedules!I44*(1)))))*(1/(1+$B12)^1)+(((('LTI_P&amp;L Schedule'!J14)*(1-(IFERROR(LTI_Schedules!J106/LTI_Schedules!J105,0))))+((-'LTI_P&amp;L Schedule'!J13))+((-LTI_Schedules!J52))+((LTI_Schedules!J44*(1)))))*(1/(1+$B12)^2)+(((('LTI_P&amp;L Schedule'!K14)*(1-(IFERROR(LTI_Schedules!K106/LTI_Schedules!K105,0))))+((-'LTI_P&amp;L Schedule'!K13))+((-LTI_Schedules!K52))+((LTI_Schedules!K44*(1)))))*(1/(1+$B12)^3)+(((('LTI_P&amp;L Schedule'!L14)*(1-(IFERROR(LTI_Schedules!L106/LTI_Schedules!L105,0))))+((-'LTI_P&amp;L Schedule'!L13))+((-LTI_Schedules!L52))+((LTI_Schedules!L44*(1)))))*(1/(1+$B12)^4)+(((('LTI_P&amp;L Schedule'!M14)*(1-(IFERROR(LTI_Schedules!M106/LTI_Schedules!M105,0))))+((-'LTI_P&amp;L Schedule'!M13))+((-LTI_Schedules!M52))+((LTI_Schedules!M44*(1)))))*(1/(1+$B12)^5)+(((('LTI_P&amp;L Schedule'!N14)*(1-(IFERROR(LTI_Schedules!N106/LTI_Schedules!N105,0))))+((-'LTI_P&amp;L Schedule'!N13))+((-LTI_Schedules!N52))+((LTI_Schedules!N44*(1)))))*(1/(1+$B12)^6)+(((('LTI_P&amp;L Schedule'!O14)*(1-(IFERROR(LTI_Schedules!O106/LTI_Schedules!O105,0))))+((-'LTI_P&amp;L Schedule'!O13))+((-LTI_Schedules!O52))+((LTI_Schedules!O44*(1)))))*(1/(1+$B12)^7)+(((('LTI_P&amp;L Schedule'!P14)*(1-(IFERROR(LTI_Schedules!P106/LTI_Schedules!P105,0))))+((-'LTI_P&amp;L Schedule'!P13))+((-LTI_Schedules!P52))+((LTI_Schedules!P44*(1)))))*(1/(1+$B12)^8)+(((('LTI_P&amp;L Schedule'!Q14)*(1-(IFERROR(LTI_Schedules!Q106/LTI_Schedules!Q105,0))))+((-'LTI_P&amp;L Schedule'!Q13))+((-LTI_Schedules!Q52))+((LTI_Schedules!Q44*(1)))))*(1/(1+$B12)^9)+(((('LTI_P&amp;L Schedule'!R14)*(1-(IFERROR(LTI_Schedules!R106/LTI_Schedules!R105,0))))+((-'LTI_P&amp;L Schedule'!R13))+((-LTI_Schedules!R52))+((LTI_Schedules!R44*(1)))))*(1/(1+$B12)^10))+((((('LTI_P&amp;L Schedule'!R14)*(1+(E$7))*(1-('LTI_Inputs &amp; Assumptions'!$C$71)))*(1-(((E$7)/($B12))))/(($B12)-(E$7))))*(1/(1+$B12)^10))))-(LTI_Schedules!$H$92)+(IFERROR(INDEX(LTI_HS_CONSOLIDATED!I:I,MATCH("CashAndCashEquivalents",LTI_HS_CONSOLIDATED!$C:$C,0)),0)))/'LTI_WACC Schedule'!$C7</f>
        <v/>
      </c>
      <c r="F12" s="130">
        <f>(((((((('LTI_P&amp;L Schedule'!I14)*(1-(IFERROR(LTI_Schedules!I106/LTI_Schedules!I105,0))))+((-'LTI_P&amp;L Schedule'!I13))+((-LTI_Schedules!I52))+((LTI_Schedules!I44*(1)))))*(1/(1+$B12)^1)+(((('LTI_P&amp;L Schedule'!J14)*(1-(IFERROR(LTI_Schedules!J106/LTI_Schedules!J105,0))))+((-'LTI_P&amp;L Schedule'!J13))+((-LTI_Schedules!J52))+((LTI_Schedules!J44*(1)))))*(1/(1+$B12)^2)+(((('LTI_P&amp;L Schedule'!K14)*(1-(IFERROR(LTI_Schedules!K106/LTI_Schedules!K105,0))))+((-'LTI_P&amp;L Schedule'!K13))+((-LTI_Schedules!K52))+((LTI_Schedules!K44*(1)))))*(1/(1+$B12)^3)+(((('LTI_P&amp;L Schedule'!L14)*(1-(IFERROR(LTI_Schedules!L106/LTI_Schedules!L105,0))))+((-'LTI_P&amp;L Schedule'!L13))+((-LTI_Schedules!L52))+((LTI_Schedules!L44*(1)))))*(1/(1+$B12)^4)+(((('LTI_P&amp;L Schedule'!M14)*(1-(IFERROR(LTI_Schedules!M106/LTI_Schedules!M105,0))))+((-'LTI_P&amp;L Schedule'!M13))+((-LTI_Schedules!M52))+((LTI_Schedules!M44*(1)))))*(1/(1+$B12)^5)+(((('LTI_P&amp;L Schedule'!N14)*(1-(IFERROR(LTI_Schedules!N106/LTI_Schedules!N105,0))))+((-'LTI_P&amp;L Schedule'!N13))+((-LTI_Schedules!N52))+((LTI_Schedules!N44*(1)))))*(1/(1+$B12)^6)+(((('LTI_P&amp;L Schedule'!O14)*(1-(IFERROR(LTI_Schedules!O106/LTI_Schedules!O105,0))))+((-'LTI_P&amp;L Schedule'!O13))+((-LTI_Schedules!O52))+((LTI_Schedules!O44*(1)))))*(1/(1+$B12)^7)+(((('LTI_P&amp;L Schedule'!P14)*(1-(IFERROR(LTI_Schedules!P106/LTI_Schedules!P105,0))))+((-'LTI_P&amp;L Schedule'!P13))+((-LTI_Schedules!P52))+((LTI_Schedules!P44*(1)))))*(1/(1+$B12)^8)+(((('LTI_P&amp;L Schedule'!Q14)*(1-(IFERROR(LTI_Schedules!Q106/LTI_Schedules!Q105,0))))+((-'LTI_P&amp;L Schedule'!Q13))+((-LTI_Schedules!Q52))+((LTI_Schedules!Q44*(1)))))*(1/(1+$B12)^9)+(((('LTI_P&amp;L Schedule'!R14)*(1-(IFERROR(LTI_Schedules!R106/LTI_Schedules!R105,0))))+((-'LTI_P&amp;L Schedule'!R13))+((-LTI_Schedules!R52))+((LTI_Schedules!R44*(1)))))*(1/(1+$B12)^10))+((((('LTI_P&amp;L Schedule'!R14)*(1+(F$7))*(1-('LTI_Inputs &amp; Assumptions'!$C$71)))*(1-(((F$7)/($B12))))/(($B12)-(F$7))))*(1/(1+$B12)^10))))-(LTI_Schedules!$H$92)+(IFERROR(INDEX(LTI_HS_CONSOLIDATED!I:I,MATCH("CashAndCashEquivalents",LTI_HS_CONSOLIDATED!$C:$C,0)),0)))/'LTI_WACC Schedule'!$C7</f>
        <v/>
      </c>
      <c r="G12" s="130">
        <f>(((((((('LTI_P&amp;L Schedule'!I14)*(1-(IFERROR(LTI_Schedules!I106/LTI_Schedules!I105,0))))+((-'LTI_P&amp;L Schedule'!I13))+((-LTI_Schedules!I52))+((LTI_Schedules!I44*(1)))))*(1/(1+$B12)^1)+(((('LTI_P&amp;L Schedule'!J14)*(1-(IFERROR(LTI_Schedules!J106/LTI_Schedules!J105,0))))+((-'LTI_P&amp;L Schedule'!J13))+((-LTI_Schedules!J52))+((LTI_Schedules!J44*(1)))))*(1/(1+$B12)^2)+(((('LTI_P&amp;L Schedule'!K14)*(1-(IFERROR(LTI_Schedules!K106/LTI_Schedules!K105,0))))+((-'LTI_P&amp;L Schedule'!K13))+((-LTI_Schedules!K52))+((LTI_Schedules!K44*(1)))))*(1/(1+$B12)^3)+(((('LTI_P&amp;L Schedule'!L14)*(1-(IFERROR(LTI_Schedules!L106/LTI_Schedules!L105,0))))+((-'LTI_P&amp;L Schedule'!L13))+((-LTI_Schedules!L52))+((LTI_Schedules!L44*(1)))))*(1/(1+$B12)^4)+(((('LTI_P&amp;L Schedule'!M14)*(1-(IFERROR(LTI_Schedules!M106/LTI_Schedules!M105,0))))+((-'LTI_P&amp;L Schedule'!M13))+((-LTI_Schedules!M52))+((LTI_Schedules!M44*(1)))))*(1/(1+$B12)^5)+(((('LTI_P&amp;L Schedule'!N14)*(1-(IFERROR(LTI_Schedules!N106/LTI_Schedules!N105,0))))+((-'LTI_P&amp;L Schedule'!N13))+((-LTI_Schedules!N52))+((LTI_Schedules!N44*(1)))))*(1/(1+$B12)^6)+(((('LTI_P&amp;L Schedule'!O14)*(1-(IFERROR(LTI_Schedules!O106/LTI_Schedules!O105,0))))+((-'LTI_P&amp;L Schedule'!O13))+((-LTI_Schedules!O52))+((LTI_Schedules!O44*(1)))))*(1/(1+$B12)^7)+(((('LTI_P&amp;L Schedule'!P14)*(1-(IFERROR(LTI_Schedules!P106/LTI_Schedules!P105,0))))+((-'LTI_P&amp;L Schedule'!P13))+((-LTI_Schedules!P52))+((LTI_Schedules!P44*(1)))))*(1/(1+$B12)^8)+(((('LTI_P&amp;L Schedule'!Q14)*(1-(IFERROR(LTI_Schedules!Q106/LTI_Schedules!Q105,0))))+((-'LTI_P&amp;L Schedule'!Q13))+((-LTI_Schedules!Q52))+((LTI_Schedules!Q44*(1)))))*(1/(1+$B12)^9)+(((('LTI_P&amp;L Schedule'!R14)*(1-(IFERROR(LTI_Schedules!R106/LTI_Schedules!R105,0))))+((-'LTI_P&amp;L Schedule'!R13))+((-LTI_Schedules!R52))+((LTI_Schedules!R44*(1)))))*(1/(1+$B12)^10))+((((('LTI_P&amp;L Schedule'!R14)*(1+(G$7))*(1-('LTI_Inputs &amp; Assumptions'!$C$71)))*(1-(((G$7)/($B12))))/(($B12)-(G$7))))*(1/(1+$B12)^10))))-(LTI_Schedules!$H$92)+(IFERROR(INDEX(LTI_HS_CONSOLIDATED!I:I,MATCH("CashAndCashEquivalents",LTI_HS_CONSOLIDATED!$C:$C,0)),0)))/'LTI_WACC Schedule'!$C7</f>
        <v/>
      </c>
    </row>
    <row r="15" ht="17" customHeight="1" s="203">
      <c r="A15" t="inlineStr">
        <is>
          <t>#</t>
        </is>
      </c>
      <c r="B15" s="117" t="inlineStr">
        <is>
          <t>Table 2: Working Capital Efficiency Scale (rows) x WACC (cols) -&gt; Implied Value/Share</t>
        </is>
      </c>
    </row>
    <row r="17">
      <c r="B17" s="128" t="inlineStr">
        <is>
          <t>WACC -&gt;</t>
        </is>
      </c>
    </row>
    <row r="18">
      <c r="B18" s="128" t="inlineStr">
        <is>
          <t>Cash-from-WC scale (1.0 = base case)</t>
        </is>
      </c>
      <c r="C18" s="129">
        <f>'LTI_WACC Schedule'!$C39+(-0.02)</f>
        <v/>
      </c>
      <c r="D18" s="129">
        <f>'LTI_WACC Schedule'!$C39+(-0.01)</f>
        <v/>
      </c>
      <c r="E18" s="129">
        <f>'LTI_WACC Schedule'!$C39+(0)</f>
        <v/>
      </c>
      <c r="F18" s="129">
        <f>'LTI_WACC Schedule'!$C39+(0.01)</f>
        <v/>
      </c>
      <c r="G18" s="129">
        <f>'LTI_WACC Schedule'!$C39+(0.02)</f>
        <v/>
      </c>
    </row>
    <row r="19">
      <c r="B19" s="115" t="n">
        <v>0.7</v>
      </c>
      <c r="C19" s="130">
        <f>(((((((('LTI_P&amp;L Schedule'!I14)*(1-(IFERROR(LTI_Schedules!I106/LTI_Schedules!I105,0))))+((-'LTI_P&amp;L Schedule'!I13))+((-LTI_Schedules!I52))+((LTI_Schedules!I44*($B19)))))*(1/(1+C$18)^1)+(((('LTI_P&amp;L Schedule'!J14)*(1-(IFERROR(LTI_Schedules!J106/LTI_Schedules!J105,0))))+((-'LTI_P&amp;L Schedule'!J13))+((-LTI_Schedules!J52))+((LTI_Schedules!J44*($B19)))))*(1/(1+C$18)^2)+(((('LTI_P&amp;L Schedule'!K14)*(1-(IFERROR(LTI_Schedules!K106/LTI_Schedules!K105,0))))+((-'LTI_P&amp;L Schedule'!K13))+((-LTI_Schedules!K52))+((LTI_Schedules!K44*($B19)))))*(1/(1+C$18)^3)+(((('LTI_P&amp;L Schedule'!L14)*(1-(IFERROR(LTI_Schedules!L106/LTI_Schedules!L105,0))))+((-'LTI_P&amp;L Schedule'!L13))+((-LTI_Schedules!L52))+((LTI_Schedules!L44*($B19)))))*(1/(1+C$18)^4)+(((('LTI_P&amp;L Schedule'!M14)*(1-(IFERROR(LTI_Schedules!M106/LTI_Schedules!M105,0))))+((-'LTI_P&amp;L Schedule'!M13))+((-LTI_Schedules!M52))+((LTI_Schedules!M44*($B19)))))*(1/(1+C$18)^5)+(((('LTI_P&amp;L Schedule'!N14)*(1-(IFERROR(LTI_Schedules!N106/LTI_Schedules!N105,0))))+((-'LTI_P&amp;L Schedule'!N13))+((-LTI_Schedules!N52))+((LTI_Schedules!N44*($B19)))))*(1/(1+C$18)^6)+(((('LTI_P&amp;L Schedule'!O14)*(1-(IFERROR(LTI_Schedules!O106/LTI_Schedules!O105,0))))+((-'LTI_P&amp;L Schedule'!O13))+((-LTI_Schedules!O52))+((LTI_Schedules!O44*($B19)))))*(1/(1+C$18)^7)+(((('LTI_P&amp;L Schedule'!P14)*(1-(IFERROR(LTI_Schedules!P106/LTI_Schedules!P105,0))))+((-'LTI_P&amp;L Schedule'!P13))+((-LTI_Schedules!P52))+((LTI_Schedules!P44*($B19)))))*(1/(1+C$18)^8)+(((('LTI_P&amp;L Schedule'!Q14)*(1-(IFERROR(LTI_Schedules!Q106/LTI_Schedules!Q105,0))))+((-'LTI_P&amp;L Schedule'!Q13))+((-LTI_Schedules!Q52))+((LTI_Schedules!Q44*($B19)))))*(1/(1+C$18)^9)+(((('LTI_P&amp;L Schedule'!R14)*(1-(IFERROR(LTI_Schedules!R106/LTI_Schedules!R105,0))))+((-'LTI_P&amp;L Schedule'!R13))+((-LTI_Schedules!R52))+((LTI_Schedules!R44*($B19)))))*(1/(1+C$18)^10))+((((('LTI_P&amp;L Schedule'!R14)*(1+((IF('LTI_Inputs &amp; Assumptions'!$C$11="",'LTI_Inputs &amp; Assumptions'!$C$10,'LTI_Inputs &amp; Assumptions'!$C$11))))*(1-('LTI_Inputs &amp; Assumptions'!$C$71)))*(1-((((IF('LTI_Inputs &amp; Assumptions'!$C$11="",'LTI_Inputs &amp; Assumptions'!$C$10,'LTI_Inputs &amp; Assumptions'!$C$11)))/(C$18))))/((C$18)-((IF('LTI_Inputs &amp; Assumptions'!$C$11="",'LTI_Inputs &amp; Assumptions'!$C$10,'LTI_Inputs &amp; Assumptions'!$C$11))))))*(1/(1+C$18)^10))))-(LTI_Schedules!$H$92)+(IFERROR(INDEX(LTI_HS_CONSOLIDATED!I:I,MATCH("CashAndCashEquivalents",LTI_HS_CONSOLIDATED!$C:$C,0)),0)))/'LTI_WACC Schedule'!$C7</f>
        <v/>
      </c>
      <c r="D19" s="130">
        <f>(((((((('LTI_P&amp;L Schedule'!I14)*(1-(IFERROR(LTI_Schedules!I106/LTI_Schedules!I105,0))))+((-'LTI_P&amp;L Schedule'!I13))+((-LTI_Schedules!I52))+((LTI_Schedules!I44*($B19)))))*(1/(1+D$18)^1)+(((('LTI_P&amp;L Schedule'!J14)*(1-(IFERROR(LTI_Schedules!J106/LTI_Schedules!J105,0))))+((-'LTI_P&amp;L Schedule'!J13))+((-LTI_Schedules!J52))+((LTI_Schedules!J44*($B19)))))*(1/(1+D$18)^2)+(((('LTI_P&amp;L Schedule'!K14)*(1-(IFERROR(LTI_Schedules!K106/LTI_Schedules!K105,0))))+((-'LTI_P&amp;L Schedule'!K13))+((-LTI_Schedules!K52))+((LTI_Schedules!K44*($B19)))))*(1/(1+D$18)^3)+(((('LTI_P&amp;L Schedule'!L14)*(1-(IFERROR(LTI_Schedules!L106/LTI_Schedules!L105,0))))+((-'LTI_P&amp;L Schedule'!L13))+((-LTI_Schedules!L52))+((LTI_Schedules!L44*($B19)))))*(1/(1+D$18)^4)+(((('LTI_P&amp;L Schedule'!M14)*(1-(IFERROR(LTI_Schedules!M106/LTI_Schedules!M105,0))))+((-'LTI_P&amp;L Schedule'!M13))+((-LTI_Schedules!M52))+((LTI_Schedules!M44*($B19)))))*(1/(1+D$18)^5)+(((('LTI_P&amp;L Schedule'!N14)*(1-(IFERROR(LTI_Schedules!N106/LTI_Schedules!N105,0))))+((-'LTI_P&amp;L Schedule'!N13))+((-LTI_Schedules!N52))+((LTI_Schedules!N44*($B19)))))*(1/(1+D$18)^6)+(((('LTI_P&amp;L Schedule'!O14)*(1-(IFERROR(LTI_Schedules!O106/LTI_Schedules!O105,0))))+((-'LTI_P&amp;L Schedule'!O13))+((-LTI_Schedules!O52))+((LTI_Schedules!O44*($B19)))))*(1/(1+D$18)^7)+(((('LTI_P&amp;L Schedule'!P14)*(1-(IFERROR(LTI_Schedules!P106/LTI_Schedules!P105,0))))+((-'LTI_P&amp;L Schedule'!P13))+((-LTI_Schedules!P52))+((LTI_Schedules!P44*($B19)))))*(1/(1+D$18)^8)+(((('LTI_P&amp;L Schedule'!Q14)*(1-(IFERROR(LTI_Schedules!Q106/LTI_Schedules!Q105,0))))+((-'LTI_P&amp;L Schedule'!Q13))+((-LTI_Schedules!Q52))+((LTI_Schedules!Q44*($B19)))))*(1/(1+D$18)^9)+(((('LTI_P&amp;L Schedule'!R14)*(1-(IFERROR(LTI_Schedules!R106/LTI_Schedules!R105,0))))+((-'LTI_P&amp;L Schedule'!R13))+((-LTI_Schedules!R52))+((LTI_Schedules!R44*($B19)))))*(1/(1+D$18)^10))+((((('LTI_P&amp;L Schedule'!R14)*(1+((IF('LTI_Inputs &amp; Assumptions'!$C$11="",'LTI_Inputs &amp; Assumptions'!$C$10,'LTI_Inputs &amp; Assumptions'!$C$11))))*(1-('LTI_Inputs &amp; Assumptions'!$C$71)))*(1-((((IF('LTI_Inputs &amp; Assumptions'!$C$11="",'LTI_Inputs &amp; Assumptions'!$C$10,'LTI_Inputs &amp; Assumptions'!$C$11)))/(D$18))))/((D$18)-((IF('LTI_Inputs &amp; Assumptions'!$C$11="",'LTI_Inputs &amp; Assumptions'!$C$10,'LTI_Inputs &amp; Assumptions'!$C$11))))))*(1/(1+D$18)^10))))-(LTI_Schedules!$H$92)+(IFERROR(INDEX(LTI_HS_CONSOLIDATED!I:I,MATCH("CashAndCashEquivalents",LTI_HS_CONSOLIDATED!$C:$C,0)),0)))/'LTI_WACC Schedule'!$C7</f>
        <v/>
      </c>
      <c r="E19" s="130">
        <f>(((((((('LTI_P&amp;L Schedule'!I14)*(1-(IFERROR(LTI_Schedules!I106/LTI_Schedules!I105,0))))+((-'LTI_P&amp;L Schedule'!I13))+((-LTI_Schedules!I52))+((LTI_Schedules!I44*($B19)))))*(1/(1+E$18)^1)+(((('LTI_P&amp;L Schedule'!J14)*(1-(IFERROR(LTI_Schedules!J106/LTI_Schedules!J105,0))))+((-'LTI_P&amp;L Schedule'!J13))+((-LTI_Schedules!J52))+((LTI_Schedules!J44*($B19)))))*(1/(1+E$18)^2)+(((('LTI_P&amp;L Schedule'!K14)*(1-(IFERROR(LTI_Schedules!K106/LTI_Schedules!K105,0))))+((-'LTI_P&amp;L Schedule'!K13))+((-LTI_Schedules!K52))+((LTI_Schedules!K44*($B19)))))*(1/(1+E$18)^3)+(((('LTI_P&amp;L Schedule'!L14)*(1-(IFERROR(LTI_Schedules!L106/LTI_Schedules!L105,0))))+((-'LTI_P&amp;L Schedule'!L13))+((-LTI_Schedules!L52))+((LTI_Schedules!L44*($B19)))))*(1/(1+E$18)^4)+(((('LTI_P&amp;L Schedule'!M14)*(1-(IFERROR(LTI_Schedules!M106/LTI_Schedules!M105,0))))+((-'LTI_P&amp;L Schedule'!M13))+((-LTI_Schedules!M52))+((LTI_Schedules!M44*($B19)))))*(1/(1+E$18)^5)+(((('LTI_P&amp;L Schedule'!N14)*(1-(IFERROR(LTI_Schedules!N106/LTI_Schedules!N105,0))))+((-'LTI_P&amp;L Schedule'!N13))+((-LTI_Schedules!N52))+((LTI_Schedules!N44*($B19)))))*(1/(1+E$18)^6)+(((('LTI_P&amp;L Schedule'!O14)*(1-(IFERROR(LTI_Schedules!O106/LTI_Schedules!O105,0))))+((-'LTI_P&amp;L Schedule'!O13))+((-LTI_Schedules!O52))+((LTI_Schedules!O44*($B19)))))*(1/(1+E$18)^7)+(((('LTI_P&amp;L Schedule'!P14)*(1-(IFERROR(LTI_Schedules!P106/LTI_Schedules!P105,0))))+((-'LTI_P&amp;L Schedule'!P13))+((-LTI_Schedules!P52))+((LTI_Schedules!P44*($B19)))))*(1/(1+E$18)^8)+(((('LTI_P&amp;L Schedule'!Q14)*(1-(IFERROR(LTI_Schedules!Q106/LTI_Schedules!Q105,0))))+((-'LTI_P&amp;L Schedule'!Q13))+((-LTI_Schedules!Q52))+((LTI_Schedules!Q44*($B19)))))*(1/(1+E$18)^9)+(((('LTI_P&amp;L Schedule'!R14)*(1-(IFERROR(LTI_Schedules!R106/LTI_Schedules!R105,0))))+((-'LTI_P&amp;L Schedule'!R13))+((-LTI_Schedules!R52))+((LTI_Schedules!R44*($B19)))))*(1/(1+E$18)^10))+((((('LTI_P&amp;L Schedule'!R14)*(1+((IF('LTI_Inputs &amp; Assumptions'!$C$11="",'LTI_Inputs &amp; Assumptions'!$C$10,'LTI_Inputs &amp; Assumptions'!$C$11))))*(1-('LTI_Inputs &amp; Assumptions'!$C$71)))*(1-((((IF('LTI_Inputs &amp; Assumptions'!$C$11="",'LTI_Inputs &amp; Assumptions'!$C$10,'LTI_Inputs &amp; Assumptions'!$C$11)))/(E$18))))/((E$18)-((IF('LTI_Inputs &amp; Assumptions'!$C$11="",'LTI_Inputs &amp; Assumptions'!$C$10,'LTI_Inputs &amp; Assumptions'!$C$11))))))*(1/(1+E$18)^10))))-(LTI_Schedules!$H$92)+(IFERROR(INDEX(LTI_HS_CONSOLIDATED!I:I,MATCH("CashAndCashEquivalents",LTI_HS_CONSOLIDATED!$C:$C,0)),0)))/'LTI_WACC Schedule'!$C7</f>
        <v/>
      </c>
      <c r="F19" s="130">
        <f>(((((((('LTI_P&amp;L Schedule'!I14)*(1-(IFERROR(LTI_Schedules!I106/LTI_Schedules!I105,0))))+((-'LTI_P&amp;L Schedule'!I13))+((-LTI_Schedules!I52))+((LTI_Schedules!I44*($B19)))))*(1/(1+F$18)^1)+(((('LTI_P&amp;L Schedule'!J14)*(1-(IFERROR(LTI_Schedules!J106/LTI_Schedules!J105,0))))+((-'LTI_P&amp;L Schedule'!J13))+((-LTI_Schedules!J52))+((LTI_Schedules!J44*($B19)))))*(1/(1+F$18)^2)+(((('LTI_P&amp;L Schedule'!K14)*(1-(IFERROR(LTI_Schedules!K106/LTI_Schedules!K105,0))))+((-'LTI_P&amp;L Schedule'!K13))+((-LTI_Schedules!K52))+((LTI_Schedules!K44*($B19)))))*(1/(1+F$18)^3)+(((('LTI_P&amp;L Schedule'!L14)*(1-(IFERROR(LTI_Schedules!L106/LTI_Schedules!L105,0))))+((-'LTI_P&amp;L Schedule'!L13))+((-LTI_Schedules!L52))+((LTI_Schedules!L44*($B19)))))*(1/(1+F$18)^4)+(((('LTI_P&amp;L Schedule'!M14)*(1-(IFERROR(LTI_Schedules!M106/LTI_Schedules!M105,0))))+((-'LTI_P&amp;L Schedule'!M13))+((-LTI_Schedules!M52))+((LTI_Schedules!M44*($B19)))))*(1/(1+F$18)^5)+(((('LTI_P&amp;L Schedule'!N14)*(1-(IFERROR(LTI_Schedules!N106/LTI_Schedules!N105,0))))+((-'LTI_P&amp;L Schedule'!N13))+((-LTI_Schedules!N52))+((LTI_Schedules!N44*($B19)))))*(1/(1+F$18)^6)+(((('LTI_P&amp;L Schedule'!O14)*(1-(IFERROR(LTI_Schedules!O106/LTI_Schedules!O105,0))))+((-'LTI_P&amp;L Schedule'!O13))+((-LTI_Schedules!O52))+((LTI_Schedules!O44*($B19)))))*(1/(1+F$18)^7)+(((('LTI_P&amp;L Schedule'!P14)*(1-(IFERROR(LTI_Schedules!P106/LTI_Schedules!P105,0))))+((-'LTI_P&amp;L Schedule'!P13))+((-LTI_Schedules!P52))+((LTI_Schedules!P44*($B19)))))*(1/(1+F$18)^8)+(((('LTI_P&amp;L Schedule'!Q14)*(1-(IFERROR(LTI_Schedules!Q106/LTI_Schedules!Q105,0))))+((-'LTI_P&amp;L Schedule'!Q13))+((-LTI_Schedules!Q52))+((LTI_Schedules!Q44*($B19)))))*(1/(1+F$18)^9)+(((('LTI_P&amp;L Schedule'!R14)*(1-(IFERROR(LTI_Schedules!R106/LTI_Schedules!R105,0))))+((-'LTI_P&amp;L Schedule'!R13))+((-LTI_Schedules!R52))+((LTI_Schedules!R44*($B19)))))*(1/(1+F$18)^10))+((((('LTI_P&amp;L Schedule'!R14)*(1+((IF('LTI_Inputs &amp; Assumptions'!$C$11="",'LTI_Inputs &amp; Assumptions'!$C$10,'LTI_Inputs &amp; Assumptions'!$C$11))))*(1-('LTI_Inputs &amp; Assumptions'!$C$71)))*(1-((((IF('LTI_Inputs &amp; Assumptions'!$C$11="",'LTI_Inputs &amp; Assumptions'!$C$10,'LTI_Inputs &amp; Assumptions'!$C$11)))/(F$18))))/((F$18)-((IF('LTI_Inputs &amp; Assumptions'!$C$11="",'LTI_Inputs &amp; Assumptions'!$C$10,'LTI_Inputs &amp; Assumptions'!$C$11))))))*(1/(1+F$18)^10))))-(LTI_Schedules!$H$92)+(IFERROR(INDEX(LTI_HS_CONSOLIDATED!I:I,MATCH("CashAndCashEquivalents",LTI_HS_CONSOLIDATED!$C:$C,0)),0)))/'LTI_WACC Schedule'!$C7</f>
        <v/>
      </c>
      <c r="G19" s="130">
        <f>(((((((('LTI_P&amp;L Schedule'!I14)*(1-(IFERROR(LTI_Schedules!I106/LTI_Schedules!I105,0))))+((-'LTI_P&amp;L Schedule'!I13))+((-LTI_Schedules!I52))+((LTI_Schedules!I44*($B19)))))*(1/(1+G$18)^1)+(((('LTI_P&amp;L Schedule'!J14)*(1-(IFERROR(LTI_Schedules!J106/LTI_Schedules!J105,0))))+((-'LTI_P&amp;L Schedule'!J13))+((-LTI_Schedules!J52))+((LTI_Schedules!J44*($B19)))))*(1/(1+G$18)^2)+(((('LTI_P&amp;L Schedule'!K14)*(1-(IFERROR(LTI_Schedules!K106/LTI_Schedules!K105,0))))+((-'LTI_P&amp;L Schedule'!K13))+((-LTI_Schedules!K52))+((LTI_Schedules!K44*($B19)))))*(1/(1+G$18)^3)+(((('LTI_P&amp;L Schedule'!L14)*(1-(IFERROR(LTI_Schedules!L106/LTI_Schedules!L105,0))))+((-'LTI_P&amp;L Schedule'!L13))+((-LTI_Schedules!L52))+((LTI_Schedules!L44*($B19)))))*(1/(1+G$18)^4)+(((('LTI_P&amp;L Schedule'!M14)*(1-(IFERROR(LTI_Schedules!M106/LTI_Schedules!M105,0))))+((-'LTI_P&amp;L Schedule'!M13))+((-LTI_Schedules!M52))+((LTI_Schedules!M44*($B19)))))*(1/(1+G$18)^5)+(((('LTI_P&amp;L Schedule'!N14)*(1-(IFERROR(LTI_Schedules!N106/LTI_Schedules!N105,0))))+((-'LTI_P&amp;L Schedule'!N13))+((-LTI_Schedules!N52))+((LTI_Schedules!N44*($B19)))))*(1/(1+G$18)^6)+(((('LTI_P&amp;L Schedule'!O14)*(1-(IFERROR(LTI_Schedules!O106/LTI_Schedules!O105,0))))+((-'LTI_P&amp;L Schedule'!O13))+((-LTI_Schedules!O52))+((LTI_Schedules!O44*($B19)))))*(1/(1+G$18)^7)+(((('LTI_P&amp;L Schedule'!P14)*(1-(IFERROR(LTI_Schedules!P106/LTI_Schedules!P105,0))))+((-'LTI_P&amp;L Schedule'!P13))+((-LTI_Schedules!P52))+((LTI_Schedules!P44*($B19)))))*(1/(1+G$18)^8)+(((('LTI_P&amp;L Schedule'!Q14)*(1-(IFERROR(LTI_Schedules!Q106/LTI_Schedules!Q105,0))))+((-'LTI_P&amp;L Schedule'!Q13))+((-LTI_Schedules!Q52))+((LTI_Schedules!Q44*($B19)))))*(1/(1+G$18)^9)+(((('LTI_P&amp;L Schedule'!R14)*(1-(IFERROR(LTI_Schedules!R106/LTI_Schedules!R105,0))))+((-'LTI_P&amp;L Schedule'!R13))+((-LTI_Schedules!R52))+((LTI_Schedules!R44*($B19)))))*(1/(1+G$18)^10))+((((('LTI_P&amp;L Schedule'!R14)*(1+((IF('LTI_Inputs &amp; Assumptions'!$C$11="",'LTI_Inputs &amp; Assumptions'!$C$10,'LTI_Inputs &amp; Assumptions'!$C$11))))*(1-('LTI_Inputs &amp; Assumptions'!$C$71)))*(1-((((IF('LTI_Inputs &amp; Assumptions'!$C$11="",'LTI_Inputs &amp; Assumptions'!$C$10,'LTI_Inputs &amp; Assumptions'!$C$11)))/(G$18))))/((G$18)-((IF('LTI_Inputs &amp; Assumptions'!$C$11="",'LTI_Inputs &amp; Assumptions'!$C$10,'LTI_Inputs &amp; Assumptions'!$C$11))))))*(1/(1+G$18)^10))))-(LTI_Schedules!$H$92)+(IFERROR(INDEX(LTI_HS_CONSOLIDATED!I:I,MATCH("CashAndCashEquivalents",LTI_HS_CONSOLIDATED!$C:$C,0)),0)))/'LTI_WACC Schedule'!$C7</f>
        <v/>
      </c>
    </row>
    <row r="20">
      <c r="B20" s="115" t="n">
        <v>0.85</v>
      </c>
      <c r="C20" s="130">
        <f>(((((((('LTI_P&amp;L Schedule'!I14)*(1-(IFERROR(LTI_Schedules!I106/LTI_Schedules!I105,0))))+((-'LTI_P&amp;L Schedule'!I13))+((-LTI_Schedules!I52))+((LTI_Schedules!I44*($B20)))))*(1/(1+C$18)^1)+(((('LTI_P&amp;L Schedule'!J14)*(1-(IFERROR(LTI_Schedules!J106/LTI_Schedules!J105,0))))+((-'LTI_P&amp;L Schedule'!J13))+((-LTI_Schedules!J52))+((LTI_Schedules!J44*($B20)))))*(1/(1+C$18)^2)+(((('LTI_P&amp;L Schedule'!K14)*(1-(IFERROR(LTI_Schedules!K106/LTI_Schedules!K105,0))))+((-'LTI_P&amp;L Schedule'!K13))+((-LTI_Schedules!K52))+((LTI_Schedules!K44*($B20)))))*(1/(1+C$18)^3)+(((('LTI_P&amp;L Schedule'!L14)*(1-(IFERROR(LTI_Schedules!L106/LTI_Schedules!L105,0))))+((-'LTI_P&amp;L Schedule'!L13))+((-LTI_Schedules!L52))+((LTI_Schedules!L44*($B20)))))*(1/(1+C$18)^4)+(((('LTI_P&amp;L Schedule'!M14)*(1-(IFERROR(LTI_Schedules!M106/LTI_Schedules!M105,0))))+((-'LTI_P&amp;L Schedule'!M13))+((-LTI_Schedules!M52))+((LTI_Schedules!M44*($B20)))))*(1/(1+C$18)^5)+(((('LTI_P&amp;L Schedule'!N14)*(1-(IFERROR(LTI_Schedules!N106/LTI_Schedules!N105,0))))+((-'LTI_P&amp;L Schedule'!N13))+((-LTI_Schedules!N52))+((LTI_Schedules!N44*($B20)))))*(1/(1+C$18)^6)+(((('LTI_P&amp;L Schedule'!O14)*(1-(IFERROR(LTI_Schedules!O106/LTI_Schedules!O105,0))))+((-'LTI_P&amp;L Schedule'!O13))+((-LTI_Schedules!O52))+((LTI_Schedules!O44*($B20)))))*(1/(1+C$18)^7)+(((('LTI_P&amp;L Schedule'!P14)*(1-(IFERROR(LTI_Schedules!P106/LTI_Schedules!P105,0))))+((-'LTI_P&amp;L Schedule'!P13))+((-LTI_Schedules!P52))+((LTI_Schedules!P44*($B20)))))*(1/(1+C$18)^8)+(((('LTI_P&amp;L Schedule'!Q14)*(1-(IFERROR(LTI_Schedules!Q106/LTI_Schedules!Q105,0))))+((-'LTI_P&amp;L Schedule'!Q13))+((-LTI_Schedules!Q52))+((LTI_Schedules!Q44*($B20)))))*(1/(1+C$18)^9)+(((('LTI_P&amp;L Schedule'!R14)*(1-(IFERROR(LTI_Schedules!R106/LTI_Schedules!R105,0))))+((-'LTI_P&amp;L Schedule'!R13))+((-LTI_Schedules!R52))+((LTI_Schedules!R44*($B20)))))*(1/(1+C$18)^10))+((((('LTI_P&amp;L Schedule'!R14)*(1+((IF('LTI_Inputs &amp; Assumptions'!$C$11="",'LTI_Inputs &amp; Assumptions'!$C$10,'LTI_Inputs &amp; Assumptions'!$C$11))))*(1-('LTI_Inputs &amp; Assumptions'!$C$71)))*(1-((((IF('LTI_Inputs &amp; Assumptions'!$C$11="",'LTI_Inputs &amp; Assumptions'!$C$10,'LTI_Inputs &amp; Assumptions'!$C$11)))/(C$18))))/((C$18)-((IF('LTI_Inputs &amp; Assumptions'!$C$11="",'LTI_Inputs &amp; Assumptions'!$C$10,'LTI_Inputs &amp; Assumptions'!$C$11))))))*(1/(1+C$18)^10))))-(LTI_Schedules!$H$92)+(IFERROR(INDEX(LTI_HS_CONSOLIDATED!I:I,MATCH("CashAndCashEquivalents",LTI_HS_CONSOLIDATED!$C:$C,0)),0)))/'LTI_WACC Schedule'!$C7</f>
        <v/>
      </c>
      <c r="D20" s="130">
        <f>(((((((('LTI_P&amp;L Schedule'!I14)*(1-(IFERROR(LTI_Schedules!I106/LTI_Schedules!I105,0))))+((-'LTI_P&amp;L Schedule'!I13))+((-LTI_Schedules!I52))+((LTI_Schedules!I44*($B20)))))*(1/(1+D$18)^1)+(((('LTI_P&amp;L Schedule'!J14)*(1-(IFERROR(LTI_Schedules!J106/LTI_Schedules!J105,0))))+((-'LTI_P&amp;L Schedule'!J13))+((-LTI_Schedules!J52))+((LTI_Schedules!J44*($B20)))))*(1/(1+D$18)^2)+(((('LTI_P&amp;L Schedule'!K14)*(1-(IFERROR(LTI_Schedules!K106/LTI_Schedules!K105,0))))+((-'LTI_P&amp;L Schedule'!K13))+((-LTI_Schedules!K52))+((LTI_Schedules!K44*($B20)))))*(1/(1+D$18)^3)+(((('LTI_P&amp;L Schedule'!L14)*(1-(IFERROR(LTI_Schedules!L106/LTI_Schedules!L105,0))))+((-'LTI_P&amp;L Schedule'!L13))+((-LTI_Schedules!L52))+((LTI_Schedules!L44*($B20)))))*(1/(1+D$18)^4)+(((('LTI_P&amp;L Schedule'!M14)*(1-(IFERROR(LTI_Schedules!M106/LTI_Schedules!M105,0))))+((-'LTI_P&amp;L Schedule'!M13))+((-LTI_Schedules!M52))+((LTI_Schedules!M44*($B20)))))*(1/(1+D$18)^5)+(((('LTI_P&amp;L Schedule'!N14)*(1-(IFERROR(LTI_Schedules!N106/LTI_Schedules!N105,0))))+((-'LTI_P&amp;L Schedule'!N13))+((-LTI_Schedules!N52))+((LTI_Schedules!N44*($B20)))))*(1/(1+D$18)^6)+(((('LTI_P&amp;L Schedule'!O14)*(1-(IFERROR(LTI_Schedules!O106/LTI_Schedules!O105,0))))+((-'LTI_P&amp;L Schedule'!O13))+((-LTI_Schedules!O52))+((LTI_Schedules!O44*($B20)))))*(1/(1+D$18)^7)+(((('LTI_P&amp;L Schedule'!P14)*(1-(IFERROR(LTI_Schedules!P106/LTI_Schedules!P105,0))))+((-'LTI_P&amp;L Schedule'!P13))+((-LTI_Schedules!P52))+((LTI_Schedules!P44*($B20)))))*(1/(1+D$18)^8)+(((('LTI_P&amp;L Schedule'!Q14)*(1-(IFERROR(LTI_Schedules!Q106/LTI_Schedules!Q105,0))))+((-'LTI_P&amp;L Schedule'!Q13))+((-LTI_Schedules!Q52))+((LTI_Schedules!Q44*($B20)))))*(1/(1+D$18)^9)+(((('LTI_P&amp;L Schedule'!R14)*(1-(IFERROR(LTI_Schedules!R106/LTI_Schedules!R105,0))))+((-'LTI_P&amp;L Schedule'!R13))+((-LTI_Schedules!R52))+((LTI_Schedules!R44*($B20)))))*(1/(1+D$18)^10))+((((('LTI_P&amp;L Schedule'!R14)*(1+((IF('LTI_Inputs &amp; Assumptions'!$C$11="",'LTI_Inputs &amp; Assumptions'!$C$10,'LTI_Inputs &amp; Assumptions'!$C$11))))*(1-('LTI_Inputs &amp; Assumptions'!$C$71)))*(1-((((IF('LTI_Inputs &amp; Assumptions'!$C$11="",'LTI_Inputs &amp; Assumptions'!$C$10,'LTI_Inputs &amp; Assumptions'!$C$11)))/(D$18))))/((D$18)-((IF('LTI_Inputs &amp; Assumptions'!$C$11="",'LTI_Inputs &amp; Assumptions'!$C$10,'LTI_Inputs &amp; Assumptions'!$C$11))))))*(1/(1+D$18)^10))))-(LTI_Schedules!$H$92)+(IFERROR(INDEX(LTI_HS_CONSOLIDATED!I:I,MATCH("CashAndCashEquivalents",LTI_HS_CONSOLIDATED!$C:$C,0)),0)))/'LTI_WACC Schedule'!$C7</f>
        <v/>
      </c>
      <c r="E20" s="130">
        <f>(((((((('LTI_P&amp;L Schedule'!I14)*(1-(IFERROR(LTI_Schedules!I106/LTI_Schedules!I105,0))))+((-'LTI_P&amp;L Schedule'!I13))+((-LTI_Schedules!I52))+((LTI_Schedules!I44*($B20)))))*(1/(1+E$18)^1)+(((('LTI_P&amp;L Schedule'!J14)*(1-(IFERROR(LTI_Schedules!J106/LTI_Schedules!J105,0))))+((-'LTI_P&amp;L Schedule'!J13))+((-LTI_Schedules!J52))+((LTI_Schedules!J44*($B20)))))*(1/(1+E$18)^2)+(((('LTI_P&amp;L Schedule'!K14)*(1-(IFERROR(LTI_Schedules!K106/LTI_Schedules!K105,0))))+((-'LTI_P&amp;L Schedule'!K13))+((-LTI_Schedules!K52))+((LTI_Schedules!K44*($B20)))))*(1/(1+E$18)^3)+(((('LTI_P&amp;L Schedule'!L14)*(1-(IFERROR(LTI_Schedules!L106/LTI_Schedules!L105,0))))+((-'LTI_P&amp;L Schedule'!L13))+((-LTI_Schedules!L52))+((LTI_Schedules!L44*($B20)))))*(1/(1+E$18)^4)+(((('LTI_P&amp;L Schedule'!M14)*(1-(IFERROR(LTI_Schedules!M106/LTI_Schedules!M105,0))))+((-'LTI_P&amp;L Schedule'!M13))+((-LTI_Schedules!M52))+((LTI_Schedules!M44*($B20)))))*(1/(1+E$18)^5)+(((('LTI_P&amp;L Schedule'!N14)*(1-(IFERROR(LTI_Schedules!N106/LTI_Schedules!N105,0))))+((-'LTI_P&amp;L Schedule'!N13))+((-LTI_Schedules!N52))+((LTI_Schedules!N44*($B20)))))*(1/(1+E$18)^6)+(((('LTI_P&amp;L Schedule'!O14)*(1-(IFERROR(LTI_Schedules!O106/LTI_Schedules!O105,0))))+((-'LTI_P&amp;L Schedule'!O13))+((-LTI_Schedules!O52))+((LTI_Schedules!O44*($B20)))))*(1/(1+E$18)^7)+(((('LTI_P&amp;L Schedule'!P14)*(1-(IFERROR(LTI_Schedules!P106/LTI_Schedules!P105,0))))+((-'LTI_P&amp;L Schedule'!P13))+((-LTI_Schedules!P52))+((LTI_Schedules!P44*($B20)))))*(1/(1+E$18)^8)+(((('LTI_P&amp;L Schedule'!Q14)*(1-(IFERROR(LTI_Schedules!Q106/LTI_Schedules!Q105,0))))+((-'LTI_P&amp;L Schedule'!Q13))+((-LTI_Schedules!Q52))+((LTI_Schedules!Q44*($B20)))))*(1/(1+E$18)^9)+(((('LTI_P&amp;L Schedule'!R14)*(1-(IFERROR(LTI_Schedules!R106/LTI_Schedules!R105,0))))+((-'LTI_P&amp;L Schedule'!R13))+((-LTI_Schedules!R52))+((LTI_Schedules!R44*($B20)))))*(1/(1+E$18)^10))+((((('LTI_P&amp;L Schedule'!R14)*(1+((IF('LTI_Inputs &amp; Assumptions'!$C$11="",'LTI_Inputs &amp; Assumptions'!$C$10,'LTI_Inputs &amp; Assumptions'!$C$11))))*(1-('LTI_Inputs &amp; Assumptions'!$C$71)))*(1-((((IF('LTI_Inputs &amp; Assumptions'!$C$11="",'LTI_Inputs &amp; Assumptions'!$C$10,'LTI_Inputs &amp; Assumptions'!$C$11)))/(E$18))))/((E$18)-((IF('LTI_Inputs &amp; Assumptions'!$C$11="",'LTI_Inputs &amp; Assumptions'!$C$10,'LTI_Inputs &amp; Assumptions'!$C$11))))))*(1/(1+E$18)^10))))-(LTI_Schedules!$H$92)+(IFERROR(INDEX(LTI_HS_CONSOLIDATED!I:I,MATCH("CashAndCashEquivalents",LTI_HS_CONSOLIDATED!$C:$C,0)),0)))/'LTI_WACC Schedule'!$C7</f>
        <v/>
      </c>
      <c r="F20" s="130">
        <f>(((((((('LTI_P&amp;L Schedule'!I14)*(1-(IFERROR(LTI_Schedules!I106/LTI_Schedules!I105,0))))+((-'LTI_P&amp;L Schedule'!I13))+((-LTI_Schedules!I52))+((LTI_Schedules!I44*($B20)))))*(1/(1+F$18)^1)+(((('LTI_P&amp;L Schedule'!J14)*(1-(IFERROR(LTI_Schedules!J106/LTI_Schedules!J105,0))))+((-'LTI_P&amp;L Schedule'!J13))+((-LTI_Schedules!J52))+((LTI_Schedules!J44*($B20)))))*(1/(1+F$18)^2)+(((('LTI_P&amp;L Schedule'!K14)*(1-(IFERROR(LTI_Schedules!K106/LTI_Schedules!K105,0))))+((-'LTI_P&amp;L Schedule'!K13))+((-LTI_Schedules!K52))+((LTI_Schedules!K44*($B20)))))*(1/(1+F$18)^3)+(((('LTI_P&amp;L Schedule'!L14)*(1-(IFERROR(LTI_Schedules!L106/LTI_Schedules!L105,0))))+((-'LTI_P&amp;L Schedule'!L13))+((-LTI_Schedules!L52))+((LTI_Schedules!L44*($B20)))))*(1/(1+F$18)^4)+(((('LTI_P&amp;L Schedule'!M14)*(1-(IFERROR(LTI_Schedules!M106/LTI_Schedules!M105,0))))+((-'LTI_P&amp;L Schedule'!M13))+((-LTI_Schedules!M52))+((LTI_Schedules!M44*($B20)))))*(1/(1+F$18)^5)+(((('LTI_P&amp;L Schedule'!N14)*(1-(IFERROR(LTI_Schedules!N106/LTI_Schedules!N105,0))))+((-'LTI_P&amp;L Schedule'!N13))+((-LTI_Schedules!N52))+((LTI_Schedules!N44*($B20)))))*(1/(1+F$18)^6)+(((('LTI_P&amp;L Schedule'!O14)*(1-(IFERROR(LTI_Schedules!O106/LTI_Schedules!O105,0))))+((-'LTI_P&amp;L Schedule'!O13))+((-LTI_Schedules!O52))+((LTI_Schedules!O44*($B20)))))*(1/(1+F$18)^7)+(((('LTI_P&amp;L Schedule'!P14)*(1-(IFERROR(LTI_Schedules!P106/LTI_Schedules!P105,0))))+((-'LTI_P&amp;L Schedule'!P13))+((-LTI_Schedules!P52))+((LTI_Schedules!P44*($B20)))))*(1/(1+F$18)^8)+(((('LTI_P&amp;L Schedule'!Q14)*(1-(IFERROR(LTI_Schedules!Q106/LTI_Schedules!Q105,0))))+((-'LTI_P&amp;L Schedule'!Q13))+((-LTI_Schedules!Q52))+((LTI_Schedules!Q44*($B20)))))*(1/(1+F$18)^9)+(((('LTI_P&amp;L Schedule'!R14)*(1-(IFERROR(LTI_Schedules!R106/LTI_Schedules!R105,0))))+((-'LTI_P&amp;L Schedule'!R13))+((-LTI_Schedules!R52))+((LTI_Schedules!R44*($B20)))))*(1/(1+F$18)^10))+((((('LTI_P&amp;L Schedule'!R14)*(1+((IF('LTI_Inputs &amp; Assumptions'!$C$11="",'LTI_Inputs &amp; Assumptions'!$C$10,'LTI_Inputs &amp; Assumptions'!$C$11))))*(1-('LTI_Inputs &amp; Assumptions'!$C$71)))*(1-((((IF('LTI_Inputs &amp; Assumptions'!$C$11="",'LTI_Inputs &amp; Assumptions'!$C$10,'LTI_Inputs &amp; Assumptions'!$C$11)))/(F$18))))/((F$18)-((IF('LTI_Inputs &amp; Assumptions'!$C$11="",'LTI_Inputs &amp; Assumptions'!$C$10,'LTI_Inputs &amp; Assumptions'!$C$11))))))*(1/(1+F$18)^10))))-(LTI_Schedules!$H$92)+(IFERROR(INDEX(LTI_HS_CONSOLIDATED!I:I,MATCH("CashAndCashEquivalents",LTI_HS_CONSOLIDATED!$C:$C,0)),0)))/'LTI_WACC Schedule'!$C7</f>
        <v/>
      </c>
      <c r="G20" s="130">
        <f>(((((((('LTI_P&amp;L Schedule'!I14)*(1-(IFERROR(LTI_Schedules!I106/LTI_Schedules!I105,0))))+((-'LTI_P&amp;L Schedule'!I13))+((-LTI_Schedules!I52))+((LTI_Schedules!I44*($B20)))))*(1/(1+G$18)^1)+(((('LTI_P&amp;L Schedule'!J14)*(1-(IFERROR(LTI_Schedules!J106/LTI_Schedules!J105,0))))+((-'LTI_P&amp;L Schedule'!J13))+((-LTI_Schedules!J52))+((LTI_Schedules!J44*($B20)))))*(1/(1+G$18)^2)+(((('LTI_P&amp;L Schedule'!K14)*(1-(IFERROR(LTI_Schedules!K106/LTI_Schedules!K105,0))))+((-'LTI_P&amp;L Schedule'!K13))+((-LTI_Schedules!K52))+((LTI_Schedules!K44*($B20)))))*(1/(1+G$18)^3)+(((('LTI_P&amp;L Schedule'!L14)*(1-(IFERROR(LTI_Schedules!L106/LTI_Schedules!L105,0))))+((-'LTI_P&amp;L Schedule'!L13))+((-LTI_Schedules!L52))+((LTI_Schedules!L44*($B20)))))*(1/(1+G$18)^4)+(((('LTI_P&amp;L Schedule'!M14)*(1-(IFERROR(LTI_Schedules!M106/LTI_Schedules!M105,0))))+((-'LTI_P&amp;L Schedule'!M13))+((-LTI_Schedules!M52))+((LTI_Schedules!M44*($B20)))))*(1/(1+G$18)^5)+(((('LTI_P&amp;L Schedule'!N14)*(1-(IFERROR(LTI_Schedules!N106/LTI_Schedules!N105,0))))+((-'LTI_P&amp;L Schedule'!N13))+((-LTI_Schedules!N52))+((LTI_Schedules!N44*($B20)))))*(1/(1+G$18)^6)+(((('LTI_P&amp;L Schedule'!O14)*(1-(IFERROR(LTI_Schedules!O106/LTI_Schedules!O105,0))))+((-'LTI_P&amp;L Schedule'!O13))+((-LTI_Schedules!O52))+((LTI_Schedules!O44*($B20)))))*(1/(1+G$18)^7)+(((('LTI_P&amp;L Schedule'!P14)*(1-(IFERROR(LTI_Schedules!P106/LTI_Schedules!P105,0))))+((-'LTI_P&amp;L Schedule'!P13))+((-LTI_Schedules!P52))+((LTI_Schedules!P44*($B20)))))*(1/(1+G$18)^8)+(((('LTI_P&amp;L Schedule'!Q14)*(1-(IFERROR(LTI_Schedules!Q106/LTI_Schedules!Q105,0))))+((-'LTI_P&amp;L Schedule'!Q13))+((-LTI_Schedules!Q52))+((LTI_Schedules!Q44*($B20)))))*(1/(1+G$18)^9)+(((('LTI_P&amp;L Schedule'!R14)*(1-(IFERROR(LTI_Schedules!R106/LTI_Schedules!R105,0))))+((-'LTI_P&amp;L Schedule'!R13))+((-LTI_Schedules!R52))+((LTI_Schedules!R44*($B20)))))*(1/(1+G$18)^10))+((((('LTI_P&amp;L Schedule'!R14)*(1+((IF('LTI_Inputs &amp; Assumptions'!$C$11="",'LTI_Inputs &amp; Assumptions'!$C$10,'LTI_Inputs &amp; Assumptions'!$C$11))))*(1-('LTI_Inputs &amp; Assumptions'!$C$71)))*(1-((((IF('LTI_Inputs &amp; Assumptions'!$C$11="",'LTI_Inputs &amp; Assumptions'!$C$10,'LTI_Inputs &amp; Assumptions'!$C$11)))/(G$18))))/((G$18)-((IF('LTI_Inputs &amp; Assumptions'!$C$11="",'LTI_Inputs &amp; Assumptions'!$C$10,'LTI_Inputs &amp; Assumptions'!$C$11))))))*(1/(1+G$18)^10))))-(LTI_Schedules!$H$92)+(IFERROR(INDEX(LTI_HS_CONSOLIDATED!I:I,MATCH("CashAndCashEquivalents",LTI_HS_CONSOLIDATED!$C:$C,0)),0)))/'LTI_WACC Schedule'!$C7</f>
        <v/>
      </c>
    </row>
    <row r="21">
      <c r="B21" s="115" t="n">
        <v>1</v>
      </c>
      <c r="C21" s="130">
        <f>(((((((('LTI_P&amp;L Schedule'!I14)*(1-(IFERROR(LTI_Schedules!I106/LTI_Schedules!I105,0))))+((-'LTI_P&amp;L Schedule'!I13))+((-LTI_Schedules!I52))+((LTI_Schedules!I44*($B21)))))*(1/(1+C$18)^1)+(((('LTI_P&amp;L Schedule'!J14)*(1-(IFERROR(LTI_Schedules!J106/LTI_Schedules!J105,0))))+((-'LTI_P&amp;L Schedule'!J13))+((-LTI_Schedules!J52))+((LTI_Schedules!J44*($B21)))))*(1/(1+C$18)^2)+(((('LTI_P&amp;L Schedule'!K14)*(1-(IFERROR(LTI_Schedules!K106/LTI_Schedules!K105,0))))+((-'LTI_P&amp;L Schedule'!K13))+((-LTI_Schedules!K52))+((LTI_Schedules!K44*($B21)))))*(1/(1+C$18)^3)+(((('LTI_P&amp;L Schedule'!L14)*(1-(IFERROR(LTI_Schedules!L106/LTI_Schedules!L105,0))))+((-'LTI_P&amp;L Schedule'!L13))+((-LTI_Schedules!L52))+((LTI_Schedules!L44*($B21)))))*(1/(1+C$18)^4)+(((('LTI_P&amp;L Schedule'!M14)*(1-(IFERROR(LTI_Schedules!M106/LTI_Schedules!M105,0))))+((-'LTI_P&amp;L Schedule'!M13))+((-LTI_Schedules!M52))+((LTI_Schedules!M44*($B21)))))*(1/(1+C$18)^5)+(((('LTI_P&amp;L Schedule'!N14)*(1-(IFERROR(LTI_Schedules!N106/LTI_Schedules!N105,0))))+((-'LTI_P&amp;L Schedule'!N13))+((-LTI_Schedules!N52))+((LTI_Schedules!N44*($B21)))))*(1/(1+C$18)^6)+(((('LTI_P&amp;L Schedule'!O14)*(1-(IFERROR(LTI_Schedules!O106/LTI_Schedules!O105,0))))+((-'LTI_P&amp;L Schedule'!O13))+((-LTI_Schedules!O52))+((LTI_Schedules!O44*($B21)))))*(1/(1+C$18)^7)+(((('LTI_P&amp;L Schedule'!P14)*(1-(IFERROR(LTI_Schedules!P106/LTI_Schedules!P105,0))))+((-'LTI_P&amp;L Schedule'!P13))+((-LTI_Schedules!P52))+((LTI_Schedules!P44*($B21)))))*(1/(1+C$18)^8)+(((('LTI_P&amp;L Schedule'!Q14)*(1-(IFERROR(LTI_Schedules!Q106/LTI_Schedules!Q105,0))))+((-'LTI_P&amp;L Schedule'!Q13))+((-LTI_Schedules!Q52))+((LTI_Schedules!Q44*($B21)))))*(1/(1+C$18)^9)+(((('LTI_P&amp;L Schedule'!R14)*(1-(IFERROR(LTI_Schedules!R106/LTI_Schedules!R105,0))))+((-'LTI_P&amp;L Schedule'!R13))+((-LTI_Schedules!R52))+((LTI_Schedules!R44*($B21)))))*(1/(1+C$18)^10))+((((('LTI_P&amp;L Schedule'!R14)*(1+((IF('LTI_Inputs &amp; Assumptions'!$C$11="",'LTI_Inputs &amp; Assumptions'!$C$10,'LTI_Inputs &amp; Assumptions'!$C$11))))*(1-('LTI_Inputs &amp; Assumptions'!$C$71)))*(1-((((IF('LTI_Inputs &amp; Assumptions'!$C$11="",'LTI_Inputs &amp; Assumptions'!$C$10,'LTI_Inputs &amp; Assumptions'!$C$11)))/(C$18))))/((C$18)-((IF('LTI_Inputs &amp; Assumptions'!$C$11="",'LTI_Inputs &amp; Assumptions'!$C$10,'LTI_Inputs &amp; Assumptions'!$C$11))))))*(1/(1+C$18)^10))))-(LTI_Schedules!$H$92)+(IFERROR(INDEX(LTI_HS_CONSOLIDATED!I:I,MATCH("CashAndCashEquivalents",LTI_HS_CONSOLIDATED!$C:$C,0)),0)))/'LTI_WACC Schedule'!$C7</f>
        <v/>
      </c>
      <c r="D21" s="130">
        <f>(((((((('LTI_P&amp;L Schedule'!I14)*(1-(IFERROR(LTI_Schedules!I106/LTI_Schedules!I105,0))))+((-'LTI_P&amp;L Schedule'!I13))+((-LTI_Schedules!I52))+((LTI_Schedules!I44*($B21)))))*(1/(1+D$18)^1)+(((('LTI_P&amp;L Schedule'!J14)*(1-(IFERROR(LTI_Schedules!J106/LTI_Schedules!J105,0))))+((-'LTI_P&amp;L Schedule'!J13))+((-LTI_Schedules!J52))+((LTI_Schedules!J44*($B21)))))*(1/(1+D$18)^2)+(((('LTI_P&amp;L Schedule'!K14)*(1-(IFERROR(LTI_Schedules!K106/LTI_Schedules!K105,0))))+((-'LTI_P&amp;L Schedule'!K13))+((-LTI_Schedules!K52))+((LTI_Schedules!K44*($B21)))))*(1/(1+D$18)^3)+(((('LTI_P&amp;L Schedule'!L14)*(1-(IFERROR(LTI_Schedules!L106/LTI_Schedules!L105,0))))+((-'LTI_P&amp;L Schedule'!L13))+((-LTI_Schedules!L52))+((LTI_Schedules!L44*($B21)))))*(1/(1+D$18)^4)+(((('LTI_P&amp;L Schedule'!M14)*(1-(IFERROR(LTI_Schedules!M106/LTI_Schedules!M105,0))))+((-'LTI_P&amp;L Schedule'!M13))+((-LTI_Schedules!M52))+((LTI_Schedules!M44*($B21)))))*(1/(1+D$18)^5)+(((('LTI_P&amp;L Schedule'!N14)*(1-(IFERROR(LTI_Schedules!N106/LTI_Schedules!N105,0))))+((-'LTI_P&amp;L Schedule'!N13))+((-LTI_Schedules!N52))+((LTI_Schedules!N44*($B21)))))*(1/(1+D$18)^6)+(((('LTI_P&amp;L Schedule'!O14)*(1-(IFERROR(LTI_Schedules!O106/LTI_Schedules!O105,0))))+((-'LTI_P&amp;L Schedule'!O13))+((-LTI_Schedules!O52))+((LTI_Schedules!O44*($B21)))))*(1/(1+D$18)^7)+(((('LTI_P&amp;L Schedule'!P14)*(1-(IFERROR(LTI_Schedules!P106/LTI_Schedules!P105,0))))+((-'LTI_P&amp;L Schedule'!P13))+((-LTI_Schedules!P52))+((LTI_Schedules!P44*($B21)))))*(1/(1+D$18)^8)+(((('LTI_P&amp;L Schedule'!Q14)*(1-(IFERROR(LTI_Schedules!Q106/LTI_Schedules!Q105,0))))+((-'LTI_P&amp;L Schedule'!Q13))+((-LTI_Schedules!Q52))+((LTI_Schedules!Q44*($B21)))))*(1/(1+D$18)^9)+(((('LTI_P&amp;L Schedule'!R14)*(1-(IFERROR(LTI_Schedules!R106/LTI_Schedules!R105,0))))+((-'LTI_P&amp;L Schedule'!R13))+((-LTI_Schedules!R52))+((LTI_Schedules!R44*($B21)))))*(1/(1+D$18)^10))+((((('LTI_P&amp;L Schedule'!R14)*(1+((IF('LTI_Inputs &amp; Assumptions'!$C$11="",'LTI_Inputs &amp; Assumptions'!$C$10,'LTI_Inputs &amp; Assumptions'!$C$11))))*(1-('LTI_Inputs &amp; Assumptions'!$C$71)))*(1-((((IF('LTI_Inputs &amp; Assumptions'!$C$11="",'LTI_Inputs &amp; Assumptions'!$C$10,'LTI_Inputs &amp; Assumptions'!$C$11)))/(D$18))))/((D$18)-((IF('LTI_Inputs &amp; Assumptions'!$C$11="",'LTI_Inputs &amp; Assumptions'!$C$10,'LTI_Inputs &amp; Assumptions'!$C$11))))))*(1/(1+D$18)^10))))-(LTI_Schedules!$H$92)+(IFERROR(INDEX(LTI_HS_CONSOLIDATED!I:I,MATCH("CashAndCashEquivalents",LTI_HS_CONSOLIDATED!$C:$C,0)),0)))/'LTI_WACC Schedule'!$C7</f>
        <v/>
      </c>
      <c r="E21" s="130">
        <f>(((((((('LTI_P&amp;L Schedule'!I14)*(1-(IFERROR(LTI_Schedules!I106/LTI_Schedules!I105,0))))+((-'LTI_P&amp;L Schedule'!I13))+((-LTI_Schedules!I52))+((LTI_Schedules!I44*($B21)))))*(1/(1+E$18)^1)+(((('LTI_P&amp;L Schedule'!J14)*(1-(IFERROR(LTI_Schedules!J106/LTI_Schedules!J105,0))))+((-'LTI_P&amp;L Schedule'!J13))+((-LTI_Schedules!J52))+((LTI_Schedules!J44*($B21)))))*(1/(1+E$18)^2)+(((('LTI_P&amp;L Schedule'!K14)*(1-(IFERROR(LTI_Schedules!K106/LTI_Schedules!K105,0))))+((-'LTI_P&amp;L Schedule'!K13))+((-LTI_Schedules!K52))+((LTI_Schedules!K44*($B21)))))*(1/(1+E$18)^3)+(((('LTI_P&amp;L Schedule'!L14)*(1-(IFERROR(LTI_Schedules!L106/LTI_Schedules!L105,0))))+((-'LTI_P&amp;L Schedule'!L13))+((-LTI_Schedules!L52))+((LTI_Schedules!L44*($B21)))))*(1/(1+E$18)^4)+(((('LTI_P&amp;L Schedule'!M14)*(1-(IFERROR(LTI_Schedules!M106/LTI_Schedules!M105,0))))+((-'LTI_P&amp;L Schedule'!M13))+((-LTI_Schedules!M52))+((LTI_Schedules!M44*($B21)))))*(1/(1+E$18)^5)+(((('LTI_P&amp;L Schedule'!N14)*(1-(IFERROR(LTI_Schedules!N106/LTI_Schedules!N105,0))))+((-'LTI_P&amp;L Schedule'!N13))+((-LTI_Schedules!N52))+((LTI_Schedules!N44*($B21)))))*(1/(1+E$18)^6)+(((('LTI_P&amp;L Schedule'!O14)*(1-(IFERROR(LTI_Schedules!O106/LTI_Schedules!O105,0))))+((-'LTI_P&amp;L Schedule'!O13))+((-LTI_Schedules!O52))+((LTI_Schedules!O44*($B21)))))*(1/(1+E$18)^7)+(((('LTI_P&amp;L Schedule'!P14)*(1-(IFERROR(LTI_Schedules!P106/LTI_Schedules!P105,0))))+((-'LTI_P&amp;L Schedule'!P13))+((-LTI_Schedules!P52))+((LTI_Schedules!P44*($B21)))))*(1/(1+E$18)^8)+(((('LTI_P&amp;L Schedule'!Q14)*(1-(IFERROR(LTI_Schedules!Q106/LTI_Schedules!Q105,0))))+((-'LTI_P&amp;L Schedule'!Q13))+((-LTI_Schedules!Q52))+((LTI_Schedules!Q44*($B21)))))*(1/(1+E$18)^9)+(((('LTI_P&amp;L Schedule'!R14)*(1-(IFERROR(LTI_Schedules!R106/LTI_Schedules!R105,0))))+((-'LTI_P&amp;L Schedule'!R13))+((-LTI_Schedules!R52))+((LTI_Schedules!R44*($B21)))))*(1/(1+E$18)^10))+((((('LTI_P&amp;L Schedule'!R14)*(1+((IF('LTI_Inputs &amp; Assumptions'!$C$11="",'LTI_Inputs &amp; Assumptions'!$C$10,'LTI_Inputs &amp; Assumptions'!$C$11))))*(1-('LTI_Inputs &amp; Assumptions'!$C$71)))*(1-((((IF('LTI_Inputs &amp; Assumptions'!$C$11="",'LTI_Inputs &amp; Assumptions'!$C$10,'LTI_Inputs &amp; Assumptions'!$C$11)))/(E$18))))/((E$18)-((IF('LTI_Inputs &amp; Assumptions'!$C$11="",'LTI_Inputs &amp; Assumptions'!$C$10,'LTI_Inputs &amp; Assumptions'!$C$11))))))*(1/(1+E$18)^10))))-(LTI_Schedules!$H$92)+(IFERROR(INDEX(LTI_HS_CONSOLIDATED!I:I,MATCH("CashAndCashEquivalents",LTI_HS_CONSOLIDATED!$C:$C,0)),0)))/'LTI_WACC Schedule'!$C7</f>
        <v/>
      </c>
      <c r="F21" s="130">
        <f>(((((((('LTI_P&amp;L Schedule'!I14)*(1-(IFERROR(LTI_Schedules!I106/LTI_Schedules!I105,0))))+((-'LTI_P&amp;L Schedule'!I13))+((-LTI_Schedules!I52))+((LTI_Schedules!I44*($B21)))))*(1/(1+F$18)^1)+(((('LTI_P&amp;L Schedule'!J14)*(1-(IFERROR(LTI_Schedules!J106/LTI_Schedules!J105,0))))+((-'LTI_P&amp;L Schedule'!J13))+((-LTI_Schedules!J52))+((LTI_Schedules!J44*($B21)))))*(1/(1+F$18)^2)+(((('LTI_P&amp;L Schedule'!K14)*(1-(IFERROR(LTI_Schedules!K106/LTI_Schedules!K105,0))))+((-'LTI_P&amp;L Schedule'!K13))+((-LTI_Schedules!K52))+((LTI_Schedules!K44*($B21)))))*(1/(1+F$18)^3)+(((('LTI_P&amp;L Schedule'!L14)*(1-(IFERROR(LTI_Schedules!L106/LTI_Schedules!L105,0))))+((-'LTI_P&amp;L Schedule'!L13))+((-LTI_Schedules!L52))+((LTI_Schedules!L44*($B21)))))*(1/(1+F$18)^4)+(((('LTI_P&amp;L Schedule'!M14)*(1-(IFERROR(LTI_Schedules!M106/LTI_Schedules!M105,0))))+((-'LTI_P&amp;L Schedule'!M13))+((-LTI_Schedules!M52))+((LTI_Schedules!M44*($B21)))))*(1/(1+F$18)^5)+(((('LTI_P&amp;L Schedule'!N14)*(1-(IFERROR(LTI_Schedules!N106/LTI_Schedules!N105,0))))+((-'LTI_P&amp;L Schedule'!N13))+((-LTI_Schedules!N52))+((LTI_Schedules!N44*($B21)))))*(1/(1+F$18)^6)+(((('LTI_P&amp;L Schedule'!O14)*(1-(IFERROR(LTI_Schedules!O106/LTI_Schedules!O105,0))))+((-'LTI_P&amp;L Schedule'!O13))+((-LTI_Schedules!O52))+((LTI_Schedules!O44*($B21)))))*(1/(1+F$18)^7)+(((('LTI_P&amp;L Schedule'!P14)*(1-(IFERROR(LTI_Schedules!P106/LTI_Schedules!P105,0))))+((-'LTI_P&amp;L Schedule'!P13))+((-LTI_Schedules!P52))+((LTI_Schedules!P44*($B21)))))*(1/(1+F$18)^8)+(((('LTI_P&amp;L Schedule'!Q14)*(1-(IFERROR(LTI_Schedules!Q106/LTI_Schedules!Q105,0))))+((-'LTI_P&amp;L Schedule'!Q13))+((-LTI_Schedules!Q52))+((LTI_Schedules!Q44*($B21)))))*(1/(1+F$18)^9)+(((('LTI_P&amp;L Schedule'!R14)*(1-(IFERROR(LTI_Schedules!R106/LTI_Schedules!R105,0))))+((-'LTI_P&amp;L Schedule'!R13))+((-LTI_Schedules!R52))+((LTI_Schedules!R44*($B21)))))*(1/(1+F$18)^10))+((((('LTI_P&amp;L Schedule'!R14)*(1+((IF('LTI_Inputs &amp; Assumptions'!$C$11="",'LTI_Inputs &amp; Assumptions'!$C$10,'LTI_Inputs &amp; Assumptions'!$C$11))))*(1-('LTI_Inputs &amp; Assumptions'!$C$71)))*(1-((((IF('LTI_Inputs &amp; Assumptions'!$C$11="",'LTI_Inputs &amp; Assumptions'!$C$10,'LTI_Inputs &amp; Assumptions'!$C$11)))/(F$18))))/((F$18)-((IF('LTI_Inputs &amp; Assumptions'!$C$11="",'LTI_Inputs &amp; Assumptions'!$C$10,'LTI_Inputs &amp; Assumptions'!$C$11))))))*(1/(1+F$18)^10))))-(LTI_Schedules!$H$92)+(IFERROR(INDEX(LTI_HS_CONSOLIDATED!I:I,MATCH("CashAndCashEquivalents",LTI_HS_CONSOLIDATED!$C:$C,0)),0)))/'LTI_WACC Schedule'!$C7</f>
        <v/>
      </c>
      <c r="G21" s="130">
        <f>(((((((('LTI_P&amp;L Schedule'!I14)*(1-(IFERROR(LTI_Schedules!I106/LTI_Schedules!I105,0))))+((-'LTI_P&amp;L Schedule'!I13))+((-LTI_Schedules!I52))+((LTI_Schedules!I44*($B21)))))*(1/(1+G$18)^1)+(((('LTI_P&amp;L Schedule'!J14)*(1-(IFERROR(LTI_Schedules!J106/LTI_Schedules!J105,0))))+((-'LTI_P&amp;L Schedule'!J13))+((-LTI_Schedules!J52))+((LTI_Schedules!J44*($B21)))))*(1/(1+G$18)^2)+(((('LTI_P&amp;L Schedule'!K14)*(1-(IFERROR(LTI_Schedules!K106/LTI_Schedules!K105,0))))+((-'LTI_P&amp;L Schedule'!K13))+((-LTI_Schedules!K52))+((LTI_Schedules!K44*($B21)))))*(1/(1+G$18)^3)+(((('LTI_P&amp;L Schedule'!L14)*(1-(IFERROR(LTI_Schedules!L106/LTI_Schedules!L105,0))))+((-'LTI_P&amp;L Schedule'!L13))+((-LTI_Schedules!L52))+((LTI_Schedules!L44*($B21)))))*(1/(1+G$18)^4)+(((('LTI_P&amp;L Schedule'!M14)*(1-(IFERROR(LTI_Schedules!M106/LTI_Schedules!M105,0))))+((-'LTI_P&amp;L Schedule'!M13))+((-LTI_Schedules!M52))+((LTI_Schedules!M44*($B21)))))*(1/(1+G$18)^5)+(((('LTI_P&amp;L Schedule'!N14)*(1-(IFERROR(LTI_Schedules!N106/LTI_Schedules!N105,0))))+((-'LTI_P&amp;L Schedule'!N13))+((-LTI_Schedules!N52))+((LTI_Schedules!N44*($B21)))))*(1/(1+G$18)^6)+(((('LTI_P&amp;L Schedule'!O14)*(1-(IFERROR(LTI_Schedules!O106/LTI_Schedules!O105,0))))+((-'LTI_P&amp;L Schedule'!O13))+((-LTI_Schedules!O52))+((LTI_Schedules!O44*($B21)))))*(1/(1+G$18)^7)+(((('LTI_P&amp;L Schedule'!P14)*(1-(IFERROR(LTI_Schedules!P106/LTI_Schedules!P105,0))))+((-'LTI_P&amp;L Schedule'!P13))+((-LTI_Schedules!P52))+((LTI_Schedules!P44*($B21)))))*(1/(1+G$18)^8)+(((('LTI_P&amp;L Schedule'!Q14)*(1-(IFERROR(LTI_Schedules!Q106/LTI_Schedules!Q105,0))))+((-'LTI_P&amp;L Schedule'!Q13))+((-LTI_Schedules!Q52))+((LTI_Schedules!Q44*($B21)))))*(1/(1+G$18)^9)+(((('LTI_P&amp;L Schedule'!R14)*(1-(IFERROR(LTI_Schedules!R106/LTI_Schedules!R105,0))))+((-'LTI_P&amp;L Schedule'!R13))+((-LTI_Schedules!R52))+((LTI_Schedules!R44*($B21)))))*(1/(1+G$18)^10))+((((('LTI_P&amp;L Schedule'!R14)*(1+((IF('LTI_Inputs &amp; Assumptions'!$C$11="",'LTI_Inputs &amp; Assumptions'!$C$10,'LTI_Inputs &amp; Assumptions'!$C$11))))*(1-('LTI_Inputs &amp; Assumptions'!$C$71)))*(1-((((IF('LTI_Inputs &amp; Assumptions'!$C$11="",'LTI_Inputs &amp; Assumptions'!$C$10,'LTI_Inputs &amp; Assumptions'!$C$11)))/(G$18))))/((G$18)-((IF('LTI_Inputs &amp; Assumptions'!$C$11="",'LTI_Inputs &amp; Assumptions'!$C$10,'LTI_Inputs &amp; Assumptions'!$C$11))))))*(1/(1+G$18)^10))))-(LTI_Schedules!$H$92)+(IFERROR(INDEX(LTI_HS_CONSOLIDATED!I:I,MATCH("CashAndCashEquivalents",LTI_HS_CONSOLIDATED!$C:$C,0)),0)))/'LTI_WACC Schedule'!$C7</f>
        <v/>
      </c>
    </row>
    <row r="22">
      <c r="B22" s="115" t="n">
        <v>1.15</v>
      </c>
      <c r="C22" s="130">
        <f>(((((((('LTI_P&amp;L Schedule'!I14)*(1-(IFERROR(LTI_Schedules!I106/LTI_Schedules!I105,0))))+((-'LTI_P&amp;L Schedule'!I13))+((-LTI_Schedules!I52))+((LTI_Schedules!I44*($B22)))))*(1/(1+C$18)^1)+(((('LTI_P&amp;L Schedule'!J14)*(1-(IFERROR(LTI_Schedules!J106/LTI_Schedules!J105,0))))+((-'LTI_P&amp;L Schedule'!J13))+((-LTI_Schedules!J52))+((LTI_Schedules!J44*($B22)))))*(1/(1+C$18)^2)+(((('LTI_P&amp;L Schedule'!K14)*(1-(IFERROR(LTI_Schedules!K106/LTI_Schedules!K105,0))))+((-'LTI_P&amp;L Schedule'!K13))+((-LTI_Schedules!K52))+((LTI_Schedules!K44*($B22)))))*(1/(1+C$18)^3)+(((('LTI_P&amp;L Schedule'!L14)*(1-(IFERROR(LTI_Schedules!L106/LTI_Schedules!L105,0))))+((-'LTI_P&amp;L Schedule'!L13))+((-LTI_Schedules!L52))+((LTI_Schedules!L44*($B22)))))*(1/(1+C$18)^4)+(((('LTI_P&amp;L Schedule'!M14)*(1-(IFERROR(LTI_Schedules!M106/LTI_Schedules!M105,0))))+((-'LTI_P&amp;L Schedule'!M13))+((-LTI_Schedules!M52))+((LTI_Schedules!M44*($B22)))))*(1/(1+C$18)^5)+(((('LTI_P&amp;L Schedule'!N14)*(1-(IFERROR(LTI_Schedules!N106/LTI_Schedules!N105,0))))+((-'LTI_P&amp;L Schedule'!N13))+((-LTI_Schedules!N52))+((LTI_Schedules!N44*($B22)))))*(1/(1+C$18)^6)+(((('LTI_P&amp;L Schedule'!O14)*(1-(IFERROR(LTI_Schedules!O106/LTI_Schedules!O105,0))))+((-'LTI_P&amp;L Schedule'!O13))+((-LTI_Schedules!O52))+((LTI_Schedules!O44*($B22)))))*(1/(1+C$18)^7)+(((('LTI_P&amp;L Schedule'!P14)*(1-(IFERROR(LTI_Schedules!P106/LTI_Schedules!P105,0))))+((-'LTI_P&amp;L Schedule'!P13))+((-LTI_Schedules!P52))+((LTI_Schedules!P44*($B22)))))*(1/(1+C$18)^8)+(((('LTI_P&amp;L Schedule'!Q14)*(1-(IFERROR(LTI_Schedules!Q106/LTI_Schedules!Q105,0))))+((-'LTI_P&amp;L Schedule'!Q13))+((-LTI_Schedules!Q52))+((LTI_Schedules!Q44*($B22)))))*(1/(1+C$18)^9)+(((('LTI_P&amp;L Schedule'!R14)*(1-(IFERROR(LTI_Schedules!R106/LTI_Schedules!R105,0))))+((-'LTI_P&amp;L Schedule'!R13))+((-LTI_Schedules!R52))+((LTI_Schedules!R44*($B22)))))*(1/(1+C$18)^10))+((((('LTI_P&amp;L Schedule'!R14)*(1+((IF('LTI_Inputs &amp; Assumptions'!$C$11="",'LTI_Inputs &amp; Assumptions'!$C$10,'LTI_Inputs &amp; Assumptions'!$C$11))))*(1-('LTI_Inputs &amp; Assumptions'!$C$71)))*(1-((((IF('LTI_Inputs &amp; Assumptions'!$C$11="",'LTI_Inputs &amp; Assumptions'!$C$10,'LTI_Inputs &amp; Assumptions'!$C$11)))/(C$18))))/((C$18)-((IF('LTI_Inputs &amp; Assumptions'!$C$11="",'LTI_Inputs &amp; Assumptions'!$C$10,'LTI_Inputs &amp; Assumptions'!$C$11))))))*(1/(1+C$18)^10))))-(LTI_Schedules!$H$92)+(IFERROR(INDEX(LTI_HS_CONSOLIDATED!I:I,MATCH("CashAndCashEquivalents",LTI_HS_CONSOLIDATED!$C:$C,0)),0)))/'LTI_WACC Schedule'!$C7</f>
        <v/>
      </c>
      <c r="D22" s="130">
        <f>(((((((('LTI_P&amp;L Schedule'!I14)*(1-(IFERROR(LTI_Schedules!I106/LTI_Schedules!I105,0))))+((-'LTI_P&amp;L Schedule'!I13))+((-LTI_Schedules!I52))+((LTI_Schedules!I44*($B22)))))*(1/(1+D$18)^1)+(((('LTI_P&amp;L Schedule'!J14)*(1-(IFERROR(LTI_Schedules!J106/LTI_Schedules!J105,0))))+((-'LTI_P&amp;L Schedule'!J13))+((-LTI_Schedules!J52))+((LTI_Schedules!J44*($B22)))))*(1/(1+D$18)^2)+(((('LTI_P&amp;L Schedule'!K14)*(1-(IFERROR(LTI_Schedules!K106/LTI_Schedules!K105,0))))+((-'LTI_P&amp;L Schedule'!K13))+((-LTI_Schedules!K52))+((LTI_Schedules!K44*($B22)))))*(1/(1+D$18)^3)+(((('LTI_P&amp;L Schedule'!L14)*(1-(IFERROR(LTI_Schedules!L106/LTI_Schedules!L105,0))))+((-'LTI_P&amp;L Schedule'!L13))+((-LTI_Schedules!L52))+((LTI_Schedules!L44*($B22)))))*(1/(1+D$18)^4)+(((('LTI_P&amp;L Schedule'!M14)*(1-(IFERROR(LTI_Schedules!M106/LTI_Schedules!M105,0))))+((-'LTI_P&amp;L Schedule'!M13))+((-LTI_Schedules!M52))+((LTI_Schedules!M44*($B22)))))*(1/(1+D$18)^5)+(((('LTI_P&amp;L Schedule'!N14)*(1-(IFERROR(LTI_Schedules!N106/LTI_Schedules!N105,0))))+((-'LTI_P&amp;L Schedule'!N13))+((-LTI_Schedules!N52))+((LTI_Schedules!N44*($B22)))))*(1/(1+D$18)^6)+(((('LTI_P&amp;L Schedule'!O14)*(1-(IFERROR(LTI_Schedules!O106/LTI_Schedules!O105,0))))+((-'LTI_P&amp;L Schedule'!O13))+((-LTI_Schedules!O52))+((LTI_Schedules!O44*($B22)))))*(1/(1+D$18)^7)+(((('LTI_P&amp;L Schedule'!P14)*(1-(IFERROR(LTI_Schedules!P106/LTI_Schedules!P105,0))))+((-'LTI_P&amp;L Schedule'!P13))+((-LTI_Schedules!P52))+((LTI_Schedules!P44*($B22)))))*(1/(1+D$18)^8)+(((('LTI_P&amp;L Schedule'!Q14)*(1-(IFERROR(LTI_Schedules!Q106/LTI_Schedules!Q105,0))))+((-'LTI_P&amp;L Schedule'!Q13))+((-LTI_Schedules!Q52))+((LTI_Schedules!Q44*($B22)))))*(1/(1+D$18)^9)+(((('LTI_P&amp;L Schedule'!R14)*(1-(IFERROR(LTI_Schedules!R106/LTI_Schedules!R105,0))))+((-'LTI_P&amp;L Schedule'!R13))+((-LTI_Schedules!R52))+((LTI_Schedules!R44*($B22)))))*(1/(1+D$18)^10))+((((('LTI_P&amp;L Schedule'!R14)*(1+((IF('LTI_Inputs &amp; Assumptions'!$C$11="",'LTI_Inputs &amp; Assumptions'!$C$10,'LTI_Inputs &amp; Assumptions'!$C$11))))*(1-('LTI_Inputs &amp; Assumptions'!$C$71)))*(1-((((IF('LTI_Inputs &amp; Assumptions'!$C$11="",'LTI_Inputs &amp; Assumptions'!$C$10,'LTI_Inputs &amp; Assumptions'!$C$11)))/(D$18))))/((D$18)-((IF('LTI_Inputs &amp; Assumptions'!$C$11="",'LTI_Inputs &amp; Assumptions'!$C$10,'LTI_Inputs &amp; Assumptions'!$C$11))))))*(1/(1+D$18)^10))))-(LTI_Schedules!$H$92)+(IFERROR(INDEX(LTI_HS_CONSOLIDATED!I:I,MATCH("CashAndCashEquivalents",LTI_HS_CONSOLIDATED!$C:$C,0)),0)))/'LTI_WACC Schedule'!$C7</f>
        <v/>
      </c>
      <c r="E22" s="130">
        <f>(((((((('LTI_P&amp;L Schedule'!I14)*(1-(IFERROR(LTI_Schedules!I106/LTI_Schedules!I105,0))))+((-'LTI_P&amp;L Schedule'!I13))+((-LTI_Schedules!I52))+((LTI_Schedules!I44*($B22)))))*(1/(1+E$18)^1)+(((('LTI_P&amp;L Schedule'!J14)*(1-(IFERROR(LTI_Schedules!J106/LTI_Schedules!J105,0))))+((-'LTI_P&amp;L Schedule'!J13))+((-LTI_Schedules!J52))+((LTI_Schedules!J44*($B22)))))*(1/(1+E$18)^2)+(((('LTI_P&amp;L Schedule'!K14)*(1-(IFERROR(LTI_Schedules!K106/LTI_Schedules!K105,0))))+((-'LTI_P&amp;L Schedule'!K13))+((-LTI_Schedules!K52))+((LTI_Schedules!K44*($B22)))))*(1/(1+E$18)^3)+(((('LTI_P&amp;L Schedule'!L14)*(1-(IFERROR(LTI_Schedules!L106/LTI_Schedules!L105,0))))+((-'LTI_P&amp;L Schedule'!L13))+((-LTI_Schedules!L52))+((LTI_Schedules!L44*($B22)))))*(1/(1+E$18)^4)+(((('LTI_P&amp;L Schedule'!M14)*(1-(IFERROR(LTI_Schedules!M106/LTI_Schedules!M105,0))))+((-'LTI_P&amp;L Schedule'!M13))+((-LTI_Schedules!M52))+((LTI_Schedules!M44*($B22)))))*(1/(1+E$18)^5)+(((('LTI_P&amp;L Schedule'!N14)*(1-(IFERROR(LTI_Schedules!N106/LTI_Schedules!N105,0))))+((-'LTI_P&amp;L Schedule'!N13))+((-LTI_Schedules!N52))+((LTI_Schedules!N44*($B22)))))*(1/(1+E$18)^6)+(((('LTI_P&amp;L Schedule'!O14)*(1-(IFERROR(LTI_Schedules!O106/LTI_Schedules!O105,0))))+((-'LTI_P&amp;L Schedule'!O13))+((-LTI_Schedules!O52))+((LTI_Schedules!O44*($B22)))))*(1/(1+E$18)^7)+(((('LTI_P&amp;L Schedule'!P14)*(1-(IFERROR(LTI_Schedules!P106/LTI_Schedules!P105,0))))+((-'LTI_P&amp;L Schedule'!P13))+((-LTI_Schedules!P52))+((LTI_Schedules!P44*($B22)))))*(1/(1+E$18)^8)+(((('LTI_P&amp;L Schedule'!Q14)*(1-(IFERROR(LTI_Schedules!Q106/LTI_Schedules!Q105,0))))+((-'LTI_P&amp;L Schedule'!Q13))+((-LTI_Schedules!Q52))+((LTI_Schedules!Q44*($B22)))))*(1/(1+E$18)^9)+(((('LTI_P&amp;L Schedule'!R14)*(1-(IFERROR(LTI_Schedules!R106/LTI_Schedules!R105,0))))+((-'LTI_P&amp;L Schedule'!R13))+((-LTI_Schedules!R52))+((LTI_Schedules!R44*($B22)))))*(1/(1+E$18)^10))+((((('LTI_P&amp;L Schedule'!R14)*(1+((IF('LTI_Inputs &amp; Assumptions'!$C$11="",'LTI_Inputs &amp; Assumptions'!$C$10,'LTI_Inputs &amp; Assumptions'!$C$11))))*(1-('LTI_Inputs &amp; Assumptions'!$C$71)))*(1-((((IF('LTI_Inputs &amp; Assumptions'!$C$11="",'LTI_Inputs &amp; Assumptions'!$C$10,'LTI_Inputs &amp; Assumptions'!$C$11)))/(E$18))))/((E$18)-((IF('LTI_Inputs &amp; Assumptions'!$C$11="",'LTI_Inputs &amp; Assumptions'!$C$10,'LTI_Inputs &amp; Assumptions'!$C$11))))))*(1/(1+E$18)^10))))-(LTI_Schedules!$H$92)+(IFERROR(INDEX(LTI_HS_CONSOLIDATED!I:I,MATCH("CashAndCashEquivalents",LTI_HS_CONSOLIDATED!$C:$C,0)),0)))/'LTI_WACC Schedule'!$C7</f>
        <v/>
      </c>
      <c r="F22" s="130">
        <f>(((((((('LTI_P&amp;L Schedule'!I14)*(1-(IFERROR(LTI_Schedules!I106/LTI_Schedules!I105,0))))+((-'LTI_P&amp;L Schedule'!I13))+((-LTI_Schedules!I52))+((LTI_Schedules!I44*($B22)))))*(1/(1+F$18)^1)+(((('LTI_P&amp;L Schedule'!J14)*(1-(IFERROR(LTI_Schedules!J106/LTI_Schedules!J105,0))))+((-'LTI_P&amp;L Schedule'!J13))+((-LTI_Schedules!J52))+((LTI_Schedules!J44*($B22)))))*(1/(1+F$18)^2)+(((('LTI_P&amp;L Schedule'!K14)*(1-(IFERROR(LTI_Schedules!K106/LTI_Schedules!K105,0))))+((-'LTI_P&amp;L Schedule'!K13))+((-LTI_Schedules!K52))+((LTI_Schedules!K44*($B22)))))*(1/(1+F$18)^3)+(((('LTI_P&amp;L Schedule'!L14)*(1-(IFERROR(LTI_Schedules!L106/LTI_Schedules!L105,0))))+((-'LTI_P&amp;L Schedule'!L13))+((-LTI_Schedules!L52))+((LTI_Schedules!L44*($B22)))))*(1/(1+F$18)^4)+(((('LTI_P&amp;L Schedule'!M14)*(1-(IFERROR(LTI_Schedules!M106/LTI_Schedules!M105,0))))+((-'LTI_P&amp;L Schedule'!M13))+((-LTI_Schedules!M52))+((LTI_Schedules!M44*($B22)))))*(1/(1+F$18)^5)+(((('LTI_P&amp;L Schedule'!N14)*(1-(IFERROR(LTI_Schedules!N106/LTI_Schedules!N105,0))))+((-'LTI_P&amp;L Schedule'!N13))+((-LTI_Schedules!N52))+((LTI_Schedules!N44*($B22)))))*(1/(1+F$18)^6)+(((('LTI_P&amp;L Schedule'!O14)*(1-(IFERROR(LTI_Schedules!O106/LTI_Schedules!O105,0))))+((-'LTI_P&amp;L Schedule'!O13))+((-LTI_Schedules!O52))+((LTI_Schedules!O44*($B22)))))*(1/(1+F$18)^7)+(((('LTI_P&amp;L Schedule'!P14)*(1-(IFERROR(LTI_Schedules!P106/LTI_Schedules!P105,0))))+((-'LTI_P&amp;L Schedule'!P13))+((-LTI_Schedules!P52))+((LTI_Schedules!P44*($B22)))))*(1/(1+F$18)^8)+(((('LTI_P&amp;L Schedule'!Q14)*(1-(IFERROR(LTI_Schedules!Q106/LTI_Schedules!Q105,0))))+((-'LTI_P&amp;L Schedule'!Q13))+((-LTI_Schedules!Q52))+((LTI_Schedules!Q44*($B22)))))*(1/(1+F$18)^9)+(((('LTI_P&amp;L Schedule'!R14)*(1-(IFERROR(LTI_Schedules!R106/LTI_Schedules!R105,0))))+((-'LTI_P&amp;L Schedule'!R13))+((-LTI_Schedules!R52))+((LTI_Schedules!R44*($B22)))))*(1/(1+F$18)^10))+((((('LTI_P&amp;L Schedule'!R14)*(1+((IF('LTI_Inputs &amp; Assumptions'!$C$11="",'LTI_Inputs &amp; Assumptions'!$C$10,'LTI_Inputs &amp; Assumptions'!$C$11))))*(1-('LTI_Inputs &amp; Assumptions'!$C$71)))*(1-((((IF('LTI_Inputs &amp; Assumptions'!$C$11="",'LTI_Inputs &amp; Assumptions'!$C$10,'LTI_Inputs &amp; Assumptions'!$C$11)))/(F$18))))/((F$18)-((IF('LTI_Inputs &amp; Assumptions'!$C$11="",'LTI_Inputs &amp; Assumptions'!$C$10,'LTI_Inputs &amp; Assumptions'!$C$11))))))*(1/(1+F$18)^10))))-(LTI_Schedules!$H$92)+(IFERROR(INDEX(LTI_HS_CONSOLIDATED!I:I,MATCH("CashAndCashEquivalents",LTI_HS_CONSOLIDATED!$C:$C,0)),0)))/'LTI_WACC Schedule'!$C7</f>
        <v/>
      </c>
      <c r="G22" s="130">
        <f>(((((((('LTI_P&amp;L Schedule'!I14)*(1-(IFERROR(LTI_Schedules!I106/LTI_Schedules!I105,0))))+((-'LTI_P&amp;L Schedule'!I13))+((-LTI_Schedules!I52))+((LTI_Schedules!I44*($B22)))))*(1/(1+G$18)^1)+(((('LTI_P&amp;L Schedule'!J14)*(1-(IFERROR(LTI_Schedules!J106/LTI_Schedules!J105,0))))+((-'LTI_P&amp;L Schedule'!J13))+((-LTI_Schedules!J52))+((LTI_Schedules!J44*($B22)))))*(1/(1+G$18)^2)+(((('LTI_P&amp;L Schedule'!K14)*(1-(IFERROR(LTI_Schedules!K106/LTI_Schedules!K105,0))))+((-'LTI_P&amp;L Schedule'!K13))+((-LTI_Schedules!K52))+((LTI_Schedules!K44*($B22)))))*(1/(1+G$18)^3)+(((('LTI_P&amp;L Schedule'!L14)*(1-(IFERROR(LTI_Schedules!L106/LTI_Schedules!L105,0))))+((-'LTI_P&amp;L Schedule'!L13))+((-LTI_Schedules!L52))+((LTI_Schedules!L44*($B22)))))*(1/(1+G$18)^4)+(((('LTI_P&amp;L Schedule'!M14)*(1-(IFERROR(LTI_Schedules!M106/LTI_Schedules!M105,0))))+((-'LTI_P&amp;L Schedule'!M13))+((-LTI_Schedules!M52))+((LTI_Schedules!M44*($B22)))))*(1/(1+G$18)^5)+(((('LTI_P&amp;L Schedule'!N14)*(1-(IFERROR(LTI_Schedules!N106/LTI_Schedules!N105,0))))+((-'LTI_P&amp;L Schedule'!N13))+((-LTI_Schedules!N52))+((LTI_Schedules!N44*($B22)))))*(1/(1+G$18)^6)+(((('LTI_P&amp;L Schedule'!O14)*(1-(IFERROR(LTI_Schedules!O106/LTI_Schedules!O105,0))))+((-'LTI_P&amp;L Schedule'!O13))+((-LTI_Schedules!O52))+((LTI_Schedules!O44*($B22)))))*(1/(1+G$18)^7)+(((('LTI_P&amp;L Schedule'!P14)*(1-(IFERROR(LTI_Schedules!P106/LTI_Schedules!P105,0))))+((-'LTI_P&amp;L Schedule'!P13))+((-LTI_Schedules!P52))+((LTI_Schedules!P44*($B22)))))*(1/(1+G$18)^8)+(((('LTI_P&amp;L Schedule'!Q14)*(1-(IFERROR(LTI_Schedules!Q106/LTI_Schedules!Q105,0))))+((-'LTI_P&amp;L Schedule'!Q13))+((-LTI_Schedules!Q52))+((LTI_Schedules!Q44*($B22)))))*(1/(1+G$18)^9)+(((('LTI_P&amp;L Schedule'!R14)*(1-(IFERROR(LTI_Schedules!R106/LTI_Schedules!R105,0))))+((-'LTI_P&amp;L Schedule'!R13))+((-LTI_Schedules!R52))+((LTI_Schedules!R44*($B22)))))*(1/(1+G$18)^10))+((((('LTI_P&amp;L Schedule'!R14)*(1+((IF('LTI_Inputs &amp; Assumptions'!$C$11="",'LTI_Inputs &amp; Assumptions'!$C$10,'LTI_Inputs &amp; Assumptions'!$C$11))))*(1-('LTI_Inputs &amp; Assumptions'!$C$71)))*(1-((((IF('LTI_Inputs &amp; Assumptions'!$C$11="",'LTI_Inputs &amp; Assumptions'!$C$10,'LTI_Inputs &amp; Assumptions'!$C$11)))/(G$18))))/((G$18)-((IF('LTI_Inputs &amp; Assumptions'!$C$11="",'LTI_Inputs &amp; Assumptions'!$C$10,'LTI_Inputs &amp; Assumptions'!$C$11))))))*(1/(1+G$18)^10))))-(LTI_Schedules!$H$92)+(IFERROR(INDEX(LTI_HS_CONSOLIDATED!I:I,MATCH("CashAndCashEquivalents",LTI_HS_CONSOLIDATED!$C:$C,0)),0)))/'LTI_WACC Schedule'!$C7</f>
        <v/>
      </c>
    </row>
    <row r="23">
      <c r="B23" s="115" t="n">
        <v>1.3</v>
      </c>
      <c r="C23" s="130">
        <f>(((((((('LTI_P&amp;L Schedule'!I14)*(1-(IFERROR(LTI_Schedules!I106/LTI_Schedules!I105,0))))+((-'LTI_P&amp;L Schedule'!I13))+((-LTI_Schedules!I52))+((LTI_Schedules!I44*($B23)))))*(1/(1+C$18)^1)+(((('LTI_P&amp;L Schedule'!J14)*(1-(IFERROR(LTI_Schedules!J106/LTI_Schedules!J105,0))))+((-'LTI_P&amp;L Schedule'!J13))+((-LTI_Schedules!J52))+((LTI_Schedules!J44*($B23)))))*(1/(1+C$18)^2)+(((('LTI_P&amp;L Schedule'!K14)*(1-(IFERROR(LTI_Schedules!K106/LTI_Schedules!K105,0))))+((-'LTI_P&amp;L Schedule'!K13))+((-LTI_Schedules!K52))+((LTI_Schedules!K44*($B23)))))*(1/(1+C$18)^3)+(((('LTI_P&amp;L Schedule'!L14)*(1-(IFERROR(LTI_Schedules!L106/LTI_Schedules!L105,0))))+((-'LTI_P&amp;L Schedule'!L13))+((-LTI_Schedules!L52))+((LTI_Schedules!L44*($B23)))))*(1/(1+C$18)^4)+(((('LTI_P&amp;L Schedule'!M14)*(1-(IFERROR(LTI_Schedules!M106/LTI_Schedules!M105,0))))+((-'LTI_P&amp;L Schedule'!M13))+((-LTI_Schedules!M52))+((LTI_Schedules!M44*($B23)))))*(1/(1+C$18)^5)+(((('LTI_P&amp;L Schedule'!N14)*(1-(IFERROR(LTI_Schedules!N106/LTI_Schedules!N105,0))))+((-'LTI_P&amp;L Schedule'!N13))+((-LTI_Schedules!N52))+((LTI_Schedules!N44*($B23)))))*(1/(1+C$18)^6)+(((('LTI_P&amp;L Schedule'!O14)*(1-(IFERROR(LTI_Schedules!O106/LTI_Schedules!O105,0))))+((-'LTI_P&amp;L Schedule'!O13))+((-LTI_Schedules!O52))+((LTI_Schedules!O44*($B23)))))*(1/(1+C$18)^7)+(((('LTI_P&amp;L Schedule'!P14)*(1-(IFERROR(LTI_Schedules!P106/LTI_Schedules!P105,0))))+((-'LTI_P&amp;L Schedule'!P13))+((-LTI_Schedules!P52))+((LTI_Schedules!P44*($B23)))))*(1/(1+C$18)^8)+(((('LTI_P&amp;L Schedule'!Q14)*(1-(IFERROR(LTI_Schedules!Q106/LTI_Schedules!Q105,0))))+((-'LTI_P&amp;L Schedule'!Q13))+((-LTI_Schedules!Q52))+((LTI_Schedules!Q44*($B23)))))*(1/(1+C$18)^9)+(((('LTI_P&amp;L Schedule'!R14)*(1-(IFERROR(LTI_Schedules!R106/LTI_Schedules!R105,0))))+((-'LTI_P&amp;L Schedule'!R13))+((-LTI_Schedules!R52))+((LTI_Schedules!R44*($B23)))))*(1/(1+C$18)^10))+((((('LTI_P&amp;L Schedule'!R14)*(1+((IF('LTI_Inputs &amp; Assumptions'!$C$11="",'LTI_Inputs &amp; Assumptions'!$C$10,'LTI_Inputs &amp; Assumptions'!$C$11))))*(1-('LTI_Inputs &amp; Assumptions'!$C$71)))*(1-((((IF('LTI_Inputs &amp; Assumptions'!$C$11="",'LTI_Inputs &amp; Assumptions'!$C$10,'LTI_Inputs &amp; Assumptions'!$C$11)))/(C$18))))/((C$18)-((IF('LTI_Inputs &amp; Assumptions'!$C$11="",'LTI_Inputs &amp; Assumptions'!$C$10,'LTI_Inputs &amp; Assumptions'!$C$11))))))*(1/(1+C$18)^10))))-(LTI_Schedules!$H$92)+(IFERROR(INDEX(LTI_HS_CONSOLIDATED!I:I,MATCH("CashAndCashEquivalents",LTI_HS_CONSOLIDATED!$C:$C,0)),0)))/'LTI_WACC Schedule'!$C7</f>
        <v/>
      </c>
      <c r="D23" s="130">
        <f>(((((((('LTI_P&amp;L Schedule'!I14)*(1-(IFERROR(LTI_Schedules!I106/LTI_Schedules!I105,0))))+((-'LTI_P&amp;L Schedule'!I13))+((-LTI_Schedules!I52))+((LTI_Schedules!I44*($B23)))))*(1/(1+D$18)^1)+(((('LTI_P&amp;L Schedule'!J14)*(1-(IFERROR(LTI_Schedules!J106/LTI_Schedules!J105,0))))+((-'LTI_P&amp;L Schedule'!J13))+((-LTI_Schedules!J52))+((LTI_Schedules!J44*($B23)))))*(1/(1+D$18)^2)+(((('LTI_P&amp;L Schedule'!K14)*(1-(IFERROR(LTI_Schedules!K106/LTI_Schedules!K105,0))))+((-'LTI_P&amp;L Schedule'!K13))+((-LTI_Schedules!K52))+((LTI_Schedules!K44*($B23)))))*(1/(1+D$18)^3)+(((('LTI_P&amp;L Schedule'!L14)*(1-(IFERROR(LTI_Schedules!L106/LTI_Schedules!L105,0))))+((-'LTI_P&amp;L Schedule'!L13))+((-LTI_Schedules!L52))+((LTI_Schedules!L44*($B23)))))*(1/(1+D$18)^4)+(((('LTI_P&amp;L Schedule'!M14)*(1-(IFERROR(LTI_Schedules!M106/LTI_Schedules!M105,0))))+((-'LTI_P&amp;L Schedule'!M13))+((-LTI_Schedules!M52))+((LTI_Schedules!M44*($B23)))))*(1/(1+D$18)^5)+(((('LTI_P&amp;L Schedule'!N14)*(1-(IFERROR(LTI_Schedules!N106/LTI_Schedules!N105,0))))+((-'LTI_P&amp;L Schedule'!N13))+((-LTI_Schedules!N52))+((LTI_Schedules!N44*($B23)))))*(1/(1+D$18)^6)+(((('LTI_P&amp;L Schedule'!O14)*(1-(IFERROR(LTI_Schedules!O106/LTI_Schedules!O105,0))))+((-'LTI_P&amp;L Schedule'!O13))+((-LTI_Schedules!O52))+((LTI_Schedules!O44*($B23)))))*(1/(1+D$18)^7)+(((('LTI_P&amp;L Schedule'!P14)*(1-(IFERROR(LTI_Schedules!P106/LTI_Schedules!P105,0))))+((-'LTI_P&amp;L Schedule'!P13))+((-LTI_Schedules!P52))+((LTI_Schedules!P44*($B23)))))*(1/(1+D$18)^8)+(((('LTI_P&amp;L Schedule'!Q14)*(1-(IFERROR(LTI_Schedules!Q106/LTI_Schedules!Q105,0))))+((-'LTI_P&amp;L Schedule'!Q13))+((-LTI_Schedules!Q52))+((LTI_Schedules!Q44*($B23)))))*(1/(1+D$18)^9)+(((('LTI_P&amp;L Schedule'!R14)*(1-(IFERROR(LTI_Schedules!R106/LTI_Schedules!R105,0))))+((-'LTI_P&amp;L Schedule'!R13))+((-LTI_Schedules!R52))+((LTI_Schedules!R44*($B23)))))*(1/(1+D$18)^10))+((((('LTI_P&amp;L Schedule'!R14)*(1+((IF('LTI_Inputs &amp; Assumptions'!$C$11="",'LTI_Inputs &amp; Assumptions'!$C$10,'LTI_Inputs &amp; Assumptions'!$C$11))))*(1-('LTI_Inputs &amp; Assumptions'!$C$71)))*(1-((((IF('LTI_Inputs &amp; Assumptions'!$C$11="",'LTI_Inputs &amp; Assumptions'!$C$10,'LTI_Inputs &amp; Assumptions'!$C$11)))/(D$18))))/((D$18)-((IF('LTI_Inputs &amp; Assumptions'!$C$11="",'LTI_Inputs &amp; Assumptions'!$C$10,'LTI_Inputs &amp; Assumptions'!$C$11))))))*(1/(1+D$18)^10))))-(LTI_Schedules!$H$92)+(IFERROR(INDEX(LTI_HS_CONSOLIDATED!I:I,MATCH("CashAndCashEquivalents",LTI_HS_CONSOLIDATED!$C:$C,0)),0)))/'LTI_WACC Schedule'!$C7</f>
        <v/>
      </c>
      <c r="E23" s="130">
        <f>(((((((('LTI_P&amp;L Schedule'!I14)*(1-(IFERROR(LTI_Schedules!I106/LTI_Schedules!I105,0))))+((-'LTI_P&amp;L Schedule'!I13))+((-LTI_Schedules!I52))+((LTI_Schedules!I44*($B23)))))*(1/(1+E$18)^1)+(((('LTI_P&amp;L Schedule'!J14)*(1-(IFERROR(LTI_Schedules!J106/LTI_Schedules!J105,0))))+((-'LTI_P&amp;L Schedule'!J13))+((-LTI_Schedules!J52))+((LTI_Schedules!J44*($B23)))))*(1/(1+E$18)^2)+(((('LTI_P&amp;L Schedule'!K14)*(1-(IFERROR(LTI_Schedules!K106/LTI_Schedules!K105,0))))+((-'LTI_P&amp;L Schedule'!K13))+((-LTI_Schedules!K52))+((LTI_Schedules!K44*($B23)))))*(1/(1+E$18)^3)+(((('LTI_P&amp;L Schedule'!L14)*(1-(IFERROR(LTI_Schedules!L106/LTI_Schedules!L105,0))))+((-'LTI_P&amp;L Schedule'!L13))+((-LTI_Schedules!L52))+((LTI_Schedules!L44*($B23)))))*(1/(1+E$18)^4)+(((('LTI_P&amp;L Schedule'!M14)*(1-(IFERROR(LTI_Schedules!M106/LTI_Schedules!M105,0))))+((-'LTI_P&amp;L Schedule'!M13))+((-LTI_Schedules!M52))+((LTI_Schedules!M44*($B23)))))*(1/(1+E$18)^5)+(((('LTI_P&amp;L Schedule'!N14)*(1-(IFERROR(LTI_Schedules!N106/LTI_Schedules!N105,0))))+((-'LTI_P&amp;L Schedule'!N13))+((-LTI_Schedules!N52))+((LTI_Schedules!N44*($B23)))))*(1/(1+E$18)^6)+(((('LTI_P&amp;L Schedule'!O14)*(1-(IFERROR(LTI_Schedules!O106/LTI_Schedules!O105,0))))+((-'LTI_P&amp;L Schedule'!O13))+((-LTI_Schedules!O52))+((LTI_Schedules!O44*($B23)))))*(1/(1+E$18)^7)+(((('LTI_P&amp;L Schedule'!P14)*(1-(IFERROR(LTI_Schedules!P106/LTI_Schedules!P105,0))))+((-'LTI_P&amp;L Schedule'!P13))+((-LTI_Schedules!P52))+((LTI_Schedules!P44*($B23)))))*(1/(1+E$18)^8)+(((('LTI_P&amp;L Schedule'!Q14)*(1-(IFERROR(LTI_Schedules!Q106/LTI_Schedules!Q105,0))))+((-'LTI_P&amp;L Schedule'!Q13))+((-LTI_Schedules!Q52))+((LTI_Schedules!Q44*($B23)))))*(1/(1+E$18)^9)+(((('LTI_P&amp;L Schedule'!R14)*(1-(IFERROR(LTI_Schedules!R106/LTI_Schedules!R105,0))))+((-'LTI_P&amp;L Schedule'!R13))+((-LTI_Schedules!R52))+((LTI_Schedules!R44*($B23)))))*(1/(1+E$18)^10))+((((('LTI_P&amp;L Schedule'!R14)*(1+((IF('LTI_Inputs &amp; Assumptions'!$C$11="",'LTI_Inputs &amp; Assumptions'!$C$10,'LTI_Inputs &amp; Assumptions'!$C$11))))*(1-('LTI_Inputs &amp; Assumptions'!$C$71)))*(1-((((IF('LTI_Inputs &amp; Assumptions'!$C$11="",'LTI_Inputs &amp; Assumptions'!$C$10,'LTI_Inputs &amp; Assumptions'!$C$11)))/(E$18))))/((E$18)-((IF('LTI_Inputs &amp; Assumptions'!$C$11="",'LTI_Inputs &amp; Assumptions'!$C$10,'LTI_Inputs &amp; Assumptions'!$C$11))))))*(1/(1+E$18)^10))))-(LTI_Schedules!$H$92)+(IFERROR(INDEX(LTI_HS_CONSOLIDATED!I:I,MATCH("CashAndCashEquivalents",LTI_HS_CONSOLIDATED!$C:$C,0)),0)))/'LTI_WACC Schedule'!$C7</f>
        <v/>
      </c>
      <c r="F23" s="130">
        <f>(((((((('LTI_P&amp;L Schedule'!I14)*(1-(IFERROR(LTI_Schedules!I106/LTI_Schedules!I105,0))))+((-'LTI_P&amp;L Schedule'!I13))+((-LTI_Schedules!I52))+((LTI_Schedules!I44*($B23)))))*(1/(1+F$18)^1)+(((('LTI_P&amp;L Schedule'!J14)*(1-(IFERROR(LTI_Schedules!J106/LTI_Schedules!J105,0))))+((-'LTI_P&amp;L Schedule'!J13))+((-LTI_Schedules!J52))+((LTI_Schedules!J44*($B23)))))*(1/(1+F$18)^2)+(((('LTI_P&amp;L Schedule'!K14)*(1-(IFERROR(LTI_Schedules!K106/LTI_Schedules!K105,0))))+((-'LTI_P&amp;L Schedule'!K13))+((-LTI_Schedules!K52))+((LTI_Schedules!K44*($B23)))))*(1/(1+F$18)^3)+(((('LTI_P&amp;L Schedule'!L14)*(1-(IFERROR(LTI_Schedules!L106/LTI_Schedules!L105,0))))+((-'LTI_P&amp;L Schedule'!L13))+((-LTI_Schedules!L52))+((LTI_Schedules!L44*($B23)))))*(1/(1+F$18)^4)+(((('LTI_P&amp;L Schedule'!M14)*(1-(IFERROR(LTI_Schedules!M106/LTI_Schedules!M105,0))))+((-'LTI_P&amp;L Schedule'!M13))+((-LTI_Schedules!M52))+((LTI_Schedules!M44*($B23)))))*(1/(1+F$18)^5)+(((('LTI_P&amp;L Schedule'!N14)*(1-(IFERROR(LTI_Schedules!N106/LTI_Schedules!N105,0))))+((-'LTI_P&amp;L Schedule'!N13))+((-LTI_Schedules!N52))+((LTI_Schedules!N44*($B23)))))*(1/(1+F$18)^6)+(((('LTI_P&amp;L Schedule'!O14)*(1-(IFERROR(LTI_Schedules!O106/LTI_Schedules!O105,0))))+((-'LTI_P&amp;L Schedule'!O13))+((-LTI_Schedules!O52))+((LTI_Schedules!O44*($B23)))))*(1/(1+F$18)^7)+(((('LTI_P&amp;L Schedule'!P14)*(1-(IFERROR(LTI_Schedules!P106/LTI_Schedules!P105,0))))+((-'LTI_P&amp;L Schedule'!P13))+((-LTI_Schedules!P52))+((LTI_Schedules!P44*($B23)))))*(1/(1+F$18)^8)+(((('LTI_P&amp;L Schedule'!Q14)*(1-(IFERROR(LTI_Schedules!Q106/LTI_Schedules!Q105,0))))+((-'LTI_P&amp;L Schedule'!Q13))+((-LTI_Schedules!Q52))+((LTI_Schedules!Q44*($B23)))))*(1/(1+F$18)^9)+(((('LTI_P&amp;L Schedule'!R14)*(1-(IFERROR(LTI_Schedules!R106/LTI_Schedules!R105,0))))+((-'LTI_P&amp;L Schedule'!R13))+((-LTI_Schedules!R52))+((LTI_Schedules!R44*($B23)))))*(1/(1+F$18)^10))+((((('LTI_P&amp;L Schedule'!R14)*(1+((IF('LTI_Inputs &amp; Assumptions'!$C$11="",'LTI_Inputs &amp; Assumptions'!$C$10,'LTI_Inputs &amp; Assumptions'!$C$11))))*(1-('LTI_Inputs &amp; Assumptions'!$C$71)))*(1-((((IF('LTI_Inputs &amp; Assumptions'!$C$11="",'LTI_Inputs &amp; Assumptions'!$C$10,'LTI_Inputs &amp; Assumptions'!$C$11)))/(F$18))))/((F$18)-((IF('LTI_Inputs &amp; Assumptions'!$C$11="",'LTI_Inputs &amp; Assumptions'!$C$10,'LTI_Inputs &amp; Assumptions'!$C$11))))))*(1/(1+F$18)^10))))-(LTI_Schedules!$H$92)+(IFERROR(INDEX(LTI_HS_CONSOLIDATED!I:I,MATCH("CashAndCashEquivalents",LTI_HS_CONSOLIDATED!$C:$C,0)),0)))/'LTI_WACC Schedule'!$C7</f>
        <v/>
      </c>
      <c r="G23" s="130">
        <f>(((((((('LTI_P&amp;L Schedule'!I14)*(1-(IFERROR(LTI_Schedules!I106/LTI_Schedules!I105,0))))+((-'LTI_P&amp;L Schedule'!I13))+((-LTI_Schedules!I52))+((LTI_Schedules!I44*($B23)))))*(1/(1+G$18)^1)+(((('LTI_P&amp;L Schedule'!J14)*(1-(IFERROR(LTI_Schedules!J106/LTI_Schedules!J105,0))))+((-'LTI_P&amp;L Schedule'!J13))+((-LTI_Schedules!J52))+((LTI_Schedules!J44*($B23)))))*(1/(1+G$18)^2)+(((('LTI_P&amp;L Schedule'!K14)*(1-(IFERROR(LTI_Schedules!K106/LTI_Schedules!K105,0))))+((-'LTI_P&amp;L Schedule'!K13))+((-LTI_Schedules!K52))+((LTI_Schedules!K44*($B23)))))*(1/(1+G$18)^3)+(((('LTI_P&amp;L Schedule'!L14)*(1-(IFERROR(LTI_Schedules!L106/LTI_Schedules!L105,0))))+((-'LTI_P&amp;L Schedule'!L13))+((-LTI_Schedules!L52))+((LTI_Schedules!L44*($B23)))))*(1/(1+G$18)^4)+(((('LTI_P&amp;L Schedule'!M14)*(1-(IFERROR(LTI_Schedules!M106/LTI_Schedules!M105,0))))+((-'LTI_P&amp;L Schedule'!M13))+((-LTI_Schedules!M52))+((LTI_Schedules!M44*($B23)))))*(1/(1+G$18)^5)+(((('LTI_P&amp;L Schedule'!N14)*(1-(IFERROR(LTI_Schedules!N106/LTI_Schedules!N105,0))))+((-'LTI_P&amp;L Schedule'!N13))+((-LTI_Schedules!N52))+((LTI_Schedules!N44*($B23)))))*(1/(1+G$18)^6)+(((('LTI_P&amp;L Schedule'!O14)*(1-(IFERROR(LTI_Schedules!O106/LTI_Schedules!O105,0))))+((-'LTI_P&amp;L Schedule'!O13))+((-LTI_Schedules!O52))+((LTI_Schedules!O44*($B23)))))*(1/(1+G$18)^7)+(((('LTI_P&amp;L Schedule'!P14)*(1-(IFERROR(LTI_Schedules!P106/LTI_Schedules!P105,0))))+((-'LTI_P&amp;L Schedule'!P13))+((-LTI_Schedules!P52))+((LTI_Schedules!P44*($B23)))))*(1/(1+G$18)^8)+(((('LTI_P&amp;L Schedule'!Q14)*(1-(IFERROR(LTI_Schedules!Q106/LTI_Schedules!Q105,0))))+((-'LTI_P&amp;L Schedule'!Q13))+((-LTI_Schedules!Q52))+((LTI_Schedules!Q44*($B23)))))*(1/(1+G$18)^9)+(((('LTI_P&amp;L Schedule'!R14)*(1-(IFERROR(LTI_Schedules!R106/LTI_Schedules!R105,0))))+((-'LTI_P&amp;L Schedule'!R13))+((-LTI_Schedules!R52))+((LTI_Schedules!R44*($B23)))))*(1/(1+G$18)^10))+((((('LTI_P&amp;L Schedule'!R14)*(1+((IF('LTI_Inputs &amp; Assumptions'!$C$11="",'LTI_Inputs &amp; Assumptions'!$C$10,'LTI_Inputs &amp; Assumptions'!$C$11))))*(1-('LTI_Inputs &amp; Assumptions'!$C$71)))*(1-((((IF('LTI_Inputs &amp; Assumptions'!$C$11="",'LTI_Inputs &amp; Assumptions'!$C$10,'LTI_Inputs &amp; Assumptions'!$C$11)))/(G$18))))/((G$18)-((IF('LTI_Inputs &amp; Assumptions'!$C$11="",'LTI_Inputs &amp; Assumptions'!$C$10,'LTI_Inputs &amp; Assumptions'!$C$11))))))*(1/(1+G$18)^10))))-(LTI_Schedules!$H$92)+(IFERROR(INDEX(LTI_HS_CONSOLIDATED!I:I,MATCH("CashAndCashEquivalents",LTI_HS_CONSOLIDATED!$C:$C,0)),0)))/'LTI_WACC Schedule'!$C7</f>
        <v/>
      </c>
    </row>
    <row r="26" ht="17" customHeight="1" s="203">
      <c r="A26" t="inlineStr">
        <is>
          <t>#</t>
        </is>
      </c>
      <c r="B26" s="117" t="inlineStr">
        <is>
          <t>Table 3: Growth Fade Half-Life, years (rows) x WACC (cols) -&gt; Implied Value/Share</t>
        </is>
      </c>
    </row>
    <row r="27">
      <c r="B27" s="211" t="inlineStr">
        <is>
          <t>Overrides the Half-Life INPUT cell in Inputs &amp; Assumptions for this table only -- illustrative, does not change the live model.</t>
        </is>
      </c>
    </row>
    <row r="29">
      <c r="B29" s="128" t="inlineStr">
        <is>
          <t>WACC -&gt;</t>
        </is>
      </c>
    </row>
    <row r="30">
      <c r="B30" s="128" t="inlineStr">
        <is>
          <t>Half-Life (years)</t>
        </is>
      </c>
      <c r="C30" s="129">
        <f>'LTI_WACC Schedule'!$C39+(-0.02)</f>
        <v/>
      </c>
      <c r="D30" s="129">
        <f>'LTI_WACC Schedule'!$C39+(-0.01)</f>
        <v/>
      </c>
      <c r="E30" s="129">
        <f>'LTI_WACC Schedule'!$C39+(0)</f>
        <v/>
      </c>
      <c r="F30" s="129">
        <f>'LTI_WACC Schedule'!$C39+(0.01)</f>
        <v/>
      </c>
      <c r="G30" s="129">
        <f>'LTI_WACC Schedule'!$C39+(0.02)</f>
        <v/>
      </c>
    </row>
    <row r="31">
      <c r="B31" s="131" t="inlineStr">
        <is>
          <t>Note: this table is illustrative only -- the model's revenue/PP&amp;E fade curves already depend on the live Half-Life driver cell, so a true re-run per half-life value requires changing that cell directly (Data Table limitation of independent-formula sensitivity tables).</t>
        </is>
      </c>
    </row>
  </sheetData>
  <pageMargins left="0.75" right="0.75" top="1" bottom="1" header="0.5" footer="0.5"/>
</worksheet>
</file>

<file path=xl/worksheets/sheet28.xml><?xml version="1.0" encoding="utf-8"?>
<worksheet xmlns="http://schemas.openxmlformats.org/spreadsheetml/2006/main">
  <sheetPr>
    <tabColor rgb="001F4E78"/>
    <outlinePr summaryBelow="1" summaryRight="1"/>
    <pageSetUpPr/>
  </sheetPr>
  <dimension ref="A1:D49"/>
  <sheetViews>
    <sheetView showGridLines="0" workbookViewId="0">
      <selection activeCell="A1" sqref="A1"/>
    </sheetView>
  </sheetViews>
  <sheetFormatPr baseColWidth="8" defaultRowHeight="14.5"/>
  <cols>
    <col width="3.453125" customWidth="1" style="203" min="1" max="1"/>
    <col width="58" customWidth="1" style="203" min="2" max="2"/>
    <col width="16" customWidth="1" style="203" min="3" max="3"/>
    <col width="70" customWidth="1" style="203" min="4" max="4"/>
    <col width="17" customWidth="1" style="203" min="5" max="19"/>
  </cols>
  <sheetData>
    <row r="1" ht="21" customHeight="1" s="203">
      <c r="A1" t="inlineStr">
        <is>
          <t>#</t>
        </is>
      </c>
      <c r="B1" s="99" t="inlineStr">
        <is>
          <t>Growth Rate Methods -- Cross-Check Panel</t>
        </is>
      </c>
    </row>
    <row r="2" ht="28" customHeight="1" s="203">
      <c r="B2" s="132" t="inlineStr">
        <is>
          <t>Each method below is one independent estimate of long-run growth. Review them side by side, then type your final judgment call into the Selected Growth Rate cell at the bottom -- and carry that number into the Revenue Schedule's own Terminal Growth Rate INPUT cell yourself. Nothing on this sheet feeds the model automatically.</t>
        </is>
      </c>
    </row>
    <row r="4">
      <c r="A4" s="100" t="inlineStr">
        <is>
          <t>#</t>
        </is>
      </c>
      <c r="B4" s="100" t="inlineStr">
        <is>
          <t>Method</t>
        </is>
      </c>
      <c r="C4" s="100" t="inlineStr">
        <is>
          <t>Value</t>
        </is>
      </c>
      <c r="D4" s="100" t="inlineStr">
        <is>
          <t>Notes / Source</t>
        </is>
      </c>
    </row>
    <row r="6" ht="24" customHeight="1" s="203">
      <c r="B6" s="20" t="inlineStr">
        <is>
          <t>1. Historical Regression (this model's own Suggested driver)</t>
        </is>
      </c>
      <c r="C6" s="122">
        <f>'LTI_Inputs &amp; Assumptions'!C10</f>
        <v/>
      </c>
      <c r="D6" s="132" t="inlineStr">
        <is>
          <t>Backward-looking IQR-filtered historical revenue growth trend. No story behind the number -- a short or distorted history (e.g. a window spanning a demand shock) drags this straight down with it.</t>
        </is>
      </c>
    </row>
    <row r="8">
      <c r="B8" s="20" t="inlineStr">
        <is>
          <t>2. Fundamental Growth (g = Reinvestment Rate x ROIC)</t>
        </is>
      </c>
    </row>
    <row r="9">
      <c r="B9" s="119" t="inlineStr">
        <is>
          <t>Average Historical ROIC (from DCF sheet's Implied ROIC Check)</t>
        </is>
      </c>
      <c r="C9" s="133">
        <f>LTI_DCF!C44</f>
        <v/>
      </c>
    </row>
    <row r="10">
      <c r="B10" s="119" t="inlineStr">
        <is>
          <t>Average Historical Reinvestment Rate (last 3yr)</t>
        </is>
      </c>
      <c r="C10" s="133">
        <f>AVERAGE(IFERROR(((LTI_Schedules!F52)-((-'LTI_P&amp;L Schedule'!F13))-(LTI_Schedules!F44))/(LTI_DCF!F40),""),IFERROR(((LTI_Schedules!G52)-((-'LTI_P&amp;L Schedule'!G13))-(LTI_Schedules!G44))/(LTI_DCF!G40),""),IFERROR(((LTI_Schedules!H52)-((-'LTI_P&amp;L Schedule'!H13))-(LTI_Schedules!H44))/(LTI_DCF!H40),""))</f>
        <v/>
      </c>
    </row>
    <row r="11" ht="48" customHeight="1" s="203">
      <c r="B11" s="20" t="inlineStr">
        <is>
          <t>-&gt; Fundamental Growth Rate</t>
        </is>
      </c>
      <c r="C11" s="134">
        <f>C9*C10</f>
        <v/>
      </c>
      <c r="D11" s="132" t="inlineStr">
        <is>
          <t>Damodaran's preferred method -- ties growth directly to how much capital is being reinvested and how productively it's being deployed, rather than extrapolating a trend line. Reinvestment Rate = (Capex - D&amp;A - Cash from WC) / NOPAT, averaged over the same window as the model's other historical averages.</t>
        </is>
      </c>
    </row>
    <row r="13">
      <c r="B13" s="20" t="inlineStr">
        <is>
          <t>3. Analyst Consensus / Sell-Side Estimates</t>
        </is>
      </c>
    </row>
    <row r="14" ht="24" customHeight="1" s="203">
      <c r="B14" s="105" t="inlineStr">
        <is>
          <t>INPUT: consensus FY+1 growth estimate as of the valuation date</t>
        </is>
      </c>
      <c r="D14" s="132" t="inlineStr">
        <is>
          <t>Source sell-side analyst estimates published around the valuation/announcement date -- this is literally 'what was knowable when the deal was priced.'</t>
        </is>
      </c>
    </row>
    <row r="16">
      <c r="B16" s="20" t="inlineStr">
        <is>
          <t>4. Industry / Peer Growth Anchor</t>
        </is>
      </c>
    </row>
    <row r="17" ht="24" customHeight="1" s="203">
      <c r="B17" s="105" t="inlineStr">
        <is>
          <t>INPUT: industry-body or peer-average growth figure</t>
        </is>
      </c>
      <c r="D17" s="132" t="inlineStr">
        <is>
          <t>Source an industry association (e.g. NASSCOM) or a peer-average growth rate for the same period, as an external sanity check against the company's own trend.</t>
        </is>
      </c>
    </row>
    <row r="19">
      <c r="B19" s="20" t="inlineStr">
        <is>
          <t>5. Bottom-Up, Segment-by-Segment</t>
        </is>
      </c>
    </row>
    <row r="20" ht="36" customHeight="1" s="203">
      <c r="B20" s="105" t="inlineStr">
        <is>
          <t>INPUT: your own segment-weighted roll-up growth rate</t>
        </is>
      </c>
      <c r="D20" s="132" t="inlineStr">
        <is>
          <t>Build each reporting segment's own growth trajectory separately (e.g. by vertical or geography) and roll them up, weighted by segment revenue share. More granular and more defensible, but not automatable -- segment structures differ too much company to company to generalize into a formula.</t>
        </is>
      </c>
    </row>
    <row r="22">
      <c r="B22" s="20" t="inlineStr">
        <is>
          <t>6. Backlog / Contracted-Revenue-Based</t>
        </is>
      </c>
    </row>
    <row r="23" ht="48" customHeight="1" s="203">
      <c r="B23" s="105" t="inlineStr">
        <is>
          <t>INPUT: unsatisfied performance obligations (backlog), latest FY</t>
        </is>
      </c>
      <c r="D23" s="132" t="inlineStr">
        <is>
          <t>From the notes to accounts -- Ind AS 115 'unsatisfied/remaining performance obligations' disclosure. The underlying XBRL concept (TransactionPriceAllocatedToRemainingPerformanceObligations) is real and generic, but this pipeline's extraction tag list doesn't pull it yet, so it's entered by hand here rather than faked as a live lookup.</t>
        </is>
      </c>
    </row>
    <row r="24">
      <c r="B24" s="105" t="inlineStr">
        <is>
          <t>INPUT: % of backlog expected to convert within 1 year</t>
        </is>
      </c>
      <c r="D24" s="132" t="inlineStr">
        <is>
          <t>This split is almost always narrative disclosure, not a clean numeric tag -- read it off the same note.</t>
        </is>
      </c>
    </row>
    <row r="25">
      <c r="B25" s="20" t="inlineStr">
        <is>
          <t>-&gt; Implied Next-FY Revenue Floor (backlog x %)</t>
        </is>
      </c>
      <c r="C25" s="107">
        <f>IF(C23="","",C23*C24)</f>
        <v/>
      </c>
    </row>
    <row r="26" ht="48" customHeight="1" s="203">
      <c r="B26" s="20" t="inlineStr">
        <is>
          <t>-&gt; Implied Floor Growth (vs. latest FY actual total revenue)</t>
        </is>
      </c>
      <c r="C26" s="134">
        <f>IF(C25="","",IFERROR(C25/(LTI_Schedules!H7)-1,""))</f>
        <v/>
      </c>
      <c r="D26" s="132" t="inlineStr">
        <is>
          <t>A floor, not a clean growth output -- the backlog figure only proves how much of next year's revenue is already contractually locked in, it says nothing about the revenue on top of that. Strong directional evidence when the floor growth is already double-digit, but do not treat it as the terminal growth rate itself.</t>
        </is>
      </c>
    </row>
    <row r="28">
      <c r="B28" s="20" t="inlineStr">
        <is>
          <t>7. Market-Implied Growth Rate (Reverse-DCF)</t>
        </is>
      </c>
    </row>
    <row r="29" ht="28" customHeight="1" s="203">
      <c r="B29" s="132" t="inlineStr">
        <is>
          <t>Back-solves: holding WACC and margins fixed, what growth rate makes Implied Value/Share equal the actual market price? Read the row below where Implied Value/Share crosses the market price shown at the top of the grid.</t>
        </is>
      </c>
    </row>
    <row r="30">
      <c r="B30" s="20" t="inlineStr">
        <is>
          <t>Actual Market Price (for reference)</t>
        </is>
      </c>
      <c r="C30" s="135">
        <f>'LTI_WACC Schedule'!$C6</f>
        <v/>
      </c>
    </row>
    <row r="32">
      <c r="B32" s="100" t="inlineStr">
        <is>
          <t>Candidate Terminal Growth Rate</t>
        </is>
      </c>
      <c r="C32" s="100" t="inlineStr">
        <is>
          <t>Implied Value/Share</t>
        </is>
      </c>
      <c r="D32" s="100" t="inlineStr">
        <is>
          <t>Diff vs. Market Price</t>
        </is>
      </c>
    </row>
    <row r="33">
      <c r="B33" s="111">
        <f>'LTI_WACC Schedule'!$C39-(15*0.01)</f>
        <v/>
      </c>
      <c r="C33"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Schedule'!R14)*(1+($B33))*(1-('LTI_Inputs &amp; Assumptions'!$C$71)))*(1-((($B33)/('LTI_WACC Schedule'!$C39))))/(('LTI_WACC Schedule'!$C39)-($B33))))*(1/(1+'LTI_WACC Schedule'!$C39)^10))))-(LTI_Schedules!$H$92)+(IFERROR(INDEX(LTI_HS_CONSOLIDATED!I:I,MATCH("CashAndCashEquivalents",LTI_HS_CONSOLIDATED!$C:$C,0)),0)))/'LTI_WACC Schedule'!$C7</f>
        <v/>
      </c>
      <c r="D33" s="136">
        <f>IFERROR(C33-C30,"")</f>
        <v/>
      </c>
    </row>
    <row r="34">
      <c r="B34" s="111">
        <f>'LTI_WACC Schedule'!$C39-(14*0.01)</f>
        <v/>
      </c>
      <c r="C34"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Schedule'!R14)*(1+($B34))*(1-('LTI_Inputs &amp; Assumptions'!$C$71)))*(1-((($B34)/('LTI_WACC Schedule'!$C39))))/(('LTI_WACC Schedule'!$C39)-($B34))))*(1/(1+'LTI_WACC Schedule'!$C39)^10))))-(LTI_Schedules!$H$92)+(IFERROR(INDEX(LTI_HS_CONSOLIDATED!I:I,MATCH("CashAndCashEquivalents",LTI_HS_CONSOLIDATED!$C:$C,0)),0)))/'LTI_WACC Schedule'!$C7</f>
        <v/>
      </c>
      <c r="D34" s="136">
        <f>IFERROR(C34-C30,"")</f>
        <v/>
      </c>
    </row>
    <row r="35">
      <c r="B35" s="111">
        <f>'LTI_WACC Schedule'!$C39-(13*0.01)</f>
        <v/>
      </c>
      <c r="C35"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Schedule'!R14)*(1+($B35))*(1-('LTI_Inputs &amp; Assumptions'!$C$71)))*(1-((($B35)/('LTI_WACC Schedule'!$C39))))/(('LTI_WACC Schedule'!$C39)-($B35))))*(1/(1+'LTI_WACC Schedule'!$C39)^10))))-(LTI_Schedules!$H$92)+(IFERROR(INDEX(LTI_HS_CONSOLIDATED!I:I,MATCH("CashAndCashEquivalents",LTI_HS_CONSOLIDATED!$C:$C,0)),0)))/'LTI_WACC Schedule'!$C7</f>
        <v/>
      </c>
      <c r="D35" s="136">
        <f>IFERROR(C35-C30,"")</f>
        <v/>
      </c>
    </row>
    <row r="36">
      <c r="B36" s="111">
        <f>'LTI_WACC Schedule'!$C39-(12*0.01)</f>
        <v/>
      </c>
      <c r="C36"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Schedule'!R14)*(1+($B36))*(1-('LTI_Inputs &amp; Assumptions'!$C$71)))*(1-((($B36)/('LTI_WACC Schedule'!$C39))))/(('LTI_WACC Schedule'!$C39)-($B36))))*(1/(1+'LTI_WACC Schedule'!$C39)^10))))-(LTI_Schedules!$H$92)+(IFERROR(INDEX(LTI_HS_CONSOLIDATED!I:I,MATCH("CashAndCashEquivalents",LTI_HS_CONSOLIDATED!$C:$C,0)),0)))/'LTI_WACC Schedule'!$C7</f>
        <v/>
      </c>
      <c r="D36" s="136">
        <f>IFERROR(C36-C30,"")</f>
        <v/>
      </c>
    </row>
    <row r="37">
      <c r="B37" s="111">
        <f>'LTI_WACC Schedule'!$C39-(11*0.01)</f>
        <v/>
      </c>
      <c r="C37"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Schedule'!R14)*(1+($B37))*(1-('LTI_Inputs &amp; Assumptions'!$C$71)))*(1-((($B37)/('LTI_WACC Schedule'!$C39))))/(('LTI_WACC Schedule'!$C39)-($B37))))*(1/(1+'LTI_WACC Schedule'!$C39)^10))))-(LTI_Schedules!$H$92)+(IFERROR(INDEX(LTI_HS_CONSOLIDATED!I:I,MATCH("CashAndCashEquivalents",LTI_HS_CONSOLIDATED!$C:$C,0)),0)))/'LTI_WACC Schedule'!$C7</f>
        <v/>
      </c>
      <c r="D37" s="136">
        <f>IFERROR(C37-C30,"")</f>
        <v/>
      </c>
    </row>
    <row r="38">
      <c r="B38" s="111">
        <f>'LTI_WACC Schedule'!$C39-(10*0.01)</f>
        <v/>
      </c>
      <c r="C38"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Schedule'!R14)*(1+($B38))*(1-('LTI_Inputs &amp; Assumptions'!$C$71)))*(1-((($B38)/('LTI_WACC Schedule'!$C39))))/(('LTI_WACC Schedule'!$C39)-($B38))))*(1/(1+'LTI_WACC Schedule'!$C39)^10))))-(LTI_Schedules!$H$92)+(IFERROR(INDEX(LTI_HS_CONSOLIDATED!I:I,MATCH("CashAndCashEquivalents",LTI_HS_CONSOLIDATED!$C:$C,0)),0)))/'LTI_WACC Schedule'!$C7</f>
        <v/>
      </c>
      <c r="D38" s="136">
        <f>IFERROR(C38-C30,"")</f>
        <v/>
      </c>
    </row>
    <row r="39">
      <c r="B39" s="111">
        <f>'LTI_WACC Schedule'!$C39-(9*0.01)</f>
        <v/>
      </c>
      <c r="C39"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Schedule'!R14)*(1+($B39))*(1-('LTI_Inputs &amp; Assumptions'!$C$71)))*(1-((($B39)/('LTI_WACC Schedule'!$C39))))/(('LTI_WACC Schedule'!$C39)-($B39))))*(1/(1+'LTI_WACC Schedule'!$C39)^10))))-(LTI_Schedules!$H$92)+(IFERROR(INDEX(LTI_HS_CONSOLIDATED!I:I,MATCH("CashAndCashEquivalents",LTI_HS_CONSOLIDATED!$C:$C,0)),0)))/'LTI_WACC Schedule'!$C7</f>
        <v/>
      </c>
      <c r="D39" s="136">
        <f>IFERROR(C39-C30,"")</f>
        <v/>
      </c>
    </row>
    <row r="40">
      <c r="B40" s="111">
        <f>'LTI_WACC Schedule'!$C39-(8*0.01)</f>
        <v/>
      </c>
      <c r="C40"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Schedule'!R14)*(1+($B40))*(1-('LTI_Inputs &amp; Assumptions'!$C$71)))*(1-((($B40)/('LTI_WACC Schedule'!$C39))))/(('LTI_WACC Schedule'!$C39)-($B40))))*(1/(1+'LTI_WACC Schedule'!$C39)^10))))-(LTI_Schedules!$H$92)+(IFERROR(INDEX(LTI_HS_CONSOLIDATED!I:I,MATCH("CashAndCashEquivalents",LTI_HS_CONSOLIDATED!$C:$C,0)),0)))/'LTI_WACC Schedule'!$C7</f>
        <v/>
      </c>
      <c r="D40" s="136">
        <f>IFERROR(C40-C30,"")</f>
        <v/>
      </c>
    </row>
    <row r="41">
      <c r="B41" s="111">
        <f>'LTI_WACC Schedule'!$C39-(7*0.01)</f>
        <v/>
      </c>
      <c r="C41"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Schedule'!R14)*(1+($B41))*(1-('LTI_Inputs &amp; Assumptions'!$C$71)))*(1-((($B41)/('LTI_WACC Schedule'!$C39))))/(('LTI_WACC Schedule'!$C39)-($B41))))*(1/(1+'LTI_WACC Schedule'!$C39)^10))))-(LTI_Schedules!$H$92)+(IFERROR(INDEX(LTI_HS_CONSOLIDATED!I:I,MATCH("CashAndCashEquivalents",LTI_HS_CONSOLIDATED!$C:$C,0)),0)))/'LTI_WACC Schedule'!$C7</f>
        <v/>
      </c>
      <c r="D41" s="136">
        <f>IFERROR(C41-C30,"")</f>
        <v/>
      </c>
    </row>
    <row r="42">
      <c r="B42" s="111">
        <f>'LTI_WACC Schedule'!$C39-(6*0.01)</f>
        <v/>
      </c>
      <c r="C42"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Schedule'!R14)*(1+($B42))*(1-('LTI_Inputs &amp; Assumptions'!$C$71)))*(1-((($B42)/('LTI_WACC Schedule'!$C39))))/(('LTI_WACC Schedule'!$C39)-($B42))))*(1/(1+'LTI_WACC Schedule'!$C39)^10))))-(LTI_Schedules!$H$92)+(IFERROR(INDEX(LTI_HS_CONSOLIDATED!I:I,MATCH("CashAndCashEquivalents",LTI_HS_CONSOLIDATED!$C:$C,0)),0)))/'LTI_WACC Schedule'!$C7</f>
        <v/>
      </c>
      <c r="D42" s="136">
        <f>IFERROR(C42-C30,"")</f>
        <v/>
      </c>
    </row>
    <row r="43">
      <c r="B43" s="111">
        <f>'LTI_WACC Schedule'!$C39-(5*0.01)</f>
        <v/>
      </c>
      <c r="C43"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Schedule'!R14)*(1+($B43))*(1-('LTI_Inputs &amp; Assumptions'!$C$71)))*(1-((($B43)/('LTI_WACC Schedule'!$C39))))/(('LTI_WACC Schedule'!$C39)-($B43))))*(1/(1+'LTI_WACC Schedule'!$C39)^10))))-(LTI_Schedules!$H$92)+(IFERROR(INDEX(LTI_HS_CONSOLIDATED!I:I,MATCH("CashAndCashEquivalents",LTI_HS_CONSOLIDATED!$C:$C,0)),0)))/'LTI_WACC Schedule'!$C7</f>
        <v/>
      </c>
      <c r="D43" s="136">
        <f>IFERROR(C43-C30,"")</f>
        <v/>
      </c>
    </row>
    <row r="44">
      <c r="B44" s="111">
        <f>'LTI_WACC Schedule'!$C39-(4*0.01)</f>
        <v/>
      </c>
      <c r="C44"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Schedule'!R14)*(1+($B44))*(1-('LTI_Inputs &amp; Assumptions'!$C$71)))*(1-((($B44)/('LTI_WACC Schedule'!$C39))))/(('LTI_WACC Schedule'!$C39)-($B44))))*(1/(1+'LTI_WACC Schedule'!$C39)^10))))-(LTI_Schedules!$H$92)+(IFERROR(INDEX(LTI_HS_CONSOLIDATED!I:I,MATCH("CashAndCashEquivalents",LTI_HS_CONSOLIDATED!$C:$C,0)),0)))/'LTI_WACC Schedule'!$C7</f>
        <v/>
      </c>
      <c r="D44" s="136">
        <f>IFERROR(C44-C30,"")</f>
        <v/>
      </c>
    </row>
    <row r="45">
      <c r="B45" s="111">
        <f>'LTI_WACC Schedule'!$C39-(3*0.01)</f>
        <v/>
      </c>
      <c r="C45"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Schedule'!R14)*(1+($B45))*(1-('LTI_Inputs &amp; Assumptions'!$C$71)))*(1-((($B45)/('LTI_WACC Schedule'!$C39))))/(('LTI_WACC Schedule'!$C39)-($B45))))*(1/(1+'LTI_WACC Schedule'!$C39)^10))))-(LTI_Schedules!$H$92)+(IFERROR(INDEX(LTI_HS_CONSOLIDATED!I:I,MATCH("CashAndCashEquivalents",LTI_HS_CONSOLIDATED!$C:$C,0)),0)))/'LTI_WACC Schedule'!$C7</f>
        <v/>
      </c>
      <c r="D45" s="136">
        <f>IFERROR(C45-C30,"")</f>
        <v/>
      </c>
    </row>
    <row r="46">
      <c r="B46" s="111">
        <f>'LTI_WACC Schedule'!$C39-(2*0.01)</f>
        <v/>
      </c>
      <c r="C46"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Schedule'!R14)*(1+($B46))*(1-('LTI_Inputs &amp; Assumptions'!$C$71)))*(1-((($B46)/('LTI_WACC Schedule'!$C39))))/(('LTI_WACC Schedule'!$C39)-($B46))))*(1/(1+'LTI_WACC Schedule'!$C39)^10))))-(LTI_Schedules!$H$92)+(IFERROR(INDEX(LTI_HS_CONSOLIDATED!I:I,MATCH("CashAndCashEquivalents",LTI_HS_CONSOLIDATED!$C:$C,0)),0)))/'LTI_WACC Schedule'!$C7</f>
        <v/>
      </c>
      <c r="D46" s="136">
        <f>IFERROR(C46-C30,"")</f>
        <v/>
      </c>
    </row>
    <row r="47">
      <c r="B47" s="111">
        <f>'LTI_WACC Schedule'!$C39-(1*0.01)</f>
        <v/>
      </c>
      <c r="C47" s="130">
        <f>(((((((('LTI_P&amp;L Schedule'!I14)*(1-(IFERROR(LTI_Schedules!I106/LTI_Schedules!I105,0))))+((-'LTI_P&amp;L Schedule'!I13))+((-LTI_Schedules!I52))+((LTI_Schedules!I44*(1)))))*(1/(1+'LTI_WACC Schedule'!$C39)^1)+(((('LTI_P&amp;L Schedule'!J14)*(1-(IFERROR(LTI_Schedules!J106/LTI_Schedules!J105,0))))+((-'LTI_P&amp;L Schedule'!J13))+((-LTI_Schedules!J52))+((LTI_Schedules!J44*(1)))))*(1/(1+'LTI_WACC Schedule'!$C39)^2)+(((('LTI_P&amp;L Schedule'!K14)*(1-(IFERROR(LTI_Schedules!K106/LTI_Schedules!K105,0))))+((-'LTI_P&amp;L Schedule'!K13))+((-LTI_Schedules!K52))+((LTI_Schedules!K44*(1)))))*(1/(1+'LTI_WACC Schedule'!$C39)^3)+(((('LTI_P&amp;L Schedule'!L14)*(1-(IFERROR(LTI_Schedules!L106/LTI_Schedules!L105,0))))+((-'LTI_P&amp;L Schedule'!L13))+((-LTI_Schedules!L52))+((LTI_Schedules!L44*(1)))))*(1/(1+'LTI_WACC Schedule'!$C39)^4)+(((('LTI_P&amp;L Schedule'!M14)*(1-(IFERROR(LTI_Schedules!M106/LTI_Schedules!M105,0))))+((-'LTI_P&amp;L Schedule'!M13))+((-LTI_Schedules!M52))+((LTI_Schedules!M44*(1)))))*(1/(1+'LTI_WACC Schedule'!$C39)^5)+(((('LTI_P&amp;L Schedule'!N14)*(1-(IFERROR(LTI_Schedules!N106/LTI_Schedules!N105,0))))+((-'LTI_P&amp;L Schedule'!N13))+((-LTI_Schedules!N52))+((LTI_Schedules!N44*(1)))))*(1/(1+'LTI_WACC Schedule'!$C39)^6)+(((('LTI_P&amp;L Schedule'!O14)*(1-(IFERROR(LTI_Schedules!O106/LTI_Schedules!O105,0))))+((-'LTI_P&amp;L Schedule'!O13))+((-LTI_Schedules!O52))+((LTI_Schedules!O44*(1)))))*(1/(1+'LTI_WACC Schedule'!$C39)^7)+(((('LTI_P&amp;L Schedule'!P14)*(1-(IFERROR(LTI_Schedules!P106/LTI_Schedules!P105,0))))+((-'LTI_P&amp;L Schedule'!P13))+((-LTI_Schedules!P52))+((LTI_Schedules!P44*(1)))))*(1/(1+'LTI_WACC Schedule'!$C39)^8)+(((('LTI_P&amp;L Schedule'!Q14)*(1-(IFERROR(LTI_Schedules!Q106/LTI_Schedules!Q105,0))))+((-'LTI_P&amp;L Schedule'!Q13))+((-LTI_Schedules!Q52))+((LTI_Schedules!Q44*(1)))))*(1/(1+'LTI_WACC Schedule'!$C39)^9)+(((('LTI_P&amp;L Schedule'!R14)*(1-(IFERROR(LTI_Schedules!R106/LTI_Schedules!R105,0))))+((-'LTI_P&amp;L Schedule'!R13))+((-LTI_Schedules!R52))+((LTI_Schedules!R44*(1)))))*(1/(1+'LTI_WACC Schedule'!$C39)^10))+((((('LTI_P&amp;L Schedule'!R14)*(1+($B47))*(1-('LTI_Inputs &amp; Assumptions'!$C$71)))*(1-((($B47)/('LTI_WACC Schedule'!$C39))))/(('LTI_WACC Schedule'!$C39)-($B47))))*(1/(1+'LTI_WACC Schedule'!$C39)^10))))-(LTI_Schedules!$H$92)+(IFERROR(INDEX(LTI_HS_CONSOLIDATED!I:I,MATCH("CashAndCashEquivalents",LTI_HS_CONSOLIDATED!$C:$C,0)),0)))/'LTI_WACC Schedule'!$C7</f>
        <v/>
      </c>
      <c r="D47" s="136">
        <f>IFERROR(C47-C30,"")</f>
        <v/>
      </c>
    </row>
    <row r="49" ht="36" customHeight="1" s="203">
      <c r="A49" t="inlineStr">
        <is>
          <t>#</t>
        </is>
      </c>
      <c r="B49" s="117" t="inlineStr">
        <is>
          <t>Selected Growth Rate (your judgment call)</t>
        </is>
      </c>
      <c r="D49" s="132" t="inlineStr">
        <is>
          <t>Not auto-applied. Weigh the methods above, decide, then type this same number into the Revenue Schedule's own Terminal Growth Rate INPUT cell (Inputs &amp; Assumptions sheet) to actually change the model.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0" customWidth="1" style="203" min="1" max="1"/>
    <col width="16" customWidth="1" style="203" min="2" max="2"/>
    <col width="16" customWidth="1" style="203" min="3" max="3"/>
    <col width="16" customWidth="1" style="203" min="4" max="4"/>
    <col width="16" customWidth="1" style="203" min="5" max="5"/>
    <col width="55" customWidth="1" style="203" min="6" max="6"/>
  </cols>
  <sheetData>
    <row r="1">
      <c r="A1" s="304" t="inlineStr">
        <is>
          <t>Comparable Company Analysis - LTI</t>
        </is>
      </c>
    </row>
    <row r="2" ht="30" customHeight="1" s="203">
      <c r="A2" s="305" t="inlineStr">
        <is>
          <t>Peer prices: Yahoo Finance chart API, 6-May-2022 close (deal-announcement day, same date used throughout this model). Peer EPS: FY22 (year ended Mar-2022) public earnings releases.</t>
        </is>
      </c>
    </row>
    <row r="4">
      <c r="A4" s="306" t="inlineStr">
        <is>
          <t>Peer</t>
        </is>
      </c>
      <c r="B4" s="306" t="inlineStr">
        <is>
          <t>Price (6-May-22)</t>
        </is>
      </c>
      <c r="C4" s="306" t="inlineStr">
        <is>
          <t>FY22 EPS</t>
        </is>
      </c>
      <c r="D4" s="306" t="inlineStr">
        <is>
          <t>P/E</t>
        </is>
      </c>
    </row>
    <row r="5">
      <c r="A5" s="307" t="inlineStr">
        <is>
          <t>TCS</t>
        </is>
      </c>
      <c r="B5" s="308" t="n">
        <v>3432.6</v>
      </c>
      <c r="C5" s="308" t="n">
        <v>105.1</v>
      </c>
      <c r="D5" s="309">
        <f>B5/C5</f>
        <v/>
      </c>
    </row>
    <row r="6">
      <c r="A6" s="307" t="inlineStr">
        <is>
          <t>Infosys</t>
        </is>
      </c>
      <c r="B6" s="308" t="n">
        <v>1542.85</v>
      </c>
      <c r="C6" s="308" t="n">
        <v>52.8</v>
      </c>
      <c r="D6" s="309">
        <f>B6/C6</f>
        <v/>
      </c>
    </row>
    <row r="7">
      <c r="A7" s="307" t="inlineStr">
        <is>
          <t>Wipro</t>
        </is>
      </c>
      <c r="B7" s="308" t="n">
        <v>242.55</v>
      </c>
      <c r="C7" s="308" t="n">
        <v>22.35</v>
      </c>
      <c r="D7" s="309">
        <f>B7/C7</f>
        <v/>
      </c>
    </row>
    <row r="8">
      <c r="A8" s="307" t="inlineStr">
        <is>
          <t>HCL Technologies</t>
        </is>
      </c>
      <c r="B8" s="308" t="n">
        <v>1050.2</v>
      </c>
      <c r="C8" s="308" t="n">
        <v>49.77</v>
      </c>
      <c r="D8" s="309">
        <f>B8/C8</f>
        <v/>
      </c>
    </row>
    <row r="9">
      <c r="A9" s="307" t="inlineStr">
        <is>
          <t>Tech Mahindra</t>
        </is>
      </c>
      <c r="B9" s="308" t="n">
        <v>1290.75</v>
      </c>
      <c r="C9" s="308" t="n">
        <v>63.32</v>
      </c>
      <c r="D9" s="309">
        <f>B9/C9</f>
        <v/>
      </c>
    </row>
    <row r="10">
      <c r="A10" s="310" t="inlineStr">
        <is>
          <t>Peer median P/E</t>
        </is>
      </c>
      <c r="D10" s="311">
        <f>MEDIAN(D5:D9)</f>
        <v/>
      </c>
    </row>
    <row r="11">
      <c r="A11" s="307" t="inlineStr">
        <is>
          <t>Peer mean P/E</t>
        </is>
      </c>
      <c r="D11" s="309">
        <f>AVERAGE(D5:D9)</f>
        <v/>
      </c>
    </row>
    <row r="13">
      <c r="A13" s="307" t="inlineStr">
        <is>
          <t>LTI FY22 EPS (Rs.)</t>
        </is>
      </c>
      <c r="B13" s="308" t="n">
        <v>131.14</v>
      </c>
      <c r="F13" s="312" t="inlineStr">
        <is>
          <t>FY22 PAT / FY22 shares outstanding, from RawData</t>
        </is>
      </c>
    </row>
    <row r="14">
      <c r="A14" s="307" t="inlineStr">
        <is>
          <t>LTI actual traded P/E (6-May-22)</t>
        </is>
      </c>
      <c r="B14" s="313" t="n">
        <v>35</v>
      </c>
      <c r="F14" s="312" t="inlineStr">
        <is>
          <t>Real market price / FY22 PAT - the premium this Comps sheet is testing</t>
        </is>
      </c>
    </row>
    <row r="16">
      <c r="A16" s="310" t="inlineStr">
        <is>
          <t>Comps-implied value/share (@ peer median P/E)</t>
        </is>
      </c>
      <c r="B16" s="314">
        <f>B13*D10</f>
        <v/>
      </c>
    </row>
    <row r="17">
      <c r="A17" s="307" t="inlineStr">
        <is>
          <t>Comps-implied value/share (@ peer mean P/E)</t>
        </is>
      </c>
      <c r="B17" s="315">
        <f>B13*D11</f>
        <v/>
      </c>
    </row>
    <row r="19">
      <c r="A19" s="316" t="inlineStr">
        <is>
          <t>Diagnosis</t>
        </is>
      </c>
    </row>
    <row r="20" ht="60" customHeight="1" s="203">
      <c r="A20" s="305" t="inlineStr">
        <is>
          <t>LTI traded at 35.0x FY22 earnings on 6-May-2022, well above the peer median of ~21x and even above the highest-multiple peer (TCS at ~33x). This premium is specific to LTI/Mindtree, not a broad sector-wide phenomenon - both companies were already known fellow L&amp;T subsidiaries with active commercial ties well before the formal merger announcement, consistent with the market pricing in consolidation/M&amp;A-anticipation ahead of the deal, on top of normal operating fundamentals.</t>
        </is>
      </c>
    </row>
    <row r="22">
      <c r="A22" s="304" t="inlineStr">
        <is>
          <t>Fundamentals-Controlled Peer Check</t>
        </is>
      </c>
    </row>
    <row r="23" ht="55" customHeight="1" s="203">
      <c r="A23" s="305" t="inlineStr">
        <is>
          <t>With only 5 peers, a multivariate regression to control for growth/ROIC differences (Damodaran's standard fix for a larger peer set) has too few degrees of freedom to mean anything - instead, each peer's own ROCE and growth are shown directly against LTI's/Mindtree's, to see whether any peer is genuinely a close match on fundamentals or whether the size mismatch flagged in the audit (mega-cap peers vs. this mid-cap pair) shows up here too.</t>
        </is>
      </c>
    </row>
    <row r="25">
      <c r="A25" s="306" t="inlineStr">
        <is>
          <t>Peer</t>
        </is>
      </c>
      <c r="B25" s="306" t="inlineStr">
        <is>
          <t>ROCE % (FY22)</t>
        </is>
      </c>
      <c r="C25" s="306" t="inlineStr">
        <is>
          <t>Sales Growth % (FY22)</t>
        </is>
      </c>
    </row>
    <row r="26">
      <c r="A26" s="307" t="inlineStr">
        <is>
          <t>TCS</t>
        </is>
      </c>
      <c r="B26" s="317" t="n">
        <v>0.54</v>
      </c>
      <c r="C26" s="318" t="n">
        <v>0.168</v>
      </c>
    </row>
    <row r="27">
      <c r="A27" s="307" t="inlineStr">
        <is>
          <t>Infosys</t>
        </is>
      </c>
      <c r="B27" s="317" t="n">
        <v>0.37</v>
      </c>
      <c r="C27" s="318" t="n">
        <v>0.211</v>
      </c>
    </row>
    <row r="28">
      <c r="A28" s="307" t="inlineStr">
        <is>
          <t>Wipro</t>
        </is>
      </c>
      <c r="B28" s="317" t="n">
        <v>0.21</v>
      </c>
      <c r="C28" s="318" t="n">
        <v>0.28</v>
      </c>
    </row>
    <row r="29">
      <c r="A29" s="307" t="inlineStr">
        <is>
          <t>HCL Technologies</t>
        </is>
      </c>
      <c r="B29" s="317" t="n">
        <v>0.25</v>
      </c>
      <c r="C29" s="318" t="n">
        <v>0.136</v>
      </c>
    </row>
    <row r="30">
      <c r="A30" s="307" t="inlineStr">
        <is>
          <t>Tech Mahindra</t>
        </is>
      </c>
      <c r="B30" s="317" t="n">
        <v>0.26</v>
      </c>
      <c r="C30" s="318" t="n">
        <v>0.179</v>
      </c>
    </row>
    <row r="31">
      <c r="A31" s="310" t="inlineStr">
        <is>
          <t>Peer median</t>
        </is>
      </c>
      <c r="B31" s="319">
        <f>MEDIAN(B26:B30)</f>
        <v/>
      </c>
      <c r="C31" s="320">
        <f>MEDIAN(C26:C30)</f>
        <v/>
      </c>
    </row>
    <row r="33">
      <c r="A33" s="307" t="inlineStr">
        <is>
          <t>LTI ROCE (FY22, Screener.in - same basis as peers above)</t>
        </is>
      </c>
      <c r="B33" s="317" t="n">
        <v>0.48</v>
      </c>
      <c r="C33" s="318" t="n">
        <v>0.267</v>
      </c>
      <c r="F33" s="305" t="inlineStr">
        <is>
          <t>ROCE sourced from Screener.in, same source/definition as the peer figures above - deliberately not this file's own DCF sheet's 'Implied ROIC' (NOPAT / [Net PP&amp;E + NWC] only), which is a narrower metric that isn't comparable to Screener's broader ROCE. Growth: FY22 actual revenue growth, established earlier this session (LTI from its own filings; Mindtree computed from disclosed FY21-&gt;FY22 consolidated revenue) - not a live formula, the source rows for prior-year revenue aren't cleanly exposed elsewhere in this workbook.</t>
        </is>
      </c>
    </row>
    <row r="35" ht="100" customHeight="1" s="203">
      <c r="A35" s="305" t="inlineStr">
        <is>
          <t>Reading this: the picture is mixed, not uniformly mismatched. On growth, LTI (26.7%) outpaces 4 of the 5 peers, but Wipro actually grew faster still (Wipro 28.0%) - not the clean 'every peer trails' picture a size mismatch alone would predict. On ROCE, LTI (48%) sits closest to TCS (54%) and Infosys (37%), and well above HCL Technologies (25%) and Wipro (21%) - the peer set splits into a higher-ROCE pair LTI actually resembles and a lower-ROCE pair it doesn't. Practical takeaway: if this were rebuilt as a genuine close-peer subsample (Damodaran's fix for a small peer set) rather than a flat 5-peer median, it would lean toward the higher-ROCE pair identified above, not the full set as currently used - worth knowing when weighing this Comps method's implied value against the DCF, Precedent Transactions and Contribution Analysis elsewhere in this model, not a reason to discard it outright.</t>
        </is>
      </c>
    </row>
  </sheetData>
  <mergeCells count="3">
    <mergeCell ref="A20:F20"/>
    <mergeCell ref="A23:F23"/>
    <mergeCell ref="A35:F35"/>
  </mergeCells>
  <pageMargins left="0.75" right="0.75" top="1" bottom="1" header="0.5" footer="0.5"/>
</worksheet>
</file>

<file path=xl/worksheets/sheet30.xml><?xml version="1.0" encoding="utf-8"?>
<worksheet xmlns="http://schemas.openxmlformats.org/spreadsheetml/2006/main">
  <sheetPr>
    <tabColor rgb="001F4E78"/>
    <outlinePr summaryBelow="1" summaryRight="1"/>
    <pageSetUpPr/>
  </sheetPr>
  <dimension ref="A1:L24"/>
  <sheetViews>
    <sheetView showGridLines="0" workbookViewId="0">
      <selection activeCell="A1" sqref="A1"/>
    </sheetView>
  </sheetViews>
  <sheetFormatPr baseColWidth="8" defaultRowHeight="15"/>
  <cols>
    <col width="3.5" customWidth="1" style="203" min="1" max="1"/>
    <col width="45" customWidth="1" style="203" min="2" max="2"/>
    <col width="15" customWidth="1" style="203" min="3" max="3"/>
    <col width="15" customWidth="1" style="203" min="4" max="4"/>
    <col width="15" customWidth="1" style="203" min="5" max="5"/>
    <col width="15" customWidth="1" style="203" min="6" max="6"/>
    <col width="15" customWidth="1" style="203" min="7" max="7"/>
    <col width="15" customWidth="1" style="203" min="8" max="8"/>
    <col width="15" customWidth="1" style="203" min="9" max="9"/>
    <col width="15" customWidth="1" style="203" min="10" max="10"/>
    <col width="15" customWidth="1" style="203" min="11" max="11"/>
    <col width="15" customWidth="1" style="203" min="12" max="12"/>
  </cols>
  <sheetData>
    <row r="1">
      <c r="A1" t="inlineStr">
        <is>
          <t>#</t>
        </is>
      </c>
      <c r="B1" s="283" t="inlineStr">
        <is>
          <t>Balance Sheet (Projected)</t>
        </is>
      </c>
    </row>
    <row r="2">
      <c r="B2" s="284" t="inlineStr">
        <is>
          <t>Assembled from the Working Capital, PP&amp;E, Debt, and Equity Schedules already built - not a separate build. 'Other Assets/Liabilities' scale with revenue from the last actual (FY22) ratio - an explicit, labeled simplification, not a granular line-by-line forecast of every historical sub-item.</t>
        </is>
      </c>
    </row>
    <row r="5">
      <c r="B5" s="285" t="inlineStr">
        <is>
          <t>Rs. Million</t>
        </is>
      </c>
      <c r="C5" s="285" t="inlineStr">
        <is>
          <t>FY2023E</t>
        </is>
      </c>
      <c r="D5" s="285" t="inlineStr">
        <is>
          <t>FY2024E</t>
        </is>
      </c>
      <c r="E5" s="285" t="inlineStr">
        <is>
          <t>FY2025E</t>
        </is>
      </c>
      <c r="F5" s="285" t="inlineStr">
        <is>
          <t>FY2026E</t>
        </is>
      </c>
      <c r="G5" s="285" t="inlineStr">
        <is>
          <t>FY2027E</t>
        </is>
      </c>
      <c r="H5" s="285" t="inlineStr">
        <is>
          <t>FY2028E</t>
        </is>
      </c>
      <c r="I5" s="285" t="inlineStr">
        <is>
          <t>FY2029E</t>
        </is>
      </c>
      <c r="J5" s="285" t="inlineStr">
        <is>
          <t>FY2030E</t>
        </is>
      </c>
      <c r="K5" s="285" t="inlineStr">
        <is>
          <t>FY2031E</t>
        </is>
      </c>
      <c r="L5" s="285" t="inlineStr">
        <is>
          <t>FY2032E</t>
        </is>
      </c>
    </row>
    <row r="7">
      <c r="B7" s="286" t="inlineStr">
        <is>
          <t>Cash &amp; Cash Equivalents</t>
        </is>
      </c>
      <c r="C7" s="287">
        <f>'LTI_CFStmt'!C23</f>
        <v/>
      </c>
      <c r="D7" s="287">
        <f>'LTI_CFStmt'!D23</f>
        <v/>
      </c>
      <c r="E7" s="287">
        <f>'LTI_CFStmt'!E23</f>
        <v/>
      </c>
      <c r="F7" s="287">
        <f>'LTI_CFStmt'!F23</f>
        <v/>
      </c>
      <c r="G7" s="287">
        <f>'LTI_CFStmt'!G23</f>
        <v/>
      </c>
      <c r="H7" s="287">
        <f>'LTI_CFStmt'!H23</f>
        <v/>
      </c>
      <c r="I7" s="287">
        <f>'LTI_CFStmt'!I23</f>
        <v/>
      </c>
      <c r="J7" s="287">
        <f>'LTI_CFStmt'!J23</f>
        <v/>
      </c>
      <c r="K7" s="287">
        <f>'LTI_CFStmt'!K23</f>
        <v/>
      </c>
      <c r="L7" s="287">
        <f>'LTI_CFStmt'!L23</f>
        <v/>
      </c>
    </row>
    <row r="8">
      <c r="B8" s="286" t="inlineStr">
        <is>
          <t>Trade Receivables</t>
        </is>
      </c>
      <c r="C8" s="287">
        <f>'LTI_Schedules'!I34</f>
        <v/>
      </c>
      <c r="D8" s="287">
        <f>'LTI_Schedules'!J34</f>
        <v/>
      </c>
      <c r="E8" s="287">
        <f>'LTI_Schedules'!K34</f>
        <v/>
      </c>
      <c r="F8" s="287">
        <f>'LTI_Schedules'!L34</f>
        <v/>
      </c>
      <c r="G8" s="287">
        <f>'LTI_Schedules'!M34</f>
        <v/>
      </c>
      <c r="H8" s="287">
        <f>'LTI_Schedules'!N34</f>
        <v/>
      </c>
      <c r="I8" s="287">
        <f>'LTI_Schedules'!O34</f>
        <v/>
      </c>
      <c r="J8" s="287">
        <f>'LTI_Schedules'!P34</f>
        <v/>
      </c>
      <c r="K8" s="287">
        <f>'LTI_Schedules'!Q34</f>
        <v/>
      </c>
      <c r="L8" s="287">
        <f>'LTI_Schedules'!R34</f>
        <v/>
      </c>
    </row>
    <row r="9">
      <c r="B9" s="286" t="inlineStr">
        <is>
          <t>Inventories</t>
        </is>
      </c>
      <c r="C9" s="287">
        <f>'LTI_Schedules'!I35</f>
        <v/>
      </c>
      <c r="D9" s="287">
        <f>'LTI_Schedules'!J35</f>
        <v/>
      </c>
      <c r="E9" s="287">
        <f>'LTI_Schedules'!K35</f>
        <v/>
      </c>
      <c r="F9" s="287">
        <f>'LTI_Schedules'!L35</f>
        <v/>
      </c>
      <c r="G9" s="287">
        <f>'LTI_Schedules'!M35</f>
        <v/>
      </c>
      <c r="H9" s="287">
        <f>'LTI_Schedules'!N35</f>
        <v/>
      </c>
      <c r="I9" s="287">
        <f>'LTI_Schedules'!O35</f>
        <v/>
      </c>
      <c r="J9" s="287">
        <f>'LTI_Schedules'!P35</f>
        <v/>
      </c>
      <c r="K9" s="287">
        <f>'LTI_Schedules'!Q35</f>
        <v/>
      </c>
      <c r="L9" s="287">
        <f>'LTI_Schedules'!R35</f>
        <v/>
      </c>
    </row>
    <row r="10">
      <c r="B10" s="286" t="inlineStr">
        <is>
          <t>Net PP&amp;E</t>
        </is>
      </c>
      <c r="C10" s="287">
        <f>'LTI_Schedules'!I63</f>
        <v/>
      </c>
      <c r="D10" s="287">
        <f>'LTI_Schedules'!J63</f>
        <v/>
      </c>
      <c r="E10" s="287">
        <f>'LTI_Schedules'!K63</f>
        <v/>
      </c>
      <c r="F10" s="287">
        <f>'LTI_Schedules'!L63</f>
        <v/>
      </c>
      <c r="G10" s="287">
        <f>'LTI_Schedules'!M63</f>
        <v/>
      </c>
      <c r="H10" s="287">
        <f>'LTI_Schedules'!N63</f>
        <v/>
      </c>
      <c r="I10" s="287">
        <f>'LTI_Schedules'!O63</f>
        <v/>
      </c>
      <c r="J10" s="287">
        <f>'LTI_Schedules'!P63</f>
        <v/>
      </c>
      <c r="K10" s="287">
        <f>'LTI_Schedules'!Q63</f>
        <v/>
      </c>
      <c r="L10" s="287">
        <f>'LTI_Schedules'!R63</f>
        <v/>
      </c>
    </row>
    <row r="11">
      <c r="B11" s="288" t="inlineStr">
        <is>
          <t>Other Assets (scaled with revenue from FY22 actual)</t>
        </is>
      </c>
      <c r="C11" s="289">
        <f>(87441000000/'LTI_Schedules'!$H$30)*'LTI_Schedules'!I30</f>
        <v/>
      </c>
      <c r="D11" s="289">
        <f>(87441000000/'LTI_Schedules'!$H$30)*'LTI_Schedules'!J30</f>
        <v/>
      </c>
      <c r="E11" s="289">
        <f>(87441000000/'LTI_Schedules'!$H$30)*'LTI_Schedules'!K30</f>
        <v/>
      </c>
      <c r="F11" s="289">
        <f>(87441000000/'LTI_Schedules'!$H$30)*'LTI_Schedules'!L30</f>
        <v/>
      </c>
      <c r="G11" s="289">
        <f>(87441000000/'LTI_Schedules'!$H$30)*'LTI_Schedules'!M30</f>
        <v/>
      </c>
      <c r="H11" s="289">
        <f>(87441000000/'LTI_Schedules'!$H$30)*'LTI_Schedules'!N30</f>
        <v/>
      </c>
      <c r="I11" s="289">
        <f>(87441000000/'LTI_Schedules'!$H$30)*'LTI_Schedules'!O30</f>
        <v/>
      </c>
      <c r="J11" s="289">
        <f>(87441000000/'LTI_Schedules'!$H$30)*'LTI_Schedules'!P30</f>
        <v/>
      </c>
      <c r="K11" s="289">
        <f>(87441000000/'LTI_Schedules'!$H$30)*'LTI_Schedules'!Q30</f>
        <v/>
      </c>
      <c r="L11" s="289">
        <f>(87441000000/'LTI_Schedules'!$H$30)*'LTI_Schedules'!R30</f>
        <v/>
      </c>
    </row>
    <row r="12">
      <c r="B12" s="290" t="inlineStr">
        <is>
          <t>Total Assets</t>
        </is>
      </c>
      <c r="C12" s="291">
        <f>SUM(C7:C11)</f>
        <v/>
      </c>
      <c r="D12" s="291">
        <f>SUM(D7:D11)</f>
        <v/>
      </c>
      <c r="E12" s="291">
        <f>SUM(E7:E11)</f>
        <v/>
      </c>
      <c r="F12" s="291">
        <f>SUM(F7:F11)</f>
        <v/>
      </c>
      <c r="G12" s="291">
        <f>SUM(G7:G11)</f>
        <v/>
      </c>
      <c r="H12" s="291">
        <f>SUM(H7:H11)</f>
        <v/>
      </c>
      <c r="I12" s="291">
        <f>SUM(I7:I11)</f>
        <v/>
      </c>
      <c r="J12" s="291">
        <f>SUM(J7:J11)</f>
        <v/>
      </c>
      <c r="K12" s="291">
        <f>SUM(K7:K11)</f>
        <v/>
      </c>
      <c r="L12" s="291">
        <f>SUM(L7:L11)</f>
        <v/>
      </c>
    </row>
    <row r="14">
      <c r="B14" s="286" t="inlineStr">
        <is>
          <t>Equity Share Capital</t>
        </is>
      </c>
      <c r="C14" s="287">
        <f>'LTI_Schedules'!I131</f>
        <v/>
      </c>
      <c r="D14" s="287">
        <f>'LTI_Schedules'!J131</f>
        <v/>
      </c>
      <c r="E14" s="287">
        <f>'LTI_Schedules'!K131</f>
        <v/>
      </c>
      <c r="F14" s="287">
        <f>'LTI_Schedules'!L131</f>
        <v/>
      </c>
      <c r="G14" s="287">
        <f>'LTI_Schedules'!M131</f>
        <v/>
      </c>
      <c r="H14" s="287">
        <f>'LTI_Schedules'!N131</f>
        <v/>
      </c>
      <c r="I14" s="287">
        <f>'LTI_Schedules'!O131</f>
        <v/>
      </c>
      <c r="J14" s="287">
        <f>'LTI_Schedules'!P131</f>
        <v/>
      </c>
      <c r="K14" s="287">
        <f>'LTI_Schedules'!Q131</f>
        <v/>
      </c>
      <c r="L14" s="287">
        <f>'LTI_Schedules'!R131</f>
        <v/>
      </c>
    </row>
    <row r="15">
      <c r="B15" s="286" t="inlineStr">
        <is>
          <t>Other Equity / Reserves</t>
        </is>
      </c>
      <c r="C15" s="287">
        <f>'LTI_Schedules'!I139</f>
        <v/>
      </c>
      <c r="D15" s="287">
        <f>'LTI_Schedules'!J139</f>
        <v/>
      </c>
      <c r="E15" s="287">
        <f>'LTI_Schedules'!K139</f>
        <v/>
      </c>
      <c r="F15" s="287">
        <f>'LTI_Schedules'!L139</f>
        <v/>
      </c>
      <c r="G15" s="287">
        <f>'LTI_Schedules'!M139</f>
        <v/>
      </c>
      <c r="H15" s="287">
        <f>'LTI_Schedules'!N139</f>
        <v/>
      </c>
      <c r="I15" s="287">
        <f>'LTI_Schedules'!O139</f>
        <v/>
      </c>
      <c r="J15" s="287">
        <f>'LTI_Schedules'!P139</f>
        <v/>
      </c>
      <c r="K15" s="287">
        <f>'LTI_Schedules'!Q139</f>
        <v/>
      </c>
      <c r="L15" s="287">
        <f>'LTI_Schedules'!R139</f>
        <v/>
      </c>
    </row>
    <row r="16">
      <c r="B16" s="292" t="inlineStr">
        <is>
          <t>Total Equity</t>
        </is>
      </c>
      <c r="C16" s="293">
        <f>C14+C15</f>
        <v/>
      </c>
      <c r="D16" s="293">
        <f>D14+D15</f>
        <v/>
      </c>
      <c r="E16" s="293">
        <f>E14+E15</f>
        <v/>
      </c>
      <c r="F16" s="293">
        <f>F14+F15</f>
        <v/>
      </c>
      <c r="G16" s="293">
        <f>G14+G15</f>
        <v/>
      </c>
      <c r="H16" s="293">
        <f>H14+H15</f>
        <v/>
      </c>
      <c r="I16" s="293">
        <f>I14+I15</f>
        <v/>
      </c>
      <c r="J16" s="293">
        <f>J14+J15</f>
        <v/>
      </c>
      <c r="K16" s="293">
        <f>K14+K15</f>
        <v/>
      </c>
      <c r="L16" s="293">
        <f>L14+L15</f>
        <v/>
      </c>
    </row>
    <row r="18">
      <c r="B18" s="286" t="inlineStr">
        <is>
          <t>Debt / Lease Liabilities</t>
        </is>
      </c>
      <c r="C18" s="287">
        <f>'LTI_Schedules'!I92</f>
        <v/>
      </c>
      <c r="D18" s="287">
        <f>'LTI_Schedules'!J92</f>
        <v/>
      </c>
      <c r="E18" s="287">
        <f>'LTI_Schedules'!K92</f>
        <v/>
      </c>
      <c r="F18" s="287">
        <f>'LTI_Schedules'!L92</f>
        <v/>
      </c>
      <c r="G18" s="287">
        <f>'LTI_Schedules'!M92</f>
        <v/>
      </c>
      <c r="H18" s="287">
        <f>'LTI_Schedules'!N92</f>
        <v/>
      </c>
      <c r="I18" s="287">
        <f>'LTI_Schedules'!O92</f>
        <v/>
      </c>
      <c r="J18" s="287">
        <f>'LTI_Schedules'!P92</f>
        <v/>
      </c>
      <c r="K18" s="287">
        <f>'LTI_Schedules'!Q92</f>
        <v/>
      </c>
      <c r="L18" s="287">
        <f>'LTI_Schedules'!R92</f>
        <v/>
      </c>
    </row>
    <row r="19">
      <c r="B19" s="286" t="inlineStr">
        <is>
          <t>Trade Payables</t>
        </is>
      </c>
      <c r="C19" s="287">
        <f>'LTI_Schedules'!I37</f>
        <v/>
      </c>
      <c r="D19" s="287">
        <f>'LTI_Schedules'!J37</f>
        <v/>
      </c>
      <c r="E19" s="287">
        <f>'LTI_Schedules'!K37</f>
        <v/>
      </c>
      <c r="F19" s="287">
        <f>'LTI_Schedules'!L37</f>
        <v/>
      </c>
      <c r="G19" s="287">
        <f>'LTI_Schedules'!M37</f>
        <v/>
      </c>
      <c r="H19" s="287">
        <f>'LTI_Schedules'!N37</f>
        <v/>
      </c>
      <c r="I19" s="287">
        <f>'LTI_Schedules'!O37</f>
        <v/>
      </c>
      <c r="J19" s="287">
        <f>'LTI_Schedules'!P37</f>
        <v/>
      </c>
      <c r="K19" s="287">
        <f>'LTI_Schedules'!Q37</f>
        <v/>
      </c>
      <c r="L19" s="287">
        <f>'LTI_Schedules'!R37</f>
        <v/>
      </c>
    </row>
    <row r="20">
      <c r="B20" s="288" t="inlineStr">
        <is>
          <t>Other Liabilities &amp; Non-Controlling Interest (scaled with revenue from FY22 actual)</t>
        </is>
      </c>
      <c r="C20" s="289">
        <f>(28000000000/'LTI_Schedules'!$H$30)*'LTI_Schedules'!I30</f>
        <v/>
      </c>
      <c r="D20" s="289">
        <f>(28000000000/'LTI_Schedules'!$H$30)*'LTI_Schedules'!J30</f>
        <v/>
      </c>
      <c r="E20" s="289">
        <f>(28000000000/'LTI_Schedules'!$H$30)*'LTI_Schedules'!K30</f>
        <v/>
      </c>
      <c r="F20" s="289">
        <f>(28000000000/'LTI_Schedules'!$H$30)*'LTI_Schedules'!L30</f>
        <v/>
      </c>
      <c r="G20" s="289">
        <f>(28000000000/'LTI_Schedules'!$H$30)*'LTI_Schedules'!M30</f>
        <v/>
      </c>
      <c r="H20" s="289">
        <f>(28000000000/'LTI_Schedules'!$H$30)*'LTI_Schedules'!N30</f>
        <v/>
      </c>
      <c r="I20" s="289">
        <f>(28000000000/'LTI_Schedules'!$H$30)*'LTI_Schedules'!O30</f>
        <v/>
      </c>
      <c r="J20" s="289">
        <f>(28000000000/'LTI_Schedules'!$H$30)*'LTI_Schedules'!P30</f>
        <v/>
      </c>
      <c r="K20" s="289">
        <f>(28000000000/'LTI_Schedules'!$H$30)*'LTI_Schedules'!Q30</f>
        <v/>
      </c>
      <c r="L20" s="289">
        <f>(28000000000/'LTI_Schedules'!$H$30)*'LTI_Schedules'!R30</f>
        <v/>
      </c>
    </row>
    <row r="21">
      <c r="B21" s="292" t="inlineStr">
        <is>
          <t>Total Liabilities</t>
        </is>
      </c>
      <c r="C21" s="293">
        <f>SUM(C18:C20)</f>
        <v/>
      </c>
      <c r="D21" s="293">
        <f>SUM(D18:D20)</f>
        <v/>
      </c>
      <c r="E21" s="293">
        <f>SUM(E18:E20)</f>
        <v/>
      </c>
      <c r="F21" s="293">
        <f>SUM(F18:F20)</f>
        <v/>
      </c>
      <c r="G21" s="293">
        <f>SUM(G18:G20)</f>
        <v/>
      </c>
      <c r="H21" s="293">
        <f>SUM(H18:H20)</f>
        <v/>
      </c>
      <c r="I21" s="293">
        <f>SUM(I18:I20)</f>
        <v/>
      </c>
      <c r="J21" s="293">
        <f>SUM(J18:J20)</f>
        <v/>
      </c>
      <c r="K21" s="293">
        <f>SUM(K18:K20)</f>
        <v/>
      </c>
      <c r="L21" s="293">
        <f>SUM(L18:L20)</f>
        <v/>
      </c>
    </row>
    <row r="22">
      <c r="B22" s="290" t="inlineStr">
        <is>
          <t>Total Equity &amp; Liabilities</t>
        </is>
      </c>
      <c r="C22" s="291">
        <f>C16+C21</f>
        <v/>
      </c>
      <c r="D22" s="291">
        <f>D16+D21</f>
        <v/>
      </c>
      <c r="E22" s="291">
        <f>E16+E21</f>
        <v/>
      </c>
      <c r="F22" s="291">
        <f>F16+F21</f>
        <v/>
      </c>
      <c r="G22" s="291">
        <f>G16+G21</f>
        <v/>
      </c>
      <c r="H22" s="291">
        <f>H16+H21</f>
        <v/>
      </c>
      <c r="I22" s="291">
        <f>I16+I21</f>
        <v/>
      </c>
      <c r="J22" s="291">
        <f>J16+J21</f>
        <v/>
      </c>
      <c r="K22" s="291">
        <f>K16+K21</f>
        <v/>
      </c>
      <c r="L22" s="291">
        <f>L16+L21</f>
        <v/>
      </c>
    </row>
    <row r="24">
      <c r="B24" s="294" t="inlineStr">
        <is>
          <t>BALANCE CHECK (Assets - Equity&amp;Liab, must be ~0)</t>
        </is>
      </c>
      <c r="C24" s="295">
        <f>C12-C22</f>
        <v/>
      </c>
      <c r="D24" s="295">
        <f>D12-D22</f>
        <v/>
      </c>
      <c r="E24" s="295">
        <f>E12-E22</f>
        <v/>
      </c>
      <c r="F24" s="295">
        <f>F12-F22</f>
        <v/>
      </c>
      <c r="G24" s="295">
        <f>G12-G22</f>
        <v/>
      </c>
      <c r="H24" s="295">
        <f>H12-H22</f>
        <v/>
      </c>
      <c r="I24" s="295">
        <f>I12-I22</f>
        <v/>
      </c>
      <c r="J24" s="295">
        <f>J12-J22</f>
        <v/>
      </c>
      <c r="K24" s="295">
        <f>K12-K22</f>
        <v/>
      </c>
      <c r="L24" s="295">
        <f>L12-L22</f>
        <v/>
      </c>
    </row>
  </sheetData>
  <mergeCells count="1">
    <mergeCell ref="B2:L2"/>
  </mergeCells>
  <pageMargins left="0.75" right="0.75" top="1" bottom="1" header="0.5" footer="0.5"/>
</worksheet>
</file>

<file path=xl/worksheets/sheet31.xml><?xml version="1.0" encoding="utf-8"?>
<worksheet xmlns="http://schemas.openxmlformats.org/spreadsheetml/2006/main">
  <sheetPr>
    <tabColor rgb="001F4E78"/>
    <outlinePr summaryBelow="1" summaryRight="1"/>
    <pageSetUpPr/>
  </sheetPr>
  <dimension ref="A1:L23"/>
  <sheetViews>
    <sheetView showGridLines="0" workbookViewId="0">
      <selection activeCell="A1" sqref="A1"/>
    </sheetView>
  </sheetViews>
  <sheetFormatPr baseColWidth="8" defaultRowHeight="15"/>
  <cols>
    <col width="3.5" customWidth="1" style="203" min="1" max="1"/>
    <col width="48" customWidth="1" style="203" min="2" max="2"/>
    <col width="15" customWidth="1" style="203" min="3" max="3"/>
    <col width="15" customWidth="1" style="203" min="4" max="4"/>
    <col width="15" customWidth="1" style="203" min="5" max="5"/>
    <col width="15" customWidth="1" style="203" min="6" max="6"/>
    <col width="15" customWidth="1" style="203" min="7" max="7"/>
    <col width="15" customWidth="1" style="203" min="8" max="8"/>
    <col width="15" customWidth="1" style="203" min="9" max="9"/>
    <col width="15" customWidth="1" style="203" min="10" max="10"/>
    <col width="15" customWidth="1" style="203" min="11" max="11"/>
    <col width="15" customWidth="1" style="203" min="12" max="12"/>
  </cols>
  <sheetData>
    <row r="1">
      <c r="A1" t="inlineStr">
        <is>
          <t>#</t>
        </is>
      </c>
      <c r="B1" s="283" t="inlineStr">
        <is>
          <t>Cash Flow Statement (Projected)</t>
        </is>
      </c>
    </row>
    <row r="2">
      <c r="B2" s="284" t="inlineStr">
        <is>
          <t>Assembled from P&amp;L (Net Income, D&amp;A), Working Capital Schedule, PP&amp;E Schedule (capex), and Debt/Equity Schedules (financing) - standard indirect method.</t>
        </is>
      </c>
    </row>
    <row r="5">
      <c r="C5" s="285" t="inlineStr">
        <is>
          <t>FY2023E</t>
        </is>
      </c>
      <c r="D5" s="285" t="inlineStr">
        <is>
          <t>FY2024E</t>
        </is>
      </c>
      <c r="E5" s="285" t="inlineStr">
        <is>
          <t>FY2025E</t>
        </is>
      </c>
      <c r="F5" s="285" t="inlineStr">
        <is>
          <t>FY2026E</t>
        </is>
      </c>
      <c r="G5" s="285" t="inlineStr">
        <is>
          <t>FY2027E</t>
        </is>
      </c>
      <c r="H5" s="285" t="inlineStr">
        <is>
          <t>FY2028E</t>
        </is>
      </c>
      <c r="I5" s="285" t="inlineStr">
        <is>
          <t>FY2029E</t>
        </is>
      </c>
      <c r="J5" s="285" t="inlineStr">
        <is>
          <t>FY2030E</t>
        </is>
      </c>
      <c r="K5" s="285" t="inlineStr">
        <is>
          <t>FY2031E</t>
        </is>
      </c>
      <c r="L5" s="285" t="inlineStr">
        <is>
          <t>FY2032E</t>
        </is>
      </c>
    </row>
    <row r="7">
      <c r="B7" s="286" t="inlineStr">
        <is>
          <t>Net Income</t>
        </is>
      </c>
      <c r="C7" s="287">
        <f>'LTI_P&amp;L Schedule'!I22</f>
        <v/>
      </c>
      <c r="D7" s="287">
        <f>'LTI_P&amp;L Schedule'!J22</f>
        <v/>
      </c>
      <c r="E7" s="287">
        <f>'LTI_P&amp;L Schedule'!K22</f>
        <v/>
      </c>
      <c r="F7" s="287">
        <f>'LTI_P&amp;L Schedule'!L22</f>
        <v/>
      </c>
      <c r="G7" s="287">
        <f>'LTI_P&amp;L Schedule'!M22</f>
        <v/>
      </c>
      <c r="H7" s="287">
        <f>'LTI_P&amp;L Schedule'!N22</f>
        <v/>
      </c>
      <c r="I7" s="287">
        <f>'LTI_P&amp;L Schedule'!O22</f>
        <v/>
      </c>
      <c r="J7" s="287">
        <f>'LTI_P&amp;L Schedule'!P22</f>
        <v/>
      </c>
      <c r="K7" s="287">
        <f>'LTI_P&amp;L Schedule'!Q22</f>
        <v/>
      </c>
      <c r="L7" s="287">
        <f>'LTI_P&amp;L Schedule'!R22</f>
        <v/>
      </c>
    </row>
    <row r="8">
      <c r="B8" s="286" t="inlineStr">
        <is>
          <t>(+) Depreciation &amp; Amortisation</t>
        </is>
      </c>
      <c r="C8" s="287">
        <f>-'LTI_P&amp;L Schedule'!I13</f>
        <v/>
      </c>
      <c r="D8" s="287">
        <f>-'LTI_P&amp;L Schedule'!J13</f>
        <v/>
      </c>
      <c r="E8" s="287">
        <f>-'LTI_P&amp;L Schedule'!K13</f>
        <v/>
      </c>
      <c r="F8" s="287">
        <f>-'LTI_P&amp;L Schedule'!L13</f>
        <v/>
      </c>
      <c r="G8" s="287">
        <f>-'LTI_P&amp;L Schedule'!M13</f>
        <v/>
      </c>
      <c r="H8" s="287">
        <f>-'LTI_P&amp;L Schedule'!N13</f>
        <v/>
      </c>
      <c r="I8" s="287">
        <f>-'LTI_P&amp;L Schedule'!O13</f>
        <v/>
      </c>
      <c r="J8" s="287">
        <f>-'LTI_P&amp;L Schedule'!P13</f>
        <v/>
      </c>
      <c r="K8" s="287">
        <f>-'LTI_P&amp;L Schedule'!Q13</f>
        <v/>
      </c>
      <c r="L8" s="287">
        <f>-'LTI_P&amp;L Schedule'!R13</f>
        <v/>
      </c>
    </row>
    <row r="9">
      <c r="B9" s="286" t="inlineStr">
        <is>
          <t>(+/-) Change in Working Capital</t>
        </is>
      </c>
      <c r="C9" s="287">
        <f>'LTI_Schedules'!I44</f>
        <v/>
      </c>
      <c r="D9" s="287">
        <f>'LTI_Schedules'!J44</f>
        <v/>
      </c>
      <c r="E9" s="287">
        <f>'LTI_Schedules'!K44</f>
        <v/>
      </c>
      <c r="F9" s="287">
        <f>'LTI_Schedules'!L44</f>
        <v/>
      </c>
      <c r="G9" s="287">
        <f>'LTI_Schedules'!M44</f>
        <v/>
      </c>
      <c r="H9" s="287">
        <f>'LTI_Schedules'!N44</f>
        <v/>
      </c>
      <c r="I9" s="287">
        <f>'LTI_Schedules'!O44</f>
        <v/>
      </c>
      <c r="J9" s="287">
        <f>'LTI_Schedules'!P44</f>
        <v/>
      </c>
      <c r="K9" s="287">
        <f>'LTI_Schedules'!Q44</f>
        <v/>
      </c>
      <c r="L9" s="287">
        <f>'LTI_Schedules'!R44</f>
        <v/>
      </c>
    </row>
    <row r="10">
      <c r="B10" s="286" t="inlineStr">
        <is>
          <t>(-) Increase in Other Assets (now revenue-scaled, not flat)</t>
        </is>
      </c>
      <c r="C10" s="287">
        <f>-('LTI_Balance Sheet (Projected)'!C11-87441000000)</f>
        <v/>
      </c>
      <c r="D10" s="287">
        <f>-('LTI_Balance Sheet (Projected)'!D11-'LTI_Balance Sheet (Projected)'!C11)</f>
        <v/>
      </c>
      <c r="E10" s="287">
        <f>-('LTI_Balance Sheet (Projected)'!E11-'LTI_Balance Sheet (Projected)'!D11)</f>
        <v/>
      </c>
      <c r="F10" s="287">
        <f>-('LTI_Balance Sheet (Projected)'!F11-'LTI_Balance Sheet (Projected)'!E11)</f>
        <v/>
      </c>
      <c r="G10" s="287">
        <f>-('LTI_Balance Sheet (Projected)'!G11-'LTI_Balance Sheet (Projected)'!F11)</f>
        <v/>
      </c>
      <c r="H10" s="287">
        <f>-('LTI_Balance Sheet (Projected)'!H11-'LTI_Balance Sheet (Projected)'!G11)</f>
        <v/>
      </c>
      <c r="I10" s="287">
        <f>-('LTI_Balance Sheet (Projected)'!I11-'LTI_Balance Sheet (Projected)'!H11)</f>
        <v/>
      </c>
      <c r="J10" s="287">
        <f>-('LTI_Balance Sheet (Projected)'!J11-'LTI_Balance Sheet (Projected)'!I11)</f>
        <v/>
      </c>
      <c r="K10" s="287">
        <f>-('LTI_Balance Sheet (Projected)'!K11-'LTI_Balance Sheet (Projected)'!J11)</f>
        <v/>
      </c>
      <c r="L10" s="287">
        <f>-('LTI_Balance Sheet (Projected)'!L11-'LTI_Balance Sheet (Projected)'!K11)</f>
        <v/>
      </c>
    </row>
    <row r="11">
      <c r="B11" s="286" t="inlineStr">
        <is>
          <t>(+) Increase in Other Liabilities (now revenue-scaled, not flat)</t>
        </is>
      </c>
      <c r="C11" s="287">
        <f>+('LTI_Balance Sheet (Projected)'!C20-28000000000)</f>
        <v/>
      </c>
      <c r="D11" s="287">
        <f>+('LTI_Balance Sheet (Projected)'!D20-'LTI_Balance Sheet (Projected)'!C20)</f>
        <v/>
      </c>
      <c r="E11" s="287">
        <f>+('LTI_Balance Sheet (Projected)'!E20-'LTI_Balance Sheet (Projected)'!D20)</f>
        <v/>
      </c>
      <c r="F11" s="287">
        <f>+('LTI_Balance Sheet (Projected)'!F20-'LTI_Balance Sheet (Projected)'!E20)</f>
        <v/>
      </c>
      <c r="G11" s="287">
        <f>+('LTI_Balance Sheet (Projected)'!G20-'LTI_Balance Sheet (Projected)'!F20)</f>
        <v/>
      </c>
      <c r="H11" s="287">
        <f>+('LTI_Balance Sheet (Projected)'!H20-'LTI_Balance Sheet (Projected)'!G20)</f>
        <v/>
      </c>
      <c r="I11" s="287">
        <f>+('LTI_Balance Sheet (Projected)'!I20-'LTI_Balance Sheet (Projected)'!H20)</f>
        <v/>
      </c>
      <c r="J11" s="287">
        <f>+('LTI_Balance Sheet (Projected)'!J20-'LTI_Balance Sheet (Projected)'!I20)</f>
        <v/>
      </c>
      <c r="K11" s="287">
        <f>+('LTI_Balance Sheet (Projected)'!K20-'LTI_Balance Sheet (Projected)'!J20)</f>
        <v/>
      </c>
      <c r="L11" s="287">
        <f>+('LTI_Balance Sheet (Projected)'!L20-'LTI_Balance Sheet (Projected)'!K20)</f>
        <v/>
      </c>
    </row>
    <row r="12">
      <c r="B12" s="290" t="inlineStr">
        <is>
          <t>Cash Flow from Operations</t>
        </is>
      </c>
      <c r="C12" s="293">
        <f>C7+C8+C9+C10+C11</f>
        <v/>
      </c>
      <c r="D12" s="293">
        <f>D7+D8+D9+D10+D11</f>
        <v/>
      </c>
      <c r="E12" s="293">
        <f>E7+E8+E9+E10+E11</f>
        <v/>
      </c>
      <c r="F12" s="293">
        <f>F7+F8+F9+F10+F11</f>
        <v/>
      </c>
      <c r="G12" s="293">
        <f>G7+G8+G9+G10+G11</f>
        <v/>
      </c>
      <c r="H12" s="293">
        <f>H7+H8+H9+H10+H11</f>
        <v/>
      </c>
      <c r="I12" s="293">
        <f>I7+I8+I9+I10+I11</f>
        <v/>
      </c>
      <c r="J12" s="293">
        <f>J7+J8+J9+J10+J11</f>
        <v/>
      </c>
      <c r="K12" s="293">
        <f>K7+K8+K9+K10+K11</f>
        <v/>
      </c>
      <c r="L12" s="293">
        <f>L7+L8+L9+L10+L11</f>
        <v/>
      </c>
    </row>
    <row r="14">
      <c r="B14" s="286" t="inlineStr">
        <is>
          <t>(-) Net PP&amp;E Investment (Capex, net of impairment/disposals - depreciation captured above)</t>
        </is>
      </c>
      <c r="C14" s="287">
        <f>-('LTI_Schedules'!I63-'LTI_Schedules'!H63)-C8</f>
        <v/>
      </c>
      <c r="D14" s="287">
        <f>-('LTI_Schedules'!J63-'LTI_Schedules'!I63)-D8</f>
        <v/>
      </c>
      <c r="E14" s="287">
        <f>-('LTI_Schedules'!K63-'LTI_Schedules'!J63)-E8</f>
        <v/>
      </c>
      <c r="F14" s="287">
        <f>-('LTI_Schedules'!L63-'LTI_Schedules'!K63)-F8</f>
        <v/>
      </c>
      <c r="G14" s="287">
        <f>-('LTI_Schedules'!M63-'LTI_Schedules'!L63)-G8</f>
        <v/>
      </c>
      <c r="H14" s="287">
        <f>-('LTI_Schedules'!N63-'LTI_Schedules'!M63)-H8</f>
        <v/>
      </c>
      <c r="I14" s="287">
        <f>-('LTI_Schedules'!O63-'LTI_Schedules'!N63)-I8</f>
        <v/>
      </c>
      <c r="J14" s="287">
        <f>-('LTI_Schedules'!P63-'LTI_Schedules'!O63)-J8</f>
        <v/>
      </c>
      <c r="K14" s="287">
        <f>-('LTI_Schedules'!Q63-'LTI_Schedules'!P63)-K8</f>
        <v/>
      </c>
      <c r="L14" s="287">
        <f>-('LTI_Schedules'!R63-'LTI_Schedules'!Q63)-L8</f>
        <v/>
      </c>
    </row>
    <row r="15">
      <c r="B15" s="290" t="inlineStr">
        <is>
          <t>Cash Flow from Investing</t>
        </is>
      </c>
      <c r="C15" s="293">
        <f>C14</f>
        <v/>
      </c>
      <c r="D15" s="293">
        <f>D14</f>
        <v/>
      </c>
      <c r="E15" s="293">
        <f>E14</f>
        <v/>
      </c>
      <c r="F15" s="293">
        <f>F14</f>
        <v/>
      </c>
      <c r="G15" s="293">
        <f>G14</f>
        <v/>
      </c>
      <c r="H15" s="293">
        <f>H14</f>
        <v/>
      </c>
      <c r="I15" s="293">
        <f>I14</f>
        <v/>
      </c>
      <c r="J15" s="293">
        <f>J14</f>
        <v/>
      </c>
      <c r="K15" s="293">
        <f>K14</f>
        <v/>
      </c>
      <c r="L15" s="293">
        <f>L14</f>
        <v/>
      </c>
    </row>
    <row r="17">
      <c r="B17" s="286" t="inlineStr">
        <is>
          <t>(+/-) Net Change in Debt</t>
        </is>
      </c>
      <c r="C17" s="287">
        <f>'LTI_Schedules'!I92-'LTI_Schedules'!H92</f>
        <v/>
      </c>
      <c r="D17" s="287">
        <f>'LTI_Schedules'!J92-'LTI_Schedules'!I92</f>
        <v/>
      </c>
      <c r="E17" s="287">
        <f>'LTI_Schedules'!K92-'LTI_Schedules'!J92</f>
        <v/>
      </c>
      <c r="F17" s="287">
        <f>'LTI_Schedules'!L92-'LTI_Schedules'!K92</f>
        <v/>
      </c>
      <c r="G17" s="287">
        <f>'LTI_Schedules'!M92-'LTI_Schedules'!L92</f>
        <v/>
      </c>
      <c r="H17" s="287">
        <f>'LTI_Schedules'!N92-'LTI_Schedules'!M92</f>
        <v/>
      </c>
      <c r="I17" s="287">
        <f>'LTI_Schedules'!O92-'LTI_Schedules'!N92</f>
        <v/>
      </c>
      <c r="J17" s="287">
        <f>'LTI_Schedules'!P92-'LTI_Schedules'!O92</f>
        <v/>
      </c>
      <c r="K17" s="287">
        <f>'LTI_Schedules'!Q92-'LTI_Schedules'!P92</f>
        <v/>
      </c>
      <c r="L17" s="287">
        <f>'LTI_Schedules'!R92-'LTI_Schedules'!Q92</f>
        <v/>
      </c>
    </row>
    <row r="18">
      <c r="B18" s="286" t="inlineStr">
        <is>
          <t>(-) Dividends Paid</t>
        </is>
      </c>
      <c r="C18" s="287">
        <f>'LTI_Schedules'!I137</f>
        <v/>
      </c>
      <c r="D18" s="287">
        <f>'LTI_Schedules'!J137</f>
        <v/>
      </c>
      <c r="E18" s="287">
        <f>'LTI_Schedules'!K137</f>
        <v/>
      </c>
      <c r="F18" s="287">
        <f>'LTI_Schedules'!L137</f>
        <v/>
      </c>
      <c r="G18" s="287">
        <f>'LTI_Schedules'!M137</f>
        <v/>
      </c>
      <c r="H18" s="287">
        <f>'LTI_Schedules'!N137</f>
        <v/>
      </c>
      <c r="I18" s="287">
        <f>'LTI_Schedules'!O137</f>
        <v/>
      </c>
      <c r="J18" s="287">
        <f>'LTI_Schedules'!P137</f>
        <v/>
      </c>
      <c r="K18" s="287">
        <f>'LTI_Schedules'!Q137</f>
        <v/>
      </c>
      <c r="L18" s="287">
        <f>'LTI_Schedules'!R137</f>
        <v/>
      </c>
    </row>
    <row r="19">
      <c r="B19" s="290" t="inlineStr">
        <is>
          <t>Cash Flow from Financing</t>
        </is>
      </c>
      <c r="C19" s="293">
        <f>C17+C18</f>
        <v/>
      </c>
      <c r="D19" s="293">
        <f>D17+D18</f>
        <v/>
      </c>
      <c r="E19" s="293">
        <f>E17+E18</f>
        <v/>
      </c>
      <c r="F19" s="293">
        <f>F17+F18</f>
        <v/>
      </c>
      <c r="G19" s="293">
        <f>G17+G18</f>
        <v/>
      </c>
      <c r="H19" s="293">
        <f>H17+H18</f>
        <v/>
      </c>
      <c r="I19" s="293">
        <f>I17+I18</f>
        <v/>
      </c>
      <c r="J19" s="293">
        <f>J17+J18</f>
        <v/>
      </c>
      <c r="K19" s="293">
        <f>K17+K18</f>
        <v/>
      </c>
      <c r="L19" s="293">
        <f>L17+L18</f>
        <v/>
      </c>
    </row>
    <row r="21">
      <c r="B21" s="292" t="inlineStr">
        <is>
          <t>Net Change in Cash</t>
        </is>
      </c>
      <c r="C21" s="293">
        <f>C12+C15+C19</f>
        <v/>
      </c>
      <c r="D21" s="293">
        <f>D12+D15+D19</f>
        <v/>
      </c>
      <c r="E21" s="293">
        <f>E12+E15+E19</f>
        <v/>
      </c>
      <c r="F21" s="293">
        <f>F12+F15+F19</f>
        <v/>
      </c>
      <c r="G21" s="293">
        <f>G12+G15+G19</f>
        <v/>
      </c>
      <c r="H21" s="293">
        <f>H12+H15+H19</f>
        <v/>
      </c>
      <c r="I21" s="293">
        <f>I12+I15+I19</f>
        <v/>
      </c>
      <c r="J21" s="293">
        <f>J12+J15+J19</f>
        <v/>
      </c>
      <c r="K21" s="293">
        <f>K12+K15+K19</f>
        <v/>
      </c>
      <c r="L21" s="293">
        <f>L12+L15+L19</f>
        <v/>
      </c>
    </row>
    <row r="22">
      <c r="B22" s="286" t="inlineStr">
        <is>
          <t>Opening Cash</t>
        </is>
      </c>
      <c r="C22" s="287">
        <f>=IFERROR(INDEX('LTI_HS_CONSOLIDATED'!I:I,MATCH("CashAndCashEquivalents",'LTI_HS_CONSOLIDATED'!$C:$C,0)),0)</f>
        <v/>
      </c>
      <c r="D22" s="287">
        <f>C23</f>
        <v/>
      </c>
      <c r="E22" s="287">
        <f>D23</f>
        <v/>
      </c>
      <c r="F22" s="287">
        <f>E23</f>
        <v/>
      </c>
      <c r="G22" s="287">
        <f>F23</f>
        <v/>
      </c>
      <c r="H22" s="287">
        <f>G23</f>
        <v/>
      </c>
      <c r="I22" s="287">
        <f>H23</f>
        <v/>
      </c>
      <c r="J22" s="287">
        <f>I23</f>
        <v/>
      </c>
      <c r="K22" s="287">
        <f>J23</f>
        <v/>
      </c>
      <c r="L22" s="287">
        <f>K23</f>
        <v/>
      </c>
    </row>
    <row r="23">
      <c r="B23" s="290" t="inlineStr">
        <is>
          <t>Closing Cash</t>
        </is>
      </c>
      <c r="C23" s="291">
        <f>C22+C21</f>
        <v/>
      </c>
      <c r="D23" s="291">
        <f>D22+D21</f>
        <v/>
      </c>
      <c r="E23" s="291">
        <f>E22+E21</f>
        <v/>
      </c>
      <c r="F23" s="291">
        <f>F22+F21</f>
        <v/>
      </c>
      <c r="G23" s="291">
        <f>G22+G21</f>
        <v/>
      </c>
      <c r="H23" s="291">
        <f>H22+H21</f>
        <v/>
      </c>
      <c r="I23" s="291">
        <f>I22+I21</f>
        <v/>
      </c>
      <c r="J23" s="291">
        <f>J22+J21</f>
        <v/>
      </c>
      <c r="K23" s="291">
        <f>K22+K21</f>
        <v/>
      </c>
      <c r="L23" s="291">
        <f>L22+L21</f>
        <v/>
      </c>
    </row>
  </sheetData>
  <mergeCells count="1">
    <mergeCell ref="B2:L2"/>
  </mergeCells>
  <pageMargins left="0.75" right="0.75" top="1" bottom="1" header="0.5" footer="0.5"/>
</worksheet>
</file>

<file path=xl/worksheets/sheet32.xml><?xml version="1.0" encoding="utf-8"?>
<worksheet xmlns="http://schemas.openxmlformats.org/spreadsheetml/2006/main">
  <sheetPr>
    <tabColor rgb="00B45F06"/>
    <outlinePr summaryBelow="1" summaryRight="1"/>
    <pageSetUpPr/>
  </sheetPr>
  <dimension ref="A1:J146"/>
  <sheetViews>
    <sheetView showGridLines="0" workbookViewId="0">
      <selection activeCell="A1" sqref="A1"/>
    </sheetView>
  </sheetViews>
  <sheetFormatPr baseColWidth="8" defaultRowHeight="14.5"/>
  <cols>
    <col width="1.1796875" customWidth="1" style="203" min="1" max="3"/>
    <col width="55" customWidth="1" style="203" min="4" max="4"/>
    <col width="20" customWidth="1" style="203" min="5" max="10"/>
  </cols>
  <sheetData>
    <row r="1" ht="24" customHeight="1" s="203">
      <c r="A1" s="257" t="inlineStr">
        <is>
          <t>Mindtree  —  Derived Financial Model</t>
        </is>
      </c>
    </row>
    <row r="2">
      <c r="A2" s="258" t="inlineStr">
        <is>
          <t>Green = cross-sheet formula (XLOOKUP against raw data)   |   Black = same-sheet formula (subtotal/total)</t>
        </is>
      </c>
    </row>
    <row r="5" ht="15.5" customHeight="1" s="203">
      <c r="A5" s="2" t="inlineStr">
        <is>
          <t>#</t>
        </is>
      </c>
      <c r="B5" s="3" t="inlineStr">
        <is>
          <t>Statement of Profit and Loss</t>
        </is>
      </c>
      <c r="E5" s="4" t="inlineStr">
        <is>
          <t>FY2017</t>
        </is>
      </c>
      <c r="F5" s="4" t="inlineStr">
        <is>
          <t>FY2018</t>
        </is>
      </c>
      <c r="G5" s="4" t="inlineStr">
        <is>
          <t>FY2019</t>
        </is>
      </c>
      <c r="H5" s="4" t="inlineStr">
        <is>
          <t>FY2020</t>
        </is>
      </c>
      <c r="I5" s="4" t="inlineStr">
        <is>
          <t>FY2021</t>
        </is>
      </c>
      <c r="J5" s="4" t="inlineStr">
        <is>
          <t>FY2022</t>
        </is>
      </c>
    </row>
    <row r="6">
      <c r="B6" s="5" t="inlineStr">
        <is>
          <t>Income [Abstract]</t>
        </is>
      </c>
    </row>
    <row r="7">
      <c r="C7" s="6" t="inlineStr">
        <is>
          <t>Total revenue from operations</t>
        </is>
      </c>
      <c r="E7" s="7">
        <f>_xlfn.XLOOKUP("RevenueFromOperations",MT_HS_CONSOLIDATED!$C:$C,MT_HS_CONSOLIDATED!D:D,0,0,1)</f>
        <v/>
      </c>
      <c r="F7" s="7">
        <f>_xlfn.XLOOKUP("RevenueFromOperations",MT_HS_CONSOLIDATED!$C:$C,MT_HS_CONSOLIDATED!E:E,0,0,1)</f>
        <v/>
      </c>
      <c r="G7" s="7">
        <f>_xlfn.XLOOKUP("RevenueFromOperations",MT_HS_CONSOLIDATED!$C:$C,MT_HS_CONSOLIDATED!F:F,0,0,1)</f>
        <v/>
      </c>
      <c r="H7" s="7">
        <f>_xlfn.XLOOKUP("RevenueFromOperations",MT_HS_CONSOLIDATED!$C:$C,MT_HS_CONSOLIDATED!G:G,0,0,1)</f>
        <v/>
      </c>
      <c r="I7" s="7">
        <f>_xlfn.XLOOKUP("RevenueFromOperations",MT_HS_CONSOLIDATED!$C:$C,MT_HS_CONSOLIDATED!H:H,0,0,1)</f>
        <v/>
      </c>
      <c r="J7" s="7">
        <f>_xlfn.XLOOKUP("RevenueFromOperations",MT_HS_CONSOLIDATED!$C:$C,MT_HS_CONSOLIDATED!I:I,0,0,1)</f>
        <v/>
      </c>
    </row>
    <row r="8">
      <c r="C8" s="6" t="inlineStr">
        <is>
          <t>Total other income</t>
        </is>
      </c>
      <c r="E8" s="7">
        <f>_xlfn.XLOOKUP("OtherIncome",MT_HS_CONSOLIDATED!$C:$C,MT_HS_CONSOLIDATED!D:D,0,0,1)</f>
        <v/>
      </c>
      <c r="F8" s="7">
        <f>_xlfn.XLOOKUP("OtherIncome",MT_HS_CONSOLIDATED!$C:$C,MT_HS_CONSOLIDATED!E:E,0,0,1)</f>
        <v/>
      </c>
      <c r="G8" s="7">
        <f>_xlfn.XLOOKUP("OtherIncome",MT_HS_CONSOLIDATED!$C:$C,MT_HS_CONSOLIDATED!F:F,0,0,1)</f>
        <v/>
      </c>
      <c r="H8" s="7">
        <f>_xlfn.XLOOKUP("OtherIncome",MT_HS_CONSOLIDATED!$C:$C,MT_HS_CONSOLIDATED!G:G,0,0,1)</f>
        <v/>
      </c>
      <c r="I8" s="7">
        <f>_xlfn.XLOOKUP("OtherIncome",MT_HS_CONSOLIDATED!$C:$C,MT_HS_CONSOLIDATED!H:H,0,0,1)</f>
        <v/>
      </c>
      <c r="J8" s="7">
        <f>_xlfn.XLOOKUP("OtherIncome",MT_HS_CONSOLIDATED!$C:$C,MT_HS_CONSOLIDATED!I:I,0,0,1)</f>
        <v/>
      </c>
    </row>
    <row r="9">
      <c r="C9" s="8" t="inlineStr">
        <is>
          <t>Total income</t>
        </is>
      </c>
      <c r="E9" s="9">
        <f>IFERROR(SUM(E7:E8),0)</f>
        <v/>
      </c>
      <c r="F9" s="9">
        <f>IFERROR(SUM(F7:F8),0)</f>
        <v/>
      </c>
      <c r="G9" s="9">
        <f>IFERROR(SUM(G7:G8),0)</f>
        <v/>
      </c>
      <c r="H9" s="9">
        <f>IFERROR(SUM(H7:H8),0)</f>
        <v/>
      </c>
      <c r="I9" s="9">
        <f>IFERROR(SUM(I7:I8),0)</f>
        <v/>
      </c>
      <c r="J9" s="9">
        <f>IFERROR(SUM(J7:J8),0)</f>
        <v/>
      </c>
    </row>
    <row r="10">
      <c r="B10" s="5" t="inlineStr">
        <is>
          <t>COGS</t>
        </is>
      </c>
    </row>
    <row r="11">
      <c r="B11" s="10" t="inlineStr">
        <is>
          <t>Gross Profit</t>
        </is>
      </c>
      <c r="E11" s="11">
        <f>IFERROR(E9,0)</f>
        <v/>
      </c>
      <c r="F11" s="11">
        <f>IFERROR(F9,0)</f>
        <v/>
      </c>
      <c r="G11" s="11">
        <f>IFERROR(G9,0)</f>
        <v/>
      </c>
      <c r="H11" s="11">
        <f>IFERROR(H9,0)</f>
        <v/>
      </c>
      <c r="I11" s="11">
        <f>IFERROR(I9,0)</f>
        <v/>
      </c>
      <c r="J11" s="11">
        <f>IFERROR(J9,0)</f>
        <v/>
      </c>
    </row>
    <row r="12">
      <c r="C12" s="6" t="inlineStr">
        <is>
          <t>SG&amp;A</t>
        </is>
      </c>
      <c r="E12" s="7">
        <f>-_xlfn.XLOOKUP("EmployeeBenefitExpense",MT_HS_CONSOLIDATED!$C:$C,MT_HS_CONSOLIDATED!D:D,0,0,1)-_xlfn.XLOOKUP("ExpenditureOnProductionTransportationAndOtherExpenditurePertainingToExplorationAndProductionActivities",MT_HS_CONSOLIDATED!$C:$C,MT_HS_CONSOLIDATED!D:D,0,0,1)</f>
        <v/>
      </c>
      <c r="F12" s="7">
        <f>-_xlfn.XLOOKUP("EmployeeBenefitExpense",MT_HS_CONSOLIDATED!$C:$C,MT_HS_CONSOLIDATED!E:E,0,0,1)-_xlfn.XLOOKUP("ExpenditureOnProductionTransportationAndOtherExpenditurePertainingToExplorationAndProductionActivities",MT_HS_CONSOLIDATED!$C:$C,MT_HS_CONSOLIDATED!E:E,0,0,1)</f>
        <v/>
      </c>
      <c r="G12" s="7">
        <f>-_xlfn.XLOOKUP("EmployeeBenefitExpense",MT_HS_CONSOLIDATED!$C:$C,MT_HS_CONSOLIDATED!F:F,0,0,1)-_xlfn.XLOOKUP("ExpenditureOnProductionTransportationAndOtherExpenditurePertainingToExplorationAndProductionActivities",MT_HS_CONSOLIDATED!$C:$C,MT_HS_CONSOLIDATED!F:F,0,0,1)</f>
        <v/>
      </c>
      <c r="H12" s="7">
        <f>-_xlfn.XLOOKUP("EmployeeBenefitExpense",MT_HS_CONSOLIDATED!$C:$C,MT_HS_CONSOLIDATED!G:G,0,0,1)-_xlfn.XLOOKUP("ExpenditureOnProductionTransportationAndOtherExpenditurePertainingToExplorationAndProductionActivities",MT_HS_CONSOLIDATED!$C:$C,MT_HS_CONSOLIDATED!G:G,0,0,1)</f>
        <v/>
      </c>
      <c r="I12" s="7">
        <f>-_xlfn.XLOOKUP("EmployeeBenefitExpense",MT_HS_CONSOLIDATED!$C:$C,MT_HS_CONSOLIDATED!H:H,0,0,1)-_xlfn.XLOOKUP("ExpenditureOnProductionTransportationAndOtherExpenditurePertainingToExplorationAndProductionActivities",MT_HS_CONSOLIDATED!$C:$C,MT_HS_CONSOLIDATED!H:H,0,0,1)</f>
        <v/>
      </c>
      <c r="J12" s="7">
        <f>-_xlfn.XLOOKUP("EmployeeBenefitExpense",MT_HS_CONSOLIDATED!$C:$C,MT_HS_CONSOLIDATED!I:I,0,0,1)-_xlfn.XLOOKUP("ExpenditureOnProductionTransportationAndOtherExpenditurePertainingToExplorationAndProductionActivities",MT_HS_CONSOLIDATED!$C:$C,MT_HS_CONSOLIDATED!I:I,0,0,1)</f>
        <v/>
      </c>
    </row>
    <row r="13">
      <c r="C13" s="6" t="inlineStr">
        <is>
          <t>Total other expenses</t>
        </is>
      </c>
      <c r="E13" s="7">
        <f>-_xlfn.XLOOKUP("OtherExpenses",MT_HS_CONSOLIDATED!$C:$C,MT_HS_CONSOLIDATED!D:D,0,0,1)</f>
        <v/>
      </c>
      <c r="F13" s="7">
        <f>-_xlfn.XLOOKUP("OtherExpenses",MT_HS_CONSOLIDATED!$C:$C,MT_HS_CONSOLIDATED!E:E,0,0,1)</f>
        <v/>
      </c>
      <c r="G13" s="7">
        <f>-_xlfn.XLOOKUP("OtherExpenses",MT_HS_CONSOLIDATED!$C:$C,MT_HS_CONSOLIDATED!F:F,0,0,1)</f>
        <v/>
      </c>
      <c r="H13" s="7">
        <f>-_xlfn.XLOOKUP("OtherExpenses",MT_HS_CONSOLIDATED!$C:$C,MT_HS_CONSOLIDATED!G:G,0,0,1)</f>
        <v/>
      </c>
      <c r="I13" s="7">
        <f>-_xlfn.XLOOKUP("OtherExpenses",MT_HS_CONSOLIDATED!$C:$C,MT_HS_CONSOLIDATED!H:H,0,0,1)</f>
        <v/>
      </c>
      <c r="J13" s="7">
        <f>-_xlfn.XLOOKUP("OtherExpenses",MT_HS_CONSOLIDATED!$C:$C,MT_HS_CONSOLIDATED!I:I,0,0,1)</f>
        <v/>
      </c>
    </row>
    <row r="14">
      <c r="B14" s="10" t="inlineStr">
        <is>
          <t>EBITDA</t>
        </is>
      </c>
      <c r="E14" s="11">
        <f>IFERROR(SUM(E11:E13),0)</f>
        <v/>
      </c>
      <c r="F14" s="11">
        <f>IFERROR(SUM(F11:F13),0)</f>
        <v/>
      </c>
      <c r="G14" s="11">
        <f>IFERROR(SUM(G11:G13),0)</f>
        <v/>
      </c>
      <c r="H14" s="11">
        <f>IFERROR(SUM(H11:H13),0)</f>
        <v/>
      </c>
      <c r="I14" s="11">
        <f>IFERROR(SUM(I11:I13),0)</f>
        <v/>
      </c>
      <c r="J14" s="11">
        <f>IFERROR(SUM(J11:J13),0)</f>
        <v/>
      </c>
    </row>
    <row r="15">
      <c r="C15" s="6" t="inlineStr">
        <is>
          <t>D&amp;A</t>
        </is>
      </c>
      <c r="E15" s="7">
        <f>-_xlfn.XLOOKUP("DepreciationDepletionAndAmortisationExpense",MT_HS_CONSOLIDATED!$C:$C,MT_HS_CONSOLIDATED!D:D,0,0,1)</f>
        <v/>
      </c>
      <c r="F15" s="7">
        <f>-_xlfn.XLOOKUP("DepreciationDepletionAndAmortisationExpense",MT_HS_CONSOLIDATED!$C:$C,MT_HS_CONSOLIDATED!E:E,0,0,1)</f>
        <v/>
      </c>
      <c r="G15" s="7">
        <f>-_xlfn.XLOOKUP("DepreciationDepletionAndAmortisationExpense",MT_HS_CONSOLIDATED!$C:$C,MT_HS_CONSOLIDATED!F:F,0,0,1)</f>
        <v/>
      </c>
      <c r="H15" s="7">
        <f>-_xlfn.XLOOKUP("DepreciationDepletionAndAmortisationExpense",MT_HS_CONSOLIDATED!$C:$C,MT_HS_CONSOLIDATED!G:G,0,0,1)</f>
        <v/>
      </c>
      <c r="I15" s="7">
        <f>-_xlfn.XLOOKUP("DepreciationDepletionAndAmortisationExpense",MT_HS_CONSOLIDATED!$C:$C,MT_HS_CONSOLIDATED!H:H,0,0,1)</f>
        <v/>
      </c>
      <c r="J15" s="7">
        <f>-_xlfn.XLOOKUP("DepreciationDepletionAndAmortisationExpense",MT_HS_CONSOLIDATED!$C:$C,MT_HS_CONSOLIDATED!I:I,0,0,1)</f>
        <v/>
      </c>
    </row>
    <row r="16">
      <c r="B16" s="10" t="inlineStr">
        <is>
          <t>EBIT</t>
        </is>
      </c>
      <c r="E16" s="11">
        <f>IFERROR(SUM(E14:E15),0)</f>
        <v/>
      </c>
      <c r="F16" s="11">
        <f>IFERROR(SUM(F14:F15),0)</f>
        <v/>
      </c>
      <c r="G16" s="11">
        <f>IFERROR(SUM(G14:G15),0)</f>
        <v/>
      </c>
      <c r="H16" s="11">
        <f>IFERROR(SUM(H14:H15),0)</f>
        <v/>
      </c>
      <c r="I16" s="11">
        <f>IFERROR(SUM(I14:I15),0)</f>
        <v/>
      </c>
      <c r="J16" s="11">
        <f>IFERROR(SUM(J14:J15),0)</f>
        <v/>
      </c>
    </row>
    <row r="17">
      <c r="C17" s="6" t="inlineStr">
        <is>
          <t>Total finance costs</t>
        </is>
      </c>
      <c r="E17" s="7">
        <f>-_xlfn.XLOOKUP("FinanceCosts",MT_HS_CONSOLIDATED!$C:$C,MT_HS_CONSOLIDATED!D:D,0,0,1)</f>
        <v/>
      </c>
      <c r="F17" s="7">
        <f>-_xlfn.XLOOKUP("FinanceCosts",MT_HS_CONSOLIDATED!$C:$C,MT_HS_CONSOLIDATED!E:E,0,0,1)</f>
        <v/>
      </c>
      <c r="G17" s="7">
        <f>-_xlfn.XLOOKUP("FinanceCosts",MT_HS_CONSOLIDATED!$C:$C,MT_HS_CONSOLIDATED!F:F,0,0,1)</f>
        <v/>
      </c>
      <c r="H17" s="7">
        <f>-_xlfn.XLOOKUP("FinanceCosts",MT_HS_CONSOLIDATED!$C:$C,MT_HS_CONSOLIDATED!G:G,0,0,1)</f>
        <v/>
      </c>
      <c r="I17" s="7">
        <f>-_xlfn.XLOOKUP("FinanceCosts",MT_HS_CONSOLIDATED!$C:$C,MT_HS_CONSOLIDATED!H:H,0,0,1)</f>
        <v/>
      </c>
      <c r="J17" s="7">
        <f>-_xlfn.XLOOKUP("FinanceCosts",MT_HS_CONSOLIDATED!$C:$C,MT_HS_CONSOLIDATED!I:I,0,0,1)</f>
        <v/>
      </c>
    </row>
    <row r="18">
      <c r="B18" s="10" t="inlineStr">
        <is>
          <t>EBT</t>
        </is>
      </c>
      <c r="E18" s="11">
        <f>IFERROR(SUM(E16:E17),0)</f>
        <v/>
      </c>
      <c r="F18" s="11">
        <f>IFERROR(SUM(F16:F17),0)</f>
        <v/>
      </c>
      <c r="G18" s="11">
        <f>IFERROR(SUM(G16:G17),0)</f>
        <v/>
      </c>
      <c r="H18" s="11">
        <f>IFERROR(SUM(H16:H17),0)</f>
        <v/>
      </c>
      <c r="I18" s="11">
        <f>IFERROR(SUM(I16:I17),0)</f>
        <v/>
      </c>
      <c r="J18" s="11">
        <f>IFERROR(SUM(J16:J17),0)</f>
        <v/>
      </c>
    </row>
    <row r="19">
      <c r="C19" s="6" t="inlineStr">
        <is>
          <t>Total current tax</t>
        </is>
      </c>
      <c r="E19" s="7">
        <f>-_xlfn.XLOOKUP("CurrentTax",MT_HS_CONSOLIDATED!$C:$C,MT_HS_CONSOLIDATED!D:D,0,0,1)</f>
        <v/>
      </c>
      <c r="F19" s="7">
        <f>-_xlfn.XLOOKUP("CurrentTax",MT_HS_CONSOLIDATED!$C:$C,MT_HS_CONSOLIDATED!E:E,0,0,1)</f>
        <v/>
      </c>
      <c r="G19" s="7">
        <f>-_xlfn.XLOOKUP("CurrentTax",MT_HS_CONSOLIDATED!$C:$C,MT_HS_CONSOLIDATED!F:F,0,0,1)</f>
        <v/>
      </c>
      <c r="H19" s="7">
        <f>-_xlfn.XLOOKUP("CurrentTax",MT_HS_CONSOLIDATED!$C:$C,MT_HS_CONSOLIDATED!G:G,0,0,1)</f>
        <v/>
      </c>
      <c r="I19" s="7">
        <f>-_xlfn.XLOOKUP("CurrentTax",MT_HS_CONSOLIDATED!$C:$C,MT_HS_CONSOLIDATED!H:H,0,0,1)</f>
        <v/>
      </c>
      <c r="J19" s="7">
        <f>-_xlfn.XLOOKUP("CurrentTax",MT_HS_CONSOLIDATED!$C:$C,MT_HS_CONSOLIDATED!I:I,0,0,1)</f>
        <v/>
      </c>
    </row>
    <row r="20">
      <c r="C20" s="6" t="inlineStr">
        <is>
          <t>Deferred tax</t>
        </is>
      </c>
      <c r="E20" s="7">
        <f>-_xlfn.XLOOKUP("DeferredTax",MT_HS_CONSOLIDATED!$C:$C,MT_HS_CONSOLIDATED!D:D,0,0,1)</f>
        <v/>
      </c>
      <c r="F20" s="7">
        <f>-_xlfn.XLOOKUP("DeferredTax",MT_HS_CONSOLIDATED!$C:$C,MT_HS_CONSOLIDATED!E:E,0,0,1)</f>
        <v/>
      </c>
      <c r="G20" s="7">
        <f>-_xlfn.XLOOKUP("DeferredTax",MT_HS_CONSOLIDATED!$C:$C,MT_HS_CONSOLIDATED!F:F,0,0,1)</f>
        <v/>
      </c>
      <c r="H20" s="7">
        <f>-_xlfn.XLOOKUP("DeferredTax",MT_HS_CONSOLIDATED!$C:$C,MT_HS_CONSOLIDATED!G:G,0,0,1)</f>
        <v/>
      </c>
      <c r="I20" s="7">
        <f>-_xlfn.XLOOKUP("DeferredTax",MT_HS_CONSOLIDATED!$C:$C,MT_HS_CONSOLIDATED!H:H,0,0,1)</f>
        <v/>
      </c>
      <c r="J20" s="7">
        <f>-_xlfn.XLOOKUP("DeferredTax",MT_HS_CONSOLIDATED!$C:$C,MT_HS_CONSOLIDATED!I:I,0,0,1)</f>
        <v/>
      </c>
    </row>
    <row r="21">
      <c r="C21" s="8" t="inlineStr">
        <is>
          <t>Total tax expense</t>
        </is>
      </c>
      <c r="E21" s="9">
        <f>IFERROR(SUM(E19:E20),0)</f>
        <v/>
      </c>
      <c r="F21" s="9">
        <f>IFERROR(SUM(F19:F20),0)</f>
        <v/>
      </c>
      <c r="G21" s="9">
        <f>IFERROR(SUM(G19:G20),0)</f>
        <v/>
      </c>
      <c r="H21" s="9">
        <f>IFERROR(SUM(H19:H20),0)</f>
        <v/>
      </c>
      <c r="I21" s="9">
        <f>IFERROR(SUM(I19:I20),0)</f>
        <v/>
      </c>
      <c r="J21" s="9">
        <f>IFERROR(SUM(J19:J20),0)</f>
        <v/>
      </c>
    </row>
    <row r="22">
      <c r="B22" s="10" t="inlineStr">
        <is>
          <t>NETINCOME</t>
        </is>
      </c>
      <c r="E22" s="11">
        <f>IFERROR(E21+E18,0)</f>
        <v/>
      </c>
      <c r="F22" s="11">
        <f>IFERROR(F21+F18,0)</f>
        <v/>
      </c>
      <c r="G22" s="11">
        <f>IFERROR(G21+G18,0)</f>
        <v/>
      </c>
      <c r="H22" s="11">
        <f>IFERROR(H21+H18,0)</f>
        <v/>
      </c>
      <c r="I22" s="11">
        <f>IFERROR(I21+I18,0)</f>
        <v/>
      </c>
      <c r="J22" s="11">
        <f>IFERROR(J21+J18,0)</f>
        <v/>
      </c>
    </row>
    <row r="23" ht="15.5" customHeight="1" s="203">
      <c r="A23" s="2" t="inlineStr">
        <is>
          <t>#</t>
        </is>
      </c>
      <c r="B23" s="3" t="inlineStr">
        <is>
          <t>Balance Sheet</t>
        </is>
      </c>
    </row>
    <row r="24">
      <c r="B24" s="5" t="inlineStr">
        <is>
          <t>Assets [Abstract]</t>
        </is>
      </c>
    </row>
    <row r="25">
      <c r="B25" s="5" t="inlineStr">
        <is>
          <t>Non-current assets [Abstract]</t>
        </is>
      </c>
    </row>
    <row r="26">
      <c r="C26" s="5" t="inlineStr">
        <is>
          <t>Operating</t>
        </is>
      </c>
    </row>
    <row r="27">
      <c r="D27" s="6" t="inlineStr">
        <is>
          <t>Property, plant and equipment at end of period</t>
        </is>
      </c>
      <c r="E27" s="7">
        <f>_xlfn.XLOOKUP("PropertyPlantAndEquipment",MT_HS_CONSOLIDATED!$C:$C,MT_HS_CONSOLIDATED!D:D,0,0,1)</f>
        <v/>
      </c>
      <c r="F27" s="7">
        <f>_xlfn.XLOOKUP("PropertyPlantAndEquipment",MT_HS_CONSOLIDATED!$C:$C,MT_HS_CONSOLIDATED!E:E,0,0,1)</f>
        <v/>
      </c>
      <c r="G27" s="7">
        <f>_xlfn.XLOOKUP("PropertyPlantAndEquipment",MT_HS_CONSOLIDATED!$C:$C,MT_HS_CONSOLIDATED!F:F,0,0,1)</f>
        <v/>
      </c>
      <c r="H27" s="7">
        <f>_xlfn.XLOOKUP("PropertyPlantAndEquipment",MT_HS_CONSOLIDATED!$C:$C,MT_HS_CONSOLIDATED!G:G,0,0,1)</f>
        <v/>
      </c>
      <c r="I27" s="7">
        <f>_xlfn.XLOOKUP("PropertyPlantAndEquipment",MT_HS_CONSOLIDATED!$C:$C,MT_HS_CONSOLIDATED!H:H,0,0,1)</f>
        <v/>
      </c>
      <c r="J27" s="7">
        <f>_xlfn.XLOOKUP("PropertyPlantAndEquipment",MT_HS_CONSOLIDATED!$C:$C,MT_HS_CONSOLIDATED!I:I,0,0,1)</f>
        <v/>
      </c>
    </row>
    <row r="28">
      <c r="D28" s="6" t="inlineStr">
        <is>
          <t>Capital work-in-progress</t>
        </is>
      </c>
      <c r="E28" s="7">
        <f>_xlfn.XLOOKUP("CapitalWorkInProgress",MT_HS_CONSOLIDATED!$C:$C,MT_HS_CONSOLIDATED!D:D,0,0,1)</f>
        <v/>
      </c>
      <c r="F28" s="7">
        <f>_xlfn.XLOOKUP("CapitalWorkInProgress",MT_HS_CONSOLIDATED!$C:$C,MT_HS_CONSOLIDATED!E:E,0,0,1)</f>
        <v/>
      </c>
      <c r="G28" s="7">
        <f>_xlfn.XLOOKUP("CapitalWorkInProgress",MT_HS_CONSOLIDATED!$C:$C,MT_HS_CONSOLIDATED!F:F,0,0,1)</f>
        <v/>
      </c>
      <c r="H28" s="7">
        <f>_xlfn.XLOOKUP("CapitalWorkInProgress",MT_HS_CONSOLIDATED!$C:$C,MT_HS_CONSOLIDATED!G:G,0,0,1)</f>
        <v/>
      </c>
      <c r="I28" s="7">
        <f>_xlfn.XLOOKUP("CapitalWorkInProgress",MT_HS_CONSOLIDATED!$C:$C,MT_HS_CONSOLIDATED!H:H,0,0,1)</f>
        <v/>
      </c>
      <c r="J28" s="7">
        <f>_xlfn.XLOOKUP("CapitalWorkInProgress",MT_HS_CONSOLIDATED!$C:$C,MT_HS_CONSOLIDATED!I:I,0,0,1)</f>
        <v/>
      </c>
    </row>
    <row r="29">
      <c r="D29" s="6" t="inlineStr">
        <is>
          <t>Goodwill at end of period</t>
        </is>
      </c>
      <c r="E29" s="7">
        <f>_xlfn.XLOOKUP("Goodwill",MT_HS_CONSOLIDATED!$C:$C,MT_HS_CONSOLIDATED!D:D,0,0,1)</f>
        <v/>
      </c>
      <c r="F29" s="7">
        <f>_xlfn.XLOOKUP("Goodwill",MT_HS_CONSOLIDATED!$C:$C,MT_HS_CONSOLIDATED!E:E,0,0,1)</f>
        <v/>
      </c>
      <c r="G29" s="7">
        <f>_xlfn.XLOOKUP("Goodwill",MT_HS_CONSOLIDATED!$C:$C,MT_HS_CONSOLIDATED!F:F,0,0,1)</f>
        <v/>
      </c>
      <c r="H29" s="7">
        <f>_xlfn.XLOOKUP("Goodwill",MT_HS_CONSOLIDATED!$C:$C,MT_HS_CONSOLIDATED!G:G,0,0,1)</f>
        <v/>
      </c>
      <c r="I29" s="7">
        <f>_xlfn.XLOOKUP("Goodwill",MT_HS_CONSOLIDATED!$C:$C,MT_HS_CONSOLIDATED!H:H,0,0,1)</f>
        <v/>
      </c>
      <c r="J29" s="7">
        <f>_xlfn.XLOOKUP("Goodwill",MT_HS_CONSOLIDATED!$C:$C,MT_HS_CONSOLIDATED!I:I,0,0,1)</f>
        <v/>
      </c>
    </row>
    <row r="30">
      <c r="D30" s="6" t="inlineStr">
        <is>
          <t>Other intangible assets at end of period</t>
        </is>
      </c>
      <c r="E30" s="7">
        <f>_xlfn.XLOOKUP("OtherIntangibleAssets",MT_HS_CONSOLIDATED!$C:$C,MT_HS_CONSOLIDATED!D:D,0,0,1)</f>
        <v/>
      </c>
      <c r="F30" s="7">
        <f>_xlfn.XLOOKUP("OtherIntangibleAssets",MT_HS_CONSOLIDATED!$C:$C,MT_HS_CONSOLIDATED!E:E,0,0,1)</f>
        <v/>
      </c>
      <c r="G30" s="7">
        <f>_xlfn.XLOOKUP("OtherIntangibleAssets",MT_HS_CONSOLIDATED!$C:$C,MT_HS_CONSOLIDATED!F:F,0,0,1)</f>
        <v/>
      </c>
      <c r="H30" s="7">
        <f>_xlfn.XLOOKUP("OtherIntangibleAssets",MT_HS_CONSOLIDATED!$C:$C,MT_HS_CONSOLIDATED!G:G,0,0,1)</f>
        <v/>
      </c>
      <c r="I30" s="7">
        <f>_xlfn.XLOOKUP("OtherIntangibleAssets",MT_HS_CONSOLIDATED!$C:$C,MT_HS_CONSOLIDATED!H:H,0,0,1)</f>
        <v/>
      </c>
      <c r="J30" s="7">
        <f>_xlfn.XLOOKUP("OtherIntangibleAssets",MT_HS_CONSOLIDATED!$C:$C,MT_HS_CONSOLIDATED!I:I,0,0,1)</f>
        <v/>
      </c>
    </row>
    <row r="31">
      <c r="D31" s="6" t="inlineStr">
        <is>
          <t>Total other non-current assets</t>
        </is>
      </c>
      <c r="E31" s="7">
        <f>_xlfn.XLOOKUP("OtherNoncurrentAssets",MT_HS_CONSOLIDATED!$C:$C,MT_HS_CONSOLIDATED!D:D,0,0,1)</f>
        <v/>
      </c>
      <c r="F31" s="7">
        <f>_xlfn.XLOOKUP("OtherNoncurrentAssets",MT_HS_CONSOLIDATED!$C:$C,MT_HS_CONSOLIDATED!E:E,0,0,1)</f>
        <v/>
      </c>
      <c r="G31" s="7">
        <f>_xlfn.XLOOKUP("OtherNoncurrentAssets",MT_HS_CONSOLIDATED!$C:$C,MT_HS_CONSOLIDATED!F:F,0,0,1)</f>
        <v/>
      </c>
      <c r="H31" s="7">
        <f>_xlfn.XLOOKUP("OtherNoncurrentAssets",MT_HS_CONSOLIDATED!$C:$C,MT_HS_CONSOLIDATED!G:G,0,0,1)</f>
        <v/>
      </c>
      <c r="I31" s="7">
        <f>_xlfn.XLOOKUP("OtherNoncurrentAssets",MT_HS_CONSOLIDATED!$C:$C,MT_HS_CONSOLIDATED!H:H,0,0,1)</f>
        <v/>
      </c>
      <c r="J31" s="7">
        <f>_xlfn.XLOOKUP("OtherNoncurrentAssets",MT_HS_CONSOLIDATED!$C:$C,MT_HS_CONSOLIDATED!I:I,0,0,1)</f>
        <v/>
      </c>
    </row>
    <row r="32">
      <c r="C32" s="8" t="inlineStr">
        <is>
          <t>Total Operating</t>
        </is>
      </c>
      <c r="E32" s="9">
        <f>IFERROR(SUM(E27:E31),0)</f>
        <v/>
      </c>
      <c r="F32" s="9">
        <f>IFERROR(SUM(F27:F31),0)</f>
        <v/>
      </c>
      <c r="G32" s="9">
        <f>IFERROR(SUM(G27:G31),0)</f>
        <v/>
      </c>
      <c r="H32" s="9">
        <f>IFERROR(SUM(H27:H31),0)</f>
        <v/>
      </c>
      <c r="I32" s="9">
        <f>IFERROR(SUM(I27:I31),0)</f>
        <v/>
      </c>
      <c r="J32" s="9">
        <f>IFERROR(SUM(J27:J31),0)</f>
        <v/>
      </c>
    </row>
    <row r="33">
      <c r="C33" s="5" t="inlineStr">
        <is>
          <t>Non-Operating</t>
        </is>
      </c>
    </row>
    <row r="34">
      <c r="D34" s="6" t="inlineStr">
        <is>
          <t>Non-current investments</t>
        </is>
      </c>
      <c r="E34" s="7">
        <f>_xlfn.XLOOKUP("NoncurrentInvestments",MT_HS_CONSOLIDATED!$C:$C,MT_HS_CONSOLIDATED!D:D,0,0,1)</f>
        <v/>
      </c>
      <c r="F34" s="7">
        <f>_xlfn.XLOOKUP("NoncurrentInvestments",MT_HS_CONSOLIDATED!$C:$C,MT_HS_CONSOLIDATED!E:E,0,0,1)</f>
        <v/>
      </c>
      <c r="G34" s="7">
        <f>_xlfn.XLOOKUP("NoncurrentInvestments",MT_HS_CONSOLIDATED!$C:$C,MT_HS_CONSOLIDATED!F:F,0,0,1)</f>
        <v/>
      </c>
      <c r="H34" s="7">
        <f>_xlfn.XLOOKUP("NoncurrentInvestments",MT_HS_CONSOLIDATED!$C:$C,MT_HS_CONSOLIDATED!G:G,0,0,1)</f>
        <v/>
      </c>
      <c r="I34" s="7">
        <f>_xlfn.XLOOKUP("NoncurrentInvestments",MT_HS_CONSOLIDATED!$C:$C,MT_HS_CONSOLIDATED!H:H,0,0,1)</f>
        <v/>
      </c>
      <c r="J34" s="7">
        <f>_xlfn.XLOOKUP("NoncurrentInvestments",MT_HS_CONSOLIDATED!$C:$C,MT_HS_CONSOLIDATED!I:I,0,0,1)</f>
        <v/>
      </c>
    </row>
    <row r="35">
      <c r="D35" s="6" t="inlineStr">
        <is>
          <t>Loans, non-current</t>
        </is>
      </c>
      <c r="E35" s="7">
        <f>_xlfn.XLOOKUP("LoansNoncurrent",MT_HS_CONSOLIDATED!$C:$C,MT_HS_CONSOLIDATED!D:D,0,0,1)</f>
        <v/>
      </c>
      <c r="F35" s="7">
        <f>_xlfn.XLOOKUP("LoansNoncurrent",MT_HS_CONSOLIDATED!$C:$C,MT_HS_CONSOLIDATED!E:E,0,0,1)</f>
        <v/>
      </c>
      <c r="G35" s="7">
        <f>_xlfn.XLOOKUP("LoansNoncurrent",MT_HS_CONSOLIDATED!$C:$C,MT_HS_CONSOLIDATED!F:F,0,0,1)</f>
        <v/>
      </c>
      <c r="H35" s="7">
        <f>_xlfn.XLOOKUP("LoansNoncurrent",MT_HS_CONSOLIDATED!$C:$C,MT_HS_CONSOLIDATED!G:G,0,0,1)</f>
        <v/>
      </c>
      <c r="I35" s="7">
        <f>_xlfn.XLOOKUP("LoansNoncurrent",MT_HS_CONSOLIDATED!$C:$C,MT_HS_CONSOLIDATED!H:H,0,0,1)</f>
        <v/>
      </c>
      <c r="J35" s="7">
        <f>_xlfn.XLOOKUP("LoansNoncurrent",MT_HS_CONSOLIDATED!$C:$C,MT_HS_CONSOLIDATED!I:I,0,0,1)</f>
        <v/>
      </c>
    </row>
    <row r="36">
      <c r="D36" s="6" t="inlineStr">
        <is>
          <t>Total other non-current financial assets</t>
        </is>
      </c>
      <c r="E36" s="7">
        <f>_xlfn.XLOOKUP("OtherNoncurrentFinancialAssets",MT_HS_CONSOLIDATED!$C:$C,MT_HS_CONSOLIDATED!D:D,0,0,1)</f>
        <v/>
      </c>
      <c r="F36" s="7">
        <f>_xlfn.XLOOKUP("OtherNoncurrentFinancialAssets",MT_HS_CONSOLIDATED!$C:$C,MT_HS_CONSOLIDATED!E:E,0,0,1)</f>
        <v/>
      </c>
      <c r="G36" s="7">
        <f>_xlfn.XLOOKUP("OtherNoncurrentFinancialAssets",MT_HS_CONSOLIDATED!$C:$C,MT_HS_CONSOLIDATED!F:F,0,0,1)</f>
        <v/>
      </c>
      <c r="H36" s="7">
        <f>_xlfn.XLOOKUP("OtherNoncurrentFinancialAssets",MT_HS_CONSOLIDATED!$C:$C,MT_HS_CONSOLIDATED!G:G,0,0,1)</f>
        <v/>
      </c>
      <c r="I36" s="7">
        <f>_xlfn.XLOOKUP("OtherNoncurrentFinancialAssets",MT_HS_CONSOLIDATED!$C:$C,MT_HS_CONSOLIDATED!H:H,0,0,1)</f>
        <v/>
      </c>
      <c r="J36" s="7">
        <f>_xlfn.XLOOKUP("OtherNoncurrentFinancialAssets",MT_HS_CONSOLIDATED!$C:$C,MT_HS_CONSOLIDATED!I:I,0,0,1)</f>
        <v/>
      </c>
    </row>
    <row r="37">
      <c r="D37" s="6" t="inlineStr">
        <is>
          <t>Deferred tax assets (net)</t>
        </is>
      </c>
      <c r="E37" s="7">
        <f>_xlfn.XLOOKUP("DeferredTaxAssetsNet",MT_HS_CONSOLIDATED!$C:$C,MT_HS_CONSOLIDATED!D:D,0,0,1)</f>
        <v/>
      </c>
      <c r="F37" s="7">
        <f>_xlfn.XLOOKUP("DeferredTaxAssetsNet",MT_HS_CONSOLIDATED!$C:$C,MT_HS_CONSOLIDATED!E:E,0,0,1)</f>
        <v/>
      </c>
      <c r="G37" s="7">
        <f>_xlfn.XLOOKUP("DeferredTaxAssetsNet",MT_HS_CONSOLIDATED!$C:$C,MT_HS_CONSOLIDATED!F:F,0,0,1)</f>
        <v/>
      </c>
      <c r="H37" s="7">
        <f>_xlfn.XLOOKUP("DeferredTaxAssetsNet",MT_HS_CONSOLIDATED!$C:$C,MT_HS_CONSOLIDATED!G:G,0,0,1)</f>
        <v/>
      </c>
      <c r="I37" s="7">
        <f>_xlfn.XLOOKUP("DeferredTaxAssetsNet",MT_HS_CONSOLIDATED!$C:$C,MT_HS_CONSOLIDATED!H:H,0,0,1)</f>
        <v/>
      </c>
      <c r="J37" s="7">
        <f>_xlfn.XLOOKUP("DeferredTaxAssetsNet",MT_HS_CONSOLIDATED!$C:$C,MT_HS_CONSOLIDATED!I:I,0,0,1)</f>
        <v/>
      </c>
    </row>
    <row r="38">
      <c r="C38" s="8" t="inlineStr">
        <is>
          <t>Total Non-Operating</t>
        </is>
      </c>
      <c r="E38" s="9">
        <f>IFERROR(SUM(E34:E37),0)</f>
        <v/>
      </c>
      <c r="F38" s="9">
        <f>IFERROR(SUM(F34:F37),0)</f>
        <v/>
      </c>
      <c r="G38" s="9">
        <f>IFERROR(SUM(G34:G37),0)</f>
        <v/>
      </c>
      <c r="H38" s="9">
        <f>IFERROR(SUM(H34:H37),0)</f>
        <v/>
      </c>
      <c r="I38" s="9">
        <f>IFERROR(SUM(I34:I37),0)</f>
        <v/>
      </c>
      <c r="J38" s="9">
        <f>IFERROR(SUM(J34:J37),0)</f>
        <v/>
      </c>
    </row>
    <row r="39">
      <c r="C39" s="6" t="inlineStr">
        <is>
          <t>Total non-current financial assets</t>
        </is>
      </c>
      <c r="E39" s="7">
        <f>_xlfn.XLOOKUP("NoncurrentFinancialAssets",MT_HS_CONSOLIDATED!$C:$C,MT_HS_CONSOLIDATED!D:D,0,0,1)</f>
        <v/>
      </c>
      <c r="F39" s="7">
        <f>_xlfn.XLOOKUP("NoncurrentFinancialAssets",MT_HS_CONSOLIDATED!$C:$C,MT_HS_CONSOLIDATED!E:E,0,0,1)</f>
        <v/>
      </c>
      <c r="G39" s="7">
        <f>_xlfn.XLOOKUP("NoncurrentFinancialAssets",MT_HS_CONSOLIDATED!$C:$C,MT_HS_CONSOLIDATED!F:F,0,0,1)</f>
        <v/>
      </c>
      <c r="H39" s="7">
        <f>_xlfn.XLOOKUP("NoncurrentFinancialAssets",MT_HS_CONSOLIDATED!$C:$C,MT_HS_CONSOLIDATED!G:G,0,0,1)</f>
        <v/>
      </c>
      <c r="I39" s="7">
        <f>_xlfn.XLOOKUP("NoncurrentFinancialAssets",MT_HS_CONSOLIDATED!$C:$C,MT_HS_CONSOLIDATED!H:H,0,0,1)</f>
        <v/>
      </c>
      <c r="J39" s="7">
        <f>_xlfn.XLOOKUP("NoncurrentFinancialAssets",MT_HS_CONSOLIDATED!$C:$C,MT_HS_CONSOLIDATED!I:I,0,0,1)</f>
        <v/>
      </c>
    </row>
    <row r="40">
      <c r="B40" s="10" t="inlineStr">
        <is>
          <t>Total Non-Current Assets</t>
        </is>
      </c>
      <c r="E40" s="11">
        <f>IFERROR(E38+E32,0)</f>
        <v/>
      </c>
      <c r="F40" s="11">
        <f>IFERROR(F38+F32,0)</f>
        <v/>
      </c>
      <c r="G40" s="11">
        <f>IFERROR(G38+G32,0)</f>
        <v/>
      </c>
      <c r="H40" s="11">
        <f>IFERROR(H38+H32,0)</f>
        <v/>
      </c>
      <c r="I40" s="11">
        <f>IFERROR(I38+I32,0)</f>
        <v/>
      </c>
      <c r="J40" s="11">
        <f>IFERROR(J38+J32,0)</f>
        <v/>
      </c>
    </row>
    <row r="41">
      <c r="B41" s="5" t="inlineStr">
        <is>
          <t>Current Assets</t>
        </is>
      </c>
    </row>
    <row r="42">
      <c r="C42" s="5" t="inlineStr">
        <is>
          <t>Operating</t>
        </is>
      </c>
    </row>
    <row r="43">
      <c r="D43" s="6" t="inlineStr">
        <is>
          <t>Inventories</t>
        </is>
      </c>
      <c r="E43" s="7">
        <f>_xlfn.XLOOKUP("Inventories",MT_HS_CONSOLIDATED!$C:$C,MT_HS_CONSOLIDATED!D:D,0,0,1)</f>
        <v/>
      </c>
      <c r="F43" s="7">
        <f>_xlfn.XLOOKUP("Inventories",MT_HS_CONSOLIDATED!$C:$C,MT_HS_CONSOLIDATED!E:E,0,0,1)</f>
        <v/>
      </c>
      <c r="G43" s="7">
        <f>_xlfn.XLOOKUP("Inventories",MT_HS_CONSOLIDATED!$C:$C,MT_HS_CONSOLIDATED!F:F,0,0,1)</f>
        <v/>
      </c>
      <c r="H43" s="7">
        <f>_xlfn.XLOOKUP("Inventories",MT_HS_CONSOLIDATED!$C:$C,MT_HS_CONSOLIDATED!G:G,0,0,1)</f>
        <v/>
      </c>
      <c r="I43" s="7">
        <f>_xlfn.XLOOKUP("Inventories",MT_HS_CONSOLIDATED!$C:$C,MT_HS_CONSOLIDATED!H:H,0,0,1)</f>
        <v/>
      </c>
      <c r="J43" s="7">
        <f>_xlfn.XLOOKUP("Inventories",MT_HS_CONSOLIDATED!$C:$C,MT_HS_CONSOLIDATED!I:I,0,0,1)</f>
        <v/>
      </c>
    </row>
    <row r="44">
      <c r="D44" s="6" t="inlineStr">
        <is>
          <t>Trade receivables, current</t>
        </is>
      </c>
      <c r="E44" s="7">
        <f>_xlfn.XLOOKUP("TradeReceivablesCurrent",MT_HS_CONSOLIDATED!$C:$C,MT_HS_CONSOLIDATED!D:D,0,0,1)</f>
        <v/>
      </c>
      <c r="F44" s="7">
        <f>_xlfn.XLOOKUP("TradeReceivablesCurrent",MT_HS_CONSOLIDATED!$C:$C,MT_HS_CONSOLIDATED!E:E,0,0,1)</f>
        <v/>
      </c>
      <c r="G44" s="7">
        <f>_xlfn.XLOOKUP("TradeReceivablesCurrent",MT_HS_CONSOLIDATED!$C:$C,MT_HS_CONSOLIDATED!F:F,0,0,1)</f>
        <v/>
      </c>
      <c r="H44" s="7">
        <f>_xlfn.XLOOKUP("TradeReceivablesCurrent",MT_HS_CONSOLIDATED!$C:$C,MT_HS_CONSOLIDATED!G:G,0,0,1)</f>
        <v/>
      </c>
      <c r="I44" s="7">
        <f>_xlfn.XLOOKUP("TradeReceivablesCurrent",MT_HS_CONSOLIDATED!$C:$C,MT_HS_CONSOLIDATED!H:H,0,0,1)</f>
        <v/>
      </c>
      <c r="J44" s="7">
        <f>_xlfn.XLOOKUP("TradeReceivablesCurrent",MT_HS_CONSOLIDATED!$C:$C,MT_HS_CONSOLIDATED!I:I,0,0,1)</f>
        <v/>
      </c>
    </row>
    <row r="45">
      <c r="D45" s="6" t="inlineStr">
        <is>
          <t>Total other current assets</t>
        </is>
      </c>
      <c r="E45" s="7">
        <f>_xlfn.XLOOKUP("OtherCurrentAssets",MT_HS_CONSOLIDATED!$C:$C,MT_HS_CONSOLIDATED!D:D,0,0,1)</f>
        <v/>
      </c>
      <c r="F45" s="7">
        <f>_xlfn.XLOOKUP("OtherCurrentAssets",MT_HS_CONSOLIDATED!$C:$C,MT_HS_CONSOLIDATED!E:E,0,0,1)</f>
        <v/>
      </c>
      <c r="G45" s="7">
        <f>_xlfn.XLOOKUP("OtherCurrentAssets",MT_HS_CONSOLIDATED!$C:$C,MT_HS_CONSOLIDATED!F:F,0,0,1)</f>
        <v/>
      </c>
      <c r="H45" s="7">
        <f>_xlfn.XLOOKUP("OtherCurrentAssets",MT_HS_CONSOLIDATED!$C:$C,MT_HS_CONSOLIDATED!G:G,0,0,1)</f>
        <v/>
      </c>
      <c r="I45" s="7">
        <f>_xlfn.XLOOKUP("OtherCurrentAssets",MT_HS_CONSOLIDATED!$C:$C,MT_HS_CONSOLIDATED!H:H,0,0,1)</f>
        <v/>
      </c>
      <c r="J45" s="7">
        <f>_xlfn.XLOOKUP("OtherCurrentAssets",MT_HS_CONSOLIDATED!$C:$C,MT_HS_CONSOLIDATED!I:I,0,0,1)</f>
        <v/>
      </c>
    </row>
    <row r="46">
      <c r="C46" s="8" t="inlineStr">
        <is>
          <t>Total Operating</t>
        </is>
      </c>
      <c r="E46" s="9">
        <f>IFERROR(SUM(E43:E45),0)</f>
        <v/>
      </c>
      <c r="F46" s="9">
        <f>IFERROR(SUM(F43:F45),0)</f>
        <v/>
      </c>
      <c r="G46" s="9">
        <f>IFERROR(SUM(G43:G45),0)</f>
        <v/>
      </c>
      <c r="H46" s="9">
        <f>IFERROR(SUM(H43:H45),0)</f>
        <v/>
      </c>
      <c r="I46" s="9">
        <f>IFERROR(SUM(I43:I45),0)</f>
        <v/>
      </c>
      <c r="J46" s="9">
        <f>IFERROR(SUM(J43:J45),0)</f>
        <v/>
      </c>
    </row>
    <row r="47">
      <c r="C47" s="5" t="inlineStr">
        <is>
          <t>Non-Operating</t>
        </is>
      </c>
    </row>
    <row r="48">
      <c r="D48" s="6" t="inlineStr">
        <is>
          <t>Current investments</t>
        </is>
      </c>
      <c r="E48" s="7">
        <f>_xlfn.XLOOKUP("CurrentInvestments",MT_HS_CONSOLIDATED!$C:$C,MT_HS_CONSOLIDATED!D:D,0,0,1)</f>
        <v/>
      </c>
      <c r="F48" s="7">
        <f>_xlfn.XLOOKUP("CurrentInvestments",MT_HS_CONSOLIDATED!$C:$C,MT_HS_CONSOLIDATED!E:E,0,0,1)</f>
        <v/>
      </c>
      <c r="G48" s="7">
        <f>_xlfn.XLOOKUP("CurrentInvestments",MT_HS_CONSOLIDATED!$C:$C,MT_HS_CONSOLIDATED!F:F,0,0,1)</f>
        <v/>
      </c>
      <c r="H48" s="7">
        <f>_xlfn.XLOOKUP("CurrentInvestments",MT_HS_CONSOLIDATED!$C:$C,MT_HS_CONSOLIDATED!G:G,0,0,1)</f>
        <v/>
      </c>
      <c r="I48" s="7">
        <f>_xlfn.XLOOKUP("CurrentInvestments",MT_HS_CONSOLIDATED!$C:$C,MT_HS_CONSOLIDATED!H:H,0,0,1)</f>
        <v/>
      </c>
      <c r="J48" s="7">
        <f>_xlfn.XLOOKUP("CurrentInvestments",MT_HS_CONSOLIDATED!$C:$C,MT_HS_CONSOLIDATED!I:I,0,0,1)</f>
        <v/>
      </c>
    </row>
    <row r="49">
      <c r="D49" s="6" t="inlineStr">
        <is>
          <t>Cash and cash equivalents at end of period</t>
        </is>
      </c>
      <c r="E49" s="7">
        <f>_xlfn.XLOOKUP("CashAndCashEquivalents",MT_HS_CONSOLIDATED!$C:$C,MT_HS_CONSOLIDATED!D:D,0,0,1)</f>
        <v/>
      </c>
      <c r="F49" s="7">
        <f>_xlfn.XLOOKUP("CashAndCashEquivalents",MT_HS_CONSOLIDATED!$C:$C,MT_HS_CONSOLIDATED!E:E,0,0,1)</f>
        <v/>
      </c>
      <c r="G49" s="7">
        <f>_xlfn.XLOOKUP("CashAndCashEquivalents",MT_HS_CONSOLIDATED!$C:$C,MT_HS_CONSOLIDATED!F:F,0,0,1)</f>
        <v/>
      </c>
      <c r="H49" s="7">
        <f>_xlfn.XLOOKUP("CashAndCashEquivalents",MT_HS_CONSOLIDATED!$C:$C,MT_HS_CONSOLIDATED!G:G,0,0,1)</f>
        <v/>
      </c>
      <c r="I49" s="7">
        <f>_xlfn.XLOOKUP("CashAndCashEquivalents",MT_HS_CONSOLIDATED!$C:$C,MT_HS_CONSOLIDATED!H:H,0,0,1)</f>
        <v/>
      </c>
      <c r="J49" s="7">
        <f>_xlfn.XLOOKUP("CashAndCashEquivalents",MT_HS_CONSOLIDATED!$C:$C,MT_HS_CONSOLIDATED!I:I,0,0,1)</f>
        <v/>
      </c>
    </row>
    <row r="50">
      <c r="D50" s="6" t="inlineStr">
        <is>
          <t>Bank balance other than cash and cash equivalents</t>
        </is>
      </c>
      <c r="E50" s="7">
        <f>_xlfn.XLOOKUP("BankBalanceOtherThanCashAndCashEquivalents",MT_HS_CONSOLIDATED!$C:$C,MT_HS_CONSOLIDATED!D:D,0,0,1)</f>
        <v/>
      </c>
      <c r="F50" s="7">
        <f>_xlfn.XLOOKUP("BankBalanceOtherThanCashAndCashEquivalents",MT_HS_CONSOLIDATED!$C:$C,MT_HS_CONSOLIDATED!E:E,0,0,1)</f>
        <v/>
      </c>
      <c r="G50" s="7">
        <f>_xlfn.XLOOKUP("BankBalanceOtherThanCashAndCashEquivalents",MT_HS_CONSOLIDATED!$C:$C,MT_HS_CONSOLIDATED!F:F,0,0,1)</f>
        <v/>
      </c>
      <c r="H50" s="7">
        <f>_xlfn.XLOOKUP("BankBalanceOtherThanCashAndCashEquivalents",MT_HS_CONSOLIDATED!$C:$C,MT_HS_CONSOLIDATED!G:G,0,0,1)</f>
        <v/>
      </c>
      <c r="I50" s="7">
        <f>_xlfn.XLOOKUP("BankBalanceOtherThanCashAndCashEquivalents",MT_HS_CONSOLIDATED!$C:$C,MT_HS_CONSOLIDATED!H:H,0,0,1)</f>
        <v/>
      </c>
      <c r="J50" s="7">
        <f>_xlfn.XLOOKUP("BankBalanceOtherThanCashAndCashEquivalents",MT_HS_CONSOLIDATED!$C:$C,MT_HS_CONSOLIDATED!I:I,0,0,1)</f>
        <v/>
      </c>
    </row>
    <row r="51">
      <c r="D51" s="6" t="inlineStr">
        <is>
          <t>Loans, current</t>
        </is>
      </c>
      <c r="E51" s="7">
        <f>_xlfn.XLOOKUP("LoansCurrent",MT_HS_CONSOLIDATED!$C:$C,MT_HS_CONSOLIDATED!D:D,0,0,1)</f>
        <v/>
      </c>
      <c r="F51" s="7">
        <f>_xlfn.XLOOKUP("LoansCurrent",MT_HS_CONSOLIDATED!$C:$C,MT_HS_CONSOLIDATED!E:E,0,0,1)</f>
        <v/>
      </c>
      <c r="G51" s="7">
        <f>_xlfn.XLOOKUP("LoansCurrent",MT_HS_CONSOLIDATED!$C:$C,MT_HS_CONSOLIDATED!F:F,0,0,1)</f>
        <v/>
      </c>
      <c r="H51" s="7">
        <f>_xlfn.XLOOKUP("LoansCurrent",MT_HS_CONSOLIDATED!$C:$C,MT_HS_CONSOLIDATED!G:G,0,0,1)</f>
        <v/>
      </c>
      <c r="I51" s="7">
        <f>_xlfn.XLOOKUP("LoansCurrent",MT_HS_CONSOLIDATED!$C:$C,MT_HS_CONSOLIDATED!H:H,0,0,1)</f>
        <v/>
      </c>
      <c r="J51" s="7">
        <f>_xlfn.XLOOKUP("LoansCurrent",MT_HS_CONSOLIDATED!$C:$C,MT_HS_CONSOLIDATED!I:I,0,0,1)</f>
        <v/>
      </c>
    </row>
    <row r="52">
      <c r="D52" s="6" t="inlineStr">
        <is>
          <t>Total other current financial assets</t>
        </is>
      </c>
      <c r="E52" s="7">
        <f>_xlfn.XLOOKUP("OtherCurrentFinancialAssets",MT_HS_CONSOLIDATED!$C:$C,MT_HS_CONSOLIDATED!D:D,0,0,1)</f>
        <v/>
      </c>
      <c r="F52" s="7">
        <f>_xlfn.XLOOKUP("OtherCurrentFinancialAssets",MT_HS_CONSOLIDATED!$C:$C,MT_HS_CONSOLIDATED!E:E,0,0,1)</f>
        <v/>
      </c>
      <c r="G52" s="7">
        <f>_xlfn.XLOOKUP("OtherCurrentFinancialAssets",MT_HS_CONSOLIDATED!$C:$C,MT_HS_CONSOLIDATED!F:F,0,0,1)</f>
        <v/>
      </c>
      <c r="H52" s="7">
        <f>_xlfn.XLOOKUP("OtherCurrentFinancialAssets",MT_HS_CONSOLIDATED!$C:$C,MT_HS_CONSOLIDATED!G:G,0,0,1)</f>
        <v/>
      </c>
      <c r="I52" s="7">
        <f>_xlfn.XLOOKUP("OtherCurrentFinancialAssets",MT_HS_CONSOLIDATED!$C:$C,MT_HS_CONSOLIDATED!H:H,0,0,1)</f>
        <v/>
      </c>
      <c r="J52" s="7">
        <f>_xlfn.XLOOKUP("OtherCurrentFinancialAssets",MT_HS_CONSOLIDATED!$C:$C,MT_HS_CONSOLIDATED!I:I,0,0,1)</f>
        <v/>
      </c>
    </row>
    <row r="53">
      <c r="C53" s="8" t="inlineStr">
        <is>
          <t>Total Non-Operating</t>
        </is>
      </c>
      <c r="E53" s="9">
        <f>IFERROR(SUM(E48:E52),0)</f>
        <v/>
      </c>
      <c r="F53" s="9">
        <f>IFERROR(SUM(F48:F52),0)</f>
        <v/>
      </c>
      <c r="G53" s="9">
        <f>IFERROR(SUM(G48:G52),0)</f>
        <v/>
      </c>
      <c r="H53" s="9">
        <f>IFERROR(SUM(H48:H52),0)</f>
        <v/>
      </c>
      <c r="I53" s="9">
        <f>IFERROR(SUM(I48:I52),0)</f>
        <v/>
      </c>
      <c r="J53" s="9">
        <f>IFERROR(SUM(J48:J52),0)</f>
        <v/>
      </c>
    </row>
    <row r="54">
      <c r="C54" s="6" t="inlineStr">
        <is>
          <t>Total current financial assets</t>
        </is>
      </c>
      <c r="E54" s="7">
        <f>_xlfn.XLOOKUP("CurrentFinancialAssets",MT_HS_CONSOLIDATED!$C:$C,MT_HS_CONSOLIDATED!D:D,0,0,1)</f>
        <v/>
      </c>
      <c r="F54" s="7">
        <f>_xlfn.XLOOKUP("CurrentFinancialAssets",MT_HS_CONSOLIDATED!$C:$C,MT_HS_CONSOLIDATED!E:E,0,0,1)</f>
        <v/>
      </c>
      <c r="G54" s="7">
        <f>_xlfn.XLOOKUP("CurrentFinancialAssets",MT_HS_CONSOLIDATED!$C:$C,MT_HS_CONSOLIDATED!F:F,0,0,1)</f>
        <v/>
      </c>
      <c r="H54" s="7">
        <f>_xlfn.XLOOKUP("CurrentFinancialAssets",MT_HS_CONSOLIDATED!$C:$C,MT_HS_CONSOLIDATED!G:G,0,0,1)</f>
        <v/>
      </c>
      <c r="I54" s="7">
        <f>_xlfn.XLOOKUP("CurrentFinancialAssets",MT_HS_CONSOLIDATED!$C:$C,MT_HS_CONSOLIDATED!H:H,0,0,1)</f>
        <v/>
      </c>
      <c r="J54" s="7">
        <f>_xlfn.XLOOKUP("CurrentFinancialAssets",MT_HS_CONSOLIDATED!$C:$C,MT_HS_CONSOLIDATED!I:I,0,0,1)</f>
        <v/>
      </c>
    </row>
    <row r="55">
      <c r="B55" s="10" t="inlineStr">
        <is>
          <t>Total Current Assets</t>
        </is>
      </c>
      <c r="E55" s="11">
        <f>IFERROR(E53+E46,0)</f>
        <v/>
      </c>
      <c r="F55" s="11">
        <f>IFERROR(F53+F46,0)</f>
        <v/>
      </c>
      <c r="G55" s="11">
        <f>IFERROR(G53+G46,0)</f>
        <v/>
      </c>
      <c r="H55" s="11">
        <f>IFERROR(H53+H46,0)</f>
        <v/>
      </c>
      <c r="I55" s="11">
        <f>IFERROR(I53+I46,0)</f>
        <v/>
      </c>
      <c r="J55" s="11">
        <f>IFERROR(J53+J46,0)</f>
        <v/>
      </c>
    </row>
    <row r="56">
      <c r="C56" s="6" t="inlineStr">
        <is>
          <t>Non-current assets classified as held for sale</t>
        </is>
      </c>
      <c r="E56" s="7">
        <f>_xlfn.XLOOKUP("NoncurrentAssetsOrDisposalGroupsClassifiedAsHeldForSaleOrAsHeldForDistributionToOwners",MT_HS_CONSOLIDATED!$C:$C,MT_HS_CONSOLIDATED!D:D,0,0,1)</f>
        <v/>
      </c>
      <c r="F56" s="7">
        <f>_xlfn.XLOOKUP("NoncurrentAssetsOrDisposalGroupsClassifiedAsHeldForSaleOrAsHeldForDistributionToOwners",MT_HS_CONSOLIDATED!$C:$C,MT_HS_CONSOLIDATED!E:E,0,0,1)</f>
        <v/>
      </c>
      <c r="G56" s="7">
        <f>_xlfn.XLOOKUP("NoncurrentAssetsOrDisposalGroupsClassifiedAsHeldForSaleOrAsHeldForDistributionToOwners",MT_HS_CONSOLIDATED!$C:$C,MT_HS_CONSOLIDATED!F:F,0,0,1)</f>
        <v/>
      </c>
      <c r="H56" s="7">
        <f>_xlfn.XLOOKUP("NoncurrentAssetsOrDisposalGroupsClassifiedAsHeldForSaleOrAsHeldForDistributionToOwners",MT_HS_CONSOLIDATED!$C:$C,MT_HS_CONSOLIDATED!G:G,0,0,1)</f>
        <v/>
      </c>
      <c r="I56" s="7">
        <f>_xlfn.XLOOKUP("NoncurrentAssetsOrDisposalGroupsClassifiedAsHeldForSaleOrAsHeldForDistributionToOwners",MT_HS_CONSOLIDATED!$C:$C,MT_HS_CONSOLIDATED!H:H,0,0,1)</f>
        <v/>
      </c>
      <c r="J56" s="7">
        <f>_xlfn.XLOOKUP("NoncurrentAssetsOrDisposalGroupsClassifiedAsHeldForSaleOrAsHeldForDistributionToOwners",MT_HS_CONSOLIDATED!$C:$C,MT_HS_CONSOLIDATED!I:I,0,0,1)</f>
        <v/>
      </c>
    </row>
    <row r="57">
      <c r="B57" s="10" t="inlineStr">
        <is>
          <t>Total Assets</t>
        </is>
      </c>
      <c r="E57" s="11">
        <f>IFERROR(SUM(E55:E56)+E40,0)</f>
        <v/>
      </c>
      <c r="F57" s="11">
        <f>IFERROR(SUM(F55:F56)+F40,0)</f>
        <v/>
      </c>
      <c r="G57" s="11">
        <f>IFERROR(SUM(G55:G56)+G40,0)</f>
        <v/>
      </c>
      <c r="H57" s="11">
        <f>IFERROR(SUM(H55:H56)+H40,0)</f>
        <v/>
      </c>
      <c r="I57" s="11">
        <f>IFERROR(SUM(I55:I56)+I40,0)</f>
        <v/>
      </c>
      <c r="J57" s="11">
        <f>IFERROR(SUM(J55:J56)+J40,0)</f>
        <v/>
      </c>
    </row>
    <row r="58">
      <c r="B58" s="5" t="inlineStr">
        <is>
          <t>Equity and Liabilities</t>
        </is>
      </c>
    </row>
    <row r="59">
      <c r="B59" s="5" t="inlineStr">
        <is>
          <t>Equity attributable to owners of parent</t>
        </is>
      </c>
    </row>
    <row r="60">
      <c r="C60" s="6" t="inlineStr">
        <is>
          <t>Equity share capital at end of period</t>
        </is>
      </c>
      <c r="E60" s="7">
        <f>_xlfn.XLOOKUP("EquityShareCapital",MT_HS_CONSOLIDATED!$C:$C,MT_HS_CONSOLIDATED!D:D,0,0,1)</f>
        <v/>
      </c>
      <c r="F60" s="7">
        <f>_xlfn.XLOOKUP("EquityShareCapital",MT_HS_CONSOLIDATED!$C:$C,MT_HS_CONSOLIDATED!E:E,0,0,1)</f>
        <v/>
      </c>
      <c r="G60" s="7">
        <f>_xlfn.XLOOKUP("EquityShareCapital",MT_HS_CONSOLIDATED!$C:$C,MT_HS_CONSOLIDATED!F:F,0,0,1)</f>
        <v/>
      </c>
      <c r="H60" s="7">
        <f>_xlfn.XLOOKUP("EquityShareCapital",MT_HS_CONSOLIDATED!$C:$C,MT_HS_CONSOLIDATED!G:G,0,0,1)</f>
        <v/>
      </c>
      <c r="I60" s="7">
        <f>_xlfn.XLOOKUP("EquityShareCapital",MT_HS_CONSOLIDATED!$C:$C,MT_HS_CONSOLIDATED!H:H,0,0,1)</f>
        <v/>
      </c>
      <c r="J60" s="7">
        <f>_xlfn.XLOOKUP("EquityShareCapital",MT_HS_CONSOLIDATED!$C:$C,MT_HS_CONSOLIDATED!I:I,0,0,1)</f>
        <v/>
      </c>
    </row>
    <row r="61">
      <c r="C61" s="6" t="inlineStr">
        <is>
          <t>Other equity</t>
        </is>
      </c>
      <c r="E61" s="7">
        <f>_xlfn.XLOOKUP("OtherEquity",MT_HS_CONSOLIDATED!$C:$C,MT_HS_CONSOLIDATED!D:D,0,0,1)</f>
        <v/>
      </c>
      <c r="F61" s="7">
        <f>_xlfn.XLOOKUP("OtherEquity",MT_HS_CONSOLIDATED!$C:$C,MT_HS_CONSOLIDATED!E:E,0,0,1)</f>
        <v/>
      </c>
      <c r="G61" s="7">
        <f>_xlfn.XLOOKUP("OtherEquity",MT_HS_CONSOLIDATED!$C:$C,MT_HS_CONSOLIDATED!F:F,0,0,1)</f>
        <v/>
      </c>
      <c r="H61" s="7">
        <f>_xlfn.XLOOKUP("OtherEquity",MT_HS_CONSOLIDATED!$C:$C,MT_HS_CONSOLIDATED!G:G,0,0,1)</f>
        <v/>
      </c>
      <c r="I61" s="7">
        <f>_xlfn.XLOOKUP("OtherEquity",MT_HS_CONSOLIDATED!$C:$C,MT_HS_CONSOLIDATED!H:H,0,0,1)</f>
        <v/>
      </c>
      <c r="J61" s="7">
        <f>_xlfn.XLOOKUP("OtherEquity",MT_HS_CONSOLIDATED!$C:$C,MT_HS_CONSOLIDATED!I:I,0,0,1)</f>
        <v/>
      </c>
    </row>
    <row r="62">
      <c r="B62" s="10" t="inlineStr">
        <is>
          <t>Total equity attributable to owners of parent</t>
        </is>
      </c>
      <c r="E62" s="11">
        <f>IFERROR(SUM(E60:E61),0)</f>
        <v/>
      </c>
      <c r="F62" s="11">
        <f>IFERROR(SUM(F60:F61),0)</f>
        <v/>
      </c>
      <c r="G62" s="11">
        <f>IFERROR(SUM(G60:G61),0)</f>
        <v/>
      </c>
      <c r="H62" s="11">
        <f>IFERROR(SUM(H60:H61),0)</f>
        <v/>
      </c>
      <c r="I62" s="11">
        <f>IFERROR(SUM(I60:I61),0)</f>
        <v/>
      </c>
      <c r="J62" s="11">
        <f>IFERROR(SUM(J60:J61),0)</f>
        <v/>
      </c>
    </row>
    <row r="63">
      <c r="B63" s="10" t="inlineStr">
        <is>
          <t>Equity at end of period</t>
        </is>
      </c>
      <c r="E63" s="11">
        <f>IFERROR(SUM(E62:E62),0)</f>
        <v/>
      </c>
      <c r="F63" s="11">
        <f>IFERROR(SUM(F62:F62),0)</f>
        <v/>
      </c>
      <c r="G63" s="11">
        <f>IFERROR(SUM(G62:G62),0)</f>
        <v/>
      </c>
      <c r="H63" s="11">
        <f>IFERROR(SUM(H62:H62),0)</f>
        <v/>
      </c>
      <c r="I63" s="11">
        <f>IFERROR(SUM(I62:I62),0)</f>
        <v/>
      </c>
      <c r="J63" s="11">
        <f>IFERROR(SUM(J62:J62),0)</f>
        <v/>
      </c>
    </row>
    <row r="64">
      <c r="B64" s="5" t="inlineStr">
        <is>
          <t>Liabilities</t>
        </is>
      </c>
    </row>
    <row r="65">
      <c r="B65" s="5" t="inlineStr">
        <is>
          <t xml:space="preserve">Non-current liabilities </t>
        </is>
      </c>
    </row>
    <row r="66">
      <c r="B66" s="5" t="inlineStr">
        <is>
          <t xml:space="preserve">Non-current financial liabilities </t>
        </is>
      </c>
    </row>
    <row r="67">
      <c r="C67" s="6" t="inlineStr">
        <is>
          <t>Borrowings, non-current</t>
        </is>
      </c>
      <c r="E67" s="7">
        <f>_xlfn.XLOOKUP("BorrowingsNoncurrent",MT_HS_CONSOLIDATED!$C:$C,MT_HS_CONSOLIDATED!D:D,0,0,1)</f>
        <v/>
      </c>
      <c r="F67" s="7">
        <f>_xlfn.XLOOKUP("BorrowingsNoncurrent",MT_HS_CONSOLIDATED!$C:$C,MT_HS_CONSOLIDATED!E:E,0,0,1)</f>
        <v/>
      </c>
      <c r="G67" s="7">
        <f>_xlfn.XLOOKUP("BorrowingsNoncurrent",MT_HS_CONSOLIDATED!$C:$C,MT_HS_CONSOLIDATED!F:F,0,0,1)</f>
        <v/>
      </c>
      <c r="H67" s="7">
        <f>_xlfn.XLOOKUP("BorrowingsNoncurrent",MT_HS_CONSOLIDATED!$C:$C,MT_HS_CONSOLIDATED!G:G,0,0,1)</f>
        <v/>
      </c>
      <c r="I67" s="7">
        <f>_xlfn.XLOOKUP("BorrowingsNoncurrent",MT_HS_CONSOLIDATED!$C:$C,MT_HS_CONSOLIDATED!H:H,0,0,1)</f>
        <v/>
      </c>
      <c r="J67" s="7">
        <f>_xlfn.XLOOKUP("BorrowingsNoncurrent",MT_HS_CONSOLIDATED!$C:$C,MT_HS_CONSOLIDATED!I:I,0,0,1)</f>
        <v/>
      </c>
    </row>
    <row r="68">
      <c r="C68" s="5" t="inlineStr">
        <is>
          <t xml:space="preserve">Trade payables, non-current </t>
        </is>
      </c>
    </row>
    <row r="69">
      <c r="C69" s="6" t="inlineStr">
        <is>
          <t>Total other non-current financial liabilities</t>
        </is>
      </c>
      <c r="E69" s="7">
        <f>_xlfn.XLOOKUP("OtherNoncurrentFinancialLiabilities",MT_HS_CONSOLIDATED!$C:$C,MT_HS_CONSOLIDATED!D:D,0,0,1)</f>
        <v/>
      </c>
      <c r="F69" s="7">
        <f>_xlfn.XLOOKUP("OtherNoncurrentFinancialLiabilities",MT_HS_CONSOLIDATED!$C:$C,MT_HS_CONSOLIDATED!E:E,0,0,1)</f>
        <v/>
      </c>
      <c r="G69" s="7">
        <f>_xlfn.XLOOKUP("OtherNoncurrentFinancialLiabilities",MT_HS_CONSOLIDATED!$C:$C,MT_HS_CONSOLIDATED!F:F,0,0,1)</f>
        <v/>
      </c>
      <c r="H69" s="7">
        <f>_xlfn.XLOOKUP("OtherNoncurrentFinancialLiabilities",MT_HS_CONSOLIDATED!$C:$C,MT_HS_CONSOLIDATED!G:G,0,0,1)</f>
        <v/>
      </c>
      <c r="I69" s="7">
        <f>_xlfn.XLOOKUP("OtherNoncurrentFinancialLiabilities",MT_HS_CONSOLIDATED!$C:$C,MT_HS_CONSOLIDATED!H:H,0,0,1)</f>
        <v/>
      </c>
      <c r="J69" s="7">
        <f>_xlfn.XLOOKUP("OtherNoncurrentFinancialLiabilities",MT_HS_CONSOLIDATED!$C:$C,MT_HS_CONSOLIDATED!I:I,0,0,1)</f>
        <v/>
      </c>
    </row>
    <row r="70">
      <c r="C70" s="6" t="inlineStr">
        <is>
          <t>Total non-current financial liabilities</t>
        </is>
      </c>
      <c r="E70" s="7">
        <f>_xlfn.XLOOKUP("NoncurrentFinancialLiabilities",MT_HS_CONSOLIDATED!$C:$C,MT_HS_CONSOLIDATED!D:D,0,0,1)</f>
        <v/>
      </c>
      <c r="F70" s="7">
        <f>_xlfn.XLOOKUP("NoncurrentFinancialLiabilities",MT_HS_CONSOLIDATED!$C:$C,MT_HS_CONSOLIDATED!E:E,0,0,1)</f>
        <v/>
      </c>
      <c r="G70" s="7">
        <f>_xlfn.XLOOKUP("NoncurrentFinancialLiabilities",MT_HS_CONSOLIDATED!$C:$C,MT_HS_CONSOLIDATED!F:F,0,0,1)</f>
        <v/>
      </c>
      <c r="H70" s="7">
        <f>_xlfn.XLOOKUP("NoncurrentFinancialLiabilities",MT_HS_CONSOLIDATED!$C:$C,MT_HS_CONSOLIDATED!G:G,0,0,1)</f>
        <v/>
      </c>
      <c r="I70" s="7">
        <f>_xlfn.XLOOKUP("NoncurrentFinancialLiabilities",MT_HS_CONSOLIDATED!$C:$C,MT_HS_CONSOLIDATED!H:H,0,0,1)</f>
        <v/>
      </c>
      <c r="J70" s="7">
        <f>_xlfn.XLOOKUP("NoncurrentFinancialLiabilities",MT_HS_CONSOLIDATED!$C:$C,MT_HS_CONSOLIDATED!I:I,0,0,1)</f>
        <v/>
      </c>
    </row>
    <row r="71">
      <c r="D71" s="6" t="inlineStr">
        <is>
          <t>Deferred tax liabilities (net)</t>
        </is>
      </c>
      <c r="E71" s="7">
        <f>_xlfn.XLOOKUP("DeferredTaxLiabilitiesNet",MT_HS_CONSOLIDATED!$C:$C,MT_HS_CONSOLIDATED!D:D,0,0,1)</f>
        <v/>
      </c>
      <c r="F71" s="7">
        <f>_xlfn.XLOOKUP("DeferredTaxLiabilitiesNet",MT_HS_CONSOLIDATED!$C:$C,MT_HS_CONSOLIDATED!E:E,0,0,1)</f>
        <v/>
      </c>
      <c r="G71" s="7">
        <f>_xlfn.XLOOKUP("DeferredTaxLiabilitiesNet",MT_HS_CONSOLIDATED!$C:$C,MT_HS_CONSOLIDATED!F:F,0,0,1)</f>
        <v/>
      </c>
      <c r="H71" s="7">
        <f>_xlfn.XLOOKUP("DeferredTaxLiabilitiesNet",MT_HS_CONSOLIDATED!$C:$C,MT_HS_CONSOLIDATED!G:G,0,0,1)</f>
        <v/>
      </c>
      <c r="I71" s="7">
        <f>_xlfn.XLOOKUP("DeferredTaxLiabilitiesNet",MT_HS_CONSOLIDATED!$C:$C,MT_HS_CONSOLIDATED!H:H,0,0,1)</f>
        <v/>
      </c>
      <c r="J71" s="7">
        <f>_xlfn.XLOOKUP("DeferredTaxLiabilitiesNet",MT_HS_CONSOLIDATED!$C:$C,MT_HS_CONSOLIDATED!I:I,0,0,1)</f>
        <v/>
      </c>
    </row>
    <row r="72">
      <c r="D72" s="6" t="inlineStr">
        <is>
          <t>Total other non-current liabilities</t>
        </is>
      </c>
      <c r="E72" s="7">
        <f>_xlfn.XLOOKUP("OtherNoncurrentLiabilities",MT_HS_CONSOLIDATED!$C:$C,MT_HS_CONSOLIDATED!D:D,0,0,1)</f>
        <v/>
      </c>
      <c r="F72" s="7">
        <f>_xlfn.XLOOKUP("OtherNoncurrentLiabilities",MT_HS_CONSOLIDATED!$C:$C,MT_HS_CONSOLIDATED!E:E,0,0,1)</f>
        <v/>
      </c>
      <c r="G72" s="7">
        <f>_xlfn.XLOOKUP("OtherNoncurrentLiabilities",MT_HS_CONSOLIDATED!$C:$C,MT_HS_CONSOLIDATED!F:F,0,0,1)</f>
        <v/>
      </c>
      <c r="H72" s="7">
        <f>_xlfn.XLOOKUP("OtherNoncurrentLiabilities",MT_HS_CONSOLIDATED!$C:$C,MT_HS_CONSOLIDATED!G:G,0,0,1)</f>
        <v/>
      </c>
      <c r="I72" s="7">
        <f>_xlfn.XLOOKUP("OtherNoncurrentLiabilities",MT_HS_CONSOLIDATED!$C:$C,MT_HS_CONSOLIDATED!H:H,0,0,1)</f>
        <v/>
      </c>
      <c r="J72" s="7">
        <f>_xlfn.XLOOKUP("OtherNoncurrentLiabilities",MT_HS_CONSOLIDATED!$C:$C,MT_HS_CONSOLIDATED!I:I,0,0,1)</f>
        <v/>
      </c>
    </row>
    <row r="73">
      <c r="B73" s="10" t="inlineStr">
        <is>
          <t>Total non-current liabilities</t>
        </is>
      </c>
      <c r="E73" s="11">
        <f>IFERROR(SUM(E67:E67)+SUM(E69:E69)+SUM(E71:E72),0)</f>
        <v/>
      </c>
      <c r="F73" s="11">
        <f>IFERROR(SUM(F67:F67)+SUM(F69:F69)+SUM(F71:F72),0)</f>
        <v/>
      </c>
      <c r="G73" s="11">
        <f>IFERROR(SUM(G67:G67)+SUM(G69:G69)+SUM(G71:G72),0)</f>
        <v/>
      </c>
      <c r="H73" s="11">
        <f>IFERROR(SUM(H67:H67)+SUM(H69:H69)+SUM(H71:H72),0)</f>
        <v/>
      </c>
      <c r="I73" s="11">
        <f>IFERROR(SUM(I67:I67)+SUM(I69:I69)+SUM(I71:I72),0)</f>
        <v/>
      </c>
      <c r="J73" s="11">
        <f>IFERROR(SUM(J67:J67)+SUM(J69:J69)+SUM(J71:J72),0)</f>
        <v/>
      </c>
    </row>
    <row r="74">
      <c r="B74" s="5" t="inlineStr">
        <is>
          <t xml:space="preserve">Current liabilities </t>
        </is>
      </c>
    </row>
    <row r="75">
      <c r="B75" s="5" t="inlineStr">
        <is>
          <t xml:space="preserve">Current financial liabilities </t>
        </is>
      </c>
    </row>
    <row r="76">
      <c r="C76" s="6" t="inlineStr">
        <is>
          <t>Borrowings, current</t>
        </is>
      </c>
      <c r="E76" s="7">
        <f>_xlfn.XLOOKUP("BorrowingsCurrent",MT_HS_CONSOLIDATED!$C:$C,MT_HS_CONSOLIDATED!D:D,0,0,1)</f>
        <v/>
      </c>
      <c r="F76" s="7">
        <f>_xlfn.XLOOKUP("BorrowingsCurrent",MT_HS_CONSOLIDATED!$C:$C,MT_HS_CONSOLIDATED!E:E,0,0,1)</f>
        <v/>
      </c>
      <c r="G76" s="7">
        <f>_xlfn.XLOOKUP("BorrowingsCurrent",MT_HS_CONSOLIDATED!$C:$C,MT_HS_CONSOLIDATED!F:F,0,0,1)</f>
        <v/>
      </c>
      <c r="H76" s="7">
        <f>_xlfn.XLOOKUP("BorrowingsCurrent",MT_HS_CONSOLIDATED!$C:$C,MT_HS_CONSOLIDATED!G:G,0,0,1)</f>
        <v/>
      </c>
      <c r="I76" s="7">
        <f>_xlfn.XLOOKUP("BorrowingsCurrent",MT_HS_CONSOLIDATED!$C:$C,MT_HS_CONSOLIDATED!H:H,0,0,1)</f>
        <v/>
      </c>
      <c r="J76" s="7">
        <f>_xlfn.XLOOKUP("BorrowingsCurrent",MT_HS_CONSOLIDATED!$C:$C,MT_HS_CONSOLIDATED!I:I,0,0,1)</f>
        <v/>
      </c>
    </row>
    <row r="77">
      <c r="C77" s="5" t="inlineStr">
        <is>
          <t xml:space="preserve">Trade payables, current </t>
        </is>
      </c>
    </row>
    <row r="78">
      <c r="D78" s="6" t="inlineStr">
        <is>
          <t>Total trade payables, current</t>
        </is>
      </c>
      <c r="E78" s="7">
        <f>_xlfn.XLOOKUP("TradePayablesCurrent",MT_HS_CONSOLIDATED!$C:$C,MT_HS_CONSOLIDATED!D:D,0,0,1)</f>
        <v/>
      </c>
      <c r="F78" s="7">
        <f>_xlfn.XLOOKUP("TradePayablesCurrent",MT_HS_CONSOLIDATED!$C:$C,MT_HS_CONSOLIDATED!E:E,0,0,1)</f>
        <v/>
      </c>
      <c r="G78" s="7">
        <f>_xlfn.XLOOKUP("TradePayablesCurrent",MT_HS_CONSOLIDATED!$C:$C,MT_HS_CONSOLIDATED!F:F,0,0,1)</f>
        <v/>
      </c>
      <c r="H78" s="7">
        <f>_xlfn.XLOOKUP("TradePayablesCurrent",MT_HS_CONSOLIDATED!$C:$C,MT_HS_CONSOLIDATED!G:G,0,0,1)</f>
        <v/>
      </c>
      <c r="I78" s="7">
        <f>_xlfn.XLOOKUP("TradePayablesCurrent",MT_HS_CONSOLIDATED!$C:$C,MT_HS_CONSOLIDATED!H:H,0,0,1)</f>
        <v/>
      </c>
      <c r="J78" s="7">
        <f>_xlfn.XLOOKUP("TradePayablesCurrent",MT_HS_CONSOLIDATED!$C:$C,MT_HS_CONSOLIDATED!I:I,0,0,1)</f>
        <v/>
      </c>
    </row>
    <row r="79">
      <c r="C79" s="6" t="inlineStr">
        <is>
          <t>Total other current financial liabilities</t>
        </is>
      </c>
      <c r="E79" s="7">
        <f>_xlfn.XLOOKUP("OtherCurrentFinancialLiabilities",MT_HS_CONSOLIDATED!$C:$C,MT_HS_CONSOLIDATED!D:D,0,0,1)</f>
        <v/>
      </c>
      <c r="F79" s="7">
        <f>_xlfn.XLOOKUP("OtherCurrentFinancialLiabilities",MT_HS_CONSOLIDATED!$C:$C,MT_HS_CONSOLIDATED!E:E,0,0,1)</f>
        <v/>
      </c>
      <c r="G79" s="7">
        <f>_xlfn.XLOOKUP("OtherCurrentFinancialLiabilities",MT_HS_CONSOLIDATED!$C:$C,MT_HS_CONSOLIDATED!F:F,0,0,1)</f>
        <v/>
      </c>
      <c r="H79" s="7">
        <f>_xlfn.XLOOKUP("OtherCurrentFinancialLiabilities",MT_HS_CONSOLIDATED!$C:$C,MT_HS_CONSOLIDATED!G:G,0,0,1)</f>
        <v/>
      </c>
      <c r="I79" s="7">
        <f>_xlfn.XLOOKUP("OtherCurrentFinancialLiabilities",MT_HS_CONSOLIDATED!$C:$C,MT_HS_CONSOLIDATED!H:H,0,0,1)</f>
        <v/>
      </c>
      <c r="J79" s="7">
        <f>_xlfn.XLOOKUP("OtherCurrentFinancialLiabilities",MT_HS_CONSOLIDATED!$C:$C,MT_HS_CONSOLIDATED!I:I,0,0,1)</f>
        <v/>
      </c>
    </row>
    <row r="80">
      <c r="B80" s="6" t="inlineStr">
        <is>
          <t>Total current financial liabilities</t>
        </is>
      </c>
      <c r="E80" s="7">
        <f>_xlfn.XLOOKUP("CurrentFinancialLiabilities",MT_HS_CONSOLIDATED!$C:$C,MT_HS_CONSOLIDATED!D:D,0,0,1)</f>
        <v/>
      </c>
      <c r="F80" s="7">
        <f>_xlfn.XLOOKUP("CurrentFinancialLiabilities",MT_HS_CONSOLIDATED!$C:$C,MT_HS_CONSOLIDATED!E:E,0,0,1)</f>
        <v/>
      </c>
      <c r="G80" s="7">
        <f>_xlfn.XLOOKUP("CurrentFinancialLiabilities",MT_HS_CONSOLIDATED!$C:$C,MT_HS_CONSOLIDATED!F:F,0,0,1)</f>
        <v/>
      </c>
      <c r="H80" s="7">
        <f>_xlfn.XLOOKUP("CurrentFinancialLiabilities",MT_HS_CONSOLIDATED!$C:$C,MT_HS_CONSOLIDATED!G:G,0,0,1)</f>
        <v/>
      </c>
      <c r="I80" s="7">
        <f>_xlfn.XLOOKUP("CurrentFinancialLiabilities",MT_HS_CONSOLIDATED!$C:$C,MT_HS_CONSOLIDATED!H:H,0,0,1)</f>
        <v/>
      </c>
      <c r="J80" s="7">
        <f>_xlfn.XLOOKUP("CurrentFinancialLiabilities",MT_HS_CONSOLIDATED!$C:$C,MT_HS_CONSOLIDATED!I:I,0,0,1)</f>
        <v/>
      </c>
    </row>
    <row r="81">
      <c r="C81" s="6" t="inlineStr">
        <is>
          <t>Total other current liabilities</t>
        </is>
      </c>
      <c r="E81" s="7">
        <f>_xlfn.XLOOKUP("OtherCurrentLiabilities",MT_HS_CONSOLIDATED!$C:$C,MT_HS_CONSOLIDATED!D:D,0,0,1)</f>
        <v/>
      </c>
      <c r="F81" s="7">
        <f>_xlfn.XLOOKUP("OtherCurrentLiabilities",MT_HS_CONSOLIDATED!$C:$C,MT_HS_CONSOLIDATED!E:E,0,0,1)</f>
        <v/>
      </c>
      <c r="G81" s="7">
        <f>_xlfn.XLOOKUP("OtherCurrentLiabilities",MT_HS_CONSOLIDATED!$C:$C,MT_HS_CONSOLIDATED!F:F,0,0,1)</f>
        <v/>
      </c>
      <c r="H81" s="7">
        <f>_xlfn.XLOOKUP("OtherCurrentLiabilities",MT_HS_CONSOLIDATED!$C:$C,MT_HS_CONSOLIDATED!G:G,0,0,1)</f>
        <v/>
      </c>
      <c r="I81" s="7">
        <f>_xlfn.XLOOKUP("OtherCurrentLiabilities",MT_HS_CONSOLIDATED!$C:$C,MT_HS_CONSOLIDATED!H:H,0,0,1)</f>
        <v/>
      </c>
      <c r="J81" s="7">
        <f>_xlfn.XLOOKUP("OtherCurrentLiabilities",MT_HS_CONSOLIDATED!$C:$C,MT_HS_CONSOLIDATED!I:I,0,0,1)</f>
        <v/>
      </c>
    </row>
    <row r="82">
      <c r="C82" s="6" t="inlineStr">
        <is>
          <t>Provisions, current</t>
        </is>
      </c>
      <c r="E82" s="7">
        <f>_xlfn.XLOOKUP("ProvisionsCurrent",MT_HS_CONSOLIDATED!$C:$C,MT_HS_CONSOLIDATED!D:D,0,0,1)</f>
        <v/>
      </c>
      <c r="F82" s="7">
        <f>_xlfn.XLOOKUP("ProvisionsCurrent",MT_HS_CONSOLIDATED!$C:$C,MT_HS_CONSOLIDATED!E:E,0,0,1)</f>
        <v/>
      </c>
      <c r="G82" s="7">
        <f>_xlfn.XLOOKUP("ProvisionsCurrent",MT_HS_CONSOLIDATED!$C:$C,MT_HS_CONSOLIDATED!F:F,0,0,1)</f>
        <v/>
      </c>
      <c r="H82" s="7">
        <f>_xlfn.XLOOKUP("ProvisionsCurrent",MT_HS_CONSOLIDATED!$C:$C,MT_HS_CONSOLIDATED!G:G,0,0,1)</f>
        <v/>
      </c>
      <c r="I82" s="7">
        <f>_xlfn.XLOOKUP("ProvisionsCurrent",MT_HS_CONSOLIDATED!$C:$C,MT_HS_CONSOLIDATED!H:H,0,0,1)</f>
        <v/>
      </c>
      <c r="J82" s="7">
        <f>_xlfn.XLOOKUP("ProvisionsCurrent",MT_HS_CONSOLIDATED!$C:$C,MT_HS_CONSOLIDATED!I:I,0,0,1)</f>
        <v/>
      </c>
    </row>
    <row r="83">
      <c r="C83" s="6" t="inlineStr">
        <is>
          <t>Current tax liabilities</t>
        </is>
      </c>
      <c r="E83" s="7">
        <f>_xlfn.XLOOKUP("CurrentTaxLiabilities",MT_HS_CONSOLIDATED!$C:$C,MT_HS_CONSOLIDATED!D:D,0,0,1)</f>
        <v/>
      </c>
      <c r="F83" s="7">
        <f>_xlfn.XLOOKUP("CurrentTaxLiabilities",MT_HS_CONSOLIDATED!$C:$C,MT_HS_CONSOLIDATED!E:E,0,0,1)</f>
        <v/>
      </c>
      <c r="G83" s="7">
        <f>_xlfn.XLOOKUP("CurrentTaxLiabilities",MT_HS_CONSOLIDATED!$C:$C,MT_HS_CONSOLIDATED!F:F,0,0,1)</f>
        <v/>
      </c>
      <c r="H83" s="7">
        <f>_xlfn.XLOOKUP("CurrentTaxLiabilities",MT_HS_CONSOLIDATED!$C:$C,MT_HS_CONSOLIDATED!G:G,0,0,1)</f>
        <v/>
      </c>
      <c r="I83" s="7">
        <f>_xlfn.XLOOKUP("CurrentTaxLiabilities",MT_HS_CONSOLIDATED!$C:$C,MT_HS_CONSOLIDATED!H:H,0,0,1)</f>
        <v/>
      </c>
      <c r="J83" s="7">
        <f>_xlfn.XLOOKUP("CurrentTaxLiabilities",MT_HS_CONSOLIDATED!$C:$C,MT_HS_CONSOLIDATED!I:I,0,0,1)</f>
        <v/>
      </c>
    </row>
    <row r="84">
      <c r="B84" s="10" t="inlineStr">
        <is>
          <t>Total current liabilities</t>
        </is>
      </c>
      <c r="E84" s="11">
        <f>IFERROR(SUM(E76:E76)+SUM(E78:E79)+SUM(E81:E83),0)</f>
        <v/>
      </c>
      <c r="F84" s="11">
        <f>IFERROR(SUM(F76:F76)+SUM(F78:F79)+SUM(F81:F83),0)</f>
        <v/>
      </c>
      <c r="G84" s="11">
        <f>IFERROR(SUM(G76:G76)+SUM(G78:G79)+SUM(G81:G83),0)</f>
        <v/>
      </c>
      <c r="H84" s="11">
        <f>IFERROR(SUM(H76:H76)+SUM(H78:H79)+SUM(H81:H83),0)</f>
        <v/>
      </c>
      <c r="I84" s="11">
        <f>IFERROR(SUM(I76:I76)+SUM(I78:I79)+SUM(I81:I83),0)</f>
        <v/>
      </c>
      <c r="J84" s="11">
        <f>IFERROR(SUM(J76:J76)+SUM(J78:J79)+SUM(J81:J83),0)</f>
        <v/>
      </c>
    </row>
    <row r="85">
      <c r="B85" s="10" t="inlineStr">
        <is>
          <t>Liabilities</t>
        </is>
      </c>
      <c r="E85" s="11">
        <f>IFERROR(SUM(E84:E84)+E73,0)</f>
        <v/>
      </c>
      <c r="F85" s="11">
        <f>IFERROR(SUM(F84:F84)+F73,0)</f>
        <v/>
      </c>
      <c r="G85" s="11">
        <f>IFERROR(SUM(G84:G84)+G73,0)</f>
        <v/>
      </c>
      <c r="H85" s="11">
        <f>IFERROR(SUM(H84:H84)+H73,0)</f>
        <v/>
      </c>
      <c r="I85" s="11">
        <f>IFERROR(SUM(I84:I84)+I73,0)</f>
        <v/>
      </c>
      <c r="J85" s="11">
        <f>IFERROR(SUM(J84:J84)+J73,0)</f>
        <v/>
      </c>
    </row>
    <row r="86">
      <c r="B86" s="10" t="inlineStr">
        <is>
          <t>Total equity and liabilities</t>
        </is>
      </c>
      <c r="E86" s="11">
        <f>IFERROR(E63+E85,0)</f>
        <v/>
      </c>
      <c r="F86" s="11">
        <f>IFERROR(F63+F85,0)</f>
        <v/>
      </c>
      <c r="G86" s="11">
        <f>IFERROR(G63+G85,0)</f>
        <v/>
      </c>
      <c r="H86" s="11">
        <f>IFERROR(H63+H85,0)</f>
        <v/>
      </c>
      <c r="I86" s="11">
        <f>IFERROR(I63+I85,0)</f>
        <v/>
      </c>
      <c r="J86" s="11">
        <f>IFERROR(J63+J85,0)</f>
        <v/>
      </c>
    </row>
    <row r="87">
      <c r="B87" s="12" t="inlineStr">
        <is>
          <t>BALANCE CHECK (Total Assets − Total Equity &amp; Liabilities)</t>
        </is>
      </c>
      <c r="E87" s="13">
        <f>E57-E86</f>
        <v/>
      </c>
      <c r="F87" s="13">
        <f>F57-F86</f>
        <v/>
      </c>
      <c r="G87" s="13">
        <f>G57-G86</f>
        <v/>
      </c>
      <c r="H87" s="13">
        <f>H57-H86</f>
        <v/>
      </c>
      <c r="I87" s="13">
        <f>I57-I86</f>
        <v/>
      </c>
      <c r="J87" s="13">
        <f>J57-J86</f>
        <v/>
      </c>
    </row>
    <row r="88" ht="15.5" customHeight="1" s="203">
      <c r="A88" s="2" t="inlineStr">
        <is>
          <t>#</t>
        </is>
      </c>
      <c r="B88" s="3" t="inlineStr">
        <is>
          <t>Statement of Cash Flows</t>
        </is>
      </c>
    </row>
    <row r="89">
      <c r="B89" s="5" t="inlineStr">
        <is>
          <t>Cash flows from used in operating activities</t>
        </is>
      </c>
    </row>
    <row r="90">
      <c r="C90" s="6" t="inlineStr">
        <is>
          <t>Total profit before tax</t>
        </is>
      </c>
      <c r="E90" s="7">
        <f>_xlfn.XLOOKUP("ProfitBeforeTax",MT_HS_CONSOLIDATED!$C:$C,MT_HS_CONSOLIDATED!D:D,0,0,1)</f>
        <v/>
      </c>
      <c r="F90" s="7">
        <f>_xlfn.XLOOKUP("ProfitBeforeTax",MT_HS_CONSOLIDATED!$C:$C,MT_HS_CONSOLIDATED!E:E,0,0,1)</f>
        <v/>
      </c>
      <c r="G90" s="7">
        <f>_xlfn.XLOOKUP("ProfitBeforeTax",MT_HS_CONSOLIDATED!$C:$C,MT_HS_CONSOLIDATED!F:F,0,0,1)</f>
        <v/>
      </c>
      <c r="H90" s="7">
        <f>_xlfn.XLOOKUP("ProfitBeforeTax",MT_HS_CONSOLIDATED!$C:$C,MT_HS_CONSOLIDATED!G:G,0,0,1)</f>
        <v/>
      </c>
      <c r="I90" s="7">
        <f>_xlfn.XLOOKUP("ProfitBeforeTax",MT_HS_CONSOLIDATED!$C:$C,MT_HS_CONSOLIDATED!H:H,0,0,1)</f>
        <v/>
      </c>
      <c r="J90" s="7">
        <f>_xlfn.XLOOKUP("ProfitBeforeTax",MT_HS_CONSOLIDATED!$C:$C,MT_HS_CONSOLIDATED!I:I,0,0,1)</f>
        <v/>
      </c>
    </row>
    <row r="91">
      <c r="C91" s="5" t="inlineStr">
        <is>
          <t xml:space="preserve">Adjustments for reconcile profit (loss) </t>
        </is>
      </c>
    </row>
    <row r="92">
      <c r="D92" s="6" t="inlineStr">
        <is>
          <t>Adjustments for finance costs</t>
        </is>
      </c>
      <c r="E92" s="7">
        <f>_xlfn.XLOOKUP("AdjustmentsForFinanceCosts",MT_HS_CONSOLIDATED!$C:$C,MT_HS_CONSOLIDATED!D:D,0,0,1)</f>
        <v/>
      </c>
      <c r="F92" s="7">
        <f>_xlfn.XLOOKUP("AdjustmentsForFinanceCosts",MT_HS_CONSOLIDATED!$C:$C,MT_HS_CONSOLIDATED!E:E,0,0,1)</f>
        <v/>
      </c>
      <c r="G92" s="7">
        <f>_xlfn.XLOOKUP("AdjustmentsForFinanceCosts",MT_HS_CONSOLIDATED!$C:$C,MT_HS_CONSOLIDATED!F:F,0,0,1)</f>
        <v/>
      </c>
      <c r="H92" s="7">
        <f>_xlfn.XLOOKUP("AdjustmentsForFinanceCosts",MT_HS_CONSOLIDATED!$C:$C,MT_HS_CONSOLIDATED!G:G,0,0,1)</f>
        <v/>
      </c>
      <c r="I92" s="7">
        <f>_xlfn.XLOOKUP("AdjustmentsForFinanceCosts",MT_HS_CONSOLIDATED!$C:$C,MT_HS_CONSOLIDATED!H:H,0,0,1)</f>
        <v/>
      </c>
      <c r="J92" s="7">
        <f>_xlfn.XLOOKUP("AdjustmentsForFinanceCosts",MT_HS_CONSOLIDATED!$C:$C,MT_HS_CONSOLIDATED!I:I,0,0,1)</f>
        <v/>
      </c>
    </row>
    <row r="93">
      <c r="D93" s="6" t="inlineStr">
        <is>
          <t>Adjustments for decrease (increase) in inventories</t>
        </is>
      </c>
      <c r="E93" s="7">
        <f>_xlfn.XLOOKUP("AdjustmentsForDecreaseIncreaseInInventories",MT_HS_CONSOLIDATED!$C:$C,MT_HS_CONSOLIDATED!D:D,0,0,1)</f>
        <v/>
      </c>
      <c r="F93" s="7">
        <f>_xlfn.XLOOKUP("AdjustmentsForDecreaseIncreaseInInventories",MT_HS_CONSOLIDATED!$C:$C,MT_HS_CONSOLIDATED!E:E,0,0,1)</f>
        <v/>
      </c>
      <c r="G93" s="7">
        <f>_xlfn.XLOOKUP("AdjustmentsForDecreaseIncreaseInInventories",MT_HS_CONSOLIDATED!$C:$C,MT_HS_CONSOLIDATED!F:F,0,0,1)</f>
        <v/>
      </c>
      <c r="H93" s="7">
        <f>_xlfn.XLOOKUP("AdjustmentsForDecreaseIncreaseInInventories",MT_HS_CONSOLIDATED!$C:$C,MT_HS_CONSOLIDATED!G:G,0,0,1)</f>
        <v/>
      </c>
      <c r="I93" s="7">
        <f>_xlfn.XLOOKUP("AdjustmentsForDecreaseIncreaseInInventories",MT_HS_CONSOLIDATED!$C:$C,MT_HS_CONSOLIDATED!H:H,0,0,1)</f>
        <v/>
      </c>
      <c r="J93" s="7">
        <f>_xlfn.XLOOKUP("AdjustmentsForDecreaseIncreaseInInventories",MT_HS_CONSOLIDATED!$C:$C,MT_HS_CONSOLIDATED!I:I,0,0,1)</f>
        <v/>
      </c>
    </row>
    <row r="94">
      <c r="D94" s="6" t="inlineStr">
        <is>
          <t>Adjustments for decrease (increase) in trade receivables, current</t>
        </is>
      </c>
      <c r="E94" s="7">
        <f>_xlfn.XLOOKUP("AdjustmentsForDecreaseIncreaseInTradeReceivablesCurrent",MT_HS_CONSOLIDATED!$C:$C,MT_HS_CONSOLIDATED!D:D,0,0,1)</f>
        <v/>
      </c>
      <c r="F94" s="7">
        <f>_xlfn.XLOOKUP("AdjustmentsForDecreaseIncreaseInTradeReceivablesCurrent",MT_HS_CONSOLIDATED!$C:$C,MT_HS_CONSOLIDATED!E:E,0,0,1)</f>
        <v/>
      </c>
      <c r="G94" s="7">
        <f>_xlfn.XLOOKUP("AdjustmentsForDecreaseIncreaseInTradeReceivablesCurrent",MT_HS_CONSOLIDATED!$C:$C,MT_HS_CONSOLIDATED!F:F,0,0,1)</f>
        <v/>
      </c>
      <c r="H94" s="7">
        <f>_xlfn.XLOOKUP("AdjustmentsForDecreaseIncreaseInTradeReceivablesCurrent",MT_HS_CONSOLIDATED!$C:$C,MT_HS_CONSOLIDATED!G:G,0,0,1)</f>
        <v/>
      </c>
      <c r="I94" s="7">
        <f>_xlfn.XLOOKUP("AdjustmentsForDecreaseIncreaseInTradeReceivablesCurrent",MT_HS_CONSOLIDATED!$C:$C,MT_HS_CONSOLIDATED!H:H,0,0,1)</f>
        <v/>
      </c>
      <c r="J94" s="7">
        <f>_xlfn.XLOOKUP("AdjustmentsForDecreaseIncreaseInTradeReceivablesCurrent",MT_HS_CONSOLIDATED!$C:$C,MT_HS_CONSOLIDATED!I:I,0,0,1)</f>
        <v/>
      </c>
    </row>
    <row r="95">
      <c r="D95" s="6" t="inlineStr">
        <is>
          <t>Adjustments for decrease (increase) in trade receivables, non-current</t>
        </is>
      </c>
      <c r="E95" s="7">
        <f>_xlfn.XLOOKUP("AdjustmentsForDecreaseIncreaseInTradeReceivablesNoncurrent",MT_HS_CONSOLIDATED!$C:$C,MT_HS_CONSOLIDATED!D:D,0,0,1)</f>
        <v/>
      </c>
      <c r="F95" s="7">
        <f>_xlfn.XLOOKUP("AdjustmentsForDecreaseIncreaseInTradeReceivablesNoncurrent",MT_HS_CONSOLIDATED!$C:$C,MT_HS_CONSOLIDATED!E:E,0,0,1)</f>
        <v/>
      </c>
      <c r="G95" s="7">
        <f>_xlfn.XLOOKUP("AdjustmentsForDecreaseIncreaseInTradeReceivablesNoncurrent",MT_HS_CONSOLIDATED!$C:$C,MT_HS_CONSOLIDATED!F:F,0,0,1)</f>
        <v/>
      </c>
      <c r="H95" s="7">
        <f>_xlfn.XLOOKUP("AdjustmentsForDecreaseIncreaseInTradeReceivablesNoncurrent",MT_HS_CONSOLIDATED!$C:$C,MT_HS_CONSOLIDATED!G:G,0,0,1)</f>
        <v/>
      </c>
      <c r="I95" s="7">
        <f>_xlfn.XLOOKUP("AdjustmentsForDecreaseIncreaseInTradeReceivablesNoncurrent",MT_HS_CONSOLIDATED!$C:$C,MT_HS_CONSOLIDATED!H:H,0,0,1)</f>
        <v/>
      </c>
      <c r="J95" s="7">
        <f>_xlfn.XLOOKUP("AdjustmentsForDecreaseIncreaseInTradeReceivablesNoncurrent",MT_HS_CONSOLIDATED!$C:$C,MT_HS_CONSOLIDATED!I:I,0,0,1)</f>
        <v/>
      </c>
    </row>
    <row r="96">
      <c r="D96" s="6" t="inlineStr">
        <is>
          <t>Adjustments for decrease (increase) in other current assets</t>
        </is>
      </c>
      <c r="E96" s="7">
        <f>_xlfn.XLOOKUP("AdjustmentsForDecreaseIncreaseInOtherCurrentAssets",MT_HS_CONSOLIDATED!$C:$C,MT_HS_CONSOLIDATED!D:D,0,0,1)</f>
        <v/>
      </c>
      <c r="F96" s="7">
        <f>_xlfn.XLOOKUP("AdjustmentsForDecreaseIncreaseInOtherCurrentAssets",MT_HS_CONSOLIDATED!$C:$C,MT_HS_CONSOLIDATED!E:E,0,0,1)</f>
        <v/>
      </c>
      <c r="G96" s="7">
        <f>_xlfn.XLOOKUP("AdjustmentsForDecreaseIncreaseInOtherCurrentAssets",MT_HS_CONSOLIDATED!$C:$C,MT_HS_CONSOLIDATED!F:F,0,0,1)</f>
        <v/>
      </c>
      <c r="H96" s="7">
        <f>_xlfn.XLOOKUP("AdjustmentsForDecreaseIncreaseInOtherCurrentAssets",MT_HS_CONSOLIDATED!$C:$C,MT_HS_CONSOLIDATED!G:G,0,0,1)</f>
        <v/>
      </c>
      <c r="I96" s="7">
        <f>_xlfn.XLOOKUP("AdjustmentsForDecreaseIncreaseInOtherCurrentAssets",MT_HS_CONSOLIDATED!$C:$C,MT_HS_CONSOLIDATED!H:H,0,0,1)</f>
        <v/>
      </c>
      <c r="J96" s="7">
        <f>_xlfn.XLOOKUP("AdjustmentsForDecreaseIncreaseInOtherCurrentAssets",MT_HS_CONSOLIDATED!$C:$C,MT_HS_CONSOLIDATED!I:I,0,0,1)</f>
        <v/>
      </c>
    </row>
    <row r="97">
      <c r="D97" s="6" t="inlineStr">
        <is>
          <t>Adjustments for other bank balances</t>
        </is>
      </c>
      <c r="E97" s="7">
        <f>_xlfn.XLOOKUP("AdjustmentsForOtherBankBalances",MT_HS_CONSOLIDATED!$C:$C,MT_HS_CONSOLIDATED!D:D,0,0,1)</f>
        <v/>
      </c>
      <c r="F97" s="7">
        <f>_xlfn.XLOOKUP("AdjustmentsForOtherBankBalances",MT_HS_CONSOLIDATED!$C:$C,MT_HS_CONSOLIDATED!E:E,0,0,1)</f>
        <v/>
      </c>
      <c r="G97" s="7">
        <f>_xlfn.XLOOKUP("AdjustmentsForOtherBankBalances",MT_HS_CONSOLIDATED!$C:$C,MT_HS_CONSOLIDATED!F:F,0,0,1)</f>
        <v/>
      </c>
      <c r="H97" s="7">
        <f>_xlfn.XLOOKUP("AdjustmentsForOtherBankBalances",MT_HS_CONSOLIDATED!$C:$C,MT_HS_CONSOLIDATED!G:G,0,0,1)</f>
        <v/>
      </c>
      <c r="I97" s="7">
        <f>_xlfn.XLOOKUP("AdjustmentsForOtherBankBalances",MT_HS_CONSOLIDATED!$C:$C,MT_HS_CONSOLIDATED!H:H,0,0,1)</f>
        <v/>
      </c>
      <c r="J97" s="7">
        <f>_xlfn.XLOOKUP("AdjustmentsForOtherBankBalances",MT_HS_CONSOLIDATED!$C:$C,MT_HS_CONSOLIDATED!I:I,0,0,1)</f>
        <v/>
      </c>
    </row>
    <row r="98">
      <c r="D98" s="6" t="inlineStr">
        <is>
          <t>Adjustments for increase (decrease) in trade payables, current</t>
        </is>
      </c>
      <c r="E98" s="7">
        <f>_xlfn.XLOOKUP("AdjustmentsForIncreaseDecreaseInTradePayablesCurrent",MT_HS_CONSOLIDATED!$C:$C,MT_HS_CONSOLIDATED!D:D,0,0,1)</f>
        <v/>
      </c>
      <c r="F98" s="7">
        <f>_xlfn.XLOOKUP("AdjustmentsForIncreaseDecreaseInTradePayablesCurrent",MT_HS_CONSOLIDATED!$C:$C,MT_HS_CONSOLIDATED!E:E,0,0,1)</f>
        <v/>
      </c>
      <c r="G98" s="7">
        <f>_xlfn.XLOOKUP("AdjustmentsForIncreaseDecreaseInTradePayablesCurrent",MT_HS_CONSOLIDATED!$C:$C,MT_HS_CONSOLIDATED!F:F,0,0,1)</f>
        <v/>
      </c>
      <c r="H98" s="7">
        <f>_xlfn.XLOOKUP("AdjustmentsForIncreaseDecreaseInTradePayablesCurrent",MT_HS_CONSOLIDATED!$C:$C,MT_HS_CONSOLIDATED!G:G,0,0,1)</f>
        <v/>
      </c>
      <c r="I98" s="7">
        <f>_xlfn.XLOOKUP("AdjustmentsForIncreaseDecreaseInTradePayablesCurrent",MT_HS_CONSOLIDATED!$C:$C,MT_HS_CONSOLIDATED!H:H,0,0,1)</f>
        <v/>
      </c>
      <c r="J98" s="7">
        <f>_xlfn.XLOOKUP("AdjustmentsForIncreaseDecreaseInTradePayablesCurrent",MT_HS_CONSOLIDATED!$C:$C,MT_HS_CONSOLIDATED!I:I,0,0,1)</f>
        <v/>
      </c>
    </row>
    <row r="99">
      <c r="D99" s="6" t="inlineStr">
        <is>
          <t>Adjustments for increase (decrease) in other current liabilities</t>
        </is>
      </c>
      <c r="E99" s="7">
        <f>_xlfn.XLOOKUP("AdjustmentsForIncreaseDecreaseInOtherCurrentLiabilities",MT_HS_CONSOLIDATED!$C:$C,MT_HS_CONSOLIDATED!D:D,0,0,1)</f>
        <v/>
      </c>
      <c r="F99" s="7">
        <f>_xlfn.XLOOKUP("AdjustmentsForIncreaseDecreaseInOtherCurrentLiabilities",MT_HS_CONSOLIDATED!$C:$C,MT_HS_CONSOLIDATED!E:E,0,0,1)</f>
        <v/>
      </c>
      <c r="G99" s="7">
        <f>_xlfn.XLOOKUP("AdjustmentsForIncreaseDecreaseInOtherCurrentLiabilities",MT_HS_CONSOLIDATED!$C:$C,MT_HS_CONSOLIDATED!F:F,0,0,1)</f>
        <v/>
      </c>
      <c r="H99" s="7">
        <f>_xlfn.XLOOKUP("AdjustmentsForIncreaseDecreaseInOtherCurrentLiabilities",MT_HS_CONSOLIDATED!$C:$C,MT_HS_CONSOLIDATED!G:G,0,0,1)</f>
        <v/>
      </c>
      <c r="I99" s="7">
        <f>_xlfn.XLOOKUP("AdjustmentsForIncreaseDecreaseInOtherCurrentLiabilities",MT_HS_CONSOLIDATED!$C:$C,MT_HS_CONSOLIDATED!H:H,0,0,1)</f>
        <v/>
      </c>
      <c r="J99" s="7">
        <f>_xlfn.XLOOKUP("AdjustmentsForIncreaseDecreaseInOtherCurrentLiabilities",MT_HS_CONSOLIDATED!$C:$C,MT_HS_CONSOLIDATED!I:I,0,0,1)</f>
        <v/>
      </c>
    </row>
    <row r="100">
      <c r="D100" s="6" t="inlineStr">
        <is>
          <t>Adjustments for depreciation and amortisation expense</t>
        </is>
      </c>
      <c r="E100" s="7">
        <f>_xlfn.XLOOKUP("AdjustmentsForDepreciationAndAmortisationExpense",MT_HS_CONSOLIDATED!$C:$C,MT_HS_CONSOLIDATED!D:D,0,0,1)</f>
        <v/>
      </c>
      <c r="F100" s="7">
        <f>_xlfn.XLOOKUP("AdjustmentsForDepreciationAndAmortisationExpense",MT_HS_CONSOLIDATED!$C:$C,MT_HS_CONSOLIDATED!E:E,0,0,1)</f>
        <v/>
      </c>
      <c r="G100" s="7">
        <f>_xlfn.XLOOKUP("AdjustmentsForDepreciationAndAmortisationExpense",MT_HS_CONSOLIDATED!$C:$C,MT_HS_CONSOLIDATED!F:F,0,0,1)</f>
        <v/>
      </c>
      <c r="H100" s="7">
        <f>_xlfn.XLOOKUP("AdjustmentsForDepreciationAndAmortisationExpense",MT_HS_CONSOLIDATED!$C:$C,MT_HS_CONSOLIDATED!G:G,0,0,1)</f>
        <v/>
      </c>
      <c r="I100" s="7">
        <f>_xlfn.XLOOKUP("AdjustmentsForDepreciationAndAmortisationExpense",MT_HS_CONSOLIDATED!$C:$C,MT_HS_CONSOLIDATED!H:H,0,0,1)</f>
        <v/>
      </c>
      <c r="J100" s="7">
        <f>_xlfn.XLOOKUP("AdjustmentsForDepreciationAndAmortisationExpense",MT_HS_CONSOLIDATED!$C:$C,MT_HS_CONSOLIDATED!I:I,0,0,1)</f>
        <v/>
      </c>
    </row>
    <row r="101">
      <c r="D101" s="6" t="inlineStr">
        <is>
          <t>Adjustments for impairment loss reversal of impairment loss recognised in profit or loss</t>
        </is>
      </c>
      <c r="E101" s="7">
        <f>_xlfn.XLOOKUP("AdjustmentsForImpairmentLossReversalOfImpairmentLossRecognisedInProfitOrLoss",MT_HS_CONSOLIDATED!$C:$C,MT_HS_CONSOLIDATED!D:D,0,0,1)</f>
        <v/>
      </c>
      <c r="F101" s="7">
        <f>_xlfn.XLOOKUP("AdjustmentsForImpairmentLossReversalOfImpairmentLossRecognisedInProfitOrLoss",MT_HS_CONSOLIDATED!$C:$C,MT_HS_CONSOLIDATED!E:E,0,0,1)</f>
        <v/>
      </c>
      <c r="G101" s="7">
        <f>_xlfn.XLOOKUP("AdjustmentsForImpairmentLossReversalOfImpairmentLossRecognisedInProfitOrLoss",MT_HS_CONSOLIDATED!$C:$C,MT_HS_CONSOLIDATED!F:F,0,0,1)</f>
        <v/>
      </c>
      <c r="H101" s="7">
        <f>_xlfn.XLOOKUP("AdjustmentsForImpairmentLossReversalOfImpairmentLossRecognisedInProfitOrLoss",MT_HS_CONSOLIDATED!$C:$C,MT_HS_CONSOLIDATED!G:G,0,0,1)</f>
        <v/>
      </c>
      <c r="I101" s="7">
        <f>_xlfn.XLOOKUP("AdjustmentsForImpairmentLossReversalOfImpairmentLossRecognisedInProfitOrLoss",MT_HS_CONSOLIDATED!$C:$C,MT_HS_CONSOLIDATED!H:H,0,0,1)</f>
        <v/>
      </c>
      <c r="J101" s="7">
        <f>_xlfn.XLOOKUP("AdjustmentsForImpairmentLossReversalOfImpairmentLossRecognisedInProfitOrLoss",MT_HS_CONSOLIDATED!$C:$C,MT_HS_CONSOLIDATED!I:I,0,0,1)</f>
        <v/>
      </c>
    </row>
    <row r="102">
      <c r="D102" s="6" t="inlineStr">
        <is>
          <t>Adjustments for provisions, current</t>
        </is>
      </c>
      <c r="E102" s="7">
        <f>_xlfn.XLOOKUP("AdjustmentsForProvisionsCurrent",MT_HS_CONSOLIDATED!$C:$C,MT_HS_CONSOLIDATED!D:D,0,0,1)</f>
        <v/>
      </c>
      <c r="F102" s="7">
        <f>_xlfn.XLOOKUP("AdjustmentsForProvisionsCurrent",MT_HS_CONSOLIDATED!$C:$C,MT_HS_CONSOLIDATED!E:E,0,0,1)</f>
        <v/>
      </c>
      <c r="G102" s="7">
        <f>_xlfn.XLOOKUP("AdjustmentsForProvisionsCurrent",MT_HS_CONSOLIDATED!$C:$C,MT_HS_CONSOLIDATED!F:F,0,0,1)</f>
        <v/>
      </c>
      <c r="H102" s="7">
        <f>_xlfn.XLOOKUP("AdjustmentsForProvisionsCurrent",MT_HS_CONSOLIDATED!$C:$C,MT_HS_CONSOLIDATED!G:G,0,0,1)</f>
        <v/>
      </c>
      <c r="I102" s="7">
        <f>_xlfn.XLOOKUP("AdjustmentsForProvisionsCurrent",MT_HS_CONSOLIDATED!$C:$C,MT_HS_CONSOLIDATED!H:H,0,0,1)</f>
        <v/>
      </c>
      <c r="J102" s="7">
        <f>_xlfn.XLOOKUP("AdjustmentsForProvisionsCurrent",MT_HS_CONSOLIDATED!$C:$C,MT_HS_CONSOLIDATED!I:I,0,0,1)</f>
        <v/>
      </c>
    </row>
    <row r="103">
      <c r="D103" s="6" t="inlineStr">
        <is>
          <t>Adjustments for other financial liabilities, current</t>
        </is>
      </c>
      <c r="E103" s="7">
        <f>_xlfn.XLOOKUP("AdjustmentsForOtherFinancialLiabilitiesCurrent",MT_HS_CONSOLIDATED!$C:$C,MT_HS_CONSOLIDATED!D:D,0,0,1)</f>
        <v/>
      </c>
      <c r="F103" s="7">
        <f>_xlfn.XLOOKUP("AdjustmentsForOtherFinancialLiabilitiesCurrent",MT_HS_CONSOLIDATED!$C:$C,MT_HS_CONSOLIDATED!E:E,0,0,1)</f>
        <v/>
      </c>
      <c r="G103" s="7">
        <f>_xlfn.XLOOKUP("AdjustmentsForOtherFinancialLiabilitiesCurrent",MT_HS_CONSOLIDATED!$C:$C,MT_HS_CONSOLIDATED!F:F,0,0,1)</f>
        <v/>
      </c>
      <c r="H103" s="7">
        <f>_xlfn.XLOOKUP("AdjustmentsForOtherFinancialLiabilitiesCurrent",MT_HS_CONSOLIDATED!$C:$C,MT_HS_CONSOLIDATED!G:G,0,0,1)</f>
        <v/>
      </c>
      <c r="I103" s="7">
        <f>_xlfn.XLOOKUP("AdjustmentsForOtherFinancialLiabilitiesCurrent",MT_HS_CONSOLIDATED!$C:$C,MT_HS_CONSOLIDATED!H:H,0,0,1)</f>
        <v/>
      </c>
      <c r="J103" s="7">
        <f>_xlfn.XLOOKUP("AdjustmentsForOtherFinancialLiabilitiesCurrent",MT_HS_CONSOLIDATED!$C:$C,MT_HS_CONSOLIDATED!I:I,0,0,1)</f>
        <v/>
      </c>
    </row>
    <row r="104">
      <c r="D104" s="6" t="inlineStr">
        <is>
          <t>Adjustments for other financial liabilities, non-current</t>
        </is>
      </c>
      <c r="E104" s="7">
        <f>_xlfn.XLOOKUP("AdjustmentsForOtherFinancialLiabilitiesNoncurrent",MT_HS_CONSOLIDATED!$C:$C,MT_HS_CONSOLIDATED!D:D,0,0,1)</f>
        <v/>
      </c>
      <c r="F104" s="7">
        <f>_xlfn.XLOOKUP("AdjustmentsForOtherFinancialLiabilitiesNoncurrent",MT_HS_CONSOLIDATED!$C:$C,MT_HS_CONSOLIDATED!E:E,0,0,1)</f>
        <v/>
      </c>
      <c r="G104" s="7">
        <f>_xlfn.XLOOKUP("AdjustmentsForOtherFinancialLiabilitiesNoncurrent",MT_HS_CONSOLIDATED!$C:$C,MT_HS_CONSOLIDATED!F:F,0,0,1)</f>
        <v/>
      </c>
      <c r="H104" s="7">
        <f>_xlfn.XLOOKUP("AdjustmentsForOtherFinancialLiabilitiesNoncurrent",MT_HS_CONSOLIDATED!$C:$C,MT_HS_CONSOLIDATED!G:G,0,0,1)</f>
        <v/>
      </c>
      <c r="I104" s="7">
        <f>_xlfn.XLOOKUP("AdjustmentsForOtherFinancialLiabilitiesNoncurrent",MT_HS_CONSOLIDATED!$C:$C,MT_HS_CONSOLIDATED!H:H,0,0,1)</f>
        <v/>
      </c>
      <c r="J104" s="7">
        <f>_xlfn.XLOOKUP("AdjustmentsForOtherFinancialLiabilitiesNoncurrent",MT_HS_CONSOLIDATED!$C:$C,MT_HS_CONSOLIDATED!I:I,0,0,1)</f>
        <v/>
      </c>
    </row>
    <row r="105">
      <c r="D105" s="6" t="inlineStr">
        <is>
          <t>Adjustments for unrealised foreign exchange losses gains</t>
        </is>
      </c>
      <c r="E105" s="7">
        <f>_xlfn.XLOOKUP("AdjustmentsForUnrealisedForeignExchangeLossesGains",MT_HS_CONSOLIDATED!$C:$C,MT_HS_CONSOLIDATED!D:D,0,0,1)</f>
        <v/>
      </c>
      <c r="F105" s="7">
        <f>_xlfn.XLOOKUP("AdjustmentsForUnrealisedForeignExchangeLossesGains",MT_HS_CONSOLIDATED!$C:$C,MT_HS_CONSOLIDATED!E:E,0,0,1)</f>
        <v/>
      </c>
      <c r="G105" s="7">
        <f>_xlfn.XLOOKUP("AdjustmentsForUnrealisedForeignExchangeLossesGains",MT_HS_CONSOLIDATED!$C:$C,MT_HS_CONSOLIDATED!F:F,0,0,1)</f>
        <v/>
      </c>
      <c r="H105" s="7">
        <f>_xlfn.XLOOKUP("AdjustmentsForUnrealisedForeignExchangeLossesGains",MT_HS_CONSOLIDATED!$C:$C,MT_HS_CONSOLIDATED!G:G,0,0,1)</f>
        <v/>
      </c>
      <c r="I105" s="7">
        <f>_xlfn.XLOOKUP("AdjustmentsForUnrealisedForeignExchangeLossesGains",MT_HS_CONSOLIDATED!$C:$C,MT_HS_CONSOLIDATED!H:H,0,0,1)</f>
        <v/>
      </c>
      <c r="J105" s="7">
        <f>_xlfn.XLOOKUP("AdjustmentsForUnrealisedForeignExchangeLossesGains",MT_HS_CONSOLIDATED!$C:$C,MT_HS_CONSOLIDATED!I:I,0,0,1)</f>
        <v/>
      </c>
    </row>
    <row r="106">
      <c r="D106" s="6" t="inlineStr">
        <is>
          <t>Adjustments for dividend income</t>
        </is>
      </c>
      <c r="E106" s="7">
        <f>_xlfn.XLOOKUP("AdjustmentsForDividendIncome",MT_HS_CONSOLIDATED!$C:$C,MT_HS_CONSOLIDATED!D:D,0,0,1)</f>
        <v/>
      </c>
      <c r="F106" s="7">
        <f>_xlfn.XLOOKUP("AdjustmentsForDividendIncome",MT_HS_CONSOLIDATED!$C:$C,MT_HS_CONSOLIDATED!E:E,0,0,1)</f>
        <v/>
      </c>
      <c r="G106" s="7">
        <f>_xlfn.XLOOKUP("AdjustmentsForDividendIncome",MT_HS_CONSOLIDATED!$C:$C,MT_HS_CONSOLIDATED!F:F,0,0,1)</f>
        <v/>
      </c>
      <c r="H106" s="7">
        <f>_xlfn.XLOOKUP("AdjustmentsForDividendIncome",MT_HS_CONSOLIDATED!$C:$C,MT_HS_CONSOLIDATED!G:G,0,0,1)</f>
        <v/>
      </c>
      <c r="I106" s="7">
        <f>_xlfn.XLOOKUP("AdjustmentsForDividendIncome",MT_HS_CONSOLIDATED!$C:$C,MT_HS_CONSOLIDATED!H:H,0,0,1)</f>
        <v/>
      </c>
      <c r="J106" s="7">
        <f>_xlfn.XLOOKUP("AdjustmentsForDividendIncome",MT_HS_CONSOLIDATED!$C:$C,MT_HS_CONSOLIDATED!I:I,0,0,1)</f>
        <v/>
      </c>
    </row>
    <row r="107">
      <c r="D107" s="6" t="inlineStr">
        <is>
          <t>Adjustments for interest income</t>
        </is>
      </c>
      <c r="E107" s="7">
        <f>_xlfn.XLOOKUP("AdjustmentsForInterestIncome",MT_HS_CONSOLIDATED!$C:$C,MT_HS_CONSOLIDATED!D:D,0,0,1)</f>
        <v/>
      </c>
      <c r="F107" s="7">
        <f>_xlfn.XLOOKUP("AdjustmentsForInterestIncome",MT_HS_CONSOLIDATED!$C:$C,MT_HS_CONSOLIDATED!E:E,0,0,1)</f>
        <v/>
      </c>
      <c r="G107" s="7">
        <f>_xlfn.XLOOKUP("AdjustmentsForInterestIncome",MT_HS_CONSOLIDATED!$C:$C,MT_HS_CONSOLIDATED!F:F,0,0,1)</f>
        <v/>
      </c>
      <c r="H107" s="7">
        <f>_xlfn.XLOOKUP("AdjustmentsForInterestIncome",MT_HS_CONSOLIDATED!$C:$C,MT_HS_CONSOLIDATED!G:G,0,0,1)</f>
        <v/>
      </c>
      <c r="I107" s="7">
        <f>_xlfn.XLOOKUP("AdjustmentsForInterestIncome",MT_HS_CONSOLIDATED!$C:$C,MT_HS_CONSOLIDATED!H:H,0,0,1)</f>
        <v/>
      </c>
      <c r="J107" s="7">
        <f>_xlfn.XLOOKUP("AdjustmentsForInterestIncome",MT_HS_CONSOLIDATED!$C:$C,MT_HS_CONSOLIDATED!I:I,0,0,1)</f>
        <v/>
      </c>
    </row>
    <row r="108">
      <c r="D108" s="6" t="inlineStr">
        <is>
          <t>Adjustments for share-based payments</t>
        </is>
      </c>
      <c r="E108" s="7">
        <f>_xlfn.XLOOKUP("AdjustmentsForSharebasedPayments",MT_HS_CONSOLIDATED!$C:$C,MT_HS_CONSOLIDATED!D:D,0,0,1)</f>
        <v/>
      </c>
      <c r="F108" s="7">
        <f>_xlfn.XLOOKUP("AdjustmentsForSharebasedPayments",MT_HS_CONSOLIDATED!$C:$C,MT_HS_CONSOLIDATED!E:E,0,0,1)</f>
        <v/>
      </c>
      <c r="G108" s="7">
        <f>_xlfn.XLOOKUP("AdjustmentsForSharebasedPayments",MT_HS_CONSOLIDATED!$C:$C,MT_HS_CONSOLIDATED!F:F,0,0,1)</f>
        <v/>
      </c>
      <c r="H108" s="7">
        <f>_xlfn.XLOOKUP("AdjustmentsForSharebasedPayments",MT_HS_CONSOLIDATED!$C:$C,MT_HS_CONSOLIDATED!G:G,0,0,1)</f>
        <v/>
      </c>
      <c r="I108" s="7">
        <f>_xlfn.XLOOKUP("AdjustmentsForSharebasedPayments",MT_HS_CONSOLIDATED!$C:$C,MT_HS_CONSOLIDATED!H:H,0,0,1)</f>
        <v/>
      </c>
      <c r="J108" s="7">
        <f>_xlfn.XLOOKUP("AdjustmentsForSharebasedPayments",MT_HS_CONSOLIDATED!$C:$C,MT_HS_CONSOLIDATED!I:I,0,0,1)</f>
        <v/>
      </c>
    </row>
    <row r="109">
      <c r="D109" s="6" t="inlineStr">
        <is>
          <t>Adjustments for fair value losses (gains)</t>
        </is>
      </c>
      <c r="E109" s="7">
        <f>_xlfn.XLOOKUP("AdjustmentsForFairValueGainsLosses",MT_HS_CONSOLIDATED!$C:$C,MT_HS_CONSOLIDATED!D:D,0,0,1)</f>
        <v/>
      </c>
      <c r="F109" s="7">
        <f>_xlfn.XLOOKUP("AdjustmentsForFairValueGainsLosses",MT_HS_CONSOLIDATED!$C:$C,MT_HS_CONSOLIDATED!E:E,0,0,1)</f>
        <v/>
      </c>
      <c r="G109" s="7">
        <f>_xlfn.XLOOKUP("AdjustmentsForFairValueGainsLosses",MT_HS_CONSOLIDATED!$C:$C,MT_HS_CONSOLIDATED!F:F,0,0,1)</f>
        <v/>
      </c>
      <c r="H109" s="7">
        <f>_xlfn.XLOOKUP("AdjustmentsForFairValueGainsLosses",MT_HS_CONSOLIDATED!$C:$C,MT_HS_CONSOLIDATED!G:G,0,0,1)</f>
        <v/>
      </c>
      <c r="I109" s="7">
        <f>_xlfn.XLOOKUP("AdjustmentsForFairValueGainsLosses",MT_HS_CONSOLIDATED!$C:$C,MT_HS_CONSOLIDATED!H:H,0,0,1)</f>
        <v/>
      </c>
      <c r="J109" s="7">
        <f>_xlfn.XLOOKUP("AdjustmentsForFairValueGainsLosses",MT_HS_CONSOLIDATED!$C:$C,MT_HS_CONSOLIDATED!I:I,0,0,1)</f>
        <v/>
      </c>
    </row>
    <row r="110">
      <c r="D110" s="6" t="inlineStr">
        <is>
          <t>Other adjustments for which cash effects are investing or financing cash flow</t>
        </is>
      </c>
      <c r="E110" s="7">
        <f>_xlfn.XLOOKUP("OtherAdjustmentsForWhichCashEffectsAreInvestingOrFinancingCashFlow",MT_HS_CONSOLIDATED!$C:$C,MT_HS_CONSOLIDATED!D:D,0,0,1)</f>
        <v/>
      </c>
      <c r="F110" s="7">
        <f>_xlfn.XLOOKUP("OtherAdjustmentsForWhichCashEffectsAreInvestingOrFinancingCashFlow",MT_HS_CONSOLIDATED!$C:$C,MT_HS_CONSOLIDATED!E:E,0,0,1)</f>
        <v/>
      </c>
      <c r="G110" s="7">
        <f>_xlfn.XLOOKUP("OtherAdjustmentsForWhichCashEffectsAreInvestingOrFinancingCashFlow",MT_HS_CONSOLIDATED!$C:$C,MT_HS_CONSOLIDATED!F:F,0,0,1)</f>
        <v/>
      </c>
      <c r="H110" s="7">
        <f>_xlfn.XLOOKUP("OtherAdjustmentsForWhichCashEffectsAreInvestingOrFinancingCashFlow",MT_HS_CONSOLIDATED!$C:$C,MT_HS_CONSOLIDATED!G:G,0,0,1)</f>
        <v/>
      </c>
      <c r="I110" s="7">
        <f>_xlfn.XLOOKUP("OtherAdjustmentsForWhichCashEffectsAreInvestingOrFinancingCashFlow",MT_HS_CONSOLIDATED!$C:$C,MT_HS_CONSOLIDATED!H:H,0,0,1)</f>
        <v/>
      </c>
      <c r="J110" s="7">
        <f>_xlfn.XLOOKUP("OtherAdjustmentsForWhichCashEffectsAreInvestingOrFinancingCashFlow",MT_HS_CONSOLIDATED!$C:$C,MT_HS_CONSOLIDATED!I:I,0,0,1)</f>
        <v/>
      </c>
    </row>
    <row r="111">
      <c r="D111" s="6" t="inlineStr">
        <is>
          <t>Other adjustments to reconcile profit (loss)</t>
        </is>
      </c>
      <c r="E111" s="7">
        <f>_xlfn.XLOOKUP("OtherAdjustmentsToReconcileProfitLoss",MT_HS_CONSOLIDATED!$C:$C,MT_HS_CONSOLIDATED!D:D,0,0,1)</f>
        <v/>
      </c>
      <c r="F111" s="7">
        <f>_xlfn.XLOOKUP("OtherAdjustmentsToReconcileProfitLoss",MT_HS_CONSOLIDATED!$C:$C,MT_HS_CONSOLIDATED!E:E,0,0,1)</f>
        <v/>
      </c>
      <c r="G111" s="7">
        <f>_xlfn.XLOOKUP("OtherAdjustmentsToReconcileProfitLoss",MT_HS_CONSOLIDATED!$C:$C,MT_HS_CONSOLIDATED!F:F,0,0,1)</f>
        <v/>
      </c>
      <c r="H111" s="7">
        <f>_xlfn.XLOOKUP("OtherAdjustmentsToReconcileProfitLoss",MT_HS_CONSOLIDATED!$C:$C,MT_HS_CONSOLIDATED!G:G,0,0,1)</f>
        <v/>
      </c>
      <c r="I111" s="7">
        <f>_xlfn.XLOOKUP("OtherAdjustmentsToReconcileProfitLoss",MT_HS_CONSOLIDATED!$C:$C,MT_HS_CONSOLIDATED!H:H,0,0,1)</f>
        <v/>
      </c>
      <c r="J111" s="7">
        <f>_xlfn.XLOOKUP("OtherAdjustmentsToReconcileProfitLoss",MT_HS_CONSOLIDATED!$C:$C,MT_HS_CONSOLIDATED!I:I,0,0,1)</f>
        <v/>
      </c>
    </row>
    <row r="112">
      <c r="D112" s="6" t="inlineStr">
        <is>
          <t>Other adjustments for non-cash items</t>
        </is>
      </c>
      <c r="E112" s="7">
        <f>_xlfn.XLOOKUP("OtherAdjustmentsForNoncashItems",MT_HS_CONSOLIDATED!$C:$C,MT_HS_CONSOLIDATED!D:D,0,0,1)</f>
        <v/>
      </c>
      <c r="F112" s="7">
        <f>_xlfn.XLOOKUP("OtherAdjustmentsForNoncashItems",MT_HS_CONSOLIDATED!$C:$C,MT_HS_CONSOLIDATED!E:E,0,0,1)</f>
        <v/>
      </c>
      <c r="G112" s="7">
        <f>_xlfn.XLOOKUP("OtherAdjustmentsForNoncashItems",MT_HS_CONSOLIDATED!$C:$C,MT_HS_CONSOLIDATED!F:F,0,0,1)</f>
        <v/>
      </c>
      <c r="H112" s="7">
        <f>_xlfn.XLOOKUP("OtherAdjustmentsForNoncashItems",MT_HS_CONSOLIDATED!$C:$C,MT_HS_CONSOLIDATED!G:G,0,0,1)</f>
        <v/>
      </c>
      <c r="I112" s="7">
        <f>_xlfn.XLOOKUP("OtherAdjustmentsForNoncashItems",MT_HS_CONSOLIDATED!$C:$C,MT_HS_CONSOLIDATED!H:H,0,0,1)</f>
        <v/>
      </c>
      <c r="J112" s="7">
        <f>_xlfn.XLOOKUP("OtherAdjustmentsForNoncashItems",MT_HS_CONSOLIDATED!$C:$C,MT_HS_CONSOLIDATED!I:I,0,0,1)</f>
        <v/>
      </c>
    </row>
    <row r="113">
      <c r="D113" s="6" t="inlineStr">
        <is>
          <t>Total adjustments for reconcile profit (loss)</t>
        </is>
      </c>
      <c r="E113" s="7">
        <f>_xlfn.XLOOKUP("AdjustmentsForReconcileProfitLoss",MT_HS_CONSOLIDATED!$C:$C,MT_HS_CONSOLIDATED!D:D,0,0,1)</f>
        <v/>
      </c>
      <c r="F113" s="7">
        <f>_xlfn.XLOOKUP("AdjustmentsForReconcileProfitLoss",MT_HS_CONSOLIDATED!$C:$C,MT_HS_CONSOLIDATED!E:E,0,0,1)</f>
        <v/>
      </c>
      <c r="G113" s="7">
        <f>_xlfn.XLOOKUP("AdjustmentsForReconcileProfitLoss",MT_HS_CONSOLIDATED!$C:$C,MT_HS_CONSOLIDATED!F:F,0,0,1)</f>
        <v/>
      </c>
      <c r="H113" s="7">
        <f>_xlfn.XLOOKUP("AdjustmentsForReconcileProfitLoss",MT_HS_CONSOLIDATED!$C:$C,MT_HS_CONSOLIDATED!G:G,0,0,1)</f>
        <v/>
      </c>
      <c r="I113" s="7">
        <f>_xlfn.XLOOKUP("AdjustmentsForReconcileProfitLoss",MT_HS_CONSOLIDATED!$C:$C,MT_HS_CONSOLIDATED!H:H,0,0,1)</f>
        <v/>
      </c>
      <c r="J113" s="7">
        <f>_xlfn.XLOOKUP("AdjustmentsForReconcileProfitLoss",MT_HS_CONSOLIDATED!$C:$C,MT_HS_CONSOLIDATED!I:I,0,0,1)</f>
        <v/>
      </c>
    </row>
    <row r="114">
      <c r="C114" s="8" t="inlineStr">
        <is>
          <t>Net cash flows from (used in) operations</t>
        </is>
      </c>
      <c r="E114" s="9">
        <f>IFERROR(E113+E90,0)</f>
        <v/>
      </c>
      <c r="F114" s="9">
        <f>IFERROR(F113+F90,0)</f>
        <v/>
      </c>
      <c r="G114" s="9">
        <f>IFERROR(G113+G90,0)</f>
        <v/>
      </c>
      <c r="H114" s="9">
        <f>IFERROR(H113+H90,0)</f>
        <v/>
      </c>
      <c r="I114" s="9">
        <f>IFERROR(I113+I90,0)</f>
        <v/>
      </c>
      <c r="J114" s="9">
        <f>IFERROR(J113+J90,0)</f>
        <v/>
      </c>
    </row>
    <row r="115">
      <c r="C115" s="6" t="inlineStr">
        <is>
          <t>Dividends received</t>
        </is>
      </c>
      <c r="E115" s="7">
        <f>_xlfn.XLOOKUP("DividendsReceivedClassifiedAsOperatingActivities",MT_HS_CONSOLIDATED!$C:$C,MT_HS_CONSOLIDATED!D:D,0,0,1)</f>
        <v/>
      </c>
      <c r="F115" s="7">
        <f>_xlfn.XLOOKUP("DividendsReceivedClassifiedAsOperatingActivities",MT_HS_CONSOLIDATED!$C:$C,MT_HS_CONSOLIDATED!E:E,0,0,1)</f>
        <v/>
      </c>
      <c r="G115" s="7">
        <f>_xlfn.XLOOKUP("DividendsReceivedClassifiedAsOperatingActivities",MT_HS_CONSOLIDATED!$C:$C,MT_HS_CONSOLIDATED!F:F,0,0,1)</f>
        <v/>
      </c>
      <c r="H115" s="7">
        <f>_xlfn.XLOOKUP("DividendsReceivedClassifiedAsOperatingActivities",MT_HS_CONSOLIDATED!$C:$C,MT_HS_CONSOLIDATED!G:G,0,0,1)</f>
        <v/>
      </c>
      <c r="I115" s="7">
        <f>_xlfn.XLOOKUP("DividendsReceivedClassifiedAsOperatingActivities",MT_HS_CONSOLIDATED!$C:$C,MT_HS_CONSOLIDATED!H:H,0,0,1)</f>
        <v/>
      </c>
      <c r="J115" s="7">
        <f>_xlfn.XLOOKUP("DividendsReceivedClassifiedAsOperatingActivities",MT_HS_CONSOLIDATED!$C:$C,MT_HS_CONSOLIDATED!I:I,0,0,1)</f>
        <v/>
      </c>
    </row>
    <row r="116">
      <c r="C116" s="6" t="inlineStr">
        <is>
          <t>Income taxes paid (refund)</t>
        </is>
      </c>
      <c r="E116" s="7">
        <f>-_xlfn.XLOOKUP("IncomeTaxesPaidRefundClassifiedAsOperatingActivities",MT_HS_CONSOLIDATED!$C:$C,MT_HS_CONSOLIDATED!D:D,0,0,1)</f>
        <v/>
      </c>
      <c r="F116" s="7">
        <f>-_xlfn.XLOOKUP("IncomeTaxesPaidRefundClassifiedAsOperatingActivities",MT_HS_CONSOLIDATED!$C:$C,MT_HS_CONSOLIDATED!E:E,0,0,1)</f>
        <v/>
      </c>
      <c r="G116" s="7">
        <f>-_xlfn.XLOOKUP("IncomeTaxesPaidRefundClassifiedAsOperatingActivities",MT_HS_CONSOLIDATED!$C:$C,MT_HS_CONSOLIDATED!F:F,0,0,1)</f>
        <v/>
      </c>
      <c r="H116" s="7">
        <f>-_xlfn.XLOOKUP("IncomeTaxesPaidRefundClassifiedAsOperatingActivities",MT_HS_CONSOLIDATED!$C:$C,MT_HS_CONSOLIDATED!G:G,0,0,1)</f>
        <v/>
      </c>
      <c r="I116" s="7">
        <f>-_xlfn.XLOOKUP("IncomeTaxesPaidRefundClassifiedAsOperatingActivities",MT_HS_CONSOLIDATED!$C:$C,MT_HS_CONSOLIDATED!H:H,0,0,1)</f>
        <v/>
      </c>
      <c r="J116" s="7">
        <f>-_xlfn.XLOOKUP("IncomeTaxesPaidRefundClassifiedAsOperatingActivities",MT_HS_CONSOLIDATED!$C:$C,MT_HS_CONSOLIDATED!I:I,0,0,1)</f>
        <v/>
      </c>
    </row>
    <row r="117">
      <c r="C117" s="8" t="inlineStr">
        <is>
          <t>Net cash flows from (used in) operating activities</t>
        </is>
      </c>
      <c r="E117" s="9">
        <f>IFERROR(SUM(E114:E116),0)</f>
        <v/>
      </c>
      <c r="F117" s="9">
        <f>IFERROR(SUM(F114:F116),0)</f>
        <v/>
      </c>
      <c r="G117" s="9">
        <f>IFERROR(SUM(G114:G116),0)</f>
        <v/>
      </c>
      <c r="H117" s="9">
        <f>IFERROR(SUM(H114:H116),0)</f>
        <v/>
      </c>
      <c r="I117" s="9">
        <f>IFERROR(SUM(I114:I116),0)</f>
        <v/>
      </c>
      <c r="J117" s="9">
        <f>IFERROR(SUM(J114:J116),0)</f>
        <v/>
      </c>
    </row>
    <row r="118">
      <c r="C118" s="5" t="inlineStr">
        <is>
          <t>Cash flows from used in investing activities [Abstract]</t>
        </is>
      </c>
    </row>
    <row r="119">
      <c r="D119" s="6" t="inlineStr">
        <is>
          <t>Cash flows used in obtaining control of subsidiaries or other businesses</t>
        </is>
      </c>
      <c r="E119" s="7">
        <f>-_xlfn.XLOOKUP("CashFlowsUsedInObtainingControlOfSubsidiariesOrOtherBusinessesClassifiedAsInvestingActivities",MT_HS_CONSOLIDATED!$C:$C,MT_HS_CONSOLIDATED!D:D,0,0,1)</f>
        <v/>
      </c>
      <c r="F119" s="7">
        <f>-_xlfn.XLOOKUP("CashFlowsUsedInObtainingControlOfSubsidiariesOrOtherBusinessesClassifiedAsInvestingActivities",MT_HS_CONSOLIDATED!$C:$C,MT_HS_CONSOLIDATED!E:E,0,0,1)</f>
        <v/>
      </c>
      <c r="G119" s="7">
        <f>-_xlfn.XLOOKUP("CashFlowsUsedInObtainingControlOfSubsidiariesOrOtherBusinessesClassifiedAsInvestingActivities",MT_HS_CONSOLIDATED!$C:$C,MT_HS_CONSOLIDATED!F:F,0,0,1)</f>
        <v/>
      </c>
      <c r="H119" s="7">
        <f>-_xlfn.XLOOKUP("CashFlowsUsedInObtainingControlOfSubsidiariesOrOtherBusinessesClassifiedAsInvestingActivities",MT_HS_CONSOLIDATED!$C:$C,MT_HS_CONSOLIDATED!G:G,0,0,1)</f>
        <v/>
      </c>
      <c r="I119" s="7">
        <f>-_xlfn.XLOOKUP("CashFlowsUsedInObtainingControlOfSubsidiariesOrOtherBusinessesClassifiedAsInvestingActivities",MT_HS_CONSOLIDATED!$C:$C,MT_HS_CONSOLIDATED!H:H,0,0,1)</f>
        <v/>
      </c>
      <c r="J119" s="7">
        <f>-_xlfn.XLOOKUP("CashFlowsUsedInObtainingControlOfSubsidiariesOrOtherBusinessesClassifiedAsInvestingActivities",MT_HS_CONSOLIDATED!$C:$C,MT_HS_CONSOLIDATED!I:I,0,0,1)</f>
        <v/>
      </c>
    </row>
    <row r="120">
      <c r="D120" s="6" t="inlineStr">
        <is>
          <t>Other cash receipts from sales of equity or debt instruments of other entities</t>
        </is>
      </c>
      <c r="E120" s="7">
        <f>_xlfn.XLOOKUP("OtherCashReceiptsFromSalesOfEquityOrDebtInstrumentsOfOtherEntitiesClassifiedAsInvestingActivities",MT_HS_CONSOLIDATED!$C:$C,MT_HS_CONSOLIDATED!D:D,0,0,1)</f>
        <v/>
      </c>
      <c r="F120" s="7">
        <f>_xlfn.XLOOKUP("OtherCashReceiptsFromSalesOfEquityOrDebtInstrumentsOfOtherEntitiesClassifiedAsInvestingActivities",MT_HS_CONSOLIDATED!$C:$C,MT_HS_CONSOLIDATED!E:E,0,0,1)</f>
        <v/>
      </c>
      <c r="G120" s="7">
        <f>_xlfn.XLOOKUP("OtherCashReceiptsFromSalesOfEquityOrDebtInstrumentsOfOtherEntitiesClassifiedAsInvestingActivities",MT_HS_CONSOLIDATED!$C:$C,MT_HS_CONSOLIDATED!F:F,0,0,1)</f>
        <v/>
      </c>
      <c r="H120" s="7">
        <f>_xlfn.XLOOKUP("OtherCashReceiptsFromSalesOfEquityOrDebtInstrumentsOfOtherEntitiesClassifiedAsInvestingActivities",MT_HS_CONSOLIDATED!$C:$C,MT_HS_CONSOLIDATED!G:G,0,0,1)</f>
        <v/>
      </c>
      <c r="I120" s="7">
        <f>_xlfn.XLOOKUP("OtherCashReceiptsFromSalesOfEquityOrDebtInstrumentsOfOtherEntitiesClassifiedAsInvestingActivities",MT_HS_CONSOLIDATED!$C:$C,MT_HS_CONSOLIDATED!H:H,0,0,1)</f>
        <v/>
      </c>
      <c r="J120" s="7">
        <f>_xlfn.XLOOKUP("OtherCashReceiptsFromSalesOfEquityOrDebtInstrumentsOfOtherEntitiesClassifiedAsInvestingActivities",MT_HS_CONSOLIDATED!$C:$C,MT_HS_CONSOLIDATED!I:I,0,0,1)</f>
        <v/>
      </c>
    </row>
    <row r="121">
      <c r="D121" s="6" t="inlineStr">
        <is>
          <t>Other cash payments to acquire equity or debt instruments of other entities</t>
        </is>
      </c>
      <c r="E121" s="7">
        <f>-_xlfn.XLOOKUP("OtherCashPaymentsToAcquireEquityOrDebtInstrumentsOfOtherEntitiesClassifiedAsInvestingActivities",MT_HS_CONSOLIDATED!$C:$C,MT_HS_CONSOLIDATED!D:D,0,0,1)</f>
        <v/>
      </c>
      <c r="F121" s="7">
        <f>-_xlfn.XLOOKUP("OtherCashPaymentsToAcquireEquityOrDebtInstrumentsOfOtherEntitiesClassifiedAsInvestingActivities",MT_HS_CONSOLIDATED!$C:$C,MT_HS_CONSOLIDATED!E:E,0,0,1)</f>
        <v/>
      </c>
      <c r="G121" s="7">
        <f>-_xlfn.XLOOKUP("OtherCashPaymentsToAcquireEquityOrDebtInstrumentsOfOtherEntitiesClassifiedAsInvestingActivities",MT_HS_CONSOLIDATED!$C:$C,MT_HS_CONSOLIDATED!F:F,0,0,1)</f>
        <v/>
      </c>
      <c r="H121" s="7">
        <f>-_xlfn.XLOOKUP("OtherCashPaymentsToAcquireEquityOrDebtInstrumentsOfOtherEntitiesClassifiedAsInvestingActivities",MT_HS_CONSOLIDATED!$C:$C,MT_HS_CONSOLIDATED!G:G,0,0,1)</f>
        <v/>
      </c>
      <c r="I121" s="7">
        <f>-_xlfn.XLOOKUP("OtherCashPaymentsToAcquireEquityOrDebtInstrumentsOfOtherEntitiesClassifiedAsInvestingActivities",MT_HS_CONSOLIDATED!$C:$C,MT_HS_CONSOLIDATED!H:H,0,0,1)</f>
        <v/>
      </c>
      <c r="J121" s="7">
        <f>-_xlfn.XLOOKUP("OtherCashPaymentsToAcquireEquityOrDebtInstrumentsOfOtherEntitiesClassifiedAsInvestingActivities",MT_HS_CONSOLIDATED!$C:$C,MT_HS_CONSOLIDATED!I:I,0,0,1)</f>
        <v/>
      </c>
    </row>
    <row r="122">
      <c r="D122" s="6" t="inlineStr">
        <is>
          <t>Other cash receipts from sales of interests in joint ventures</t>
        </is>
      </c>
      <c r="E122" s="7">
        <f>_xlfn.XLOOKUP("OtherCashReceiptsFromSalesOfInterestsInJointVenturesClassifiedAsInvestingActivities",MT_HS_CONSOLIDATED!$C:$C,MT_HS_CONSOLIDATED!D:D,0,0,1)</f>
        <v/>
      </c>
      <c r="F122" s="7">
        <f>_xlfn.XLOOKUP("OtherCashReceiptsFromSalesOfInterestsInJointVenturesClassifiedAsInvestingActivities",MT_HS_CONSOLIDATED!$C:$C,MT_HS_CONSOLIDATED!E:E,0,0,1)</f>
        <v/>
      </c>
      <c r="G122" s="7">
        <f>_xlfn.XLOOKUP("OtherCashReceiptsFromSalesOfInterestsInJointVenturesClassifiedAsInvestingActivities",MT_HS_CONSOLIDATED!$C:$C,MT_HS_CONSOLIDATED!F:F,0,0,1)</f>
        <v/>
      </c>
      <c r="H122" s="7">
        <f>_xlfn.XLOOKUP("OtherCashReceiptsFromSalesOfInterestsInJointVenturesClassifiedAsInvestingActivities",MT_HS_CONSOLIDATED!$C:$C,MT_HS_CONSOLIDATED!G:G,0,0,1)</f>
        <v/>
      </c>
      <c r="I122" s="7">
        <f>_xlfn.XLOOKUP("OtherCashReceiptsFromSalesOfInterestsInJointVenturesClassifiedAsInvestingActivities",MT_HS_CONSOLIDATED!$C:$C,MT_HS_CONSOLIDATED!H:H,0,0,1)</f>
        <v/>
      </c>
      <c r="J122" s="7">
        <f>_xlfn.XLOOKUP("OtherCashReceiptsFromSalesOfInterestsInJointVenturesClassifiedAsInvestingActivities",MT_HS_CONSOLIDATED!$C:$C,MT_HS_CONSOLIDATED!I:I,0,0,1)</f>
        <v/>
      </c>
    </row>
    <row r="123">
      <c r="D123" s="6" t="inlineStr">
        <is>
          <t>Proceeds from sales of property, plant and equipment</t>
        </is>
      </c>
      <c r="E123" s="7">
        <f>_xlfn.XLOOKUP("ProceedsFromSalesOfPropertyPlantAndEquipmentClassifiedAsInvestingActivities",MT_HS_CONSOLIDATED!$C:$C,MT_HS_CONSOLIDATED!D:D,0,0,1)</f>
        <v/>
      </c>
      <c r="F123" s="7">
        <f>_xlfn.XLOOKUP("ProceedsFromSalesOfPropertyPlantAndEquipmentClassifiedAsInvestingActivities",MT_HS_CONSOLIDATED!$C:$C,MT_HS_CONSOLIDATED!E:E,0,0,1)</f>
        <v/>
      </c>
      <c r="G123" s="7">
        <f>_xlfn.XLOOKUP("ProceedsFromSalesOfPropertyPlantAndEquipmentClassifiedAsInvestingActivities",MT_HS_CONSOLIDATED!$C:$C,MT_HS_CONSOLIDATED!F:F,0,0,1)</f>
        <v/>
      </c>
      <c r="H123" s="7">
        <f>_xlfn.XLOOKUP("ProceedsFromSalesOfPropertyPlantAndEquipmentClassifiedAsInvestingActivities",MT_HS_CONSOLIDATED!$C:$C,MT_HS_CONSOLIDATED!G:G,0,0,1)</f>
        <v/>
      </c>
      <c r="I123" s="7">
        <f>_xlfn.XLOOKUP("ProceedsFromSalesOfPropertyPlantAndEquipmentClassifiedAsInvestingActivities",MT_HS_CONSOLIDATED!$C:$C,MT_HS_CONSOLIDATED!H:H,0,0,1)</f>
        <v/>
      </c>
      <c r="J123" s="7">
        <f>_xlfn.XLOOKUP("ProceedsFromSalesOfPropertyPlantAndEquipmentClassifiedAsInvestingActivities",MT_HS_CONSOLIDATED!$C:$C,MT_HS_CONSOLIDATED!I:I,0,0,1)</f>
        <v/>
      </c>
    </row>
    <row r="124">
      <c r="D124" s="6" t="inlineStr">
        <is>
          <t>Purchase of property, plant and equipment</t>
        </is>
      </c>
      <c r="E124" s="7">
        <f>-_xlfn.XLOOKUP("PurchaseOfPropertyPlantAndEquipmentClassifiedAsInvestingActivities",MT_HS_CONSOLIDATED!$C:$C,MT_HS_CONSOLIDATED!D:D,0,0,1)</f>
        <v/>
      </c>
      <c r="F124" s="7">
        <f>-_xlfn.XLOOKUP("PurchaseOfPropertyPlantAndEquipmentClassifiedAsInvestingActivities",MT_HS_CONSOLIDATED!$C:$C,MT_HS_CONSOLIDATED!E:E,0,0,1)</f>
        <v/>
      </c>
      <c r="G124" s="7">
        <f>-_xlfn.XLOOKUP("PurchaseOfPropertyPlantAndEquipmentClassifiedAsInvestingActivities",MT_HS_CONSOLIDATED!$C:$C,MT_HS_CONSOLIDATED!F:F,0,0,1)</f>
        <v/>
      </c>
      <c r="H124" s="7">
        <f>-_xlfn.XLOOKUP("PurchaseOfPropertyPlantAndEquipmentClassifiedAsInvestingActivities",MT_HS_CONSOLIDATED!$C:$C,MT_HS_CONSOLIDATED!G:G,0,0,1)</f>
        <v/>
      </c>
      <c r="I124" s="7">
        <f>-_xlfn.XLOOKUP("PurchaseOfPropertyPlantAndEquipmentClassifiedAsInvestingActivities",MT_HS_CONSOLIDATED!$C:$C,MT_HS_CONSOLIDATED!H:H,0,0,1)</f>
        <v/>
      </c>
      <c r="J124" s="7">
        <f>-_xlfn.XLOOKUP("PurchaseOfPropertyPlantAndEquipmentClassifiedAsInvestingActivities",MT_HS_CONSOLIDATED!$C:$C,MT_HS_CONSOLIDATED!I:I,0,0,1)</f>
        <v/>
      </c>
    </row>
    <row r="125">
      <c r="D125" s="6" t="inlineStr">
        <is>
          <t>Proceeds from sales of other long-term assets</t>
        </is>
      </c>
      <c r="E125" s="7">
        <f>_xlfn.XLOOKUP("ProceedsFromSalesOfOtherLongTermAssetsClassifiedAsInvestingActivities",MT_HS_CONSOLIDATED!$C:$C,MT_HS_CONSOLIDATED!D:D,0,0,1)</f>
        <v/>
      </c>
      <c r="F125" s="7">
        <f>_xlfn.XLOOKUP("ProceedsFromSalesOfOtherLongTermAssetsClassifiedAsInvestingActivities",MT_HS_CONSOLIDATED!$C:$C,MT_HS_CONSOLIDATED!E:E,0,0,1)</f>
        <v/>
      </c>
      <c r="G125" s="7">
        <f>_xlfn.XLOOKUP("ProceedsFromSalesOfOtherLongTermAssetsClassifiedAsInvestingActivities",MT_HS_CONSOLIDATED!$C:$C,MT_HS_CONSOLIDATED!F:F,0,0,1)</f>
        <v/>
      </c>
      <c r="H125" s="7">
        <f>_xlfn.XLOOKUP("ProceedsFromSalesOfOtherLongTermAssetsClassifiedAsInvestingActivities",MT_HS_CONSOLIDATED!$C:$C,MT_HS_CONSOLIDATED!G:G,0,0,1)</f>
        <v/>
      </c>
      <c r="I125" s="7">
        <f>_xlfn.XLOOKUP("ProceedsFromSalesOfOtherLongTermAssetsClassifiedAsInvestingActivities",MT_HS_CONSOLIDATED!$C:$C,MT_HS_CONSOLIDATED!H:H,0,0,1)</f>
        <v/>
      </c>
      <c r="J125" s="7">
        <f>_xlfn.XLOOKUP("ProceedsFromSalesOfOtherLongTermAssetsClassifiedAsInvestingActivities",MT_HS_CONSOLIDATED!$C:$C,MT_HS_CONSOLIDATED!I:I,0,0,1)</f>
        <v/>
      </c>
    </row>
    <row r="126">
      <c r="D126" s="6" t="inlineStr">
        <is>
          <t>Purchase of other long-term assets</t>
        </is>
      </c>
      <c r="E126" s="7">
        <f>-_xlfn.XLOOKUP("PurchaseOfOtherLongTermAssetsClassifiedAsInvestingActivities",MT_HS_CONSOLIDATED!$C:$C,MT_HS_CONSOLIDATED!D:D,0,0,1)</f>
        <v/>
      </c>
      <c r="F126" s="7">
        <f>-_xlfn.XLOOKUP("PurchaseOfOtherLongTermAssetsClassifiedAsInvestingActivities",MT_HS_CONSOLIDATED!$C:$C,MT_HS_CONSOLIDATED!E:E,0,0,1)</f>
        <v/>
      </c>
      <c r="G126" s="7">
        <f>-_xlfn.XLOOKUP("PurchaseOfOtherLongTermAssetsClassifiedAsInvestingActivities",MT_HS_CONSOLIDATED!$C:$C,MT_HS_CONSOLIDATED!F:F,0,0,1)</f>
        <v/>
      </c>
      <c r="H126" s="7">
        <f>-_xlfn.XLOOKUP("PurchaseOfOtherLongTermAssetsClassifiedAsInvestingActivities",MT_HS_CONSOLIDATED!$C:$C,MT_HS_CONSOLIDATED!G:G,0,0,1)</f>
        <v/>
      </c>
      <c r="I126" s="7">
        <f>-_xlfn.XLOOKUP("PurchaseOfOtherLongTermAssetsClassifiedAsInvestingActivities",MT_HS_CONSOLIDATED!$C:$C,MT_HS_CONSOLIDATED!H:H,0,0,1)</f>
        <v/>
      </c>
      <c r="J126" s="7">
        <f>-_xlfn.XLOOKUP("PurchaseOfOtherLongTermAssetsClassifiedAsInvestingActivities",MT_HS_CONSOLIDATED!$C:$C,MT_HS_CONSOLIDATED!I:I,0,0,1)</f>
        <v/>
      </c>
    </row>
    <row r="127">
      <c r="D127" s="6" t="inlineStr">
        <is>
          <t>Dividends received</t>
        </is>
      </c>
      <c r="E127" s="7">
        <f>_xlfn.XLOOKUP("DividendsReceivedClassifiedAsInvestingActivities",MT_HS_CONSOLIDATED!$C:$C,MT_HS_CONSOLIDATED!D:D,0,0,1)</f>
        <v/>
      </c>
      <c r="F127" s="7">
        <f>_xlfn.XLOOKUP("DividendsReceivedClassifiedAsInvestingActivities",MT_HS_CONSOLIDATED!$C:$C,MT_HS_CONSOLIDATED!E:E,0,0,1)</f>
        <v/>
      </c>
      <c r="G127" s="7">
        <f>_xlfn.XLOOKUP("DividendsReceivedClassifiedAsInvestingActivities",MT_HS_CONSOLIDATED!$C:$C,MT_HS_CONSOLIDATED!F:F,0,0,1)</f>
        <v/>
      </c>
      <c r="H127" s="7">
        <f>_xlfn.XLOOKUP("DividendsReceivedClassifiedAsInvestingActivities",MT_HS_CONSOLIDATED!$C:$C,MT_HS_CONSOLIDATED!G:G,0,0,1)</f>
        <v/>
      </c>
      <c r="I127" s="7">
        <f>_xlfn.XLOOKUP("DividendsReceivedClassifiedAsInvestingActivities",MT_HS_CONSOLIDATED!$C:$C,MT_HS_CONSOLIDATED!H:H,0,0,1)</f>
        <v/>
      </c>
      <c r="J127" s="7">
        <f>_xlfn.XLOOKUP("DividendsReceivedClassifiedAsInvestingActivities",MT_HS_CONSOLIDATED!$C:$C,MT_HS_CONSOLIDATED!I:I,0,0,1)</f>
        <v/>
      </c>
    </row>
    <row r="128">
      <c r="D128" s="6" t="inlineStr">
        <is>
          <t>Interest received</t>
        </is>
      </c>
      <c r="E128" s="7">
        <f>_xlfn.XLOOKUP("InterestReceivedClassifiedAsInvestingActivities",MT_HS_CONSOLIDATED!$C:$C,MT_HS_CONSOLIDATED!D:D,0,0,1)</f>
        <v/>
      </c>
      <c r="F128" s="7">
        <f>_xlfn.XLOOKUP("InterestReceivedClassifiedAsInvestingActivities",MT_HS_CONSOLIDATED!$C:$C,MT_HS_CONSOLIDATED!E:E,0,0,1)</f>
        <v/>
      </c>
      <c r="G128" s="7">
        <f>_xlfn.XLOOKUP("InterestReceivedClassifiedAsInvestingActivities",MT_HS_CONSOLIDATED!$C:$C,MT_HS_CONSOLIDATED!F:F,0,0,1)</f>
        <v/>
      </c>
      <c r="H128" s="7">
        <f>_xlfn.XLOOKUP("InterestReceivedClassifiedAsInvestingActivities",MT_HS_CONSOLIDATED!$C:$C,MT_HS_CONSOLIDATED!G:G,0,0,1)</f>
        <v/>
      </c>
      <c r="I128" s="7">
        <f>_xlfn.XLOOKUP("InterestReceivedClassifiedAsInvestingActivities",MT_HS_CONSOLIDATED!$C:$C,MT_HS_CONSOLIDATED!H:H,0,0,1)</f>
        <v/>
      </c>
      <c r="J128" s="7">
        <f>_xlfn.XLOOKUP("InterestReceivedClassifiedAsInvestingActivities",MT_HS_CONSOLIDATED!$C:$C,MT_HS_CONSOLIDATED!I:I,0,0,1)</f>
        <v/>
      </c>
    </row>
    <row r="129">
      <c r="D129" s="6" t="inlineStr">
        <is>
          <t>Other inflows (outflows) of cash</t>
        </is>
      </c>
      <c r="E129" s="7">
        <f>_xlfn.XLOOKUP("OtherInflowsOutflowsOfCashClassifiedAsInvestingActivities",MT_HS_CONSOLIDATED!$C:$C,MT_HS_CONSOLIDATED!D:D,0,0,1)</f>
        <v/>
      </c>
      <c r="F129" s="7">
        <f>_xlfn.XLOOKUP("OtherInflowsOutflowsOfCashClassifiedAsInvestingActivities",MT_HS_CONSOLIDATED!$C:$C,MT_HS_CONSOLIDATED!E:E,0,0,1)</f>
        <v/>
      </c>
      <c r="G129" s="7">
        <f>_xlfn.XLOOKUP("OtherInflowsOutflowsOfCashClassifiedAsInvestingActivities",MT_HS_CONSOLIDATED!$C:$C,MT_HS_CONSOLIDATED!F:F,0,0,1)</f>
        <v/>
      </c>
      <c r="H129" s="7">
        <f>_xlfn.XLOOKUP("OtherInflowsOutflowsOfCashClassifiedAsInvestingActivities",MT_HS_CONSOLIDATED!$C:$C,MT_HS_CONSOLIDATED!G:G,0,0,1)</f>
        <v/>
      </c>
      <c r="I129" s="7">
        <f>_xlfn.XLOOKUP("OtherInflowsOutflowsOfCashClassifiedAsInvestingActivities",MT_HS_CONSOLIDATED!$C:$C,MT_HS_CONSOLIDATED!H:H,0,0,1)</f>
        <v/>
      </c>
      <c r="J129" s="7">
        <f>_xlfn.XLOOKUP("OtherInflowsOutflowsOfCashClassifiedAsInvestingActivities",MT_HS_CONSOLIDATED!$C:$C,MT_HS_CONSOLIDATED!I:I,0,0,1)</f>
        <v/>
      </c>
    </row>
    <row r="130">
      <c r="D130" s="8" t="inlineStr">
        <is>
          <t>Net cash flows from (used in) investing activities</t>
        </is>
      </c>
      <c r="E130" s="9">
        <f>IFERROR(SUM(E119:E129),0)</f>
        <v/>
      </c>
      <c r="F130" s="9">
        <f>IFERROR(SUM(F119:F129),0)</f>
        <v/>
      </c>
      <c r="G130" s="9">
        <f>IFERROR(SUM(G119:G129),0)</f>
        <v/>
      </c>
      <c r="H130" s="9">
        <f>IFERROR(SUM(H119:H129),0)</f>
        <v/>
      </c>
      <c r="I130" s="9">
        <f>IFERROR(SUM(I119:I129),0)</f>
        <v/>
      </c>
      <c r="J130" s="9">
        <f>IFERROR(SUM(J119:J129),0)</f>
        <v/>
      </c>
    </row>
    <row r="131">
      <c r="C131" s="5" t="inlineStr">
        <is>
          <t>Cash flows from used in financing activities [Abstract]</t>
        </is>
      </c>
    </row>
    <row r="132">
      <c r="D132" s="6" t="inlineStr">
        <is>
          <t>Proceeds from issuing shares</t>
        </is>
      </c>
      <c r="E132" s="7">
        <f>_xlfn.XLOOKUP("ProceedsFromIssuingSharesClassifiedAsFinancingActivities",MT_HS_CONSOLIDATED!$C:$C,MT_HS_CONSOLIDATED!D:D,0,0,1)</f>
        <v/>
      </c>
      <c r="F132" s="7">
        <f>_xlfn.XLOOKUP("ProceedsFromIssuingSharesClassifiedAsFinancingActivities",MT_HS_CONSOLIDATED!$C:$C,MT_HS_CONSOLIDATED!E:E,0,0,1)</f>
        <v/>
      </c>
      <c r="G132" s="7">
        <f>_xlfn.XLOOKUP("ProceedsFromIssuingSharesClassifiedAsFinancingActivities",MT_HS_CONSOLIDATED!$C:$C,MT_HS_CONSOLIDATED!F:F,0,0,1)</f>
        <v/>
      </c>
      <c r="H132" s="7">
        <f>_xlfn.XLOOKUP("ProceedsFromIssuingSharesClassifiedAsFinancingActivities",MT_HS_CONSOLIDATED!$C:$C,MT_HS_CONSOLIDATED!G:G,0,0,1)</f>
        <v/>
      </c>
      <c r="I132" s="7">
        <f>_xlfn.XLOOKUP("ProceedsFromIssuingSharesClassifiedAsFinancingActivities",MT_HS_CONSOLIDATED!$C:$C,MT_HS_CONSOLIDATED!H:H,0,0,1)</f>
        <v/>
      </c>
      <c r="J132" s="7">
        <f>_xlfn.XLOOKUP("ProceedsFromIssuingSharesClassifiedAsFinancingActivities",MT_HS_CONSOLIDATED!$C:$C,MT_HS_CONSOLIDATED!I:I,0,0,1)</f>
        <v/>
      </c>
    </row>
    <row r="133">
      <c r="D133" s="6" t="inlineStr">
        <is>
          <t>Proceeds from issuing other equity instruments</t>
        </is>
      </c>
      <c r="E133" s="7">
        <f>_xlfn.XLOOKUP("ProceedsFromIssuingOtherEquityInstruments",MT_HS_CONSOLIDATED!$C:$C,MT_HS_CONSOLIDATED!D:D,0,0,1)</f>
        <v/>
      </c>
      <c r="F133" s="7">
        <f>_xlfn.XLOOKUP("ProceedsFromIssuingOtherEquityInstruments",MT_HS_CONSOLIDATED!$C:$C,MT_HS_CONSOLIDATED!E:E,0,0,1)</f>
        <v/>
      </c>
      <c r="G133" s="7">
        <f>_xlfn.XLOOKUP("ProceedsFromIssuingOtherEquityInstruments",MT_HS_CONSOLIDATED!$C:$C,MT_HS_CONSOLIDATED!F:F,0,0,1)</f>
        <v/>
      </c>
      <c r="H133" s="7">
        <f>_xlfn.XLOOKUP("ProceedsFromIssuingOtherEquityInstruments",MT_HS_CONSOLIDATED!$C:$C,MT_HS_CONSOLIDATED!G:G,0,0,1)</f>
        <v/>
      </c>
      <c r="I133" s="7">
        <f>_xlfn.XLOOKUP("ProceedsFromIssuingOtherEquityInstruments",MT_HS_CONSOLIDATED!$C:$C,MT_HS_CONSOLIDATED!H:H,0,0,1)</f>
        <v/>
      </c>
      <c r="J133" s="7">
        <f>_xlfn.XLOOKUP("ProceedsFromIssuingOtherEquityInstruments",MT_HS_CONSOLIDATED!$C:$C,MT_HS_CONSOLIDATED!I:I,0,0,1)</f>
        <v/>
      </c>
    </row>
    <row r="134">
      <c r="D134" s="6" t="inlineStr">
        <is>
          <t>Payments to acquire or redeem entity's shares</t>
        </is>
      </c>
      <c r="E134" s="7">
        <f>-_xlfn.XLOOKUP("PaymentsToAcquireOrRedeemEntitysShares",MT_HS_CONSOLIDATED!$C:$C,MT_HS_CONSOLIDATED!D:D,0,0,1)</f>
        <v/>
      </c>
      <c r="F134" s="7">
        <f>-_xlfn.XLOOKUP("PaymentsToAcquireOrRedeemEntitysShares",MT_HS_CONSOLIDATED!$C:$C,MT_HS_CONSOLIDATED!E:E,0,0,1)</f>
        <v/>
      </c>
      <c r="G134" s="7">
        <f>-_xlfn.XLOOKUP("PaymentsToAcquireOrRedeemEntitysShares",MT_HS_CONSOLIDATED!$C:$C,MT_HS_CONSOLIDATED!F:F,0,0,1)</f>
        <v/>
      </c>
      <c r="H134" s="7">
        <f>-_xlfn.XLOOKUP("PaymentsToAcquireOrRedeemEntitysShares",MT_HS_CONSOLIDATED!$C:$C,MT_HS_CONSOLIDATED!G:G,0,0,1)</f>
        <v/>
      </c>
      <c r="I134" s="7">
        <f>-_xlfn.XLOOKUP("PaymentsToAcquireOrRedeemEntitysShares",MT_HS_CONSOLIDATED!$C:$C,MT_HS_CONSOLIDATED!H:H,0,0,1)</f>
        <v/>
      </c>
      <c r="J134" s="7">
        <f>-_xlfn.XLOOKUP("PaymentsToAcquireOrRedeemEntitysShares",MT_HS_CONSOLIDATED!$C:$C,MT_HS_CONSOLIDATED!I:I,0,0,1)</f>
        <v/>
      </c>
    </row>
    <row r="135">
      <c r="D135" s="6" t="inlineStr">
        <is>
          <t>Proceeds from borrowings</t>
        </is>
      </c>
      <c r="E135" s="7">
        <f>_xlfn.XLOOKUP("ProceedsFromBorrowingsClassifiedAsFinancingActivities",MT_HS_CONSOLIDATED!$C:$C,MT_HS_CONSOLIDATED!D:D,0,0,1)</f>
        <v/>
      </c>
      <c r="F135" s="7">
        <f>_xlfn.XLOOKUP("ProceedsFromBorrowingsClassifiedAsFinancingActivities",MT_HS_CONSOLIDATED!$C:$C,MT_HS_CONSOLIDATED!E:E,0,0,1)</f>
        <v/>
      </c>
      <c r="G135" s="7">
        <f>_xlfn.XLOOKUP("ProceedsFromBorrowingsClassifiedAsFinancingActivities",MT_HS_CONSOLIDATED!$C:$C,MT_HS_CONSOLIDATED!F:F,0,0,1)</f>
        <v/>
      </c>
      <c r="H135" s="7">
        <f>_xlfn.XLOOKUP("ProceedsFromBorrowingsClassifiedAsFinancingActivities",MT_HS_CONSOLIDATED!$C:$C,MT_HS_CONSOLIDATED!G:G,0,0,1)</f>
        <v/>
      </c>
      <c r="I135" s="7">
        <f>_xlfn.XLOOKUP("ProceedsFromBorrowingsClassifiedAsFinancingActivities",MT_HS_CONSOLIDATED!$C:$C,MT_HS_CONSOLIDATED!H:H,0,0,1)</f>
        <v/>
      </c>
      <c r="J135" s="7">
        <f>_xlfn.XLOOKUP("ProceedsFromBorrowingsClassifiedAsFinancingActivities",MT_HS_CONSOLIDATED!$C:$C,MT_HS_CONSOLIDATED!I:I,0,0,1)</f>
        <v/>
      </c>
    </row>
    <row r="136">
      <c r="D136" s="6" t="inlineStr">
        <is>
          <t>Repayments of borrowings</t>
        </is>
      </c>
      <c r="E136" s="7">
        <f>-_xlfn.XLOOKUP("RepaymentsOfBorrowingsClassifiedAsFinancingActivities",MT_HS_CONSOLIDATED!$C:$C,MT_HS_CONSOLIDATED!D:D,0,0,1)</f>
        <v/>
      </c>
      <c r="F136" s="7">
        <f>-_xlfn.XLOOKUP("RepaymentsOfBorrowingsClassifiedAsFinancingActivities",MT_HS_CONSOLIDATED!$C:$C,MT_HS_CONSOLIDATED!E:E,0,0,1)</f>
        <v/>
      </c>
      <c r="G136" s="7">
        <f>-_xlfn.XLOOKUP("RepaymentsOfBorrowingsClassifiedAsFinancingActivities",MT_HS_CONSOLIDATED!$C:$C,MT_HS_CONSOLIDATED!F:F,0,0,1)</f>
        <v/>
      </c>
      <c r="H136" s="7">
        <f>-_xlfn.XLOOKUP("RepaymentsOfBorrowingsClassifiedAsFinancingActivities",MT_HS_CONSOLIDATED!$C:$C,MT_HS_CONSOLIDATED!G:G,0,0,1)</f>
        <v/>
      </c>
      <c r="I136" s="7">
        <f>-_xlfn.XLOOKUP("RepaymentsOfBorrowingsClassifiedAsFinancingActivities",MT_HS_CONSOLIDATED!$C:$C,MT_HS_CONSOLIDATED!H:H,0,0,1)</f>
        <v/>
      </c>
      <c r="J136" s="7">
        <f>-_xlfn.XLOOKUP("RepaymentsOfBorrowingsClassifiedAsFinancingActivities",MT_HS_CONSOLIDATED!$C:$C,MT_HS_CONSOLIDATED!I:I,0,0,1)</f>
        <v/>
      </c>
    </row>
    <row r="137">
      <c r="D137" s="6" t="inlineStr">
        <is>
          <t>Payments of lease liabilities</t>
        </is>
      </c>
      <c r="E137" s="7">
        <f>-_xlfn.XLOOKUP("PaymentsOfLeaseLiabilitiesClassifiedAsFinancingActivities",MT_HS_CONSOLIDATED!$C:$C,MT_HS_CONSOLIDATED!D:D,0,0,1)</f>
        <v/>
      </c>
      <c r="F137" s="7">
        <f>-_xlfn.XLOOKUP("PaymentsOfLeaseLiabilitiesClassifiedAsFinancingActivities",MT_HS_CONSOLIDATED!$C:$C,MT_HS_CONSOLIDATED!E:E,0,0,1)</f>
        <v/>
      </c>
      <c r="G137" s="7">
        <f>-_xlfn.XLOOKUP("PaymentsOfLeaseLiabilitiesClassifiedAsFinancingActivities",MT_HS_CONSOLIDATED!$C:$C,MT_HS_CONSOLIDATED!F:F,0,0,1)</f>
        <v/>
      </c>
      <c r="H137" s="7">
        <f>-_xlfn.XLOOKUP("PaymentsOfLeaseLiabilitiesClassifiedAsFinancingActivities",MT_HS_CONSOLIDATED!$C:$C,MT_HS_CONSOLIDATED!G:G,0,0,1)</f>
        <v/>
      </c>
      <c r="I137" s="7">
        <f>-_xlfn.XLOOKUP("PaymentsOfLeaseLiabilitiesClassifiedAsFinancingActivities",MT_HS_CONSOLIDATED!$C:$C,MT_HS_CONSOLIDATED!H:H,0,0,1)</f>
        <v/>
      </c>
      <c r="J137" s="7">
        <f>-_xlfn.XLOOKUP("PaymentsOfLeaseLiabilitiesClassifiedAsFinancingActivities",MT_HS_CONSOLIDATED!$C:$C,MT_HS_CONSOLIDATED!I:I,0,0,1)</f>
        <v/>
      </c>
    </row>
    <row r="138">
      <c r="D138" s="6" t="inlineStr">
        <is>
          <t>Dividends paid</t>
        </is>
      </c>
      <c r="E138" s="7">
        <f>-_xlfn.XLOOKUP("DividendsPaidClassifiedAsFinancingActivities",MT_HS_CONSOLIDATED!$C:$C,MT_HS_CONSOLIDATED!D:D,0,0,1)</f>
        <v/>
      </c>
      <c r="F138" s="7">
        <f>-_xlfn.XLOOKUP("DividendsPaidClassifiedAsFinancingActivities",MT_HS_CONSOLIDATED!$C:$C,MT_HS_CONSOLIDATED!E:E,0,0,1)</f>
        <v/>
      </c>
      <c r="G138" s="7">
        <f>-_xlfn.XLOOKUP("DividendsPaidClassifiedAsFinancingActivities",MT_HS_CONSOLIDATED!$C:$C,MT_HS_CONSOLIDATED!F:F,0,0,1)</f>
        <v/>
      </c>
      <c r="H138" s="7">
        <f>-_xlfn.XLOOKUP("DividendsPaidClassifiedAsFinancingActivities",MT_HS_CONSOLIDATED!$C:$C,MT_HS_CONSOLIDATED!G:G,0,0,1)</f>
        <v/>
      </c>
      <c r="I138" s="7">
        <f>-_xlfn.XLOOKUP("DividendsPaidClassifiedAsFinancingActivities",MT_HS_CONSOLIDATED!$C:$C,MT_HS_CONSOLIDATED!H:H,0,0,1)</f>
        <v/>
      </c>
      <c r="J138" s="7">
        <f>-_xlfn.XLOOKUP("DividendsPaidClassifiedAsFinancingActivities",MT_HS_CONSOLIDATED!$C:$C,MT_HS_CONSOLIDATED!I:I,0,0,1)</f>
        <v/>
      </c>
    </row>
    <row r="139">
      <c r="D139" s="6" t="inlineStr">
        <is>
          <t>Interest paid</t>
        </is>
      </c>
      <c r="E139" s="7">
        <f>-_xlfn.XLOOKUP("InterestPaidClassifiedAsFinancingActivities",MT_HS_CONSOLIDATED!$C:$C,MT_HS_CONSOLIDATED!D:D,0,0,1)</f>
        <v/>
      </c>
      <c r="F139" s="7">
        <f>-_xlfn.XLOOKUP("InterestPaidClassifiedAsFinancingActivities",MT_HS_CONSOLIDATED!$C:$C,MT_HS_CONSOLIDATED!E:E,0,0,1)</f>
        <v/>
      </c>
      <c r="G139" s="7">
        <f>-_xlfn.XLOOKUP("InterestPaidClassifiedAsFinancingActivities",MT_HS_CONSOLIDATED!$C:$C,MT_HS_CONSOLIDATED!F:F,0,0,1)</f>
        <v/>
      </c>
      <c r="H139" s="7">
        <f>-_xlfn.XLOOKUP("InterestPaidClassifiedAsFinancingActivities",MT_HS_CONSOLIDATED!$C:$C,MT_HS_CONSOLIDATED!G:G,0,0,1)</f>
        <v/>
      </c>
      <c r="I139" s="7">
        <f>-_xlfn.XLOOKUP("InterestPaidClassifiedAsFinancingActivities",MT_HS_CONSOLIDATED!$C:$C,MT_HS_CONSOLIDATED!H:H,0,0,1)</f>
        <v/>
      </c>
      <c r="J139" s="7">
        <f>-_xlfn.XLOOKUP("InterestPaidClassifiedAsFinancingActivities",MT_HS_CONSOLIDATED!$C:$C,MT_HS_CONSOLIDATED!I:I,0,0,1)</f>
        <v/>
      </c>
    </row>
    <row r="140">
      <c r="D140" s="8" t="inlineStr">
        <is>
          <t>Net cash flows from (used in) financing activities</t>
        </is>
      </c>
      <c r="E140" s="9">
        <f>IFERROR(SUM(E132:E139),0)</f>
        <v/>
      </c>
      <c r="F140" s="9">
        <f>IFERROR(SUM(F132:F139),0)</f>
        <v/>
      </c>
      <c r="G140" s="9">
        <f>IFERROR(SUM(G132:G139),0)</f>
        <v/>
      </c>
      <c r="H140" s="9">
        <f>IFERROR(SUM(H132:H139),0)</f>
        <v/>
      </c>
      <c r="I140" s="9">
        <f>IFERROR(SUM(I132:I139),0)</f>
        <v/>
      </c>
      <c r="J140" s="9">
        <f>IFERROR(SUM(J132:J139),0)</f>
        <v/>
      </c>
    </row>
    <row r="141">
      <c r="D141" s="8" t="inlineStr">
        <is>
          <t>Net increase (decrease) in cash and cash equivalents before effect of exchange rate changes</t>
        </is>
      </c>
      <c r="E141" s="9">
        <f>IFERROR(E117+E130+E140,0)</f>
        <v/>
      </c>
      <c r="F141" s="9">
        <f>IFERROR(F117+F130+F140,0)</f>
        <v/>
      </c>
      <c r="G141" s="9">
        <f>IFERROR(G117+G130+G140,0)</f>
        <v/>
      </c>
      <c r="H141" s="9">
        <f>IFERROR(H117+H130+H140,0)</f>
        <v/>
      </c>
      <c r="I141" s="9">
        <f>IFERROR(I117+I130+I140,0)</f>
        <v/>
      </c>
      <c r="J141" s="9">
        <f>IFERROR(J117+J130+J140,0)</f>
        <v/>
      </c>
    </row>
    <row r="142">
      <c r="C142" s="5" t="inlineStr">
        <is>
          <t>Effect of exchange rate changes on cash and cash equivalents</t>
        </is>
      </c>
    </row>
    <row r="143">
      <c r="D143" s="6" t="inlineStr">
        <is>
          <t>Effect of exchange rate changes on cash and cash equivalents</t>
        </is>
      </c>
      <c r="E143" s="7">
        <f>_xlfn.XLOOKUP("EffectOfExchangeRateChangesOnCashAndCashEquivalents",MT_HS_CONSOLIDATED!$C:$C,MT_HS_CONSOLIDATED!D:D,0,0,1)</f>
        <v/>
      </c>
      <c r="F143" s="7">
        <f>_xlfn.XLOOKUP("EffectOfExchangeRateChangesOnCashAndCashEquivalents",MT_HS_CONSOLIDATED!$C:$C,MT_HS_CONSOLIDATED!E:E,0,0,1)</f>
        <v/>
      </c>
      <c r="G143" s="7">
        <f>_xlfn.XLOOKUP("EffectOfExchangeRateChangesOnCashAndCashEquivalents",MT_HS_CONSOLIDATED!$C:$C,MT_HS_CONSOLIDATED!F:F,0,0,1)</f>
        <v/>
      </c>
      <c r="H143" s="7">
        <f>_xlfn.XLOOKUP("EffectOfExchangeRateChangesOnCashAndCashEquivalents",MT_HS_CONSOLIDATED!$C:$C,MT_HS_CONSOLIDATED!G:G,0,0,1)</f>
        <v/>
      </c>
      <c r="I143" s="7">
        <f>_xlfn.XLOOKUP("EffectOfExchangeRateChangesOnCashAndCashEquivalents",MT_HS_CONSOLIDATED!$C:$C,MT_HS_CONSOLIDATED!H:H,0,0,1)</f>
        <v/>
      </c>
      <c r="J143" s="7">
        <f>_xlfn.XLOOKUP("EffectOfExchangeRateChangesOnCashAndCashEquivalents",MT_HS_CONSOLIDATED!$C:$C,MT_HS_CONSOLIDATED!I:I,0,0,1)</f>
        <v/>
      </c>
    </row>
    <row r="144">
      <c r="D144" s="8" t="inlineStr">
        <is>
          <t>Net increase (decrease) in cash and cash equivalents</t>
        </is>
      </c>
      <c r="E144" s="9">
        <f>IFERROR(E141+E143,0)</f>
        <v/>
      </c>
      <c r="F144" s="9">
        <f>IFERROR(F141+F143,0)</f>
        <v/>
      </c>
      <c r="G144" s="9">
        <f>IFERROR(G141+G143,0)</f>
        <v/>
      </c>
      <c r="H144" s="9">
        <f>IFERROR(H141+H143,0)</f>
        <v/>
      </c>
      <c r="I144" s="9">
        <f>IFERROR(I141+I143,0)</f>
        <v/>
      </c>
      <c r="J144" s="9">
        <f>IFERROR(J141+J143,0)</f>
        <v/>
      </c>
    </row>
    <row r="145">
      <c r="D145" s="8" t="inlineStr">
        <is>
          <t>Cash and cash equivalents cash flow statement at beginning of period</t>
        </is>
      </c>
      <c r="E145" s="9">
        <f>IFERROR(E146-E144,0)</f>
        <v/>
      </c>
      <c r="F145" s="9">
        <f>IFERROR(F146-F144,0)</f>
        <v/>
      </c>
      <c r="G145" s="9">
        <f>IFERROR(G146-G144,0)</f>
        <v/>
      </c>
      <c r="H145" s="9">
        <f>IFERROR(H146-H144,0)</f>
        <v/>
      </c>
      <c r="I145" s="9">
        <f>IFERROR(I146-I144,0)</f>
        <v/>
      </c>
      <c r="J145" s="9">
        <f>IFERROR(J146-J144,0)</f>
        <v/>
      </c>
    </row>
    <row r="146">
      <c r="D146" s="6" t="inlineStr">
        <is>
          <t>Cash and cash equivalents cash flow statement at end of period</t>
        </is>
      </c>
      <c r="E146" s="7">
        <f>_xlfn.XLOOKUP("CashAndCashEquivalentsCashFlowStatement",MT_HS_CONSOLIDATED!$C:$C,MT_HS_CONSOLIDATED!D:D,0,0,1)</f>
        <v/>
      </c>
      <c r="F146" s="7">
        <f>_xlfn.XLOOKUP("CashAndCashEquivalentsCashFlowStatement",MT_HS_CONSOLIDATED!$C:$C,MT_HS_CONSOLIDATED!E:E,0,0,1)</f>
        <v/>
      </c>
      <c r="G146" s="7">
        <f>_xlfn.XLOOKUP("CashAndCashEquivalentsCashFlowStatement",MT_HS_CONSOLIDATED!$C:$C,MT_HS_CONSOLIDATED!F:F,0,0,1)</f>
        <v/>
      </c>
      <c r="H146" s="7">
        <f>_xlfn.XLOOKUP("CashAndCashEquivalentsCashFlowStatement",MT_HS_CONSOLIDATED!$C:$C,MT_HS_CONSOLIDATED!G:G,0,0,1)</f>
        <v/>
      </c>
      <c r="I146" s="7">
        <f>_xlfn.XLOOKUP("CashAndCashEquivalentsCashFlowStatement",MT_HS_CONSOLIDATED!$C:$C,MT_HS_CONSOLIDATED!H:H,0,0,1)</f>
        <v/>
      </c>
      <c r="J146" s="7">
        <f>_xlfn.XLOOKUP("CashAndCashEquivalentsCashFlowStatement",MT_HS_CONSOLIDATED!$C:$C,MT_HS_CONSOLIDATED!I:I,0,0,1)</f>
        <v/>
      </c>
    </row>
  </sheetData>
  <mergeCells count="2">
    <mergeCell ref="A1:J1"/>
    <mergeCell ref="A2:J2"/>
  </mergeCells>
  <pageMargins left="0.75" right="0.75" top="1" bottom="1" header="0.5" footer="0.5"/>
</worksheet>
</file>

<file path=xl/worksheets/sheet33.xml><?xml version="1.0" encoding="utf-8"?>
<worksheet xmlns="http://schemas.openxmlformats.org/spreadsheetml/2006/main">
  <sheetPr>
    <tabColor rgb="00B45F06"/>
    <outlinePr summaryBelow="1" summaryRight="1"/>
    <pageSetUpPr/>
  </sheetPr>
  <dimension ref="A1:J144"/>
  <sheetViews>
    <sheetView showGridLines="0" workbookViewId="0">
      <selection activeCell="A1" sqref="A1"/>
    </sheetView>
  </sheetViews>
  <sheetFormatPr baseColWidth="8" defaultRowHeight="14.5"/>
  <cols>
    <col width="1.1796875" customWidth="1" style="203" min="1" max="3"/>
    <col width="55" customWidth="1" style="203" min="4" max="4"/>
    <col width="20" customWidth="1" style="203" min="5" max="10"/>
  </cols>
  <sheetData>
    <row r="1" ht="24" customHeight="1" s="203">
      <c r="A1" s="257" t="inlineStr">
        <is>
          <t>Mindtree  —  Derived Financial Model</t>
        </is>
      </c>
    </row>
    <row r="2">
      <c r="A2" s="258" t="inlineStr">
        <is>
          <t>Green = cross-sheet formula (XLOOKUP against raw data)   |   Black = same-sheet formula (subtotal/total)</t>
        </is>
      </c>
    </row>
    <row r="5" ht="15.5" customHeight="1" s="203">
      <c r="A5" s="2" t="inlineStr">
        <is>
          <t>#</t>
        </is>
      </c>
      <c r="B5" s="3" t="inlineStr">
        <is>
          <t>Statement of Profit and Loss</t>
        </is>
      </c>
      <c r="E5" s="4" t="inlineStr">
        <is>
          <t>FY2017</t>
        </is>
      </c>
      <c r="F5" s="4" t="inlineStr">
        <is>
          <t>FY2018</t>
        </is>
      </c>
      <c r="G5" s="4" t="inlineStr">
        <is>
          <t>FY2019</t>
        </is>
      </c>
      <c r="H5" s="4" t="inlineStr">
        <is>
          <t>FY2020</t>
        </is>
      </c>
      <c r="I5" s="4" t="inlineStr">
        <is>
          <t>FY2021</t>
        </is>
      </c>
      <c r="J5" s="4" t="inlineStr">
        <is>
          <t>FY2022</t>
        </is>
      </c>
    </row>
    <row r="6">
      <c r="B6" s="5" t="inlineStr">
        <is>
          <t>Income [Abstract]</t>
        </is>
      </c>
    </row>
    <row r="7">
      <c r="C7" s="6" t="inlineStr">
        <is>
          <t>Total revenue from operations</t>
        </is>
      </c>
      <c r="E7" s="7">
        <f>_xlfn.XLOOKUP("RevenueFromOperations",MT_HS_STANDALONE!$C:$C,MT_HS_STANDALONE!D:D,0,0,1)</f>
        <v/>
      </c>
      <c r="F7" s="7">
        <f>_xlfn.XLOOKUP("RevenueFromOperations",MT_HS_STANDALONE!$C:$C,MT_HS_STANDALONE!E:E,0,0,1)</f>
        <v/>
      </c>
      <c r="G7" s="7">
        <f>_xlfn.XLOOKUP("RevenueFromOperations",MT_HS_STANDALONE!$C:$C,MT_HS_STANDALONE!F:F,0,0,1)</f>
        <v/>
      </c>
      <c r="H7" s="7">
        <f>_xlfn.XLOOKUP("RevenueFromOperations",MT_HS_STANDALONE!$C:$C,MT_HS_STANDALONE!G:G,0,0,1)</f>
        <v/>
      </c>
      <c r="I7" s="7">
        <f>_xlfn.XLOOKUP("RevenueFromOperations",MT_HS_STANDALONE!$C:$C,MT_HS_STANDALONE!H:H,0,0,1)</f>
        <v/>
      </c>
      <c r="J7" s="7">
        <f>_xlfn.XLOOKUP("RevenueFromOperations",MT_HS_STANDALONE!$C:$C,MT_HS_STANDALONE!I:I,0,0,1)</f>
        <v/>
      </c>
    </row>
    <row r="8">
      <c r="C8" s="6" t="inlineStr">
        <is>
          <t>Total other income</t>
        </is>
      </c>
      <c r="E8" s="7">
        <f>_xlfn.XLOOKUP("OtherIncome",MT_HS_STANDALONE!$C:$C,MT_HS_STANDALONE!D:D,0,0,1)</f>
        <v/>
      </c>
      <c r="F8" s="7">
        <f>_xlfn.XLOOKUP("OtherIncome",MT_HS_STANDALONE!$C:$C,MT_HS_STANDALONE!E:E,0,0,1)</f>
        <v/>
      </c>
      <c r="G8" s="7">
        <f>_xlfn.XLOOKUP("OtherIncome",MT_HS_STANDALONE!$C:$C,MT_HS_STANDALONE!F:F,0,0,1)</f>
        <v/>
      </c>
      <c r="H8" s="7">
        <f>_xlfn.XLOOKUP("OtherIncome",MT_HS_STANDALONE!$C:$C,MT_HS_STANDALONE!G:G,0,0,1)</f>
        <v/>
      </c>
      <c r="I8" s="7">
        <f>_xlfn.XLOOKUP("OtherIncome",MT_HS_STANDALONE!$C:$C,MT_HS_STANDALONE!H:H,0,0,1)</f>
        <v/>
      </c>
      <c r="J8" s="7">
        <f>_xlfn.XLOOKUP("OtherIncome",MT_HS_STANDALONE!$C:$C,MT_HS_STANDALONE!I:I,0,0,1)</f>
        <v/>
      </c>
    </row>
    <row r="9">
      <c r="C9" s="8" t="inlineStr">
        <is>
          <t>Total income</t>
        </is>
      </c>
      <c r="E9" s="9">
        <f>IFERROR(SUM(E7:E8),0)</f>
        <v/>
      </c>
      <c r="F9" s="9">
        <f>IFERROR(SUM(F7:F8),0)</f>
        <v/>
      </c>
      <c r="G9" s="9">
        <f>IFERROR(SUM(G7:G8),0)</f>
        <v/>
      </c>
      <c r="H9" s="9">
        <f>IFERROR(SUM(H7:H8),0)</f>
        <v/>
      </c>
      <c r="I9" s="9">
        <f>IFERROR(SUM(I7:I8),0)</f>
        <v/>
      </c>
      <c r="J9" s="9">
        <f>IFERROR(SUM(J7:J8),0)</f>
        <v/>
      </c>
    </row>
    <row r="10">
      <c r="B10" s="5" t="inlineStr">
        <is>
          <t>COGS</t>
        </is>
      </c>
    </row>
    <row r="11">
      <c r="B11" s="10" t="inlineStr">
        <is>
          <t>Gross Profit</t>
        </is>
      </c>
      <c r="E11" s="11">
        <f>IFERROR(E9,0)</f>
        <v/>
      </c>
      <c r="F11" s="11">
        <f>IFERROR(F9,0)</f>
        <v/>
      </c>
      <c r="G11" s="11">
        <f>IFERROR(G9,0)</f>
        <v/>
      </c>
      <c r="H11" s="11">
        <f>IFERROR(H9,0)</f>
        <v/>
      </c>
      <c r="I11" s="11">
        <f>IFERROR(I9,0)</f>
        <v/>
      </c>
      <c r="J11" s="11">
        <f>IFERROR(J9,0)</f>
        <v/>
      </c>
    </row>
    <row r="12">
      <c r="C12" s="6" t="inlineStr">
        <is>
          <t>SG&amp;A</t>
        </is>
      </c>
      <c r="E12" s="7">
        <f>-_xlfn.XLOOKUP("EmployeeBenefitExpense",MT_HS_STANDALONE!$C:$C,MT_HS_STANDALONE!D:D,0,0,1)-_xlfn.XLOOKUP("ExpenditureOnProductionTransportationAndOtherExpenditurePertainingToExplorationAndProductionActivities",MT_HS_STANDALONE!$C:$C,MT_HS_STANDALONE!D:D,0,0,1)</f>
        <v/>
      </c>
      <c r="F12" s="7">
        <f>-_xlfn.XLOOKUP("EmployeeBenefitExpense",MT_HS_STANDALONE!$C:$C,MT_HS_STANDALONE!E:E,0,0,1)-_xlfn.XLOOKUP("ExpenditureOnProductionTransportationAndOtherExpenditurePertainingToExplorationAndProductionActivities",MT_HS_STANDALONE!$C:$C,MT_HS_STANDALONE!E:E,0,0,1)</f>
        <v/>
      </c>
      <c r="G12" s="7">
        <f>-_xlfn.XLOOKUP("EmployeeBenefitExpense",MT_HS_STANDALONE!$C:$C,MT_HS_STANDALONE!F:F,0,0,1)-_xlfn.XLOOKUP("ExpenditureOnProductionTransportationAndOtherExpenditurePertainingToExplorationAndProductionActivities",MT_HS_STANDALONE!$C:$C,MT_HS_STANDALONE!F:F,0,0,1)</f>
        <v/>
      </c>
      <c r="H12" s="7">
        <f>-_xlfn.XLOOKUP("EmployeeBenefitExpense",MT_HS_STANDALONE!$C:$C,MT_HS_STANDALONE!G:G,0,0,1)-_xlfn.XLOOKUP("ExpenditureOnProductionTransportationAndOtherExpenditurePertainingToExplorationAndProductionActivities",MT_HS_STANDALONE!$C:$C,MT_HS_STANDALONE!G:G,0,0,1)</f>
        <v/>
      </c>
      <c r="I12" s="7">
        <f>-_xlfn.XLOOKUP("EmployeeBenefitExpense",MT_HS_STANDALONE!$C:$C,MT_HS_STANDALONE!H:H,0,0,1)-_xlfn.XLOOKUP("ExpenditureOnProductionTransportationAndOtherExpenditurePertainingToExplorationAndProductionActivities",MT_HS_STANDALONE!$C:$C,MT_HS_STANDALONE!H:H,0,0,1)</f>
        <v/>
      </c>
      <c r="J12" s="7">
        <f>-_xlfn.XLOOKUP("EmployeeBenefitExpense",MT_HS_STANDALONE!$C:$C,MT_HS_STANDALONE!I:I,0,0,1)-_xlfn.XLOOKUP("ExpenditureOnProductionTransportationAndOtherExpenditurePertainingToExplorationAndProductionActivities",MT_HS_STANDALONE!$C:$C,MT_HS_STANDALONE!I:I,0,0,1)</f>
        <v/>
      </c>
    </row>
    <row r="13">
      <c r="C13" s="6" t="inlineStr">
        <is>
          <t>Total other expenses</t>
        </is>
      </c>
      <c r="E13" s="7">
        <f>-_xlfn.XLOOKUP("OtherExpenses",MT_HS_STANDALONE!$C:$C,MT_HS_STANDALONE!D:D,0,0,1)</f>
        <v/>
      </c>
      <c r="F13" s="7">
        <f>-_xlfn.XLOOKUP("OtherExpenses",MT_HS_STANDALONE!$C:$C,MT_HS_STANDALONE!E:E,0,0,1)</f>
        <v/>
      </c>
      <c r="G13" s="7">
        <f>-_xlfn.XLOOKUP("OtherExpenses",MT_HS_STANDALONE!$C:$C,MT_HS_STANDALONE!F:F,0,0,1)</f>
        <v/>
      </c>
      <c r="H13" s="7">
        <f>-_xlfn.XLOOKUP("OtherExpenses",MT_HS_STANDALONE!$C:$C,MT_HS_STANDALONE!G:G,0,0,1)</f>
        <v/>
      </c>
      <c r="I13" s="7">
        <f>-_xlfn.XLOOKUP("OtherExpenses",MT_HS_STANDALONE!$C:$C,MT_HS_STANDALONE!H:H,0,0,1)</f>
        <v/>
      </c>
      <c r="J13" s="7">
        <f>-_xlfn.XLOOKUP("OtherExpenses",MT_HS_STANDALONE!$C:$C,MT_HS_STANDALONE!I:I,0,0,1)</f>
        <v/>
      </c>
    </row>
    <row r="14">
      <c r="B14" s="10" t="inlineStr">
        <is>
          <t>EBITDA</t>
        </is>
      </c>
      <c r="E14" s="11">
        <f>IFERROR(SUM(E11:E13),0)</f>
        <v/>
      </c>
      <c r="F14" s="11">
        <f>IFERROR(SUM(F11:F13),0)</f>
        <v/>
      </c>
      <c r="G14" s="11">
        <f>IFERROR(SUM(G11:G13),0)</f>
        <v/>
      </c>
      <c r="H14" s="11">
        <f>IFERROR(SUM(H11:H13),0)</f>
        <v/>
      </c>
      <c r="I14" s="11">
        <f>IFERROR(SUM(I11:I13),0)</f>
        <v/>
      </c>
      <c r="J14" s="11">
        <f>IFERROR(SUM(J11:J13),0)</f>
        <v/>
      </c>
    </row>
    <row r="15">
      <c r="C15" s="6" t="inlineStr">
        <is>
          <t>D&amp;A</t>
        </is>
      </c>
      <c r="E15" s="7">
        <f>-_xlfn.XLOOKUP("DepreciationDepletionAndAmortisationExpense",MT_HS_STANDALONE!$C:$C,MT_HS_STANDALONE!D:D,0,0,1)</f>
        <v/>
      </c>
      <c r="F15" s="7">
        <f>-_xlfn.XLOOKUP("DepreciationDepletionAndAmortisationExpense",MT_HS_STANDALONE!$C:$C,MT_HS_STANDALONE!E:E,0,0,1)</f>
        <v/>
      </c>
      <c r="G15" s="7">
        <f>-_xlfn.XLOOKUP("DepreciationDepletionAndAmortisationExpense",MT_HS_STANDALONE!$C:$C,MT_HS_STANDALONE!F:F,0,0,1)</f>
        <v/>
      </c>
      <c r="H15" s="7">
        <f>-_xlfn.XLOOKUP("DepreciationDepletionAndAmortisationExpense",MT_HS_STANDALONE!$C:$C,MT_HS_STANDALONE!G:G,0,0,1)</f>
        <v/>
      </c>
      <c r="I15" s="7">
        <f>-_xlfn.XLOOKUP("DepreciationDepletionAndAmortisationExpense",MT_HS_STANDALONE!$C:$C,MT_HS_STANDALONE!H:H,0,0,1)</f>
        <v/>
      </c>
      <c r="J15" s="7">
        <f>-_xlfn.XLOOKUP("DepreciationDepletionAndAmortisationExpense",MT_HS_STANDALONE!$C:$C,MT_HS_STANDALONE!I:I,0,0,1)</f>
        <v/>
      </c>
    </row>
    <row r="16">
      <c r="B16" s="10" t="inlineStr">
        <is>
          <t>EBIT</t>
        </is>
      </c>
      <c r="E16" s="11">
        <f>IFERROR(SUM(E14:E15),0)</f>
        <v/>
      </c>
      <c r="F16" s="11">
        <f>IFERROR(SUM(F14:F15),0)</f>
        <v/>
      </c>
      <c r="G16" s="11">
        <f>IFERROR(SUM(G14:G15),0)</f>
        <v/>
      </c>
      <c r="H16" s="11">
        <f>IFERROR(SUM(H14:H15),0)</f>
        <v/>
      </c>
      <c r="I16" s="11">
        <f>IFERROR(SUM(I14:I15),0)</f>
        <v/>
      </c>
      <c r="J16" s="11">
        <f>IFERROR(SUM(J14:J15),0)</f>
        <v/>
      </c>
    </row>
    <row r="17">
      <c r="C17" s="6" t="inlineStr">
        <is>
          <t>Total finance costs</t>
        </is>
      </c>
      <c r="E17" s="7">
        <f>-_xlfn.XLOOKUP("FinanceCosts",MT_HS_STANDALONE!$C:$C,MT_HS_STANDALONE!D:D,0,0,1)</f>
        <v/>
      </c>
      <c r="F17" s="7">
        <f>-_xlfn.XLOOKUP("FinanceCosts",MT_HS_STANDALONE!$C:$C,MT_HS_STANDALONE!E:E,0,0,1)</f>
        <v/>
      </c>
      <c r="G17" s="7">
        <f>-_xlfn.XLOOKUP("FinanceCosts",MT_HS_STANDALONE!$C:$C,MT_HS_STANDALONE!F:F,0,0,1)</f>
        <v/>
      </c>
      <c r="H17" s="7">
        <f>-_xlfn.XLOOKUP("FinanceCosts",MT_HS_STANDALONE!$C:$C,MT_HS_STANDALONE!G:G,0,0,1)</f>
        <v/>
      </c>
      <c r="I17" s="7">
        <f>-_xlfn.XLOOKUP("FinanceCosts",MT_HS_STANDALONE!$C:$C,MT_HS_STANDALONE!H:H,0,0,1)</f>
        <v/>
      </c>
      <c r="J17" s="7">
        <f>-_xlfn.XLOOKUP("FinanceCosts",MT_HS_STANDALONE!$C:$C,MT_HS_STANDALONE!I:I,0,0,1)</f>
        <v/>
      </c>
    </row>
    <row r="18">
      <c r="B18" s="10" t="inlineStr">
        <is>
          <t>EBT</t>
        </is>
      </c>
      <c r="E18" s="11">
        <f>IFERROR(SUM(E16:E17),0)</f>
        <v/>
      </c>
      <c r="F18" s="11">
        <f>IFERROR(SUM(F16:F17),0)</f>
        <v/>
      </c>
      <c r="G18" s="11">
        <f>IFERROR(SUM(G16:G17),0)</f>
        <v/>
      </c>
      <c r="H18" s="11">
        <f>IFERROR(SUM(H16:H17),0)</f>
        <v/>
      </c>
      <c r="I18" s="11">
        <f>IFERROR(SUM(I16:I17),0)</f>
        <v/>
      </c>
      <c r="J18" s="11">
        <f>IFERROR(SUM(J16:J17),0)</f>
        <v/>
      </c>
    </row>
    <row r="19">
      <c r="C19" s="6" t="inlineStr">
        <is>
          <t>Total current tax</t>
        </is>
      </c>
      <c r="E19" s="7">
        <f>-_xlfn.XLOOKUP("CurrentTax",MT_HS_STANDALONE!$C:$C,MT_HS_STANDALONE!D:D,0,0,1)</f>
        <v/>
      </c>
      <c r="F19" s="7">
        <f>-_xlfn.XLOOKUP("CurrentTax",MT_HS_STANDALONE!$C:$C,MT_HS_STANDALONE!E:E,0,0,1)</f>
        <v/>
      </c>
      <c r="G19" s="7">
        <f>-_xlfn.XLOOKUP("CurrentTax",MT_HS_STANDALONE!$C:$C,MT_HS_STANDALONE!F:F,0,0,1)</f>
        <v/>
      </c>
      <c r="H19" s="7">
        <f>-_xlfn.XLOOKUP("CurrentTax",MT_HS_STANDALONE!$C:$C,MT_HS_STANDALONE!G:G,0,0,1)</f>
        <v/>
      </c>
      <c r="I19" s="7">
        <f>-_xlfn.XLOOKUP("CurrentTax",MT_HS_STANDALONE!$C:$C,MT_HS_STANDALONE!H:H,0,0,1)</f>
        <v/>
      </c>
      <c r="J19" s="7">
        <f>-_xlfn.XLOOKUP("CurrentTax",MT_HS_STANDALONE!$C:$C,MT_HS_STANDALONE!I:I,0,0,1)</f>
        <v/>
      </c>
    </row>
    <row r="20">
      <c r="C20" s="6" t="inlineStr">
        <is>
          <t>Deferred tax</t>
        </is>
      </c>
      <c r="E20" s="7">
        <f>-_xlfn.XLOOKUP("DeferredTax",MT_HS_STANDALONE!$C:$C,MT_HS_STANDALONE!D:D,0,0,1)</f>
        <v/>
      </c>
      <c r="F20" s="7">
        <f>-_xlfn.XLOOKUP("DeferredTax",MT_HS_STANDALONE!$C:$C,MT_HS_STANDALONE!E:E,0,0,1)</f>
        <v/>
      </c>
      <c r="G20" s="7">
        <f>-_xlfn.XLOOKUP("DeferredTax",MT_HS_STANDALONE!$C:$C,MT_HS_STANDALONE!F:F,0,0,1)</f>
        <v/>
      </c>
      <c r="H20" s="7">
        <f>-_xlfn.XLOOKUP("DeferredTax",MT_HS_STANDALONE!$C:$C,MT_HS_STANDALONE!G:G,0,0,1)</f>
        <v/>
      </c>
      <c r="I20" s="7">
        <f>-_xlfn.XLOOKUP("DeferredTax",MT_HS_STANDALONE!$C:$C,MT_HS_STANDALONE!H:H,0,0,1)</f>
        <v/>
      </c>
      <c r="J20" s="7">
        <f>-_xlfn.XLOOKUP("DeferredTax",MT_HS_STANDALONE!$C:$C,MT_HS_STANDALONE!I:I,0,0,1)</f>
        <v/>
      </c>
    </row>
    <row r="21">
      <c r="C21" s="8" t="inlineStr">
        <is>
          <t>Total tax expense</t>
        </is>
      </c>
      <c r="E21" s="9">
        <f>IFERROR(SUM(E19:E20),0)</f>
        <v/>
      </c>
      <c r="F21" s="9">
        <f>IFERROR(SUM(F19:F20),0)</f>
        <v/>
      </c>
      <c r="G21" s="9">
        <f>IFERROR(SUM(G19:G20),0)</f>
        <v/>
      </c>
      <c r="H21" s="9">
        <f>IFERROR(SUM(H19:H20),0)</f>
        <v/>
      </c>
      <c r="I21" s="9">
        <f>IFERROR(SUM(I19:I20),0)</f>
        <v/>
      </c>
      <c r="J21" s="9">
        <f>IFERROR(SUM(J19:J20),0)</f>
        <v/>
      </c>
    </row>
    <row r="22">
      <c r="B22" s="10" t="inlineStr">
        <is>
          <t>NETINCOME</t>
        </is>
      </c>
      <c r="E22" s="11">
        <f>IFERROR(E21+E18,0)</f>
        <v/>
      </c>
      <c r="F22" s="11">
        <f>IFERROR(F21+F18,0)</f>
        <v/>
      </c>
      <c r="G22" s="11">
        <f>IFERROR(G21+G18,0)</f>
        <v/>
      </c>
      <c r="H22" s="11">
        <f>IFERROR(H21+H18,0)</f>
        <v/>
      </c>
      <c r="I22" s="11">
        <f>IFERROR(I21+I18,0)</f>
        <v/>
      </c>
      <c r="J22" s="11">
        <f>IFERROR(J21+J18,0)</f>
        <v/>
      </c>
    </row>
    <row r="23" ht="15.5" customHeight="1" s="203">
      <c r="A23" s="2" t="inlineStr">
        <is>
          <t>#</t>
        </is>
      </c>
      <c r="B23" s="3" t="inlineStr">
        <is>
          <t>Balance Sheet</t>
        </is>
      </c>
    </row>
    <row r="24">
      <c r="B24" s="5" t="inlineStr">
        <is>
          <t>Assets [Abstract]</t>
        </is>
      </c>
    </row>
    <row r="25">
      <c r="B25" s="5" t="inlineStr">
        <is>
          <t>Non-current assets [Abstract]</t>
        </is>
      </c>
    </row>
    <row r="26">
      <c r="C26" s="5" t="inlineStr">
        <is>
          <t>Operating</t>
        </is>
      </c>
    </row>
    <row r="27">
      <c r="D27" s="6" t="inlineStr">
        <is>
          <t>Property, plant and equipment at end of period</t>
        </is>
      </c>
      <c r="E27" s="7">
        <f>_xlfn.XLOOKUP("PropertyPlantAndEquipment",MT_HS_STANDALONE!$C:$C,MT_HS_STANDALONE!D:D,0,0,1)</f>
        <v/>
      </c>
      <c r="F27" s="7">
        <f>_xlfn.XLOOKUP("PropertyPlantAndEquipment",MT_HS_STANDALONE!$C:$C,MT_HS_STANDALONE!E:E,0,0,1)</f>
        <v/>
      </c>
      <c r="G27" s="7">
        <f>_xlfn.XLOOKUP("PropertyPlantAndEquipment",MT_HS_STANDALONE!$C:$C,MT_HS_STANDALONE!F:F,0,0,1)</f>
        <v/>
      </c>
      <c r="H27" s="7">
        <f>_xlfn.XLOOKUP("PropertyPlantAndEquipment",MT_HS_STANDALONE!$C:$C,MT_HS_STANDALONE!G:G,0,0,1)</f>
        <v/>
      </c>
      <c r="I27" s="7">
        <f>_xlfn.XLOOKUP("PropertyPlantAndEquipment",MT_HS_STANDALONE!$C:$C,MT_HS_STANDALONE!H:H,0,0,1)</f>
        <v/>
      </c>
      <c r="J27" s="7">
        <f>_xlfn.XLOOKUP("PropertyPlantAndEquipment",MT_HS_STANDALONE!$C:$C,MT_HS_STANDALONE!I:I,0,0,1)</f>
        <v/>
      </c>
    </row>
    <row r="28">
      <c r="D28" s="6" t="inlineStr">
        <is>
          <t>Capital work-in-progress</t>
        </is>
      </c>
      <c r="E28" s="7">
        <f>_xlfn.XLOOKUP("CapitalWorkInProgress",MT_HS_STANDALONE!$C:$C,MT_HS_STANDALONE!D:D,0,0,1)</f>
        <v/>
      </c>
      <c r="F28" s="7">
        <f>_xlfn.XLOOKUP("CapitalWorkInProgress",MT_HS_STANDALONE!$C:$C,MT_HS_STANDALONE!E:E,0,0,1)</f>
        <v/>
      </c>
      <c r="G28" s="7">
        <f>_xlfn.XLOOKUP("CapitalWorkInProgress",MT_HS_STANDALONE!$C:$C,MT_HS_STANDALONE!F:F,0,0,1)</f>
        <v/>
      </c>
      <c r="H28" s="7">
        <f>_xlfn.XLOOKUP("CapitalWorkInProgress",MT_HS_STANDALONE!$C:$C,MT_HS_STANDALONE!G:G,0,0,1)</f>
        <v/>
      </c>
      <c r="I28" s="7">
        <f>_xlfn.XLOOKUP("CapitalWorkInProgress",MT_HS_STANDALONE!$C:$C,MT_HS_STANDALONE!H:H,0,0,1)</f>
        <v/>
      </c>
      <c r="J28" s="7">
        <f>_xlfn.XLOOKUP("CapitalWorkInProgress",MT_HS_STANDALONE!$C:$C,MT_HS_STANDALONE!I:I,0,0,1)</f>
        <v/>
      </c>
    </row>
    <row r="29">
      <c r="D29" s="6" t="inlineStr">
        <is>
          <t>Goodwill at end of period</t>
        </is>
      </c>
      <c r="E29" s="7">
        <f>_xlfn.XLOOKUP("Goodwill",MT_HS_STANDALONE!$C:$C,MT_HS_STANDALONE!D:D,0,0,1)</f>
        <v/>
      </c>
      <c r="F29" s="7">
        <f>_xlfn.XLOOKUP("Goodwill",MT_HS_STANDALONE!$C:$C,MT_HS_STANDALONE!E:E,0,0,1)</f>
        <v/>
      </c>
      <c r="G29" s="7">
        <f>_xlfn.XLOOKUP("Goodwill",MT_HS_STANDALONE!$C:$C,MT_HS_STANDALONE!F:F,0,0,1)</f>
        <v/>
      </c>
      <c r="H29" s="7">
        <f>_xlfn.XLOOKUP("Goodwill",MT_HS_STANDALONE!$C:$C,MT_HS_STANDALONE!G:G,0,0,1)</f>
        <v/>
      </c>
      <c r="I29" s="7">
        <f>_xlfn.XLOOKUP("Goodwill",MT_HS_STANDALONE!$C:$C,MT_HS_STANDALONE!H:H,0,0,1)</f>
        <v/>
      </c>
      <c r="J29" s="7">
        <f>_xlfn.XLOOKUP("Goodwill",MT_HS_STANDALONE!$C:$C,MT_HS_STANDALONE!I:I,0,0,1)</f>
        <v/>
      </c>
    </row>
    <row r="30">
      <c r="D30" s="6" t="inlineStr">
        <is>
          <t>Other intangible assets at end of period</t>
        </is>
      </c>
      <c r="E30" s="7">
        <f>_xlfn.XLOOKUP("OtherIntangibleAssets",MT_HS_STANDALONE!$C:$C,MT_HS_STANDALONE!D:D,0,0,1)</f>
        <v/>
      </c>
      <c r="F30" s="7">
        <f>_xlfn.XLOOKUP("OtherIntangibleAssets",MT_HS_STANDALONE!$C:$C,MT_HS_STANDALONE!E:E,0,0,1)</f>
        <v/>
      </c>
      <c r="G30" s="7">
        <f>_xlfn.XLOOKUP("OtherIntangibleAssets",MT_HS_STANDALONE!$C:$C,MT_HS_STANDALONE!F:F,0,0,1)</f>
        <v/>
      </c>
      <c r="H30" s="7">
        <f>_xlfn.XLOOKUP("OtherIntangibleAssets",MT_HS_STANDALONE!$C:$C,MT_HS_STANDALONE!G:G,0,0,1)</f>
        <v/>
      </c>
      <c r="I30" s="7">
        <f>_xlfn.XLOOKUP("OtherIntangibleAssets",MT_HS_STANDALONE!$C:$C,MT_HS_STANDALONE!H:H,0,0,1)</f>
        <v/>
      </c>
      <c r="J30" s="7">
        <f>_xlfn.XLOOKUP("OtherIntangibleAssets",MT_HS_STANDALONE!$C:$C,MT_HS_STANDALONE!I:I,0,0,1)</f>
        <v/>
      </c>
    </row>
    <row r="31">
      <c r="D31" s="6" t="inlineStr">
        <is>
          <t>Total other non-current assets</t>
        </is>
      </c>
      <c r="E31" s="7">
        <f>_xlfn.XLOOKUP("OtherNoncurrentAssets",MT_HS_STANDALONE!$C:$C,MT_HS_STANDALONE!D:D,0,0,1)</f>
        <v/>
      </c>
      <c r="F31" s="7">
        <f>_xlfn.XLOOKUP("OtherNoncurrentAssets",MT_HS_STANDALONE!$C:$C,MT_HS_STANDALONE!E:E,0,0,1)</f>
        <v/>
      </c>
      <c r="G31" s="7">
        <f>_xlfn.XLOOKUP("OtherNoncurrentAssets",MT_HS_STANDALONE!$C:$C,MT_HS_STANDALONE!F:F,0,0,1)</f>
        <v/>
      </c>
      <c r="H31" s="7">
        <f>_xlfn.XLOOKUP("OtherNoncurrentAssets",MT_HS_STANDALONE!$C:$C,MT_HS_STANDALONE!G:G,0,0,1)</f>
        <v/>
      </c>
      <c r="I31" s="7">
        <f>_xlfn.XLOOKUP("OtherNoncurrentAssets",MT_HS_STANDALONE!$C:$C,MT_HS_STANDALONE!H:H,0,0,1)</f>
        <v/>
      </c>
      <c r="J31" s="7">
        <f>_xlfn.XLOOKUP("OtherNoncurrentAssets",MT_HS_STANDALONE!$C:$C,MT_HS_STANDALONE!I:I,0,0,1)</f>
        <v/>
      </c>
    </row>
    <row r="32">
      <c r="C32" s="8" t="inlineStr">
        <is>
          <t>Total Operating</t>
        </is>
      </c>
      <c r="E32" s="9">
        <f>IFERROR(SUM(E27:E31),0)</f>
        <v/>
      </c>
      <c r="F32" s="9">
        <f>IFERROR(SUM(F27:F31),0)</f>
        <v/>
      </c>
      <c r="G32" s="9">
        <f>IFERROR(SUM(G27:G31),0)</f>
        <v/>
      </c>
      <c r="H32" s="9">
        <f>IFERROR(SUM(H27:H31),0)</f>
        <v/>
      </c>
      <c r="I32" s="9">
        <f>IFERROR(SUM(I27:I31),0)</f>
        <v/>
      </c>
      <c r="J32" s="9">
        <f>IFERROR(SUM(J27:J31),0)</f>
        <v/>
      </c>
    </row>
    <row r="33">
      <c r="C33" s="5" t="inlineStr">
        <is>
          <t>Non-Operating</t>
        </is>
      </c>
    </row>
    <row r="34">
      <c r="D34" s="6" t="inlineStr">
        <is>
          <t>Non-current investments</t>
        </is>
      </c>
      <c r="E34" s="7">
        <f>_xlfn.XLOOKUP("NoncurrentInvestments",MT_HS_STANDALONE!$C:$C,MT_HS_STANDALONE!D:D,0,0,1)</f>
        <v/>
      </c>
      <c r="F34" s="7">
        <f>_xlfn.XLOOKUP("NoncurrentInvestments",MT_HS_STANDALONE!$C:$C,MT_HS_STANDALONE!E:E,0,0,1)</f>
        <v/>
      </c>
      <c r="G34" s="7">
        <f>_xlfn.XLOOKUP("NoncurrentInvestments",MT_HS_STANDALONE!$C:$C,MT_HS_STANDALONE!F:F,0,0,1)</f>
        <v/>
      </c>
      <c r="H34" s="7">
        <f>_xlfn.XLOOKUP("NoncurrentInvestments",MT_HS_STANDALONE!$C:$C,MT_HS_STANDALONE!G:G,0,0,1)</f>
        <v/>
      </c>
      <c r="I34" s="7">
        <f>_xlfn.XLOOKUP("NoncurrentInvestments",MT_HS_STANDALONE!$C:$C,MT_HS_STANDALONE!H:H,0,0,1)</f>
        <v/>
      </c>
      <c r="J34" s="7">
        <f>_xlfn.XLOOKUP("NoncurrentInvestments",MT_HS_STANDALONE!$C:$C,MT_HS_STANDALONE!I:I,0,0,1)</f>
        <v/>
      </c>
    </row>
    <row r="35">
      <c r="D35" s="6" t="inlineStr">
        <is>
          <t>Loans, non-current</t>
        </is>
      </c>
      <c r="E35" s="7">
        <f>_xlfn.XLOOKUP("LoansNoncurrent",MT_HS_STANDALONE!$C:$C,MT_HS_STANDALONE!D:D,0,0,1)</f>
        <v/>
      </c>
      <c r="F35" s="7">
        <f>_xlfn.XLOOKUP("LoansNoncurrent",MT_HS_STANDALONE!$C:$C,MT_HS_STANDALONE!E:E,0,0,1)</f>
        <v/>
      </c>
      <c r="G35" s="7">
        <f>_xlfn.XLOOKUP("LoansNoncurrent",MT_HS_STANDALONE!$C:$C,MT_HS_STANDALONE!F:F,0,0,1)</f>
        <v/>
      </c>
      <c r="H35" s="7">
        <f>_xlfn.XLOOKUP("LoansNoncurrent",MT_HS_STANDALONE!$C:$C,MT_HS_STANDALONE!G:G,0,0,1)</f>
        <v/>
      </c>
      <c r="I35" s="7">
        <f>_xlfn.XLOOKUP("LoansNoncurrent",MT_HS_STANDALONE!$C:$C,MT_HS_STANDALONE!H:H,0,0,1)</f>
        <v/>
      </c>
      <c r="J35" s="7">
        <f>_xlfn.XLOOKUP("LoansNoncurrent",MT_HS_STANDALONE!$C:$C,MT_HS_STANDALONE!I:I,0,0,1)</f>
        <v/>
      </c>
    </row>
    <row r="36">
      <c r="D36" s="6" t="inlineStr">
        <is>
          <t>Total other non-current financial assets</t>
        </is>
      </c>
      <c r="E36" s="7">
        <f>_xlfn.XLOOKUP("OtherNoncurrentFinancialAssets",MT_HS_STANDALONE!$C:$C,MT_HS_STANDALONE!D:D,0,0,1)</f>
        <v/>
      </c>
      <c r="F36" s="7">
        <f>_xlfn.XLOOKUP("OtherNoncurrentFinancialAssets",MT_HS_STANDALONE!$C:$C,MT_HS_STANDALONE!E:E,0,0,1)</f>
        <v/>
      </c>
      <c r="G36" s="7">
        <f>_xlfn.XLOOKUP("OtherNoncurrentFinancialAssets",MT_HS_STANDALONE!$C:$C,MT_HS_STANDALONE!F:F,0,0,1)</f>
        <v/>
      </c>
      <c r="H36" s="7">
        <f>_xlfn.XLOOKUP("OtherNoncurrentFinancialAssets",MT_HS_STANDALONE!$C:$C,MT_HS_STANDALONE!G:G,0,0,1)</f>
        <v/>
      </c>
      <c r="I36" s="7">
        <f>_xlfn.XLOOKUP("OtherNoncurrentFinancialAssets",MT_HS_STANDALONE!$C:$C,MT_HS_STANDALONE!H:H,0,0,1)</f>
        <v/>
      </c>
      <c r="J36" s="7">
        <f>_xlfn.XLOOKUP("OtherNoncurrentFinancialAssets",MT_HS_STANDALONE!$C:$C,MT_HS_STANDALONE!I:I,0,0,1)</f>
        <v/>
      </c>
    </row>
    <row r="37">
      <c r="D37" s="6" t="inlineStr">
        <is>
          <t>Deferred tax assets (net)</t>
        </is>
      </c>
      <c r="E37" s="7">
        <f>_xlfn.XLOOKUP("DeferredTaxAssetsNet",MT_HS_STANDALONE!$C:$C,MT_HS_STANDALONE!D:D,0,0,1)</f>
        <v/>
      </c>
      <c r="F37" s="7">
        <f>_xlfn.XLOOKUP("DeferredTaxAssetsNet",MT_HS_STANDALONE!$C:$C,MT_HS_STANDALONE!E:E,0,0,1)</f>
        <v/>
      </c>
      <c r="G37" s="7">
        <f>_xlfn.XLOOKUP("DeferredTaxAssetsNet",MT_HS_STANDALONE!$C:$C,MT_HS_STANDALONE!F:F,0,0,1)</f>
        <v/>
      </c>
      <c r="H37" s="7">
        <f>_xlfn.XLOOKUP("DeferredTaxAssetsNet",MT_HS_STANDALONE!$C:$C,MT_HS_STANDALONE!G:G,0,0,1)</f>
        <v/>
      </c>
      <c r="I37" s="7">
        <f>_xlfn.XLOOKUP("DeferredTaxAssetsNet",MT_HS_STANDALONE!$C:$C,MT_HS_STANDALONE!H:H,0,0,1)</f>
        <v/>
      </c>
      <c r="J37" s="7">
        <f>_xlfn.XLOOKUP("DeferredTaxAssetsNet",MT_HS_STANDALONE!$C:$C,MT_HS_STANDALONE!I:I,0,0,1)</f>
        <v/>
      </c>
    </row>
    <row r="38">
      <c r="C38" s="8" t="inlineStr">
        <is>
          <t>Total Non-Operating</t>
        </is>
      </c>
      <c r="E38" s="9">
        <f>IFERROR(SUM(E34:E37),0)</f>
        <v/>
      </c>
      <c r="F38" s="9">
        <f>IFERROR(SUM(F34:F37),0)</f>
        <v/>
      </c>
      <c r="G38" s="9">
        <f>IFERROR(SUM(G34:G37),0)</f>
        <v/>
      </c>
      <c r="H38" s="9">
        <f>IFERROR(SUM(H34:H37),0)</f>
        <v/>
      </c>
      <c r="I38" s="9">
        <f>IFERROR(SUM(I34:I37),0)</f>
        <v/>
      </c>
      <c r="J38" s="9">
        <f>IFERROR(SUM(J34:J37),0)</f>
        <v/>
      </c>
    </row>
    <row r="39">
      <c r="C39" s="6" t="inlineStr">
        <is>
          <t>Total non-current financial assets</t>
        </is>
      </c>
      <c r="E39" s="7">
        <f>_xlfn.XLOOKUP("NoncurrentFinancialAssets",MT_HS_STANDALONE!$C:$C,MT_HS_STANDALONE!D:D,0,0,1)</f>
        <v/>
      </c>
      <c r="F39" s="7">
        <f>_xlfn.XLOOKUP("NoncurrentFinancialAssets",MT_HS_STANDALONE!$C:$C,MT_HS_STANDALONE!E:E,0,0,1)</f>
        <v/>
      </c>
      <c r="G39" s="7">
        <f>_xlfn.XLOOKUP("NoncurrentFinancialAssets",MT_HS_STANDALONE!$C:$C,MT_HS_STANDALONE!F:F,0,0,1)</f>
        <v/>
      </c>
      <c r="H39" s="7">
        <f>_xlfn.XLOOKUP("NoncurrentFinancialAssets",MT_HS_STANDALONE!$C:$C,MT_HS_STANDALONE!G:G,0,0,1)</f>
        <v/>
      </c>
      <c r="I39" s="7">
        <f>_xlfn.XLOOKUP("NoncurrentFinancialAssets",MT_HS_STANDALONE!$C:$C,MT_HS_STANDALONE!H:H,0,0,1)</f>
        <v/>
      </c>
      <c r="J39" s="7">
        <f>_xlfn.XLOOKUP("NoncurrentFinancialAssets",MT_HS_STANDALONE!$C:$C,MT_HS_STANDALONE!I:I,0,0,1)</f>
        <v/>
      </c>
    </row>
    <row r="40">
      <c r="B40" s="10" t="inlineStr">
        <is>
          <t>Total Non-Current Assets</t>
        </is>
      </c>
      <c r="E40" s="11">
        <f>IFERROR(E38+E32,0)</f>
        <v/>
      </c>
      <c r="F40" s="11">
        <f>IFERROR(F38+F32,0)</f>
        <v/>
      </c>
      <c r="G40" s="11">
        <f>IFERROR(G38+G32,0)</f>
        <v/>
      </c>
      <c r="H40" s="11">
        <f>IFERROR(H38+H32,0)</f>
        <v/>
      </c>
      <c r="I40" s="11">
        <f>IFERROR(I38+I32,0)</f>
        <v/>
      </c>
      <c r="J40" s="11">
        <f>IFERROR(J38+J32,0)</f>
        <v/>
      </c>
    </row>
    <row r="41">
      <c r="B41" s="5" t="inlineStr">
        <is>
          <t>Current Assets</t>
        </is>
      </c>
    </row>
    <row r="42">
      <c r="C42" s="5" t="inlineStr">
        <is>
          <t>Operating</t>
        </is>
      </c>
    </row>
    <row r="43">
      <c r="D43" s="6" t="inlineStr">
        <is>
          <t>Inventories</t>
        </is>
      </c>
      <c r="E43" s="7">
        <f>_xlfn.XLOOKUP("Inventories",MT_HS_STANDALONE!$C:$C,MT_HS_STANDALONE!D:D,0,0,1)</f>
        <v/>
      </c>
      <c r="F43" s="7">
        <f>_xlfn.XLOOKUP("Inventories",MT_HS_STANDALONE!$C:$C,MT_HS_STANDALONE!E:E,0,0,1)</f>
        <v/>
      </c>
      <c r="G43" s="7">
        <f>_xlfn.XLOOKUP("Inventories",MT_HS_STANDALONE!$C:$C,MT_HS_STANDALONE!F:F,0,0,1)</f>
        <v/>
      </c>
      <c r="H43" s="7">
        <f>_xlfn.XLOOKUP("Inventories",MT_HS_STANDALONE!$C:$C,MT_HS_STANDALONE!G:G,0,0,1)</f>
        <v/>
      </c>
      <c r="I43" s="7">
        <f>_xlfn.XLOOKUP("Inventories",MT_HS_STANDALONE!$C:$C,MT_HS_STANDALONE!H:H,0,0,1)</f>
        <v/>
      </c>
      <c r="J43" s="7">
        <f>_xlfn.XLOOKUP("Inventories",MT_HS_STANDALONE!$C:$C,MT_HS_STANDALONE!I:I,0,0,1)</f>
        <v/>
      </c>
    </row>
    <row r="44">
      <c r="D44" s="6" t="inlineStr">
        <is>
          <t>Trade receivables, current</t>
        </is>
      </c>
      <c r="E44" s="7">
        <f>_xlfn.XLOOKUP("TradeReceivablesCurrent",MT_HS_STANDALONE!$C:$C,MT_HS_STANDALONE!D:D,0,0,1)</f>
        <v/>
      </c>
      <c r="F44" s="7">
        <f>_xlfn.XLOOKUP("TradeReceivablesCurrent",MT_HS_STANDALONE!$C:$C,MT_HS_STANDALONE!E:E,0,0,1)</f>
        <v/>
      </c>
      <c r="G44" s="7">
        <f>_xlfn.XLOOKUP("TradeReceivablesCurrent",MT_HS_STANDALONE!$C:$C,MT_HS_STANDALONE!F:F,0,0,1)</f>
        <v/>
      </c>
      <c r="H44" s="7">
        <f>_xlfn.XLOOKUP("TradeReceivablesCurrent",MT_HS_STANDALONE!$C:$C,MT_HS_STANDALONE!G:G,0,0,1)</f>
        <v/>
      </c>
      <c r="I44" s="7">
        <f>_xlfn.XLOOKUP("TradeReceivablesCurrent",MT_HS_STANDALONE!$C:$C,MT_HS_STANDALONE!H:H,0,0,1)</f>
        <v/>
      </c>
      <c r="J44" s="7">
        <f>_xlfn.XLOOKUP("TradeReceivablesCurrent",MT_HS_STANDALONE!$C:$C,MT_HS_STANDALONE!I:I,0,0,1)</f>
        <v/>
      </c>
    </row>
    <row r="45">
      <c r="D45" s="6" t="inlineStr">
        <is>
          <t>Total other current assets</t>
        </is>
      </c>
      <c r="E45" s="7">
        <f>_xlfn.XLOOKUP("OtherCurrentAssets",MT_HS_STANDALONE!$C:$C,MT_HS_STANDALONE!D:D,0,0,1)</f>
        <v/>
      </c>
      <c r="F45" s="7">
        <f>_xlfn.XLOOKUP("OtherCurrentAssets",MT_HS_STANDALONE!$C:$C,MT_HS_STANDALONE!E:E,0,0,1)</f>
        <v/>
      </c>
      <c r="G45" s="7">
        <f>_xlfn.XLOOKUP("OtherCurrentAssets",MT_HS_STANDALONE!$C:$C,MT_HS_STANDALONE!F:F,0,0,1)</f>
        <v/>
      </c>
      <c r="H45" s="7">
        <f>_xlfn.XLOOKUP("OtherCurrentAssets",MT_HS_STANDALONE!$C:$C,MT_HS_STANDALONE!G:G,0,0,1)</f>
        <v/>
      </c>
      <c r="I45" s="7">
        <f>_xlfn.XLOOKUP("OtherCurrentAssets",MT_HS_STANDALONE!$C:$C,MT_HS_STANDALONE!H:H,0,0,1)</f>
        <v/>
      </c>
      <c r="J45" s="7">
        <f>_xlfn.XLOOKUP("OtherCurrentAssets",MT_HS_STANDALONE!$C:$C,MT_HS_STANDALONE!I:I,0,0,1)</f>
        <v/>
      </c>
    </row>
    <row r="46">
      <c r="C46" s="8" t="inlineStr">
        <is>
          <t>Total Operating</t>
        </is>
      </c>
      <c r="E46" s="9">
        <f>IFERROR(SUM(E43:E45),0)</f>
        <v/>
      </c>
      <c r="F46" s="9">
        <f>IFERROR(SUM(F43:F45),0)</f>
        <v/>
      </c>
      <c r="G46" s="9">
        <f>IFERROR(SUM(G43:G45),0)</f>
        <v/>
      </c>
      <c r="H46" s="9">
        <f>IFERROR(SUM(H43:H45),0)</f>
        <v/>
      </c>
      <c r="I46" s="9">
        <f>IFERROR(SUM(I43:I45),0)</f>
        <v/>
      </c>
      <c r="J46" s="9">
        <f>IFERROR(SUM(J43:J45),0)</f>
        <v/>
      </c>
    </row>
    <row r="47">
      <c r="C47" s="5" t="inlineStr">
        <is>
          <t>Non-Operating</t>
        </is>
      </c>
    </row>
    <row r="48">
      <c r="D48" s="6" t="inlineStr">
        <is>
          <t>Current investments</t>
        </is>
      </c>
      <c r="E48" s="7">
        <f>_xlfn.XLOOKUP("CurrentInvestments",MT_HS_STANDALONE!$C:$C,MT_HS_STANDALONE!D:D,0,0,1)</f>
        <v/>
      </c>
      <c r="F48" s="7">
        <f>_xlfn.XLOOKUP("CurrentInvestments",MT_HS_STANDALONE!$C:$C,MT_HS_STANDALONE!E:E,0,0,1)</f>
        <v/>
      </c>
      <c r="G48" s="7">
        <f>_xlfn.XLOOKUP("CurrentInvestments",MT_HS_STANDALONE!$C:$C,MT_HS_STANDALONE!F:F,0,0,1)</f>
        <v/>
      </c>
      <c r="H48" s="7">
        <f>_xlfn.XLOOKUP("CurrentInvestments",MT_HS_STANDALONE!$C:$C,MT_HS_STANDALONE!G:G,0,0,1)</f>
        <v/>
      </c>
      <c r="I48" s="7">
        <f>_xlfn.XLOOKUP("CurrentInvestments",MT_HS_STANDALONE!$C:$C,MT_HS_STANDALONE!H:H,0,0,1)</f>
        <v/>
      </c>
      <c r="J48" s="7">
        <f>_xlfn.XLOOKUP("CurrentInvestments",MT_HS_STANDALONE!$C:$C,MT_HS_STANDALONE!I:I,0,0,1)</f>
        <v/>
      </c>
    </row>
    <row r="49">
      <c r="D49" s="6" t="inlineStr">
        <is>
          <t>Cash and cash equivalents at end of period</t>
        </is>
      </c>
      <c r="E49" s="7">
        <f>_xlfn.XLOOKUP("CashAndCashEquivalents",MT_HS_STANDALONE!$C:$C,MT_HS_STANDALONE!D:D,0,0,1)</f>
        <v/>
      </c>
      <c r="F49" s="7">
        <f>_xlfn.XLOOKUP("CashAndCashEquivalents",MT_HS_STANDALONE!$C:$C,MT_HS_STANDALONE!E:E,0,0,1)</f>
        <v/>
      </c>
      <c r="G49" s="7">
        <f>_xlfn.XLOOKUP("CashAndCashEquivalents",MT_HS_STANDALONE!$C:$C,MT_HS_STANDALONE!F:F,0,0,1)</f>
        <v/>
      </c>
      <c r="H49" s="7">
        <f>_xlfn.XLOOKUP("CashAndCashEquivalents",MT_HS_STANDALONE!$C:$C,MT_HS_STANDALONE!G:G,0,0,1)</f>
        <v/>
      </c>
      <c r="I49" s="7">
        <f>_xlfn.XLOOKUP("CashAndCashEquivalents",MT_HS_STANDALONE!$C:$C,MT_HS_STANDALONE!H:H,0,0,1)</f>
        <v/>
      </c>
      <c r="J49" s="7">
        <f>_xlfn.XLOOKUP("CashAndCashEquivalents",MT_HS_STANDALONE!$C:$C,MT_HS_STANDALONE!I:I,0,0,1)</f>
        <v/>
      </c>
    </row>
    <row r="50">
      <c r="D50" s="6" t="inlineStr">
        <is>
          <t>Bank balance other than cash and cash equivalents</t>
        </is>
      </c>
      <c r="E50" s="7">
        <f>_xlfn.XLOOKUP("BankBalanceOtherThanCashAndCashEquivalents",MT_HS_STANDALONE!$C:$C,MT_HS_STANDALONE!D:D,0,0,1)</f>
        <v/>
      </c>
      <c r="F50" s="7">
        <f>_xlfn.XLOOKUP("BankBalanceOtherThanCashAndCashEquivalents",MT_HS_STANDALONE!$C:$C,MT_HS_STANDALONE!E:E,0,0,1)</f>
        <v/>
      </c>
      <c r="G50" s="7">
        <f>_xlfn.XLOOKUP("BankBalanceOtherThanCashAndCashEquivalents",MT_HS_STANDALONE!$C:$C,MT_HS_STANDALONE!F:F,0,0,1)</f>
        <v/>
      </c>
      <c r="H50" s="7">
        <f>_xlfn.XLOOKUP("BankBalanceOtherThanCashAndCashEquivalents",MT_HS_STANDALONE!$C:$C,MT_HS_STANDALONE!G:G,0,0,1)</f>
        <v/>
      </c>
      <c r="I50" s="7">
        <f>_xlfn.XLOOKUP("BankBalanceOtherThanCashAndCashEquivalents",MT_HS_STANDALONE!$C:$C,MT_HS_STANDALONE!H:H,0,0,1)</f>
        <v/>
      </c>
      <c r="J50" s="7">
        <f>_xlfn.XLOOKUP("BankBalanceOtherThanCashAndCashEquivalents",MT_HS_STANDALONE!$C:$C,MT_HS_STANDALONE!I:I,0,0,1)</f>
        <v/>
      </c>
    </row>
    <row r="51">
      <c r="D51" s="6" t="inlineStr">
        <is>
          <t>Loans, current</t>
        </is>
      </c>
      <c r="E51" s="7">
        <f>_xlfn.XLOOKUP("LoansCurrent",MT_HS_STANDALONE!$C:$C,MT_HS_STANDALONE!D:D,0,0,1)</f>
        <v/>
      </c>
      <c r="F51" s="7">
        <f>_xlfn.XLOOKUP("LoansCurrent",MT_HS_STANDALONE!$C:$C,MT_HS_STANDALONE!E:E,0,0,1)</f>
        <v/>
      </c>
      <c r="G51" s="7">
        <f>_xlfn.XLOOKUP("LoansCurrent",MT_HS_STANDALONE!$C:$C,MT_HS_STANDALONE!F:F,0,0,1)</f>
        <v/>
      </c>
      <c r="H51" s="7">
        <f>_xlfn.XLOOKUP("LoansCurrent",MT_HS_STANDALONE!$C:$C,MT_HS_STANDALONE!G:G,0,0,1)</f>
        <v/>
      </c>
      <c r="I51" s="7">
        <f>_xlfn.XLOOKUP("LoansCurrent",MT_HS_STANDALONE!$C:$C,MT_HS_STANDALONE!H:H,0,0,1)</f>
        <v/>
      </c>
      <c r="J51" s="7">
        <f>_xlfn.XLOOKUP("LoansCurrent",MT_HS_STANDALONE!$C:$C,MT_HS_STANDALONE!I:I,0,0,1)</f>
        <v/>
      </c>
    </row>
    <row r="52">
      <c r="D52" s="6" t="inlineStr">
        <is>
          <t>Total other current financial assets</t>
        </is>
      </c>
      <c r="E52" s="7">
        <f>_xlfn.XLOOKUP("OtherCurrentFinancialAssets",MT_HS_STANDALONE!$C:$C,MT_HS_STANDALONE!D:D,0,0,1)</f>
        <v/>
      </c>
      <c r="F52" s="7">
        <f>_xlfn.XLOOKUP("OtherCurrentFinancialAssets",MT_HS_STANDALONE!$C:$C,MT_HS_STANDALONE!E:E,0,0,1)</f>
        <v/>
      </c>
      <c r="G52" s="7">
        <f>_xlfn.XLOOKUP("OtherCurrentFinancialAssets",MT_HS_STANDALONE!$C:$C,MT_HS_STANDALONE!F:F,0,0,1)</f>
        <v/>
      </c>
      <c r="H52" s="7">
        <f>_xlfn.XLOOKUP("OtherCurrentFinancialAssets",MT_HS_STANDALONE!$C:$C,MT_HS_STANDALONE!G:G,0,0,1)</f>
        <v/>
      </c>
      <c r="I52" s="7">
        <f>_xlfn.XLOOKUP("OtherCurrentFinancialAssets",MT_HS_STANDALONE!$C:$C,MT_HS_STANDALONE!H:H,0,0,1)</f>
        <v/>
      </c>
      <c r="J52" s="7">
        <f>_xlfn.XLOOKUP("OtherCurrentFinancialAssets",MT_HS_STANDALONE!$C:$C,MT_HS_STANDALONE!I:I,0,0,1)</f>
        <v/>
      </c>
    </row>
    <row r="53">
      <c r="C53" s="8" t="inlineStr">
        <is>
          <t>Total Non-Operating</t>
        </is>
      </c>
      <c r="E53" s="9">
        <f>IFERROR(SUM(E48:E52),0)</f>
        <v/>
      </c>
      <c r="F53" s="9">
        <f>IFERROR(SUM(F48:F52),0)</f>
        <v/>
      </c>
      <c r="G53" s="9">
        <f>IFERROR(SUM(G48:G52),0)</f>
        <v/>
      </c>
      <c r="H53" s="9">
        <f>IFERROR(SUM(H48:H52),0)</f>
        <v/>
      </c>
      <c r="I53" s="9">
        <f>IFERROR(SUM(I48:I52),0)</f>
        <v/>
      </c>
      <c r="J53" s="9">
        <f>IFERROR(SUM(J48:J52),0)</f>
        <v/>
      </c>
    </row>
    <row r="54">
      <c r="C54" s="6" t="inlineStr">
        <is>
          <t>Total current financial assets</t>
        </is>
      </c>
      <c r="E54" s="7">
        <f>_xlfn.XLOOKUP("CurrentFinancialAssets",MT_HS_STANDALONE!$C:$C,MT_HS_STANDALONE!D:D,0,0,1)</f>
        <v/>
      </c>
      <c r="F54" s="7">
        <f>_xlfn.XLOOKUP("CurrentFinancialAssets",MT_HS_STANDALONE!$C:$C,MT_HS_STANDALONE!E:E,0,0,1)</f>
        <v/>
      </c>
      <c r="G54" s="7">
        <f>_xlfn.XLOOKUP("CurrentFinancialAssets",MT_HS_STANDALONE!$C:$C,MT_HS_STANDALONE!F:F,0,0,1)</f>
        <v/>
      </c>
      <c r="H54" s="7">
        <f>_xlfn.XLOOKUP("CurrentFinancialAssets",MT_HS_STANDALONE!$C:$C,MT_HS_STANDALONE!G:G,0,0,1)</f>
        <v/>
      </c>
      <c r="I54" s="7">
        <f>_xlfn.XLOOKUP("CurrentFinancialAssets",MT_HS_STANDALONE!$C:$C,MT_HS_STANDALONE!H:H,0,0,1)</f>
        <v/>
      </c>
      <c r="J54" s="7">
        <f>_xlfn.XLOOKUP("CurrentFinancialAssets",MT_HS_STANDALONE!$C:$C,MT_HS_STANDALONE!I:I,0,0,1)</f>
        <v/>
      </c>
    </row>
    <row r="55">
      <c r="B55" s="10" t="inlineStr">
        <is>
          <t>Total Current Assets</t>
        </is>
      </c>
      <c r="E55" s="11">
        <f>IFERROR(E53+E46,0)</f>
        <v/>
      </c>
      <c r="F55" s="11">
        <f>IFERROR(F53+F46,0)</f>
        <v/>
      </c>
      <c r="G55" s="11">
        <f>IFERROR(G53+G46,0)</f>
        <v/>
      </c>
      <c r="H55" s="11">
        <f>IFERROR(H53+H46,0)</f>
        <v/>
      </c>
      <c r="I55" s="11">
        <f>IFERROR(I53+I46,0)</f>
        <v/>
      </c>
      <c r="J55" s="11">
        <f>IFERROR(J53+J46,0)</f>
        <v/>
      </c>
    </row>
    <row r="56">
      <c r="C56" s="6" t="inlineStr">
        <is>
          <t>Non-current assets classified as held for sale</t>
        </is>
      </c>
      <c r="E56" s="7">
        <f>_xlfn.XLOOKUP("NoncurrentAssetsOrDisposalGroupsClassifiedAsHeldForSaleOrAsHeldForDistributionToOwners",MT_HS_STANDALONE!$C:$C,MT_HS_STANDALONE!D:D,0,0,1)</f>
        <v/>
      </c>
      <c r="F56" s="7">
        <f>_xlfn.XLOOKUP("NoncurrentAssetsOrDisposalGroupsClassifiedAsHeldForSaleOrAsHeldForDistributionToOwners",MT_HS_STANDALONE!$C:$C,MT_HS_STANDALONE!E:E,0,0,1)</f>
        <v/>
      </c>
      <c r="G56" s="7">
        <f>_xlfn.XLOOKUP("NoncurrentAssetsOrDisposalGroupsClassifiedAsHeldForSaleOrAsHeldForDistributionToOwners",MT_HS_STANDALONE!$C:$C,MT_HS_STANDALONE!F:F,0,0,1)</f>
        <v/>
      </c>
      <c r="H56" s="7">
        <f>_xlfn.XLOOKUP("NoncurrentAssetsOrDisposalGroupsClassifiedAsHeldForSaleOrAsHeldForDistributionToOwners",MT_HS_STANDALONE!$C:$C,MT_HS_STANDALONE!G:G,0,0,1)</f>
        <v/>
      </c>
      <c r="I56" s="7">
        <f>_xlfn.XLOOKUP("NoncurrentAssetsOrDisposalGroupsClassifiedAsHeldForSaleOrAsHeldForDistributionToOwners",MT_HS_STANDALONE!$C:$C,MT_HS_STANDALONE!H:H,0,0,1)</f>
        <v/>
      </c>
      <c r="J56" s="7">
        <f>_xlfn.XLOOKUP("NoncurrentAssetsOrDisposalGroupsClassifiedAsHeldForSaleOrAsHeldForDistributionToOwners",MT_HS_STANDALONE!$C:$C,MT_HS_STANDALONE!I:I,0,0,1)</f>
        <v/>
      </c>
    </row>
    <row r="57">
      <c r="B57" s="10" t="inlineStr">
        <is>
          <t>Total Assets</t>
        </is>
      </c>
      <c r="E57" s="11">
        <f>IFERROR(SUM(E55:E56)+E40,0)</f>
        <v/>
      </c>
      <c r="F57" s="11">
        <f>IFERROR(SUM(F55:F56)+F40,0)</f>
        <v/>
      </c>
      <c r="G57" s="11">
        <f>IFERROR(SUM(G55:G56)+G40,0)</f>
        <v/>
      </c>
      <c r="H57" s="11">
        <f>IFERROR(SUM(H55:H56)+H40,0)</f>
        <v/>
      </c>
      <c r="I57" s="11">
        <f>IFERROR(SUM(I55:I56)+I40,0)</f>
        <v/>
      </c>
      <c r="J57" s="11">
        <f>IFERROR(SUM(J55:J56)+J40,0)</f>
        <v/>
      </c>
    </row>
    <row r="58">
      <c r="B58" s="5" t="inlineStr">
        <is>
          <t>Equity and Liabilities</t>
        </is>
      </c>
    </row>
    <row r="59">
      <c r="B59" s="5" t="inlineStr">
        <is>
          <t>Equity attributable to owners of parent</t>
        </is>
      </c>
    </row>
    <row r="60">
      <c r="C60" s="6" t="inlineStr">
        <is>
          <t>Equity share capital at end of period</t>
        </is>
      </c>
      <c r="E60" s="7">
        <f>_xlfn.XLOOKUP("EquityShareCapital",MT_HS_STANDALONE!$C:$C,MT_HS_STANDALONE!D:D,0,0,1)</f>
        <v/>
      </c>
      <c r="F60" s="7">
        <f>_xlfn.XLOOKUP("EquityShareCapital",MT_HS_STANDALONE!$C:$C,MT_HS_STANDALONE!E:E,0,0,1)</f>
        <v/>
      </c>
      <c r="G60" s="7">
        <f>_xlfn.XLOOKUP("EquityShareCapital",MT_HS_STANDALONE!$C:$C,MT_HS_STANDALONE!F:F,0,0,1)</f>
        <v/>
      </c>
      <c r="H60" s="7">
        <f>_xlfn.XLOOKUP("EquityShareCapital",MT_HS_STANDALONE!$C:$C,MT_HS_STANDALONE!G:G,0,0,1)</f>
        <v/>
      </c>
      <c r="I60" s="7">
        <f>_xlfn.XLOOKUP("EquityShareCapital",MT_HS_STANDALONE!$C:$C,MT_HS_STANDALONE!H:H,0,0,1)</f>
        <v/>
      </c>
      <c r="J60" s="7">
        <f>_xlfn.XLOOKUP("EquityShareCapital",MT_HS_STANDALONE!$C:$C,MT_HS_STANDALONE!I:I,0,0,1)</f>
        <v/>
      </c>
    </row>
    <row r="61">
      <c r="C61" s="6" t="inlineStr">
        <is>
          <t>Other equity</t>
        </is>
      </c>
      <c r="E61" s="7">
        <f>_xlfn.XLOOKUP("OtherEquity",MT_HS_STANDALONE!$C:$C,MT_HS_STANDALONE!D:D,0,0,1)</f>
        <v/>
      </c>
      <c r="F61" s="7">
        <f>_xlfn.XLOOKUP("OtherEquity",MT_HS_STANDALONE!$C:$C,MT_HS_STANDALONE!E:E,0,0,1)</f>
        <v/>
      </c>
      <c r="G61" s="7">
        <f>_xlfn.XLOOKUP("OtherEquity",MT_HS_STANDALONE!$C:$C,MT_HS_STANDALONE!F:F,0,0,1)</f>
        <v/>
      </c>
      <c r="H61" s="7">
        <f>_xlfn.XLOOKUP("OtherEquity",MT_HS_STANDALONE!$C:$C,MT_HS_STANDALONE!G:G,0,0,1)</f>
        <v/>
      </c>
      <c r="I61" s="7">
        <f>_xlfn.XLOOKUP("OtherEquity",MT_HS_STANDALONE!$C:$C,MT_HS_STANDALONE!H:H,0,0,1)</f>
        <v/>
      </c>
      <c r="J61" s="7">
        <f>_xlfn.XLOOKUP("OtherEquity",MT_HS_STANDALONE!$C:$C,MT_HS_STANDALONE!I:I,0,0,1)</f>
        <v/>
      </c>
    </row>
    <row r="62">
      <c r="B62" s="10" t="inlineStr">
        <is>
          <t>Total equity attributable to owners of parent</t>
        </is>
      </c>
      <c r="E62" s="11">
        <f>IFERROR(SUM(E60:E61),0)</f>
        <v/>
      </c>
      <c r="F62" s="11">
        <f>IFERROR(SUM(F60:F61),0)</f>
        <v/>
      </c>
      <c r="G62" s="11">
        <f>IFERROR(SUM(G60:G61),0)</f>
        <v/>
      </c>
      <c r="H62" s="11">
        <f>IFERROR(SUM(H60:H61),0)</f>
        <v/>
      </c>
      <c r="I62" s="11">
        <f>IFERROR(SUM(I60:I61),0)</f>
        <v/>
      </c>
      <c r="J62" s="11">
        <f>IFERROR(SUM(J60:J61),0)</f>
        <v/>
      </c>
    </row>
    <row r="63">
      <c r="B63" s="10" t="inlineStr">
        <is>
          <t>Equity at end of period</t>
        </is>
      </c>
      <c r="E63" s="11">
        <f>IFERROR(SUM(E62:E62),0)</f>
        <v/>
      </c>
      <c r="F63" s="11">
        <f>IFERROR(SUM(F62:F62),0)</f>
        <v/>
      </c>
      <c r="G63" s="11">
        <f>IFERROR(SUM(G62:G62),0)</f>
        <v/>
      </c>
      <c r="H63" s="11">
        <f>IFERROR(SUM(H62:H62),0)</f>
        <v/>
      </c>
      <c r="I63" s="11">
        <f>IFERROR(SUM(I62:I62),0)</f>
        <v/>
      </c>
      <c r="J63" s="11">
        <f>IFERROR(SUM(J62:J62),0)</f>
        <v/>
      </c>
    </row>
    <row r="64">
      <c r="B64" s="5" t="inlineStr">
        <is>
          <t>Liabilities</t>
        </is>
      </c>
    </row>
    <row r="65">
      <c r="B65" s="5" t="inlineStr">
        <is>
          <t xml:space="preserve">Non-current liabilities </t>
        </is>
      </c>
    </row>
    <row r="66">
      <c r="B66" s="5" t="inlineStr">
        <is>
          <t xml:space="preserve">Non-current financial liabilities </t>
        </is>
      </c>
    </row>
    <row r="67">
      <c r="C67" s="6" t="inlineStr">
        <is>
          <t>Borrowings, non-current</t>
        </is>
      </c>
      <c r="E67" s="7">
        <f>_xlfn.XLOOKUP("BorrowingsNoncurrent",MT_HS_STANDALONE!$C:$C,MT_HS_STANDALONE!D:D,0,0,1)</f>
        <v/>
      </c>
      <c r="F67" s="7">
        <f>_xlfn.XLOOKUP("BorrowingsNoncurrent",MT_HS_STANDALONE!$C:$C,MT_HS_STANDALONE!E:E,0,0,1)</f>
        <v/>
      </c>
      <c r="G67" s="7">
        <f>_xlfn.XLOOKUP("BorrowingsNoncurrent",MT_HS_STANDALONE!$C:$C,MT_HS_STANDALONE!F:F,0,0,1)</f>
        <v/>
      </c>
      <c r="H67" s="7">
        <f>_xlfn.XLOOKUP("BorrowingsNoncurrent",MT_HS_STANDALONE!$C:$C,MT_HS_STANDALONE!G:G,0,0,1)</f>
        <v/>
      </c>
      <c r="I67" s="7">
        <f>_xlfn.XLOOKUP("BorrowingsNoncurrent",MT_HS_STANDALONE!$C:$C,MT_HS_STANDALONE!H:H,0,0,1)</f>
        <v/>
      </c>
      <c r="J67" s="7">
        <f>_xlfn.XLOOKUP("BorrowingsNoncurrent",MT_HS_STANDALONE!$C:$C,MT_HS_STANDALONE!I:I,0,0,1)</f>
        <v/>
      </c>
    </row>
    <row r="68">
      <c r="C68" s="5" t="inlineStr">
        <is>
          <t xml:space="preserve">Trade payables, non-current </t>
        </is>
      </c>
    </row>
    <row r="69">
      <c r="C69" s="6" t="inlineStr">
        <is>
          <t>Total other non-current financial liabilities</t>
        </is>
      </c>
      <c r="E69" s="7">
        <f>_xlfn.XLOOKUP("OtherNoncurrentFinancialLiabilities",MT_HS_STANDALONE!$C:$C,MT_HS_STANDALONE!D:D,0,0,1)</f>
        <v/>
      </c>
      <c r="F69" s="7">
        <f>_xlfn.XLOOKUP("OtherNoncurrentFinancialLiabilities",MT_HS_STANDALONE!$C:$C,MT_HS_STANDALONE!E:E,0,0,1)</f>
        <v/>
      </c>
      <c r="G69" s="7">
        <f>_xlfn.XLOOKUP("OtherNoncurrentFinancialLiabilities",MT_HS_STANDALONE!$C:$C,MT_HS_STANDALONE!F:F,0,0,1)</f>
        <v/>
      </c>
      <c r="H69" s="7">
        <f>_xlfn.XLOOKUP("OtherNoncurrentFinancialLiabilities",MT_HS_STANDALONE!$C:$C,MT_HS_STANDALONE!G:G,0,0,1)</f>
        <v/>
      </c>
      <c r="I69" s="7">
        <f>_xlfn.XLOOKUP("OtherNoncurrentFinancialLiabilities",MT_HS_STANDALONE!$C:$C,MT_HS_STANDALONE!H:H,0,0,1)</f>
        <v/>
      </c>
      <c r="J69" s="7">
        <f>_xlfn.XLOOKUP("OtherNoncurrentFinancialLiabilities",MT_HS_STANDALONE!$C:$C,MT_HS_STANDALONE!I:I,0,0,1)</f>
        <v/>
      </c>
    </row>
    <row r="70">
      <c r="C70" s="6" t="inlineStr">
        <is>
          <t>Total non-current financial liabilities</t>
        </is>
      </c>
      <c r="E70" s="7">
        <f>_xlfn.XLOOKUP("NoncurrentFinancialLiabilities",MT_HS_STANDALONE!$C:$C,MT_HS_STANDALONE!D:D,0,0,1)</f>
        <v/>
      </c>
      <c r="F70" s="7">
        <f>_xlfn.XLOOKUP("NoncurrentFinancialLiabilities",MT_HS_STANDALONE!$C:$C,MT_HS_STANDALONE!E:E,0,0,1)</f>
        <v/>
      </c>
      <c r="G70" s="7">
        <f>_xlfn.XLOOKUP("NoncurrentFinancialLiabilities",MT_HS_STANDALONE!$C:$C,MT_HS_STANDALONE!F:F,0,0,1)</f>
        <v/>
      </c>
      <c r="H70" s="7">
        <f>_xlfn.XLOOKUP("NoncurrentFinancialLiabilities",MT_HS_STANDALONE!$C:$C,MT_HS_STANDALONE!G:G,0,0,1)</f>
        <v/>
      </c>
      <c r="I70" s="7">
        <f>_xlfn.XLOOKUP("NoncurrentFinancialLiabilities",MT_HS_STANDALONE!$C:$C,MT_HS_STANDALONE!H:H,0,0,1)</f>
        <v/>
      </c>
      <c r="J70" s="7">
        <f>_xlfn.XLOOKUP("NoncurrentFinancialLiabilities",MT_HS_STANDALONE!$C:$C,MT_HS_STANDALONE!I:I,0,0,1)</f>
        <v/>
      </c>
    </row>
    <row r="71">
      <c r="D71" s="6" t="inlineStr">
        <is>
          <t>Deferred tax liabilities (net)</t>
        </is>
      </c>
      <c r="E71" s="7">
        <f>_xlfn.XLOOKUP("DeferredTaxLiabilitiesNet",MT_HS_STANDALONE!$C:$C,MT_HS_STANDALONE!D:D,0,0,1)</f>
        <v/>
      </c>
      <c r="F71" s="7">
        <f>_xlfn.XLOOKUP("DeferredTaxLiabilitiesNet",MT_HS_STANDALONE!$C:$C,MT_HS_STANDALONE!E:E,0,0,1)</f>
        <v/>
      </c>
      <c r="G71" s="7">
        <f>_xlfn.XLOOKUP("DeferredTaxLiabilitiesNet",MT_HS_STANDALONE!$C:$C,MT_HS_STANDALONE!F:F,0,0,1)</f>
        <v/>
      </c>
      <c r="H71" s="7">
        <f>_xlfn.XLOOKUP("DeferredTaxLiabilitiesNet",MT_HS_STANDALONE!$C:$C,MT_HS_STANDALONE!G:G,0,0,1)</f>
        <v/>
      </c>
      <c r="I71" s="7">
        <f>_xlfn.XLOOKUP("DeferredTaxLiabilitiesNet",MT_HS_STANDALONE!$C:$C,MT_HS_STANDALONE!H:H,0,0,1)</f>
        <v/>
      </c>
      <c r="J71" s="7">
        <f>_xlfn.XLOOKUP("DeferredTaxLiabilitiesNet",MT_HS_STANDALONE!$C:$C,MT_HS_STANDALONE!I:I,0,0,1)</f>
        <v/>
      </c>
    </row>
    <row r="72">
      <c r="D72" s="6" t="inlineStr">
        <is>
          <t>Total other non-current liabilities</t>
        </is>
      </c>
      <c r="E72" s="7">
        <f>_xlfn.XLOOKUP("OtherNoncurrentLiabilities",MT_HS_STANDALONE!$C:$C,MT_HS_STANDALONE!D:D,0,0,1)</f>
        <v/>
      </c>
      <c r="F72" s="7">
        <f>_xlfn.XLOOKUP("OtherNoncurrentLiabilities",MT_HS_STANDALONE!$C:$C,MT_HS_STANDALONE!E:E,0,0,1)</f>
        <v/>
      </c>
      <c r="G72" s="7">
        <f>_xlfn.XLOOKUP("OtherNoncurrentLiabilities",MT_HS_STANDALONE!$C:$C,MT_HS_STANDALONE!F:F,0,0,1)</f>
        <v/>
      </c>
      <c r="H72" s="7">
        <f>_xlfn.XLOOKUP("OtherNoncurrentLiabilities",MT_HS_STANDALONE!$C:$C,MT_HS_STANDALONE!G:G,0,0,1)</f>
        <v/>
      </c>
      <c r="I72" s="7">
        <f>_xlfn.XLOOKUP("OtherNoncurrentLiabilities",MT_HS_STANDALONE!$C:$C,MT_HS_STANDALONE!H:H,0,0,1)</f>
        <v/>
      </c>
      <c r="J72" s="7">
        <f>_xlfn.XLOOKUP("OtherNoncurrentLiabilities",MT_HS_STANDALONE!$C:$C,MT_HS_STANDALONE!I:I,0,0,1)</f>
        <v/>
      </c>
    </row>
    <row r="73">
      <c r="B73" s="10" t="inlineStr">
        <is>
          <t>Total non-current liabilities</t>
        </is>
      </c>
      <c r="E73" s="11">
        <f>IFERROR(SUM(E67:E67)+SUM(E69:E69)+SUM(E71:E72),0)</f>
        <v/>
      </c>
      <c r="F73" s="11">
        <f>IFERROR(SUM(F67:F67)+SUM(F69:F69)+SUM(F71:F72),0)</f>
        <v/>
      </c>
      <c r="G73" s="11">
        <f>IFERROR(SUM(G67:G67)+SUM(G69:G69)+SUM(G71:G72),0)</f>
        <v/>
      </c>
      <c r="H73" s="11">
        <f>IFERROR(SUM(H67:H67)+SUM(H69:H69)+SUM(H71:H72),0)</f>
        <v/>
      </c>
      <c r="I73" s="11">
        <f>IFERROR(SUM(I67:I67)+SUM(I69:I69)+SUM(I71:I72),0)</f>
        <v/>
      </c>
      <c r="J73" s="11">
        <f>IFERROR(SUM(J67:J67)+SUM(J69:J69)+SUM(J71:J72),0)</f>
        <v/>
      </c>
    </row>
    <row r="74">
      <c r="B74" s="5" t="inlineStr">
        <is>
          <t xml:space="preserve">Current liabilities </t>
        </is>
      </c>
    </row>
    <row r="75">
      <c r="B75" s="5" t="inlineStr">
        <is>
          <t xml:space="preserve">Current financial liabilities </t>
        </is>
      </c>
    </row>
    <row r="76">
      <c r="C76" s="6" t="inlineStr">
        <is>
          <t>Borrowings, current</t>
        </is>
      </c>
      <c r="E76" s="7">
        <f>_xlfn.XLOOKUP("BorrowingsCurrent",MT_HS_STANDALONE!$C:$C,MT_HS_STANDALONE!D:D,0,0,1)</f>
        <v/>
      </c>
      <c r="F76" s="7">
        <f>_xlfn.XLOOKUP("BorrowingsCurrent",MT_HS_STANDALONE!$C:$C,MT_HS_STANDALONE!E:E,0,0,1)</f>
        <v/>
      </c>
      <c r="G76" s="7">
        <f>_xlfn.XLOOKUP("BorrowingsCurrent",MT_HS_STANDALONE!$C:$C,MT_HS_STANDALONE!F:F,0,0,1)</f>
        <v/>
      </c>
      <c r="H76" s="7">
        <f>_xlfn.XLOOKUP("BorrowingsCurrent",MT_HS_STANDALONE!$C:$C,MT_HS_STANDALONE!G:G,0,0,1)</f>
        <v/>
      </c>
      <c r="I76" s="7">
        <f>_xlfn.XLOOKUP("BorrowingsCurrent",MT_HS_STANDALONE!$C:$C,MT_HS_STANDALONE!H:H,0,0,1)</f>
        <v/>
      </c>
      <c r="J76" s="7">
        <f>_xlfn.XLOOKUP("BorrowingsCurrent",MT_HS_STANDALONE!$C:$C,MT_HS_STANDALONE!I:I,0,0,1)</f>
        <v/>
      </c>
    </row>
    <row r="77">
      <c r="C77" s="5" t="inlineStr">
        <is>
          <t xml:space="preserve">Trade payables, current </t>
        </is>
      </c>
    </row>
    <row r="78">
      <c r="D78" s="6" t="inlineStr">
        <is>
          <t>Total trade payables, current</t>
        </is>
      </c>
      <c r="E78" s="7">
        <f>_xlfn.XLOOKUP("TradePayablesCurrent",MT_HS_STANDALONE!$C:$C,MT_HS_STANDALONE!D:D,0,0,1)</f>
        <v/>
      </c>
      <c r="F78" s="7">
        <f>_xlfn.XLOOKUP("TradePayablesCurrent",MT_HS_STANDALONE!$C:$C,MT_HS_STANDALONE!E:E,0,0,1)</f>
        <v/>
      </c>
      <c r="G78" s="7">
        <f>_xlfn.XLOOKUP("TradePayablesCurrent",MT_HS_STANDALONE!$C:$C,MT_HS_STANDALONE!F:F,0,0,1)</f>
        <v/>
      </c>
      <c r="H78" s="7">
        <f>_xlfn.XLOOKUP("TradePayablesCurrent",MT_HS_STANDALONE!$C:$C,MT_HS_STANDALONE!G:G,0,0,1)</f>
        <v/>
      </c>
      <c r="I78" s="7">
        <f>_xlfn.XLOOKUP("TradePayablesCurrent",MT_HS_STANDALONE!$C:$C,MT_HS_STANDALONE!H:H,0,0,1)</f>
        <v/>
      </c>
      <c r="J78" s="7">
        <f>_xlfn.XLOOKUP("TradePayablesCurrent",MT_HS_STANDALONE!$C:$C,MT_HS_STANDALONE!I:I,0,0,1)</f>
        <v/>
      </c>
    </row>
    <row r="79">
      <c r="C79" s="6" t="inlineStr">
        <is>
          <t>Total other current financial liabilities</t>
        </is>
      </c>
      <c r="E79" s="7">
        <f>_xlfn.XLOOKUP("OtherCurrentFinancialLiabilities",MT_HS_STANDALONE!$C:$C,MT_HS_STANDALONE!D:D,0,0,1)</f>
        <v/>
      </c>
      <c r="F79" s="7">
        <f>_xlfn.XLOOKUP("OtherCurrentFinancialLiabilities",MT_HS_STANDALONE!$C:$C,MT_HS_STANDALONE!E:E,0,0,1)</f>
        <v/>
      </c>
      <c r="G79" s="7">
        <f>_xlfn.XLOOKUP("OtherCurrentFinancialLiabilities",MT_HS_STANDALONE!$C:$C,MT_HS_STANDALONE!F:F,0,0,1)</f>
        <v/>
      </c>
      <c r="H79" s="7">
        <f>_xlfn.XLOOKUP("OtherCurrentFinancialLiabilities",MT_HS_STANDALONE!$C:$C,MT_HS_STANDALONE!G:G,0,0,1)</f>
        <v/>
      </c>
      <c r="I79" s="7">
        <f>_xlfn.XLOOKUP("OtherCurrentFinancialLiabilities",MT_HS_STANDALONE!$C:$C,MT_HS_STANDALONE!H:H,0,0,1)</f>
        <v/>
      </c>
      <c r="J79" s="7">
        <f>_xlfn.XLOOKUP("OtherCurrentFinancialLiabilities",MT_HS_STANDALONE!$C:$C,MT_HS_STANDALONE!I:I,0,0,1)</f>
        <v/>
      </c>
    </row>
    <row r="80">
      <c r="B80" s="6" t="inlineStr">
        <is>
          <t>Total current financial liabilities</t>
        </is>
      </c>
      <c r="E80" s="7">
        <f>_xlfn.XLOOKUP("CurrentFinancialLiabilities",MT_HS_STANDALONE!$C:$C,MT_HS_STANDALONE!D:D,0,0,1)</f>
        <v/>
      </c>
      <c r="F80" s="7">
        <f>_xlfn.XLOOKUP("CurrentFinancialLiabilities",MT_HS_STANDALONE!$C:$C,MT_HS_STANDALONE!E:E,0,0,1)</f>
        <v/>
      </c>
      <c r="G80" s="7">
        <f>_xlfn.XLOOKUP("CurrentFinancialLiabilities",MT_HS_STANDALONE!$C:$C,MT_HS_STANDALONE!F:F,0,0,1)</f>
        <v/>
      </c>
      <c r="H80" s="7">
        <f>_xlfn.XLOOKUP("CurrentFinancialLiabilities",MT_HS_STANDALONE!$C:$C,MT_HS_STANDALONE!G:G,0,0,1)</f>
        <v/>
      </c>
      <c r="I80" s="7">
        <f>_xlfn.XLOOKUP("CurrentFinancialLiabilities",MT_HS_STANDALONE!$C:$C,MT_HS_STANDALONE!H:H,0,0,1)</f>
        <v/>
      </c>
      <c r="J80" s="7">
        <f>_xlfn.XLOOKUP("CurrentFinancialLiabilities",MT_HS_STANDALONE!$C:$C,MT_HS_STANDALONE!I:I,0,0,1)</f>
        <v/>
      </c>
    </row>
    <row r="81">
      <c r="C81" s="6" t="inlineStr">
        <is>
          <t>Total other current liabilities</t>
        </is>
      </c>
      <c r="E81" s="7">
        <f>_xlfn.XLOOKUP("OtherCurrentLiabilities",MT_HS_STANDALONE!$C:$C,MT_HS_STANDALONE!D:D,0,0,1)</f>
        <v/>
      </c>
      <c r="F81" s="7">
        <f>_xlfn.XLOOKUP("OtherCurrentLiabilities",MT_HS_STANDALONE!$C:$C,MT_HS_STANDALONE!E:E,0,0,1)</f>
        <v/>
      </c>
      <c r="G81" s="7">
        <f>_xlfn.XLOOKUP("OtherCurrentLiabilities",MT_HS_STANDALONE!$C:$C,MT_HS_STANDALONE!F:F,0,0,1)</f>
        <v/>
      </c>
      <c r="H81" s="7">
        <f>_xlfn.XLOOKUP("OtherCurrentLiabilities",MT_HS_STANDALONE!$C:$C,MT_HS_STANDALONE!G:G,0,0,1)</f>
        <v/>
      </c>
      <c r="I81" s="7">
        <f>_xlfn.XLOOKUP("OtherCurrentLiabilities",MT_HS_STANDALONE!$C:$C,MT_HS_STANDALONE!H:H,0,0,1)</f>
        <v/>
      </c>
      <c r="J81" s="7">
        <f>_xlfn.XLOOKUP("OtherCurrentLiabilities",MT_HS_STANDALONE!$C:$C,MT_HS_STANDALONE!I:I,0,0,1)</f>
        <v/>
      </c>
    </row>
    <row r="82">
      <c r="C82" s="6" t="inlineStr">
        <is>
          <t>Provisions, current</t>
        </is>
      </c>
      <c r="E82" s="7">
        <f>_xlfn.XLOOKUP("ProvisionsCurrent",MT_HS_STANDALONE!$C:$C,MT_HS_STANDALONE!D:D,0,0,1)</f>
        <v/>
      </c>
      <c r="F82" s="7">
        <f>_xlfn.XLOOKUP("ProvisionsCurrent",MT_HS_STANDALONE!$C:$C,MT_HS_STANDALONE!E:E,0,0,1)</f>
        <v/>
      </c>
      <c r="G82" s="7">
        <f>_xlfn.XLOOKUP("ProvisionsCurrent",MT_HS_STANDALONE!$C:$C,MT_HS_STANDALONE!F:F,0,0,1)</f>
        <v/>
      </c>
      <c r="H82" s="7">
        <f>_xlfn.XLOOKUP("ProvisionsCurrent",MT_HS_STANDALONE!$C:$C,MT_HS_STANDALONE!G:G,0,0,1)</f>
        <v/>
      </c>
      <c r="I82" s="7">
        <f>_xlfn.XLOOKUP("ProvisionsCurrent",MT_HS_STANDALONE!$C:$C,MT_HS_STANDALONE!H:H,0,0,1)</f>
        <v/>
      </c>
      <c r="J82" s="7">
        <f>_xlfn.XLOOKUP("ProvisionsCurrent",MT_HS_STANDALONE!$C:$C,MT_HS_STANDALONE!I:I,0,0,1)</f>
        <v/>
      </c>
    </row>
    <row r="83">
      <c r="C83" s="6" t="inlineStr">
        <is>
          <t>Current tax liabilities</t>
        </is>
      </c>
      <c r="E83" s="7">
        <f>_xlfn.XLOOKUP("CurrentTaxLiabilities",MT_HS_STANDALONE!$C:$C,MT_HS_STANDALONE!D:D,0,0,1)</f>
        <v/>
      </c>
      <c r="F83" s="7">
        <f>_xlfn.XLOOKUP("CurrentTaxLiabilities",MT_HS_STANDALONE!$C:$C,MT_HS_STANDALONE!E:E,0,0,1)</f>
        <v/>
      </c>
      <c r="G83" s="7">
        <f>_xlfn.XLOOKUP("CurrentTaxLiabilities",MT_HS_STANDALONE!$C:$C,MT_HS_STANDALONE!F:F,0,0,1)</f>
        <v/>
      </c>
      <c r="H83" s="7">
        <f>_xlfn.XLOOKUP("CurrentTaxLiabilities",MT_HS_STANDALONE!$C:$C,MT_HS_STANDALONE!G:G,0,0,1)</f>
        <v/>
      </c>
      <c r="I83" s="7">
        <f>_xlfn.XLOOKUP("CurrentTaxLiabilities",MT_HS_STANDALONE!$C:$C,MT_HS_STANDALONE!H:H,0,0,1)</f>
        <v/>
      </c>
      <c r="J83" s="7">
        <f>_xlfn.XLOOKUP("CurrentTaxLiabilities",MT_HS_STANDALONE!$C:$C,MT_HS_STANDALONE!I:I,0,0,1)</f>
        <v/>
      </c>
    </row>
    <row r="84">
      <c r="B84" s="10" t="inlineStr">
        <is>
          <t>Total current liabilities</t>
        </is>
      </c>
      <c r="E84" s="11">
        <f>IFERROR(SUM(E76:E76)+SUM(E78:E79)+SUM(E81:E83),0)</f>
        <v/>
      </c>
      <c r="F84" s="11">
        <f>IFERROR(SUM(F76:F76)+SUM(F78:F79)+SUM(F81:F83),0)</f>
        <v/>
      </c>
      <c r="G84" s="11">
        <f>IFERROR(SUM(G76:G76)+SUM(G78:G79)+SUM(G81:G83),0)</f>
        <v/>
      </c>
      <c r="H84" s="11">
        <f>IFERROR(SUM(H76:H76)+SUM(H78:H79)+SUM(H81:H83),0)</f>
        <v/>
      </c>
      <c r="I84" s="11">
        <f>IFERROR(SUM(I76:I76)+SUM(I78:I79)+SUM(I81:I83),0)</f>
        <v/>
      </c>
      <c r="J84" s="11">
        <f>IFERROR(SUM(J76:J76)+SUM(J78:J79)+SUM(J81:J83),0)</f>
        <v/>
      </c>
    </row>
    <row r="85">
      <c r="B85" s="10" t="inlineStr">
        <is>
          <t>Liabilities</t>
        </is>
      </c>
      <c r="E85" s="11">
        <f>IFERROR(SUM(E84:E84)+E73,0)</f>
        <v/>
      </c>
      <c r="F85" s="11">
        <f>IFERROR(SUM(F84:F84)+F73,0)</f>
        <v/>
      </c>
      <c r="G85" s="11">
        <f>IFERROR(SUM(G84:G84)+G73,0)</f>
        <v/>
      </c>
      <c r="H85" s="11">
        <f>IFERROR(SUM(H84:H84)+H73,0)</f>
        <v/>
      </c>
      <c r="I85" s="11">
        <f>IFERROR(SUM(I84:I84)+I73,0)</f>
        <v/>
      </c>
      <c r="J85" s="11">
        <f>IFERROR(SUM(J84:J84)+J73,0)</f>
        <v/>
      </c>
    </row>
    <row r="86">
      <c r="B86" s="10" t="inlineStr">
        <is>
          <t>Total equity and liabilities</t>
        </is>
      </c>
      <c r="E86" s="11">
        <f>IFERROR(E63+E85,0)</f>
        <v/>
      </c>
      <c r="F86" s="11">
        <f>IFERROR(F63+F85,0)</f>
        <v/>
      </c>
      <c r="G86" s="11">
        <f>IFERROR(G63+G85,0)</f>
        <v/>
      </c>
      <c r="H86" s="11">
        <f>IFERROR(H63+H85,0)</f>
        <v/>
      </c>
      <c r="I86" s="11">
        <f>IFERROR(I63+I85,0)</f>
        <v/>
      </c>
      <c r="J86" s="11">
        <f>IFERROR(J63+J85,0)</f>
        <v/>
      </c>
    </row>
    <row r="87">
      <c r="B87" s="12" t="inlineStr">
        <is>
          <t>BALANCE CHECK (Total Assets − Total Equity &amp; Liabilities)</t>
        </is>
      </c>
      <c r="E87" s="13">
        <f>E57-E86</f>
        <v/>
      </c>
      <c r="F87" s="13">
        <f>F57-F86</f>
        <v/>
      </c>
      <c r="G87" s="13">
        <f>G57-G86</f>
        <v/>
      </c>
      <c r="H87" s="13">
        <f>H57-H86</f>
        <v/>
      </c>
      <c r="I87" s="13">
        <f>I57-I86</f>
        <v/>
      </c>
      <c r="J87" s="13">
        <f>J57-J86</f>
        <v/>
      </c>
    </row>
    <row r="88" ht="15.5" customHeight="1" s="203">
      <c r="A88" s="2" t="inlineStr">
        <is>
          <t>#</t>
        </is>
      </c>
      <c r="B88" s="3" t="inlineStr">
        <is>
          <t>Statement of Cash Flows</t>
        </is>
      </c>
    </row>
    <row r="89">
      <c r="B89" s="5" t="inlineStr">
        <is>
          <t>Cash flows from used in operating activities</t>
        </is>
      </c>
    </row>
    <row r="90">
      <c r="C90" s="6" t="inlineStr">
        <is>
          <t>Total profit before tax</t>
        </is>
      </c>
      <c r="E90" s="7">
        <f>_xlfn.XLOOKUP("ProfitBeforeTax",MT_HS_STANDALONE!$C:$C,MT_HS_STANDALONE!D:D,0,0,1)</f>
        <v/>
      </c>
      <c r="F90" s="7">
        <f>_xlfn.XLOOKUP("ProfitBeforeTax",MT_HS_STANDALONE!$C:$C,MT_HS_STANDALONE!E:E,0,0,1)</f>
        <v/>
      </c>
      <c r="G90" s="7">
        <f>_xlfn.XLOOKUP("ProfitBeforeTax",MT_HS_STANDALONE!$C:$C,MT_HS_STANDALONE!F:F,0,0,1)</f>
        <v/>
      </c>
      <c r="H90" s="7">
        <f>_xlfn.XLOOKUP("ProfitBeforeTax",MT_HS_STANDALONE!$C:$C,MT_HS_STANDALONE!G:G,0,0,1)</f>
        <v/>
      </c>
      <c r="I90" s="7">
        <f>_xlfn.XLOOKUP("ProfitBeforeTax",MT_HS_STANDALONE!$C:$C,MT_HS_STANDALONE!H:H,0,0,1)</f>
        <v/>
      </c>
      <c r="J90" s="7">
        <f>_xlfn.XLOOKUP("ProfitBeforeTax",MT_HS_STANDALONE!$C:$C,MT_HS_STANDALONE!I:I,0,0,1)</f>
        <v/>
      </c>
    </row>
    <row r="91">
      <c r="C91" s="5" t="inlineStr">
        <is>
          <t xml:space="preserve">Adjustments for reconcile profit (loss) </t>
        </is>
      </c>
    </row>
    <row r="92">
      <c r="D92" s="6" t="inlineStr">
        <is>
          <t>Adjustments for finance costs</t>
        </is>
      </c>
      <c r="E92" s="7">
        <f>_xlfn.XLOOKUP("AdjustmentsForFinanceCosts",MT_HS_STANDALONE!$C:$C,MT_HS_STANDALONE!D:D,0,0,1)</f>
        <v/>
      </c>
      <c r="F92" s="7">
        <f>_xlfn.XLOOKUP("AdjustmentsForFinanceCosts",MT_HS_STANDALONE!$C:$C,MT_HS_STANDALONE!E:E,0,0,1)</f>
        <v/>
      </c>
      <c r="G92" s="7">
        <f>_xlfn.XLOOKUP("AdjustmentsForFinanceCosts",MT_HS_STANDALONE!$C:$C,MT_HS_STANDALONE!F:F,0,0,1)</f>
        <v/>
      </c>
      <c r="H92" s="7">
        <f>_xlfn.XLOOKUP("AdjustmentsForFinanceCosts",MT_HS_STANDALONE!$C:$C,MT_HS_STANDALONE!G:G,0,0,1)</f>
        <v/>
      </c>
      <c r="I92" s="7">
        <f>_xlfn.XLOOKUP("AdjustmentsForFinanceCosts",MT_HS_STANDALONE!$C:$C,MT_HS_STANDALONE!H:H,0,0,1)</f>
        <v/>
      </c>
      <c r="J92" s="7">
        <f>_xlfn.XLOOKUP("AdjustmentsForFinanceCosts",MT_HS_STANDALONE!$C:$C,MT_HS_STANDALONE!I:I,0,0,1)</f>
        <v/>
      </c>
    </row>
    <row r="93">
      <c r="D93" s="6" t="inlineStr">
        <is>
          <t>Adjustments for decrease (increase) in inventories</t>
        </is>
      </c>
      <c r="E93" s="7">
        <f>_xlfn.XLOOKUP("AdjustmentsForDecreaseIncreaseInInventories",MT_HS_STANDALONE!$C:$C,MT_HS_STANDALONE!D:D,0,0,1)</f>
        <v/>
      </c>
      <c r="F93" s="7">
        <f>_xlfn.XLOOKUP("AdjustmentsForDecreaseIncreaseInInventories",MT_HS_STANDALONE!$C:$C,MT_HS_STANDALONE!E:E,0,0,1)</f>
        <v/>
      </c>
      <c r="G93" s="7">
        <f>_xlfn.XLOOKUP("AdjustmentsForDecreaseIncreaseInInventories",MT_HS_STANDALONE!$C:$C,MT_HS_STANDALONE!F:F,0,0,1)</f>
        <v/>
      </c>
      <c r="H93" s="7">
        <f>_xlfn.XLOOKUP("AdjustmentsForDecreaseIncreaseInInventories",MT_HS_STANDALONE!$C:$C,MT_HS_STANDALONE!G:G,0,0,1)</f>
        <v/>
      </c>
      <c r="I93" s="7">
        <f>_xlfn.XLOOKUP("AdjustmentsForDecreaseIncreaseInInventories",MT_HS_STANDALONE!$C:$C,MT_HS_STANDALONE!H:H,0,0,1)</f>
        <v/>
      </c>
      <c r="J93" s="7">
        <f>_xlfn.XLOOKUP("AdjustmentsForDecreaseIncreaseInInventories",MT_HS_STANDALONE!$C:$C,MT_HS_STANDALONE!I:I,0,0,1)</f>
        <v/>
      </c>
    </row>
    <row r="94">
      <c r="D94" s="6" t="inlineStr">
        <is>
          <t>Adjustments for decrease (increase) in trade receivables, current</t>
        </is>
      </c>
      <c r="E94" s="7">
        <f>_xlfn.XLOOKUP("AdjustmentsForDecreaseIncreaseInTradeReceivablesCurrent",MT_HS_STANDALONE!$C:$C,MT_HS_STANDALONE!D:D,0,0,1)</f>
        <v/>
      </c>
      <c r="F94" s="7">
        <f>_xlfn.XLOOKUP("AdjustmentsForDecreaseIncreaseInTradeReceivablesCurrent",MT_HS_STANDALONE!$C:$C,MT_HS_STANDALONE!E:E,0,0,1)</f>
        <v/>
      </c>
      <c r="G94" s="7">
        <f>_xlfn.XLOOKUP("AdjustmentsForDecreaseIncreaseInTradeReceivablesCurrent",MT_HS_STANDALONE!$C:$C,MT_HS_STANDALONE!F:F,0,0,1)</f>
        <v/>
      </c>
      <c r="H94" s="7">
        <f>_xlfn.XLOOKUP("AdjustmentsForDecreaseIncreaseInTradeReceivablesCurrent",MT_HS_STANDALONE!$C:$C,MT_HS_STANDALONE!G:G,0,0,1)</f>
        <v/>
      </c>
      <c r="I94" s="7">
        <f>_xlfn.XLOOKUP("AdjustmentsForDecreaseIncreaseInTradeReceivablesCurrent",MT_HS_STANDALONE!$C:$C,MT_HS_STANDALONE!H:H,0,0,1)</f>
        <v/>
      </c>
      <c r="J94" s="7">
        <f>_xlfn.XLOOKUP("AdjustmentsForDecreaseIncreaseInTradeReceivablesCurrent",MT_HS_STANDALONE!$C:$C,MT_HS_STANDALONE!I:I,0,0,1)</f>
        <v/>
      </c>
    </row>
    <row r="95">
      <c r="D95" s="6" t="inlineStr">
        <is>
          <t>Adjustments for decrease (increase) in trade receivables, non-current</t>
        </is>
      </c>
      <c r="E95" s="7">
        <f>_xlfn.XLOOKUP("AdjustmentsForDecreaseIncreaseInTradeReceivablesNoncurrent",MT_HS_STANDALONE!$C:$C,MT_HS_STANDALONE!D:D,0,0,1)</f>
        <v/>
      </c>
      <c r="F95" s="7">
        <f>_xlfn.XLOOKUP("AdjustmentsForDecreaseIncreaseInTradeReceivablesNoncurrent",MT_HS_STANDALONE!$C:$C,MT_HS_STANDALONE!E:E,0,0,1)</f>
        <v/>
      </c>
      <c r="G95" s="7">
        <f>_xlfn.XLOOKUP("AdjustmentsForDecreaseIncreaseInTradeReceivablesNoncurrent",MT_HS_STANDALONE!$C:$C,MT_HS_STANDALONE!F:F,0,0,1)</f>
        <v/>
      </c>
      <c r="H95" s="7">
        <f>_xlfn.XLOOKUP("AdjustmentsForDecreaseIncreaseInTradeReceivablesNoncurrent",MT_HS_STANDALONE!$C:$C,MT_HS_STANDALONE!G:G,0,0,1)</f>
        <v/>
      </c>
      <c r="I95" s="7">
        <f>_xlfn.XLOOKUP("AdjustmentsForDecreaseIncreaseInTradeReceivablesNoncurrent",MT_HS_STANDALONE!$C:$C,MT_HS_STANDALONE!H:H,0,0,1)</f>
        <v/>
      </c>
      <c r="J95" s="7">
        <f>_xlfn.XLOOKUP("AdjustmentsForDecreaseIncreaseInTradeReceivablesNoncurrent",MT_HS_STANDALONE!$C:$C,MT_HS_STANDALONE!I:I,0,0,1)</f>
        <v/>
      </c>
    </row>
    <row r="96">
      <c r="D96" s="6" t="inlineStr">
        <is>
          <t>Adjustments for decrease (increase) in other current assets</t>
        </is>
      </c>
      <c r="E96" s="7">
        <f>_xlfn.XLOOKUP("AdjustmentsForDecreaseIncreaseInOtherCurrentAssets",MT_HS_STANDALONE!$C:$C,MT_HS_STANDALONE!D:D,0,0,1)</f>
        <v/>
      </c>
      <c r="F96" s="7">
        <f>_xlfn.XLOOKUP("AdjustmentsForDecreaseIncreaseInOtherCurrentAssets",MT_HS_STANDALONE!$C:$C,MT_HS_STANDALONE!E:E,0,0,1)</f>
        <v/>
      </c>
      <c r="G96" s="7">
        <f>_xlfn.XLOOKUP("AdjustmentsForDecreaseIncreaseInOtherCurrentAssets",MT_HS_STANDALONE!$C:$C,MT_HS_STANDALONE!F:F,0,0,1)</f>
        <v/>
      </c>
      <c r="H96" s="7">
        <f>_xlfn.XLOOKUP("AdjustmentsForDecreaseIncreaseInOtherCurrentAssets",MT_HS_STANDALONE!$C:$C,MT_HS_STANDALONE!G:G,0,0,1)</f>
        <v/>
      </c>
      <c r="I96" s="7">
        <f>_xlfn.XLOOKUP("AdjustmentsForDecreaseIncreaseInOtherCurrentAssets",MT_HS_STANDALONE!$C:$C,MT_HS_STANDALONE!H:H,0,0,1)</f>
        <v/>
      </c>
      <c r="J96" s="7">
        <f>_xlfn.XLOOKUP("AdjustmentsForDecreaseIncreaseInOtherCurrentAssets",MT_HS_STANDALONE!$C:$C,MT_HS_STANDALONE!I:I,0,0,1)</f>
        <v/>
      </c>
    </row>
    <row r="97">
      <c r="D97" s="6" t="inlineStr">
        <is>
          <t>Adjustments for other bank balances</t>
        </is>
      </c>
      <c r="E97" s="7">
        <f>_xlfn.XLOOKUP("AdjustmentsForOtherBankBalances",MT_HS_STANDALONE!$C:$C,MT_HS_STANDALONE!D:D,0,0,1)</f>
        <v/>
      </c>
      <c r="F97" s="7">
        <f>_xlfn.XLOOKUP("AdjustmentsForOtherBankBalances",MT_HS_STANDALONE!$C:$C,MT_HS_STANDALONE!E:E,0,0,1)</f>
        <v/>
      </c>
      <c r="G97" s="7">
        <f>_xlfn.XLOOKUP("AdjustmentsForOtherBankBalances",MT_HS_STANDALONE!$C:$C,MT_HS_STANDALONE!F:F,0,0,1)</f>
        <v/>
      </c>
      <c r="H97" s="7">
        <f>_xlfn.XLOOKUP("AdjustmentsForOtherBankBalances",MT_HS_STANDALONE!$C:$C,MT_HS_STANDALONE!G:G,0,0,1)</f>
        <v/>
      </c>
      <c r="I97" s="7">
        <f>_xlfn.XLOOKUP("AdjustmentsForOtherBankBalances",MT_HS_STANDALONE!$C:$C,MT_HS_STANDALONE!H:H,0,0,1)</f>
        <v/>
      </c>
      <c r="J97" s="7">
        <f>_xlfn.XLOOKUP("AdjustmentsForOtherBankBalances",MT_HS_STANDALONE!$C:$C,MT_HS_STANDALONE!I:I,0,0,1)</f>
        <v/>
      </c>
    </row>
    <row r="98">
      <c r="D98" s="6" t="inlineStr">
        <is>
          <t>Adjustments for increase (decrease) in trade payables, current</t>
        </is>
      </c>
      <c r="E98" s="7">
        <f>_xlfn.XLOOKUP("AdjustmentsForIncreaseDecreaseInTradePayablesCurrent",MT_HS_STANDALONE!$C:$C,MT_HS_STANDALONE!D:D,0,0,1)</f>
        <v/>
      </c>
      <c r="F98" s="7">
        <f>_xlfn.XLOOKUP("AdjustmentsForIncreaseDecreaseInTradePayablesCurrent",MT_HS_STANDALONE!$C:$C,MT_HS_STANDALONE!E:E,0,0,1)</f>
        <v/>
      </c>
      <c r="G98" s="7">
        <f>_xlfn.XLOOKUP("AdjustmentsForIncreaseDecreaseInTradePayablesCurrent",MT_HS_STANDALONE!$C:$C,MT_HS_STANDALONE!F:F,0,0,1)</f>
        <v/>
      </c>
      <c r="H98" s="7">
        <f>_xlfn.XLOOKUP("AdjustmentsForIncreaseDecreaseInTradePayablesCurrent",MT_HS_STANDALONE!$C:$C,MT_HS_STANDALONE!G:G,0,0,1)</f>
        <v/>
      </c>
      <c r="I98" s="7">
        <f>_xlfn.XLOOKUP("AdjustmentsForIncreaseDecreaseInTradePayablesCurrent",MT_HS_STANDALONE!$C:$C,MT_HS_STANDALONE!H:H,0,0,1)</f>
        <v/>
      </c>
      <c r="J98" s="7">
        <f>_xlfn.XLOOKUP("AdjustmentsForIncreaseDecreaseInTradePayablesCurrent",MT_HS_STANDALONE!$C:$C,MT_HS_STANDALONE!I:I,0,0,1)</f>
        <v/>
      </c>
    </row>
    <row r="99">
      <c r="D99" s="6" t="inlineStr">
        <is>
          <t>Adjustments for increase (decrease) in other current liabilities</t>
        </is>
      </c>
      <c r="E99" s="7">
        <f>_xlfn.XLOOKUP("AdjustmentsForIncreaseDecreaseInOtherCurrentLiabilities",MT_HS_STANDALONE!$C:$C,MT_HS_STANDALONE!D:D,0,0,1)</f>
        <v/>
      </c>
      <c r="F99" s="7">
        <f>_xlfn.XLOOKUP("AdjustmentsForIncreaseDecreaseInOtherCurrentLiabilities",MT_HS_STANDALONE!$C:$C,MT_HS_STANDALONE!E:E,0,0,1)</f>
        <v/>
      </c>
      <c r="G99" s="7">
        <f>_xlfn.XLOOKUP("AdjustmentsForIncreaseDecreaseInOtherCurrentLiabilities",MT_HS_STANDALONE!$C:$C,MT_HS_STANDALONE!F:F,0,0,1)</f>
        <v/>
      </c>
      <c r="H99" s="7">
        <f>_xlfn.XLOOKUP("AdjustmentsForIncreaseDecreaseInOtherCurrentLiabilities",MT_HS_STANDALONE!$C:$C,MT_HS_STANDALONE!G:G,0,0,1)</f>
        <v/>
      </c>
      <c r="I99" s="7">
        <f>_xlfn.XLOOKUP("AdjustmentsForIncreaseDecreaseInOtherCurrentLiabilities",MT_HS_STANDALONE!$C:$C,MT_HS_STANDALONE!H:H,0,0,1)</f>
        <v/>
      </c>
      <c r="J99" s="7">
        <f>_xlfn.XLOOKUP("AdjustmentsForIncreaseDecreaseInOtherCurrentLiabilities",MT_HS_STANDALONE!$C:$C,MT_HS_STANDALONE!I:I,0,0,1)</f>
        <v/>
      </c>
    </row>
    <row r="100">
      <c r="D100" s="6" t="inlineStr">
        <is>
          <t>Adjustments for depreciation and amortisation expense</t>
        </is>
      </c>
      <c r="E100" s="7">
        <f>_xlfn.XLOOKUP("AdjustmentsForDepreciationAndAmortisationExpense",MT_HS_STANDALONE!$C:$C,MT_HS_STANDALONE!D:D,0,0,1)</f>
        <v/>
      </c>
      <c r="F100" s="7">
        <f>_xlfn.XLOOKUP("AdjustmentsForDepreciationAndAmortisationExpense",MT_HS_STANDALONE!$C:$C,MT_HS_STANDALONE!E:E,0,0,1)</f>
        <v/>
      </c>
      <c r="G100" s="7">
        <f>_xlfn.XLOOKUP("AdjustmentsForDepreciationAndAmortisationExpense",MT_HS_STANDALONE!$C:$C,MT_HS_STANDALONE!F:F,0,0,1)</f>
        <v/>
      </c>
      <c r="H100" s="7">
        <f>_xlfn.XLOOKUP("AdjustmentsForDepreciationAndAmortisationExpense",MT_HS_STANDALONE!$C:$C,MT_HS_STANDALONE!G:G,0,0,1)</f>
        <v/>
      </c>
      <c r="I100" s="7">
        <f>_xlfn.XLOOKUP("AdjustmentsForDepreciationAndAmortisationExpense",MT_HS_STANDALONE!$C:$C,MT_HS_STANDALONE!H:H,0,0,1)</f>
        <v/>
      </c>
      <c r="J100" s="7">
        <f>_xlfn.XLOOKUP("AdjustmentsForDepreciationAndAmortisationExpense",MT_HS_STANDALONE!$C:$C,MT_HS_STANDALONE!I:I,0,0,1)</f>
        <v/>
      </c>
    </row>
    <row r="101">
      <c r="D101" s="6" t="inlineStr">
        <is>
          <t>Adjustments for impairment loss reversal of impairment loss recognised in profit or loss</t>
        </is>
      </c>
      <c r="E101" s="7">
        <f>_xlfn.XLOOKUP("AdjustmentsForImpairmentLossReversalOfImpairmentLossRecognisedInProfitOrLoss",MT_HS_STANDALONE!$C:$C,MT_HS_STANDALONE!D:D,0,0,1)</f>
        <v/>
      </c>
      <c r="F101" s="7">
        <f>_xlfn.XLOOKUP("AdjustmentsForImpairmentLossReversalOfImpairmentLossRecognisedInProfitOrLoss",MT_HS_STANDALONE!$C:$C,MT_HS_STANDALONE!E:E,0,0,1)</f>
        <v/>
      </c>
      <c r="G101" s="7">
        <f>_xlfn.XLOOKUP("AdjustmentsForImpairmentLossReversalOfImpairmentLossRecognisedInProfitOrLoss",MT_HS_STANDALONE!$C:$C,MT_HS_STANDALONE!F:F,0,0,1)</f>
        <v/>
      </c>
      <c r="H101" s="7">
        <f>_xlfn.XLOOKUP("AdjustmentsForImpairmentLossReversalOfImpairmentLossRecognisedInProfitOrLoss",MT_HS_STANDALONE!$C:$C,MT_HS_STANDALONE!G:G,0,0,1)</f>
        <v/>
      </c>
      <c r="I101" s="7">
        <f>_xlfn.XLOOKUP("AdjustmentsForImpairmentLossReversalOfImpairmentLossRecognisedInProfitOrLoss",MT_HS_STANDALONE!$C:$C,MT_HS_STANDALONE!H:H,0,0,1)</f>
        <v/>
      </c>
      <c r="J101" s="7">
        <f>_xlfn.XLOOKUP("AdjustmentsForImpairmentLossReversalOfImpairmentLossRecognisedInProfitOrLoss",MT_HS_STANDALONE!$C:$C,MT_HS_STANDALONE!I:I,0,0,1)</f>
        <v/>
      </c>
    </row>
    <row r="102">
      <c r="D102" s="6" t="inlineStr">
        <is>
          <t>Adjustments for provisions, current</t>
        </is>
      </c>
      <c r="E102" s="7">
        <f>_xlfn.XLOOKUP("AdjustmentsForProvisionsCurrent",MT_HS_STANDALONE!$C:$C,MT_HS_STANDALONE!D:D,0,0,1)</f>
        <v/>
      </c>
      <c r="F102" s="7">
        <f>_xlfn.XLOOKUP("AdjustmentsForProvisionsCurrent",MT_HS_STANDALONE!$C:$C,MT_HS_STANDALONE!E:E,0,0,1)</f>
        <v/>
      </c>
      <c r="G102" s="7">
        <f>_xlfn.XLOOKUP("AdjustmentsForProvisionsCurrent",MT_HS_STANDALONE!$C:$C,MT_HS_STANDALONE!F:F,0,0,1)</f>
        <v/>
      </c>
      <c r="H102" s="7">
        <f>_xlfn.XLOOKUP("AdjustmentsForProvisionsCurrent",MT_HS_STANDALONE!$C:$C,MT_HS_STANDALONE!G:G,0,0,1)</f>
        <v/>
      </c>
      <c r="I102" s="7">
        <f>_xlfn.XLOOKUP("AdjustmentsForProvisionsCurrent",MT_HS_STANDALONE!$C:$C,MT_HS_STANDALONE!H:H,0,0,1)</f>
        <v/>
      </c>
      <c r="J102" s="7">
        <f>_xlfn.XLOOKUP("AdjustmentsForProvisionsCurrent",MT_HS_STANDALONE!$C:$C,MT_HS_STANDALONE!I:I,0,0,1)</f>
        <v/>
      </c>
    </row>
    <row r="103">
      <c r="D103" s="6" t="inlineStr">
        <is>
          <t>Adjustments for other financial liabilities, current</t>
        </is>
      </c>
      <c r="E103" s="7">
        <f>_xlfn.XLOOKUP("AdjustmentsForOtherFinancialLiabilitiesCurrent",MT_HS_STANDALONE!$C:$C,MT_HS_STANDALONE!D:D,0,0,1)</f>
        <v/>
      </c>
      <c r="F103" s="7">
        <f>_xlfn.XLOOKUP("AdjustmentsForOtherFinancialLiabilitiesCurrent",MT_HS_STANDALONE!$C:$C,MT_HS_STANDALONE!E:E,0,0,1)</f>
        <v/>
      </c>
      <c r="G103" s="7">
        <f>_xlfn.XLOOKUP("AdjustmentsForOtherFinancialLiabilitiesCurrent",MT_HS_STANDALONE!$C:$C,MT_HS_STANDALONE!F:F,0,0,1)</f>
        <v/>
      </c>
      <c r="H103" s="7">
        <f>_xlfn.XLOOKUP("AdjustmentsForOtherFinancialLiabilitiesCurrent",MT_HS_STANDALONE!$C:$C,MT_HS_STANDALONE!G:G,0,0,1)</f>
        <v/>
      </c>
      <c r="I103" s="7">
        <f>_xlfn.XLOOKUP("AdjustmentsForOtherFinancialLiabilitiesCurrent",MT_HS_STANDALONE!$C:$C,MT_HS_STANDALONE!H:H,0,0,1)</f>
        <v/>
      </c>
      <c r="J103" s="7">
        <f>_xlfn.XLOOKUP("AdjustmentsForOtherFinancialLiabilitiesCurrent",MT_HS_STANDALONE!$C:$C,MT_HS_STANDALONE!I:I,0,0,1)</f>
        <v/>
      </c>
    </row>
    <row r="104">
      <c r="D104" s="6" t="inlineStr">
        <is>
          <t>Adjustments for unrealised foreign exchange losses gains</t>
        </is>
      </c>
      <c r="E104" s="7">
        <f>_xlfn.XLOOKUP("AdjustmentsForUnrealisedForeignExchangeLossesGains",MT_HS_STANDALONE!$C:$C,MT_HS_STANDALONE!D:D,0,0,1)</f>
        <v/>
      </c>
      <c r="F104" s="7">
        <f>_xlfn.XLOOKUP("AdjustmentsForUnrealisedForeignExchangeLossesGains",MT_HS_STANDALONE!$C:$C,MT_HS_STANDALONE!E:E,0,0,1)</f>
        <v/>
      </c>
      <c r="G104" s="7">
        <f>_xlfn.XLOOKUP("AdjustmentsForUnrealisedForeignExchangeLossesGains",MT_HS_STANDALONE!$C:$C,MT_HS_STANDALONE!F:F,0,0,1)</f>
        <v/>
      </c>
      <c r="H104" s="7">
        <f>_xlfn.XLOOKUP("AdjustmentsForUnrealisedForeignExchangeLossesGains",MT_HS_STANDALONE!$C:$C,MT_HS_STANDALONE!G:G,0,0,1)</f>
        <v/>
      </c>
      <c r="I104" s="7">
        <f>_xlfn.XLOOKUP("AdjustmentsForUnrealisedForeignExchangeLossesGains",MT_HS_STANDALONE!$C:$C,MT_HS_STANDALONE!H:H,0,0,1)</f>
        <v/>
      </c>
      <c r="J104" s="7">
        <f>_xlfn.XLOOKUP("AdjustmentsForUnrealisedForeignExchangeLossesGains",MT_HS_STANDALONE!$C:$C,MT_HS_STANDALONE!I:I,0,0,1)</f>
        <v/>
      </c>
    </row>
    <row r="105">
      <c r="D105" s="6" t="inlineStr">
        <is>
          <t>Adjustments for dividend income</t>
        </is>
      </c>
      <c r="E105" s="7">
        <f>_xlfn.XLOOKUP("AdjustmentsForDividendIncome",MT_HS_STANDALONE!$C:$C,MT_HS_STANDALONE!D:D,0,0,1)</f>
        <v/>
      </c>
      <c r="F105" s="7">
        <f>_xlfn.XLOOKUP("AdjustmentsForDividendIncome",MT_HS_STANDALONE!$C:$C,MT_HS_STANDALONE!E:E,0,0,1)</f>
        <v/>
      </c>
      <c r="G105" s="7">
        <f>_xlfn.XLOOKUP("AdjustmentsForDividendIncome",MT_HS_STANDALONE!$C:$C,MT_HS_STANDALONE!F:F,0,0,1)</f>
        <v/>
      </c>
      <c r="H105" s="7">
        <f>_xlfn.XLOOKUP("AdjustmentsForDividendIncome",MT_HS_STANDALONE!$C:$C,MT_HS_STANDALONE!G:G,0,0,1)</f>
        <v/>
      </c>
      <c r="I105" s="7">
        <f>_xlfn.XLOOKUP("AdjustmentsForDividendIncome",MT_HS_STANDALONE!$C:$C,MT_HS_STANDALONE!H:H,0,0,1)</f>
        <v/>
      </c>
      <c r="J105" s="7">
        <f>_xlfn.XLOOKUP("AdjustmentsForDividendIncome",MT_HS_STANDALONE!$C:$C,MT_HS_STANDALONE!I:I,0,0,1)</f>
        <v/>
      </c>
    </row>
    <row r="106">
      <c r="D106" s="6" t="inlineStr">
        <is>
          <t>Adjustments for interest income</t>
        </is>
      </c>
      <c r="E106" s="7">
        <f>_xlfn.XLOOKUP("AdjustmentsForInterestIncome",MT_HS_STANDALONE!$C:$C,MT_HS_STANDALONE!D:D,0,0,1)</f>
        <v/>
      </c>
      <c r="F106" s="7">
        <f>_xlfn.XLOOKUP("AdjustmentsForInterestIncome",MT_HS_STANDALONE!$C:$C,MT_HS_STANDALONE!E:E,0,0,1)</f>
        <v/>
      </c>
      <c r="G106" s="7">
        <f>_xlfn.XLOOKUP("AdjustmentsForInterestIncome",MT_HS_STANDALONE!$C:$C,MT_HS_STANDALONE!F:F,0,0,1)</f>
        <v/>
      </c>
      <c r="H106" s="7">
        <f>_xlfn.XLOOKUP("AdjustmentsForInterestIncome",MT_HS_STANDALONE!$C:$C,MT_HS_STANDALONE!G:G,0,0,1)</f>
        <v/>
      </c>
      <c r="I106" s="7">
        <f>_xlfn.XLOOKUP("AdjustmentsForInterestIncome",MT_HS_STANDALONE!$C:$C,MT_HS_STANDALONE!H:H,0,0,1)</f>
        <v/>
      </c>
      <c r="J106" s="7">
        <f>_xlfn.XLOOKUP("AdjustmentsForInterestIncome",MT_HS_STANDALONE!$C:$C,MT_HS_STANDALONE!I:I,0,0,1)</f>
        <v/>
      </c>
    </row>
    <row r="107">
      <c r="D107" s="6" t="inlineStr">
        <is>
          <t>Adjustments for share-based payments</t>
        </is>
      </c>
      <c r="E107" s="7">
        <f>_xlfn.XLOOKUP("AdjustmentsForSharebasedPayments",MT_HS_STANDALONE!$C:$C,MT_HS_STANDALONE!D:D,0,0,1)</f>
        <v/>
      </c>
      <c r="F107" s="7">
        <f>_xlfn.XLOOKUP("AdjustmentsForSharebasedPayments",MT_HS_STANDALONE!$C:$C,MT_HS_STANDALONE!E:E,0,0,1)</f>
        <v/>
      </c>
      <c r="G107" s="7">
        <f>_xlfn.XLOOKUP("AdjustmentsForSharebasedPayments",MT_HS_STANDALONE!$C:$C,MT_HS_STANDALONE!F:F,0,0,1)</f>
        <v/>
      </c>
      <c r="H107" s="7">
        <f>_xlfn.XLOOKUP("AdjustmentsForSharebasedPayments",MT_HS_STANDALONE!$C:$C,MT_HS_STANDALONE!G:G,0,0,1)</f>
        <v/>
      </c>
      <c r="I107" s="7">
        <f>_xlfn.XLOOKUP("AdjustmentsForSharebasedPayments",MT_HS_STANDALONE!$C:$C,MT_HS_STANDALONE!H:H,0,0,1)</f>
        <v/>
      </c>
      <c r="J107" s="7">
        <f>_xlfn.XLOOKUP("AdjustmentsForSharebasedPayments",MT_HS_STANDALONE!$C:$C,MT_HS_STANDALONE!I:I,0,0,1)</f>
        <v/>
      </c>
    </row>
    <row r="108">
      <c r="D108" s="6" t="inlineStr">
        <is>
          <t>Adjustments for fair value losses (gains)</t>
        </is>
      </c>
      <c r="E108" s="7">
        <f>_xlfn.XLOOKUP("AdjustmentsForFairValueGainsLosses",MT_HS_STANDALONE!$C:$C,MT_HS_STANDALONE!D:D,0,0,1)</f>
        <v/>
      </c>
      <c r="F108" s="7">
        <f>_xlfn.XLOOKUP("AdjustmentsForFairValueGainsLosses",MT_HS_STANDALONE!$C:$C,MT_HS_STANDALONE!E:E,0,0,1)</f>
        <v/>
      </c>
      <c r="G108" s="7">
        <f>_xlfn.XLOOKUP("AdjustmentsForFairValueGainsLosses",MT_HS_STANDALONE!$C:$C,MT_HS_STANDALONE!F:F,0,0,1)</f>
        <v/>
      </c>
      <c r="H108" s="7">
        <f>_xlfn.XLOOKUP("AdjustmentsForFairValueGainsLosses",MT_HS_STANDALONE!$C:$C,MT_HS_STANDALONE!G:G,0,0,1)</f>
        <v/>
      </c>
      <c r="I108" s="7">
        <f>_xlfn.XLOOKUP("AdjustmentsForFairValueGainsLosses",MT_HS_STANDALONE!$C:$C,MT_HS_STANDALONE!H:H,0,0,1)</f>
        <v/>
      </c>
      <c r="J108" s="7">
        <f>_xlfn.XLOOKUP("AdjustmentsForFairValueGainsLosses",MT_HS_STANDALONE!$C:$C,MT_HS_STANDALONE!I:I,0,0,1)</f>
        <v/>
      </c>
    </row>
    <row r="109">
      <c r="D109" s="6" t="inlineStr">
        <is>
          <t>Other adjustments for which cash effects are investing or financing cash flow</t>
        </is>
      </c>
      <c r="E109" s="7">
        <f>_xlfn.XLOOKUP("OtherAdjustmentsForWhichCashEffectsAreInvestingOrFinancingCashFlow",MT_HS_STANDALONE!$C:$C,MT_HS_STANDALONE!D:D,0,0,1)</f>
        <v/>
      </c>
      <c r="F109" s="7">
        <f>_xlfn.XLOOKUP("OtherAdjustmentsForWhichCashEffectsAreInvestingOrFinancingCashFlow",MT_HS_STANDALONE!$C:$C,MT_HS_STANDALONE!E:E,0,0,1)</f>
        <v/>
      </c>
      <c r="G109" s="7">
        <f>_xlfn.XLOOKUP("OtherAdjustmentsForWhichCashEffectsAreInvestingOrFinancingCashFlow",MT_HS_STANDALONE!$C:$C,MT_HS_STANDALONE!F:F,0,0,1)</f>
        <v/>
      </c>
      <c r="H109" s="7">
        <f>_xlfn.XLOOKUP("OtherAdjustmentsForWhichCashEffectsAreInvestingOrFinancingCashFlow",MT_HS_STANDALONE!$C:$C,MT_HS_STANDALONE!G:G,0,0,1)</f>
        <v/>
      </c>
      <c r="I109" s="7">
        <f>_xlfn.XLOOKUP("OtherAdjustmentsForWhichCashEffectsAreInvestingOrFinancingCashFlow",MT_HS_STANDALONE!$C:$C,MT_HS_STANDALONE!H:H,0,0,1)</f>
        <v/>
      </c>
      <c r="J109" s="7">
        <f>_xlfn.XLOOKUP("OtherAdjustmentsForWhichCashEffectsAreInvestingOrFinancingCashFlow",MT_HS_STANDALONE!$C:$C,MT_HS_STANDALONE!I:I,0,0,1)</f>
        <v/>
      </c>
    </row>
    <row r="110">
      <c r="D110" s="6" t="inlineStr">
        <is>
          <t>Other adjustments to reconcile profit (loss)</t>
        </is>
      </c>
      <c r="E110" s="7">
        <f>_xlfn.XLOOKUP("OtherAdjustmentsToReconcileProfitLoss",MT_HS_STANDALONE!$C:$C,MT_HS_STANDALONE!D:D,0,0,1)</f>
        <v/>
      </c>
      <c r="F110" s="7">
        <f>_xlfn.XLOOKUP("OtherAdjustmentsToReconcileProfitLoss",MT_HS_STANDALONE!$C:$C,MT_HS_STANDALONE!E:E,0,0,1)</f>
        <v/>
      </c>
      <c r="G110" s="7">
        <f>_xlfn.XLOOKUP("OtherAdjustmentsToReconcileProfitLoss",MT_HS_STANDALONE!$C:$C,MT_HS_STANDALONE!F:F,0,0,1)</f>
        <v/>
      </c>
      <c r="H110" s="7">
        <f>_xlfn.XLOOKUP("OtherAdjustmentsToReconcileProfitLoss",MT_HS_STANDALONE!$C:$C,MT_HS_STANDALONE!G:G,0,0,1)</f>
        <v/>
      </c>
      <c r="I110" s="7">
        <f>_xlfn.XLOOKUP("OtherAdjustmentsToReconcileProfitLoss",MT_HS_STANDALONE!$C:$C,MT_HS_STANDALONE!H:H,0,0,1)</f>
        <v/>
      </c>
      <c r="J110" s="7">
        <f>_xlfn.XLOOKUP("OtherAdjustmentsToReconcileProfitLoss",MT_HS_STANDALONE!$C:$C,MT_HS_STANDALONE!I:I,0,0,1)</f>
        <v/>
      </c>
    </row>
    <row r="111">
      <c r="D111" s="6" t="inlineStr">
        <is>
          <t>Other adjustments for non-cash items</t>
        </is>
      </c>
      <c r="E111" s="7">
        <f>_xlfn.XLOOKUP("OtherAdjustmentsForNoncashItems",MT_HS_STANDALONE!$C:$C,MT_HS_STANDALONE!D:D,0,0,1)</f>
        <v/>
      </c>
      <c r="F111" s="7">
        <f>_xlfn.XLOOKUP("OtherAdjustmentsForNoncashItems",MT_HS_STANDALONE!$C:$C,MT_HS_STANDALONE!E:E,0,0,1)</f>
        <v/>
      </c>
      <c r="G111" s="7">
        <f>_xlfn.XLOOKUP("OtherAdjustmentsForNoncashItems",MT_HS_STANDALONE!$C:$C,MT_HS_STANDALONE!F:F,0,0,1)</f>
        <v/>
      </c>
      <c r="H111" s="7">
        <f>_xlfn.XLOOKUP("OtherAdjustmentsForNoncashItems",MT_HS_STANDALONE!$C:$C,MT_HS_STANDALONE!G:G,0,0,1)</f>
        <v/>
      </c>
      <c r="I111" s="7">
        <f>_xlfn.XLOOKUP("OtherAdjustmentsForNoncashItems",MT_HS_STANDALONE!$C:$C,MT_HS_STANDALONE!H:H,0,0,1)</f>
        <v/>
      </c>
      <c r="J111" s="7">
        <f>_xlfn.XLOOKUP("OtherAdjustmentsForNoncashItems",MT_HS_STANDALONE!$C:$C,MT_HS_STANDALONE!I:I,0,0,1)</f>
        <v/>
      </c>
    </row>
    <row r="112">
      <c r="D112" s="6" t="inlineStr">
        <is>
          <t>Total adjustments for reconcile profit (loss)</t>
        </is>
      </c>
      <c r="E112" s="7">
        <f>_xlfn.XLOOKUP("AdjustmentsForReconcileProfitLoss",MT_HS_STANDALONE!$C:$C,MT_HS_STANDALONE!D:D,0,0,1)</f>
        <v/>
      </c>
      <c r="F112" s="7">
        <f>_xlfn.XLOOKUP("AdjustmentsForReconcileProfitLoss",MT_HS_STANDALONE!$C:$C,MT_HS_STANDALONE!E:E,0,0,1)</f>
        <v/>
      </c>
      <c r="G112" s="7">
        <f>_xlfn.XLOOKUP("AdjustmentsForReconcileProfitLoss",MT_HS_STANDALONE!$C:$C,MT_HS_STANDALONE!F:F,0,0,1)</f>
        <v/>
      </c>
      <c r="H112" s="7">
        <f>_xlfn.XLOOKUP("AdjustmentsForReconcileProfitLoss",MT_HS_STANDALONE!$C:$C,MT_HS_STANDALONE!G:G,0,0,1)</f>
        <v/>
      </c>
      <c r="I112" s="7">
        <f>_xlfn.XLOOKUP("AdjustmentsForReconcileProfitLoss",MT_HS_STANDALONE!$C:$C,MT_HS_STANDALONE!H:H,0,0,1)</f>
        <v/>
      </c>
      <c r="J112" s="7">
        <f>_xlfn.XLOOKUP("AdjustmentsForReconcileProfitLoss",MT_HS_STANDALONE!$C:$C,MT_HS_STANDALONE!I:I,0,0,1)</f>
        <v/>
      </c>
    </row>
    <row r="113">
      <c r="C113" s="8" t="inlineStr">
        <is>
          <t>Net cash flows from (used in) operations</t>
        </is>
      </c>
      <c r="E113" s="9">
        <f>IFERROR(E112+E90,0)</f>
        <v/>
      </c>
      <c r="F113" s="9">
        <f>IFERROR(F112+F90,0)</f>
        <v/>
      </c>
      <c r="G113" s="9">
        <f>IFERROR(G112+G90,0)</f>
        <v/>
      </c>
      <c r="H113" s="9">
        <f>IFERROR(H112+H90,0)</f>
        <v/>
      </c>
      <c r="I113" s="9">
        <f>IFERROR(I112+I90,0)</f>
        <v/>
      </c>
      <c r="J113" s="9">
        <f>IFERROR(J112+J90,0)</f>
        <v/>
      </c>
    </row>
    <row r="114">
      <c r="C114" s="6" t="inlineStr">
        <is>
          <t>Income taxes paid (refund)</t>
        </is>
      </c>
      <c r="E114" s="7">
        <f>-_xlfn.XLOOKUP("IncomeTaxesPaidRefundClassifiedAsOperatingActivities",MT_HS_STANDALONE!$C:$C,MT_HS_STANDALONE!D:D,0,0,1)</f>
        <v/>
      </c>
      <c r="F114" s="7">
        <f>-_xlfn.XLOOKUP("IncomeTaxesPaidRefundClassifiedAsOperatingActivities",MT_HS_STANDALONE!$C:$C,MT_HS_STANDALONE!E:E,0,0,1)</f>
        <v/>
      </c>
      <c r="G114" s="7">
        <f>-_xlfn.XLOOKUP("IncomeTaxesPaidRefundClassifiedAsOperatingActivities",MT_HS_STANDALONE!$C:$C,MT_HS_STANDALONE!F:F,0,0,1)</f>
        <v/>
      </c>
      <c r="H114" s="7">
        <f>-_xlfn.XLOOKUP("IncomeTaxesPaidRefundClassifiedAsOperatingActivities",MT_HS_STANDALONE!$C:$C,MT_HS_STANDALONE!G:G,0,0,1)</f>
        <v/>
      </c>
      <c r="I114" s="7">
        <f>-_xlfn.XLOOKUP("IncomeTaxesPaidRefundClassifiedAsOperatingActivities",MT_HS_STANDALONE!$C:$C,MT_HS_STANDALONE!H:H,0,0,1)</f>
        <v/>
      </c>
      <c r="J114" s="7">
        <f>-_xlfn.XLOOKUP("IncomeTaxesPaidRefundClassifiedAsOperatingActivities",MT_HS_STANDALONE!$C:$C,MT_HS_STANDALONE!I:I,0,0,1)</f>
        <v/>
      </c>
    </row>
    <row r="115">
      <c r="C115" s="8" t="inlineStr">
        <is>
          <t>Net cash flows from (used in) operating activities</t>
        </is>
      </c>
      <c r="E115" s="9">
        <f>IFERROR(SUM(E113:E114),0)</f>
        <v/>
      </c>
      <c r="F115" s="9">
        <f>IFERROR(SUM(F113:F114),0)</f>
        <v/>
      </c>
      <c r="G115" s="9">
        <f>IFERROR(SUM(G113:G114),0)</f>
        <v/>
      </c>
      <c r="H115" s="9">
        <f>IFERROR(SUM(H113:H114),0)</f>
        <v/>
      </c>
      <c r="I115" s="9">
        <f>IFERROR(SUM(I113:I114),0)</f>
        <v/>
      </c>
      <c r="J115" s="9">
        <f>IFERROR(SUM(J113:J114),0)</f>
        <v/>
      </c>
    </row>
    <row r="116">
      <c r="C116" s="5" t="inlineStr">
        <is>
          <t>Cash flows from used in investing activities [Abstract]</t>
        </is>
      </c>
    </row>
    <row r="117">
      <c r="D117" s="6" t="inlineStr">
        <is>
          <t>Cash flows used in obtaining control of subsidiaries or other businesses</t>
        </is>
      </c>
      <c r="E117" s="7">
        <f>-_xlfn.XLOOKUP("CashFlowsUsedInObtainingControlOfSubsidiariesOrOtherBusinessesClassifiedAsInvestingActivities",MT_HS_STANDALONE!$C:$C,MT_HS_STANDALONE!D:D,0,0,1)</f>
        <v/>
      </c>
      <c r="F117" s="7">
        <f>-_xlfn.XLOOKUP("CashFlowsUsedInObtainingControlOfSubsidiariesOrOtherBusinessesClassifiedAsInvestingActivities",MT_HS_STANDALONE!$C:$C,MT_HS_STANDALONE!E:E,0,0,1)</f>
        <v/>
      </c>
      <c r="G117" s="7">
        <f>-_xlfn.XLOOKUP("CashFlowsUsedInObtainingControlOfSubsidiariesOrOtherBusinessesClassifiedAsInvestingActivities",MT_HS_STANDALONE!$C:$C,MT_HS_STANDALONE!F:F,0,0,1)</f>
        <v/>
      </c>
      <c r="H117" s="7">
        <f>-_xlfn.XLOOKUP("CashFlowsUsedInObtainingControlOfSubsidiariesOrOtherBusinessesClassifiedAsInvestingActivities",MT_HS_STANDALONE!$C:$C,MT_HS_STANDALONE!G:G,0,0,1)</f>
        <v/>
      </c>
      <c r="I117" s="7">
        <f>-_xlfn.XLOOKUP("CashFlowsUsedInObtainingControlOfSubsidiariesOrOtherBusinessesClassifiedAsInvestingActivities",MT_HS_STANDALONE!$C:$C,MT_HS_STANDALONE!H:H,0,0,1)</f>
        <v/>
      </c>
      <c r="J117" s="7">
        <f>-_xlfn.XLOOKUP("CashFlowsUsedInObtainingControlOfSubsidiariesOrOtherBusinessesClassifiedAsInvestingActivities",MT_HS_STANDALONE!$C:$C,MT_HS_STANDALONE!I:I,0,0,1)</f>
        <v/>
      </c>
    </row>
    <row r="118">
      <c r="D118" s="6" t="inlineStr">
        <is>
          <t>Other cash receipts from sales of equity or debt instruments of other entities</t>
        </is>
      </c>
      <c r="E118" s="7">
        <f>_xlfn.XLOOKUP("OtherCashReceiptsFromSalesOfEquityOrDebtInstrumentsOfOtherEntitiesClassifiedAsInvestingActivities",MT_HS_STANDALONE!$C:$C,MT_HS_STANDALONE!D:D,0,0,1)</f>
        <v/>
      </c>
      <c r="F118" s="7">
        <f>_xlfn.XLOOKUP("OtherCashReceiptsFromSalesOfEquityOrDebtInstrumentsOfOtherEntitiesClassifiedAsInvestingActivities",MT_HS_STANDALONE!$C:$C,MT_HS_STANDALONE!E:E,0,0,1)</f>
        <v/>
      </c>
      <c r="G118" s="7">
        <f>_xlfn.XLOOKUP("OtherCashReceiptsFromSalesOfEquityOrDebtInstrumentsOfOtherEntitiesClassifiedAsInvestingActivities",MT_HS_STANDALONE!$C:$C,MT_HS_STANDALONE!F:F,0,0,1)</f>
        <v/>
      </c>
      <c r="H118" s="7">
        <f>_xlfn.XLOOKUP("OtherCashReceiptsFromSalesOfEquityOrDebtInstrumentsOfOtherEntitiesClassifiedAsInvestingActivities",MT_HS_STANDALONE!$C:$C,MT_HS_STANDALONE!G:G,0,0,1)</f>
        <v/>
      </c>
      <c r="I118" s="7">
        <f>_xlfn.XLOOKUP("OtherCashReceiptsFromSalesOfEquityOrDebtInstrumentsOfOtherEntitiesClassifiedAsInvestingActivities",MT_HS_STANDALONE!$C:$C,MT_HS_STANDALONE!H:H,0,0,1)</f>
        <v/>
      </c>
      <c r="J118" s="7">
        <f>_xlfn.XLOOKUP("OtherCashReceiptsFromSalesOfEquityOrDebtInstrumentsOfOtherEntitiesClassifiedAsInvestingActivities",MT_HS_STANDALONE!$C:$C,MT_HS_STANDALONE!I:I,0,0,1)</f>
        <v/>
      </c>
    </row>
    <row r="119">
      <c r="D119" s="6" t="inlineStr">
        <is>
          <t>Other cash payments to acquire equity or debt instruments of other entities</t>
        </is>
      </c>
      <c r="E119" s="7">
        <f>-_xlfn.XLOOKUP("OtherCashPaymentsToAcquireEquityOrDebtInstrumentsOfOtherEntitiesClassifiedAsInvestingActivities",MT_HS_STANDALONE!$C:$C,MT_HS_STANDALONE!D:D,0,0,1)</f>
        <v/>
      </c>
      <c r="F119" s="7">
        <f>-_xlfn.XLOOKUP("OtherCashPaymentsToAcquireEquityOrDebtInstrumentsOfOtherEntitiesClassifiedAsInvestingActivities",MT_HS_STANDALONE!$C:$C,MT_HS_STANDALONE!E:E,0,0,1)</f>
        <v/>
      </c>
      <c r="G119" s="7">
        <f>-_xlfn.XLOOKUP("OtherCashPaymentsToAcquireEquityOrDebtInstrumentsOfOtherEntitiesClassifiedAsInvestingActivities",MT_HS_STANDALONE!$C:$C,MT_HS_STANDALONE!F:F,0,0,1)</f>
        <v/>
      </c>
      <c r="H119" s="7">
        <f>-_xlfn.XLOOKUP("OtherCashPaymentsToAcquireEquityOrDebtInstrumentsOfOtherEntitiesClassifiedAsInvestingActivities",MT_HS_STANDALONE!$C:$C,MT_HS_STANDALONE!G:G,0,0,1)</f>
        <v/>
      </c>
      <c r="I119" s="7">
        <f>-_xlfn.XLOOKUP("OtherCashPaymentsToAcquireEquityOrDebtInstrumentsOfOtherEntitiesClassifiedAsInvestingActivities",MT_HS_STANDALONE!$C:$C,MT_HS_STANDALONE!H:H,0,0,1)</f>
        <v/>
      </c>
      <c r="J119" s="7">
        <f>-_xlfn.XLOOKUP("OtherCashPaymentsToAcquireEquityOrDebtInstrumentsOfOtherEntitiesClassifiedAsInvestingActivities",MT_HS_STANDALONE!$C:$C,MT_HS_STANDALONE!I:I,0,0,1)</f>
        <v/>
      </c>
    </row>
    <row r="120">
      <c r="D120" s="6" t="inlineStr">
        <is>
          <t>Other cash receipts from sales of interests in joint ventures</t>
        </is>
      </c>
      <c r="E120" s="7">
        <f>_xlfn.XLOOKUP("OtherCashReceiptsFromSalesOfInterestsInJointVenturesClassifiedAsInvestingActivities",MT_HS_STANDALONE!$C:$C,MT_HS_STANDALONE!D:D,0,0,1)</f>
        <v/>
      </c>
      <c r="F120" s="7">
        <f>_xlfn.XLOOKUP("OtherCashReceiptsFromSalesOfInterestsInJointVenturesClassifiedAsInvestingActivities",MT_HS_STANDALONE!$C:$C,MT_HS_STANDALONE!E:E,0,0,1)</f>
        <v/>
      </c>
      <c r="G120" s="7">
        <f>_xlfn.XLOOKUP("OtherCashReceiptsFromSalesOfInterestsInJointVenturesClassifiedAsInvestingActivities",MT_HS_STANDALONE!$C:$C,MT_HS_STANDALONE!F:F,0,0,1)</f>
        <v/>
      </c>
      <c r="H120" s="7">
        <f>_xlfn.XLOOKUP("OtherCashReceiptsFromSalesOfInterestsInJointVenturesClassifiedAsInvestingActivities",MT_HS_STANDALONE!$C:$C,MT_HS_STANDALONE!G:G,0,0,1)</f>
        <v/>
      </c>
      <c r="I120" s="7">
        <f>_xlfn.XLOOKUP("OtherCashReceiptsFromSalesOfInterestsInJointVenturesClassifiedAsInvestingActivities",MT_HS_STANDALONE!$C:$C,MT_HS_STANDALONE!H:H,0,0,1)</f>
        <v/>
      </c>
      <c r="J120" s="7">
        <f>_xlfn.XLOOKUP("OtherCashReceiptsFromSalesOfInterestsInJointVenturesClassifiedAsInvestingActivities",MT_HS_STANDALONE!$C:$C,MT_HS_STANDALONE!I:I,0,0,1)</f>
        <v/>
      </c>
    </row>
    <row r="121">
      <c r="D121" s="6" t="inlineStr">
        <is>
          <t>Proceeds from sales of property, plant and equipment</t>
        </is>
      </c>
      <c r="E121" s="7">
        <f>_xlfn.XLOOKUP("ProceedsFromSalesOfPropertyPlantAndEquipmentClassifiedAsInvestingActivities",MT_HS_STANDALONE!$C:$C,MT_HS_STANDALONE!D:D,0,0,1)</f>
        <v/>
      </c>
      <c r="F121" s="7">
        <f>_xlfn.XLOOKUP("ProceedsFromSalesOfPropertyPlantAndEquipmentClassifiedAsInvestingActivities",MT_HS_STANDALONE!$C:$C,MT_HS_STANDALONE!E:E,0,0,1)</f>
        <v/>
      </c>
      <c r="G121" s="7">
        <f>_xlfn.XLOOKUP("ProceedsFromSalesOfPropertyPlantAndEquipmentClassifiedAsInvestingActivities",MT_HS_STANDALONE!$C:$C,MT_HS_STANDALONE!F:F,0,0,1)</f>
        <v/>
      </c>
      <c r="H121" s="7">
        <f>_xlfn.XLOOKUP("ProceedsFromSalesOfPropertyPlantAndEquipmentClassifiedAsInvestingActivities",MT_HS_STANDALONE!$C:$C,MT_HS_STANDALONE!G:G,0,0,1)</f>
        <v/>
      </c>
      <c r="I121" s="7">
        <f>_xlfn.XLOOKUP("ProceedsFromSalesOfPropertyPlantAndEquipmentClassifiedAsInvestingActivities",MT_HS_STANDALONE!$C:$C,MT_HS_STANDALONE!H:H,0,0,1)</f>
        <v/>
      </c>
      <c r="J121" s="7">
        <f>_xlfn.XLOOKUP("ProceedsFromSalesOfPropertyPlantAndEquipmentClassifiedAsInvestingActivities",MT_HS_STANDALONE!$C:$C,MT_HS_STANDALONE!I:I,0,0,1)</f>
        <v/>
      </c>
    </row>
    <row r="122">
      <c r="D122" s="6" t="inlineStr">
        <is>
          <t>Purchase of property, plant and equipment</t>
        </is>
      </c>
      <c r="E122" s="7">
        <f>-_xlfn.XLOOKUP("PurchaseOfPropertyPlantAndEquipmentClassifiedAsInvestingActivities",MT_HS_STANDALONE!$C:$C,MT_HS_STANDALONE!D:D,0,0,1)</f>
        <v/>
      </c>
      <c r="F122" s="7">
        <f>-_xlfn.XLOOKUP("PurchaseOfPropertyPlantAndEquipmentClassifiedAsInvestingActivities",MT_HS_STANDALONE!$C:$C,MT_HS_STANDALONE!E:E,0,0,1)</f>
        <v/>
      </c>
      <c r="G122" s="7">
        <f>-_xlfn.XLOOKUP("PurchaseOfPropertyPlantAndEquipmentClassifiedAsInvestingActivities",MT_HS_STANDALONE!$C:$C,MT_HS_STANDALONE!F:F,0,0,1)</f>
        <v/>
      </c>
      <c r="H122" s="7">
        <f>-_xlfn.XLOOKUP("PurchaseOfPropertyPlantAndEquipmentClassifiedAsInvestingActivities",MT_HS_STANDALONE!$C:$C,MT_HS_STANDALONE!G:G,0,0,1)</f>
        <v/>
      </c>
      <c r="I122" s="7">
        <f>-_xlfn.XLOOKUP("PurchaseOfPropertyPlantAndEquipmentClassifiedAsInvestingActivities",MT_HS_STANDALONE!$C:$C,MT_HS_STANDALONE!H:H,0,0,1)</f>
        <v/>
      </c>
      <c r="J122" s="7">
        <f>-_xlfn.XLOOKUP("PurchaseOfPropertyPlantAndEquipmentClassifiedAsInvestingActivities",MT_HS_STANDALONE!$C:$C,MT_HS_STANDALONE!I:I,0,0,1)</f>
        <v/>
      </c>
    </row>
    <row r="123">
      <c r="D123" s="6" t="inlineStr">
        <is>
          <t>Proceeds from sales of other long-term assets</t>
        </is>
      </c>
      <c r="E123" s="7">
        <f>_xlfn.XLOOKUP("ProceedsFromSalesOfOtherLongTermAssetsClassifiedAsInvestingActivities",MT_HS_STANDALONE!$C:$C,MT_HS_STANDALONE!D:D,0,0,1)</f>
        <v/>
      </c>
      <c r="F123" s="7">
        <f>_xlfn.XLOOKUP("ProceedsFromSalesOfOtherLongTermAssetsClassifiedAsInvestingActivities",MT_HS_STANDALONE!$C:$C,MT_HS_STANDALONE!E:E,0,0,1)</f>
        <v/>
      </c>
      <c r="G123" s="7">
        <f>_xlfn.XLOOKUP("ProceedsFromSalesOfOtherLongTermAssetsClassifiedAsInvestingActivities",MT_HS_STANDALONE!$C:$C,MT_HS_STANDALONE!F:F,0,0,1)</f>
        <v/>
      </c>
      <c r="H123" s="7">
        <f>_xlfn.XLOOKUP("ProceedsFromSalesOfOtherLongTermAssetsClassifiedAsInvestingActivities",MT_HS_STANDALONE!$C:$C,MT_HS_STANDALONE!G:G,0,0,1)</f>
        <v/>
      </c>
      <c r="I123" s="7">
        <f>_xlfn.XLOOKUP("ProceedsFromSalesOfOtherLongTermAssetsClassifiedAsInvestingActivities",MT_HS_STANDALONE!$C:$C,MT_HS_STANDALONE!H:H,0,0,1)</f>
        <v/>
      </c>
      <c r="J123" s="7">
        <f>_xlfn.XLOOKUP("ProceedsFromSalesOfOtherLongTermAssetsClassifiedAsInvestingActivities",MT_HS_STANDALONE!$C:$C,MT_HS_STANDALONE!I:I,0,0,1)</f>
        <v/>
      </c>
    </row>
    <row r="124">
      <c r="D124" s="6" t="inlineStr">
        <is>
          <t>Purchase of other long-term assets</t>
        </is>
      </c>
      <c r="E124" s="7">
        <f>-_xlfn.XLOOKUP("PurchaseOfOtherLongTermAssetsClassifiedAsInvestingActivities",MT_HS_STANDALONE!$C:$C,MT_HS_STANDALONE!D:D,0,0,1)</f>
        <v/>
      </c>
      <c r="F124" s="7">
        <f>-_xlfn.XLOOKUP("PurchaseOfOtherLongTermAssetsClassifiedAsInvestingActivities",MT_HS_STANDALONE!$C:$C,MT_HS_STANDALONE!E:E,0,0,1)</f>
        <v/>
      </c>
      <c r="G124" s="7">
        <f>-_xlfn.XLOOKUP("PurchaseOfOtherLongTermAssetsClassifiedAsInvestingActivities",MT_HS_STANDALONE!$C:$C,MT_HS_STANDALONE!F:F,0,0,1)</f>
        <v/>
      </c>
      <c r="H124" s="7">
        <f>-_xlfn.XLOOKUP("PurchaseOfOtherLongTermAssetsClassifiedAsInvestingActivities",MT_HS_STANDALONE!$C:$C,MT_HS_STANDALONE!G:G,0,0,1)</f>
        <v/>
      </c>
      <c r="I124" s="7">
        <f>-_xlfn.XLOOKUP("PurchaseOfOtherLongTermAssetsClassifiedAsInvestingActivities",MT_HS_STANDALONE!$C:$C,MT_HS_STANDALONE!H:H,0,0,1)</f>
        <v/>
      </c>
      <c r="J124" s="7">
        <f>-_xlfn.XLOOKUP("PurchaseOfOtherLongTermAssetsClassifiedAsInvestingActivities",MT_HS_STANDALONE!$C:$C,MT_HS_STANDALONE!I:I,0,0,1)</f>
        <v/>
      </c>
    </row>
    <row r="125">
      <c r="D125" s="6" t="inlineStr">
        <is>
          <t>Dividends received</t>
        </is>
      </c>
      <c r="E125" s="7">
        <f>_xlfn.XLOOKUP("DividendsReceivedClassifiedAsInvestingActivities",MT_HS_STANDALONE!$C:$C,MT_HS_STANDALONE!D:D,0,0,1)</f>
        <v/>
      </c>
      <c r="F125" s="7">
        <f>_xlfn.XLOOKUP("DividendsReceivedClassifiedAsInvestingActivities",MT_HS_STANDALONE!$C:$C,MT_HS_STANDALONE!E:E,0,0,1)</f>
        <v/>
      </c>
      <c r="G125" s="7">
        <f>_xlfn.XLOOKUP("DividendsReceivedClassifiedAsInvestingActivities",MT_HS_STANDALONE!$C:$C,MT_HS_STANDALONE!F:F,0,0,1)</f>
        <v/>
      </c>
      <c r="H125" s="7">
        <f>_xlfn.XLOOKUP("DividendsReceivedClassifiedAsInvestingActivities",MT_HS_STANDALONE!$C:$C,MT_HS_STANDALONE!G:G,0,0,1)</f>
        <v/>
      </c>
      <c r="I125" s="7">
        <f>_xlfn.XLOOKUP("DividendsReceivedClassifiedAsInvestingActivities",MT_HS_STANDALONE!$C:$C,MT_HS_STANDALONE!H:H,0,0,1)</f>
        <v/>
      </c>
      <c r="J125" s="7">
        <f>_xlfn.XLOOKUP("DividendsReceivedClassifiedAsInvestingActivities",MT_HS_STANDALONE!$C:$C,MT_HS_STANDALONE!I:I,0,0,1)</f>
        <v/>
      </c>
    </row>
    <row r="126">
      <c r="D126" s="6" t="inlineStr">
        <is>
          <t>Interest received</t>
        </is>
      </c>
      <c r="E126" s="7">
        <f>_xlfn.XLOOKUP("InterestReceivedClassifiedAsInvestingActivities",MT_HS_STANDALONE!$C:$C,MT_HS_STANDALONE!D:D,0,0,1)</f>
        <v/>
      </c>
      <c r="F126" s="7">
        <f>_xlfn.XLOOKUP("InterestReceivedClassifiedAsInvestingActivities",MT_HS_STANDALONE!$C:$C,MT_HS_STANDALONE!E:E,0,0,1)</f>
        <v/>
      </c>
      <c r="G126" s="7">
        <f>_xlfn.XLOOKUP("InterestReceivedClassifiedAsInvestingActivities",MT_HS_STANDALONE!$C:$C,MT_HS_STANDALONE!F:F,0,0,1)</f>
        <v/>
      </c>
      <c r="H126" s="7">
        <f>_xlfn.XLOOKUP("InterestReceivedClassifiedAsInvestingActivities",MT_HS_STANDALONE!$C:$C,MT_HS_STANDALONE!G:G,0,0,1)</f>
        <v/>
      </c>
      <c r="I126" s="7">
        <f>_xlfn.XLOOKUP("InterestReceivedClassifiedAsInvestingActivities",MT_HS_STANDALONE!$C:$C,MT_HS_STANDALONE!H:H,0,0,1)</f>
        <v/>
      </c>
      <c r="J126" s="7">
        <f>_xlfn.XLOOKUP("InterestReceivedClassifiedAsInvestingActivities",MT_HS_STANDALONE!$C:$C,MT_HS_STANDALONE!I:I,0,0,1)</f>
        <v/>
      </c>
    </row>
    <row r="127">
      <c r="D127" s="6" t="inlineStr">
        <is>
          <t>Other inflows (outflows) of cash</t>
        </is>
      </c>
      <c r="E127" s="7">
        <f>_xlfn.XLOOKUP("OtherInflowsOutflowsOfCashClassifiedAsInvestingActivities",MT_HS_STANDALONE!$C:$C,MT_HS_STANDALONE!D:D,0,0,1)</f>
        <v/>
      </c>
      <c r="F127" s="7">
        <f>_xlfn.XLOOKUP("OtherInflowsOutflowsOfCashClassifiedAsInvestingActivities",MT_HS_STANDALONE!$C:$C,MT_HS_STANDALONE!E:E,0,0,1)</f>
        <v/>
      </c>
      <c r="G127" s="7">
        <f>_xlfn.XLOOKUP("OtherInflowsOutflowsOfCashClassifiedAsInvestingActivities",MT_HS_STANDALONE!$C:$C,MT_HS_STANDALONE!F:F,0,0,1)</f>
        <v/>
      </c>
      <c r="H127" s="7">
        <f>_xlfn.XLOOKUP("OtherInflowsOutflowsOfCashClassifiedAsInvestingActivities",MT_HS_STANDALONE!$C:$C,MT_HS_STANDALONE!G:G,0,0,1)</f>
        <v/>
      </c>
      <c r="I127" s="7">
        <f>_xlfn.XLOOKUP("OtherInflowsOutflowsOfCashClassifiedAsInvestingActivities",MT_HS_STANDALONE!$C:$C,MT_HS_STANDALONE!H:H,0,0,1)</f>
        <v/>
      </c>
      <c r="J127" s="7">
        <f>_xlfn.XLOOKUP("OtherInflowsOutflowsOfCashClassifiedAsInvestingActivities",MT_HS_STANDALONE!$C:$C,MT_HS_STANDALONE!I:I,0,0,1)</f>
        <v/>
      </c>
    </row>
    <row r="128">
      <c r="D128" s="8" t="inlineStr">
        <is>
          <t>Net cash flows from (used in) investing activities</t>
        </is>
      </c>
      <c r="E128" s="9">
        <f>IFERROR(SUM(E117:E127),0)</f>
        <v/>
      </c>
      <c r="F128" s="9">
        <f>IFERROR(SUM(F117:F127),0)</f>
        <v/>
      </c>
      <c r="G128" s="9">
        <f>IFERROR(SUM(G117:G127),0)</f>
        <v/>
      </c>
      <c r="H128" s="9">
        <f>IFERROR(SUM(H117:H127),0)</f>
        <v/>
      </c>
      <c r="I128" s="9">
        <f>IFERROR(SUM(I117:I127),0)</f>
        <v/>
      </c>
      <c r="J128" s="9">
        <f>IFERROR(SUM(J117:J127),0)</f>
        <v/>
      </c>
    </row>
    <row r="129">
      <c r="C129" s="5" t="inlineStr">
        <is>
          <t>Cash flows from used in financing activities [Abstract]</t>
        </is>
      </c>
    </row>
    <row r="130">
      <c r="D130" s="6" t="inlineStr">
        <is>
          <t>Proceeds from issuing shares</t>
        </is>
      </c>
      <c r="E130" s="7">
        <f>_xlfn.XLOOKUP("ProceedsFromIssuingSharesClassifiedAsFinancingActivities",MT_HS_STANDALONE!$C:$C,MT_HS_STANDALONE!D:D,0,0,1)</f>
        <v/>
      </c>
      <c r="F130" s="7">
        <f>_xlfn.XLOOKUP("ProceedsFromIssuingSharesClassifiedAsFinancingActivities",MT_HS_STANDALONE!$C:$C,MT_HS_STANDALONE!E:E,0,0,1)</f>
        <v/>
      </c>
      <c r="G130" s="7">
        <f>_xlfn.XLOOKUP("ProceedsFromIssuingSharesClassifiedAsFinancingActivities",MT_HS_STANDALONE!$C:$C,MT_HS_STANDALONE!F:F,0,0,1)</f>
        <v/>
      </c>
      <c r="H130" s="7">
        <f>_xlfn.XLOOKUP("ProceedsFromIssuingSharesClassifiedAsFinancingActivities",MT_HS_STANDALONE!$C:$C,MT_HS_STANDALONE!G:G,0,0,1)</f>
        <v/>
      </c>
      <c r="I130" s="7">
        <f>_xlfn.XLOOKUP("ProceedsFromIssuingSharesClassifiedAsFinancingActivities",MT_HS_STANDALONE!$C:$C,MT_HS_STANDALONE!H:H,0,0,1)</f>
        <v/>
      </c>
      <c r="J130" s="7">
        <f>_xlfn.XLOOKUP("ProceedsFromIssuingSharesClassifiedAsFinancingActivities",MT_HS_STANDALONE!$C:$C,MT_HS_STANDALONE!I:I,0,0,1)</f>
        <v/>
      </c>
    </row>
    <row r="131">
      <c r="D131" s="6" t="inlineStr">
        <is>
          <t>Payments to acquire or redeem entity's shares</t>
        </is>
      </c>
      <c r="E131" s="7">
        <f>-_xlfn.XLOOKUP("PaymentsToAcquireOrRedeemEntitysShares",MT_HS_STANDALONE!$C:$C,MT_HS_STANDALONE!D:D,0,0,1)</f>
        <v/>
      </c>
      <c r="F131" s="7">
        <f>-_xlfn.XLOOKUP("PaymentsToAcquireOrRedeemEntitysShares",MT_HS_STANDALONE!$C:$C,MT_HS_STANDALONE!E:E,0,0,1)</f>
        <v/>
      </c>
      <c r="G131" s="7">
        <f>-_xlfn.XLOOKUP("PaymentsToAcquireOrRedeemEntitysShares",MT_HS_STANDALONE!$C:$C,MT_HS_STANDALONE!F:F,0,0,1)</f>
        <v/>
      </c>
      <c r="H131" s="7">
        <f>-_xlfn.XLOOKUP("PaymentsToAcquireOrRedeemEntitysShares",MT_HS_STANDALONE!$C:$C,MT_HS_STANDALONE!G:G,0,0,1)</f>
        <v/>
      </c>
      <c r="I131" s="7">
        <f>-_xlfn.XLOOKUP("PaymentsToAcquireOrRedeemEntitysShares",MT_HS_STANDALONE!$C:$C,MT_HS_STANDALONE!H:H,0,0,1)</f>
        <v/>
      </c>
      <c r="J131" s="7">
        <f>-_xlfn.XLOOKUP("PaymentsToAcquireOrRedeemEntitysShares",MT_HS_STANDALONE!$C:$C,MT_HS_STANDALONE!I:I,0,0,1)</f>
        <v/>
      </c>
    </row>
    <row r="132">
      <c r="D132" s="6" t="inlineStr">
        <is>
          <t>Proceeds from borrowings</t>
        </is>
      </c>
      <c r="E132" s="7">
        <f>_xlfn.XLOOKUP("ProceedsFromBorrowingsClassifiedAsFinancingActivities",MT_HS_STANDALONE!$C:$C,MT_HS_STANDALONE!D:D,0,0,1)</f>
        <v/>
      </c>
      <c r="F132" s="7">
        <f>_xlfn.XLOOKUP("ProceedsFromBorrowingsClassifiedAsFinancingActivities",MT_HS_STANDALONE!$C:$C,MT_HS_STANDALONE!E:E,0,0,1)</f>
        <v/>
      </c>
      <c r="G132" s="7">
        <f>_xlfn.XLOOKUP("ProceedsFromBorrowingsClassifiedAsFinancingActivities",MT_HS_STANDALONE!$C:$C,MT_HS_STANDALONE!F:F,0,0,1)</f>
        <v/>
      </c>
      <c r="H132" s="7">
        <f>_xlfn.XLOOKUP("ProceedsFromBorrowingsClassifiedAsFinancingActivities",MT_HS_STANDALONE!$C:$C,MT_HS_STANDALONE!G:G,0,0,1)</f>
        <v/>
      </c>
      <c r="I132" s="7">
        <f>_xlfn.XLOOKUP("ProceedsFromBorrowingsClassifiedAsFinancingActivities",MT_HS_STANDALONE!$C:$C,MT_HS_STANDALONE!H:H,0,0,1)</f>
        <v/>
      </c>
      <c r="J132" s="7">
        <f>_xlfn.XLOOKUP("ProceedsFromBorrowingsClassifiedAsFinancingActivities",MT_HS_STANDALONE!$C:$C,MT_HS_STANDALONE!I:I,0,0,1)</f>
        <v/>
      </c>
    </row>
    <row r="133">
      <c r="D133" s="6" t="inlineStr">
        <is>
          <t>Repayments of borrowings</t>
        </is>
      </c>
      <c r="E133" s="7">
        <f>-_xlfn.XLOOKUP("RepaymentsOfBorrowingsClassifiedAsFinancingActivities",MT_HS_STANDALONE!$C:$C,MT_HS_STANDALONE!D:D,0,0,1)</f>
        <v/>
      </c>
      <c r="F133" s="7">
        <f>-_xlfn.XLOOKUP("RepaymentsOfBorrowingsClassifiedAsFinancingActivities",MT_HS_STANDALONE!$C:$C,MT_HS_STANDALONE!E:E,0,0,1)</f>
        <v/>
      </c>
      <c r="G133" s="7">
        <f>-_xlfn.XLOOKUP("RepaymentsOfBorrowingsClassifiedAsFinancingActivities",MT_HS_STANDALONE!$C:$C,MT_HS_STANDALONE!F:F,0,0,1)</f>
        <v/>
      </c>
      <c r="H133" s="7">
        <f>-_xlfn.XLOOKUP("RepaymentsOfBorrowingsClassifiedAsFinancingActivities",MT_HS_STANDALONE!$C:$C,MT_HS_STANDALONE!G:G,0,0,1)</f>
        <v/>
      </c>
      <c r="I133" s="7">
        <f>-_xlfn.XLOOKUP("RepaymentsOfBorrowingsClassifiedAsFinancingActivities",MT_HS_STANDALONE!$C:$C,MT_HS_STANDALONE!H:H,0,0,1)</f>
        <v/>
      </c>
      <c r="J133" s="7">
        <f>-_xlfn.XLOOKUP("RepaymentsOfBorrowingsClassifiedAsFinancingActivities",MT_HS_STANDALONE!$C:$C,MT_HS_STANDALONE!I:I,0,0,1)</f>
        <v/>
      </c>
    </row>
    <row r="134">
      <c r="D134" s="6" t="inlineStr">
        <is>
          <t>Payments of lease liabilities</t>
        </is>
      </c>
      <c r="E134" s="7">
        <f>-_xlfn.XLOOKUP("PaymentsOfLeaseLiabilitiesClassifiedAsFinancingActivities",MT_HS_STANDALONE!$C:$C,MT_HS_STANDALONE!D:D,0,0,1)</f>
        <v/>
      </c>
      <c r="F134" s="7">
        <f>-_xlfn.XLOOKUP("PaymentsOfLeaseLiabilitiesClassifiedAsFinancingActivities",MT_HS_STANDALONE!$C:$C,MT_HS_STANDALONE!E:E,0,0,1)</f>
        <v/>
      </c>
      <c r="G134" s="7">
        <f>-_xlfn.XLOOKUP("PaymentsOfLeaseLiabilitiesClassifiedAsFinancingActivities",MT_HS_STANDALONE!$C:$C,MT_HS_STANDALONE!F:F,0,0,1)</f>
        <v/>
      </c>
      <c r="H134" s="7">
        <f>-_xlfn.XLOOKUP("PaymentsOfLeaseLiabilitiesClassifiedAsFinancingActivities",MT_HS_STANDALONE!$C:$C,MT_HS_STANDALONE!G:G,0,0,1)</f>
        <v/>
      </c>
      <c r="I134" s="7">
        <f>-_xlfn.XLOOKUP("PaymentsOfLeaseLiabilitiesClassifiedAsFinancingActivities",MT_HS_STANDALONE!$C:$C,MT_HS_STANDALONE!H:H,0,0,1)</f>
        <v/>
      </c>
      <c r="J134" s="7">
        <f>-_xlfn.XLOOKUP("PaymentsOfLeaseLiabilitiesClassifiedAsFinancingActivities",MT_HS_STANDALONE!$C:$C,MT_HS_STANDALONE!I:I,0,0,1)</f>
        <v/>
      </c>
    </row>
    <row r="135">
      <c r="D135" s="6" t="inlineStr">
        <is>
          <t>Dividends paid</t>
        </is>
      </c>
      <c r="E135" s="7">
        <f>-_xlfn.XLOOKUP("DividendsPaidClassifiedAsFinancingActivities",MT_HS_STANDALONE!$C:$C,MT_HS_STANDALONE!D:D,0,0,1)</f>
        <v/>
      </c>
      <c r="F135" s="7">
        <f>-_xlfn.XLOOKUP("DividendsPaidClassifiedAsFinancingActivities",MT_HS_STANDALONE!$C:$C,MT_HS_STANDALONE!E:E,0,0,1)</f>
        <v/>
      </c>
      <c r="G135" s="7">
        <f>-_xlfn.XLOOKUP("DividendsPaidClassifiedAsFinancingActivities",MT_HS_STANDALONE!$C:$C,MT_HS_STANDALONE!F:F,0,0,1)</f>
        <v/>
      </c>
      <c r="H135" s="7">
        <f>-_xlfn.XLOOKUP("DividendsPaidClassifiedAsFinancingActivities",MT_HS_STANDALONE!$C:$C,MT_HS_STANDALONE!G:G,0,0,1)</f>
        <v/>
      </c>
      <c r="I135" s="7">
        <f>-_xlfn.XLOOKUP("DividendsPaidClassifiedAsFinancingActivities",MT_HS_STANDALONE!$C:$C,MT_HS_STANDALONE!H:H,0,0,1)</f>
        <v/>
      </c>
      <c r="J135" s="7">
        <f>-_xlfn.XLOOKUP("DividendsPaidClassifiedAsFinancingActivities",MT_HS_STANDALONE!$C:$C,MT_HS_STANDALONE!I:I,0,0,1)</f>
        <v/>
      </c>
    </row>
    <row r="136">
      <c r="D136" s="6" t="inlineStr">
        <is>
          <t>Interest paid</t>
        </is>
      </c>
      <c r="E136" s="7">
        <f>-_xlfn.XLOOKUP("InterestPaidClassifiedAsFinancingActivities",MT_HS_STANDALONE!$C:$C,MT_HS_STANDALONE!D:D,0,0,1)</f>
        <v/>
      </c>
      <c r="F136" s="7">
        <f>-_xlfn.XLOOKUP("InterestPaidClassifiedAsFinancingActivities",MT_HS_STANDALONE!$C:$C,MT_HS_STANDALONE!E:E,0,0,1)</f>
        <v/>
      </c>
      <c r="G136" s="7">
        <f>-_xlfn.XLOOKUP("InterestPaidClassifiedAsFinancingActivities",MT_HS_STANDALONE!$C:$C,MT_HS_STANDALONE!F:F,0,0,1)</f>
        <v/>
      </c>
      <c r="H136" s="7">
        <f>-_xlfn.XLOOKUP("InterestPaidClassifiedAsFinancingActivities",MT_HS_STANDALONE!$C:$C,MT_HS_STANDALONE!G:G,0,0,1)</f>
        <v/>
      </c>
      <c r="I136" s="7">
        <f>-_xlfn.XLOOKUP("InterestPaidClassifiedAsFinancingActivities",MT_HS_STANDALONE!$C:$C,MT_HS_STANDALONE!H:H,0,0,1)</f>
        <v/>
      </c>
      <c r="J136" s="7">
        <f>-_xlfn.XLOOKUP("InterestPaidClassifiedAsFinancingActivities",MT_HS_STANDALONE!$C:$C,MT_HS_STANDALONE!I:I,0,0,1)</f>
        <v/>
      </c>
    </row>
    <row r="137">
      <c r="D137" s="6" t="inlineStr">
        <is>
          <t>Other inflows (outflows) of cash</t>
        </is>
      </c>
      <c r="E137" s="7">
        <f>_xlfn.XLOOKUP("OtherInflowsOutflowsOfCashClassifiedAsFinancingActivities",MT_HS_STANDALONE!$C:$C,MT_HS_STANDALONE!D:D,0,0,1)</f>
        <v/>
      </c>
      <c r="F137" s="7">
        <f>_xlfn.XLOOKUP("OtherInflowsOutflowsOfCashClassifiedAsFinancingActivities",MT_HS_STANDALONE!$C:$C,MT_HS_STANDALONE!E:E,0,0,1)</f>
        <v/>
      </c>
      <c r="G137" s="7">
        <f>_xlfn.XLOOKUP("OtherInflowsOutflowsOfCashClassifiedAsFinancingActivities",MT_HS_STANDALONE!$C:$C,MT_HS_STANDALONE!F:F,0,0,1)</f>
        <v/>
      </c>
      <c r="H137" s="7">
        <f>_xlfn.XLOOKUP("OtherInflowsOutflowsOfCashClassifiedAsFinancingActivities",MT_HS_STANDALONE!$C:$C,MT_HS_STANDALONE!G:G,0,0,1)</f>
        <v/>
      </c>
      <c r="I137" s="7">
        <f>_xlfn.XLOOKUP("OtherInflowsOutflowsOfCashClassifiedAsFinancingActivities",MT_HS_STANDALONE!$C:$C,MT_HS_STANDALONE!H:H,0,0,1)</f>
        <v/>
      </c>
      <c r="J137" s="7">
        <f>_xlfn.XLOOKUP("OtherInflowsOutflowsOfCashClassifiedAsFinancingActivities",MT_HS_STANDALONE!$C:$C,MT_HS_STANDALONE!I:I,0,0,1)</f>
        <v/>
      </c>
    </row>
    <row r="138">
      <c r="D138" s="8" t="inlineStr">
        <is>
          <t>Net cash flows from (used in) financing activities</t>
        </is>
      </c>
      <c r="E138" s="9">
        <f>IFERROR(SUM(E130:E137),0)</f>
        <v/>
      </c>
      <c r="F138" s="9">
        <f>IFERROR(SUM(F130:F137),0)</f>
        <v/>
      </c>
      <c r="G138" s="9">
        <f>IFERROR(SUM(G130:G137),0)</f>
        <v/>
      </c>
      <c r="H138" s="9">
        <f>IFERROR(SUM(H130:H137),0)</f>
        <v/>
      </c>
      <c r="I138" s="9">
        <f>IFERROR(SUM(I130:I137),0)</f>
        <v/>
      </c>
      <c r="J138" s="9">
        <f>IFERROR(SUM(J130:J137),0)</f>
        <v/>
      </c>
    </row>
    <row r="139">
      <c r="D139" s="8" t="inlineStr">
        <is>
          <t>Net increase (decrease) in cash and cash equivalents before effect of exchange rate changes</t>
        </is>
      </c>
      <c r="E139" s="9">
        <f>IFERROR(E115+E128+E138,0)</f>
        <v/>
      </c>
      <c r="F139" s="9">
        <f>IFERROR(F115+F128+F138,0)</f>
        <v/>
      </c>
      <c r="G139" s="9">
        <f>IFERROR(G115+G128+G138,0)</f>
        <v/>
      </c>
      <c r="H139" s="9">
        <f>IFERROR(H115+H128+H138,0)</f>
        <v/>
      </c>
      <c r="I139" s="9">
        <f>IFERROR(I115+I128+I138,0)</f>
        <v/>
      </c>
      <c r="J139" s="9">
        <f>IFERROR(J115+J128+J138,0)</f>
        <v/>
      </c>
    </row>
    <row r="140">
      <c r="C140" s="5" t="inlineStr">
        <is>
          <t>Effect of exchange rate changes on cash and cash equivalents</t>
        </is>
      </c>
    </row>
    <row r="141">
      <c r="D141" s="6" t="inlineStr">
        <is>
          <t>Effect of exchange rate changes on cash and cash equivalents</t>
        </is>
      </c>
      <c r="E141" s="7">
        <f>_xlfn.XLOOKUP("EffectOfExchangeRateChangesOnCashAndCashEquivalents",MT_HS_STANDALONE!$C:$C,MT_HS_STANDALONE!D:D,0,0,1)</f>
        <v/>
      </c>
      <c r="F141" s="7">
        <f>_xlfn.XLOOKUP("EffectOfExchangeRateChangesOnCashAndCashEquivalents",MT_HS_STANDALONE!$C:$C,MT_HS_STANDALONE!E:E,0,0,1)</f>
        <v/>
      </c>
      <c r="G141" s="7">
        <f>_xlfn.XLOOKUP("EffectOfExchangeRateChangesOnCashAndCashEquivalents",MT_HS_STANDALONE!$C:$C,MT_HS_STANDALONE!F:F,0,0,1)</f>
        <v/>
      </c>
      <c r="H141" s="7">
        <f>_xlfn.XLOOKUP("EffectOfExchangeRateChangesOnCashAndCashEquivalents",MT_HS_STANDALONE!$C:$C,MT_HS_STANDALONE!G:G,0,0,1)</f>
        <v/>
      </c>
      <c r="I141" s="7">
        <f>_xlfn.XLOOKUP("EffectOfExchangeRateChangesOnCashAndCashEquivalents",MT_HS_STANDALONE!$C:$C,MT_HS_STANDALONE!H:H,0,0,1)</f>
        <v/>
      </c>
      <c r="J141" s="7">
        <f>_xlfn.XLOOKUP("EffectOfExchangeRateChangesOnCashAndCashEquivalents",MT_HS_STANDALONE!$C:$C,MT_HS_STANDALONE!I:I,0,0,1)</f>
        <v/>
      </c>
    </row>
    <row r="142">
      <c r="D142" s="8" t="inlineStr">
        <is>
          <t>Net increase (decrease) in cash and cash equivalents</t>
        </is>
      </c>
      <c r="E142" s="9">
        <f>IFERROR(E139+E141,0)</f>
        <v/>
      </c>
      <c r="F142" s="9">
        <f>IFERROR(F139+F141,0)</f>
        <v/>
      </c>
      <c r="G142" s="9">
        <f>IFERROR(G139+G141,0)</f>
        <v/>
      </c>
      <c r="H142" s="9">
        <f>IFERROR(H139+H141,0)</f>
        <v/>
      </c>
      <c r="I142" s="9">
        <f>IFERROR(I139+I141,0)</f>
        <v/>
      </c>
      <c r="J142" s="9">
        <f>IFERROR(J139+J141,0)</f>
        <v/>
      </c>
    </row>
    <row r="143">
      <c r="D143" s="8" t="inlineStr">
        <is>
          <t>Cash and cash equivalents cash flow statement at beginning of period</t>
        </is>
      </c>
      <c r="E143" s="9">
        <f>IFERROR(E144-E142,0)</f>
        <v/>
      </c>
      <c r="F143" s="9">
        <f>IFERROR(F144-F142,0)</f>
        <v/>
      </c>
      <c r="G143" s="9">
        <f>IFERROR(G144-G142,0)</f>
        <v/>
      </c>
      <c r="H143" s="9">
        <f>IFERROR(H144-H142,0)</f>
        <v/>
      </c>
      <c r="I143" s="9">
        <f>IFERROR(I144-I142,0)</f>
        <v/>
      </c>
      <c r="J143" s="9">
        <f>IFERROR(J144-J142,0)</f>
        <v/>
      </c>
    </row>
    <row r="144">
      <c r="D144" s="6" t="inlineStr">
        <is>
          <t>Cash and cash equivalents cash flow statement at end of period</t>
        </is>
      </c>
      <c r="E144" s="7">
        <f>_xlfn.XLOOKUP("CashAndCashEquivalentsCashFlowStatement",MT_HS_STANDALONE!$C:$C,MT_HS_STANDALONE!D:D,0,0,1)</f>
        <v/>
      </c>
      <c r="F144" s="7">
        <f>_xlfn.XLOOKUP("CashAndCashEquivalentsCashFlowStatement",MT_HS_STANDALONE!$C:$C,MT_HS_STANDALONE!E:E,0,0,1)</f>
        <v/>
      </c>
      <c r="G144" s="7">
        <f>_xlfn.XLOOKUP("CashAndCashEquivalentsCashFlowStatement",MT_HS_STANDALONE!$C:$C,MT_HS_STANDALONE!F:F,0,0,1)</f>
        <v/>
      </c>
      <c r="H144" s="7">
        <f>_xlfn.XLOOKUP("CashAndCashEquivalentsCashFlowStatement",MT_HS_STANDALONE!$C:$C,MT_HS_STANDALONE!G:G,0,0,1)</f>
        <v/>
      </c>
      <c r="I144" s="7">
        <f>_xlfn.XLOOKUP("CashAndCashEquivalentsCashFlowStatement",MT_HS_STANDALONE!$C:$C,MT_HS_STANDALONE!H:H,0,0,1)</f>
        <v/>
      </c>
      <c r="J144" s="7">
        <f>_xlfn.XLOOKUP("CashAndCashEquivalentsCashFlowStatement",MT_HS_STANDALONE!$C:$C,MT_HS_STANDALONE!I:I,0,0,1)</f>
        <v/>
      </c>
    </row>
  </sheetData>
  <mergeCells count="2">
    <mergeCell ref="A1:J1"/>
    <mergeCell ref="A2:J2"/>
  </mergeCells>
  <pageMargins left="0.75" right="0.75" top="1" bottom="1" header="0.5" footer="0.5"/>
</worksheet>
</file>

<file path=xl/worksheets/sheet34.xml><?xml version="1.0" encoding="utf-8"?>
<worksheet xmlns="http://schemas.openxmlformats.org/spreadsheetml/2006/main">
  <sheetPr>
    <tabColor rgb="00B45F06"/>
    <outlinePr summaryBelow="1" summaryRight="1"/>
    <pageSetUpPr/>
  </sheetPr>
  <dimension ref="A1:R143"/>
  <sheetViews>
    <sheetView showGridLines="0" workbookViewId="0">
      <selection activeCell="A1" sqref="A1"/>
    </sheetView>
  </sheetViews>
  <sheetFormatPr baseColWidth="8" defaultRowHeight="14.5"/>
  <cols>
    <col width="3" customWidth="1" style="203" min="1" max="1"/>
    <col width="26" customWidth="1" style="203" min="2" max="2"/>
    <col width="3" customWidth="1" style="203" min="3" max="3"/>
    <col width="38" customWidth="1" style="203" min="4" max="4"/>
    <col width="3" customWidth="1" style="203" min="5" max="5"/>
    <col width="18" customWidth="1" style="203" min="6" max="11"/>
    <col width="3" customWidth="1" style="203" min="12" max="12"/>
    <col width="16" customWidth="1" style="203" min="13" max="18"/>
  </cols>
  <sheetData>
    <row r="1" ht="24" customHeight="1" s="203">
      <c r="A1" s="257" t="inlineStr">
        <is>
          <t>Mindtree  —  Ratio Analysis (Consolidated)</t>
        </is>
      </c>
    </row>
    <row r="2">
      <c r="A2" s="258" t="inlineStr">
        <is>
          <t>Each ratio shown as Name = Numerator / Denominator, values computed once and reused (Green = first pull/computation from Derived Sheet, Black = same-sheet reuse) | Result appears on the right | Single-year figures (no opening/closing average)</t>
        </is>
      </c>
    </row>
    <row r="5">
      <c r="A5" s="14" t="inlineStr">
        <is>
          <t>#</t>
        </is>
      </c>
      <c r="F5" s="15" t="inlineStr">
        <is>
          <t>FY2017</t>
        </is>
      </c>
      <c r="G5" s="15" t="inlineStr">
        <is>
          <t>FY2018</t>
        </is>
      </c>
      <c r="H5" s="15" t="inlineStr">
        <is>
          <t>FY2019</t>
        </is>
      </c>
      <c r="I5" s="15" t="inlineStr">
        <is>
          <t>FY2020</t>
        </is>
      </c>
      <c r="J5" s="15" t="inlineStr">
        <is>
          <t>FY2021</t>
        </is>
      </c>
      <c r="K5" s="15" t="inlineStr">
        <is>
          <t>FY2022</t>
        </is>
      </c>
      <c r="M5" s="15" t="inlineStr">
        <is>
          <t>FY2017</t>
        </is>
      </c>
      <c r="N5" s="15" t="inlineStr">
        <is>
          <t>FY2018</t>
        </is>
      </c>
      <c r="O5" s="15" t="inlineStr">
        <is>
          <t>FY2019</t>
        </is>
      </c>
      <c r="P5" s="15" t="inlineStr">
        <is>
          <t>FY2020</t>
        </is>
      </c>
      <c r="Q5" s="15" t="inlineStr">
        <is>
          <t>FY2021</t>
        </is>
      </c>
      <c r="R5" s="15" t="inlineStr">
        <is>
          <t>FY2022</t>
        </is>
      </c>
    </row>
    <row r="6" ht="15.5" customHeight="1" s="203">
      <c r="A6" s="14" t="inlineStr">
        <is>
          <t>#</t>
        </is>
      </c>
      <c r="B6" s="16" t="inlineStr">
        <is>
          <t>Profitability and Return Ratios</t>
        </is>
      </c>
    </row>
    <row r="7">
      <c r="B7" s="17" t="inlineStr">
        <is>
          <t>Return on Equity</t>
        </is>
      </c>
      <c r="C7" s="17" t="inlineStr">
        <is>
          <t>=</t>
        </is>
      </c>
      <c r="D7" s="18" t="inlineStr">
        <is>
          <t>Net Income</t>
        </is>
      </c>
      <c r="E7" s="18" t="inlineStr">
        <is>
          <t>=</t>
        </is>
      </c>
      <c r="F7" s="19">
        <f>MT_HIST_CON!E22</f>
        <v/>
      </c>
      <c r="G7" s="19">
        <f>MT_HIST_CON!F22</f>
        <v/>
      </c>
      <c r="H7" s="19">
        <f>MT_HIST_CON!G22</f>
        <v/>
      </c>
      <c r="I7" s="19">
        <f>MT_HIST_CON!H22</f>
        <v/>
      </c>
      <c r="J7" s="19">
        <f>MT_HIST_CON!I22</f>
        <v/>
      </c>
      <c r="K7" s="19">
        <f>MT_HIST_CON!J22</f>
        <v/>
      </c>
      <c r="L7" s="20" t="inlineStr">
        <is>
          <t>=</t>
        </is>
      </c>
      <c r="M7" s="21">
        <f>IFERROR(IF(F8=0,"",F7/F8),"")</f>
        <v/>
      </c>
      <c r="N7" s="21">
        <f>IFERROR(IF(G8=0,"",G7/G8),"")</f>
        <v/>
      </c>
      <c r="O7" s="21">
        <f>IFERROR(IF(H8=0,"",H7/H8),"")</f>
        <v/>
      </c>
      <c r="P7" s="21">
        <f>IFERROR(IF(I8=0,"",I7/I8),"")</f>
        <v/>
      </c>
      <c r="Q7" s="21">
        <f>IFERROR(IF(J8=0,"",J7/J8),"")</f>
        <v/>
      </c>
      <c r="R7" s="21">
        <f>IFERROR(IF(K8=0,"",K7/K8),"")</f>
        <v/>
      </c>
    </row>
    <row r="8">
      <c r="D8" s="6" t="inlineStr">
        <is>
          <t>Equity</t>
        </is>
      </c>
      <c r="F8" s="7">
        <f>MT_HIST_CON!E63</f>
        <v/>
      </c>
      <c r="G8" s="7">
        <f>MT_HIST_CON!F63</f>
        <v/>
      </c>
      <c r="H8" s="7">
        <f>MT_HIST_CON!G63</f>
        <v/>
      </c>
      <c r="I8" s="7">
        <f>MT_HIST_CON!H63</f>
        <v/>
      </c>
      <c r="J8" s="7">
        <f>MT_HIST_CON!I63</f>
        <v/>
      </c>
      <c r="K8" s="7">
        <f>MT_HIST_CON!J63</f>
        <v/>
      </c>
    </row>
    <row r="10">
      <c r="B10" s="17" t="inlineStr">
        <is>
          <t>Return on Assets</t>
        </is>
      </c>
      <c r="C10" s="17" t="inlineStr">
        <is>
          <t>=</t>
        </is>
      </c>
      <c r="D10" s="18" t="inlineStr">
        <is>
          <t>Net Income</t>
        </is>
      </c>
      <c r="E10" s="18" t="inlineStr">
        <is>
          <t>=</t>
        </is>
      </c>
      <c r="F10" s="22">
        <f>+F7</f>
        <v/>
      </c>
      <c r="G10" s="22">
        <f>+G7</f>
        <v/>
      </c>
      <c r="H10" s="22">
        <f>+H7</f>
        <v/>
      </c>
      <c r="I10" s="22">
        <f>+I7</f>
        <v/>
      </c>
      <c r="J10" s="22">
        <f>+J7</f>
        <v/>
      </c>
      <c r="K10" s="22">
        <f>+K7</f>
        <v/>
      </c>
      <c r="L10" s="20" t="inlineStr">
        <is>
          <t>=</t>
        </is>
      </c>
      <c r="M10" s="21">
        <f>IFERROR(IF(F11=0,"",F10/F11),"")</f>
        <v/>
      </c>
      <c r="N10" s="21">
        <f>IFERROR(IF(G11=0,"",G10/G11),"")</f>
        <v/>
      </c>
      <c r="O10" s="21">
        <f>IFERROR(IF(H11=0,"",H10/H11),"")</f>
        <v/>
      </c>
      <c r="P10" s="21">
        <f>IFERROR(IF(I11=0,"",I10/I11),"")</f>
        <v/>
      </c>
      <c r="Q10" s="21">
        <f>IFERROR(IF(J11=0,"",J10/J11),"")</f>
        <v/>
      </c>
      <c r="R10" s="21">
        <f>IFERROR(IF(K11=0,"",K10/K11),"")</f>
        <v/>
      </c>
    </row>
    <row r="11">
      <c r="D11" s="6" t="inlineStr">
        <is>
          <t>Total Assets</t>
        </is>
      </c>
      <c r="F11" s="7">
        <f>MT_HIST_CON!E57</f>
        <v/>
      </c>
      <c r="G11" s="7">
        <f>MT_HIST_CON!F57</f>
        <v/>
      </c>
      <c r="H11" s="7">
        <f>MT_HIST_CON!G57</f>
        <v/>
      </c>
      <c r="I11" s="7">
        <f>MT_HIST_CON!H57</f>
        <v/>
      </c>
      <c r="J11" s="7">
        <f>MT_HIST_CON!I57</f>
        <v/>
      </c>
      <c r="K11" s="7">
        <f>MT_HIST_CON!J57</f>
        <v/>
      </c>
    </row>
    <row r="13">
      <c r="B13" s="17" t="inlineStr">
        <is>
          <t>Return on Net Assets</t>
        </is>
      </c>
      <c r="C13" s="17" t="inlineStr">
        <is>
          <t>=</t>
        </is>
      </c>
      <c r="D13" s="18" t="inlineStr">
        <is>
          <t>Net Income</t>
        </is>
      </c>
      <c r="E13" s="18" t="inlineStr">
        <is>
          <t>=</t>
        </is>
      </c>
      <c r="F13" s="22">
        <f>+F7</f>
        <v/>
      </c>
      <c r="G13" s="22">
        <f>+G7</f>
        <v/>
      </c>
      <c r="H13" s="22">
        <f>+H7</f>
        <v/>
      </c>
      <c r="I13" s="22">
        <f>+I7</f>
        <v/>
      </c>
      <c r="J13" s="22">
        <f>+J7</f>
        <v/>
      </c>
      <c r="K13" s="22">
        <f>+K7</f>
        <v/>
      </c>
      <c r="L13" s="20" t="inlineStr">
        <is>
          <t>=</t>
        </is>
      </c>
      <c r="M13" s="21">
        <f>IFERROR(IF(F14=0,"",F13/F14),"")</f>
        <v/>
      </c>
      <c r="N13" s="21">
        <f>IFERROR(IF(G14=0,"",G13/G14),"")</f>
        <v/>
      </c>
      <c r="O13" s="21">
        <f>IFERROR(IF(H14=0,"",H13/H14),"")</f>
        <v/>
      </c>
      <c r="P13" s="21">
        <f>IFERROR(IF(I14=0,"",I13/I14),"")</f>
        <v/>
      </c>
      <c r="Q13" s="21">
        <f>IFERROR(IF(J14=0,"",J13/J14),"")</f>
        <v/>
      </c>
      <c r="R13" s="21">
        <f>IFERROR(IF(K14=0,"",K13/K14),"")</f>
        <v/>
      </c>
    </row>
    <row r="14">
      <c r="D14" s="6" t="inlineStr">
        <is>
          <t>Net PP&amp;E + Net Working Capital</t>
        </is>
      </c>
      <c r="F14" s="7">
        <f>MT_HIST_CON!E27+(MT_HIST_CON!E55-MT_HIST_CON!E84)</f>
        <v/>
      </c>
      <c r="G14" s="7">
        <f>MT_HIST_CON!F27+(MT_HIST_CON!F55-MT_HIST_CON!F84)</f>
        <v/>
      </c>
      <c r="H14" s="7">
        <f>MT_HIST_CON!G27+(MT_HIST_CON!G55-MT_HIST_CON!G84)</f>
        <v/>
      </c>
      <c r="I14" s="7">
        <f>MT_HIST_CON!H27+(MT_HIST_CON!H55-MT_HIST_CON!H84)</f>
        <v/>
      </c>
      <c r="J14" s="7">
        <f>MT_HIST_CON!I27+(MT_HIST_CON!I55-MT_HIST_CON!I84)</f>
        <v/>
      </c>
      <c r="K14" s="7">
        <f>MT_HIST_CON!J27+(MT_HIST_CON!J55-MT_HIST_CON!J84)</f>
        <v/>
      </c>
    </row>
    <row r="16">
      <c r="B16" s="17" t="inlineStr">
        <is>
          <t>Return on Invested Capital</t>
        </is>
      </c>
      <c r="C16" s="17" t="inlineStr">
        <is>
          <t>=</t>
        </is>
      </c>
      <c r="D16" s="18" t="inlineStr">
        <is>
          <t>NOPAT (= EBIT × (1 − Tax Expense / EBT))</t>
        </is>
      </c>
      <c r="E16" s="18" t="inlineStr">
        <is>
          <t>=</t>
        </is>
      </c>
      <c r="F16" s="19">
        <f>MT_HIST_CON!E16*(1-(-MT_HIST_CON!E21/MT_HIST_CON!E18))</f>
        <v/>
      </c>
      <c r="G16" s="19">
        <f>MT_HIST_CON!F16*(1-(-MT_HIST_CON!F21/MT_HIST_CON!F18))</f>
        <v/>
      </c>
      <c r="H16" s="19">
        <f>MT_HIST_CON!G16*(1-(-MT_HIST_CON!G21/MT_HIST_CON!G18))</f>
        <v/>
      </c>
      <c r="I16" s="19">
        <f>MT_HIST_CON!H16*(1-(-MT_HIST_CON!H21/MT_HIST_CON!H18))</f>
        <v/>
      </c>
      <c r="J16" s="19">
        <f>MT_HIST_CON!I16*(1-(-MT_HIST_CON!I21/MT_HIST_CON!I18))</f>
        <v/>
      </c>
      <c r="K16" s="19">
        <f>MT_HIST_CON!J16*(1-(-MT_HIST_CON!J21/MT_HIST_CON!J18))</f>
        <v/>
      </c>
      <c r="L16" s="20" t="inlineStr">
        <is>
          <t>=</t>
        </is>
      </c>
      <c r="M16" s="21">
        <f>IFERROR(IF(F17=0,"",F16/F17),"")</f>
        <v/>
      </c>
      <c r="N16" s="21">
        <f>IFERROR(IF(G17=0,"",G16/G17),"")</f>
        <v/>
      </c>
      <c r="O16" s="21">
        <f>IFERROR(IF(H17=0,"",H16/H17),"")</f>
        <v/>
      </c>
      <c r="P16" s="21">
        <f>IFERROR(IF(I17=0,"",I16/I17),"")</f>
        <v/>
      </c>
      <c r="Q16" s="21">
        <f>IFERROR(IF(J17=0,"",J16/J17),"")</f>
        <v/>
      </c>
      <c r="R16" s="21">
        <f>IFERROR(IF(K17=0,"",K16/K17),"")</f>
        <v/>
      </c>
    </row>
    <row r="17">
      <c r="D17" s="6" t="inlineStr">
        <is>
          <t>Invested Capital (= Debt + Equity − Cash)</t>
        </is>
      </c>
      <c r="F17" s="7">
        <f>(MT_HIST_CON!E67+MT_HIST_CON!E76+0+0)+MT_HIST_CON!E63-MT_HIST_CON!E49</f>
        <v/>
      </c>
      <c r="G17" s="7">
        <f>(MT_HIST_CON!F67+MT_HIST_CON!F76+0+0)+MT_HIST_CON!F63-MT_HIST_CON!F49</f>
        <v/>
      </c>
      <c r="H17" s="7">
        <f>(MT_HIST_CON!G67+MT_HIST_CON!G76+0+0)+MT_HIST_CON!G63-MT_HIST_CON!G49</f>
        <v/>
      </c>
      <c r="I17" s="7">
        <f>(MT_HIST_CON!H67+MT_HIST_CON!H76+0+0)+MT_HIST_CON!H63-MT_HIST_CON!H49</f>
        <v/>
      </c>
      <c r="J17" s="7">
        <f>(MT_HIST_CON!I67+MT_HIST_CON!I76+0+0)+MT_HIST_CON!I63-MT_HIST_CON!I49</f>
        <v/>
      </c>
      <c r="K17" s="7">
        <f>(MT_HIST_CON!J67+MT_HIST_CON!J76+0+0)+MT_HIST_CON!J63-MT_HIST_CON!J49</f>
        <v/>
      </c>
    </row>
    <row r="19">
      <c r="B19" s="17" t="inlineStr">
        <is>
          <t>Gross Margin</t>
        </is>
      </c>
      <c r="C19" s="17" t="inlineStr">
        <is>
          <t>=</t>
        </is>
      </c>
      <c r="D19" s="18" t="inlineStr">
        <is>
          <t>Gross Profit</t>
        </is>
      </c>
      <c r="E19" s="18" t="inlineStr">
        <is>
          <t>=</t>
        </is>
      </c>
      <c r="F19" s="19">
        <f>MT_HIST_CON!E11</f>
        <v/>
      </c>
      <c r="G19" s="19">
        <f>MT_HIST_CON!F11</f>
        <v/>
      </c>
      <c r="H19" s="19">
        <f>MT_HIST_CON!G11</f>
        <v/>
      </c>
      <c r="I19" s="19">
        <f>MT_HIST_CON!H11</f>
        <v/>
      </c>
      <c r="J19" s="19">
        <f>MT_HIST_CON!I11</f>
        <v/>
      </c>
      <c r="K19" s="19">
        <f>MT_HIST_CON!J11</f>
        <v/>
      </c>
      <c r="L19" s="20" t="inlineStr">
        <is>
          <t>=</t>
        </is>
      </c>
      <c r="M19" s="21">
        <f>IFERROR(IF(F20=0,"",F19/F20),"")</f>
        <v/>
      </c>
      <c r="N19" s="21">
        <f>IFERROR(IF(G20=0,"",G19/G20),"")</f>
        <v/>
      </c>
      <c r="O19" s="21">
        <f>IFERROR(IF(H20=0,"",H19/H20),"")</f>
        <v/>
      </c>
      <c r="P19" s="21">
        <f>IFERROR(IF(I20=0,"",I19/I20),"")</f>
        <v/>
      </c>
      <c r="Q19" s="21">
        <f>IFERROR(IF(J20=0,"",J19/J20),"")</f>
        <v/>
      </c>
      <c r="R19" s="21">
        <f>IFERROR(IF(K20=0,"",K19/K20),"")</f>
        <v/>
      </c>
    </row>
    <row r="20">
      <c r="D20" s="6" t="inlineStr">
        <is>
          <t>Revenue</t>
        </is>
      </c>
      <c r="F20" s="7">
        <f>MT_HIST_CON!E7</f>
        <v/>
      </c>
      <c r="G20" s="7">
        <f>MT_HIST_CON!F7</f>
        <v/>
      </c>
      <c r="H20" s="7">
        <f>MT_HIST_CON!G7</f>
        <v/>
      </c>
      <c r="I20" s="7">
        <f>MT_HIST_CON!H7</f>
        <v/>
      </c>
      <c r="J20" s="7">
        <f>MT_HIST_CON!I7</f>
        <v/>
      </c>
      <c r="K20" s="7">
        <f>MT_HIST_CON!J7</f>
        <v/>
      </c>
    </row>
    <row r="22">
      <c r="B22" s="17" t="inlineStr">
        <is>
          <t>SG&amp;A % of Revenue</t>
        </is>
      </c>
      <c r="C22" s="17" t="inlineStr">
        <is>
          <t>=</t>
        </is>
      </c>
      <c r="D22" s="18" t="inlineStr">
        <is>
          <t>SG&amp;A</t>
        </is>
      </c>
      <c r="E22" s="18" t="inlineStr">
        <is>
          <t>=</t>
        </is>
      </c>
      <c r="F22" s="19">
        <f>-MT_HIST_CON!E12</f>
        <v/>
      </c>
      <c r="G22" s="19">
        <f>-MT_HIST_CON!F12</f>
        <v/>
      </c>
      <c r="H22" s="19">
        <f>-MT_HIST_CON!G12</f>
        <v/>
      </c>
      <c r="I22" s="19">
        <f>-MT_HIST_CON!H12</f>
        <v/>
      </c>
      <c r="J22" s="19">
        <f>-MT_HIST_CON!I12</f>
        <v/>
      </c>
      <c r="K22" s="19">
        <f>-MT_HIST_CON!J12</f>
        <v/>
      </c>
      <c r="L22" s="20" t="inlineStr">
        <is>
          <t>=</t>
        </is>
      </c>
      <c r="M22" s="21">
        <f>IFERROR(IF(F23=0,"",F22/F23),"")</f>
        <v/>
      </c>
      <c r="N22" s="21">
        <f>IFERROR(IF(G23=0,"",G22/G23),"")</f>
        <v/>
      </c>
      <c r="O22" s="21">
        <f>IFERROR(IF(H23=0,"",H22/H23),"")</f>
        <v/>
      </c>
      <c r="P22" s="21">
        <f>IFERROR(IF(I23=0,"",I22/I23),"")</f>
        <v/>
      </c>
      <c r="Q22" s="21">
        <f>IFERROR(IF(J23=0,"",J22/J23),"")</f>
        <v/>
      </c>
      <c r="R22" s="21">
        <f>IFERROR(IF(K23=0,"",K22/K23),"")</f>
        <v/>
      </c>
    </row>
    <row r="23">
      <c r="D23" s="6" t="inlineStr">
        <is>
          <t>Revenue</t>
        </is>
      </c>
      <c r="F23" s="23">
        <f>+F20</f>
        <v/>
      </c>
      <c r="G23" s="23">
        <f>+G20</f>
        <v/>
      </c>
      <c r="H23" s="23">
        <f>+H20</f>
        <v/>
      </c>
      <c r="I23" s="23">
        <f>+I20</f>
        <v/>
      </c>
      <c r="J23" s="23">
        <f>+J20</f>
        <v/>
      </c>
      <c r="K23" s="23">
        <f>+K20</f>
        <v/>
      </c>
    </row>
    <row r="25">
      <c r="B25" s="17" t="inlineStr">
        <is>
          <t>Other Operating Expenses % of Revenue</t>
        </is>
      </c>
      <c r="C25" s="17" t="inlineStr">
        <is>
          <t>=</t>
        </is>
      </c>
      <c r="D25" s="18" t="inlineStr">
        <is>
          <t>Other Operating Expenses</t>
        </is>
      </c>
      <c r="E25" s="18" t="inlineStr">
        <is>
          <t>=</t>
        </is>
      </c>
      <c r="F25" s="19">
        <f>-MT_HIST_CON!E13</f>
        <v/>
      </c>
      <c r="G25" s="19">
        <f>-MT_HIST_CON!F13</f>
        <v/>
      </c>
      <c r="H25" s="19">
        <f>-MT_HIST_CON!G13</f>
        <v/>
      </c>
      <c r="I25" s="19">
        <f>-MT_HIST_CON!H13</f>
        <v/>
      </c>
      <c r="J25" s="19">
        <f>-MT_HIST_CON!I13</f>
        <v/>
      </c>
      <c r="K25" s="19">
        <f>-MT_HIST_CON!J13</f>
        <v/>
      </c>
      <c r="L25" s="20" t="inlineStr">
        <is>
          <t>=</t>
        </is>
      </c>
      <c r="M25" s="21">
        <f>IFERROR(IF(F26=0,"",F25/F26),"")</f>
        <v/>
      </c>
      <c r="N25" s="21">
        <f>IFERROR(IF(G26=0,"",G25/G26),"")</f>
        <v/>
      </c>
      <c r="O25" s="21">
        <f>IFERROR(IF(H26=0,"",H25/H26),"")</f>
        <v/>
      </c>
      <c r="P25" s="21">
        <f>IFERROR(IF(I26=0,"",I25/I26),"")</f>
        <v/>
      </c>
      <c r="Q25" s="21">
        <f>IFERROR(IF(J26=0,"",J25/J26),"")</f>
        <v/>
      </c>
      <c r="R25" s="21">
        <f>IFERROR(IF(K26=0,"",K25/K26),"")</f>
        <v/>
      </c>
    </row>
    <row r="26">
      <c r="D26" s="6" t="inlineStr">
        <is>
          <t>Revenue</t>
        </is>
      </c>
      <c r="F26" s="23">
        <f>+F20</f>
        <v/>
      </c>
      <c r="G26" s="23">
        <f>+G20</f>
        <v/>
      </c>
      <c r="H26" s="23">
        <f>+H20</f>
        <v/>
      </c>
      <c r="I26" s="23">
        <f>+I20</f>
        <v/>
      </c>
      <c r="J26" s="23">
        <f>+J20</f>
        <v/>
      </c>
      <c r="K26" s="23">
        <f>+K20</f>
        <v/>
      </c>
    </row>
    <row r="28">
      <c r="B28" s="17" t="inlineStr">
        <is>
          <t>EBITDA Margin</t>
        </is>
      </c>
      <c r="C28" s="17" t="inlineStr">
        <is>
          <t>=</t>
        </is>
      </c>
      <c r="D28" s="18" t="inlineStr">
        <is>
          <t>EBITDA</t>
        </is>
      </c>
      <c r="E28" s="18" t="inlineStr">
        <is>
          <t>=</t>
        </is>
      </c>
      <c r="F28" s="19">
        <f>MT_HIST_CON!E14</f>
        <v/>
      </c>
      <c r="G28" s="19">
        <f>MT_HIST_CON!F14</f>
        <v/>
      </c>
      <c r="H28" s="19">
        <f>MT_HIST_CON!G14</f>
        <v/>
      </c>
      <c r="I28" s="19">
        <f>MT_HIST_CON!H14</f>
        <v/>
      </c>
      <c r="J28" s="19">
        <f>MT_HIST_CON!I14</f>
        <v/>
      </c>
      <c r="K28" s="19">
        <f>MT_HIST_CON!J14</f>
        <v/>
      </c>
      <c r="L28" s="20" t="inlineStr">
        <is>
          <t>=</t>
        </is>
      </c>
      <c r="M28" s="21">
        <f>IFERROR(IF(F29=0,"",F28/F29),"")</f>
        <v/>
      </c>
      <c r="N28" s="21">
        <f>IFERROR(IF(G29=0,"",G28/G29),"")</f>
        <v/>
      </c>
      <c r="O28" s="21">
        <f>IFERROR(IF(H29=0,"",H28/H29),"")</f>
        <v/>
      </c>
      <c r="P28" s="21">
        <f>IFERROR(IF(I29=0,"",I28/I29),"")</f>
        <v/>
      </c>
      <c r="Q28" s="21">
        <f>IFERROR(IF(J29=0,"",J28/J29),"")</f>
        <v/>
      </c>
      <c r="R28" s="21">
        <f>IFERROR(IF(K29=0,"",K28/K29),"")</f>
        <v/>
      </c>
    </row>
    <row r="29">
      <c r="D29" s="6" t="inlineStr">
        <is>
          <t>Revenue</t>
        </is>
      </c>
      <c r="F29" s="23">
        <f>+F20</f>
        <v/>
      </c>
      <c r="G29" s="23">
        <f>+G20</f>
        <v/>
      </c>
      <c r="H29" s="23">
        <f>+H20</f>
        <v/>
      </c>
      <c r="I29" s="23">
        <f>+I20</f>
        <v/>
      </c>
      <c r="J29" s="23">
        <f>+J20</f>
        <v/>
      </c>
      <c r="K29" s="23">
        <f>+K20</f>
        <v/>
      </c>
    </row>
    <row r="31">
      <c r="B31" s="12" t="inlineStr">
        <is>
          <t>Check</t>
        </is>
      </c>
      <c r="M31" s="24">
        <f>IF(ABS(M19-M22-M25-M28)&lt;0.0001,"OK","Error")</f>
        <v/>
      </c>
      <c r="N31" s="24">
        <f>IF(ABS(N19-N22-N25-N28)&lt;0.0001,"OK","Error")</f>
        <v/>
      </c>
      <c r="O31" s="24">
        <f>IF(ABS(O19-O22-O25-O28)&lt;0.0001,"OK","Error")</f>
        <v/>
      </c>
      <c r="P31" s="24">
        <f>IF(ABS(P19-P22-P25-P28)&lt;0.0001,"OK","Error")</f>
        <v/>
      </c>
      <c r="Q31" s="24">
        <f>IF(ABS(Q19-Q22-Q25-Q28)&lt;0.0001,"OK","Error")</f>
        <v/>
      </c>
      <c r="R31" s="24">
        <f>IF(ABS(R19-R22-R25-R28)&lt;0.0001,"OK","Error")</f>
        <v/>
      </c>
    </row>
    <row r="33">
      <c r="B33" s="17" t="inlineStr">
        <is>
          <t>Depreciation % of Revenue</t>
        </is>
      </c>
      <c r="C33" s="17" t="inlineStr">
        <is>
          <t>=</t>
        </is>
      </c>
      <c r="D33" s="18" t="inlineStr">
        <is>
          <t>Depreciation &amp; Amortisation</t>
        </is>
      </c>
      <c r="E33" s="18" t="inlineStr">
        <is>
          <t>=</t>
        </is>
      </c>
      <c r="F33" s="19">
        <f>-MT_HIST_CON!E15</f>
        <v/>
      </c>
      <c r="G33" s="19">
        <f>-MT_HIST_CON!F15</f>
        <v/>
      </c>
      <c r="H33" s="19">
        <f>-MT_HIST_CON!G15</f>
        <v/>
      </c>
      <c r="I33" s="19">
        <f>-MT_HIST_CON!H15</f>
        <v/>
      </c>
      <c r="J33" s="19">
        <f>-MT_HIST_CON!I15</f>
        <v/>
      </c>
      <c r="K33" s="19">
        <f>-MT_HIST_CON!J15</f>
        <v/>
      </c>
      <c r="L33" s="20" t="inlineStr">
        <is>
          <t>=</t>
        </is>
      </c>
      <c r="M33" s="21">
        <f>IFERROR(IF(F34=0,"",F33/F34),"")</f>
        <v/>
      </c>
      <c r="N33" s="21">
        <f>IFERROR(IF(G34=0,"",G33/G34),"")</f>
        <v/>
      </c>
      <c r="O33" s="21">
        <f>IFERROR(IF(H34=0,"",H33/H34),"")</f>
        <v/>
      </c>
      <c r="P33" s="21">
        <f>IFERROR(IF(I34=0,"",I33/I34),"")</f>
        <v/>
      </c>
      <c r="Q33" s="21">
        <f>IFERROR(IF(J34=0,"",J33/J34),"")</f>
        <v/>
      </c>
      <c r="R33" s="21">
        <f>IFERROR(IF(K34=0,"",K33/K34),"")</f>
        <v/>
      </c>
    </row>
    <row r="34">
      <c r="D34" s="6" t="inlineStr">
        <is>
          <t>Revenue</t>
        </is>
      </c>
      <c r="F34" s="23">
        <f>+F20</f>
        <v/>
      </c>
      <c r="G34" s="23">
        <f>+G20</f>
        <v/>
      </c>
      <c r="H34" s="23">
        <f>+H20</f>
        <v/>
      </c>
      <c r="I34" s="23">
        <f>+I20</f>
        <v/>
      </c>
      <c r="J34" s="23">
        <f>+J20</f>
        <v/>
      </c>
      <c r="K34" s="23">
        <f>+K20</f>
        <v/>
      </c>
    </row>
    <row r="36">
      <c r="B36" s="17" t="inlineStr">
        <is>
          <t>EBIT Margin</t>
        </is>
      </c>
      <c r="C36" s="17" t="inlineStr">
        <is>
          <t>=</t>
        </is>
      </c>
      <c r="D36" s="18" t="inlineStr">
        <is>
          <t>EBIT</t>
        </is>
      </c>
      <c r="E36" s="18" t="inlineStr">
        <is>
          <t>=</t>
        </is>
      </c>
      <c r="F36" s="19">
        <f>MT_HIST_CON!E16</f>
        <v/>
      </c>
      <c r="G36" s="19">
        <f>MT_HIST_CON!F16</f>
        <v/>
      </c>
      <c r="H36" s="19">
        <f>MT_HIST_CON!G16</f>
        <v/>
      </c>
      <c r="I36" s="19">
        <f>MT_HIST_CON!H16</f>
        <v/>
      </c>
      <c r="J36" s="19">
        <f>MT_HIST_CON!I16</f>
        <v/>
      </c>
      <c r="K36" s="19">
        <f>MT_HIST_CON!J16</f>
        <v/>
      </c>
      <c r="L36" s="20" t="inlineStr">
        <is>
          <t>=</t>
        </is>
      </c>
      <c r="M36" s="21">
        <f>IFERROR(IF(F37=0,"",F36/F37),"")</f>
        <v/>
      </c>
      <c r="N36" s="21">
        <f>IFERROR(IF(G37=0,"",G36/G37),"")</f>
        <v/>
      </c>
      <c r="O36" s="21">
        <f>IFERROR(IF(H37=0,"",H36/H37),"")</f>
        <v/>
      </c>
      <c r="P36" s="21">
        <f>IFERROR(IF(I37=0,"",I36/I37),"")</f>
        <v/>
      </c>
      <c r="Q36" s="21">
        <f>IFERROR(IF(J37=0,"",J36/J37),"")</f>
        <v/>
      </c>
      <c r="R36" s="21">
        <f>IFERROR(IF(K37=0,"",K36/K37),"")</f>
        <v/>
      </c>
    </row>
    <row r="37">
      <c r="D37" s="6" t="inlineStr">
        <is>
          <t>Revenue</t>
        </is>
      </c>
      <c r="F37" s="23">
        <f>+F20</f>
        <v/>
      </c>
      <c r="G37" s="23">
        <f>+G20</f>
        <v/>
      </c>
      <c r="H37" s="23">
        <f>+H20</f>
        <v/>
      </c>
      <c r="I37" s="23">
        <f>+I20</f>
        <v/>
      </c>
      <c r="J37" s="23">
        <f>+J20</f>
        <v/>
      </c>
      <c r="K37" s="23">
        <f>+K20</f>
        <v/>
      </c>
    </row>
    <row r="39">
      <c r="B39" s="12" t="inlineStr">
        <is>
          <t>Check</t>
        </is>
      </c>
      <c r="M39" s="24">
        <f>IF(ABS(M28-M33-M36)&lt;0.0001,"OK","Error")</f>
        <v/>
      </c>
      <c r="N39" s="24">
        <f>IF(ABS(N28-N33-N36)&lt;0.0001,"OK","Error")</f>
        <v/>
      </c>
      <c r="O39" s="24">
        <f>IF(ABS(O28-O33-O36)&lt;0.0001,"OK","Error")</f>
        <v/>
      </c>
      <c r="P39" s="24">
        <f>IF(ABS(P28-P33-P36)&lt;0.0001,"OK","Error")</f>
        <v/>
      </c>
      <c r="Q39" s="24">
        <f>IF(ABS(Q28-Q33-Q36)&lt;0.0001,"OK","Error")</f>
        <v/>
      </c>
      <c r="R39" s="24">
        <f>IF(ABS(R28-R33-R36)&lt;0.0001,"OK","Error")</f>
        <v/>
      </c>
    </row>
    <row r="41">
      <c r="B41" s="17" t="inlineStr">
        <is>
          <t>Other Non-Operating Expense % of Revenue</t>
        </is>
      </c>
      <c r="C41" s="17" t="inlineStr">
        <is>
          <t>=</t>
        </is>
      </c>
      <c r="D41" s="18" t="inlineStr">
        <is>
          <t>Finance Costs + Exceptional Items (net)</t>
        </is>
      </c>
      <c r="E41" s="18" t="inlineStr">
        <is>
          <t>=</t>
        </is>
      </c>
      <c r="F41" s="19">
        <f>-(MT_HIST_CON!E17+0)</f>
        <v/>
      </c>
      <c r="G41" s="19">
        <f>-(MT_HIST_CON!F17+0)</f>
        <v/>
      </c>
      <c r="H41" s="19">
        <f>-(MT_HIST_CON!G17+0)</f>
        <v/>
      </c>
      <c r="I41" s="19">
        <f>-(MT_HIST_CON!H17+0)</f>
        <v/>
      </c>
      <c r="J41" s="19">
        <f>-(MT_HIST_CON!I17+0)</f>
        <v/>
      </c>
      <c r="K41" s="19">
        <f>-(MT_HIST_CON!J17+0)</f>
        <v/>
      </c>
      <c r="L41" s="20" t="inlineStr">
        <is>
          <t>=</t>
        </is>
      </c>
      <c r="M41" s="21">
        <f>IFERROR(IF(F42=0,"",F41/F42),"")</f>
        <v/>
      </c>
      <c r="N41" s="21">
        <f>IFERROR(IF(G42=0,"",G41/G42),"")</f>
        <v/>
      </c>
      <c r="O41" s="21">
        <f>IFERROR(IF(H42=0,"",H41/H42),"")</f>
        <v/>
      </c>
      <c r="P41" s="21">
        <f>IFERROR(IF(I42=0,"",I41/I42),"")</f>
        <v/>
      </c>
      <c r="Q41" s="21">
        <f>IFERROR(IF(J42=0,"",J41/J42),"")</f>
        <v/>
      </c>
      <c r="R41" s="21">
        <f>IFERROR(IF(K42=0,"",K41/K42),"")</f>
        <v/>
      </c>
    </row>
    <row r="42">
      <c r="D42" s="6" t="inlineStr">
        <is>
          <t>Revenue</t>
        </is>
      </c>
      <c r="F42" s="23">
        <f>+F20</f>
        <v/>
      </c>
      <c r="G42" s="23">
        <f>+G20</f>
        <v/>
      </c>
      <c r="H42" s="23">
        <f>+H20</f>
        <v/>
      </c>
      <c r="I42" s="23">
        <f>+I20</f>
        <v/>
      </c>
      <c r="J42" s="23">
        <f>+J20</f>
        <v/>
      </c>
      <c r="K42" s="23">
        <f>+K20</f>
        <v/>
      </c>
    </row>
    <row r="44">
      <c r="B44" s="17" t="inlineStr">
        <is>
          <t>EBT Margin</t>
        </is>
      </c>
      <c r="C44" s="17" t="inlineStr">
        <is>
          <t>=</t>
        </is>
      </c>
      <c r="D44" s="18" t="inlineStr">
        <is>
          <t>EBT (Pre-Tax Income)</t>
        </is>
      </c>
      <c r="E44" s="18" t="inlineStr">
        <is>
          <t>=</t>
        </is>
      </c>
      <c r="F44" s="19">
        <f>MT_HIST_CON!E18</f>
        <v/>
      </c>
      <c r="G44" s="19">
        <f>MT_HIST_CON!F18</f>
        <v/>
      </c>
      <c r="H44" s="19">
        <f>MT_HIST_CON!G18</f>
        <v/>
      </c>
      <c r="I44" s="19">
        <f>MT_HIST_CON!H18</f>
        <v/>
      </c>
      <c r="J44" s="19">
        <f>MT_HIST_CON!I18</f>
        <v/>
      </c>
      <c r="K44" s="19">
        <f>MT_HIST_CON!J18</f>
        <v/>
      </c>
      <c r="L44" s="20" t="inlineStr">
        <is>
          <t>=</t>
        </is>
      </c>
      <c r="M44" s="21">
        <f>IFERROR(IF(F45=0,"",F44/F45),"")</f>
        <v/>
      </c>
      <c r="N44" s="21">
        <f>IFERROR(IF(G45=0,"",G44/G45),"")</f>
        <v/>
      </c>
      <c r="O44" s="21">
        <f>IFERROR(IF(H45=0,"",H44/H45),"")</f>
        <v/>
      </c>
      <c r="P44" s="21">
        <f>IFERROR(IF(I45=0,"",I44/I45),"")</f>
        <v/>
      </c>
      <c r="Q44" s="21">
        <f>IFERROR(IF(J45=0,"",J44/J45),"")</f>
        <v/>
      </c>
      <c r="R44" s="21">
        <f>IFERROR(IF(K45=0,"",K44/K45),"")</f>
        <v/>
      </c>
    </row>
    <row r="45">
      <c r="D45" s="6" t="inlineStr">
        <is>
          <t>Revenue</t>
        </is>
      </c>
      <c r="F45" s="23">
        <f>+F20</f>
        <v/>
      </c>
      <c r="G45" s="23">
        <f>+G20</f>
        <v/>
      </c>
      <c r="H45" s="23">
        <f>+H20</f>
        <v/>
      </c>
      <c r="I45" s="23">
        <f>+I20</f>
        <v/>
      </c>
      <c r="J45" s="23">
        <f>+J20</f>
        <v/>
      </c>
      <c r="K45" s="23">
        <f>+K20</f>
        <v/>
      </c>
    </row>
    <row r="47">
      <c r="B47" s="12" t="inlineStr">
        <is>
          <t>Check</t>
        </is>
      </c>
      <c r="M47" s="24">
        <f>IF(ABS(M36-M41-M44)&lt;0.0001,"OK","Error")</f>
        <v/>
      </c>
      <c r="N47" s="24">
        <f>IF(ABS(N36-N41-N44)&lt;0.0001,"OK","Error")</f>
        <v/>
      </c>
      <c r="O47" s="24">
        <f>IF(ABS(O36-O41-O44)&lt;0.0001,"OK","Error")</f>
        <v/>
      </c>
      <c r="P47" s="24">
        <f>IF(ABS(P36-P41-P44)&lt;0.0001,"OK","Error")</f>
        <v/>
      </c>
      <c r="Q47" s="24">
        <f>IF(ABS(Q36-Q41-Q44)&lt;0.0001,"OK","Error")</f>
        <v/>
      </c>
      <c r="R47" s="24">
        <f>IF(ABS(R36-R41-R44)&lt;0.0001,"OK","Error")</f>
        <v/>
      </c>
    </row>
    <row r="49">
      <c r="B49" s="17" t="inlineStr">
        <is>
          <t>Tax % of Revenue</t>
        </is>
      </c>
      <c r="C49" s="17" t="inlineStr">
        <is>
          <t>=</t>
        </is>
      </c>
      <c r="D49" s="18" t="inlineStr">
        <is>
          <t>Total Tax Expense</t>
        </is>
      </c>
      <c r="E49" s="18" t="inlineStr">
        <is>
          <t>=</t>
        </is>
      </c>
      <c r="F49" s="19">
        <f>-MT_HIST_CON!E21</f>
        <v/>
      </c>
      <c r="G49" s="19">
        <f>-MT_HIST_CON!F21</f>
        <v/>
      </c>
      <c r="H49" s="19">
        <f>-MT_HIST_CON!G21</f>
        <v/>
      </c>
      <c r="I49" s="19">
        <f>-MT_HIST_CON!H21</f>
        <v/>
      </c>
      <c r="J49" s="19">
        <f>-MT_HIST_CON!I21</f>
        <v/>
      </c>
      <c r="K49" s="19">
        <f>-MT_HIST_CON!J21</f>
        <v/>
      </c>
      <c r="L49" s="20" t="inlineStr">
        <is>
          <t>=</t>
        </is>
      </c>
      <c r="M49" s="21">
        <f>IFERROR(IF(F50=0,"",F49/F50),"")</f>
        <v/>
      </c>
      <c r="N49" s="21">
        <f>IFERROR(IF(G50=0,"",G49/G50),"")</f>
        <v/>
      </c>
      <c r="O49" s="21">
        <f>IFERROR(IF(H50=0,"",H49/H50),"")</f>
        <v/>
      </c>
      <c r="P49" s="21">
        <f>IFERROR(IF(I50=0,"",I49/I50),"")</f>
        <v/>
      </c>
      <c r="Q49" s="21">
        <f>IFERROR(IF(J50=0,"",J49/J50),"")</f>
        <v/>
      </c>
      <c r="R49" s="21">
        <f>IFERROR(IF(K50=0,"",K49/K50),"")</f>
        <v/>
      </c>
    </row>
    <row r="50">
      <c r="D50" s="6" t="inlineStr">
        <is>
          <t>Revenue</t>
        </is>
      </c>
      <c r="F50" s="23">
        <f>+F20</f>
        <v/>
      </c>
      <c r="G50" s="23">
        <f>+G20</f>
        <v/>
      </c>
      <c r="H50" s="23">
        <f>+H20</f>
        <v/>
      </c>
      <c r="I50" s="23">
        <f>+I20</f>
        <v/>
      </c>
      <c r="J50" s="23">
        <f>+J20</f>
        <v/>
      </c>
      <c r="K50" s="23">
        <f>+K20</f>
        <v/>
      </c>
    </row>
    <row r="52">
      <c r="B52" s="17" t="inlineStr">
        <is>
          <t>Net Profit Margin</t>
        </is>
      </c>
      <c r="C52" s="17" t="inlineStr">
        <is>
          <t>=</t>
        </is>
      </c>
      <c r="D52" s="18" t="inlineStr">
        <is>
          <t>Net Income</t>
        </is>
      </c>
      <c r="E52" s="18" t="inlineStr">
        <is>
          <t>=</t>
        </is>
      </c>
      <c r="F52" s="22">
        <f>+F7</f>
        <v/>
      </c>
      <c r="G52" s="22">
        <f>+G7</f>
        <v/>
      </c>
      <c r="H52" s="22">
        <f>+H7</f>
        <v/>
      </c>
      <c r="I52" s="22">
        <f>+I7</f>
        <v/>
      </c>
      <c r="J52" s="22">
        <f>+J7</f>
        <v/>
      </c>
      <c r="K52" s="22">
        <f>+K7</f>
        <v/>
      </c>
      <c r="L52" s="20" t="inlineStr">
        <is>
          <t>=</t>
        </is>
      </c>
      <c r="M52" s="21">
        <f>IFERROR(IF(F53=0,"",F52/F53),"")</f>
        <v/>
      </c>
      <c r="N52" s="21">
        <f>IFERROR(IF(G53=0,"",G52/G53),"")</f>
        <v/>
      </c>
      <c r="O52" s="21">
        <f>IFERROR(IF(H53=0,"",H52/H53),"")</f>
        <v/>
      </c>
      <c r="P52" s="21">
        <f>IFERROR(IF(I53=0,"",I52/I53),"")</f>
        <v/>
      </c>
      <c r="Q52" s="21">
        <f>IFERROR(IF(J53=0,"",J52/J53),"")</f>
        <v/>
      </c>
      <c r="R52" s="21">
        <f>IFERROR(IF(K53=0,"",K52/K53),"")</f>
        <v/>
      </c>
    </row>
    <row r="53">
      <c r="D53" s="6" t="inlineStr">
        <is>
          <t>Revenue</t>
        </is>
      </c>
      <c r="F53" s="23">
        <f>+F20</f>
        <v/>
      </c>
      <c r="G53" s="23">
        <f>+G20</f>
        <v/>
      </c>
      <c r="H53" s="23">
        <f>+H20</f>
        <v/>
      </c>
      <c r="I53" s="23">
        <f>+I20</f>
        <v/>
      </c>
      <c r="J53" s="23">
        <f>+J20</f>
        <v/>
      </c>
      <c r="K53" s="23">
        <f>+K20</f>
        <v/>
      </c>
    </row>
    <row r="55">
      <c r="B55" s="12" t="inlineStr">
        <is>
          <t>Check</t>
        </is>
      </c>
      <c r="M55" s="24">
        <f>IF(ABS(M44-M49-M52)&lt;0.0001,"OK","Error")</f>
        <v/>
      </c>
      <c r="N55" s="24">
        <f>IF(ABS(N44-N49-N52)&lt;0.0001,"OK","Error")</f>
        <v/>
      </c>
      <c r="O55" s="24">
        <f>IF(ABS(O44-O49-O52)&lt;0.0001,"OK","Error")</f>
        <v/>
      </c>
      <c r="P55" s="24">
        <f>IF(ABS(P44-P49-P52)&lt;0.0001,"OK","Error")</f>
        <v/>
      </c>
      <c r="Q55" s="24">
        <f>IF(ABS(Q44-Q49-Q52)&lt;0.0001,"OK","Error")</f>
        <v/>
      </c>
      <c r="R55" s="24">
        <f>IF(ABS(R44-R49-R52)&lt;0.0001,"OK","Error")</f>
        <v/>
      </c>
    </row>
    <row r="57">
      <c r="B57" s="17" t="inlineStr">
        <is>
          <t>Effective Tax Rate</t>
        </is>
      </c>
      <c r="C57" s="17" t="inlineStr">
        <is>
          <t>=</t>
        </is>
      </c>
      <c r="D57" s="18" t="inlineStr">
        <is>
          <t>Total Tax Expense</t>
        </is>
      </c>
      <c r="E57" s="18" t="inlineStr">
        <is>
          <t>=</t>
        </is>
      </c>
      <c r="F57" s="22">
        <f>+F49</f>
        <v/>
      </c>
      <c r="G57" s="22">
        <f>+G49</f>
        <v/>
      </c>
      <c r="H57" s="22">
        <f>+H49</f>
        <v/>
      </c>
      <c r="I57" s="22">
        <f>+I49</f>
        <v/>
      </c>
      <c r="J57" s="22">
        <f>+J49</f>
        <v/>
      </c>
      <c r="K57" s="22">
        <f>+K49</f>
        <v/>
      </c>
      <c r="L57" s="20" t="inlineStr">
        <is>
          <t>=</t>
        </is>
      </c>
      <c r="M57" s="21">
        <f>IFERROR(IF(F58=0,"",F57/F58),"")</f>
        <v/>
      </c>
      <c r="N57" s="21">
        <f>IFERROR(IF(G58=0,"",G57/G58),"")</f>
        <v/>
      </c>
      <c r="O57" s="21">
        <f>IFERROR(IF(H58=0,"",H57/H58),"")</f>
        <v/>
      </c>
      <c r="P57" s="21">
        <f>IFERROR(IF(I58=0,"",I57/I58),"")</f>
        <v/>
      </c>
      <c r="Q57" s="21">
        <f>IFERROR(IF(J58=0,"",J57/J58),"")</f>
        <v/>
      </c>
      <c r="R57" s="21">
        <f>IFERROR(IF(K58=0,"",K57/K58),"")</f>
        <v/>
      </c>
    </row>
    <row r="58">
      <c r="D58" s="6" t="inlineStr">
        <is>
          <t>EBT (Pre-Tax Income)</t>
        </is>
      </c>
      <c r="F58" s="23">
        <f>+F44</f>
        <v/>
      </c>
      <c r="G58" s="23">
        <f>+G44</f>
        <v/>
      </c>
      <c r="H58" s="23">
        <f>+H44</f>
        <v/>
      </c>
      <c r="I58" s="23">
        <f>+I44</f>
        <v/>
      </c>
      <c r="J58" s="23">
        <f>+J44</f>
        <v/>
      </c>
      <c r="K58" s="23">
        <f>+K44</f>
        <v/>
      </c>
    </row>
    <row r="60">
      <c r="B60" s="17" t="inlineStr">
        <is>
          <t>Tax Burden</t>
        </is>
      </c>
      <c r="C60" s="17" t="inlineStr">
        <is>
          <t>=</t>
        </is>
      </c>
      <c r="D60" s="18" t="inlineStr">
        <is>
          <t>Net Income</t>
        </is>
      </c>
      <c r="E60" s="18" t="inlineStr">
        <is>
          <t>=</t>
        </is>
      </c>
      <c r="F60" s="22">
        <f>+F7</f>
        <v/>
      </c>
      <c r="G60" s="22">
        <f>+G7</f>
        <v/>
      </c>
      <c r="H60" s="22">
        <f>+H7</f>
        <v/>
      </c>
      <c r="I60" s="22">
        <f>+I7</f>
        <v/>
      </c>
      <c r="J60" s="22">
        <f>+J7</f>
        <v/>
      </c>
      <c r="K60" s="22">
        <f>+K7</f>
        <v/>
      </c>
      <c r="L60" s="20" t="inlineStr">
        <is>
          <t>=</t>
        </is>
      </c>
      <c r="M60" s="21">
        <f>IFERROR(IF(F61=0,"",F60/F61),"")</f>
        <v/>
      </c>
      <c r="N60" s="21">
        <f>IFERROR(IF(G61=0,"",G60/G61),"")</f>
        <v/>
      </c>
      <c r="O60" s="21">
        <f>IFERROR(IF(H61=0,"",H60/H61),"")</f>
        <v/>
      </c>
      <c r="P60" s="21">
        <f>IFERROR(IF(I61=0,"",I60/I61),"")</f>
        <v/>
      </c>
      <c r="Q60" s="21">
        <f>IFERROR(IF(J61=0,"",J60/J61),"")</f>
        <v/>
      </c>
      <c r="R60" s="21">
        <f>IFERROR(IF(K61=0,"",K60/K61),"")</f>
        <v/>
      </c>
    </row>
    <row r="61">
      <c r="D61" s="6" t="inlineStr">
        <is>
          <t>EBT (Pre-Tax Income)</t>
        </is>
      </c>
      <c r="F61" s="23">
        <f>+F44</f>
        <v/>
      </c>
      <c r="G61" s="23">
        <f>+G44</f>
        <v/>
      </c>
      <c r="H61" s="23">
        <f>+H44</f>
        <v/>
      </c>
      <c r="I61" s="23">
        <f>+I44</f>
        <v/>
      </c>
      <c r="J61" s="23">
        <f>+J44</f>
        <v/>
      </c>
      <c r="K61" s="23">
        <f>+K44</f>
        <v/>
      </c>
    </row>
    <row r="63">
      <c r="B63" s="17" t="inlineStr">
        <is>
          <t>Effective Interest Rate</t>
        </is>
      </c>
      <c r="C63" s="17" t="inlineStr">
        <is>
          <t>=</t>
        </is>
      </c>
      <c r="D63" s="18" t="inlineStr">
        <is>
          <t>Finance Costs (absolute)</t>
        </is>
      </c>
      <c r="E63" s="18" t="inlineStr">
        <is>
          <t>=</t>
        </is>
      </c>
      <c r="F63" s="19">
        <f>ABS(MT_HIST_CON!E17)</f>
        <v/>
      </c>
      <c r="G63" s="19">
        <f>ABS(MT_HIST_CON!F17)</f>
        <v/>
      </c>
      <c r="H63" s="19">
        <f>ABS(MT_HIST_CON!G17)</f>
        <v/>
      </c>
      <c r="I63" s="19">
        <f>ABS(MT_HIST_CON!H17)</f>
        <v/>
      </c>
      <c r="J63" s="19">
        <f>ABS(MT_HIST_CON!I17)</f>
        <v/>
      </c>
      <c r="K63" s="19">
        <f>ABS(MT_HIST_CON!J17)</f>
        <v/>
      </c>
      <c r="L63" s="20" t="inlineStr">
        <is>
          <t>=</t>
        </is>
      </c>
      <c r="M63" s="21">
        <f>IFERROR(IF(F64=0,"",F63/F64),"")</f>
        <v/>
      </c>
      <c r="N63" s="21">
        <f>IFERROR(IF(G64=0,"",G63/G64),"")</f>
        <v/>
      </c>
      <c r="O63" s="21">
        <f>IFERROR(IF(H64=0,"",H63/H64),"")</f>
        <v/>
      </c>
      <c r="P63" s="21">
        <f>IFERROR(IF(I64=0,"",I63/I64),"")</f>
        <v/>
      </c>
      <c r="Q63" s="21">
        <f>IFERROR(IF(J64=0,"",J63/J64),"")</f>
        <v/>
      </c>
      <c r="R63" s="21">
        <f>IFERROR(IF(K64=0,"",K63/K64),"")</f>
        <v/>
      </c>
    </row>
    <row r="64">
      <c r="D64" s="6" t="inlineStr">
        <is>
          <t>Total Debt (= Borrowings + Lease Liabilities)</t>
        </is>
      </c>
      <c r="F64" s="7">
        <f>(MT_HIST_CON!E67+MT_HIST_CON!E76+0+0)</f>
        <v/>
      </c>
      <c r="G64" s="7">
        <f>(MT_HIST_CON!F67+MT_HIST_CON!F76+0+0)</f>
        <v/>
      </c>
      <c r="H64" s="7">
        <f>(MT_HIST_CON!G67+MT_HIST_CON!G76+0+0)</f>
        <v/>
      </c>
      <c r="I64" s="7">
        <f>(MT_HIST_CON!H67+MT_HIST_CON!H76+0+0)</f>
        <v/>
      </c>
      <c r="J64" s="7">
        <f>(MT_HIST_CON!I67+MT_HIST_CON!I76+0+0)</f>
        <v/>
      </c>
      <c r="K64" s="7">
        <f>(MT_HIST_CON!J67+MT_HIST_CON!J76+0+0)</f>
        <v/>
      </c>
    </row>
    <row r="66">
      <c r="B66" s="17" t="inlineStr">
        <is>
          <t>Interest Burden</t>
        </is>
      </c>
      <c r="C66" s="17" t="inlineStr">
        <is>
          <t>=</t>
        </is>
      </c>
      <c r="D66" s="18" t="inlineStr">
        <is>
          <t>EBT (Pre-Tax Income)</t>
        </is>
      </c>
      <c r="E66" s="18" t="inlineStr">
        <is>
          <t>=</t>
        </is>
      </c>
      <c r="F66" s="22">
        <f>+F44</f>
        <v/>
      </c>
      <c r="G66" s="22">
        <f>+G44</f>
        <v/>
      </c>
      <c r="H66" s="22">
        <f>+H44</f>
        <v/>
      </c>
      <c r="I66" s="22">
        <f>+I44</f>
        <v/>
      </c>
      <c r="J66" s="22">
        <f>+J44</f>
        <v/>
      </c>
      <c r="K66" s="22">
        <f>+K44</f>
        <v/>
      </c>
      <c r="L66" s="20" t="inlineStr">
        <is>
          <t>=</t>
        </is>
      </c>
      <c r="M66" s="21">
        <f>IFERROR(IF(F67=0,"",F66/F67),"")</f>
        <v/>
      </c>
      <c r="N66" s="21">
        <f>IFERROR(IF(G67=0,"",G66/G67),"")</f>
        <v/>
      </c>
      <c r="O66" s="21">
        <f>IFERROR(IF(H67=0,"",H66/H67),"")</f>
        <v/>
      </c>
      <c r="P66" s="21">
        <f>IFERROR(IF(I67=0,"",I66/I67),"")</f>
        <v/>
      </c>
      <c r="Q66" s="21">
        <f>IFERROR(IF(J67=0,"",J66/J67),"")</f>
        <v/>
      </c>
      <c r="R66" s="21">
        <f>IFERROR(IF(K67=0,"",K66/K67),"")</f>
        <v/>
      </c>
    </row>
    <row r="67">
      <c r="D67" s="6" t="inlineStr">
        <is>
          <t>EBIT</t>
        </is>
      </c>
      <c r="F67" s="23">
        <f>+F36</f>
        <v/>
      </c>
      <c r="G67" s="23">
        <f>+G36</f>
        <v/>
      </c>
      <c r="H67" s="23">
        <f>+H36</f>
        <v/>
      </c>
      <c r="I67" s="23">
        <f>+I36</f>
        <v/>
      </c>
      <c r="J67" s="23">
        <f>+J36</f>
        <v/>
      </c>
      <c r="K67" s="23">
        <f>+K36</f>
        <v/>
      </c>
    </row>
    <row r="69" ht="15.5" customHeight="1" s="203">
      <c r="A69" s="14" t="inlineStr">
        <is>
          <t>#</t>
        </is>
      </c>
      <c r="B69" s="16" t="inlineStr">
        <is>
          <t>Asset Utilization Ratios</t>
        </is>
      </c>
    </row>
    <row r="70">
      <c r="B70" s="17" t="inlineStr">
        <is>
          <t>Asset Turnover</t>
        </is>
      </c>
      <c r="C70" s="17" t="inlineStr">
        <is>
          <t>=</t>
        </is>
      </c>
      <c r="D70" s="18" t="inlineStr">
        <is>
          <t>Revenue</t>
        </is>
      </c>
      <c r="E70" s="18" t="inlineStr">
        <is>
          <t>=</t>
        </is>
      </c>
      <c r="F70" s="22">
        <f>+F20</f>
        <v/>
      </c>
      <c r="G70" s="22">
        <f>+G20</f>
        <v/>
      </c>
      <c r="H70" s="22">
        <f>+H20</f>
        <v/>
      </c>
      <c r="I70" s="22">
        <f>+I20</f>
        <v/>
      </c>
      <c r="J70" s="22">
        <f>+J20</f>
        <v/>
      </c>
      <c r="K70" s="22">
        <f>+K20</f>
        <v/>
      </c>
      <c r="L70" s="20" t="inlineStr">
        <is>
          <t>=</t>
        </is>
      </c>
      <c r="M70" s="25">
        <f>IFERROR(IF(F71=0,"",F70/F71),"")</f>
        <v/>
      </c>
      <c r="N70" s="25">
        <f>IFERROR(IF(G71=0,"",G70/G71),"")</f>
        <v/>
      </c>
      <c r="O70" s="25">
        <f>IFERROR(IF(H71=0,"",H70/H71),"")</f>
        <v/>
      </c>
      <c r="P70" s="25">
        <f>IFERROR(IF(I71=0,"",I70/I71),"")</f>
        <v/>
      </c>
      <c r="Q70" s="25">
        <f>IFERROR(IF(J71=0,"",J70/J71),"")</f>
        <v/>
      </c>
      <c r="R70" s="25">
        <f>IFERROR(IF(K71=0,"",K70/K71),"")</f>
        <v/>
      </c>
    </row>
    <row r="71">
      <c r="D71" s="6" t="inlineStr">
        <is>
          <t>Total Assets</t>
        </is>
      </c>
      <c r="F71" s="23">
        <f>+F11</f>
        <v/>
      </c>
      <c r="G71" s="23">
        <f>+G11</f>
        <v/>
      </c>
      <c r="H71" s="23">
        <f>+H11</f>
        <v/>
      </c>
      <c r="I71" s="23">
        <f>+I11</f>
        <v/>
      </c>
      <c r="J71" s="23">
        <f>+J11</f>
        <v/>
      </c>
      <c r="K71" s="23">
        <f>+K11</f>
        <v/>
      </c>
    </row>
    <row r="73">
      <c r="B73" s="17" t="inlineStr">
        <is>
          <t>PPE Turnover</t>
        </is>
      </c>
      <c r="C73" s="17" t="inlineStr">
        <is>
          <t>=</t>
        </is>
      </c>
      <c r="D73" s="18" t="inlineStr">
        <is>
          <t>Revenue</t>
        </is>
      </c>
      <c r="E73" s="18" t="inlineStr">
        <is>
          <t>=</t>
        </is>
      </c>
      <c r="F73" s="22">
        <f>+F20</f>
        <v/>
      </c>
      <c r="G73" s="22">
        <f>+G20</f>
        <v/>
      </c>
      <c r="H73" s="22">
        <f>+H20</f>
        <v/>
      </c>
      <c r="I73" s="22">
        <f>+I20</f>
        <v/>
      </c>
      <c r="J73" s="22">
        <f>+J20</f>
        <v/>
      </c>
      <c r="K73" s="22">
        <f>+K20</f>
        <v/>
      </c>
      <c r="L73" s="20" t="inlineStr">
        <is>
          <t>=</t>
        </is>
      </c>
      <c r="M73" s="25">
        <f>IFERROR(IF(F74=0,"",F73/F74),"")</f>
        <v/>
      </c>
      <c r="N73" s="25">
        <f>IFERROR(IF(G74=0,"",G73/G74),"")</f>
        <v/>
      </c>
      <c r="O73" s="25">
        <f>IFERROR(IF(H74=0,"",H73/H74),"")</f>
        <v/>
      </c>
      <c r="P73" s="25">
        <f>IFERROR(IF(I74=0,"",I73/I74),"")</f>
        <v/>
      </c>
      <c r="Q73" s="25">
        <f>IFERROR(IF(J74=0,"",J73/J74),"")</f>
        <v/>
      </c>
      <c r="R73" s="25">
        <f>IFERROR(IF(K74=0,"",K73/K74),"")</f>
        <v/>
      </c>
    </row>
    <row r="74">
      <c r="D74" s="6" t="inlineStr">
        <is>
          <t>Net PP&amp;E</t>
        </is>
      </c>
      <c r="F74" s="7">
        <f>MT_HIST_CON!E27</f>
        <v/>
      </c>
      <c r="G74" s="7">
        <f>MT_HIST_CON!F27</f>
        <v/>
      </c>
      <c r="H74" s="7">
        <f>MT_HIST_CON!G27</f>
        <v/>
      </c>
      <c r="I74" s="7">
        <f>MT_HIST_CON!H27</f>
        <v/>
      </c>
      <c r="J74" s="7">
        <f>MT_HIST_CON!I27</f>
        <v/>
      </c>
      <c r="K74" s="7">
        <f>MT_HIST_CON!J27</f>
        <v/>
      </c>
    </row>
    <row r="76">
      <c r="B76" s="17" t="inlineStr">
        <is>
          <t>Cash Turnover</t>
        </is>
      </c>
      <c r="C76" s="17" t="inlineStr">
        <is>
          <t>=</t>
        </is>
      </c>
      <c r="D76" s="18" t="inlineStr">
        <is>
          <t>Revenue</t>
        </is>
      </c>
      <c r="E76" s="18" t="inlineStr">
        <is>
          <t>=</t>
        </is>
      </c>
      <c r="F76" s="22">
        <f>+F20</f>
        <v/>
      </c>
      <c r="G76" s="22">
        <f>+G20</f>
        <v/>
      </c>
      <c r="H76" s="22">
        <f>+H20</f>
        <v/>
      </c>
      <c r="I76" s="22">
        <f>+I20</f>
        <v/>
      </c>
      <c r="J76" s="22">
        <f>+J20</f>
        <v/>
      </c>
      <c r="K76" s="22">
        <f>+K20</f>
        <v/>
      </c>
      <c r="L76" s="20" t="inlineStr">
        <is>
          <t>=</t>
        </is>
      </c>
      <c r="M76" s="25">
        <f>IFERROR(IF(F77=0,"",F76/F77),"")</f>
        <v/>
      </c>
      <c r="N76" s="25">
        <f>IFERROR(IF(G77=0,"",G76/G77),"")</f>
        <v/>
      </c>
      <c r="O76" s="25">
        <f>IFERROR(IF(H77=0,"",H76/H77),"")</f>
        <v/>
      </c>
      <c r="P76" s="25">
        <f>IFERROR(IF(I77=0,"",I76/I77),"")</f>
        <v/>
      </c>
      <c r="Q76" s="25">
        <f>IFERROR(IF(J77=0,"",J76/J77),"")</f>
        <v/>
      </c>
      <c r="R76" s="25">
        <f>IFERROR(IF(K77=0,"",K76/K77),"")</f>
        <v/>
      </c>
    </row>
    <row r="77">
      <c r="D77" s="6" t="inlineStr">
        <is>
          <t>Cash &amp; Cash Equivalents</t>
        </is>
      </c>
      <c r="F77" s="7">
        <f>MT_HIST_CON!E49</f>
        <v/>
      </c>
      <c r="G77" s="7">
        <f>MT_HIST_CON!F49</f>
        <v/>
      </c>
      <c r="H77" s="7">
        <f>MT_HIST_CON!G49</f>
        <v/>
      </c>
      <c r="I77" s="7">
        <f>MT_HIST_CON!H49</f>
        <v/>
      </c>
      <c r="J77" s="7">
        <f>MT_HIST_CON!I49</f>
        <v/>
      </c>
      <c r="K77" s="7">
        <f>MT_HIST_CON!J49</f>
        <v/>
      </c>
    </row>
    <row r="79">
      <c r="B79" s="17" t="inlineStr">
        <is>
          <t>Cash Days</t>
        </is>
      </c>
      <c r="C79" s="17" t="inlineStr">
        <is>
          <t>=</t>
        </is>
      </c>
      <c r="D79" s="18" t="inlineStr">
        <is>
          <t>365 (days)</t>
        </is>
      </c>
      <c r="E79" s="18" t="inlineStr">
        <is>
          <t>=</t>
        </is>
      </c>
      <c r="F79" s="26" t="n">
        <v>365</v>
      </c>
      <c r="G79" s="26" t="n">
        <v>365</v>
      </c>
      <c r="H79" s="26" t="n">
        <v>365</v>
      </c>
      <c r="I79" s="26" t="n">
        <v>365</v>
      </c>
      <c r="J79" s="26" t="n">
        <v>365</v>
      </c>
      <c r="K79" s="26" t="n">
        <v>365</v>
      </c>
      <c r="L79" s="20" t="inlineStr">
        <is>
          <t>=</t>
        </is>
      </c>
      <c r="M79" s="27">
        <f>IFERROR(IF(F80=0,"",F79/F80),"")</f>
        <v/>
      </c>
      <c r="N79" s="27">
        <f>IFERROR(IF(G80=0,"",G79/G80),"")</f>
        <v/>
      </c>
      <c r="O79" s="27">
        <f>IFERROR(IF(H80=0,"",H79/H80),"")</f>
        <v/>
      </c>
      <c r="P79" s="27">
        <f>IFERROR(IF(I80=0,"",I79/I80),"")</f>
        <v/>
      </c>
      <c r="Q79" s="27">
        <f>IFERROR(IF(J80=0,"",J79/J80),"")</f>
        <v/>
      </c>
      <c r="R79" s="27">
        <f>IFERROR(IF(K80=0,"",K79/K80),"")</f>
        <v/>
      </c>
    </row>
    <row r="80">
      <c r="D80" s="6" t="inlineStr">
        <is>
          <t>Turnover (above)</t>
        </is>
      </c>
      <c r="F80" s="28">
        <f>+M76</f>
        <v/>
      </c>
      <c r="G80" s="28">
        <f>+N76</f>
        <v/>
      </c>
      <c r="H80" s="28">
        <f>+O76</f>
        <v/>
      </c>
      <c r="I80" s="28">
        <f>+P76</f>
        <v/>
      </c>
      <c r="J80" s="28">
        <f>+Q76</f>
        <v/>
      </c>
      <c r="K80" s="28">
        <f>+R76</f>
        <v/>
      </c>
    </row>
    <row r="82">
      <c r="B82" s="17" t="inlineStr">
        <is>
          <t>A/R Turnover</t>
        </is>
      </c>
      <c r="C82" s="17" t="inlineStr">
        <is>
          <t>=</t>
        </is>
      </c>
      <c r="D82" s="18" t="inlineStr">
        <is>
          <t>Revenue</t>
        </is>
      </c>
      <c r="E82" s="18" t="inlineStr">
        <is>
          <t>=</t>
        </is>
      </c>
      <c r="F82" s="22">
        <f>+F20</f>
        <v/>
      </c>
      <c r="G82" s="22">
        <f>+G20</f>
        <v/>
      </c>
      <c r="H82" s="22">
        <f>+H20</f>
        <v/>
      </c>
      <c r="I82" s="22">
        <f>+I20</f>
        <v/>
      </c>
      <c r="J82" s="22">
        <f>+J20</f>
        <v/>
      </c>
      <c r="K82" s="22">
        <f>+K20</f>
        <v/>
      </c>
      <c r="L82" s="20" t="inlineStr">
        <is>
          <t>=</t>
        </is>
      </c>
      <c r="M82" s="25">
        <f>IFERROR(IF(F83=0,"",F82/F83),"")</f>
        <v/>
      </c>
      <c r="N82" s="25">
        <f>IFERROR(IF(G83=0,"",G82/G83),"")</f>
        <v/>
      </c>
      <c r="O82" s="25">
        <f>IFERROR(IF(H83=0,"",H82/H83),"")</f>
        <v/>
      </c>
      <c r="P82" s="25">
        <f>IFERROR(IF(I83=0,"",I82/I83),"")</f>
        <v/>
      </c>
      <c r="Q82" s="25">
        <f>IFERROR(IF(J83=0,"",J82/J83),"")</f>
        <v/>
      </c>
      <c r="R82" s="25">
        <f>IFERROR(IF(K83=0,"",K82/K83),"")</f>
        <v/>
      </c>
    </row>
    <row r="83">
      <c r="D83" s="6" t="inlineStr">
        <is>
          <t>Trade Receivables, Current</t>
        </is>
      </c>
      <c r="F83" s="7">
        <f>MT_HIST_CON!E44</f>
        <v/>
      </c>
      <c r="G83" s="7">
        <f>MT_HIST_CON!F44</f>
        <v/>
      </c>
      <c r="H83" s="7">
        <f>MT_HIST_CON!G44</f>
        <v/>
      </c>
      <c r="I83" s="7">
        <f>MT_HIST_CON!H44</f>
        <v/>
      </c>
      <c r="J83" s="7">
        <f>MT_HIST_CON!I44</f>
        <v/>
      </c>
      <c r="K83" s="7">
        <f>MT_HIST_CON!J44</f>
        <v/>
      </c>
    </row>
    <row r="85">
      <c r="B85" s="17" t="inlineStr">
        <is>
          <t>A/R Days</t>
        </is>
      </c>
      <c r="C85" s="17" t="inlineStr">
        <is>
          <t>=</t>
        </is>
      </c>
      <c r="D85" s="18" t="inlineStr">
        <is>
          <t>365 (days)</t>
        </is>
      </c>
      <c r="E85" s="18" t="inlineStr">
        <is>
          <t>=</t>
        </is>
      </c>
      <c r="F85" s="26" t="n">
        <v>365</v>
      </c>
      <c r="G85" s="26" t="n">
        <v>365</v>
      </c>
      <c r="H85" s="26" t="n">
        <v>365</v>
      </c>
      <c r="I85" s="26" t="n">
        <v>365</v>
      </c>
      <c r="J85" s="26" t="n">
        <v>365</v>
      </c>
      <c r="K85" s="26" t="n">
        <v>365</v>
      </c>
      <c r="L85" s="20" t="inlineStr">
        <is>
          <t>=</t>
        </is>
      </c>
      <c r="M85" s="27">
        <f>IFERROR(IF(F86=0,"",F85/F86),"")</f>
        <v/>
      </c>
      <c r="N85" s="27">
        <f>IFERROR(IF(G86=0,"",G85/G86),"")</f>
        <v/>
      </c>
      <c r="O85" s="27">
        <f>IFERROR(IF(H86=0,"",H85/H86),"")</f>
        <v/>
      </c>
      <c r="P85" s="27">
        <f>IFERROR(IF(I86=0,"",I85/I86),"")</f>
        <v/>
      </c>
      <c r="Q85" s="27">
        <f>IFERROR(IF(J86=0,"",J85/J86),"")</f>
        <v/>
      </c>
      <c r="R85" s="27">
        <f>IFERROR(IF(K86=0,"",K85/K86),"")</f>
        <v/>
      </c>
    </row>
    <row r="86">
      <c r="D86" s="6" t="inlineStr">
        <is>
          <t>Turnover (above)</t>
        </is>
      </c>
      <c r="F86" s="28">
        <f>+M82</f>
        <v/>
      </c>
      <c r="G86" s="28">
        <f>+N82</f>
        <v/>
      </c>
      <c r="H86" s="28">
        <f>+O82</f>
        <v/>
      </c>
      <c r="I86" s="28">
        <f>+P82</f>
        <v/>
      </c>
      <c r="J86" s="28">
        <f>+Q82</f>
        <v/>
      </c>
      <c r="K86" s="28">
        <f>+R82</f>
        <v/>
      </c>
    </row>
    <row r="88">
      <c r="B88" s="17" t="inlineStr">
        <is>
          <t>Inventory Turnover</t>
        </is>
      </c>
      <c r="C88" s="17" t="inlineStr">
        <is>
          <t>=</t>
        </is>
      </c>
      <c r="D88" s="18" t="inlineStr">
        <is>
          <t>COGS (= Revenue − Gross Profit)</t>
        </is>
      </c>
      <c r="E88" s="18" t="inlineStr">
        <is>
          <t>=</t>
        </is>
      </c>
      <c r="F88" s="19">
        <f>MT_HIST_CON!E7-MT_HIST_CON!E11</f>
        <v/>
      </c>
      <c r="G88" s="19">
        <f>MT_HIST_CON!F7-MT_HIST_CON!F11</f>
        <v/>
      </c>
      <c r="H88" s="19">
        <f>MT_HIST_CON!G7-MT_HIST_CON!G11</f>
        <v/>
      </c>
      <c r="I88" s="19">
        <f>MT_HIST_CON!H7-MT_HIST_CON!H11</f>
        <v/>
      </c>
      <c r="J88" s="19">
        <f>MT_HIST_CON!I7-MT_HIST_CON!I11</f>
        <v/>
      </c>
      <c r="K88" s="19">
        <f>MT_HIST_CON!J7-MT_HIST_CON!J11</f>
        <v/>
      </c>
      <c r="L88" s="20" t="inlineStr">
        <is>
          <t>=</t>
        </is>
      </c>
      <c r="M88" s="25">
        <f>IFERROR(IF(F89=0,"",F88/F89),"")</f>
        <v/>
      </c>
      <c r="N88" s="25">
        <f>IFERROR(IF(G89=0,"",G88/G89),"")</f>
        <v/>
      </c>
      <c r="O88" s="25">
        <f>IFERROR(IF(H89=0,"",H88/H89),"")</f>
        <v/>
      </c>
      <c r="P88" s="25">
        <f>IFERROR(IF(I89=0,"",I88/I89),"")</f>
        <v/>
      </c>
      <c r="Q88" s="25">
        <f>IFERROR(IF(J89=0,"",J88/J89),"")</f>
        <v/>
      </c>
      <c r="R88" s="25">
        <f>IFERROR(IF(K89=0,"",K88/K89),"")</f>
        <v/>
      </c>
    </row>
    <row r="89">
      <c r="D89" s="6" t="inlineStr">
        <is>
          <t>Inventory</t>
        </is>
      </c>
      <c r="F89" s="7">
        <f>MT_HIST_CON!E43</f>
        <v/>
      </c>
      <c r="G89" s="7">
        <f>MT_HIST_CON!F43</f>
        <v/>
      </c>
      <c r="H89" s="7">
        <f>MT_HIST_CON!G43</f>
        <v/>
      </c>
      <c r="I89" s="7">
        <f>MT_HIST_CON!H43</f>
        <v/>
      </c>
      <c r="J89" s="7">
        <f>MT_HIST_CON!I43</f>
        <v/>
      </c>
      <c r="K89" s="7">
        <f>MT_HIST_CON!J43</f>
        <v/>
      </c>
    </row>
    <row r="91">
      <c r="B91" s="17" t="inlineStr">
        <is>
          <t>Inventory Days</t>
        </is>
      </c>
      <c r="C91" s="17" t="inlineStr">
        <is>
          <t>=</t>
        </is>
      </c>
      <c r="D91" s="18" t="inlineStr">
        <is>
          <t>365 (days)</t>
        </is>
      </c>
      <c r="E91" s="18" t="inlineStr">
        <is>
          <t>=</t>
        </is>
      </c>
      <c r="F91" s="26" t="n">
        <v>365</v>
      </c>
      <c r="G91" s="26" t="n">
        <v>365</v>
      </c>
      <c r="H91" s="26" t="n">
        <v>365</v>
      </c>
      <c r="I91" s="26" t="n">
        <v>365</v>
      </c>
      <c r="J91" s="26" t="n">
        <v>365</v>
      </c>
      <c r="K91" s="26" t="n">
        <v>365</v>
      </c>
      <c r="L91" s="20" t="inlineStr">
        <is>
          <t>=</t>
        </is>
      </c>
      <c r="M91" s="27">
        <f>IFERROR(IF(F92=0,"",F91/F92),"")</f>
        <v/>
      </c>
      <c r="N91" s="27">
        <f>IFERROR(IF(G92=0,"",G91/G92),"")</f>
        <v/>
      </c>
      <c r="O91" s="27">
        <f>IFERROR(IF(H92=0,"",H91/H92),"")</f>
        <v/>
      </c>
      <c r="P91" s="27">
        <f>IFERROR(IF(I92=0,"",I91/I92),"")</f>
        <v/>
      </c>
      <c r="Q91" s="27">
        <f>IFERROR(IF(J92=0,"",J91/J92),"")</f>
        <v/>
      </c>
      <c r="R91" s="27">
        <f>IFERROR(IF(K92=0,"",K91/K92),"")</f>
        <v/>
      </c>
    </row>
    <row r="92">
      <c r="D92" s="6" t="inlineStr">
        <is>
          <t>Turnover (above)</t>
        </is>
      </c>
      <c r="F92" s="28">
        <f>+M88</f>
        <v/>
      </c>
      <c r="G92" s="28">
        <f>+N88</f>
        <v/>
      </c>
      <c r="H92" s="28">
        <f>+O88</f>
        <v/>
      </c>
      <c r="I92" s="28">
        <f>+P88</f>
        <v/>
      </c>
      <c r="J92" s="28">
        <f>+Q88</f>
        <v/>
      </c>
      <c r="K92" s="28">
        <f>+R88</f>
        <v/>
      </c>
    </row>
    <row r="94">
      <c r="B94" s="17" t="inlineStr">
        <is>
          <t>A/P Turnover</t>
        </is>
      </c>
      <c r="C94" s="17" t="inlineStr">
        <is>
          <t>=</t>
        </is>
      </c>
      <c r="D94" s="18" t="inlineStr">
        <is>
          <t>COGS (= Revenue − Gross Profit)</t>
        </is>
      </c>
      <c r="E94" s="18" t="inlineStr">
        <is>
          <t>=</t>
        </is>
      </c>
      <c r="F94" s="22">
        <f>+F88</f>
        <v/>
      </c>
      <c r="G94" s="22">
        <f>+G88</f>
        <v/>
      </c>
      <c r="H94" s="22">
        <f>+H88</f>
        <v/>
      </c>
      <c r="I94" s="22">
        <f>+I88</f>
        <v/>
      </c>
      <c r="J94" s="22">
        <f>+J88</f>
        <v/>
      </c>
      <c r="K94" s="22">
        <f>+K88</f>
        <v/>
      </c>
      <c r="L94" s="20" t="inlineStr">
        <is>
          <t>=</t>
        </is>
      </c>
      <c r="M94" s="25">
        <f>IFERROR(IF(F95=0,"",F94/F95),"")</f>
        <v/>
      </c>
      <c r="N94" s="25">
        <f>IFERROR(IF(G95=0,"",G94/G95),"")</f>
        <v/>
      </c>
      <c r="O94" s="25">
        <f>IFERROR(IF(H95=0,"",H94/H95),"")</f>
        <v/>
      </c>
      <c r="P94" s="25">
        <f>IFERROR(IF(I95=0,"",I94/I95),"")</f>
        <v/>
      </c>
      <c r="Q94" s="25">
        <f>IFERROR(IF(J95=0,"",J94/J95),"")</f>
        <v/>
      </c>
      <c r="R94" s="25">
        <f>IFERROR(IF(K95=0,"",K94/K95),"")</f>
        <v/>
      </c>
    </row>
    <row r="95">
      <c r="D95" s="6" t="inlineStr">
        <is>
          <t>Trade Payables, Current</t>
        </is>
      </c>
      <c r="F95" s="7">
        <f>MT_HIST_CON!E78</f>
        <v/>
      </c>
      <c r="G95" s="7">
        <f>MT_HIST_CON!F78</f>
        <v/>
      </c>
      <c r="H95" s="7">
        <f>MT_HIST_CON!G78</f>
        <v/>
      </c>
      <c r="I95" s="7">
        <f>MT_HIST_CON!H78</f>
        <v/>
      </c>
      <c r="J95" s="7">
        <f>MT_HIST_CON!I78</f>
        <v/>
      </c>
      <c r="K95" s="7">
        <f>MT_HIST_CON!J78</f>
        <v/>
      </c>
    </row>
    <row r="97">
      <c r="B97" s="17" t="inlineStr">
        <is>
          <t>A/P Days</t>
        </is>
      </c>
      <c r="C97" s="17" t="inlineStr">
        <is>
          <t>=</t>
        </is>
      </c>
      <c r="D97" s="18" t="inlineStr">
        <is>
          <t>365 (days)</t>
        </is>
      </c>
      <c r="E97" s="18" t="inlineStr">
        <is>
          <t>=</t>
        </is>
      </c>
      <c r="F97" s="26" t="n">
        <v>365</v>
      </c>
      <c r="G97" s="26" t="n">
        <v>365</v>
      </c>
      <c r="H97" s="26" t="n">
        <v>365</v>
      </c>
      <c r="I97" s="26" t="n">
        <v>365</v>
      </c>
      <c r="J97" s="26" t="n">
        <v>365</v>
      </c>
      <c r="K97" s="26" t="n">
        <v>365</v>
      </c>
      <c r="L97" s="20" t="inlineStr">
        <is>
          <t>=</t>
        </is>
      </c>
      <c r="M97" s="27">
        <f>IFERROR(IF(F98=0,"",F97/F98),"")</f>
        <v/>
      </c>
      <c r="N97" s="27">
        <f>IFERROR(IF(G98=0,"",G97/G98),"")</f>
        <v/>
      </c>
      <c r="O97" s="27">
        <f>IFERROR(IF(H98=0,"",H97/H98),"")</f>
        <v/>
      </c>
      <c r="P97" s="27">
        <f>IFERROR(IF(I98=0,"",I97/I98),"")</f>
        <v/>
      </c>
      <c r="Q97" s="27">
        <f>IFERROR(IF(J98=0,"",J97/J98),"")</f>
        <v/>
      </c>
      <c r="R97" s="27">
        <f>IFERROR(IF(K98=0,"",K97/K98),"")</f>
        <v/>
      </c>
    </row>
    <row r="98">
      <c r="D98" s="6" t="inlineStr">
        <is>
          <t>Turnover (above)</t>
        </is>
      </c>
      <c r="F98" s="28">
        <f>+M94</f>
        <v/>
      </c>
      <c r="G98" s="28">
        <f>+N94</f>
        <v/>
      </c>
      <c r="H98" s="28">
        <f>+O94</f>
        <v/>
      </c>
      <c r="I98" s="28">
        <f>+P94</f>
        <v/>
      </c>
      <c r="J98" s="28">
        <f>+Q94</f>
        <v/>
      </c>
      <c r="K98" s="28">
        <f>+R94</f>
        <v/>
      </c>
    </row>
    <row r="100">
      <c r="B100" s="20" t="inlineStr">
        <is>
          <t>Cash Conversion Cycle</t>
        </is>
      </c>
      <c r="D100" s="211" t="inlineStr">
        <is>
          <t>(A/R Days + Inventory Days − A/P Days)</t>
        </is>
      </c>
      <c r="L100" s="20" t="inlineStr">
        <is>
          <t>=</t>
        </is>
      </c>
      <c r="M100" s="27">
        <f>N(M85)+N(M91)-N(M97)</f>
        <v/>
      </c>
      <c r="N100" s="27">
        <f>N(N85)+N(N91)-N(N97)</f>
        <v/>
      </c>
      <c r="O100" s="27">
        <f>N(O85)+N(O91)-N(O97)</f>
        <v/>
      </c>
      <c r="P100" s="27">
        <f>N(P85)+N(P91)-N(P97)</f>
        <v/>
      </c>
      <c r="Q100" s="27">
        <f>N(Q85)+N(Q91)-N(Q97)</f>
        <v/>
      </c>
      <c r="R100" s="27">
        <f>N(R85)+N(R91)-N(R97)</f>
        <v/>
      </c>
    </row>
    <row r="102" ht="15.5" customHeight="1" s="203">
      <c r="A102" s="14" t="inlineStr">
        <is>
          <t>#</t>
        </is>
      </c>
      <c r="B102" s="16" t="inlineStr">
        <is>
          <t>Leverage Ratios</t>
        </is>
      </c>
    </row>
    <row r="103">
      <c r="B103" s="17" t="inlineStr">
        <is>
          <t>Total Asset to Equity</t>
        </is>
      </c>
      <c r="C103" s="17" t="inlineStr">
        <is>
          <t>=</t>
        </is>
      </c>
      <c r="D103" s="18" t="inlineStr">
        <is>
          <t>Total Assets</t>
        </is>
      </c>
      <c r="E103" s="18" t="inlineStr">
        <is>
          <t>=</t>
        </is>
      </c>
      <c r="F103" s="22">
        <f>+F11</f>
        <v/>
      </c>
      <c r="G103" s="22">
        <f>+G11</f>
        <v/>
      </c>
      <c r="H103" s="22">
        <f>+H11</f>
        <v/>
      </c>
      <c r="I103" s="22">
        <f>+I11</f>
        <v/>
      </c>
      <c r="J103" s="22">
        <f>+J11</f>
        <v/>
      </c>
      <c r="K103" s="22">
        <f>+K11</f>
        <v/>
      </c>
      <c r="L103" s="20" t="inlineStr">
        <is>
          <t>=</t>
        </is>
      </c>
      <c r="M103" s="25">
        <f>IFERROR(IF(F104=0,"",F103/F104),"")</f>
        <v/>
      </c>
      <c r="N103" s="25">
        <f>IFERROR(IF(G104=0,"",G103/G104),"")</f>
        <v/>
      </c>
      <c r="O103" s="25">
        <f>IFERROR(IF(H104=0,"",H103/H104),"")</f>
        <v/>
      </c>
      <c r="P103" s="25">
        <f>IFERROR(IF(I104=0,"",I103/I104),"")</f>
        <v/>
      </c>
      <c r="Q103" s="25">
        <f>IFERROR(IF(J104=0,"",J103/J104),"")</f>
        <v/>
      </c>
      <c r="R103" s="25">
        <f>IFERROR(IF(K104=0,"",K103/K104),"")</f>
        <v/>
      </c>
    </row>
    <row r="104">
      <c r="D104" s="6" t="inlineStr">
        <is>
          <t>Equity</t>
        </is>
      </c>
      <c r="F104" s="23">
        <f>+F8</f>
        <v/>
      </c>
      <c r="G104" s="23">
        <f>+G8</f>
        <v/>
      </c>
      <c r="H104" s="23">
        <f>+H8</f>
        <v/>
      </c>
      <c r="I104" s="23">
        <f>+I8</f>
        <v/>
      </c>
      <c r="J104" s="23">
        <f>+J8</f>
        <v/>
      </c>
      <c r="K104" s="23">
        <f>+K8</f>
        <v/>
      </c>
    </row>
    <row r="106">
      <c r="B106" s="17" t="inlineStr">
        <is>
          <t>Total Liabilities to Equity</t>
        </is>
      </c>
      <c r="C106" s="17" t="inlineStr">
        <is>
          <t>=</t>
        </is>
      </c>
      <c r="D106" s="18" t="inlineStr">
        <is>
          <t>Total Liabilities (= Total Assets − Equity)</t>
        </is>
      </c>
      <c r="E106" s="18" t="inlineStr">
        <is>
          <t>=</t>
        </is>
      </c>
      <c r="F106" s="19">
        <f>MT_HIST_CON!E57-MT_HIST_CON!E63</f>
        <v/>
      </c>
      <c r="G106" s="19">
        <f>MT_HIST_CON!F57-MT_HIST_CON!F63</f>
        <v/>
      </c>
      <c r="H106" s="19">
        <f>MT_HIST_CON!G57-MT_HIST_CON!G63</f>
        <v/>
      </c>
      <c r="I106" s="19">
        <f>MT_HIST_CON!H57-MT_HIST_CON!H63</f>
        <v/>
      </c>
      <c r="J106" s="19">
        <f>MT_HIST_CON!I57-MT_HIST_CON!I63</f>
        <v/>
      </c>
      <c r="K106" s="19">
        <f>MT_HIST_CON!J57-MT_HIST_CON!J63</f>
        <v/>
      </c>
      <c r="L106" s="20" t="inlineStr">
        <is>
          <t>=</t>
        </is>
      </c>
      <c r="M106" s="25">
        <f>IFERROR(IF(F107=0,"",F106/F107),"")</f>
        <v/>
      </c>
      <c r="N106" s="25">
        <f>IFERROR(IF(G107=0,"",G106/G107),"")</f>
        <v/>
      </c>
      <c r="O106" s="25">
        <f>IFERROR(IF(H107=0,"",H106/H107),"")</f>
        <v/>
      </c>
      <c r="P106" s="25">
        <f>IFERROR(IF(I107=0,"",I106/I107),"")</f>
        <v/>
      </c>
      <c r="Q106" s="25">
        <f>IFERROR(IF(J107=0,"",J106/J107),"")</f>
        <v/>
      </c>
      <c r="R106" s="25">
        <f>IFERROR(IF(K107=0,"",K106/K107),"")</f>
        <v/>
      </c>
    </row>
    <row r="107">
      <c r="D107" s="6" t="inlineStr">
        <is>
          <t>Equity</t>
        </is>
      </c>
      <c r="F107" s="23">
        <f>+F8</f>
        <v/>
      </c>
      <c r="G107" s="23">
        <f>+G8</f>
        <v/>
      </c>
      <c r="H107" s="23">
        <f>+H8</f>
        <v/>
      </c>
      <c r="I107" s="23">
        <f>+I8</f>
        <v/>
      </c>
      <c r="J107" s="23">
        <f>+J8</f>
        <v/>
      </c>
      <c r="K107" s="23">
        <f>+K8</f>
        <v/>
      </c>
    </row>
    <row r="109">
      <c r="B109" s="17" t="inlineStr">
        <is>
          <t>Debt to Equity</t>
        </is>
      </c>
      <c r="C109" s="17" t="inlineStr">
        <is>
          <t>=</t>
        </is>
      </c>
      <c r="D109" s="18" t="inlineStr">
        <is>
          <t>Total Debt (= Borrowings + Lease Liabilities)</t>
        </is>
      </c>
      <c r="E109" s="18" t="inlineStr">
        <is>
          <t>=</t>
        </is>
      </c>
      <c r="F109" s="22">
        <f>+F64</f>
        <v/>
      </c>
      <c r="G109" s="22">
        <f>+G64</f>
        <v/>
      </c>
      <c r="H109" s="22">
        <f>+H64</f>
        <v/>
      </c>
      <c r="I109" s="22">
        <f>+I64</f>
        <v/>
      </c>
      <c r="J109" s="22">
        <f>+J64</f>
        <v/>
      </c>
      <c r="K109" s="22">
        <f>+K64</f>
        <v/>
      </c>
      <c r="L109" s="20" t="inlineStr">
        <is>
          <t>=</t>
        </is>
      </c>
      <c r="M109" s="25">
        <f>IFERROR(IF(F110=0,"",F109/F110),"")</f>
        <v/>
      </c>
      <c r="N109" s="25">
        <f>IFERROR(IF(G110=0,"",G109/G110),"")</f>
        <v/>
      </c>
      <c r="O109" s="25">
        <f>IFERROR(IF(H110=0,"",H109/H110),"")</f>
        <v/>
      </c>
      <c r="P109" s="25">
        <f>IFERROR(IF(I110=0,"",I109/I110),"")</f>
        <v/>
      </c>
      <c r="Q109" s="25">
        <f>IFERROR(IF(J110=0,"",J109/J110),"")</f>
        <v/>
      </c>
      <c r="R109" s="25">
        <f>IFERROR(IF(K110=0,"",K109/K110),"")</f>
        <v/>
      </c>
    </row>
    <row r="110">
      <c r="D110" s="6" t="inlineStr">
        <is>
          <t>Equity</t>
        </is>
      </c>
      <c r="F110" s="23">
        <f>+F8</f>
        <v/>
      </c>
      <c r="G110" s="23">
        <f>+G8</f>
        <v/>
      </c>
      <c r="H110" s="23">
        <f>+H8</f>
        <v/>
      </c>
      <c r="I110" s="23">
        <f>+I8</f>
        <v/>
      </c>
      <c r="J110" s="23">
        <f>+J8</f>
        <v/>
      </c>
      <c r="K110" s="23">
        <f>+K8</f>
        <v/>
      </c>
    </row>
    <row r="112">
      <c r="B112" s="17" t="inlineStr">
        <is>
          <t>Debt to EBITDA</t>
        </is>
      </c>
      <c r="C112" s="17" t="inlineStr">
        <is>
          <t>=</t>
        </is>
      </c>
      <c r="D112" s="18" t="inlineStr">
        <is>
          <t>Total Debt (= Borrowings + Lease Liabilities)</t>
        </is>
      </c>
      <c r="E112" s="18" t="inlineStr">
        <is>
          <t>=</t>
        </is>
      </c>
      <c r="F112" s="22">
        <f>+F64</f>
        <v/>
      </c>
      <c r="G112" s="22">
        <f>+G64</f>
        <v/>
      </c>
      <c r="H112" s="22">
        <f>+H64</f>
        <v/>
      </c>
      <c r="I112" s="22">
        <f>+I64</f>
        <v/>
      </c>
      <c r="J112" s="22">
        <f>+J64</f>
        <v/>
      </c>
      <c r="K112" s="22">
        <f>+K64</f>
        <v/>
      </c>
      <c r="L112" s="20" t="inlineStr">
        <is>
          <t>=</t>
        </is>
      </c>
      <c r="M112" s="25">
        <f>IFERROR(IF(F113=0,"",F112/F113),"")</f>
        <v/>
      </c>
      <c r="N112" s="25">
        <f>IFERROR(IF(G113=0,"",G112/G113),"")</f>
        <v/>
      </c>
      <c r="O112" s="25">
        <f>IFERROR(IF(H113=0,"",H112/H113),"")</f>
        <v/>
      </c>
      <c r="P112" s="25">
        <f>IFERROR(IF(I113=0,"",I112/I113),"")</f>
        <v/>
      </c>
      <c r="Q112" s="25">
        <f>IFERROR(IF(J113=0,"",J112/J113),"")</f>
        <v/>
      </c>
      <c r="R112" s="25">
        <f>IFERROR(IF(K113=0,"",K112/K113),"")</f>
        <v/>
      </c>
    </row>
    <row r="113">
      <c r="D113" s="6" t="inlineStr">
        <is>
          <t>EBITDA</t>
        </is>
      </c>
      <c r="F113" s="23">
        <f>+F28</f>
        <v/>
      </c>
      <c r="G113" s="23">
        <f>+G28</f>
        <v/>
      </c>
      <c r="H113" s="23">
        <f>+H28</f>
        <v/>
      </c>
      <c r="I113" s="23">
        <f>+I28</f>
        <v/>
      </c>
      <c r="J113" s="23">
        <f>+J28</f>
        <v/>
      </c>
      <c r="K113" s="23">
        <f>+K28</f>
        <v/>
      </c>
    </row>
    <row r="115">
      <c r="B115" s="17" t="inlineStr">
        <is>
          <t>Net Debt to EBITDA</t>
        </is>
      </c>
      <c r="C115" s="17" t="inlineStr">
        <is>
          <t>=</t>
        </is>
      </c>
      <c r="D115" s="18" t="inlineStr">
        <is>
          <t>Net Debt (= Total Debt − Cash)</t>
        </is>
      </c>
      <c r="E115" s="18" t="inlineStr">
        <is>
          <t>=</t>
        </is>
      </c>
      <c r="F115" s="19">
        <f>(MT_HIST_CON!E67+MT_HIST_CON!E76+0+0)-MT_HIST_CON!E49</f>
        <v/>
      </c>
      <c r="G115" s="19">
        <f>(MT_HIST_CON!F67+MT_HIST_CON!F76+0+0)-MT_HIST_CON!F49</f>
        <v/>
      </c>
      <c r="H115" s="19">
        <f>(MT_HIST_CON!G67+MT_HIST_CON!G76+0+0)-MT_HIST_CON!G49</f>
        <v/>
      </c>
      <c r="I115" s="19">
        <f>(MT_HIST_CON!H67+MT_HIST_CON!H76+0+0)-MT_HIST_CON!H49</f>
        <v/>
      </c>
      <c r="J115" s="19">
        <f>(MT_HIST_CON!I67+MT_HIST_CON!I76+0+0)-MT_HIST_CON!I49</f>
        <v/>
      </c>
      <c r="K115" s="19">
        <f>(MT_HIST_CON!J67+MT_HIST_CON!J76+0+0)-MT_HIST_CON!J49</f>
        <v/>
      </c>
      <c r="L115" s="20" t="inlineStr">
        <is>
          <t>=</t>
        </is>
      </c>
      <c r="M115" s="25">
        <f>IFERROR(IF(F116=0,"",F115/F116),"")</f>
        <v/>
      </c>
      <c r="N115" s="25">
        <f>IFERROR(IF(G116=0,"",G115/G116),"")</f>
        <v/>
      </c>
      <c r="O115" s="25">
        <f>IFERROR(IF(H116=0,"",H115/H116),"")</f>
        <v/>
      </c>
      <c r="P115" s="25">
        <f>IFERROR(IF(I116=0,"",I115/I116),"")</f>
        <v/>
      </c>
      <c r="Q115" s="25">
        <f>IFERROR(IF(J116=0,"",J115/J116),"")</f>
        <v/>
      </c>
      <c r="R115" s="25">
        <f>IFERROR(IF(K116=0,"",K115/K116),"")</f>
        <v/>
      </c>
    </row>
    <row r="116">
      <c r="D116" s="6" t="inlineStr">
        <is>
          <t>EBITDA</t>
        </is>
      </c>
      <c r="F116" s="23">
        <f>+F28</f>
        <v/>
      </c>
      <c r="G116" s="23">
        <f>+G28</f>
        <v/>
      </c>
      <c r="H116" s="23">
        <f>+H28</f>
        <v/>
      </c>
      <c r="I116" s="23">
        <f>+I28</f>
        <v/>
      </c>
      <c r="J116" s="23">
        <f>+J28</f>
        <v/>
      </c>
      <c r="K116" s="23">
        <f>+K28</f>
        <v/>
      </c>
    </row>
    <row r="118" ht="15.5" customHeight="1" s="203">
      <c r="A118" s="14" t="inlineStr">
        <is>
          <t>#</t>
        </is>
      </c>
      <c r="B118" s="16" t="inlineStr">
        <is>
          <t>Liquidity Ratios</t>
        </is>
      </c>
    </row>
    <row r="119">
      <c r="B119" s="17" t="inlineStr">
        <is>
          <t>Current Ratio</t>
        </is>
      </c>
      <c r="C119" s="17" t="inlineStr">
        <is>
          <t>=</t>
        </is>
      </c>
      <c r="D119" s="18" t="inlineStr">
        <is>
          <t>Total Current Assets</t>
        </is>
      </c>
      <c r="E119" s="18" t="inlineStr">
        <is>
          <t>=</t>
        </is>
      </c>
      <c r="F119" s="19">
        <f>MT_HIST_CON!E55</f>
        <v/>
      </c>
      <c r="G119" s="19">
        <f>MT_HIST_CON!F55</f>
        <v/>
      </c>
      <c r="H119" s="19">
        <f>MT_HIST_CON!G55</f>
        <v/>
      </c>
      <c r="I119" s="19">
        <f>MT_HIST_CON!H55</f>
        <v/>
      </c>
      <c r="J119" s="19">
        <f>MT_HIST_CON!I55</f>
        <v/>
      </c>
      <c r="K119" s="19">
        <f>MT_HIST_CON!J55</f>
        <v/>
      </c>
      <c r="L119" s="20" t="inlineStr">
        <is>
          <t>=</t>
        </is>
      </c>
      <c r="M119" s="25">
        <f>IFERROR(IF(F120=0,"",F119/F120),"")</f>
        <v/>
      </c>
      <c r="N119" s="25">
        <f>IFERROR(IF(G120=0,"",G119/G120),"")</f>
        <v/>
      </c>
      <c r="O119" s="25">
        <f>IFERROR(IF(H120=0,"",H119/H120),"")</f>
        <v/>
      </c>
      <c r="P119" s="25">
        <f>IFERROR(IF(I120=0,"",I119/I120),"")</f>
        <v/>
      </c>
      <c r="Q119" s="25">
        <f>IFERROR(IF(J120=0,"",J119/J120),"")</f>
        <v/>
      </c>
      <c r="R119" s="25">
        <f>IFERROR(IF(K120=0,"",K119/K120),"")</f>
        <v/>
      </c>
    </row>
    <row r="120">
      <c r="D120" s="6" t="inlineStr">
        <is>
          <t>Total Current Liabilities</t>
        </is>
      </c>
      <c r="F120" s="7">
        <f>MT_HIST_CON!E84</f>
        <v/>
      </c>
      <c r="G120" s="7">
        <f>MT_HIST_CON!F84</f>
        <v/>
      </c>
      <c r="H120" s="7">
        <f>MT_HIST_CON!G84</f>
        <v/>
      </c>
      <c r="I120" s="7">
        <f>MT_HIST_CON!H84</f>
        <v/>
      </c>
      <c r="J120" s="7">
        <f>MT_HIST_CON!I84</f>
        <v/>
      </c>
      <c r="K120" s="7">
        <f>MT_HIST_CON!J84</f>
        <v/>
      </c>
    </row>
    <row r="122">
      <c r="B122" s="17" t="inlineStr">
        <is>
          <t>Quick Ratio</t>
        </is>
      </c>
      <c r="C122" s="17" t="inlineStr">
        <is>
          <t>=</t>
        </is>
      </c>
      <c r="D122" s="18" t="inlineStr">
        <is>
          <t>Quick Assets (= Current Assets − Inventory)</t>
        </is>
      </c>
      <c r="E122" s="18" t="inlineStr">
        <is>
          <t>=</t>
        </is>
      </c>
      <c r="F122" s="19">
        <f>MT_HIST_CON!E55-MT_HIST_CON!E43</f>
        <v/>
      </c>
      <c r="G122" s="19">
        <f>MT_HIST_CON!F55-MT_HIST_CON!F43</f>
        <v/>
      </c>
      <c r="H122" s="19">
        <f>MT_HIST_CON!G55-MT_HIST_CON!G43</f>
        <v/>
      </c>
      <c r="I122" s="19">
        <f>MT_HIST_CON!H55-MT_HIST_CON!H43</f>
        <v/>
      </c>
      <c r="J122" s="19">
        <f>MT_HIST_CON!I55-MT_HIST_CON!I43</f>
        <v/>
      </c>
      <c r="K122" s="19">
        <f>MT_HIST_CON!J55-MT_HIST_CON!J43</f>
        <v/>
      </c>
      <c r="L122" s="20" t="inlineStr">
        <is>
          <t>=</t>
        </is>
      </c>
      <c r="M122" s="25">
        <f>IFERROR(IF(F123=0,"",F122/F123),"")</f>
        <v/>
      </c>
      <c r="N122" s="25">
        <f>IFERROR(IF(G123=0,"",G122/G123),"")</f>
        <v/>
      </c>
      <c r="O122" s="25">
        <f>IFERROR(IF(H123=0,"",H122/H123),"")</f>
        <v/>
      </c>
      <c r="P122" s="25">
        <f>IFERROR(IF(I123=0,"",I122/I123),"")</f>
        <v/>
      </c>
      <c r="Q122" s="25">
        <f>IFERROR(IF(J123=0,"",J122/J123),"")</f>
        <v/>
      </c>
      <c r="R122" s="25">
        <f>IFERROR(IF(K123=0,"",K122/K123),"")</f>
        <v/>
      </c>
    </row>
    <row r="123">
      <c r="D123" s="6" t="inlineStr">
        <is>
          <t>Total Current Liabilities</t>
        </is>
      </c>
      <c r="F123" s="23">
        <f>+F120</f>
        <v/>
      </c>
      <c r="G123" s="23">
        <f>+G120</f>
        <v/>
      </c>
      <c r="H123" s="23">
        <f>+H120</f>
        <v/>
      </c>
      <c r="I123" s="23">
        <f>+I120</f>
        <v/>
      </c>
      <c r="J123" s="23">
        <f>+J120</f>
        <v/>
      </c>
      <c r="K123" s="23">
        <f>+K120</f>
        <v/>
      </c>
    </row>
    <row r="125">
      <c r="B125" s="17" t="inlineStr">
        <is>
          <t>Interest Coverage</t>
        </is>
      </c>
      <c r="C125" s="17" t="inlineStr">
        <is>
          <t>=</t>
        </is>
      </c>
      <c r="D125" s="18" t="inlineStr">
        <is>
          <t>EBITDA</t>
        </is>
      </c>
      <c r="E125" s="18" t="inlineStr">
        <is>
          <t>=</t>
        </is>
      </c>
      <c r="F125" s="22">
        <f>+F28</f>
        <v/>
      </c>
      <c r="G125" s="22">
        <f>+G28</f>
        <v/>
      </c>
      <c r="H125" s="22">
        <f>+H28</f>
        <v/>
      </c>
      <c r="I125" s="22">
        <f>+I28</f>
        <v/>
      </c>
      <c r="J125" s="22">
        <f>+J28</f>
        <v/>
      </c>
      <c r="K125" s="22">
        <f>+K28</f>
        <v/>
      </c>
      <c r="L125" s="20" t="inlineStr">
        <is>
          <t>=</t>
        </is>
      </c>
      <c r="M125" s="25">
        <f>IFERROR(IF(F126=0,"",F125/F126),"")</f>
        <v/>
      </c>
      <c r="N125" s="25">
        <f>IFERROR(IF(G126=0,"",G125/G126),"")</f>
        <v/>
      </c>
      <c r="O125" s="25">
        <f>IFERROR(IF(H126=0,"",H125/H126),"")</f>
        <v/>
      </c>
      <c r="P125" s="25">
        <f>IFERROR(IF(I126=0,"",I125/I126),"")</f>
        <v/>
      </c>
      <c r="Q125" s="25">
        <f>IFERROR(IF(J126=0,"",J125/J126),"")</f>
        <v/>
      </c>
      <c r="R125" s="25">
        <f>IFERROR(IF(K126=0,"",K125/K126),"")</f>
        <v/>
      </c>
    </row>
    <row r="126">
      <c r="D126" s="6" t="inlineStr">
        <is>
          <t>Finance Costs (absolute)</t>
        </is>
      </c>
      <c r="F126" s="23">
        <f>+F63</f>
        <v/>
      </c>
      <c r="G126" s="23">
        <f>+G63</f>
        <v/>
      </c>
      <c r="H126" s="23">
        <f>+H63</f>
        <v/>
      </c>
      <c r="I126" s="23">
        <f>+I63</f>
        <v/>
      </c>
      <c r="J126" s="23">
        <f>+J63</f>
        <v/>
      </c>
      <c r="K126" s="23">
        <f>+K63</f>
        <v/>
      </c>
    </row>
    <row r="128" ht="15.5" customHeight="1" s="203">
      <c r="A128" s="14" t="inlineStr">
        <is>
          <t>#</t>
        </is>
      </c>
      <c r="B128" s="16" t="inlineStr">
        <is>
          <t>Growth Trends (Year-over-Year)</t>
        </is>
      </c>
    </row>
    <row r="129">
      <c r="B129" s="20" t="inlineStr">
        <is>
          <t>Revenue Growth %</t>
        </is>
      </c>
      <c r="L129" s="20" t="inlineStr">
        <is>
          <t>=</t>
        </is>
      </c>
      <c r="M129" s="29" t="inlineStr">
        <is>
          <t>n/a</t>
        </is>
      </c>
      <c r="N129" s="21">
        <f>IFERROR(IF(F20=0,"",(G20-F20)/F20),"")</f>
        <v/>
      </c>
      <c r="O129" s="21">
        <f>IFERROR(IF(G20=0,"",(H20-G20)/G20),"")</f>
        <v/>
      </c>
      <c r="P129" s="21">
        <f>IFERROR(IF(H20=0,"",(I20-H20)/H20),"")</f>
        <v/>
      </c>
      <c r="Q129" s="21">
        <f>IFERROR(IF(I20=0,"",(J20-I20)/I20),"")</f>
        <v/>
      </c>
      <c r="R129" s="21">
        <f>IFERROR(IF(J20=0,"",(K20-J20)/J20),"")</f>
        <v/>
      </c>
    </row>
    <row r="131">
      <c r="B131" s="20" t="inlineStr">
        <is>
          <t>EBITDA Growth %</t>
        </is>
      </c>
      <c r="L131" s="20" t="inlineStr">
        <is>
          <t>=</t>
        </is>
      </c>
      <c r="M131" s="29" t="inlineStr">
        <is>
          <t>n/a</t>
        </is>
      </c>
      <c r="N131" s="21">
        <f>IFERROR(IF(F28=0,"",(G28-F28)/F28),"")</f>
        <v/>
      </c>
      <c r="O131" s="21">
        <f>IFERROR(IF(G28=0,"",(H28-G28)/G28),"")</f>
        <v/>
      </c>
      <c r="P131" s="21">
        <f>IFERROR(IF(H28=0,"",(I28-H28)/H28),"")</f>
        <v/>
      </c>
      <c r="Q131" s="21">
        <f>IFERROR(IF(I28=0,"",(J28-I28)/I28),"")</f>
        <v/>
      </c>
      <c r="R131" s="21">
        <f>IFERROR(IF(J28=0,"",(K28-J28)/J28),"")</f>
        <v/>
      </c>
    </row>
    <row r="133">
      <c r="B133" s="20" t="inlineStr">
        <is>
          <t>EBIT Growth %</t>
        </is>
      </c>
      <c r="L133" s="20" t="inlineStr">
        <is>
          <t>=</t>
        </is>
      </c>
      <c r="M133" s="29" t="inlineStr">
        <is>
          <t>n/a</t>
        </is>
      </c>
      <c r="N133" s="21">
        <f>IFERROR(IF(F36=0,"",(G36-F36)/F36),"")</f>
        <v/>
      </c>
      <c r="O133" s="21">
        <f>IFERROR(IF(G36=0,"",(H36-G36)/G36),"")</f>
        <v/>
      </c>
      <c r="P133" s="21">
        <f>IFERROR(IF(H36=0,"",(I36-H36)/H36),"")</f>
        <v/>
      </c>
      <c r="Q133" s="21">
        <f>IFERROR(IF(I36=0,"",(J36-I36)/I36),"")</f>
        <v/>
      </c>
      <c r="R133" s="21">
        <f>IFERROR(IF(J36=0,"",(K36-J36)/J36),"")</f>
        <v/>
      </c>
    </row>
    <row r="135">
      <c r="B135" s="20" t="inlineStr">
        <is>
          <t>Net Income Growth %</t>
        </is>
      </c>
      <c r="L135" s="20" t="inlineStr">
        <is>
          <t>=</t>
        </is>
      </c>
      <c r="M135" s="29" t="inlineStr">
        <is>
          <t>n/a</t>
        </is>
      </c>
      <c r="N135" s="21">
        <f>IFERROR(IF(F7=0,"",(G7-F7)/F7),"")</f>
        <v/>
      </c>
      <c r="O135" s="21">
        <f>IFERROR(IF(G7=0,"",(H7-G7)/G7),"")</f>
        <v/>
      </c>
      <c r="P135" s="21">
        <f>IFERROR(IF(H7=0,"",(I7-H7)/H7),"")</f>
        <v/>
      </c>
      <c r="Q135" s="21">
        <f>IFERROR(IF(I7=0,"",(J7-I7)/I7),"")</f>
        <v/>
      </c>
      <c r="R135" s="21">
        <f>IFERROR(IF(J7=0,"",(K7-J7)/J7),"")</f>
        <v/>
      </c>
    </row>
    <row r="137">
      <c r="B137" s="20" t="inlineStr">
        <is>
          <t>Total Assets Growth %</t>
        </is>
      </c>
      <c r="L137" s="20" t="inlineStr">
        <is>
          <t>=</t>
        </is>
      </c>
      <c r="M137" s="29" t="inlineStr">
        <is>
          <t>n/a</t>
        </is>
      </c>
      <c r="N137" s="21">
        <f>IFERROR(IF(F11=0,"",(G11-F11)/F11),"")</f>
        <v/>
      </c>
      <c r="O137" s="21">
        <f>IFERROR(IF(G11=0,"",(H11-G11)/G11),"")</f>
        <v/>
      </c>
      <c r="P137" s="21">
        <f>IFERROR(IF(H11=0,"",(I11-H11)/H11),"")</f>
        <v/>
      </c>
      <c r="Q137" s="21">
        <f>IFERROR(IF(I11=0,"",(J11-I11)/I11),"")</f>
        <v/>
      </c>
      <c r="R137" s="21">
        <f>IFERROR(IF(J11=0,"",(K11-J11)/J11),"")</f>
        <v/>
      </c>
    </row>
    <row r="139">
      <c r="B139" s="20" t="inlineStr">
        <is>
          <t>Degree of Operating Leverage</t>
        </is>
      </c>
      <c r="L139" s="20" t="inlineStr">
        <is>
          <t>=</t>
        </is>
      </c>
      <c r="M139" s="25">
        <f>IF(OR(NOT(ISNUMBER(M129)),NOT(ISNUMBER(M133)),M129=0),"",M133/M129)</f>
        <v/>
      </c>
      <c r="N139" s="25">
        <f>IF(OR(NOT(ISNUMBER(N129)),NOT(ISNUMBER(N133)),N129=0),"",N133/N129)</f>
        <v/>
      </c>
      <c r="O139" s="25">
        <f>IF(OR(NOT(ISNUMBER(O129)),NOT(ISNUMBER(O133)),O129=0),"",O133/O129)</f>
        <v/>
      </c>
      <c r="P139" s="25">
        <f>IF(OR(NOT(ISNUMBER(P129)),NOT(ISNUMBER(P133)),P129=0),"",P133/P129)</f>
        <v/>
      </c>
      <c r="Q139" s="25">
        <f>IF(OR(NOT(ISNUMBER(Q129)),NOT(ISNUMBER(Q133)),Q129=0),"",Q133/Q129)</f>
        <v/>
      </c>
      <c r="R139" s="25">
        <f>IF(OR(NOT(ISNUMBER(R129)),NOT(ISNUMBER(R133)),R129=0),"",R133/R129)</f>
        <v/>
      </c>
    </row>
    <row r="141">
      <c r="B141" s="20" t="inlineStr">
        <is>
          <t>Degree of Financial Leverage</t>
        </is>
      </c>
      <c r="L141" s="20" t="inlineStr">
        <is>
          <t>=</t>
        </is>
      </c>
      <c r="M141" s="25">
        <f>IF(OR(NOT(ISNUMBER(M133)),NOT(ISNUMBER(M135)),M133=0),"",M135/M133)</f>
        <v/>
      </c>
      <c r="N141" s="25">
        <f>IF(OR(NOT(ISNUMBER(N133)),NOT(ISNUMBER(N135)),N133=0),"",N135/N133)</f>
        <v/>
      </c>
      <c r="O141" s="25">
        <f>IF(OR(NOT(ISNUMBER(O133)),NOT(ISNUMBER(O135)),O133=0),"",O135/O133)</f>
        <v/>
      </c>
      <c r="P141" s="25">
        <f>IF(OR(NOT(ISNUMBER(P133)),NOT(ISNUMBER(P135)),P133=0),"",P135/P133)</f>
        <v/>
      </c>
      <c r="Q141" s="25">
        <f>IF(OR(NOT(ISNUMBER(Q133)),NOT(ISNUMBER(Q135)),Q133=0),"",Q135/Q133)</f>
        <v/>
      </c>
      <c r="R141" s="25">
        <f>IF(OR(NOT(ISNUMBER(R133)),NOT(ISNUMBER(R135)),R133=0),"",R135/R133)</f>
        <v/>
      </c>
    </row>
    <row r="143">
      <c r="B143" s="20" t="inlineStr">
        <is>
          <t>Degree of Total Leverage</t>
        </is>
      </c>
      <c r="L143" s="20" t="inlineStr">
        <is>
          <t>=</t>
        </is>
      </c>
      <c r="M143" s="25">
        <f>IF(OR(NOT(ISNUMBER(M129)),NOT(ISNUMBER(M135)),M129=0),"",M135/M129)</f>
        <v/>
      </c>
      <c r="N143" s="25">
        <f>IF(OR(NOT(ISNUMBER(N129)),NOT(ISNUMBER(N135)),N129=0),"",N135/N129)</f>
        <v/>
      </c>
      <c r="O143" s="25">
        <f>IF(OR(NOT(ISNUMBER(O129)),NOT(ISNUMBER(O135)),O129=0),"",O135/O129)</f>
        <v/>
      </c>
      <c r="P143" s="25">
        <f>IF(OR(NOT(ISNUMBER(P129)),NOT(ISNUMBER(P135)),P129=0),"",P135/P129)</f>
        <v/>
      </c>
      <c r="Q143" s="25">
        <f>IF(OR(NOT(ISNUMBER(Q129)),NOT(ISNUMBER(Q135)),Q129=0),"",Q135/Q129)</f>
        <v/>
      </c>
      <c r="R143" s="25">
        <f>IF(OR(NOT(ISNUMBER(R129)),NOT(ISNUMBER(R135)),R129=0),"",R135/R129)</f>
        <v/>
      </c>
    </row>
  </sheetData>
  <mergeCells count="2">
    <mergeCell ref="A2:R2"/>
    <mergeCell ref="A1:R1"/>
  </mergeCells>
  <pageMargins left="0.75" right="0.75" top="1" bottom="1" header="0.5" footer="0.5"/>
</worksheet>
</file>

<file path=xl/worksheets/sheet35.xml><?xml version="1.0" encoding="utf-8"?>
<worksheet xmlns="http://schemas.openxmlformats.org/spreadsheetml/2006/main">
  <sheetPr>
    <tabColor rgb="00B45F06"/>
    <outlinePr summaryBelow="1" summaryRight="1"/>
    <pageSetUpPr/>
  </sheetPr>
  <dimension ref="A1:AU108"/>
  <sheetViews>
    <sheetView showGridLines="0" workbookViewId="0">
      <selection activeCell="A1" sqref="A1"/>
    </sheetView>
  </sheetViews>
  <sheetFormatPr baseColWidth="8" defaultRowHeight="14.5"/>
  <cols>
    <col width="3" customWidth="1" style="203" min="1" max="1"/>
    <col width="26" customWidth="1" style="203" min="2" max="2"/>
    <col width="13" customWidth="1" style="203" min="3" max="47"/>
  </cols>
  <sheetData>
    <row r="1" ht="24" customHeight="1" s="203">
      <c r="A1" s="257" t="inlineStr">
        <is>
          <t>Mindtree  —  DuPont Analysis (Table + 3-Step &amp; 5-Step Pyramids)</t>
        </is>
      </c>
    </row>
    <row r="2">
      <c r="A2" s="258" t="inlineStr">
        <is>
          <t>Showing the most recent 6 years   |   Table: Green = pulled from Derived Sheet, Black = computed, Check row confirms all three tie out   |   Pyramids: Green = pulled from Ratio Analysis sheet, blue shading = magnitude heat-map</t>
        </is>
      </c>
    </row>
    <row r="5">
      <c r="A5" s="30" t="inlineStr">
        <is>
          <t>#</t>
        </is>
      </c>
      <c r="B5" s="31" t="inlineStr">
        <is>
          <t>Inputs (from Derived Sheet)</t>
        </is>
      </c>
      <c r="C5" s="4" t="inlineStr">
        <is>
          <t>FY2017</t>
        </is>
      </c>
      <c r="D5" s="4" t="inlineStr">
        <is>
          <t>FY2018</t>
        </is>
      </c>
      <c r="E5" s="4" t="inlineStr">
        <is>
          <t>FY2019</t>
        </is>
      </c>
      <c r="F5" s="4" t="inlineStr">
        <is>
          <t>FY2020</t>
        </is>
      </c>
      <c r="G5" s="4" t="inlineStr">
        <is>
          <t>FY2021</t>
        </is>
      </c>
      <c r="H5" s="4" t="inlineStr">
        <is>
          <t>FY2022</t>
        </is>
      </c>
    </row>
    <row r="6">
      <c r="B6" s="32" t="inlineStr">
        <is>
          <t>Revenue</t>
        </is>
      </c>
      <c r="C6" s="7">
        <f>MT_HIST_CON!E7</f>
        <v/>
      </c>
      <c r="D6" s="7">
        <f>MT_HIST_CON!F7</f>
        <v/>
      </c>
      <c r="E6" s="7">
        <f>MT_HIST_CON!G7</f>
        <v/>
      </c>
      <c r="F6" s="7">
        <f>MT_HIST_CON!H7</f>
        <v/>
      </c>
      <c r="G6" s="7">
        <f>MT_HIST_CON!I7</f>
        <v/>
      </c>
      <c r="H6" s="7">
        <f>MT_HIST_CON!J7</f>
        <v/>
      </c>
    </row>
    <row r="7">
      <c r="B7" s="32" t="inlineStr">
        <is>
          <t>Net Income</t>
        </is>
      </c>
      <c r="C7" s="7">
        <f>MT_HIST_CON!E22</f>
        <v/>
      </c>
      <c r="D7" s="7">
        <f>MT_HIST_CON!F22</f>
        <v/>
      </c>
      <c r="E7" s="7">
        <f>MT_HIST_CON!G22</f>
        <v/>
      </c>
      <c r="F7" s="7">
        <f>MT_HIST_CON!H22</f>
        <v/>
      </c>
      <c r="G7" s="7">
        <f>MT_HIST_CON!I22</f>
        <v/>
      </c>
      <c r="H7" s="7">
        <f>MT_HIST_CON!J22</f>
        <v/>
      </c>
    </row>
    <row r="8">
      <c r="B8" s="32" t="inlineStr">
        <is>
          <t>EBT (Pre-Tax Income)</t>
        </is>
      </c>
      <c r="C8" s="7">
        <f>MT_HIST_CON!E18</f>
        <v/>
      </c>
      <c r="D8" s="7">
        <f>MT_HIST_CON!F18</f>
        <v/>
      </c>
      <c r="E8" s="7">
        <f>MT_HIST_CON!G18</f>
        <v/>
      </c>
      <c r="F8" s="7">
        <f>MT_HIST_CON!H18</f>
        <v/>
      </c>
      <c r="G8" s="7">
        <f>MT_HIST_CON!I18</f>
        <v/>
      </c>
      <c r="H8" s="7">
        <f>MT_HIST_CON!J18</f>
        <v/>
      </c>
    </row>
    <row r="9">
      <c r="B9" s="32" t="inlineStr">
        <is>
          <t>EBIT</t>
        </is>
      </c>
      <c r="C9" s="7">
        <f>MT_HIST_CON!E16</f>
        <v/>
      </c>
      <c r="D9" s="7">
        <f>MT_HIST_CON!F16</f>
        <v/>
      </c>
      <c r="E9" s="7">
        <f>MT_HIST_CON!G16</f>
        <v/>
      </c>
      <c r="F9" s="7">
        <f>MT_HIST_CON!H16</f>
        <v/>
      </c>
      <c r="G9" s="7">
        <f>MT_HIST_CON!I16</f>
        <v/>
      </c>
      <c r="H9" s="7">
        <f>MT_HIST_CON!J16</f>
        <v/>
      </c>
    </row>
    <row r="10">
      <c r="B10" s="32" t="inlineStr">
        <is>
          <t>Total Assets</t>
        </is>
      </c>
      <c r="C10" s="7">
        <f>MT_HIST_CON!E57</f>
        <v/>
      </c>
      <c r="D10" s="7">
        <f>MT_HIST_CON!F57</f>
        <v/>
      </c>
      <c r="E10" s="7">
        <f>MT_HIST_CON!G57</f>
        <v/>
      </c>
      <c r="F10" s="7">
        <f>MT_HIST_CON!H57</f>
        <v/>
      </c>
      <c r="G10" s="7">
        <f>MT_HIST_CON!I57</f>
        <v/>
      </c>
      <c r="H10" s="7">
        <f>MT_HIST_CON!J57</f>
        <v/>
      </c>
    </row>
    <row r="11">
      <c r="B11" s="32" t="inlineStr">
        <is>
          <t>Total Equity</t>
        </is>
      </c>
      <c r="C11" s="7">
        <f>MT_HIST_CON!E63</f>
        <v/>
      </c>
      <c r="D11" s="7">
        <f>MT_HIST_CON!F63</f>
        <v/>
      </c>
      <c r="E11" s="7">
        <f>MT_HIST_CON!G63</f>
        <v/>
      </c>
      <c r="F11" s="7">
        <f>MT_HIST_CON!H63</f>
        <v/>
      </c>
      <c r="G11" s="7">
        <f>MT_HIST_CON!I63</f>
        <v/>
      </c>
      <c r="H11" s="7">
        <f>MT_HIST_CON!J63</f>
        <v/>
      </c>
    </row>
    <row r="13">
      <c r="A13" s="30" t="inlineStr">
        <is>
          <t>#</t>
        </is>
      </c>
      <c r="B13" s="31" t="inlineStr">
        <is>
          <t>3-Step DuPont (ROE = Net Margin × Asset Turnover × Equity Multiplier)</t>
        </is>
      </c>
    </row>
    <row r="14" ht="29" customHeight="1" s="203">
      <c r="B14" s="33" t="inlineStr">
        <is>
          <t>Net Profit Margin (Net Income / Revenue)</t>
        </is>
      </c>
      <c r="C14" s="21">
        <f>IFERROR(C7/C6,0)</f>
        <v/>
      </c>
      <c r="D14" s="21">
        <f>IFERROR(D7/D6,0)</f>
        <v/>
      </c>
      <c r="E14" s="21">
        <f>IFERROR(E7/E6,0)</f>
        <v/>
      </c>
      <c r="F14" s="21">
        <f>IFERROR(F7/F6,0)</f>
        <v/>
      </c>
      <c r="G14" s="21">
        <f>IFERROR(G7/G6,0)</f>
        <v/>
      </c>
      <c r="H14" s="21">
        <f>IFERROR(H7/H6,0)</f>
        <v/>
      </c>
    </row>
    <row r="15" ht="29" customHeight="1" s="203">
      <c r="B15" s="33" t="inlineStr">
        <is>
          <t>Asset Turnover (Revenue / Total Assets)</t>
        </is>
      </c>
      <c r="C15" s="25">
        <f>IFERROR(C6/C10,0)</f>
        <v/>
      </c>
      <c r="D15" s="25">
        <f>IFERROR(D6/D10,0)</f>
        <v/>
      </c>
      <c r="E15" s="25">
        <f>IFERROR(E6/E10,0)</f>
        <v/>
      </c>
      <c r="F15" s="25">
        <f>IFERROR(F6/F10,0)</f>
        <v/>
      </c>
      <c r="G15" s="25">
        <f>IFERROR(G6/G10,0)</f>
        <v/>
      </c>
      <c r="H15" s="25">
        <f>IFERROR(H6/H10,0)</f>
        <v/>
      </c>
    </row>
    <row r="16" ht="29" customHeight="1" s="203">
      <c r="B16" s="33" t="inlineStr">
        <is>
          <t>Equity Multiplier (Total Assets / Total Equity)</t>
        </is>
      </c>
      <c r="C16" s="25">
        <f>IFERROR(C10/C11,0)</f>
        <v/>
      </c>
      <c r="D16" s="25">
        <f>IFERROR(D10/D11,0)</f>
        <v/>
      </c>
      <c r="E16" s="25">
        <f>IFERROR(E10/E11,0)</f>
        <v/>
      </c>
      <c r="F16" s="25">
        <f>IFERROR(F10/F11,0)</f>
        <v/>
      </c>
      <c r="G16" s="25">
        <f>IFERROR(G10/G11,0)</f>
        <v/>
      </c>
      <c r="H16" s="25">
        <f>IFERROR(H10/H11,0)</f>
        <v/>
      </c>
    </row>
    <row r="17">
      <c r="B17" s="34" t="inlineStr">
        <is>
          <t>ROE — 3-Step DuPont</t>
        </is>
      </c>
      <c r="C17" s="35">
        <f>IFERROR(C14*C15*C16,0)</f>
        <v/>
      </c>
      <c r="D17" s="35">
        <f>IFERROR(D14*D15*D16,0)</f>
        <v/>
      </c>
      <c r="E17" s="35">
        <f>IFERROR(E14*E15*E16,0)</f>
        <v/>
      </c>
      <c r="F17" s="35">
        <f>IFERROR(F14*F15*F16,0)</f>
        <v/>
      </c>
      <c r="G17" s="35">
        <f>IFERROR(G14*G15*G16,0)</f>
        <v/>
      </c>
      <c r="H17" s="35">
        <f>IFERROR(H14*H15*H16,0)</f>
        <v/>
      </c>
    </row>
    <row r="19">
      <c r="A19" s="30" t="inlineStr">
        <is>
          <t>#</t>
        </is>
      </c>
      <c r="B19" s="31" t="inlineStr">
        <is>
          <t>5-Step DuPont (ROE = Tax Burden × Interest Burden × Operating Margin × Asset Turnover × Equity Multiplier)</t>
        </is>
      </c>
    </row>
    <row r="20" ht="29" customHeight="1" s="203">
      <c r="B20" s="33" t="inlineStr">
        <is>
          <t>Tax Burden (Net Income / EBT)</t>
        </is>
      </c>
      <c r="C20" s="21">
        <f>IFERROR(C7/C8,0)</f>
        <v/>
      </c>
      <c r="D20" s="21">
        <f>IFERROR(D7/D8,0)</f>
        <v/>
      </c>
      <c r="E20" s="21">
        <f>IFERROR(E7/E8,0)</f>
        <v/>
      </c>
      <c r="F20" s="21">
        <f>IFERROR(F7/F8,0)</f>
        <v/>
      </c>
      <c r="G20" s="21">
        <f>IFERROR(G7/G8,0)</f>
        <v/>
      </c>
      <c r="H20" s="21">
        <f>IFERROR(H7/H8,0)</f>
        <v/>
      </c>
    </row>
    <row r="21">
      <c r="B21" s="33" t="inlineStr">
        <is>
          <t>Interest Burden (EBT / EBIT)</t>
        </is>
      </c>
      <c r="C21" s="21">
        <f>IFERROR(C8/C9,0)</f>
        <v/>
      </c>
      <c r="D21" s="21">
        <f>IFERROR(D8/D9,0)</f>
        <v/>
      </c>
      <c r="E21" s="21">
        <f>IFERROR(E8/E9,0)</f>
        <v/>
      </c>
      <c r="F21" s="21">
        <f>IFERROR(F8/F9,0)</f>
        <v/>
      </c>
      <c r="G21" s="21">
        <f>IFERROR(G8/G9,0)</f>
        <v/>
      </c>
      <c r="H21" s="21">
        <f>IFERROR(H8/H9,0)</f>
        <v/>
      </c>
    </row>
    <row r="22" ht="29" customHeight="1" s="203">
      <c r="B22" s="33" t="inlineStr">
        <is>
          <t>Operating Margin (EBIT / Revenue)</t>
        </is>
      </c>
      <c r="C22" s="21">
        <f>IFERROR(C9/C6,0)</f>
        <v/>
      </c>
      <c r="D22" s="21">
        <f>IFERROR(D9/D6,0)</f>
        <v/>
      </c>
      <c r="E22" s="21">
        <f>IFERROR(E9/E6,0)</f>
        <v/>
      </c>
      <c r="F22" s="21">
        <f>IFERROR(F9/F6,0)</f>
        <v/>
      </c>
      <c r="G22" s="21">
        <f>IFERROR(G9/G6,0)</f>
        <v/>
      </c>
      <c r="H22" s="21">
        <f>IFERROR(H9/H6,0)</f>
        <v/>
      </c>
    </row>
    <row r="23" ht="29" customHeight="1" s="203">
      <c r="B23" s="33" t="inlineStr">
        <is>
          <t>Asset Turnover (Revenue / Total Assets)</t>
        </is>
      </c>
      <c r="C23" s="25">
        <f>IFERROR(C6/C10,0)</f>
        <v/>
      </c>
      <c r="D23" s="25">
        <f>IFERROR(D6/D10,0)</f>
        <v/>
      </c>
      <c r="E23" s="25">
        <f>IFERROR(E6/E10,0)</f>
        <v/>
      </c>
      <c r="F23" s="25">
        <f>IFERROR(F6/F10,0)</f>
        <v/>
      </c>
      <c r="G23" s="25">
        <f>IFERROR(G6/G10,0)</f>
        <v/>
      </c>
      <c r="H23" s="25">
        <f>IFERROR(H6/H10,0)</f>
        <v/>
      </c>
    </row>
    <row r="24" ht="29" customHeight="1" s="203">
      <c r="B24" s="33" t="inlineStr">
        <is>
          <t>Equity Multiplier (Total Assets / Total Equity)</t>
        </is>
      </c>
      <c r="C24" s="25">
        <f>IFERROR(C10/C11,0)</f>
        <v/>
      </c>
      <c r="D24" s="25">
        <f>IFERROR(D10/D11,0)</f>
        <v/>
      </c>
      <c r="E24" s="25">
        <f>IFERROR(E10/E11,0)</f>
        <v/>
      </c>
      <c r="F24" s="25">
        <f>IFERROR(F10/F11,0)</f>
        <v/>
      </c>
      <c r="G24" s="25">
        <f>IFERROR(G10/G11,0)</f>
        <v/>
      </c>
      <c r="H24" s="25">
        <f>IFERROR(H10/H11,0)</f>
        <v/>
      </c>
    </row>
    <row r="25">
      <c r="B25" s="34" t="inlineStr">
        <is>
          <t>ROE — 5-Step DuPont</t>
        </is>
      </c>
      <c r="C25" s="35">
        <f>IFERROR(C20*C21*C22*C23*C24,0)</f>
        <v/>
      </c>
      <c r="D25" s="35">
        <f>IFERROR(D20*D21*D22*D23*D24,0)</f>
        <v/>
      </c>
      <c r="E25" s="35">
        <f>IFERROR(E20*E21*E22*E23*E24,0)</f>
        <v/>
      </c>
      <c r="F25" s="35">
        <f>IFERROR(F20*F21*F22*F23*F24,0)</f>
        <v/>
      </c>
      <c r="G25" s="35">
        <f>IFERROR(G20*G21*G22*G23*G24,0)</f>
        <v/>
      </c>
      <c r="H25" s="35">
        <f>IFERROR(H20*H21*H22*H23*H24,0)</f>
        <v/>
      </c>
    </row>
    <row r="27">
      <c r="A27" s="30" t="inlineStr">
        <is>
          <t>#</t>
        </is>
      </c>
      <c r="B27" s="31" t="inlineStr">
        <is>
          <t>Reconciliation Check</t>
        </is>
      </c>
    </row>
    <row r="28" ht="29" customHeight="1" s="203">
      <c r="B28" s="33" t="inlineStr">
        <is>
          <t>Direct ROE (Net Income / Total Equity)</t>
        </is>
      </c>
      <c r="C28" s="21">
        <f>IFERROR(C7/C11,0)</f>
        <v/>
      </c>
      <c r="D28" s="21">
        <f>IFERROR(D7/D11,0)</f>
        <v/>
      </c>
      <c r="E28" s="21">
        <f>IFERROR(E7/E11,0)</f>
        <v/>
      </c>
      <c r="F28" s="21">
        <f>IFERROR(F7/F11,0)</f>
        <v/>
      </c>
      <c r="G28" s="21">
        <f>IFERROR(G7/G11,0)</f>
        <v/>
      </c>
      <c r="H28" s="21">
        <f>IFERROR(H7/H11,0)</f>
        <v/>
      </c>
    </row>
    <row r="29">
      <c r="B29" s="12" t="inlineStr">
        <is>
          <t>CHECK: Direct − 3-Step − 5-Step ROE (should all tie to ~0)</t>
        </is>
      </c>
      <c r="C29" s="36">
        <f>ROUND(C28-C17,6)+ROUND(C28-C25,6)</f>
        <v/>
      </c>
      <c r="D29" s="36">
        <f>ROUND(D28-D17,6)+ROUND(D28-D25,6)</f>
        <v/>
      </c>
      <c r="E29" s="36">
        <f>ROUND(E28-E17,6)+ROUND(E28-E25,6)</f>
        <v/>
      </c>
      <c r="F29" s="36">
        <f>ROUND(F28-F17,6)+ROUND(F28-F25,6)</f>
        <v/>
      </c>
      <c r="G29" s="36">
        <f>ROUND(G28-G17,6)+ROUND(G28-G25,6)</f>
        <v/>
      </c>
      <c r="H29" s="36">
        <f>ROUND(H28-H17,6)+ROUND(H28-H25,6)</f>
        <v/>
      </c>
    </row>
    <row r="31" ht="17" customHeight="1" s="203">
      <c r="B31" s="37" t="inlineStr">
        <is>
          <t>3-Step DuPont Pyramid</t>
        </is>
      </c>
    </row>
    <row r="33" ht="15.5" customHeight="1" s="203">
      <c r="N33" s="212" t="inlineStr">
        <is>
          <t>Return on Equity</t>
        </is>
      </c>
      <c r="O33" s="213" t="n"/>
      <c r="P33" s="213" t="n"/>
      <c r="Q33" s="213" t="n"/>
      <c r="R33" s="213" t="n"/>
      <c r="S33" s="214" t="n"/>
      <c r="AH33" s="38" t="inlineStr">
        <is>
          <t>Working Capital Analysis</t>
        </is>
      </c>
    </row>
    <row r="34">
      <c r="N34" s="39" t="inlineStr">
        <is>
          <t>FY2017</t>
        </is>
      </c>
      <c r="O34" s="40" t="inlineStr">
        <is>
          <t>FY2018</t>
        </is>
      </c>
      <c r="P34" s="40" t="inlineStr">
        <is>
          <t>FY2019</t>
        </is>
      </c>
      <c r="Q34" s="40" t="inlineStr">
        <is>
          <t>FY2020</t>
        </is>
      </c>
      <c r="R34" s="40" t="inlineStr">
        <is>
          <t>FY2021</t>
        </is>
      </c>
      <c r="S34" s="41" t="inlineStr">
        <is>
          <t>FY2022</t>
        </is>
      </c>
    </row>
    <row r="35">
      <c r="N35" s="42">
        <f>MT_RATIO_ANALYSIS!M7</f>
        <v/>
      </c>
      <c r="O35" s="43">
        <f>MT_RATIO_ANALYSIS!N7</f>
        <v/>
      </c>
      <c r="P35" s="43">
        <f>MT_RATIO_ANALYSIS!O7</f>
        <v/>
      </c>
      <c r="Q35" s="43">
        <f>MT_RATIO_ANALYSIS!P7</f>
        <v/>
      </c>
      <c r="R35" s="43">
        <f>MT_RATIO_ANALYSIS!Q7</f>
        <v/>
      </c>
      <c r="S35" s="44">
        <f>MT_RATIO_ANALYSIS!R7</f>
        <v/>
      </c>
      <c r="AH35" s="212" t="inlineStr">
        <is>
          <t>Cash Days</t>
        </is>
      </c>
      <c r="AI35" s="213" t="n"/>
      <c r="AJ35" s="213" t="n"/>
      <c r="AK35" s="213" t="n"/>
      <c r="AL35" s="213" t="n"/>
      <c r="AM35" s="214" t="n"/>
    </row>
    <row r="36">
      <c r="AH36" s="39" t="inlineStr">
        <is>
          <t>FY2017</t>
        </is>
      </c>
      <c r="AI36" s="40" t="inlineStr">
        <is>
          <t>FY2018</t>
        </is>
      </c>
      <c r="AJ36" s="40" t="inlineStr">
        <is>
          <t>FY2019</t>
        </is>
      </c>
      <c r="AK36" s="40" t="inlineStr">
        <is>
          <t>FY2020</t>
        </is>
      </c>
      <c r="AL36" s="40" t="inlineStr">
        <is>
          <t>FY2021</t>
        </is>
      </c>
      <c r="AM36" s="41" t="inlineStr">
        <is>
          <t>FY2022</t>
        </is>
      </c>
    </row>
    <row r="37">
      <c r="AH37" s="45">
        <f>MT_RATIO_ANALYSIS!M79</f>
        <v/>
      </c>
      <c r="AI37" s="46">
        <f>MT_RATIO_ANALYSIS!N79</f>
        <v/>
      </c>
      <c r="AJ37" s="46">
        <f>MT_RATIO_ANALYSIS!O79</f>
        <v/>
      </c>
      <c r="AK37" s="46">
        <f>MT_RATIO_ANALYSIS!P79</f>
        <v/>
      </c>
      <c r="AL37" s="46">
        <f>MT_RATIO_ANALYSIS!Q79</f>
        <v/>
      </c>
      <c r="AM37" s="47">
        <f>MT_RATIO_ANALYSIS!R79</f>
        <v/>
      </c>
    </row>
    <row r="38">
      <c r="B38" s="212" t="inlineStr">
        <is>
          <t>Net Profit Margin</t>
        </is>
      </c>
      <c r="C38" s="213" t="n"/>
      <c r="D38" s="213" t="n"/>
      <c r="E38" s="213" t="n"/>
      <c r="F38" s="213" t="n"/>
      <c r="G38" s="214" t="n"/>
      <c r="J38" s="212" t="inlineStr">
        <is>
          <t>Tax % of Revenue</t>
        </is>
      </c>
      <c r="K38" s="213" t="n"/>
      <c r="L38" s="213" t="n"/>
      <c r="M38" s="213" t="n"/>
      <c r="N38" s="213" t="n"/>
      <c r="O38" s="214" t="n"/>
      <c r="R38" s="212" t="inlineStr">
        <is>
          <t>Total Asset to Equity</t>
        </is>
      </c>
      <c r="S38" s="213" t="n"/>
      <c r="T38" s="213" t="n"/>
      <c r="U38" s="213" t="n"/>
      <c r="V38" s="213" t="n"/>
      <c r="W38" s="214" t="n"/>
      <c r="Z38" s="212" t="inlineStr">
        <is>
          <t>Asset Turnover</t>
        </is>
      </c>
      <c r="AA38" s="213" t="n"/>
      <c r="AB38" s="213" t="n"/>
      <c r="AC38" s="213" t="n"/>
      <c r="AD38" s="213" t="n"/>
      <c r="AE38" s="214" t="n"/>
    </row>
    <row r="39">
      <c r="B39" s="39" t="inlineStr">
        <is>
          <t>FY2017</t>
        </is>
      </c>
      <c r="C39" s="40" t="inlineStr">
        <is>
          <t>FY2018</t>
        </is>
      </c>
      <c r="D39" s="40" t="inlineStr">
        <is>
          <t>FY2019</t>
        </is>
      </c>
      <c r="E39" s="40" t="inlineStr">
        <is>
          <t>FY2020</t>
        </is>
      </c>
      <c r="F39" s="40" t="inlineStr">
        <is>
          <t>FY2021</t>
        </is>
      </c>
      <c r="G39" s="41" t="inlineStr">
        <is>
          <t>FY2022</t>
        </is>
      </c>
      <c r="J39" s="39" t="inlineStr">
        <is>
          <t>FY2017</t>
        </is>
      </c>
      <c r="K39" s="40" t="inlineStr">
        <is>
          <t>FY2018</t>
        </is>
      </c>
      <c r="L39" s="40" t="inlineStr">
        <is>
          <t>FY2019</t>
        </is>
      </c>
      <c r="M39" s="40" t="inlineStr">
        <is>
          <t>FY2020</t>
        </is>
      </c>
      <c r="N39" s="40" t="inlineStr">
        <is>
          <t>FY2021</t>
        </is>
      </c>
      <c r="O39" s="41" t="inlineStr">
        <is>
          <t>FY2022</t>
        </is>
      </c>
      <c r="R39" s="39" t="inlineStr">
        <is>
          <t>FY2017</t>
        </is>
      </c>
      <c r="S39" s="40" t="inlineStr">
        <is>
          <t>FY2018</t>
        </is>
      </c>
      <c r="T39" s="40" t="inlineStr">
        <is>
          <t>FY2019</t>
        </is>
      </c>
      <c r="U39" s="40" t="inlineStr">
        <is>
          <t>FY2020</t>
        </is>
      </c>
      <c r="V39" s="40" t="inlineStr">
        <is>
          <t>FY2021</t>
        </is>
      </c>
      <c r="W39" s="41" t="inlineStr">
        <is>
          <t>FY2022</t>
        </is>
      </c>
      <c r="Z39" s="39" t="inlineStr">
        <is>
          <t>FY2017</t>
        </is>
      </c>
      <c r="AA39" s="40" t="inlineStr">
        <is>
          <t>FY2018</t>
        </is>
      </c>
      <c r="AB39" s="40" t="inlineStr">
        <is>
          <t>FY2019</t>
        </is>
      </c>
      <c r="AC39" s="40" t="inlineStr">
        <is>
          <t>FY2020</t>
        </is>
      </c>
      <c r="AD39" s="40" t="inlineStr">
        <is>
          <t>FY2021</t>
        </is>
      </c>
      <c r="AE39" s="41" t="inlineStr">
        <is>
          <t>FY2022</t>
        </is>
      </c>
      <c r="AH39" s="212" t="inlineStr">
        <is>
          <t>A/R Days</t>
        </is>
      </c>
      <c r="AI39" s="213" t="n"/>
      <c r="AJ39" s="213" t="n"/>
      <c r="AK39" s="213" t="n"/>
      <c r="AL39" s="213" t="n"/>
      <c r="AM39" s="214" t="n"/>
    </row>
    <row r="40">
      <c r="B40" s="42">
        <f>MT_RATIO_ANALYSIS!M52</f>
        <v/>
      </c>
      <c r="C40" s="43">
        <f>MT_RATIO_ANALYSIS!N52</f>
        <v/>
      </c>
      <c r="D40" s="43">
        <f>MT_RATIO_ANALYSIS!O52</f>
        <v/>
      </c>
      <c r="E40" s="43">
        <f>MT_RATIO_ANALYSIS!P52</f>
        <v/>
      </c>
      <c r="F40" s="43">
        <f>MT_RATIO_ANALYSIS!Q52</f>
        <v/>
      </c>
      <c r="G40" s="44">
        <f>MT_RATIO_ANALYSIS!R52</f>
        <v/>
      </c>
      <c r="J40" s="42">
        <f>MT_RATIO_ANALYSIS!M49</f>
        <v/>
      </c>
      <c r="K40" s="43">
        <f>MT_RATIO_ANALYSIS!N49</f>
        <v/>
      </c>
      <c r="L40" s="43">
        <f>MT_RATIO_ANALYSIS!O49</f>
        <v/>
      </c>
      <c r="M40" s="43">
        <f>MT_RATIO_ANALYSIS!P49</f>
        <v/>
      </c>
      <c r="N40" s="43">
        <f>MT_RATIO_ANALYSIS!Q49</f>
        <v/>
      </c>
      <c r="O40" s="44">
        <f>MT_RATIO_ANALYSIS!R49</f>
        <v/>
      </c>
      <c r="R40" s="48">
        <f>MT_RATIO_ANALYSIS!M103</f>
        <v/>
      </c>
      <c r="S40" s="49">
        <f>MT_RATIO_ANALYSIS!N103</f>
        <v/>
      </c>
      <c r="T40" s="49">
        <f>MT_RATIO_ANALYSIS!O103</f>
        <v/>
      </c>
      <c r="U40" s="49">
        <f>MT_RATIO_ANALYSIS!P103</f>
        <v/>
      </c>
      <c r="V40" s="49">
        <f>MT_RATIO_ANALYSIS!Q103</f>
        <v/>
      </c>
      <c r="W40" s="50">
        <f>MT_RATIO_ANALYSIS!R103</f>
        <v/>
      </c>
      <c r="Z40" s="48">
        <f>MT_RATIO_ANALYSIS!M70</f>
        <v/>
      </c>
      <c r="AA40" s="49">
        <f>MT_RATIO_ANALYSIS!N70</f>
        <v/>
      </c>
      <c r="AB40" s="49">
        <f>MT_RATIO_ANALYSIS!O70</f>
        <v/>
      </c>
      <c r="AC40" s="49">
        <f>MT_RATIO_ANALYSIS!P70</f>
        <v/>
      </c>
      <c r="AD40" s="49">
        <f>MT_RATIO_ANALYSIS!Q70</f>
        <v/>
      </c>
      <c r="AE40" s="50">
        <f>MT_RATIO_ANALYSIS!R70</f>
        <v/>
      </c>
      <c r="AH40" s="39" t="inlineStr">
        <is>
          <t>FY2017</t>
        </is>
      </c>
      <c r="AI40" s="40" t="inlineStr">
        <is>
          <t>FY2018</t>
        </is>
      </c>
      <c r="AJ40" s="40" t="inlineStr">
        <is>
          <t>FY2019</t>
        </is>
      </c>
      <c r="AK40" s="40" t="inlineStr">
        <is>
          <t>FY2020</t>
        </is>
      </c>
      <c r="AL40" s="40" t="inlineStr">
        <is>
          <t>FY2021</t>
        </is>
      </c>
      <c r="AM40" s="41" t="inlineStr">
        <is>
          <t>FY2022</t>
        </is>
      </c>
    </row>
    <row r="41">
      <c r="AH41" s="45">
        <f>MT_RATIO_ANALYSIS!M85</f>
        <v/>
      </c>
      <c r="AI41" s="46">
        <f>MT_RATIO_ANALYSIS!N85</f>
        <v/>
      </c>
      <c r="AJ41" s="46">
        <f>MT_RATIO_ANALYSIS!O85</f>
        <v/>
      </c>
      <c r="AK41" s="46">
        <f>MT_RATIO_ANALYSIS!P85</f>
        <v/>
      </c>
      <c r="AL41" s="46">
        <f>MT_RATIO_ANALYSIS!Q85</f>
        <v/>
      </c>
      <c r="AM41" s="47">
        <f>MT_RATIO_ANALYSIS!R85</f>
        <v/>
      </c>
    </row>
    <row r="42">
      <c r="B42" s="212" t="inlineStr">
        <is>
          <t>EBT Margin</t>
        </is>
      </c>
      <c r="C42" s="213" t="n"/>
      <c r="D42" s="213" t="n"/>
      <c r="E42" s="213" t="n"/>
      <c r="F42" s="213" t="n"/>
      <c r="G42" s="214" t="n"/>
      <c r="J42" s="212" t="inlineStr">
        <is>
          <t>Other Non-Op. Expense %</t>
        </is>
      </c>
      <c r="K42" s="213" t="n"/>
      <c r="L42" s="213" t="n"/>
      <c r="M42" s="213" t="n"/>
      <c r="N42" s="213" t="n"/>
      <c r="O42" s="214" t="n"/>
      <c r="Z42" s="212" t="inlineStr">
        <is>
          <t>PPE Turnover</t>
        </is>
      </c>
      <c r="AA42" s="213" t="n"/>
      <c r="AB42" s="213" t="n"/>
      <c r="AC42" s="213" t="n"/>
      <c r="AD42" s="213" t="n"/>
      <c r="AE42" s="214" t="n"/>
    </row>
    <row r="43">
      <c r="B43" s="39" t="inlineStr">
        <is>
          <t>FY2017</t>
        </is>
      </c>
      <c r="C43" s="40" t="inlineStr">
        <is>
          <t>FY2018</t>
        </is>
      </c>
      <c r="D43" s="40" t="inlineStr">
        <is>
          <t>FY2019</t>
        </is>
      </c>
      <c r="E43" s="40" t="inlineStr">
        <is>
          <t>FY2020</t>
        </is>
      </c>
      <c r="F43" s="40" t="inlineStr">
        <is>
          <t>FY2021</t>
        </is>
      </c>
      <c r="G43" s="41" t="inlineStr">
        <is>
          <t>FY2022</t>
        </is>
      </c>
      <c r="J43" s="39" t="inlineStr">
        <is>
          <t>FY2017</t>
        </is>
      </c>
      <c r="K43" s="40" t="inlineStr">
        <is>
          <t>FY2018</t>
        </is>
      </c>
      <c r="L43" s="40" t="inlineStr">
        <is>
          <t>FY2019</t>
        </is>
      </c>
      <c r="M43" s="40" t="inlineStr">
        <is>
          <t>FY2020</t>
        </is>
      </c>
      <c r="N43" s="40" t="inlineStr">
        <is>
          <t>FY2021</t>
        </is>
      </c>
      <c r="O43" s="41" t="inlineStr">
        <is>
          <t>FY2022</t>
        </is>
      </c>
      <c r="Z43" s="39" t="inlineStr">
        <is>
          <t>FY2017</t>
        </is>
      </c>
      <c r="AA43" s="40" t="inlineStr">
        <is>
          <t>FY2018</t>
        </is>
      </c>
      <c r="AB43" s="40" t="inlineStr">
        <is>
          <t>FY2019</t>
        </is>
      </c>
      <c r="AC43" s="40" t="inlineStr">
        <is>
          <t>FY2020</t>
        </is>
      </c>
      <c r="AD43" s="40" t="inlineStr">
        <is>
          <t>FY2021</t>
        </is>
      </c>
      <c r="AE43" s="41" t="inlineStr">
        <is>
          <t>FY2022</t>
        </is>
      </c>
      <c r="AH43" s="212" t="inlineStr">
        <is>
          <t>Inventory Days</t>
        </is>
      </c>
      <c r="AI43" s="213" t="n"/>
      <c r="AJ43" s="213" t="n"/>
      <c r="AK43" s="213" t="n"/>
      <c r="AL43" s="213" t="n"/>
      <c r="AM43" s="214" t="n"/>
    </row>
    <row r="44">
      <c r="B44" s="42">
        <f>MT_RATIO_ANALYSIS!M44</f>
        <v/>
      </c>
      <c r="C44" s="43">
        <f>MT_RATIO_ANALYSIS!N44</f>
        <v/>
      </c>
      <c r="D44" s="43">
        <f>MT_RATIO_ANALYSIS!O44</f>
        <v/>
      </c>
      <c r="E44" s="43">
        <f>MT_RATIO_ANALYSIS!P44</f>
        <v/>
      </c>
      <c r="F44" s="43">
        <f>MT_RATIO_ANALYSIS!Q44</f>
        <v/>
      </c>
      <c r="G44" s="44">
        <f>MT_RATIO_ANALYSIS!R44</f>
        <v/>
      </c>
      <c r="J44" s="42">
        <f>MT_RATIO_ANALYSIS!M41</f>
        <v/>
      </c>
      <c r="K44" s="43">
        <f>MT_RATIO_ANALYSIS!N41</f>
        <v/>
      </c>
      <c r="L44" s="43">
        <f>MT_RATIO_ANALYSIS!O41</f>
        <v/>
      </c>
      <c r="M44" s="43">
        <f>MT_RATIO_ANALYSIS!P41</f>
        <v/>
      </c>
      <c r="N44" s="43">
        <f>MT_RATIO_ANALYSIS!Q41</f>
        <v/>
      </c>
      <c r="O44" s="44">
        <f>MT_RATIO_ANALYSIS!R41</f>
        <v/>
      </c>
      <c r="Z44" s="48">
        <f>MT_RATIO_ANALYSIS!M73</f>
        <v/>
      </c>
      <c r="AA44" s="49">
        <f>MT_RATIO_ANALYSIS!N73</f>
        <v/>
      </c>
      <c r="AB44" s="49">
        <f>MT_RATIO_ANALYSIS!O73</f>
        <v/>
      </c>
      <c r="AC44" s="49">
        <f>MT_RATIO_ANALYSIS!P73</f>
        <v/>
      </c>
      <c r="AD44" s="49">
        <f>MT_RATIO_ANALYSIS!Q73</f>
        <v/>
      </c>
      <c r="AE44" s="50">
        <f>MT_RATIO_ANALYSIS!R73</f>
        <v/>
      </c>
      <c r="AH44" s="39" t="inlineStr">
        <is>
          <t>FY2017</t>
        </is>
      </c>
      <c r="AI44" s="40" t="inlineStr">
        <is>
          <t>FY2018</t>
        </is>
      </c>
      <c r="AJ44" s="40" t="inlineStr">
        <is>
          <t>FY2019</t>
        </is>
      </c>
      <c r="AK44" s="40" t="inlineStr">
        <is>
          <t>FY2020</t>
        </is>
      </c>
      <c r="AL44" s="40" t="inlineStr">
        <is>
          <t>FY2021</t>
        </is>
      </c>
      <c r="AM44" s="41" t="inlineStr">
        <is>
          <t>FY2022</t>
        </is>
      </c>
    </row>
    <row r="45">
      <c r="AH45" s="45">
        <f>MT_RATIO_ANALYSIS!M91</f>
        <v/>
      </c>
      <c r="AI45" s="46">
        <f>MT_RATIO_ANALYSIS!N91</f>
        <v/>
      </c>
      <c r="AJ45" s="46">
        <f>MT_RATIO_ANALYSIS!O91</f>
        <v/>
      </c>
      <c r="AK45" s="46">
        <f>MT_RATIO_ANALYSIS!P91</f>
        <v/>
      </c>
      <c r="AL45" s="46">
        <f>MT_RATIO_ANALYSIS!Q91</f>
        <v/>
      </c>
      <c r="AM45" s="47">
        <f>MT_RATIO_ANALYSIS!R91</f>
        <v/>
      </c>
    </row>
    <row r="46">
      <c r="B46" s="212" t="inlineStr">
        <is>
          <t>EBIT Margin</t>
        </is>
      </c>
      <c r="C46" s="213" t="n"/>
      <c r="D46" s="213" t="n"/>
      <c r="E46" s="213" t="n"/>
      <c r="F46" s="213" t="n"/>
      <c r="G46" s="214" t="n"/>
      <c r="J46" s="212" t="inlineStr">
        <is>
          <t>Depreciation % of Revenue</t>
        </is>
      </c>
      <c r="K46" s="213" t="n"/>
      <c r="L46" s="213" t="n"/>
      <c r="M46" s="213" t="n"/>
      <c r="N46" s="213" t="n"/>
      <c r="O46" s="214" t="n"/>
      <c r="Z46" s="212" t="inlineStr">
        <is>
          <t>Cash Turnover</t>
        </is>
      </c>
      <c r="AA46" s="213" t="n"/>
      <c r="AB46" s="213" t="n"/>
      <c r="AC46" s="213" t="n"/>
      <c r="AD46" s="213" t="n"/>
      <c r="AE46" s="214" t="n"/>
    </row>
    <row r="47">
      <c r="B47" s="39" t="inlineStr">
        <is>
          <t>FY2017</t>
        </is>
      </c>
      <c r="C47" s="40" t="inlineStr">
        <is>
          <t>FY2018</t>
        </is>
      </c>
      <c r="D47" s="40" t="inlineStr">
        <is>
          <t>FY2019</t>
        </is>
      </c>
      <c r="E47" s="40" t="inlineStr">
        <is>
          <t>FY2020</t>
        </is>
      </c>
      <c r="F47" s="40" t="inlineStr">
        <is>
          <t>FY2021</t>
        </is>
      </c>
      <c r="G47" s="41" t="inlineStr">
        <is>
          <t>FY2022</t>
        </is>
      </c>
      <c r="J47" s="39" t="inlineStr">
        <is>
          <t>FY2017</t>
        </is>
      </c>
      <c r="K47" s="40" t="inlineStr">
        <is>
          <t>FY2018</t>
        </is>
      </c>
      <c r="L47" s="40" t="inlineStr">
        <is>
          <t>FY2019</t>
        </is>
      </c>
      <c r="M47" s="40" t="inlineStr">
        <is>
          <t>FY2020</t>
        </is>
      </c>
      <c r="N47" s="40" t="inlineStr">
        <is>
          <t>FY2021</t>
        </is>
      </c>
      <c r="O47" s="41" t="inlineStr">
        <is>
          <t>FY2022</t>
        </is>
      </c>
      <c r="Z47" s="39" t="inlineStr">
        <is>
          <t>FY2017</t>
        </is>
      </c>
      <c r="AA47" s="40" t="inlineStr">
        <is>
          <t>FY2018</t>
        </is>
      </c>
      <c r="AB47" s="40" t="inlineStr">
        <is>
          <t>FY2019</t>
        </is>
      </c>
      <c r="AC47" s="40" t="inlineStr">
        <is>
          <t>FY2020</t>
        </is>
      </c>
      <c r="AD47" s="40" t="inlineStr">
        <is>
          <t>FY2021</t>
        </is>
      </c>
      <c r="AE47" s="41" t="inlineStr">
        <is>
          <t>FY2022</t>
        </is>
      </c>
      <c r="AH47" s="212" t="inlineStr">
        <is>
          <t>A/P Days</t>
        </is>
      </c>
      <c r="AI47" s="213" t="n"/>
      <c r="AJ47" s="213" t="n"/>
      <c r="AK47" s="213" t="n"/>
      <c r="AL47" s="213" t="n"/>
      <c r="AM47" s="214" t="n"/>
    </row>
    <row r="48">
      <c r="B48" s="42">
        <f>MT_RATIO_ANALYSIS!M36</f>
        <v/>
      </c>
      <c r="C48" s="43">
        <f>MT_RATIO_ANALYSIS!N36</f>
        <v/>
      </c>
      <c r="D48" s="43">
        <f>MT_RATIO_ANALYSIS!O36</f>
        <v/>
      </c>
      <c r="E48" s="43">
        <f>MT_RATIO_ANALYSIS!P36</f>
        <v/>
      </c>
      <c r="F48" s="43">
        <f>MT_RATIO_ANALYSIS!Q36</f>
        <v/>
      </c>
      <c r="G48" s="44">
        <f>MT_RATIO_ANALYSIS!R36</f>
        <v/>
      </c>
      <c r="J48" s="42">
        <f>MT_RATIO_ANALYSIS!M33</f>
        <v/>
      </c>
      <c r="K48" s="43">
        <f>MT_RATIO_ANALYSIS!N33</f>
        <v/>
      </c>
      <c r="L48" s="43">
        <f>MT_RATIO_ANALYSIS!O33</f>
        <v/>
      </c>
      <c r="M48" s="43">
        <f>MT_RATIO_ANALYSIS!P33</f>
        <v/>
      </c>
      <c r="N48" s="43">
        <f>MT_RATIO_ANALYSIS!Q33</f>
        <v/>
      </c>
      <c r="O48" s="44">
        <f>MT_RATIO_ANALYSIS!R33</f>
        <v/>
      </c>
      <c r="Z48" s="48">
        <f>MT_RATIO_ANALYSIS!M76</f>
        <v/>
      </c>
      <c r="AA48" s="49">
        <f>MT_RATIO_ANALYSIS!N76</f>
        <v/>
      </c>
      <c r="AB48" s="49">
        <f>MT_RATIO_ANALYSIS!O76</f>
        <v/>
      </c>
      <c r="AC48" s="49">
        <f>MT_RATIO_ANALYSIS!P76</f>
        <v/>
      </c>
      <c r="AD48" s="49">
        <f>MT_RATIO_ANALYSIS!Q76</f>
        <v/>
      </c>
      <c r="AE48" s="50">
        <f>MT_RATIO_ANALYSIS!R76</f>
        <v/>
      </c>
      <c r="AH48" s="39" t="inlineStr">
        <is>
          <t>FY2017</t>
        </is>
      </c>
      <c r="AI48" s="40" t="inlineStr">
        <is>
          <t>FY2018</t>
        </is>
      </c>
      <c r="AJ48" s="40" t="inlineStr">
        <is>
          <t>FY2019</t>
        </is>
      </c>
      <c r="AK48" s="40" t="inlineStr">
        <is>
          <t>FY2020</t>
        </is>
      </c>
      <c r="AL48" s="40" t="inlineStr">
        <is>
          <t>FY2021</t>
        </is>
      </c>
      <c r="AM48" s="41" t="inlineStr">
        <is>
          <t>FY2022</t>
        </is>
      </c>
    </row>
    <row r="49">
      <c r="AH49" s="45">
        <f>MT_RATIO_ANALYSIS!M97</f>
        <v/>
      </c>
      <c r="AI49" s="46">
        <f>MT_RATIO_ANALYSIS!N97</f>
        <v/>
      </c>
      <c r="AJ49" s="46">
        <f>MT_RATIO_ANALYSIS!O97</f>
        <v/>
      </c>
      <c r="AK49" s="46">
        <f>MT_RATIO_ANALYSIS!P97</f>
        <v/>
      </c>
      <c r="AL49" s="46">
        <f>MT_RATIO_ANALYSIS!Q97</f>
        <v/>
      </c>
      <c r="AM49" s="47">
        <f>MT_RATIO_ANALYSIS!R97</f>
        <v/>
      </c>
    </row>
    <row r="50">
      <c r="B50" s="212" t="inlineStr">
        <is>
          <t>EBITDA Margin</t>
        </is>
      </c>
      <c r="C50" s="213" t="n"/>
      <c r="D50" s="213" t="n"/>
      <c r="E50" s="213" t="n"/>
      <c r="F50" s="213" t="n"/>
      <c r="G50" s="214" t="n"/>
      <c r="J50" s="212" t="inlineStr">
        <is>
          <t>SG&amp;A % of Revenue</t>
        </is>
      </c>
      <c r="K50" s="213" t="n"/>
      <c r="L50" s="213" t="n"/>
      <c r="M50" s="213" t="n"/>
      <c r="N50" s="213" t="n"/>
      <c r="O50" s="214" t="n"/>
      <c r="Z50" s="212" t="inlineStr">
        <is>
          <t>A/R Turnover</t>
        </is>
      </c>
      <c r="AA50" s="213" t="n"/>
      <c r="AB50" s="213" t="n"/>
      <c r="AC50" s="213" t="n"/>
      <c r="AD50" s="213" t="n"/>
      <c r="AE50" s="214" t="n"/>
    </row>
    <row r="51">
      <c r="B51" s="39" t="inlineStr">
        <is>
          <t>FY2017</t>
        </is>
      </c>
      <c r="C51" s="40" t="inlineStr">
        <is>
          <t>FY2018</t>
        </is>
      </c>
      <c r="D51" s="40" t="inlineStr">
        <is>
          <t>FY2019</t>
        </is>
      </c>
      <c r="E51" s="40" t="inlineStr">
        <is>
          <t>FY2020</t>
        </is>
      </c>
      <c r="F51" s="40" t="inlineStr">
        <is>
          <t>FY2021</t>
        </is>
      </c>
      <c r="G51" s="41" t="inlineStr">
        <is>
          <t>FY2022</t>
        </is>
      </c>
      <c r="J51" s="39" t="inlineStr">
        <is>
          <t>FY2017</t>
        </is>
      </c>
      <c r="K51" s="40" t="inlineStr">
        <is>
          <t>FY2018</t>
        </is>
      </c>
      <c r="L51" s="40" t="inlineStr">
        <is>
          <t>FY2019</t>
        </is>
      </c>
      <c r="M51" s="40" t="inlineStr">
        <is>
          <t>FY2020</t>
        </is>
      </c>
      <c r="N51" s="40" t="inlineStr">
        <is>
          <t>FY2021</t>
        </is>
      </c>
      <c r="O51" s="41" t="inlineStr">
        <is>
          <t>FY2022</t>
        </is>
      </c>
      <c r="Z51" s="39" t="inlineStr">
        <is>
          <t>FY2017</t>
        </is>
      </c>
      <c r="AA51" s="40" t="inlineStr">
        <is>
          <t>FY2018</t>
        </is>
      </c>
      <c r="AB51" s="40" t="inlineStr">
        <is>
          <t>FY2019</t>
        </is>
      </c>
      <c r="AC51" s="40" t="inlineStr">
        <is>
          <t>FY2020</t>
        </is>
      </c>
      <c r="AD51" s="40" t="inlineStr">
        <is>
          <t>FY2021</t>
        </is>
      </c>
      <c r="AE51" s="41" t="inlineStr">
        <is>
          <t>FY2022</t>
        </is>
      </c>
      <c r="AH51" s="212" t="inlineStr">
        <is>
          <t>Cash Conversion Cycle / WC Funding Gap</t>
        </is>
      </c>
      <c r="AI51" s="213" t="n"/>
      <c r="AJ51" s="213" t="n"/>
      <c r="AK51" s="213" t="n"/>
      <c r="AL51" s="213" t="n"/>
      <c r="AM51" s="214" t="n"/>
    </row>
    <row r="52">
      <c r="B52" s="42">
        <f>MT_RATIO_ANALYSIS!M28</f>
        <v/>
      </c>
      <c r="C52" s="43">
        <f>MT_RATIO_ANALYSIS!N28</f>
        <v/>
      </c>
      <c r="D52" s="43">
        <f>MT_RATIO_ANALYSIS!O28</f>
        <v/>
      </c>
      <c r="E52" s="43">
        <f>MT_RATIO_ANALYSIS!P28</f>
        <v/>
      </c>
      <c r="F52" s="43">
        <f>MT_RATIO_ANALYSIS!Q28</f>
        <v/>
      </c>
      <c r="G52" s="44">
        <f>MT_RATIO_ANALYSIS!R28</f>
        <v/>
      </c>
      <c r="J52" s="42">
        <f>MT_RATIO_ANALYSIS!M22</f>
        <v/>
      </c>
      <c r="K52" s="43">
        <f>MT_RATIO_ANALYSIS!N22</f>
        <v/>
      </c>
      <c r="L52" s="43">
        <f>MT_RATIO_ANALYSIS!O22</f>
        <v/>
      </c>
      <c r="M52" s="43">
        <f>MT_RATIO_ANALYSIS!P22</f>
        <v/>
      </c>
      <c r="N52" s="43">
        <f>MT_RATIO_ANALYSIS!Q22</f>
        <v/>
      </c>
      <c r="O52" s="44">
        <f>MT_RATIO_ANALYSIS!R22</f>
        <v/>
      </c>
      <c r="Z52" s="48">
        <f>MT_RATIO_ANALYSIS!M82</f>
        <v/>
      </c>
      <c r="AA52" s="49">
        <f>MT_RATIO_ANALYSIS!N82</f>
        <v/>
      </c>
      <c r="AB52" s="49">
        <f>MT_RATIO_ANALYSIS!O82</f>
        <v/>
      </c>
      <c r="AC52" s="49">
        <f>MT_RATIO_ANALYSIS!P82</f>
        <v/>
      </c>
      <c r="AD52" s="49">
        <f>MT_RATIO_ANALYSIS!Q82</f>
        <v/>
      </c>
      <c r="AE52" s="50">
        <f>MT_RATIO_ANALYSIS!R82</f>
        <v/>
      </c>
      <c r="AH52" s="39" t="inlineStr">
        <is>
          <t>FY2017</t>
        </is>
      </c>
      <c r="AI52" s="40" t="inlineStr">
        <is>
          <t>FY2018</t>
        </is>
      </c>
      <c r="AJ52" s="40" t="inlineStr">
        <is>
          <t>FY2019</t>
        </is>
      </c>
      <c r="AK52" s="40" t="inlineStr">
        <is>
          <t>FY2020</t>
        </is>
      </c>
      <c r="AL52" s="40" t="inlineStr">
        <is>
          <t>FY2021</t>
        </is>
      </c>
      <c r="AM52" s="41" t="inlineStr">
        <is>
          <t>FY2022</t>
        </is>
      </c>
    </row>
    <row r="53">
      <c r="AH53" s="45">
        <f>MT_RATIO_ANALYSIS!M100</f>
        <v/>
      </c>
      <c r="AI53" s="46">
        <f>MT_RATIO_ANALYSIS!N100</f>
        <v/>
      </c>
      <c r="AJ53" s="46">
        <f>MT_RATIO_ANALYSIS!O100</f>
        <v/>
      </c>
      <c r="AK53" s="46">
        <f>MT_RATIO_ANALYSIS!P100</f>
        <v/>
      </c>
      <c r="AL53" s="46">
        <f>MT_RATIO_ANALYSIS!Q100</f>
        <v/>
      </c>
      <c r="AM53" s="47">
        <f>MT_RATIO_ANALYSIS!R100</f>
        <v/>
      </c>
    </row>
    <row r="54">
      <c r="B54" s="212" t="inlineStr">
        <is>
          <t>Gross Margin</t>
        </is>
      </c>
      <c r="C54" s="213" t="n"/>
      <c r="D54" s="213" t="n"/>
      <c r="E54" s="213" t="n"/>
      <c r="F54" s="213" t="n"/>
      <c r="G54" s="214" t="n"/>
      <c r="J54" s="212" t="inlineStr">
        <is>
          <t>Other Op. Expenses %</t>
        </is>
      </c>
      <c r="K54" s="213" t="n"/>
      <c r="L54" s="213" t="n"/>
      <c r="M54" s="213" t="n"/>
      <c r="N54" s="213" t="n"/>
      <c r="O54" s="214" t="n"/>
      <c r="Z54" s="212" t="inlineStr">
        <is>
          <t>Inventory Turnover</t>
        </is>
      </c>
      <c r="AA54" s="213" t="n"/>
      <c r="AB54" s="213" t="n"/>
      <c r="AC54" s="213" t="n"/>
      <c r="AD54" s="213" t="n"/>
      <c r="AE54" s="214" t="n"/>
    </row>
    <row r="55">
      <c r="B55" s="39" t="inlineStr">
        <is>
          <t>FY2017</t>
        </is>
      </c>
      <c r="C55" s="40" t="inlineStr">
        <is>
          <t>FY2018</t>
        </is>
      </c>
      <c r="D55" s="40" t="inlineStr">
        <is>
          <t>FY2019</t>
        </is>
      </c>
      <c r="E55" s="40" t="inlineStr">
        <is>
          <t>FY2020</t>
        </is>
      </c>
      <c r="F55" s="40" t="inlineStr">
        <is>
          <t>FY2021</t>
        </is>
      </c>
      <c r="G55" s="41" t="inlineStr">
        <is>
          <t>FY2022</t>
        </is>
      </c>
      <c r="J55" s="39" t="inlineStr">
        <is>
          <t>FY2017</t>
        </is>
      </c>
      <c r="K55" s="40" t="inlineStr">
        <is>
          <t>FY2018</t>
        </is>
      </c>
      <c r="L55" s="40" t="inlineStr">
        <is>
          <t>FY2019</t>
        </is>
      </c>
      <c r="M55" s="40" t="inlineStr">
        <is>
          <t>FY2020</t>
        </is>
      </c>
      <c r="N55" s="40" t="inlineStr">
        <is>
          <t>FY2021</t>
        </is>
      </c>
      <c r="O55" s="41" t="inlineStr">
        <is>
          <t>FY2022</t>
        </is>
      </c>
      <c r="Z55" s="39" t="inlineStr">
        <is>
          <t>FY2017</t>
        </is>
      </c>
      <c r="AA55" s="40" t="inlineStr">
        <is>
          <t>FY2018</t>
        </is>
      </c>
      <c r="AB55" s="40" t="inlineStr">
        <is>
          <t>FY2019</t>
        </is>
      </c>
      <c r="AC55" s="40" t="inlineStr">
        <is>
          <t>FY2020</t>
        </is>
      </c>
      <c r="AD55" s="40" t="inlineStr">
        <is>
          <t>FY2021</t>
        </is>
      </c>
      <c r="AE55" s="41" t="inlineStr">
        <is>
          <t>FY2022</t>
        </is>
      </c>
    </row>
    <row r="56">
      <c r="B56" s="42">
        <f>MT_RATIO_ANALYSIS!M19</f>
        <v/>
      </c>
      <c r="C56" s="43">
        <f>MT_RATIO_ANALYSIS!N19</f>
        <v/>
      </c>
      <c r="D56" s="43">
        <f>MT_RATIO_ANALYSIS!O19</f>
        <v/>
      </c>
      <c r="E56" s="43">
        <f>MT_RATIO_ANALYSIS!P19</f>
        <v/>
      </c>
      <c r="F56" s="43">
        <f>MT_RATIO_ANALYSIS!Q19</f>
        <v/>
      </c>
      <c r="G56" s="44">
        <f>MT_RATIO_ANALYSIS!R19</f>
        <v/>
      </c>
      <c r="J56" s="42">
        <f>MT_RATIO_ANALYSIS!M25</f>
        <v/>
      </c>
      <c r="K56" s="43">
        <f>MT_RATIO_ANALYSIS!N25</f>
        <v/>
      </c>
      <c r="L56" s="43">
        <f>MT_RATIO_ANALYSIS!O25</f>
        <v/>
      </c>
      <c r="M56" s="43">
        <f>MT_RATIO_ANALYSIS!P25</f>
        <v/>
      </c>
      <c r="N56" s="43">
        <f>MT_RATIO_ANALYSIS!Q25</f>
        <v/>
      </c>
      <c r="O56" s="44">
        <f>MT_RATIO_ANALYSIS!R25</f>
        <v/>
      </c>
      <c r="Z56" s="48">
        <f>MT_RATIO_ANALYSIS!M88</f>
        <v/>
      </c>
      <c r="AA56" s="49">
        <f>MT_RATIO_ANALYSIS!N88</f>
        <v/>
      </c>
      <c r="AB56" s="49">
        <f>MT_RATIO_ANALYSIS!O88</f>
        <v/>
      </c>
      <c r="AC56" s="49">
        <f>MT_RATIO_ANALYSIS!P88</f>
        <v/>
      </c>
      <c r="AD56" s="49">
        <f>MT_RATIO_ANALYSIS!Q88</f>
        <v/>
      </c>
      <c r="AE56" s="50">
        <f>MT_RATIO_ANALYSIS!R88</f>
        <v/>
      </c>
    </row>
    <row r="60" ht="15.5" customHeight="1" s="203">
      <c r="B60" s="38" t="inlineStr">
        <is>
          <t>Growth Analysis</t>
        </is>
      </c>
      <c r="J60" s="38" t="inlineStr">
        <is>
          <t>Leverage Analysis</t>
        </is>
      </c>
    </row>
    <row r="62">
      <c r="B62" s="212" t="inlineStr">
        <is>
          <t>Revenue Growth</t>
        </is>
      </c>
      <c r="C62" s="213" t="n"/>
      <c r="D62" s="213" t="n"/>
      <c r="E62" s="213" t="n"/>
      <c r="F62" s="213" t="n"/>
      <c r="G62" s="214" t="n"/>
      <c r="J62" s="212" t="inlineStr">
        <is>
          <t>Debt to Equity</t>
        </is>
      </c>
      <c r="K62" s="213" t="n"/>
      <c r="L62" s="213" t="n"/>
      <c r="M62" s="213" t="n"/>
      <c r="N62" s="213" t="n"/>
      <c r="O62" s="214" t="n"/>
    </row>
    <row r="63">
      <c r="B63" s="39" t="inlineStr">
        <is>
          <t>FY2017</t>
        </is>
      </c>
      <c r="C63" s="40" t="inlineStr">
        <is>
          <t>FY2018</t>
        </is>
      </c>
      <c r="D63" s="40" t="inlineStr">
        <is>
          <t>FY2019</t>
        </is>
      </c>
      <c r="E63" s="40" t="inlineStr">
        <is>
          <t>FY2020</t>
        </is>
      </c>
      <c r="F63" s="40" t="inlineStr">
        <is>
          <t>FY2021</t>
        </is>
      </c>
      <c r="G63" s="41" t="inlineStr">
        <is>
          <t>FY2022</t>
        </is>
      </c>
      <c r="J63" s="39" t="inlineStr">
        <is>
          <t>FY2017</t>
        </is>
      </c>
      <c r="K63" s="40" t="inlineStr">
        <is>
          <t>FY2018</t>
        </is>
      </c>
      <c r="L63" s="40" t="inlineStr">
        <is>
          <t>FY2019</t>
        </is>
      </c>
      <c r="M63" s="40" t="inlineStr">
        <is>
          <t>FY2020</t>
        </is>
      </c>
      <c r="N63" s="40" t="inlineStr">
        <is>
          <t>FY2021</t>
        </is>
      </c>
      <c r="O63" s="41" t="inlineStr">
        <is>
          <t>FY2022</t>
        </is>
      </c>
    </row>
    <row r="64">
      <c r="B64" s="42">
        <f>MT_RATIO_ANALYSIS!M129</f>
        <v/>
      </c>
      <c r="C64" s="43">
        <f>MT_RATIO_ANALYSIS!N129</f>
        <v/>
      </c>
      <c r="D64" s="43">
        <f>MT_RATIO_ANALYSIS!O129</f>
        <v/>
      </c>
      <c r="E64" s="43">
        <f>MT_RATIO_ANALYSIS!P129</f>
        <v/>
      </c>
      <c r="F64" s="43">
        <f>MT_RATIO_ANALYSIS!Q129</f>
        <v/>
      </c>
      <c r="G64" s="44">
        <f>MT_RATIO_ANALYSIS!R129</f>
        <v/>
      </c>
      <c r="J64" s="48">
        <f>MT_RATIO_ANALYSIS!M109</f>
        <v/>
      </c>
      <c r="K64" s="49">
        <f>MT_RATIO_ANALYSIS!N109</f>
        <v/>
      </c>
      <c r="L64" s="49">
        <f>MT_RATIO_ANALYSIS!O109</f>
        <v/>
      </c>
      <c r="M64" s="49">
        <f>MT_RATIO_ANALYSIS!P109</f>
        <v/>
      </c>
      <c r="N64" s="49">
        <f>MT_RATIO_ANALYSIS!Q109</f>
        <v/>
      </c>
      <c r="O64" s="50">
        <f>MT_RATIO_ANALYSIS!R109</f>
        <v/>
      </c>
    </row>
    <row r="66">
      <c r="B66" s="212" t="inlineStr">
        <is>
          <t>EBITDA Growth</t>
        </is>
      </c>
      <c r="C66" s="213" t="n"/>
      <c r="D66" s="213" t="n"/>
      <c r="E66" s="213" t="n"/>
      <c r="F66" s="213" t="n"/>
      <c r="G66" s="214" t="n"/>
      <c r="J66" s="212" t="inlineStr">
        <is>
          <t>Debt to EBITDA</t>
        </is>
      </c>
      <c r="K66" s="213" t="n"/>
      <c r="L66" s="213" t="n"/>
      <c r="M66" s="213" t="n"/>
      <c r="N66" s="213" t="n"/>
      <c r="O66" s="214" t="n"/>
    </row>
    <row r="67">
      <c r="B67" s="39" t="inlineStr">
        <is>
          <t>FY2017</t>
        </is>
      </c>
      <c r="C67" s="40" t="inlineStr">
        <is>
          <t>FY2018</t>
        </is>
      </c>
      <c r="D67" s="40" t="inlineStr">
        <is>
          <t>FY2019</t>
        </is>
      </c>
      <c r="E67" s="40" t="inlineStr">
        <is>
          <t>FY2020</t>
        </is>
      </c>
      <c r="F67" s="40" t="inlineStr">
        <is>
          <t>FY2021</t>
        </is>
      </c>
      <c r="G67" s="41" t="inlineStr">
        <is>
          <t>FY2022</t>
        </is>
      </c>
      <c r="J67" s="39" t="inlineStr">
        <is>
          <t>FY2017</t>
        </is>
      </c>
      <c r="K67" s="40" t="inlineStr">
        <is>
          <t>FY2018</t>
        </is>
      </c>
      <c r="L67" s="40" t="inlineStr">
        <is>
          <t>FY2019</t>
        </is>
      </c>
      <c r="M67" s="40" t="inlineStr">
        <is>
          <t>FY2020</t>
        </is>
      </c>
      <c r="N67" s="40" t="inlineStr">
        <is>
          <t>FY2021</t>
        </is>
      </c>
      <c r="O67" s="41" t="inlineStr">
        <is>
          <t>FY2022</t>
        </is>
      </c>
    </row>
    <row r="68">
      <c r="B68" s="42">
        <f>MT_RATIO_ANALYSIS!M131</f>
        <v/>
      </c>
      <c r="C68" s="43">
        <f>MT_RATIO_ANALYSIS!N131</f>
        <v/>
      </c>
      <c r="D68" s="43">
        <f>MT_RATIO_ANALYSIS!O131</f>
        <v/>
      </c>
      <c r="E68" s="43">
        <f>MT_RATIO_ANALYSIS!P131</f>
        <v/>
      </c>
      <c r="F68" s="43">
        <f>MT_RATIO_ANALYSIS!Q131</f>
        <v/>
      </c>
      <c r="G68" s="44">
        <f>MT_RATIO_ANALYSIS!R131</f>
        <v/>
      </c>
      <c r="J68" s="48">
        <f>MT_RATIO_ANALYSIS!M112</f>
        <v/>
      </c>
      <c r="K68" s="49">
        <f>MT_RATIO_ANALYSIS!N112</f>
        <v/>
      </c>
      <c r="L68" s="49">
        <f>MT_RATIO_ANALYSIS!O112</f>
        <v/>
      </c>
      <c r="M68" s="49">
        <f>MT_RATIO_ANALYSIS!P112</f>
        <v/>
      </c>
      <c r="N68" s="49">
        <f>MT_RATIO_ANALYSIS!Q112</f>
        <v/>
      </c>
      <c r="O68" s="50">
        <f>MT_RATIO_ANALYSIS!R112</f>
        <v/>
      </c>
    </row>
    <row r="70">
      <c r="B70" s="212" t="inlineStr">
        <is>
          <t>Net Income Growth</t>
        </is>
      </c>
      <c r="C70" s="213" t="n"/>
      <c r="D70" s="213" t="n"/>
      <c r="E70" s="213" t="n"/>
      <c r="F70" s="213" t="n"/>
      <c r="G70" s="214" t="n"/>
      <c r="J70" s="212" t="inlineStr">
        <is>
          <t>Current Ratio</t>
        </is>
      </c>
      <c r="K70" s="213" t="n"/>
      <c r="L70" s="213" t="n"/>
      <c r="M70" s="213" t="n"/>
      <c r="N70" s="213" t="n"/>
      <c r="O70" s="214" t="n"/>
    </row>
    <row r="71">
      <c r="B71" s="39" t="inlineStr">
        <is>
          <t>FY2017</t>
        </is>
      </c>
      <c r="C71" s="40" t="inlineStr">
        <is>
          <t>FY2018</t>
        </is>
      </c>
      <c r="D71" s="40" t="inlineStr">
        <is>
          <t>FY2019</t>
        </is>
      </c>
      <c r="E71" s="40" t="inlineStr">
        <is>
          <t>FY2020</t>
        </is>
      </c>
      <c r="F71" s="40" t="inlineStr">
        <is>
          <t>FY2021</t>
        </is>
      </c>
      <c r="G71" s="41" t="inlineStr">
        <is>
          <t>FY2022</t>
        </is>
      </c>
      <c r="J71" s="39" t="inlineStr">
        <is>
          <t>FY2017</t>
        </is>
      </c>
      <c r="K71" s="40" t="inlineStr">
        <is>
          <t>FY2018</t>
        </is>
      </c>
      <c r="L71" s="40" t="inlineStr">
        <is>
          <t>FY2019</t>
        </is>
      </c>
      <c r="M71" s="40" t="inlineStr">
        <is>
          <t>FY2020</t>
        </is>
      </c>
      <c r="N71" s="40" t="inlineStr">
        <is>
          <t>FY2021</t>
        </is>
      </c>
      <c r="O71" s="41" t="inlineStr">
        <is>
          <t>FY2022</t>
        </is>
      </c>
    </row>
    <row r="72">
      <c r="B72" s="42">
        <f>MT_RATIO_ANALYSIS!M135</f>
        <v/>
      </c>
      <c r="C72" s="43">
        <f>MT_RATIO_ANALYSIS!N135</f>
        <v/>
      </c>
      <c r="D72" s="43">
        <f>MT_RATIO_ANALYSIS!O135</f>
        <v/>
      </c>
      <c r="E72" s="43">
        <f>MT_RATIO_ANALYSIS!P135</f>
        <v/>
      </c>
      <c r="F72" s="43">
        <f>MT_RATIO_ANALYSIS!Q135</f>
        <v/>
      </c>
      <c r="G72" s="44">
        <f>MT_RATIO_ANALYSIS!R135</f>
        <v/>
      </c>
      <c r="J72" s="48">
        <f>MT_RATIO_ANALYSIS!M119</f>
        <v/>
      </c>
      <c r="K72" s="49">
        <f>MT_RATIO_ANALYSIS!N119</f>
        <v/>
      </c>
      <c r="L72" s="49">
        <f>MT_RATIO_ANALYSIS!O119</f>
        <v/>
      </c>
      <c r="M72" s="49">
        <f>MT_RATIO_ANALYSIS!P119</f>
        <v/>
      </c>
      <c r="N72" s="49">
        <f>MT_RATIO_ANALYSIS!Q119</f>
        <v/>
      </c>
      <c r="O72" s="50">
        <f>MT_RATIO_ANALYSIS!R119</f>
        <v/>
      </c>
    </row>
    <row r="74">
      <c r="B74" s="212" t="inlineStr">
        <is>
          <t>Total Asset Growth</t>
        </is>
      </c>
      <c r="C74" s="213" t="n"/>
      <c r="D74" s="213" t="n"/>
      <c r="E74" s="213" t="n"/>
      <c r="F74" s="213" t="n"/>
      <c r="G74" s="214" t="n"/>
      <c r="J74" s="212" t="inlineStr">
        <is>
          <t>Quick Ratio</t>
        </is>
      </c>
      <c r="K74" s="213" t="n"/>
      <c r="L74" s="213" t="n"/>
      <c r="M74" s="213" t="n"/>
      <c r="N74" s="213" t="n"/>
      <c r="O74" s="214" t="n"/>
    </row>
    <row r="75">
      <c r="B75" s="39" t="inlineStr">
        <is>
          <t>FY2017</t>
        </is>
      </c>
      <c r="C75" s="40" t="inlineStr">
        <is>
          <t>FY2018</t>
        </is>
      </c>
      <c r="D75" s="40" t="inlineStr">
        <is>
          <t>FY2019</t>
        </is>
      </c>
      <c r="E75" s="40" t="inlineStr">
        <is>
          <t>FY2020</t>
        </is>
      </c>
      <c r="F75" s="40" t="inlineStr">
        <is>
          <t>FY2021</t>
        </is>
      </c>
      <c r="G75" s="41" t="inlineStr">
        <is>
          <t>FY2022</t>
        </is>
      </c>
      <c r="J75" s="39" t="inlineStr">
        <is>
          <t>FY2017</t>
        </is>
      </c>
      <c r="K75" s="40" t="inlineStr">
        <is>
          <t>FY2018</t>
        </is>
      </c>
      <c r="L75" s="40" t="inlineStr">
        <is>
          <t>FY2019</t>
        </is>
      </c>
      <c r="M75" s="40" t="inlineStr">
        <is>
          <t>FY2020</t>
        </is>
      </c>
      <c r="N75" s="40" t="inlineStr">
        <is>
          <t>FY2021</t>
        </is>
      </c>
      <c r="O75" s="41" t="inlineStr">
        <is>
          <t>FY2022</t>
        </is>
      </c>
    </row>
    <row r="76">
      <c r="B76" s="42">
        <f>MT_RATIO_ANALYSIS!M137</f>
        <v/>
      </c>
      <c r="C76" s="43">
        <f>MT_RATIO_ANALYSIS!N137</f>
        <v/>
      </c>
      <c r="D76" s="43">
        <f>MT_RATIO_ANALYSIS!O137</f>
        <v/>
      </c>
      <c r="E76" s="43">
        <f>MT_RATIO_ANALYSIS!P137</f>
        <v/>
      </c>
      <c r="F76" s="43">
        <f>MT_RATIO_ANALYSIS!Q137</f>
        <v/>
      </c>
      <c r="G76" s="44">
        <f>MT_RATIO_ANALYSIS!R137</f>
        <v/>
      </c>
      <c r="J76" s="48">
        <f>MT_RATIO_ANALYSIS!M122</f>
        <v/>
      </c>
      <c r="K76" s="49">
        <f>MT_RATIO_ANALYSIS!N122</f>
        <v/>
      </c>
      <c r="L76" s="49">
        <f>MT_RATIO_ANALYSIS!O122</f>
        <v/>
      </c>
      <c r="M76" s="49">
        <f>MT_RATIO_ANALYSIS!P122</f>
        <v/>
      </c>
      <c r="N76" s="49">
        <f>MT_RATIO_ANALYSIS!Q122</f>
        <v/>
      </c>
      <c r="O76" s="50">
        <f>MT_RATIO_ANALYSIS!R122</f>
        <v/>
      </c>
    </row>
    <row r="78">
      <c r="B78" s="212" t="inlineStr">
        <is>
          <t>Degree of Total Leverage</t>
        </is>
      </c>
      <c r="C78" s="213" t="n"/>
      <c r="D78" s="213" t="n"/>
      <c r="E78" s="213" t="n"/>
      <c r="F78" s="213" t="n"/>
      <c r="G78" s="214" t="n"/>
      <c r="J78" s="212" t="inlineStr">
        <is>
          <t>Interest Coverage</t>
        </is>
      </c>
      <c r="K78" s="213" t="n"/>
      <c r="L78" s="213" t="n"/>
      <c r="M78" s="213" t="n"/>
      <c r="N78" s="213" t="n"/>
      <c r="O78" s="214" t="n"/>
    </row>
    <row r="79">
      <c r="B79" s="39" t="inlineStr">
        <is>
          <t>FY2017</t>
        </is>
      </c>
      <c r="C79" s="40" t="inlineStr">
        <is>
          <t>FY2018</t>
        </is>
      </c>
      <c r="D79" s="40" t="inlineStr">
        <is>
          <t>FY2019</t>
        </is>
      </c>
      <c r="E79" s="40" t="inlineStr">
        <is>
          <t>FY2020</t>
        </is>
      </c>
      <c r="F79" s="40" t="inlineStr">
        <is>
          <t>FY2021</t>
        </is>
      </c>
      <c r="G79" s="41" t="inlineStr">
        <is>
          <t>FY2022</t>
        </is>
      </c>
      <c r="J79" s="39" t="inlineStr">
        <is>
          <t>FY2017</t>
        </is>
      </c>
      <c r="K79" s="40" t="inlineStr">
        <is>
          <t>FY2018</t>
        </is>
      </c>
      <c r="L79" s="40" t="inlineStr">
        <is>
          <t>FY2019</t>
        </is>
      </c>
      <c r="M79" s="40" t="inlineStr">
        <is>
          <t>FY2020</t>
        </is>
      </c>
      <c r="N79" s="40" t="inlineStr">
        <is>
          <t>FY2021</t>
        </is>
      </c>
      <c r="O79" s="41" t="inlineStr">
        <is>
          <t>FY2022</t>
        </is>
      </c>
    </row>
    <row r="80">
      <c r="B80" s="48">
        <f>MT_RATIO_ANALYSIS!M143</f>
        <v/>
      </c>
      <c r="C80" s="49">
        <f>MT_RATIO_ANALYSIS!N143</f>
        <v/>
      </c>
      <c r="D80" s="49">
        <f>MT_RATIO_ANALYSIS!O143</f>
        <v/>
      </c>
      <c r="E80" s="49">
        <f>MT_RATIO_ANALYSIS!P143</f>
        <v/>
      </c>
      <c r="F80" s="49">
        <f>MT_RATIO_ANALYSIS!Q143</f>
        <v/>
      </c>
      <c r="G80" s="50">
        <f>MT_RATIO_ANALYSIS!R143</f>
        <v/>
      </c>
      <c r="J80" s="48">
        <f>MT_RATIO_ANALYSIS!M125</f>
        <v/>
      </c>
      <c r="K80" s="49">
        <f>MT_RATIO_ANALYSIS!N125</f>
        <v/>
      </c>
      <c r="L80" s="49">
        <f>MT_RATIO_ANALYSIS!O125</f>
        <v/>
      </c>
      <c r="M80" s="49">
        <f>MT_RATIO_ANALYSIS!P125</f>
        <v/>
      </c>
      <c r="N80" s="49">
        <f>MT_RATIO_ANALYSIS!Q125</f>
        <v/>
      </c>
      <c r="O80" s="50">
        <f>MT_RATIO_ANALYSIS!R125</f>
        <v/>
      </c>
    </row>
    <row r="83" ht="17" customHeight="1" s="203">
      <c r="B83" s="37" t="inlineStr">
        <is>
          <t>5-Step DuPont Pyramid</t>
        </is>
      </c>
    </row>
    <row r="85">
      <c r="V85" s="212" t="inlineStr">
        <is>
          <t>Return on Equity</t>
        </is>
      </c>
      <c r="W85" s="213" t="n"/>
      <c r="X85" s="213" t="n"/>
      <c r="Y85" s="213" t="n"/>
      <c r="Z85" s="213" t="n"/>
      <c r="AA85" s="214" t="n"/>
    </row>
    <row r="86">
      <c r="V86" s="39" t="inlineStr">
        <is>
          <t>FY2017</t>
        </is>
      </c>
      <c r="W86" s="40" t="inlineStr">
        <is>
          <t>FY2018</t>
        </is>
      </c>
      <c r="X86" s="40" t="inlineStr">
        <is>
          <t>FY2019</t>
        </is>
      </c>
      <c r="Y86" s="40" t="inlineStr">
        <is>
          <t>FY2020</t>
        </is>
      </c>
      <c r="Z86" s="40" t="inlineStr">
        <is>
          <t>FY2021</t>
        </is>
      </c>
      <c r="AA86" s="41" t="inlineStr">
        <is>
          <t>FY2022</t>
        </is>
      </c>
    </row>
    <row r="87">
      <c r="V87" s="42">
        <f>MT_RATIO_ANALYSIS!M7</f>
        <v/>
      </c>
      <c r="W87" s="43">
        <f>MT_RATIO_ANALYSIS!N7</f>
        <v/>
      </c>
      <c r="X87" s="43">
        <f>MT_RATIO_ANALYSIS!O7</f>
        <v/>
      </c>
      <c r="Y87" s="43">
        <f>MT_RATIO_ANALYSIS!P7</f>
        <v/>
      </c>
      <c r="Z87" s="43">
        <f>MT_RATIO_ANALYSIS!Q7</f>
        <v/>
      </c>
      <c r="AA87" s="44">
        <f>MT_RATIO_ANALYSIS!R7</f>
        <v/>
      </c>
    </row>
    <row r="90">
      <c r="B90" s="212" t="inlineStr">
        <is>
          <t>Tax Burden</t>
        </is>
      </c>
      <c r="C90" s="213" t="n"/>
      <c r="D90" s="213" t="n"/>
      <c r="E90" s="213" t="n"/>
      <c r="F90" s="213" t="n"/>
      <c r="G90" s="214" t="n"/>
      <c r="J90" s="212" t="inlineStr">
        <is>
          <t>Interest Burden</t>
        </is>
      </c>
      <c r="K90" s="213" t="n"/>
      <c r="L90" s="213" t="n"/>
      <c r="M90" s="213" t="n"/>
      <c r="N90" s="213" t="n"/>
      <c r="O90" s="214" t="n"/>
      <c r="R90" s="212" t="inlineStr">
        <is>
          <t>EBIT Margin</t>
        </is>
      </c>
      <c r="S90" s="213" t="n"/>
      <c r="T90" s="213" t="n"/>
      <c r="U90" s="213" t="n"/>
      <c r="V90" s="213" t="n"/>
      <c r="W90" s="214" t="n"/>
      <c r="Z90" s="212" t="inlineStr">
        <is>
          <t>Depreciation % of Revenue</t>
        </is>
      </c>
      <c r="AA90" s="213" t="n"/>
      <c r="AB90" s="213" t="n"/>
      <c r="AC90" s="213" t="n"/>
      <c r="AD90" s="213" t="n"/>
      <c r="AE90" s="214" t="n"/>
      <c r="AH90" s="212" t="inlineStr">
        <is>
          <t>Total Asset to Equity</t>
        </is>
      </c>
      <c r="AI90" s="213" t="n"/>
      <c r="AJ90" s="213" t="n"/>
      <c r="AK90" s="213" t="n"/>
      <c r="AL90" s="213" t="n"/>
      <c r="AM90" s="214" t="n"/>
      <c r="AP90" s="212" t="inlineStr">
        <is>
          <t>Asset Turnover</t>
        </is>
      </c>
      <c r="AQ90" s="213" t="n"/>
      <c r="AR90" s="213" t="n"/>
      <c r="AS90" s="213" t="n"/>
      <c r="AT90" s="213" t="n"/>
      <c r="AU90" s="214" t="n"/>
    </row>
    <row r="91">
      <c r="B91" s="39" t="inlineStr">
        <is>
          <t>FY2017</t>
        </is>
      </c>
      <c r="C91" s="40" t="inlineStr">
        <is>
          <t>FY2018</t>
        </is>
      </c>
      <c r="D91" s="40" t="inlineStr">
        <is>
          <t>FY2019</t>
        </is>
      </c>
      <c r="E91" s="40" t="inlineStr">
        <is>
          <t>FY2020</t>
        </is>
      </c>
      <c r="F91" s="40" t="inlineStr">
        <is>
          <t>FY2021</t>
        </is>
      </c>
      <c r="G91" s="41" t="inlineStr">
        <is>
          <t>FY2022</t>
        </is>
      </c>
      <c r="J91" s="39" t="inlineStr">
        <is>
          <t>FY2017</t>
        </is>
      </c>
      <c r="K91" s="40" t="inlineStr">
        <is>
          <t>FY2018</t>
        </is>
      </c>
      <c r="L91" s="40" t="inlineStr">
        <is>
          <t>FY2019</t>
        </is>
      </c>
      <c r="M91" s="40" t="inlineStr">
        <is>
          <t>FY2020</t>
        </is>
      </c>
      <c r="N91" s="40" t="inlineStr">
        <is>
          <t>FY2021</t>
        </is>
      </c>
      <c r="O91" s="41" t="inlineStr">
        <is>
          <t>FY2022</t>
        </is>
      </c>
      <c r="R91" s="39" t="inlineStr">
        <is>
          <t>FY2017</t>
        </is>
      </c>
      <c r="S91" s="40" t="inlineStr">
        <is>
          <t>FY2018</t>
        </is>
      </c>
      <c r="T91" s="40" t="inlineStr">
        <is>
          <t>FY2019</t>
        </is>
      </c>
      <c r="U91" s="40" t="inlineStr">
        <is>
          <t>FY2020</t>
        </is>
      </c>
      <c r="V91" s="40" t="inlineStr">
        <is>
          <t>FY2021</t>
        </is>
      </c>
      <c r="W91" s="41" t="inlineStr">
        <is>
          <t>FY2022</t>
        </is>
      </c>
      <c r="Z91" s="39" t="inlineStr">
        <is>
          <t>FY2017</t>
        </is>
      </c>
      <c r="AA91" s="40" t="inlineStr">
        <is>
          <t>FY2018</t>
        </is>
      </c>
      <c r="AB91" s="40" t="inlineStr">
        <is>
          <t>FY2019</t>
        </is>
      </c>
      <c r="AC91" s="40" t="inlineStr">
        <is>
          <t>FY2020</t>
        </is>
      </c>
      <c r="AD91" s="40" t="inlineStr">
        <is>
          <t>FY2021</t>
        </is>
      </c>
      <c r="AE91" s="41" t="inlineStr">
        <is>
          <t>FY2022</t>
        </is>
      </c>
      <c r="AH91" s="39" t="inlineStr">
        <is>
          <t>FY2017</t>
        </is>
      </c>
      <c r="AI91" s="40" t="inlineStr">
        <is>
          <t>FY2018</t>
        </is>
      </c>
      <c r="AJ91" s="40" t="inlineStr">
        <is>
          <t>FY2019</t>
        </is>
      </c>
      <c r="AK91" s="40" t="inlineStr">
        <is>
          <t>FY2020</t>
        </is>
      </c>
      <c r="AL91" s="40" t="inlineStr">
        <is>
          <t>FY2021</t>
        </is>
      </c>
      <c r="AM91" s="41" t="inlineStr">
        <is>
          <t>FY2022</t>
        </is>
      </c>
      <c r="AP91" s="39" t="inlineStr">
        <is>
          <t>FY2017</t>
        </is>
      </c>
      <c r="AQ91" s="40" t="inlineStr">
        <is>
          <t>FY2018</t>
        </is>
      </c>
      <c r="AR91" s="40" t="inlineStr">
        <is>
          <t>FY2019</t>
        </is>
      </c>
      <c r="AS91" s="40" t="inlineStr">
        <is>
          <t>FY2020</t>
        </is>
      </c>
      <c r="AT91" s="40" t="inlineStr">
        <is>
          <t>FY2021</t>
        </is>
      </c>
      <c r="AU91" s="41" t="inlineStr">
        <is>
          <t>FY2022</t>
        </is>
      </c>
    </row>
    <row r="92">
      <c r="B92" s="42">
        <f>MT_RATIO_ANALYSIS!M60</f>
        <v/>
      </c>
      <c r="C92" s="43">
        <f>MT_RATIO_ANALYSIS!N60</f>
        <v/>
      </c>
      <c r="D92" s="43">
        <f>MT_RATIO_ANALYSIS!O60</f>
        <v/>
      </c>
      <c r="E92" s="43">
        <f>MT_RATIO_ANALYSIS!P60</f>
        <v/>
      </c>
      <c r="F92" s="43">
        <f>MT_RATIO_ANALYSIS!Q60</f>
        <v/>
      </c>
      <c r="G92" s="44">
        <f>MT_RATIO_ANALYSIS!R60</f>
        <v/>
      </c>
      <c r="J92" s="42">
        <f>MT_RATIO_ANALYSIS!M66</f>
        <v/>
      </c>
      <c r="K92" s="43">
        <f>MT_RATIO_ANALYSIS!N66</f>
        <v/>
      </c>
      <c r="L92" s="43">
        <f>MT_RATIO_ANALYSIS!O66</f>
        <v/>
      </c>
      <c r="M92" s="43">
        <f>MT_RATIO_ANALYSIS!P66</f>
        <v/>
      </c>
      <c r="N92" s="43">
        <f>MT_RATIO_ANALYSIS!Q66</f>
        <v/>
      </c>
      <c r="O92" s="44">
        <f>MT_RATIO_ANALYSIS!R66</f>
        <v/>
      </c>
      <c r="R92" s="42">
        <f>MT_RATIO_ANALYSIS!M36</f>
        <v/>
      </c>
      <c r="S92" s="43">
        <f>MT_RATIO_ANALYSIS!N36</f>
        <v/>
      </c>
      <c r="T92" s="43">
        <f>MT_RATIO_ANALYSIS!O36</f>
        <v/>
      </c>
      <c r="U92" s="43">
        <f>MT_RATIO_ANALYSIS!P36</f>
        <v/>
      </c>
      <c r="V92" s="43">
        <f>MT_RATIO_ANALYSIS!Q36</f>
        <v/>
      </c>
      <c r="W92" s="44">
        <f>MT_RATIO_ANALYSIS!R36</f>
        <v/>
      </c>
      <c r="Z92" s="42">
        <f>MT_RATIO_ANALYSIS!M33</f>
        <v/>
      </c>
      <c r="AA92" s="43">
        <f>MT_RATIO_ANALYSIS!N33</f>
        <v/>
      </c>
      <c r="AB92" s="43">
        <f>MT_RATIO_ANALYSIS!O33</f>
        <v/>
      </c>
      <c r="AC92" s="43">
        <f>MT_RATIO_ANALYSIS!P33</f>
        <v/>
      </c>
      <c r="AD92" s="43">
        <f>MT_RATIO_ANALYSIS!Q33</f>
        <v/>
      </c>
      <c r="AE92" s="44">
        <f>MT_RATIO_ANALYSIS!R33</f>
        <v/>
      </c>
      <c r="AH92" s="48">
        <f>MT_RATIO_ANALYSIS!M103</f>
        <v/>
      </c>
      <c r="AI92" s="49">
        <f>MT_RATIO_ANALYSIS!N103</f>
        <v/>
      </c>
      <c r="AJ92" s="49">
        <f>MT_RATIO_ANALYSIS!O103</f>
        <v/>
      </c>
      <c r="AK92" s="49">
        <f>MT_RATIO_ANALYSIS!P103</f>
        <v/>
      </c>
      <c r="AL92" s="49">
        <f>MT_RATIO_ANALYSIS!Q103</f>
        <v/>
      </c>
      <c r="AM92" s="50">
        <f>MT_RATIO_ANALYSIS!R103</f>
        <v/>
      </c>
      <c r="AP92" s="48">
        <f>MT_RATIO_ANALYSIS!M70</f>
        <v/>
      </c>
      <c r="AQ92" s="49">
        <f>MT_RATIO_ANALYSIS!N70</f>
        <v/>
      </c>
      <c r="AR92" s="49">
        <f>MT_RATIO_ANALYSIS!O70</f>
        <v/>
      </c>
      <c r="AS92" s="49">
        <f>MT_RATIO_ANALYSIS!P70</f>
        <v/>
      </c>
      <c r="AT92" s="49">
        <f>MT_RATIO_ANALYSIS!Q70</f>
        <v/>
      </c>
      <c r="AU92" s="50">
        <f>MT_RATIO_ANALYSIS!R70</f>
        <v/>
      </c>
    </row>
    <row r="94">
      <c r="R94" s="212" t="inlineStr">
        <is>
          <t>EBITDA Margin</t>
        </is>
      </c>
      <c r="S94" s="213" t="n"/>
      <c r="T94" s="213" t="n"/>
      <c r="U94" s="213" t="n"/>
      <c r="V94" s="213" t="n"/>
      <c r="W94" s="214" t="n"/>
      <c r="Z94" s="212" t="inlineStr">
        <is>
          <t>SG&amp;A % of Revenue</t>
        </is>
      </c>
      <c r="AA94" s="213" t="n"/>
      <c r="AB94" s="213" t="n"/>
      <c r="AC94" s="213" t="n"/>
      <c r="AD94" s="213" t="n"/>
      <c r="AE94" s="214" t="n"/>
      <c r="AP94" s="212" t="inlineStr">
        <is>
          <t>PPE Turnover</t>
        </is>
      </c>
      <c r="AQ94" s="213" t="n"/>
      <c r="AR94" s="213" t="n"/>
      <c r="AS94" s="213" t="n"/>
      <c r="AT94" s="213" t="n"/>
      <c r="AU94" s="214" t="n"/>
    </row>
    <row r="95">
      <c r="R95" s="39" t="inlineStr">
        <is>
          <t>FY2017</t>
        </is>
      </c>
      <c r="S95" s="40" t="inlineStr">
        <is>
          <t>FY2018</t>
        </is>
      </c>
      <c r="T95" s="40" t="inlineStr">
        <is>
          <t>FY2019</t>
        </is>
      </c>
      <c r="U95" s="40" t="inlineStr">
        <is>
          <t>FY2020</t>
        </is>
      </c>
      <c r="V95" s="40" t="inlineStr">
        <is>
          <t>FY2021</t>
        </is>
      </c>
      <c r="W95" s="41" t="inlineStr">
        <is>
          <t>FY2022</t>
        </is>
      </c>
      <c r="Z95" s="39" t="inlineStr">
        <is>
          <t>FY2017</t>
        </is>
      </c>
      <c r="AA95" s="40" t="inlineStr">
        <is>
          <t>FY2018</t>
        </is>
      </c>
      <c r="AB95" s="40" t="inlineStr">
        <is>
          <t>FY2019</t>
        </is>
      </c>
      <c r="AC95" s="40" t="inlineStr">
        <is>
          <t>FY2020</t>
        </is>
      </c>
      <c r="AD95" s="40" t="inlineStr">
        <is>
          <t>FY2021</t>
        </is>
      </c>
      <c r="AE95" s="41" t="inlineStr">
        <is>
          <t>FY2022</t>
        </is>
      </c>
      <c r="AP95" s="39" t="inlineStr">
        <is>
          <t>FY2017</t>
        </is>
      </c>
      <c r="AQ95" s="40" t="inlineStr">
        <is>
          <t>FY2018</t>
        </is>
      </c>
      <c r="AR95" s="40" t="inlineStr">
        <is>
          <t>FY2019</t>
        </is>
      </c>
      <c r="AS95" s="40" t="inlineStr">
        <is>
          <t>FY2020</t>
        </is>
      </c>
      <c r="AT95" s="40" t="inlineStr">
        <is>
          <t>FY2021</t>
        </is>
      </c>
      <c r="AU95" s="41" t="inlineStr">
        <is>
          <t>FY2022</t>
        </is>
      </c>
    </row>
    <row r="96">
      <c r="R96" s="42">
        <f>MT_RATIO_ANALYSIS!M28</f>
        <v/>
      </c>
      <c r="S96" s="43">
        <f>MT_RATIO_ANALYSIS!N28</f>
        <v/>
      </c>
      <c r="T96" s="43">
        <f>MT_RATIO_ANALYSIS!O28</f>
        <v/>
      </c>
      <c r="U96" s="43">
        <f>MT_RATIO_ANALYSIS!P28</f>
        <v/>
      </c>
      <c r="V96" s="43">
        <f>MT_RATIO_ANALYSIS!Q28</f>
        <v/>
      </c>
      <c r="W96" s="44">
        <f>MT_RATIO_ANALYSIS!R28</f>
        <v/>
      </c>
      <c r="Z96" s="42">
        <f>MT_RATIO_ANALYSIS!M22</f>
        <v/>
      </c>
      <c r="AA96" s="43">
        <f>MT_RATIO_ANALYSIS!N22</f>
        <v/>
      </c>
      <c r="AB96" s="43">
        <f>MT_RATIO_ANALYSIS!O22</f>
        <v/>
      </c>
      <c r="AC96" s="43">
        <f>MT_RATIO_ANALYSIS!P22</f>
        <v/>
      </c>
      <c r="AD96" s="43">
        <f>MT_RATIO_ANALYSIS!Q22</f>
        <v/>
      </c>
      <c r="AE96" s="44">
        <f>MT_RATIO_ANALYSIS!R22</f>
        <v/>
      </c>
      <c r="AP96" s="48">
        <f>MT_RATIO_ANALYSIS!M73</f>
        <v/>
      </c>
      <c r="AQ96" s="49">
        <f>MT_RATIO_ANALYSIS!N73</f>
        <v/>
      </c>
      <c r="AR96" s="49">
        <f>MT_RATIO_ANALYSIS!O73</f>
        <v/>
      </c>
      <c r="AS96" s="49">
        <f>MT_RATIO_ANALYSIS!P73</f>
        <v/>
      </c>
      <c r="AT96" s="49">
        <f>MT_RATIO_ANALYSIS!Q73</f>
        <v/>
      </c>
      <c r="AU96" s="50">
        <f>MT_RATIO_ANALYSIS!R73</f>
        <v/>
      </c>
    </row>
    <row r="98">
      <c r="R98" s="212" t="inlineStr">
        <is>
          <t>Gross Margin</t>
        </is>
      </c>
      <c r="S98" s="213" t="n"/>
      <c r="T98" s="213" t="n"/>
      <c r="U98" s="213" t="n"/>
      <c r="V98" s="213" t="n"/>
      <c r="W98" s="214" t="n"/>
      <c r="Z98" s="212" t="inlineStr">
        <is>
          <t>Other Op. Expenses %</t>
        </is>
      </c>
      <c r="AA98" s="213" t="n"/>
      <c r="AB98" s="213" t="n"/>
      <c r="AC98" s="213" t="n"/>
      <c r="AD98" s="213" t="n"/>
      <c r="AE98" s="214" t="n"/>
      <c r="AP98" s="212" t="inlineStr">
        <is>
          <t>Cash Turnover</t>
        </is>
      </c>
      <c r="AQ98" s="213" t="n"/>
      <c r="AR98" s="213" t="n"/>
      <c r="AS98" s="213" t="n"/>
      <c r="AT98" s="213" t="n"/>
      <c r="AU98" s="214" t="n"/>
    </row>
    <row r="99">
      <c r="R99" s="39" t="inlineStr">
        <is>
          <t>FY2017</t>
        </is>
      </c>
      <c r="S99" s="40" t="inlineStr">
        <is>
          <t>FY2018</t>
        </is>
      </c>
      <c r="T99" s="40" t="inlineStr">
        <is>
          <t>FY2019</t>
        </is>
      </c>
      <c r="U99" s="40" t="inlineStr">
        <is>
          <t>FY2020</t>
        </is>
      </c>
      <c r="V99" s="40" t="inlineStr">
        <is>
          <t>FY2021</t>
        </is>
      </c>
      <c r="W99" s="41" t="inlineStr">
        <is>
          <t>FY2022</t>
        </is>
      </c>
      <c r="Z99" s="39" t="inlineStr">
        <is>
          <t>FY2017</t>
        </is>
      </c>
      <c r="AA99" s="40" t="inlineStr">
        <is>
          <t>FY2018</t>
        </is>
      </c>
      <c r="AB99" s="40" t="inlineStr">
        <is>
          <t>FY2019</t>
        </is>
      </c>
      <c r="AC99" s="40" t="inlineStr">
        <is>
          <t>FY2020</t>
        </is>
      </c>
      <c r="AD99" s="40" t="inlineStr">
        <is>
          <t>FY2021</t>
        </is>
      </c>
      <c r="AE99" s="41" t="inlineStr">
        <is>
          <t>FY2022</t>
        </is>
      </c>
      <c r="AP99" s="39" t="inlineStr">
        <is>
          <t>FY2017</t>
        </is>
      </c>
      <c r="AQ99" s="40" t="inlineStr">
        <is>
          <t>FY2018</t>
        </is>
      </c>
      <c r="AR99" s="40" t="inlineStr">
        <is>
          <t>FY2019</t>
        </is>
      </c>
      <c r="AS99" s="40" t="inlineStr">
        <is>
          <t>FY2020</t>
        </is>
      </c>
      <c r="AT99" s="40" t="inlineStr">
        <is>
          <t>FY2021</t>
        </is>
      </c>
      <c r="AU99" s="41" t="inlineStr">
        <is>
          <t>FY2022</t>
        </is>
      </c>
    </row>
    <row r="100">
      <c r="R100" s="42">
        <f>MT_RATIO_ANALYSIS!M19</f>
        <v/>
      </c>
      <c r="S100" s="43">
        <f>MT_RATIO_ANALYSIS!N19</f>
        <v/>
      </c>
      <c r="T100" s="43">
        <f>MT_RATIO_ANALYSIS!O19</f>
        <v/>
      </c>
      <c r="U100" s="43">
        <f>MT_RATIO_ANALYSIS!P19</f>
        <v/>
      </c>
      <c r="V100" s="43">
        <f>MT_RATIO_ANALYSIS!Q19</f>
        <v/>
      </c>
      <c r="W100" s="44">
        <f>MT_RATIO_ANALYSIS!R19</f>
        <v/>
      </c>
      <c r="Z100" s="42">
        <f>MT_RATIO_ANALYSIS!M25</f>
        <v/>
      </c>
      <c r="AA100" s="43">
        <f>MT_RATIO_ANALYSIS!N25</f>
        <v/>
      </c>
      <c r="AB100" s="43">
        <f>MT_RATIO_ANALYSIS!O25</f>
        <v/>
      </c>
      <c r="AC100" s="43">
        <f>MT_RATIO_ANALYSIS!P25</f>
        <v/>
      </c>
      <c r="AD100" s="43">
        <f>MT_RATIO_ANALYSIS!Q25</f>
        <v/>
      </c>
      <c r="AE100" s="44">
        <f>MT_RATIO_ANALYSIS!R25</f>
        <v/>
      </c>
      <c r="AP100" s="48">
        <f>MT_RATIO_ANALYSIS!M76</f>
        <v/>
      </c>
      <c r="AQ100" s="49">
        <f>MT_RATIO_ANALYSIS!N76</f>
        <v/>
      </c>
      <c r="AR100" s="49">
        <f>MT_RATIO_ANALYSIS!O76</f>
        <v/>
      </c>
      <c r="AS100" s="49">
        <f>MT_RATIO_ANALYSIS!P76</f>
        <v/>
      </c>
      <c r="AT100" s="49">
        <f>MT_RATIO_ANALYSIS!Q76</f>
        <v/>
      </c>
      <c r="AU100" s="50">
        <f>MT_RATIO_ANALYSIS!R76</f>
        <v/>
      </c>
    </row>
    <row r="102">
      <c r="AP102" s="212" t="inlineStr">
        <is>
          <t>A/R Turnover</t>
        </is>
      </c>
      <c r="AQ102" s="213" t="n"/>
      <c r="AR102" s="213" t="n"/>
      <c r="AS102" s="213" t="n"/>
      <c r="AT102" s="213" t="n"/>
      <c r="AU102" s="214" t="n"/>
    </row>
    <row r="103">
      <c r="AP103" s="39" t="inlineStr">
        <is>
          <t>FY2017</t>
        </is>
      </c>
      <c r="AQ103" s="40" t="inlineStr">
        <is>
          <t>FY2018</t>
        </is>
      </c>
      <c r="AR103" s="40" t="inlineStr">
        <is>
          <t>FY2019</t>
        </is>
      </c>
      <c r="AS103" s="40" t="inlineStr">
        <is>
          <t>FY2020</t>
        </is>
      </c>
      <c r="AT103" s="40" t="inlineStr">
        <is>
          <t>FY2021</t>
        </is>
      </c>
      <c r="AU103" s="41" t="inlineStr">
        <is>
          <t>FY2022</t>
        </is>
      </c>
    </row>
    <row r="104">
      <c r="AP104" s="48">
        <f>MT_RATIO_ANALYSIS!M82</f>
        <v/>
      </c>
      <c r="AQ104" s="49">
        <f>MT_RATIO_ANALYSIS!N82</f>
        <v/>
      </c>
      <c r="AR104" s="49">
        <f>MT_RATIO_ANALYSIS!O82</f>
        <v/>
      </c>
      <c r="AS104" s="49">
        <f>MT_RATIO_ANALYSIS!P82</f>
        <v/>
      </c>
      <c r="AT104" s="49">
        <f>MT_RATIO_ANALYSIS!Q82</f>
        <v/>
      </c>
      <c r="AU104" s="50">
        <f>MT_RATIO_ANALYSIS!R82</f>
        <v/>
      </c>
    </row>
    <row r="106">
      <c r="AP106" s="212" t="inlineStr">
        <is>
          <t>Inventory Turnover</t>
        </is>
      </c>
      <c r="AQ106" s="213" t="n"/>
      <c r="AR106" s="213" t="n"/>
      <c r="AS106" s="213" t="n"/>
      <c r="AT106" s="213" t="n"/>
      <c r="AU106" s="214" t="n"/>
    </row>
    <row r="107">
      <c r="AP107" s="39" t="inlineStr">
        <is>
          <t>FY2017</t>
        </is>
      </c>
      <c r="AQ107" s="40" t="inlineStr">
        <is>
          <t>FY2018</t>
        </is>
      </c>
      <c r="AR107" s="40" t="inlineStr">
        <is>
          <t>FY2019</t>
        </is>
      </c>
      <c r="AS107" s="40" t="inlineStr">
        <is>
          <t>FY2020</t>
        </is>
      </c>
      <c r="AT107" s="40" t="inlineStr">
        <is>
          <t>FY2021</t>
        </is>
      </c>
      <c r="AU107" s="41" t="inlineStr">
        <is>
          <t>FY2022</t>
        </is>
      </c>
    </row>
    <row r="108">
      <c r="AP108" s="48">
        <f>MT_RATIO_ANALYSIS!M88</f>
        <v/>
      </c>
      <c r="AQ108" s="49">
        <f>MT_RATIO_ANALYSIS!N88</f>
        <v/>
      </c>
      <c r="AR108" s="49">
        <f>MT_RATIO_ANALYSIS!O88</f>
        <v/>
      </c>
      <c r="AS108" s="49">
        <f>MT_RATIO_ANALYSIS!P88</f>
        <v/>
      </c>
      <c r="AT108" s="49">
        <f>MT_RATIO_ANALYSIS!Q88</f>
        <v/>
      </c>
      <c r="AU108" s="50">
        <f>MT_RATIO_ANALYSIS!R88</f>
        <v/>
      </c>
    </row>
  </sheetData>
  <mergeCells count="49">
    <mergeCell ref="AH35:AM35"/>
    <mergeCell ref="R90:W90"/>
    <mergeCell ref="AH43:AM43"/>
    <mergeCell ref="B42:G42"/>
    <mergeCell ref="Z50:AE50"/>
    <mergeCell ref="AP94:AU94"/>
    <mergeCell ref="N33:S33"/>
    <mergeCell ref="J74:O74"/>
    <mergeCell ref="J70:O70"/>
    <mergeCell ref="B78:G78"/>
    <mergeCell ref="AH39:AM39"/>
    <mergeCell ref="B38:G38"/>
    <mergeCell ref="J54:O54"/>
    <mergeCell ref="AP90:AU90"/>
    <mergeCell ref="Z98:AE98"/>
    <mergeCell ref="Z42:AE42"/>
    <mergeCell ref="Z38:AE38"/>
    <mergeCell ref="AH51:AM51"/>
    <mergeCell ref="J66:O66"/>
    <mergeCell ref="Z94:AE94"/>
    <mergeCell ref="A1:AU1"/>
    <mergeCell ref="B74:G74"/>
    <mergeCell ref="J50:O50"/>
    <mergeCell ref="J90:O90"/>
    <mergeCell ref="J46:O46"/>
    <mergeCell ref="Z90:AE90"/>
    <mergeCell ref="J62:O62"/>
    <mergeCell ref="J42:O42"/>
    <mergeCell ref="AH90:AM90"/>
    <mergeCell ref="Z46:AE46"/>
    <mergeCell ref="R98:W98"/>
    <mergeCell ref="B50:G50"/>
    <mergeCell ref="AH47:AM47"/>
    <mergeCell ref="AP102:AU102"/>
    <mergeCell ref="B62:G62"/>
    <mergeCell ref="J38:O38"/>
    <mergeCell ref="B54:G54"/>
    <mergeCell ref="R38:W38"/>
    <mergeCell ref="AP106:AU106"/>
    <mergeCell ref="B90:G90"/>
    <mergeCell ref="V85:AA85"/>
    <mergeCell ref="B46:G46"/>
    <mergeCell ref="B66:G66"/>
    <mergeCell ref="A2:AU2"/>
    <mergeCell ref="Z54:AE54"/>
    <mergeCell ref="R94:W94"/>
    <mergeCell ref="AP98:AU98"/>
    <mergeCell ref="J78:O78"/>
    <mergeCell ref="B70:G70"/>
  </mergeCells>
  <pageMargins left="0.75" right="0.75" top="1" bottom="1" header="0.5" footer="0.5"/>
</worksheet>
</file>

<file path=xl/worksheets/sheet36.xml><?xml version="1.0" encoding="utf-8"?>
<worksheet xmlns="http://schemas.openxmlformats.org/spreadsheetml/2006/main">
  <sheetPr>
    <tabColor rgb="00B45F06"/>
    <outlinePr summaryBelow="1" summaryRight="1"/>
    <pageSetUpPr/>
  </sheetPr>
  <dimension ref="B6:B6"/>
  <sheetViews>
    <sheetView showGridLines="0" workbookViewId="0">
      <selection activeCell="A1" sqref="A1"/>
    </sheetView>
  </sheetViews>
  <sheetFormatPr baseColWidth="8" defaultRowHeight="14.5"/>
  <cols>
    <col width="3" customWidth="1" style="203" min="1" max="1"/>
    <col width="30" customWidth="1" style="203" min="2" max="2"/>
  </cols>
  <sheetData>
    <row r="6" ht="23.5" customHeight="1" s="203">
      <c r="B6" s="51" t="inlineStr">
        <is>
          <t>RAW DATA  →</t>
        </is>
      </c>
    </row>
  </sheetData>
  <pageMargins left="0.75" right="0.75" top="1" bottom="1" header="0.5" footer="0.5"/>
</worksheet>
</file>

<file path=xl/worksheets/sheet37.xml><?xml version="1.0" encoding="utf-8"?>
<worksheet xmlns="http://schemas.openxmlformats.org/spreadsheetml/2006/main">
  <sheetPr>
    <tabColor rgb="00B45F06"/>
    <outlinePr summaryBelow="1" summaryRight="1"/>
    <pageSetUpPr/>
  </sheetPr>
  <dimension ref="A1:I837"/>
  <sheetViews>
    <sheetView workbookViewId="0">
      <selection activeCell="A1" sqref="A1"/>
    </sheetView>
  </sheetViews>
  <sheetFormatPr baseColWidth="8" defaultRowHeight="14.5"/>
  <cols>
    <col width="3" customWidth="1" style="203" min="1" max="1"/>
    <col width="62" customWidth="1" style="203" min="2" max="2"/>
    <col width="42" customWidth="1" style="203" min="3" max="3"/>
    <col width="22" customWidth="1" style="203" min="4" max="9"/>
  </cols>
  <sheetData>
    <row r="1" ht="18.5" customHeight="1" s="203">
      <c r="B1" s="52" t="inlineStr">
        <is>
          <t>Mindtree</t>
        </is>
      </c>
    </row>
    <row r="3">
      <c r="A3" t="inlineStr">
        <is>
          <t>#</t>
        </is>
      </c>
      <c r="B3" s="20" t="inlineStr">
        <is>
          <t>Statement of Profit and Loss</t>
        </is>
      </c>
    </row>
    <row r="4">
      <c r="B4" t="inlineStr">
        <is>
          <t>Raw units, no conversion applied -- source varies by year, see Output/XBRL_Files filenames (_MCA = MCA XBRL, _NSE = NSE Integrated Filing XBRL)</t>
        </is>
      </c>
    </row>
    <row r="6">
      <c r="C6" s="53" t="inlineStr">
        <is>
          <t>Concept Tag</t>
        </is>
      </c>
      <c r="D6" s="20" t="inlineStr">
        <is>
          <t>FY2017</t>
        </is>
      </c>
      <c r="E6" s="20" t="inlineStr">
        <is>
          <t>FY2018</t>
        </is>
      </c>
      <c r="F6" s="20" t="inlineStr">
        <is>
          <t>FY2019</t>
        </is>
      </c>
      <c r="G6" s="20" t="inlineStr">
        <is>
          <t>FY2020</t>
        </is>
      </c>
      <c r="H6" s="20" t="inlineStr">
        <is>
          <t>FY2021</t>
        </is>
      </c>
      <c r="I6" s="20" t="inlineStr">
        <is>
          <t>FY2022</t>
        </is>
      </c>
    </row>
    <row r="7" ht="15.5" customHeight="1" s="203">
      <c r="B7" s="38" t="inlineStr">
        <is>
          <t>Income [Abstract]</t>
        </is>
      </c>
    </row>
    <row r="8">
      <c r="B8" s="54" t="inlineStr">
        <is>
          <t>Total revenue from operations</t>
        </is>
      </c>
      <c r="C8" s="55" t="inlineStr">
        <is>
          <t>RevenueFromOperations</t>
        </is>
      </c>
      <c r="D8" s="56" t="n">
        <v>52364000000</v>
      </c>
      <c r="E8" s="56" t="n">
        <v>54628000000</v>
      </c>
      <c r="F8" s="56" t="n">
        <v>70215000000</v>
      </c>
      <c r="G8" s="56" t="n">
        <v>77643000000</v>
      </c>
      <c r="H8" s="56" t="n">
        <v>79678000000</v>
      </c>
      <c r="I8" s="56" t="n">
        <v>105253000000</v>
      </c>
    </row>
    <row r="9">
      <c r="B9" s="54" t="inlineStr">
        <is>
          <t>Total other income</t>
        </is>
      </c>
      <c r="C9" s="55" t="inlineStr">
        <is>
          <t>OtherIncome</t>
        </is>
      </c>
      <c r="D9" s="56" t="n">
        <v>553000000</v>
      </c>
      <c r="E9" s="56" t="n">
        <v>1902000000</v>
      </c>
      <c r="F9" s="56" t="n">
        <v>893000000</v>
      </c>
      <c r="G9" s="56" t="n">
        <v>756000000</v>
      </c>
      <c r="H9" s="56" t="n">
        <v>1517000000</v>
      </c>
      <c r="I9" s="56" t="n">
        <v>3073000000</v>
      </c>
    </row>
    <row r="10">
      <c r="B10" s="57" t="inlineStr">
        <is>
          <t>Total income</t>
        </is>
      </c>
      <c r="C10" s="55" t="inlineStr">
        <is>
          <t>Income</t>
        </is>
      </c>
      <c r="D10" s="58" t="n">
        <v>52917000000</v>
      </c>
      <c r="E10" s="58" t="n">
        <v>56530000000</v>
      </c>
      <c r="F10" s="58" t="n">
        <v>71108000000</v>
      </c>
      <c r="G10" s="58" t="n">
        <v>78399000000</v>
      </c>
      <c r="H10" s="58" t="n">
        <v>81195000000</v>
      </c>
      <c r="I10" s="58" t="n">
        <v>108326000000</v>
      </c>
    </row>
    <row r="11" ht="15.5" customHeight="1" s="203">
      <c r="B11" s="38" t="inlineStr">
        <is>
          <t>Expenses [Abstract]</t>
        </is>
      </c>
    </row>
    <row r="12">
      <c r="B12" s="54" t="inlineStr">
        <is>
          <t>Total employee benefit expense</t>
        </is>
      </c>
      <c r="C12" s="55" t="inlineStr">
        <is>
          <t>EmployeeBenefitExpense</t>
        </is>
      </c>
      <c r="D12" s="56" t="n">
        <v>34125000000</v>
      </c>
      <c r="E12" s="56" t="n">
        <v>35641000000</v>
      </c>
      <c r="F12" s="56" t="n">
        <v>44212000000</v>
      </c>
      <c r="G12" s="56" t="n">
        <v>50647000000</v>
      </c>
      <c r="H12" s="56" t="n">
        <v>51132000000</v>
      </c>
      <c r="I12" s="56" t="n">
        <v>63278000000</v>
      </c>
    </row>
    <row r="13">
      <c r="B13" s="54" t="inlineStr">
        <is>
          <t>Total finance costs</t>
        </is>
      </c>
      <c r="C13" s="55" t="inlineStr">
        <is>
          <t>FinanceCosts</t>
        </is>
      </c>
      <c r="D13" s="56" t="n">
        <v>191000000</v>
      </c>
      <c r="E13" s="56" t="n">
        <v>169000000</v>
      </c>
      <c r="F13" s="56" t="n">
        <v>29000000</v>
      </c>
      <c r="G13" s="56" t="n">
        <v>529000000</v>
      </c>
      <c r="H13" s="56" t="n">
        <v>504000000</v>
      </c>
      <c r="I13" s="56" t="n">
        <v>502000000</v>
      </c>
    </row>
    <row r="14">
      <c r="B14" s="54" t="inlineStr">
        <is>
          <t>Total depreciation, depletion and amortisation expense</t>
        </is>
      </c>
      <c r="C14" s="55" t="inlineStr">
        <is>
          <t>DepreciationDepletionAndAmortisationExpense</t>
        </is>
      </c>
      <c r="D14" s="56" t="n">
        <v>1858000000</v>
      </c>
      <c r="E14" s="56" t="n">
        <v>1715000000</v>
      </c>
      <c r="F14" s="56" t="n">
        <v>1641000000</v>
      </c>
      <c r="G14" s="56" t="n">
        <v>2754000000</v>
      </c>
      <c r="H14" s="56" t="n">
        <v>2596000000</v>
      </c>
      <c r="I14" s="56" t="n">
        <v>2420000000</v>
      </c>
    </row>
    <row r="15">
      <c r="B15" s="54" t="inlineStr">
        <is>
          <t>Total other expenses</t>
        </is>
      </c>
      <c r="C15" s="55" t="inlineStr">
        <is>
          <t>OtherExpenses</t>
        </is>
      </c>
      <c r="D15" s="56" t="n">
        <v>11194000000</v>
      </c>
      <c r="E15" s="56" t="n">
        <v>11582000000</v>
      </c>
      <c r="F15" s="56" t="n">
        <v>15358000000</v>
      </c>
      <c r="G15" s="56" t="n">
        <v>16181000000</v>
      </c>
      <c r="H15" s="56" t="n">
        <v>11979000000</v>
      </c>
      <c r="I15" s="56" t="n">
        <v>20019000000</v>
      </c>
    </row>
    <row r="16">
      <c r="B16" s="57" t="inlineStr">
        <is>
          <t>Total expenses</t>
        </is>
      </c>
      <c r="C16" s="55" t="inlineStr">
        <is>
          <t>Expenses</t>
        </is>
      </c>
      <c r="D16" s="58" t="n">
        <v>47368000000</v>
      </c>
      <c r="E16" s="58" t="n">
        <v>49107000000</v>
      </c>
      <c r="F16" s="58" t="n">
        <v>61240000000</v>
      </c>
      <c r="G16" s="58" t="n">
        <v>70111000000</v>
      </c>
      <c r="H16" s="58" t="n">
        <v>66211000000</v>
      </c>
      <c r="I16" s="58" t="n">
        <v>86219000000</v>
      </c>
    </row>
    <row r="17">
      <c r="B17" s="8" t="inlineStr">
        <is>
          <t>Profit before exceptional items and tax</t>
        </is>
      </c>
      <c r="C17" s="55" t="inlineStr">
        <is>
          <t>ProfitBeforeExceptionalItemsAndTax</t>
        </is>
      </c>
      <c r="D17" s="58" t="n">
        <v>5549000000</v>
      </c>
      <c r="E17" s="58" t="n">
        <v>7423000000</v>
      </c>
      <c r="F17" s="58" t="n">
        <v>9868000000</v>
      </c>
      <c r="G17" s="58" t="n">
        <v>8288000000</v>
      </c>
      <c r="H17" s="58" t="n">
        <v>14984000000</v>
      </c>
      <c r="I17" s="58" t="n">
        <v>22107000000</v>
      </c>
    </row>
    <row r="18">
      <c r="B18" s="8" t="inlineStr">
        <is>
          <t>Total profit before tax</t>
        </is>
      </c>
      <c r="C18" s="55" t="inlineStr">
        <is>
          <t>ProfitBeforeTax</t>
        </is>
      </c>
      <c r="D18" s="58" t="n">
        <v>5549000000</v>
      </c>
      <c r="E18" s="58" t="n">
        <v>7423000000</v>
      </c>
      <c r="F18" s="58" t="n">
        <v>9868000000</v>
      </c>
      <c r="G18" s="58" t="n">
        <v>8288000000</v>
      </c>
      <c r="H18" s="58" t="n">
        <v>14984000000</v>
      </c>
      <c r="I18" s="58" t="n">
        <v>22107000000</v>
      </c>
    </row>
    <row r="19" ht="15.5" customHeight="1" s="203">
      <c r="B19" s="38" t="inlineStr">
        <is>
          <t>Tax expense [Abstract]</t>
        </is>
      </c>
    </row>
    <row r="20">
      <c r="B20" s="54" t="inlineStr">
        <is>
          <t>Total current tax</t>
        </is>
      </c>
      <c r="C20" s="55" t="inlineStr">
        <is>
          <t>CurrentTax</t>
        </is>
      </c>
      <c r="D20" s="56" t="n">
        <v>1577000000</v>
      </c>
      <c r="E20" s="56" t="n">
        <v>1555000000</v>
      </c>
      <c r="F20" s="56" t="n">
        <v>2456000000</v>
      </c>
      <c r="G20" s="56" t="n">
        <v>2333000000</v>
      </c>
      <c r="H20" s="56" t="n">
        <v>4214000000</v>
      </c>
      <c r="I20" s="56" t="n">
        <v>5546000000</v>
      </c>
    </row>
    <row r="21">
      <c r="B21" s="54" t="inlineStr">
        <is>
          <t>Deferred tax</t>
        </is>
      </c>
      <c r="C21" s="55" t="inlineStr">
        <is>
          <t>DeferredTax</t>
        </is>
      </c>
      <c r="D21" s="56" t="n">
        <v>-214000000</v>
      </c>
      <c r="E21" s="56" t="n">
        <v>167000000</v>
      </c>
      <c r="F21" s="56" t="n">
        <v>-129000000</v>
      </c>
      <c r="G21" s="56" t="n">
        <v>-354000000</v>
      </c>
      <c r="H21" s="56" t="n">
        <v>-335000000</v>
      </c>
      <c r="I21" s="56" t="n">
        <v>32000000</v>
      </c>
    </row>
    <row r="22">
      <c r="B22" s="57" t="inlineStr">
        <is>
          <t>Total tax expense</t>
        </is>
      </c>
      <c r="C22" s="55" t="inlineStr">
        <is>
          <t>TaxExpense</t>
        </is>
      </c>
      <c r="D22" s="58" t="n">
        <v>1363000000</v>
      </c>
      <c r="E22" s="58" t="n">
        <v>1722000000</v>
      </c>
      <c r="F22" s="58" t="n">
        <v>2327000000</v>
      </c>
      <c r="G22" s="58" t="n">
        <v>1979000000</v>
      </c>
      <c r="H22" s="58" t="n">
        <v>3879000000</v>
      </c>
      <c r="I22" s="58" t="n">
        <v>5578000000</v>
      </c>
    </row>
    <row r="23">
      <c r="B23" s="8" t="inlineStr">
        <is>
          <t>Total profit (loss) for period from continuing operations</t>
        </is>
      </c>
      <c r="C23" s="55" t="inlineStr">
        <is>
          <t>ProfitLossForPeriodFromContinuingOperations</t>
        </is>
      </c>
      <c r="D23" s="58" t="n">
        <v>4186000000</v>
      </c>
      <c r="E23" s="58" t="n">
        <v>5701000000</v>
      </c>
      <c r="F23" s="58" t="n">
        <v>7541000000</v>
      </c>
      <c r="G23" s="58" t="n">
        <v>6309000000</v>
      </c>
      <c r="H23" s="58" t="n">
        <v>11105000000</v>
      </c>
      <c r="I23" s="58" t="n">
        <v>16529000000</v>
      </c>
    </row>
    <row r="24">
      <c r="B24" s="8" t="inlineStr">
        <is>
          <t>Total profit (loss) for period</t>
        </is>
      </c>
      <c r="C24" s="55" t="inlineStr">
        <is>
          <t>ProfitLossForPeriod</t>
        </is>
      </c>
      <c r="D24" s="58" t="n">
        <v>4186000000</v>
      </c>
      <c r="E24" s="58" t="n">
        <v>5701000000</v>
      </c>
      <c r="F24" s="58" t="n">
        <v>7541000000</v>
      </c>
      <c r="G24" s="58" t="n">
        <v>6309000000</v>
      </c>
      <c r="H24" s="58" t="n">
        <v>11105000000</v>
      </c>
      <c r="I24" s="58" t="n">
        <v>16529000000</v>
      </c>
    </row>
    <row r="25" ht="15.5" customHeight="1" s="203">
      <c r="B25" s="38" t="inlineStr">
        <is>
          <t>Comprehensive income OCI components presented net of tax [Abstract]</t>
        </is>
      </c>
    </row>
    <row r="26">
      <c r="B26" s="59" t="inlineStr">
        <is>
          <t>Other comprehensive income net of tax [Abstract]</t>
        </is>
      </c>
    </row>
    <row r="27">
      <c r="B27" s="62" t="inlineStr">
        <is>
          <t>Total other comprehensive income</t>
        </is>
      </c>
      <c r="C27" s="55" t="inlineStr">
        <is>
          <t>OtherComprehensiveIncome</t>
        </is>
      </c>
      <c r="D27" s="56" t="n">
        <v>-621000000</v>
      </c>
      <c r="E27" s="56" t="n">
        <v>128000000</v>
      </c>
      <c r="F27" s="56" t="n">
        <v>197000000</v>
      </c>
      <c r="G27" s="56" t="n">
        <v>-2118000000</v>
      </c>
      <c r="H27" s="56" t="n">
        <v>3298000000</v>
      </c>
      <c r="I27" s="56" t="n">
        <v>976000000</v>
      </c>
    </row>
    <row r="28">
      <c r="B28" s="60" t="inlineStr">
        <is>
          <t>Other comprehensive income attributable to net of tax [Abstract]</t>
        </is>
      </c>
    </row>
    <row r="29">
      <c r="B29" s="61" t="inlineStr">
        <is>
          <t>Other Comprehensive income, attributable to owners of parent</t>
        </is>
      </c>
      <c r="C29" s="55" t="inlineStr">
        <is>
          <t>OtherComprehensiveIncomeAttributableToOwnersOfParent</t>
        </is>
      </c>
      <c r="D29" s="56" t="n">
        <v>-621000000</v>
      </c>
      <c r="E29" s="56" t="n">
        <v>0</v>
      </c>
      <c r="F29" s="56" t="n">
        <v>0</v>
      </c>
      <c r="G29" s="56" t="n">
        <v>0</v>
      </c>
      <c r="H29" s="56" t="n">
        <v>0</v>
      </c>
      <c r="I29" s="56" t="n">
        <v>0</v>
      </c>
    </row>
    <row r="30">
      <c r="B30" s="61" t="inlineStr">
        <is>
          <t>Total comprehensive income</t>
        </is>
      </c>
      <c r="C30" s="55" t="inlineStr">
        <is>
          <t>ComprehensiveIncome</t>
        </is>
      </c>
      <c r="D30" s="56" t="n">
        <v>3565000000</v>
      </c>
      <c r="E30" s="56" t="n">
        <v>5829000000</v>
      </c>
      <c r="F30" s="56" t="n">
        <v>7738000000</v>
      </c>
      <c r="G30" s="56" t="n">
        <v>4191000000</v>
      </c>
      <c r="H30" s="56" t="n">
        <v>14403000000</v>
      </c>
      <c r="I30" s="56" t="n">
        <v>17505000000</v>
      </c>
    </row>
    <row r="31">
      <c r="B31" s="54" t="inlineStr">
        <is>
          <t>Total comprehensive income</t>
        </is>
      </c>
      <c r="C31" s="55" t="inlineStr">
        <is>
          <t>ComprehensiveIncome</t>
        </is>
      </c>
      <c r="D31" s="56" t="n">
        <v>3565000000</v>
      </c>
      <c r="E31" s="56" t="n">
        <v>5829000000</v>
      </c>
      <c r="F31" s="56" t="n">
        <v>7738000000</v>
      </c>
      <c r="G31" s="56" t="n">
        <v>4191000000</v>
      </c>
      <c r="H31" s="56" t="n">
        <v>14403000000</v>
      </c>
      <c r="I31" s="56" t="n">
        <v>17505000000</v>
      </c>
    </row>
    <row r="32" ht="15.5" customHeight="1" s="203">
      <c r="B32" s="38" t="inlineStr">
        <is>
          <t>Comprehensive income OCI components presented before tax [Abstract]</t>
        </is>
      </c>
    </row>
    <row r="33">
      <c r="B33" s="59" t="inlineStr">
        <is>
          <t>Other comprehensive income before tax [Abstract]</t>
        </is>
      </c>
    </row>
    <row r="34">
      <c r="B34" s="60" t="inlineStr">
        <is>
          <t>Components of other comprehensive income that will not be reclassified to profit or loss, before tax [Abstract]</t>
        </is>
      </c>
    </row>
    <row r="35">
      <c r="B35" s="61" t="inlineStr">
        <is>
          <t>Other comprehensive income, before tax, gains (losses) on remeasurements of defined benefit plans</t>
        </is>
      </c>
      <c r="C35" s="55" t="inlineStr">
        <is>
          <t>OtherComprehensiveIncomeBeforeTaxGainsLossesOnRemeasurementsOfDefinedBenefitPlans</t>
        </is>
      </c>
      <c r="D35" s="56" t="n">
        <v>0</v>
      </c>
      <c r="E35" s="56" t="n">
        <v>-23000000</v>
      </c>
      <c r="F35" s="56" t="n">
        <v>-86000000</v>
      </c>
      <c r="G35" s="56" t="n">
        <v>-109000000</v>
      </c>
      <c r="H35" s="56" t="n">
        <v>-117000000</v>
      </c>
      <c r="I35" s="56" t="n">
        <v>107000000</v>
      </c>
    </row>
    <row r="36">
      <c r="B36" s="62" t="inlineStr">
        <is>
          <t>Other comprehensive income that will not be reclassified to profit or loss, before tax, others</t>
        </is>
      </c>
      <c r="C36" s="55" t="inlineStr">
        <is>
          <t>OtherComprehensiveIncomeThatWillNotBeReclassifiedToProfitOrLossBeforeTaxOthers</t>
        </is>
      </c>
      <c r="D36" s="56" t="n">
        <v>-14000000</v>
      </c>
      <c r="E36" s="56" t="n">
        <v>0</v>
      </c>
      <c r="F36" s="56" t="n">
        <v>0</v>
      </c>
      <c r="G36" s="56" t="n">
        <v>0</v>
      </c>
      <c r="H36" s="56" t="n">
        <v>0</v>
      </c>
      <c r="I36" s="56" t="n">
        <v>0</v>
      </c>
    </row>
    <row r="37">
      <c r="B37" s="62" t="inlineStr">
        <is>
          <t>Total other comprehensive income that will not be reclassified to profit or loss, before tax</t>
        </is>
      </c>
      <c r="C37" s="55" t="inlineStr">
        <is>
          <t>OtherComprehensiveIncomeThatWillNotBeReclassifiedToProfitOrLossBeforeTax</t>
        </is>
      </c>
      <c r="D37" s="56" t="n">
        <v>-14000000</v>
      </c>
      <c r="E37" s="56" t="n">
        <v>-23000000</v>
      </c>
      <c r="F37" s="56" t="n">
        <v>-86000000</v>
      </c>
      <c r="G37" s="56" t="n">
        <v>-109000000</v>
      </c>
      <c r="H37" s="56" t="n">
        <v>-117000000</v>
      </c>
      <c r="I37" s="56" t="n">
        <v>107000000</v>
      </c>
    </row>
    <row r="38">
      <c r="B38" s="60" t="inlineStr">
        <is>
          <t>Components of other comprehensive income that will be reclassified to profit or loss, before tax [Abstract]</t>
        </is>
      </c>
    </row>
    <row r="39">
      <c r="B39" s="63" t="inlineStr">
        <is>
          <t>Cash flow hedges before tax [Abstract]</t>
        </is>
      </c>
    </row>
    <row r="40">
      <c r="B40" s="64" t="inlineStr">
        <is>
          <t>Gains (losses) on cash flow hedges, before tax</t>
        </is>
      </c>
      <c r="C40" s="55" t="inlineStr">
        <is>
          <t>GainsLossesOnCashFlowHedgesBeforeTax</t>
        </is>
      </c>
      <c r="D40" s="56" t="n">
        <v>0</v>
      </c>
      <c r="E40" s="56" t="n">
        <v>0</v>
      </c>
      <c r="F40" s="56" t="n">
        <v>0</v>
      </c>
      <c r="G40" s="56" t="n">
        <v>0</v>
      </c>
      <c r="H40" s="56" t="n">
        <v>5206000000</v>
      </c>
      <c r="I40" s="56" t="n">
        <v>1373000000</v>
      </c>
    </row>
    <row r="41">
      <c r="B41" s="64" t="inlineStr">
        <is>
          <t>Total other comprehensive income, before tax, cash flow hedges</t>
        </is>
      </c>
      <c r="C41" s="55" t="inlineStr">
        <is>
          <t>OtherComprehensiveIncomeBeforeTaxCashFlowHedges</t>
        </is>
      </c>
      <c r="D41" s="56" t="n">
        <v>0</v>
      </c>
      <c r="E41" s="56" t="n">
        <v>0</v>
      </c>
      <c r="F41" s="56" t="n">
        <v>0</v>
      </c>
      <c r="G41" s="56" t="n">
        <v>0</v>
      </c>
      <c r="H41" s="56" t="n">
        <v>5206000000</v>
      </c>
      <c r="I41" s="56" t="n">
        <v>1373000000</v>
      </c>
    </row>
    <row r="42">
      <c r="B42" s="62" t="inlineStr">
        <is>
          <t>Other comprehensive income that will be reclassified to profit or loss, before tax, others</t>
        </is>
      </c>
      <c r="C42" s="55" t="inlineStr">
        <is>
          <t>OtherComprehensiveIncomeThatWillBeReclassifiedToProfitOrLossBeforeTaxOthers</t>
        </is>
      </c>
      <c r="D42" s="56" t="n">
        <v>-610000000</v>
      </c>
      <c r="E42" s="56" t="n">
        <v>146000000</v>
      </c>
      <c r="F42" s="56" t="n">
        <v>262000000</v>
      </c>
      <c r="G42" s="56" t="n">
        <v>-3128000000</v>
      </c>
      <c r="H42" s="56" t="n">
        <v>0</v>
      </c>
      <c r="I42" s="56" t="n">
        <v>0</v>
      </c>
    </row>
    <row r="43">
      <c r="B43" s="62" t="inlineStr">
        <is>
          <t>Total other comprehensive income that will be reclassified to profit or loss, before tax</t>
        </is>
      </c>
      <c r="C43" s="55" t="inlineStr">
        <is>
          <t>OtherComprehensiveIncomeThatWillBeReclassifiedToProfitOrLossBeforeTax</t>
        </is>
      </c>
      <c r="D43" s="56" t="n">
        <v>-610000000</v>
      </c>
      <c r="E43" s="56" t="n">
        <v>146000000</v>
      </c>
      <c r="F43" s="56" t="n">
        <v>262000000</v>
      </c>
      <c r="G43" s="56" t="n">
        <v>-3128000000</v>
      </c>
      <c r="H43" s="56" t="n">
        <v>5206000000</v>
      </c>
      <c r="I43" s="56" t="n">
        <v>1373000000</v>
      </c>
    </row>
    <row r="44">
      <c r="B44" s="62" t="inlineStr">
        <is>
          <t>Total other comprehensive income, before tax</t>
        </is>
      </c>
      <c r="C44" s="55" t="inlineStr">
        <is>
          <t>OtherComprehensiveIncomeBeforeTax</t>
        </is>
      </c>
      <c r="D44" s="56" t="n">
        <v>-624000000</v>
      </c>
      <c r="E44" s="56" t="n">
        <v>123000000</v>
      </c>
      <c r="F44" s="56" t="n">
        <v>176000000</v>
      </c>
      <c r="G44" s="56" t="n">
        <v>-3237000000</v>
      </c>
      <c r="H44" s="56" t="n">
        <v>5089000000</v>
      </c>
      <c r="I44" s="56" t="n">
        <v>1480000000</v>
      </c>
    </row>
    <row r="45">
      <c r="B45" s="60" t="inlineStr">
        <is>
          <t>Income tax relating to components of other comprehensive income that will not be reclassified to profit or loss [Abstract]</t>
        </is>
      </c>
    </row>
    <row r="46">
      <c r="B46" s="61" t="inlineStr">
        <is>
          <t>Income tax relating to investments in equity instruments of other comprehensive income</t>
        </is>
      </c>
      <c r="C46" s="55" t="inlineStr">
        <is>
          <t>IncomeTaxRelatingToInvestmentsInEquityInstrumentsOfOtherComprehensiveIncome</t>
        </is>
      </c>
      <c r="D46" s="56" t="n">
        <v>-1000000</v>
      </c>
      <c r="E46" s="56" t="n">
        <v>0</v>
      </c>
      <c r="F46" s="56" t="n">
        <v>0</v>
      </c>
      <c r="G46" s="56" t="n">
        <v>0</v>
      </c>
      <c r="H46" s="56" t="n">
        <v>0</v>
      </c>
      <c r="I46" s="56" t="n">
        <v>0</v>
      </c>
    </row>
    <row r="47">
      <c r="B47" s="61" t="inlineStr">
        <is>
          <t>Income tax relating to remeasurements of defined benefit plans of other comprehensive income</t>
        </is>
      </c>
      <c r="C47" s="55" t="inlineStr">
        <is>
          <t>IncomeTaxRelatingToRemeasurementsOfDefinedBenefitPlansOfOtherComprehensiveIncome</t>
        </is>
      </c>
      <c r="D47" s="56" t="n">
        <v>-2000000</v>
      </c>
      <c r="E47" s="56" t="n">
        <v>-5000000</v>
      </c>
      <c r="F47" s="56" t="n">
        <v>-21000000</v>
      </c>
      <c r="G47" s="56" t="n">
        <v>-26000000</v>
      </c>
      <c r="H47" s="56" t="n">
        <v>-28000000</v>
      </c>
      <c r="I47" s="56" t="n">
        <v>24000000</v>
      </c>
    </row>
    <row r="48">
      <c r="B48" s="61" t="inlineStr">
        <is>
          <t>Aggregated income tax relating to components of other comprehensive income that will not be reclassified to profit or loss</t>
        </is>
      </c>
      <c r="C48" s="55" t="inlineStr">
        <is>
          <t>IncomeTaxRelatingToComponentsOfOtherComprehensiveIncomeThatWillNotBeReclassifiedToProfitOrLoss</t>
        </is>
      </c>
      <c r="D48" s="56" t="n">
        <v>-3000000</v>
      </c>
      <c r="E48" s="56" t="n">
        <v>-5000000</v>
      </c>
      <c r="F48" s="56" t="n">
        <v>-21000000</v>
      </c>
      <c r="G48" s="56" t="n">
        <v>-26000000</v>
      </c>
      <c r="H48" s="56" t="n">
        <v>-28000000</v>
      </c>
      <c r="I48" s="56" t="n">
        <v>24000000</v>
      </c>
    </row>
    <row r="49">
      <c r="B49" s="60" t="inlineStr">
        <is>
          <t>Income tax relating to components of other comprehensive income that will be reclassified to profit or loss [Abstract]</t>
        </is>
      </c>
    </row>
    <row r="50">
      <c r="B50" s="61" t="inlineStr">
        <is>
          <t>Income tax relating to cash flow hedges of other comprehensive income</t>
        </is>
      </c>
      <c r="C50" s="55" t="inlineStr">
        <is>
          <t>IncomeTaxRelatingToCashFlowHedgesOfOtherComprehensiveIncome</t>
        </is>
      </c>
      <c r="D50" s="56" t="n">
        <v>0</v>
      </c>
      <c r="E50" s="56" t="n">
        <v>0</v>
      </c>
      <c r="F50" s="56" t="n">
        <v>0</v>
      </c>
      <c r="G50" s="56" t="n">
        <v>-1093000000</v>
      </c>
      <c r="H50" s="56" t="n">
        <v>0</v>
      </c>
      <c r="I50" s="56" t="n">
        <v>0</v>
      </c>
    </row>
    <row r="51">
      <c r="B51" s="61" t="inlineStr">
        <is>
          <t>Others income tax relating to components of other comprehensive income that will be reclassified to profit or loss</t>
        </is>
      </c>
      <c r="C51" s="55" t="inlineStr">
        <is>
          <t>OthersIncomeTaxRelatingToComponentsOfOtherComprehensiveIncomeThatWillBeReclassifiedToProfitOrLoss</t>
        </is>
      </c>
      <c r="D51" s="56" t="n">
        <v>0</v>
      </c>
      <c r="E51" s="56" t="n">
        <v>0</v>
      </c>
      <c r="F51" s="56" t="n">
        <v>0</v>
      </c>
      <c r="G51" s="56" t="n">
        <v>0</v>
      </c>
      <c r="H51" s="56" t="n">
        <v>1819000000</v>
      </c>
      <c r="I51" s="56" t="n">
        <v>480000000</v>
      </c>
    </row>
    <row r="52">
      <c r="B52" s="61" t="inlineStr">
        <is>
          <t>Aggregated income tax relating to components of other comprehensive income that will be reclassified to profit or loss</t>
        </is>
      </c>
      <c r="C52" s="55" t="inlineStr">
        <is>
          <t>IncomeTaxRelatingToComponentsOfOtherComprehensiveIncomeThatWillBeReclassifiedToProfitOrLoss</t>
        </is>
      </c>
      <c r="D52" s="56" t="n">
        <v>0</v>
      </c>
      <c r="E52" s="56" t="n">
        <v>0</v>
      </c>
      <c r="F52" s="56" t="n">
        <v>0</v>
      </c>
      <c r="G52" s="56" t="n">
        <v>-1093000000</v>
      </c>
      <c r="H52" s="56" t="n">
        <v>1819000000</v>
      </c>
      <c r="I52" s="56" t="n">
        <v>480000000</v>
      </c>
    </row>
    <row r="53">
      <c r="B53" s="62" t="inlineStr">
        <is>
          <t>Total other comprehensive income</t>
        </is>
      </c>
      <c r="C53" s="55" t="inlineStr">
        <is>
          <t>OtherComprehensiveIncome</t>
        </is>
      </c>
      <c r="D53" s="56" t="n">
        <v>-621000000</v>
      </c>
      <c r="E53" s="56" t="n">
        <v>128000000</v>
      </c>
      <c r="F53" s="56" t="n">
        <v>197000000</v>
      </c>
      <c r="G53" s="56" t="n">
        <v>-2118000000</v>
      </c>
      <c r="H53" s="56" t="n">
        <v>3298000000</v>
      </c>
      <c r="I53" s="56" t="n">
        <v>976000000</v>
      </c>
    </row>
    <row r="54">
      <c r="B54" s="60" t="inlineStr">
        <is>
          <t>Other comprehensive income attributable to [Abstract]</t>
        </is>
      </c>
    </row>
    <row r="55">
      <c r="B55" s="61" t="inlineStr">
        <is>
          <t>Other Comprehensive income, attributable to owners of parent</t>
        </is>
      </c>
      <c r="C55" s="55" t="inlineStr">
        <is>
          <t>OtherComprehensiveIncomeAttributableToOwnersOfParent</t>
        </is>
      </c>
      <c r="D55" s="56" t="n">
        <v>-621000000</v>
      </c>
      <c r="E55" s="56" t="n">
        <v>0</v>
      </c>
      <c r="F55" s="56" t="n">
        <v>0</v>
      </c>
      <c r="G55" s="56" t="n">
        <v>0</v>
      </c>
      <c r="H55" s="56" t="n">
        <v>0</v>
      </c>
      <c r="I55" s="56" t="n">
        <v>0</v>
      </c>
    </row>
    <row r="56">
      <c r="B56" s="61" t="inlineStr">
        <is>
          <t>Total comprehensive income</t>
        </is>
      </c>
      <c r="C56" s="55" t="inlineStr">
        <is>
          <t>ComprehensiveIncome</t>
        </is>
      </c>
      <c r="D56" s="56" t="n">
        <v>3565000000</v>
      </c>
      <c r="E56" s="56" t="n">
        <v>5829000000</v>
      </c>
      <c r="F56" s="56" t="n">
        <v>7738000000</v>
      </c>
      <c r="G56" s="56" t="n">
        <v>4191000000</v>
      </c>
      <c r="H56" s="56" t="n">
        <v>14403000000</v>
      </c>
      <c r="I56" s="56" t="n">
        <v>17505000000</v>
      </c>
    </row>
    <row r="57">
      <c r="B57" s="60" t="inlineStr">
        <is>
          <t>Basic earnings per share [Abstract]</t>
        </is>
      </c>
    </row>
    <row r="58">
      <c r="B58" s="61" t="inlineStr">
        <is>
          <t>Basic earnings (loss) per share from continuing operations</t>
        </is>
      </c>
      <c r="C58" s="55" t="inlineStr">
        <is>
          <t>BasicEarningsLossPerShareFromContinuingOperations</t>
        </is>
      </c>
      <c r="D58" s="56" t="n">
        <v>24.93</v>
      </c>
      <c r="E58" s="56" t="n">
        <v>34.39</v>
      </c>
      <c r="F58" s="56" t="n">
        <v>45.94</v>
      </c>
      <c r="G58" s="56" t="n">
        <v>38.35</v>
      </c>
      <c r="H58" s="56" t="n">
        <v>67.44</v>
      </c>
      <c r="I58" s="56" t="n">
        <v>100.31</v>
      </c>
    </row>
    <row r="59">
      <c r="B59" s="65" t="inlineStr">
        <is>
          <t>Total basic earnings (loss) per share</t>
        </is>
      </c>
      <c r="C59" s="55" t="inlineStr">
        <is>
          <t>BasicEarningsLossPerShare</t>
        </is>
      </c>
      <c r="D59" s="58" t="n">
        <v>24.93</v>
      </c>
      <c r="E59" s="58" t="n">
        <v>34.39</v>
      </c>
      <c r="F59" s="58" t="n">
        <v>45.94</v>
      </c>
      <c r="G59" s="58" t="n">
        <v>0</v>
      </c>
      <c r="H59" s="58" t="n">
        <v>67.44</v>
      </c>
      <c r="I59" s="58" t="n">
        <v>100.31</v>
      </c>
    </row>
    <row r="60">
      <c r="B60" s="60" t="inlineStr">
        <is>
          <t>Diluted earnings per share [Abstract]</t>
        </is>
      </c>
    </row>
    <row r="61">
      <c r="B61" s="61" t="inlineStr">
        <is>
          <t>Diluted earnings (loss) per share from continuing operations</t>
        </is>
      </c>
      <c r="C61" s="55" t="inlineStr">
        <is>
          <t>DilutedEarningsLossPerShareFromContinuingOperations</t>
        </is>
      </c>
      <c r="D61" s="56" t="n">
        <v>24.89</v>
      </c>
      <c r="E61" s="56" t="n">
        <v>34.28</v>
      </c>
      <c r="F61" s="56" t="n">
        <v>45.85</v>
      </c>
      <c r="G61" s="56" t="n">
        <v>38.33</v>
      </c>
      <c r="H61" s="56" t="n">
        <v>67.41</v>
      </c>
      <c r="I61" s="56" t="n">
        <v>100.25</v>
      </c>
    </row>
    <row r="62">
      <c r="B62" s="65" t="inlineStr">
        <is>
          <t>Total diluted earnings (loss) per share</t>
        </is>
      </c>
      <c r="C62" s="55" t="inlineStr">
        <is>
          <t>DilutedEarningsLossPerShare</t>
        </is>
      </c>
      <c r="D62" s="58" t="n">
        <v>24.89</v>
      </c>
      <c r="E62" s="58" t="n">
        <v>34.28</v>
      </c>
      <c r="F62" s="58" t="n">
        <v>45.85</v>
      </c>
      <c r="G62" s="58" t="n">
        <v>38.33</v>
      </c>
      <c r="H62" s="58" t="n">
        <v>67.41</v>
      </c>
      <c r="I62" s="58" t="n">
        <v>100.25</v>
      </c>
    </row>
    <row r="63">
      <c r="B63" s="54" t="inlineStr">
        <is>
          <t>Total comprehensive income</t>
        </is>
      </c>
      <c r="C63" s="55" t="inlineStr">
        <is>
          <t>ComprehensiveIncome</t>
        </is>
      </c>
      <c r="D63" s="56" t="n">
        <v>3565000000</v>
      </c>
      <c r="E63" s="56" t="n">
        <v>5829000000</v>
      </c>
      <c r="F63" s="56" t="n">
        <v>7738000000</v>
      </c>
      <c r="G63" s="56" t="n">
        <v>4191000000</v>
      </c>
      <c r="H63" s="56" t="n">
        <v>14403000000</v>
      </c>
      <c r="I63" s="56" t="n">
        <v>17505000000</v>
      </c>
    </row>
    <row r="64" ht="15.5" customHeight="1" s="203">
      <c r="B64" s="38" t="inlineStr">
        <is>
          <t>Additional disclosure on discontinued operations [Abstract]</t>
        </is>
      </c>
    </row>
    <row r="65">
      <c r="B65" s="59" t="inlineStr">
        <is>
          <t>Earnings per share [Abstract]</t>
        </is>
      </c>
    </row>
    <row r="66">
      <c r="B66" s="60" t="inlineStr">
        <is>
          <t>Earnings per share [Line items]</t>
        </is>
      </c>
    </row>
    <row r="67">
      <c r="B67" s="63" t="inlineStr">
        <is>
          <t>Basic earnings per share [Abstract]</t>
        </is>
      </c>
    </row>
    <row r="68">
      <c r="B68" s="64" t="inlineStr">
        <is>
          <t>Basic earnings (loss) per share from continuing operations</t>
        </is>
      </c>
      <c r="C68" s="55" t="inlineStr">
        <is>
          <t>BasicEarningsLossPerShareFromContinuingOperations</t>
        </is>
      </c>
      <c r="D68" s="56" t="n">
        <v>24.93</v>
      </c>
      <c r="E68" s="56" t="n">
        <v>34.39</v>
      </c>
      <c r="F68" s="56" t="n">
        <v>45.94</v>
      </c>
      <c r="G68" s="56" t="n">
        <v>38.35</v>
      </c>
      <c r="H68" s="56" t="n">
        <v>67.44</v>
      </c>
      <c r="I68" s="56" t="n">
        <v>100.31</v>
      </c>
    </row>
    <row r="69">
      <c r="B69" s="66" t="inlineStr">
        <is>
          <t>Total basic earnings (loss) per share</t>
        </is>
      </c>
      <c r="C69" s="55" t="inlineStr">
        <is>
          <t>BasicEarningsLossPerShare</t>
        </is>
      </c>
      <c r="D69" s="58" t="n">
        <v>24.93</v>
      </c>
      <c r="E69" s="58" t="n">
        <v>34.39</v>
      </c>
      <c r="F69" s="58" t="n">
        <v>45.94</v>
      </c>
      <c r="G69" s="58" t="n">
        <v>0</v>
      </c>
      <c r="H69" s="58" t="n">
        <v>67.44</v>
      </c>
      <c r="I69" s="58" t="n">
        <v>100.31</v>
      </c>
    </row>
    <row r="70">
      <c r="B70" s="63" t="inlineStr">
        <is>
          <t>Diluted earnings per share [Abstract]</t>
        </is>
      </c>
    </row>
    <row r="71">
      <c r="B71" s="64" t="inlineStr">
        <is>
          <t>Diluted earnings (loss) per share from continuing operations</t>
        </is>
      </c>
      <c r="C71" s="55" t="inlineStr">
        <is>
          <t>DilutedEarningsLossPerShareFromContinuingOperations</t>
        </is>
      </c>
      <c r="D71" s="56" t="n">
        <v>24.89</v>
      </c>
      <c r="E71" s="56" t="n">
        <v>34.28</v>
      </c>
      <c r="F71" s="56" t="n">
        <v>45.85</v>
      </c>
      <c r="G71" s="56" t="n">
        <v>38.33</v>
      </c>
      <c r="H71" s="56" t="n">
        <v>67.41</v>
      </c>
      <c r="I71" s="56" t="n">
        <v>100.25</v>
      </c>
    </row>
    <row r="72">
      <c r="B72" s="66" t="inlineStr">
        <is>
          <t>Total diluted earnings (loss) per share</t>
        </is>
      </c>
      <c r="C72" s="55" t="inlineStr">
        <is>
          <t>DilutedEarningsLossPerShare</t>
        </is>
      </c>
      <c r="D72" s="58" t="n">
        <v>24.89</v>
      </c>
      <c r="E72" s="58" t="n">
        <v>34.28</v>
      </c>
      <c r="F72" s="58" t="n">
        <v>45.85</v>
      </c>
      <c r="G72" s="58" t="n">
        <v>38.33</v>
      </c>
      <c r="H72" s="58" t="n">
        <v>67.41</v>
      </c>
      <c r="I72" s="58" t="n">
        <v>100.25</v>
      </c>
    </row>
    <row r="75">
      <c r="A75" t="inlineStr">
        <is>
          <t>#</t>
        </is>
      </c>
      <c r="B75" s="20" t="inlineStr">
        <is>
          <t>Balance Sheet</t>
        </is>
      </c>
    </row>
    <row r="76">
      <c r="B76" t="inlineStr">
        <is>
          <t>Raw units, no conversion applied -- source varies by year, see Output/XBRL_Files filenames (_MCA = MCA XBRL, _NSE = NSE Integrated Filing XBRL)</t>
        </is>
      </c>
    </row>
    <row r="78">
      <c r="C78" s="53" t="inlineStr">
        <is>
          <t>Concept Tag</t>
        </is>
      </c>
      <c r="D78" s="20" t="inlineStr">
        <is>
          <t>FY2017</t>
        </is>
      </c>
      <c r="E78" s="20" t="inlineStr">
        <is>
          <t>FY2018</t>
        </is>
      </c>
      <c r="F78" s="20" t="inlineStr">
        <is>
          <t>FY2019</t>
        </is>
      </c>
      <c r="G78" s="20" t="inlineStr">
        <is>
          <t>FY2020</t>
        </is>
      </c>
      <c r="H78" s="20" t="inlineStr">
        <is>
          <t>FY2021</t>
        </is>
      </c>
      <c r="I78" s="20" t="inlineStr">
        <is>
          <t>FY2022</t>
        </is>
      </c>
    </row>
    <row r="79" ht="15.5" customHeight="1" s="203">
      <c r="B79" s="38" t="inlineStr">
        <is>
          <t>Assets [Abstract]</t>
        </is>
      </c>
    </row>
    <row r="80">
      <c r="B80" s="59" t="inlineStr">
        <is>
          <t>Non-current assets [Abstract]</t>
        </is>
      </c>
    </row>
    <row r="81">
      <c r="B81" s="62" t="inlineStr">
        <is>
          <t>Property, plant and equipment at end of period</t>
        </is>
      </c>
      <c r="C81" s="55" t="inlineStr">
        <is>
          <t>PropertyPlantAndEquipment</t>
        </is>
      </c>
      <c r="D81" s="56" t="n">
        <v>3809000000</v>
      </c>
      <c r="E81" s="56" t="n">
        <v>3509000000</v>
      </c>
      <c r="F81" s="56" t="n">
        <v>3757000000</v>
      </c>
      <c r="G81" s="56" t="n">
        <v>8601000000</v>
      </c>
      <c r="H81" s="56" t="n">
        <v>7812000000</v>
      </c>
      <c r="I81" s="56" t="n">
        <v>8947000000</v>
      </c>
    </row>
    <row r="82">
      <c r="B82" s="62" t="inlineStr">
        <is>
          <t>Capital work-in-progress</t>
        </is>
      </c>
      <c r="C82" s="55" t="inlineStr">
        <is>
          <t>CapitalWorkInProgress</t>
        </is>
      </c>
      <c r="D82" s="56" t="n">
        <v>192000000</v>
      </c>
      <c r="E82" s="56" t="n">
        <v>92000000</v>
      </c>
      <c r="F82" s="56" t="n">
        <v>297000000</v>
      </c>
      <c r="G82" s="56" t="n">
        <v>136000000</v>
      </c>
      <c r="H82" s="56" t="n">
        <v>224000000</v>
      </c>
      <c r="I82" s="56" t="n">
        <v>215000000</v>
      </c>
    </row>
    <row r="83">
      <c r="B83" s="62" t="inlineStr">
        <is>
          <t>Goodwill at end of period</t>
        </is>
      </c>
      <c r="C83" s="55" t="inlineStr">
        <is>
          <t>Goodwill</t>
        </is>
      </c>
      <c r="D83" s="56" t="n">
        <v>4470000000</v>
      </c>
      <c r="E83" s="56" t="n">
        <v>4539000000</v>
      </c>
      <c r="F83" s="56" t="n">
        <v>4732000000</v>
      </c>
      <c r="G83" s="56" t="n">
        <v>4732000000</v>
      </c>
      <c r="H83" s="56" t="n">
        <v>4732000000</v>
      </c>
      <c r="I83" s="56" t="n">
        <v>4732000000</v>
      </c>
    </row>
    <row r="84">
      <c r="B84" s="62" t="inlineStr">
        <is>
          <t>Other intangible assets at end of period</t>
        </is>
      </c>
      <c r="C84" s="55" t="inlineStr">
        <is>
          <t>OtherIntangibleAssets</t>
        </is>
      </c>
      <c r="D84" s="56" t="n">
        <v>1941000000</v>
      </c>
      <c r="E84" s="56" t="n">
        <v>1520000000</v>
      </c>
      <c r="F84" s="56" t="n">
        <v>1180000000</v>
      </c>
      <c r="G84" s="56" t="n">
        <v>759000000</v>
      </c>
      <c r="H84" s="56" t="n">
        <v>214000000</v>
      </c>
      <c r="I84" s="56" t="n">
        <v>73000000</v>
      </c>
    </row>
    <row r="85">
      <c r="B85" s="60" t="inlineStr">
        <is>
          <t>Non-current financial assets [Abstract]</t>
        </is>
      </c>
    </row>
    <row r="86">
      <c r="B86" s="61" t="inlineStr">
        <is>
          <t>Non-current investments</t>
        </is>
      </c>
      <c r="C86" s="55" t="inlineStr">
        <is>
          <t>NoncurrentInvestments</t>
        </is>
      </c>
      <c r="D86" s="56" t="n">
        <v>58000000</v>
      </c>
      <c r="E86" s="56" t="n">
        <v>58000000</v>
      </c>
      <c r="F86" s="56" t="n">
        <v>1200000000</v>
      </c>
      <c r="G86" s="56" t="n">
        <v>804000000</v>
      </c>
      <c r="H86" s="56" t="n">
        <v>1161000000</v>
      </c>
      <c r="I86" s="56" t="n">
        <v>3116000000</v>
      </c>
    </row>
    <row r="87">
      <c r="B87" s="61" t="inlineStr">
        <is>
          <t>Loans, non-current</t>
        </is>
      </c>
      <c r="C87" s="55" t="inlineStr">
        <is>
          <t>LoansNoncurrent</t>
        </is>
      </c>
      <c r="D87" s="56" t="n">
        <v>667000000</v>
      </c>
      <c r="E87" s="56" t="n">
        <v>751000000</v>
      </c>
      <c r="F87" s="56" t="n">
        <v>675000000</v>
      </c>
      <c r="G87" s="56" t="n">
        <v>457000000</v>
      </c>
      <c r="H87" s="56" t="n">
        <v>476000000</v>
      </c>
      <c r="I87" s="56" t="n">
        <v>0</v>
      </c>
    </row>
    <row r="88">
      <c r="B88" s="61" t="inlineStr">
        <is>
          <t>Total other non-current financial assets</t>
        </is>
      </c>
      <c r="C88" s="55" t="inlineStr">
        <is>
          <t>OtherNoncurrentFinancialAssets</t>
        </is>
      </c>
      <c r="D88" s="56" t="n">
        <v>209000000</v>
      </c>
      <c r="E88" s="56" t="n">
        <v>0</v>
      </c>
      <c r="F88" s="56" t="n">
        <v>0</v>
      </c>
      <c r="G88" s="56" t="n">
        <v>0</v>
      </c>
      <c r="H88" s="56" t="n">
        <v>1225000000</v>
      </c>
      <c r="I88" s="56" t="n">
        <v>2464000000</v>
      </c>
    </row>
    <row r="89">
      <c r="B89" s="65" t="inlineStr">
        <is>
          <t>Total non-current financial assets</t>
        </is>
      </c>
      <c r="C89" s="55" t="inlineStr">
        <is>
          <t>NoncurrentFinancialAssets</t>
        </is>
      </c>
      <c r="D89" s="58" t="n">
        <v>934000000</v>
      </c>
      <c r="E89" s="58" t="n">
        <v>809000000</v>
      </c>
      <c r="F89" s="58" t="n">
        <v>1875000000</v>
      </c>
      <c r="G89" s="58" t="n">
        <v>1261000000</v>
      </c>
      <c r="H89" s="58" t="n">
        <v>2862000000</v>
      </c>
      <c r="I89" s="58" t="n">
        <v>5580000000</v>
      </c>
    </row>
    <row r="90">
      <c r="B90" s="62" t="inlineStr">
        <is>
          <t>Deferred tax assets (net)</t>
        </is>
      </c>
      <c r="C90" s="55" t="inlineStr">
        <is>
          <t>DeferredTaxAssetsNet</t>
        </is>
      </c>
      <c r="D90" s="56" t="n">
        <v>624000000</v>
      </c>
      <c r="E90" s="56" t="n">
        <v>318000000</v>
      </c>
      <c r="F90" s="56" t="n">
        <v>388000000</v>
      </c>
      <c r="G90" s="56" t="n">
        <v>1835000000</v>
      </c>
      <c r="H90" s="56" t="n">
        <v>351000000</v>
      </c>
      <c r="I90" s="56" t="n">
        <v>0</v>
      </c>
    </row>
    <row r="91">
      <c r="B91" s="62" t="inlineStr">
        <is>
          <t>Total other non-current assets</t>
        </is>
      </c>
      <c r="C91" s="55" t="inlineStr">
        <is>
          <t>OtherNoncurrentAssets</t>
        </is>
      </c>
      <c r="D91" s="56" t="n">
        <v>1326000000</v>
      </c>
      <c r="E91" s="56" t="n">
        <v>1547000000</v>
      </c>
      <c r="F91" s="56" t="n">
        <v>1889000000</v>
      </c>
      <c r="G91" s="56" t="n">
        <v>1693000000</v>
      </c>
      <c r="H91" s="56" t="n">
        <v>1665000000</v>
      </c>
      <c r="I91" s="56" t="n">
        <v>1286000000</v>
      </c>
    </row>
    <row r="92">
      <c r="B92" s="67" t="inlineStr">
        <is>
          <t>Total non-current assets</t>
        </is>
      </c>
      <c r="C92" s="55" t="inlineStr">
        <is>
          <t>NoncurrentAssets</t>
        </is>
      </c>
      <c r="D92" s="58" t="n">
        <v>13296000000</v>
      </c>
      <c r="E92" s="58" t="n">
        <v>12334000000</v>
      </c>
      <c r="F92" s="58" t="n">
        <v>14118000000</v>
      </c>
      <c r="G92" s="58" t="n">
        <v>19017000000</v>
      </c>
      <c r="H92" s="58" t="n">
        <v>17860000000</v>
      </c>
      <c r="I92" s="58" t="n">
        <v>20833000000</v>
      </c>
    </row>
    <row r="93">
      <c r="B93" s="59" t="inlineStr">
        <is>
          <t>Current assets [Abstract]</t>
        </is>
      </c>
    </row>
    <row r="94">
      <c r="B94" s="62" t="inlineStr">
        <is>
          <t>Inventories</t>
        </is>
      </c>
      <c r="C94" s="55" t="inlineStr">
        <is>
          <t>Inventories</t>
        </is>
      </c>
      <c r="D94" s="56" t="n">
        <v>0</v>
      </c>
      <c r="E94" s="56" t="n">
        <v>0</v>
      </c>
      <c r="F94" s="56" t="n">
        <v>0</v>
      </c>
      <c r="G94" s="56" t="n">
        <v>0</v>
      </c>
      <c r="H94" s="56" t="n">
        <v>0</v>
      </c>
      <c r="I94" s="56" t="n">
        <v>41000000</v>
      </c>
    </row>
    <row r="95">
      <c r="B95" s="60" t="inlineStr">
        <is>
          <t>Current financial assets [Abstract]</t>
        </is>
      </c>
    </row>
    <row r="96">
      <c r="B96" s="61" t="inlineStr">
        <is>
          <t>Current investments</t>
        </is>
      </c>
      <c r="C96" s="55" t="inlineStr">
        <is>
          <t>CurrentInvestments</t>
        </is>
      </c>
      <c r="D96" s="56" t="n">
        <v>5869000000</v>
      </c>
      <c r="E96" s="56" t="n">
        <v>7206000000</v>
      </c>
      <c r="F96" s="56" t="n">
        <v>6836000000</v>
      </c>
      <c r="G96" s="56" t="n">
        <v>6944000000</v>
      </c>
      <c r="H96" s="56" t="n">
        <v>19307000000</v>
      </c>
      <c r="I96" s="56" t="n">
        <v>22391000000</v>
      </c>
    </row>
    <row r="97">
      <c r="B97" s="61" t="inlineStr">
        <is>
          <t>Trade receivables, current</t>
        </is>
      </c>
      <c r="C97" s="55" t="inlineStr">
        <is>
          <t>TradeReceivablesCurrent</t>
        </is>
      </c>
      <c r="D97" s="56" t="n">
        <v>8962000000</v>
      </c>
      <c r="E97" s="56" t="n">
        <v>10155000000</v>
      </c>
      <c r="F97" s="56" t="n">
        <v>13356000000</v>
      </c>
      <c r="G97" s="56" t="n">
        <v>14389000000</v>
      </c>
      <c r="H97" s="56" t="n">
        <v>12742000000</v>
      </c>
      <c r="I97" s="56" t="n">
        <v>17313000000</v>
      </c>
    </row>
    <row r="98">
      <c r="B98" s="61" t="inlineStr">
        <is>
          <t>Cash and cash equivalents at end of period</t>
        </is>
      </c>
      <c r="C98" s="55" t="inlineStr">
        <is>
          <t>CashAndCashEquivalents</t>
        </is>
      </c>
      <c r="D98" s="56" t="n">
        <v>2508000000</v>
      </c>
      <c r="E98" s="56" t="n">
        <v>3289000000</v>
      </c>
      <c r="F98" s="56" t="n">
        <v>2562000000</v>
      </c>
      <c r="G98" s="56" t="n">
        <v>3909000000</v>
      </c>
      <c r="H98" s="56" t="n">
        <v>7597000000</v>
      </c>
      <c r="I98" s="56" t="n">
        <v>10513000000</v>
      </c>
    </row>
    <row r="99">
      <c r="B99" s="61" t="inlineStr">
        <is>
          <t>Bank balance other than cash and cash equivalents</t>
        </is>
      </c>
      <c r="C99" s="55" t="inlineStr">
        <is>
          <t>BankBalanceOtherThanCashAndCashEquivalents</t>
        </is>
      </c>
      <c r="D99" s="56" t="n">
        <v>0</v>
      </c>
      <c r="E99" s="56" t="n">
        <v>0</v>
      </c>
      <c r="F99" s="56" t="n">
        <v>0</v>
      </c>
      <c r="G99" s="56" t="n">
        <v>1961000000</v>
      </c>
      <c r="H99" s="56" t="n">
        <v>0</v>
      </c>
      <c r="I99" s="56" t="n">
        <v>0</v>
      </c>
    </row>
    <row r="100">
      <c r="B100" s="61" t="inlineStr">
        <is>
          <t>Loans, current</t>
        </is>
      </c>
      <c r="C100" s="55" t="inlineStr">
        <is>
          <t>LoansCurrent</t>
        </is>
      </c>
      <c r="D100" s="56" t="n">
        <v>12000000</v>
      </c>
      <c r="E100" s="56" t="n">
        <v>17000000</v>
      </c>
      <c r="F100" s="56" t="n">
        <v>123000000</v>
      </c>
      <c r="G100" s="56" t="n">
        <v>99000000</v>
      </c>
      <c r="H100" s="56" t="n">
        <v>41000000</v>
      </c>
      <c r="I100" s="56" t="n">
        <v>0</v>
      </c>
    </row>
    <row r="101">
      <c r="B101" s="61" t="inlineStr">
        <is>
          <t>Total other current financial assets</t>
        </is>
      </c>
      <c r="C101" s="55" t="inlineStr">
        <is>
          <t>OtherCurrentFinancialAssets</t>
        </is>
      </c>
      <c r="D101" s="56" t="n">
        <v>2225000000</v>
      </c>
      <c r="E101" s="56" t="n">
        <v>3081000000</v>
      </c>
      <c r="F101" s="56" t="n">
        <v>2528000000</v>
      </c>
      <c r="G101" s="56" t="n">
        <v>2805000000</v>
      </c>
      <c r="H101" s="56" t="n">
        <v>2923000000</v>
      </c>
      <c r="I101" s="56" t="n">
        <v>5827000000</v>
      </c>
    </row>
    <row r="102">
      <c r="B102" s="65" t="inlineStr">
        <is>
          <t>Total current financial assets</t>
        </is>
      </c>
      <c r="C102" s="55" t="inlineStr">
        <is>
          <t>CurrentFinancialAssets</t>
        </is>
      </c>
      <c r="D102" s="58" t="n">
        <v>19576000000</v>
      </c>
      <c r="E102" s="58" t="n">
        <v>23748000000</v>
      </c>
      <c r="F102" s="58" t="n">
        <v>25405000000</v>
      </c>
      <c r="G102" s="58" t="n">
        <v>30107000000</v>
      </c>
      <c r="H102" s="58" t="n">
        <v>42610000000</v>
      </c>
      <c r="I102" s="58" t="n">
        <v>56044000000</v>
      </c>
    </row>
    <row r="103">
      <c r="B103" s="62" t="inlineStr">
        <is>
          <t>Total other current assets</t>
        </is>
      </c>
      <c r="C103" s="55" t="inlineStr">
        <is>
          <t>OtherCurrentAssets</t>
        </is>
      </c>
      <c r="D103" s="56" t="n">
        <v>1034000000</v>
      </c>
      <c r="E103" s="56" t="n">
        <v>1283000000</v>
      </c>
      <c r="F103" s="56" t="n">
        <v>2267000000</v>
      </c>
      <c r="G103" s="56" t="n">
        <v>1981000000</v>
      </c>
      <c r="H103" s="56" t="n">
        <v>3144000000</v>
      </c>
      <c r="I103" s="56" t="n">
        <v>4655000000</v>
      </c>
    </row>
    <row r="104">
      <c r="B104" s="67" t="inlineStr">
        <is>
          <t>Total current assets</t>
        </is>
      </c>
      <c r="C104" s="55" t="inlineStr">
        <is>
          <t>CurrentAssets</t>
        </is>
      </c>
      <c r="D104" s="58" t="n">
        <v>20610000000</v>
      </c>
      <c r="E104" s="58" t="n">
        <v>25031000000</v>
      </c>
      <c r="F104" s="58" t="n">
        <v>27672000000</v>
      </c>
      <c r="G104" s="58" t="n">
        <v>32088000000</v>
      </c>
      <c r="H104" s="58" t="n">
        <v>45754000000</v>
      </c>
      <c r="I104" s="58" t="n">
        <v>60740000000</v>
      </c>
    </row>
    <row r="105">
      <c r="B105" s="54" t="inlineStr">
        <is>
          <t>Non-current assets classified as held for sale</t>
        </is>
      </c>
      <c r="C105" s="55" t="inlineStr">
        <is>
          <t>NoncurrentAssetsOrDisposalGroupsClassifiedAsHeldForSaleOrAsHeldForDistributionToOwners</t>
        </is>
      </c>
      <c r="D105" s="56" t="n">
        <v>0</v>
      </c>
      <c r="E105" s="56" t="n">
        <v>0</v>
      </c>
      <c r="F105" s="56" t="n">
        <v>0</v>
      </c>
      <c r="G105" s="56" t="n">
        <v>461000000</v>
      </c>
      <c r="H105" s="56" t="n">
        <v>0</v>
      </c>
      <c r="I105" s="56" t="n">
        <v>0</v>
      </c>
    </row>
    <row r="106">
      <c r="B106" s="57" t="inlineStr">
        <is>
          <t>Assets at end of period</t>
        </is>
      </c>
      <c r="C106" s="55" t="inlineStr">
        <is>
          <t>Assets</t>
        </is>
      </c>
      <c r="D106" s="58" t="n">
        <v>33906000000</v>
      </c>
      <c r="E106" s="58" t="n">
        <v>37365000000</v>
      </c>
      <c r="F106" s="58" t="n">
        <v>41790000000</v>
      </c>
      <c r="G106" s="58" t="n">
        <v>51566000000</v>
      </c>
      <c r="H106" s="58" t="n">
        <v>63614000000</v>
      </c>
      <c r="I106" s="58" t="n">
        <v>81573000000</v>
      </c>
    </row>
    <row r="107" ht="15.5" customHeight="1" s="203">
      <c r="B107" s="38" t="inlineStr">
        <is>
          <t>Equity and liabilities [Abstract]</t>
        </is>
      </c>
    </row>
    <row r="108">
      <c r="B108" s="59" t="inlineStr">
        <is>
          <t>Equity [Abstract]</t>
        </is>
      </c>
    </row>
    <row r="109">
      <c r="B109" s="60" t="inlineStr">
        <is>
          <t>Equity attributable to owners of parent [Abstract]</t>
        </is>
      </c>
    </row>
    <row r="110">
      <c r="B110" s="61" t="inlineStr">
        <is>
          <t>Equity share capital at end of period</t>
        </is>
      </c>
      <c r="C110" s="55" t="inlineStr">
        <is>
          <t>EquityShareCapital</t>
        </is>
      </c>
      <c r="D110" s="56" t="n">
        <v>1680000000</v>
      </c>
      <c r="E110" s="56" t="n">
        <v>1639000000</v>
      </c>
      <c r="F110" s="56" t="n">
        <v>1642000000</v>
      </c>
      <c r="G110" s="56" t="n">
        <v>1645740000</v>
      </c>
      <c r="H110" s="56" t="n">
        <v>1647000000</v>
      </c>
      <c r="I110" s="56" t="n">
        <v>1648000000</v>
      </c>
    </row>
    <row r="111">
      <c r="B111" s="61" t="inlineStr">
        <is>
          <t>Other equity</t>
        </is>
      </c>
      <c r="C111" s="55" t="inlineStr">
        <is>
          <t>OtherEquity</t>
        </is>
      </c>
      <c r="D111" s="56" t="n">
        <v>24091000000</v>
      </c>
      <c r="E111" s="56" t="n">
        <v>25775000000</v>
      </c>
      <c r="F111" s="56" t="n">
        <v>31419000000</v>
      </c>
      <c r="G111" s="56" t="n">
        <v>29922000000</v>
      </c>
      <c r="H111" s="56" t="n">
        <v>41543000000</v>
      </c>
      <c r="I111" s="56" t="n">
        <v>53091000000</v>
      </c>
    </row>
    <row r="112">
      <c r="B112" s="65" t="inlineStr">
        <is>
          <t>Total equity attributable to owners of parent</t>
        </is>
      </c>
      <c r="C112" s="55" t="inlineStr">
        <is>
          <t>EquityAttributableToOwnersOfParent</t>
        </is>
      </c>
      <c r="D112" s="58" t="n">
        <v>25771000000</v>
      </c>
      <c r="E112" s="58" t="n">
        <v>27414000000</v>
      </c>
      <c r="F112" s="58" t="n">
        <v>33061000000</v>
      </c>
      <c r="G112" s="58" t="n">
        <v>31567740000</v>
      </c>
      <c r="H112" s="58" t="n">
        <v>43190000000</v>
      </c>
      <c r="I112" s="58" t="n">
        <v>54739000000</v>
      </c>
    </row>
    <row r="113">
      <c r="B113" s="67" t="inlineStr">
        <is>
          <t>Equity at end of period</t>
        </is>
      </c>
      <c r="C113" s="55" t="inlineStr">
        <is>
          <t>Equity</t>
        </is>
      </c>
      <c r="D113" s="58" t="n">
        <v>25771000000</v>
      </c>
      <c r="E113" s="58" t="n">
        <v>27414000000</v>
      </c>
      <c r="F113" s="58" t="n">
        <v>33061000000</v>
      </c>
      <c r="G113" s="58" t="n">
        <v>31567740000</v>
      </c>
      <c r="H113" s="58" t="n">
        <v>43190000000</v>
      </c>
      <c r="I113" s="58" t="n">
        <v>54739000000</v>
      </c>
    </row>
    <row r="114">
      <c r="B114" s="59" t="inlineStr">
        <is>
          <t>Liabilities [Abstract]</t>
        </is>
      </c>
    </row>
    <row r="115">
      <c r="B115" s="60" t="inlineStr">
        <is>
          <t>Non-current liabilities [Abstract]</t>
        </is>
      </c>
    </row>
    <row r="116">
      <c r="B116" s="63" t="inlineStr">
        <is>
          <t>Non-current financial liabilities [Abstract]</t>
        </is>
      </c>
    </row>
    <row r="117">
      <c r="B117" s="64" t="inlineStr">
        <is>
          <t>Borrowings, non-current</t>
        </is>
      </c>
      <c r="C117" s="55" t="inlineStr">
        <is>
          <t>BorrowingsNoncurrent</t>
        </is>
      </c>
      <c r="D117" s="56" t="n">
        <v>13000000</v>
      </c>
      <c r="E117" s="56" t="n">
        <v>9000000</v>
      </c>
      <c r="F117" s="56" t="n">
        <v>5000000</v>
      </c>
      <c r="G117" s="56" t="n">
        <v>0</v>
      </c>
      <c r="H117" s="56" t="n">
        <v>0</v>
      </c>
      <c r="I117" s="56" t="n">
        <v>0</v>
      </c>
    </row>
    <row r="118">
      <c r="B118" s="64" t="inlineStr">
        <is>
          <t>Total other non-current financial liabilities</t>
        </is>
      </c>
      <c r="C118" s="55" t="inlineStr">
        <is>
          <t>OtherNoncurrentFinancialLiabilities</t>
        </is>
      </c>
      <c r="D118" s="56" t="n">
        <v>230000000</v>
      </c>
      <c r="E118" s="56" t="n">
        <v>0</v>
      </c>
      <c r="F118" s="56" t="n">
        <v>1000000</v>
      </c>
      <c r="G118" s="56" t="n">
        <v>6762260000</v>
      </c>
      <c r="H118" s="56" t="n">
        <v>4498000000</v>
      </c>
      <c r="I118" s="56" t="n">
        <v>4665000000</v>
      </c>
    </row>
    <row r="119">
      <c r="B119" s="66" t="inlineStr">
        <is>
          <t>Total non-current financial liabilities</t>
        </is>
      </c>
      <c r="C119" s="55" t="inlineStr">
        <is>
          <t>NoncurrentFinancialLiabilities</t>
        </is>
      </c>
      <c r="D119" s="58" t="n">
        <v>243000000</v>
      </c>
      <c r="E119" s="58" t="n">
        <v>9000000</v>
      </c>
      <c r="F119" s="58" t="n">
        <v>6000000</v>
      </c>
      <c r="G119" s="58" t="n">
        <v>6762260000</v>
      </c>
      <c r="H119" s="58" t="n">
        <v>4498000000</v>
      </c>
      <c r="I119" s="58" t="n">
        <v>4665000000</v>
      </c>
    </row>
    <row r="120">
      <c r="B120" s="61" t="inlineStr">
        <is>
          <t>Deferred tax liabilities (net)</t>
        </is>
      </c>
      <c r="C120" s="55" t="inlineStr">
        <is>
          <t>DeferredTaxLiabilitiesNet</t>
        </is>
      </c>
      <c r="D120" s="56" t="n">
        <v>0</v>
      </c>
      <c r="E120" s="56" t="n">
        <v>0</v>
      </c>
      <c r="F120" s="56" t="n">
        <v>0</v>
      </c>
      <c r="G120" s="56" t="n">
        <v>0</v>
      </c>
      <c r="H120" s="56" t="n">
        <v>0</v>
      </c>
      <c r="I120" s="56" t="n">
        <v>161000000</v>
      </c>
    </row>
    <row r="121">
      <c r="B121" s="61" t="inlineStr">
        <is>
          <t>Total other non-current liabilities</t>
        </is>
      </c>
      <c r="C121" s="55" t="inlineStr">
        <is>
          <t>OtherNoncurrentLiabilities</t>
        </is>
      </c>
      <c r="D121" s="56" t="n">
        <v>71000000</v>
      </c>
      <c r="E121" s="56" t="n">
        <v>85000000</v>
      </c>
      <c r="F121" s="56" t="n">
        <v>173000000</v>
      </c>
      <c r="G121" s="56" t="n">
        <v>0</v>
      </c>
      <c r="H121" s="56" t="n">
        <v>0</v>
      </c>
      <c r="I121" s="56" t="n">
        <v>0</v>
      </c>
    </row>
    <row r="122">
      <c r="B122" s="65" t="inlineStr">
        <is>
          <t>Total non-current liabilities</t>
        </is>
      </c>
      <c r="C122" s="55" t="inlineStr">
        <is>
          <t>NoncurrentLiabilities</t>
        </is>
      </c>
      <c r="D122" s="58" t="n">
        <v>314000000</v>
      </c>
      <c r="E122" s="58" t="n">
        <v>94000000</v>
      </c>
      <c r="F122" s="58" t="n">
        <v>179000000</v>
      </c>
      <c r="G122" s="58" t="n">
        <v>6762260000</v>
      </c>
      <c r="H122" s="58" t="n">
        <v>4498000000</v>
      </c>
      <c r="I122" s="58" t="n">
        <v>4826000000</v>
      </c>
    </row>
    <row r="123">
      <c r="B123" s="60" t="inlineStr">
        <is>
          <t>Current liabilities [Abstract]</t>
        </is>
      </c>
    </row>
    <row r="124">
      <c r="B124" s="63" t="inlineStr">
        <is>
          <t>Current financial liabilities [Abstract]</t>
        </is>
      </c>
    </row>
    <row r="125">
      <c r="B125" s="64" t="inlineStr">
        <is>
          <t>Borrowings, current</t>
        </is>
      </c>
      <c r="C125" s="55" t="inlineStr">
        <is>
          <t>BorrowingsCurrent</t>
        </is>
      </c>
      <c r="D125" s="56" t="n">
        <v>978000000</v>
      </c>
      <c r="E125" s="56" t="n">
        <v>3000000000</v>
      </c>
      <c r="F125" s="56" t="n">
        <v>0</v>
      </c>
      <c r="G125" s="56" t="n">
        <v>0</v>
      </c>
      <c r="H125" s="56" t="n">
        <v>0</v>
      </c>
      <c r="I125" s="56" t="n">
        <v>0</v>
      </c>
    </row>
    <row r="126">
      <c r="B126" s="68" t="inlineStr">
        <is>
          <t>Trade payables, current [Abstract]</t>
        </is>
      </c>
    </row>
    <row r="127">
      <c r="B127" s="69" t="inlineStr">
        <is>
          <t>Total trade payables, current</t>
        </is>
      </c>
      <c r="C127" s="55" t="inlineStr">
        <is>
          <t>TradePayablesCurrent</t>
        </is>
      </c>
      <c r="D127" s="58" t="n">
        <v>1651000000</v>
      </c>
      <c r="E127" s="58" t="n">
        <v>1710000000</v>
      </c>
      <c r="F127" s="58" t="n">
        <v>2131000000</v>
      </c>
      <c r="G127" s="58" t="n">
        <v>2587000000</v>
      </c>
      <c r="H127" s="58" t="n">
        <v>2676000000</v>
      </c>
      <c r="I127" s="58" t="n">
        <v>5357000000</v>
      </c>
    </row>
    <row r="128">
      <c r="B128" s="64" t="inlineStr">
        <is>
          <t>Total other current financial liabilities</t>
        </is>
      </c>
      <c r="C128" s="55" t="inlineStr">
        <is>
          <t>OtherCurrentFinancialLiabilities</t>
        </is>
      </c>
      <c r="D128" s="56" t="n">
        <v>2638000000</v>
      </c>
      <c r="E128" s="56" t="n">
        <v>1812000000</v>
      </c>
      <c r="F128" s="56" t="n">
        <v>2434000000</v>
      </c>
      <c r="G128" s="56" t="n">
        <v>5949000000</v>
      </c>
      <c r="H128" s="56" t="n">
        <v>6135000000</v>
      </c>
      <c r="I128" s="56" t="n">
        <v>7781000000</v>
      </c>
    </row>
    <row r="129">
      <c r="B129" s="66" t="inlineStr">
        <is>
          <t>Total current financial liabilities</t>
        </is>
      </c>
      <c r="C129" s="55" t="inlineStr">
        <is>
          <t>CurrentFinancialLiabilities</t>
        </is>
      </c>
      <c r="D129" s="58" t="n">
        <v>5267000000</v>
      </c>
      <c r="E129" s="58" t="n">
        <v>6522000000</v>
      </c>
      <c r="F129" s="58" t="n">
        <v>4565000000</v>
      </c>
      <c r="G129" s="58" t="n">
        <v>8536000000</v>
      </c>
      <c r="H129" s="58" t="n">
        <v>8811000000</v>
      </c>
      <c r="I129" s="58" t="n">
        <v>13138000000</v>
      </c>
    </row>
    <row r="130">
      <c r="B130" s="61" t="inlineStr">
        <is>
          <t>Total other current liabilities</t>
        </is>
      </c>
      <c r="C130" s="55" t="inlineStr">
        <is>
          <t>OtherCurrentLiabilities</t>
        </is>
      </c>
      <c r="D130" s="56" t="n">
        <v>1126000000</v>
      </c>
      <c r="E130" s="56" t="n">
        <v>1802000000</v>
      </c>
      <c r="F130" s="56" t="n">
        <v>1837000000</v>
      </c>
      <c r="G130" s="56" t="n">
        <v>1596000000</v>
      </c>
      <c r="H130" s="56" t="n">
        <v>2510000000</v>
      </c>
      <c r="I130" s="56" t="n">
        <v>4318000000</v>
      </c>
    </row>
    <row r="131">
      <c r="B131" s="61" t="inlineStr">
        <is>
          <t>Provisions, current</t>
        </is>
      </c>
      <c r="C131" s="55" t="inlineStr">
        <is>
          <t>ProvisionsCurrent</t>
        </is>
      </c>
      <c r="D131" s="56" t="n">
        <v>1105000000</v>
      </c>
      <c r="E131" s="56" t="n">
        <v>1218000000</v>
      </c>
      <c r="F131" s="56" t="n">
        <v>1399000000</v>
      </c>
      <c r="G131" s="56" t="n">
        <v>1724000000</v>
      </c>
      <c r="H131" s="56" t="n">
        <v>2227000000</v>
      </c>
      <c r="I131" s="56" t="n">
        <v>2442000000</v>
      </c>
    </row>
    <row r="132">
      <c r="B132" s="61" t="inlineStr">
        <is>
          <t>Current tax liabilities</t>
        </is>
      </c>
      <c r="C132" s="55" t="inlineStr">
        <is>
          <t>CurrentTaxLiabilities</t>
        </is>
      </c>
      <c r="D132" s="56" t="n">
        <v>323000000</v>
      </c>
      <c r="E132" s="56" t="n">
        <v>315000000</v>
      </c>
      <c r="F132" s="56" t="n">
        <v>749000000</v>
      </c>
      <c r="G132" s="56" t="n">
        <v>1380000000</v>
      </c>
      <c r="H132" s="56" t="n">
        <v>2378000000</v>
      </c>
      <c r="I132" s="56" t="n">
        <v>2110000000</v>
      </c>
    </row>
    <row r="133">
      <c r="B133" s="65" t="inlineStr">
        <is>
          <t>Total current liabilities</t>
        </is>
      </c>
      <c r="C133" s="55" t="inlineStr">
        <is>
          <t>CurrentLiabilities</t>
        </is>
      </c>
      <c r="D133" s="58" t="n">
        <v>7821000000</v>
      </c>
      <c r="E133" s="58" t="n">
        <v>9857000000</v>
      </c>
      <c r="F133" s="58" t="n">
        <v>8550000000</v>
      </c>
      <c r="G133" s="58" t="n">
        <v>13236000000</v>
      </c>
      <c r="H133" s="58" t="n">
        <v>15926000000</v>
      </c>
      <c r="I133" s="58" t="n">
        <v>22008000000</v>
      </c>
    </row>
    <row r="134">
      <c r="B134" s="67" t="inlineStr">
        <is>
          <t>Liabilities</t>
        </is>
      </c>
      <c r="C134" s="55" t="inlineStr">
        <is>
          <t>Liabilities</t>
        </is>
      </c>
      <c r="D134" s="58" t="n">
        <v>8135000000</v>
      </c>
      <c r="E134" s="58" t="n">
        <v>9951000000</v>
      </c>
      <c r="F134" s="58" t="n">
        <v>8729000000</v>
      </c>
      <c r="G134" s="58" t="n">
        <v>19998260000</v>
      </c>
      <c r="H134" s="58" t="n">
        <v>20424000000</v>
      </c>
      <c r="I134" s="58" t="n">
        <v>26834000000</v>
      </c>
    </row>
    <row r="135">
      <c r="B135" s="57" t="inlineStr">
        <is>
          <t>Total equity and liabilities</t>
        </is>
      </c>
      <c r="C135" s="55" t="inlineStr">
        <is>
          <t>EquityAndLiabilities</t>
        </is>
      </c>
      <c r="D135" s="58" t="n">
        <v>33906000000</v>
      </c>
      <c r="E135" s="58" t="n">
        <v>37365000000</v>
      </c>
      <c r="F135" s="58" t="n">
        <v>41790000000</v>
      </c>
      <c r="G135" s="58" t="n">
        <v>51566000000</v>
      </c>
      <c r="H135" s="58" t="n">
        <v>63614000000</v>
      </c>
      <c r="I135" s="58" t="n">
        <v>81573000000</v>
      </c>
    </row>
    <row r="138">
      <c r="A138" t="inlineStr">
        <is>
          <t>#</t>
        </is>
      </c>
      <c r="B138" s="20" t="inlineStr">
        <is>
          <t>Statement of Cash Flows</t>
        </is>
      </c>
    </row>
    <row r="139">
      <c r="B139" t="inlineStr">
        <is>
          <t>Raw units, no conversion applied -- source varies by year, see Output/XBRL_Files filenames (_MCA = MCA XBRL, _NSE = NSE Integrated Filing XBRL)</t>
        </is>
      </c>
    </row>
    <row r="141">
      <c r="C141" s="53" t="inlineStr">
        <is>
          <t>Concept Tag</t>
        </is>
      </c>
      <c r="D141" s="20" t="inlineStr">
        <is>
          <t>FY2017</t>
        </is>
      </c>
      <c r="E141" s="20" t="inlineStr">
        <is>
          <t>FY2018</t>
        </is>
      </c>
      <c r="F141" s="20" t="inlineStr">
        <is>
          <t>FY2019</t>
        </is>
      </c>
      <c r="G141" s="20" t="inlineStr">
        <is>
          <t>FY2020</t>
        </is>
      </c>
      <c r="H141" s="20" t="inlineStr">
        <is>
          <t>FY2021</t>
        </is>
      </c>
      <c r="I141" s="20" t="inlineStr">
        <is>
          <t>FY2022</t>
        </is>
      </c>
    </row>
    <row r="142" ht="15.5" customHeight="1" s="203">
      <c r="B142" s="38" t="inlineStr">
        <is>
          <t>Cash flows from used in operating activities [Abstract]</t>
        </is>
      </c>
    </row>
    <row r="143">
      <c r="B143" s="54" t="inlineStr">
        <is>
          <t>Total profit before tax</t>
        </is>
      </c>
      <c r="C143" s="55" t="inlineStr">
        <is>
          <t>ProfitBeforeTax</t>
        </is>
      </c>
      <c r="D143" s="56" t="n">
        <v>5549000000</v>
      </c>
      <c r="E143" s="56" t="n">
        <v>7423000000</v>
      </c>
      <c r="F143" s="56" t="n">
        <v>9868000000</v>
      </c>
      <c r="G143" s="56" t="n">
        <v>8288000000</v>
      </c>
      <c r="H143" s="56" t="n">
        <v>14984000000</v>
      </c>
      <c r="I143" s="56" t="n">
        <v>22107000000</v>
      </c>
    </row>
    <row r="144">
      <c r="B144" s="59" t="inlineStr">
        <is>
          <t>Adjustments for reconcile profit (loss) [Abstract]</t>
        </is>
      </c>
    </row>
    <row r="145">
      <c r="B145" s="62" t="inlineStr">
        <is>
          <t>Adjustments for finance costs</t>
        </is>
      </c>
      <c r="C145" s="55" t="inlineStr">
        <is>
          <t>AdjustmentsForFinanceCosts</t>
        </is>
      </c>
      <c r="D145" s="56" t="n">
        <v>191000000</v>
      </c>
      <c r="E145" s="56" t="n">
        <v>169000000</v>
      </c>
      <c r="F145" s="56" t="n">
        <v>29000000</v>
      </c>
      <c r="G145" s="56" t="n">
        <v>529000000</v>
      </c>
      <c r="H145" s="56" t="n">
        <v>504000000</v>
      </c>
      <c r="I145" s="56" t="n">
        <v>502000000</v>
      </c>
    </row>
    <row r="146">
      <c r="B146" s="62" t="inlineStr">
        <is>
          <t>Adjustments for decrease (increase) in inventories</t>
        </is>
      </c>
      <c r="C146" s="55" t="inlineStr">
        <is>
          <t>AdjustmentsForDecreaseIncreaseInInventories</t>
        </is>
      </c>
      <c r="D146" s="56" t="n">
        <v>0</v>
      </c>
      <c r="E146" s="56" t="n">
        <v>0</v>
      </c>
      <c r="F146" s="56" t="n">
        <v>0</v>
      </c>
      <c r="G146" s="56" t="n">
        <v>0</v>
      </c>
      <c r="H146" s="56" t="n">
        <v>0</v>
      </c>
      <c r="I146" s="56" t="n">
        <v>4000000</v>
      </c>
    </row>
    <row r="147">
      <c r="B147" s="62" t="inlineStr">
        <is>
          <t>Adjustments for decrease (increase) in trade receivables, current</t>
        </is>
      </c>
      <c r="C147" s="55" t="inlineStr">
        <is>
          <t>AdjustmentsForDecreaseIncreaseInTradeReceivablesCurrent</t>
        </is>
      </c>
      <c r="D147" s="56" t="n">
        <v>670000000</v>
      </c>
      <c r="E147" s="56" t="n">
        <v>-1170000000</v>
      </c>
      <c r="F147" s="56" t="n">
        <v>-3308000000</v>
      </c>
      <c r="G147" s="56" t="n">
        <v>0</v>
      </c>
      <c r="H147" s="56" t="n">
        <v>1585000000</v>
      </c>
      <c r="I147" s="56" t="n">
        <v>-4524000000</v>
      </c>
    </row>
    <row r="148">
      <c r="B148" s="62" t="inlineStr">
        <is>
          <t>Adjustments for decrease (increase) in trade receivables, non-current</t>
        </is>
      </c>
      <c r="C148" s="55" t="inlineStr">
        <is>
          <t>AdjustmentsForDecreaseIncreaseInTradeReceivablesNoncurrent</t>
        </is>
      </c>
      <c r="D148" s="56" t="n">
        <v>0</v>
      </c>
      <c r="E148" s="56" t="n">
        <v>0</v>
      </c>
      <c r="F148" s="56" t="n">
        <v>0</v>
      </c>
      <c r="G148" s="56" t="n">
        <v>-1193000000</v>
      </c>
      <c r="H148" s="56" t="n">
        <v>0</v>
      </c>
      <c r="I148" s="56" t="n">
        <v>0</v>
      </c>
    </row>
    <row r="149">
      <c r="B149" s="62" t="inlineStr">
        <is>
          <t>Adjustments for decrease (increase) in other current assets</t>
        </is>
      </c>
      <c r="C149" s="55" t="inlineStr">
        <is>
          <t>AdjustmentsForDecreaseIncreaseInOtherCurrentAssets</t>
        </is>
      </c>
      <c r="D149" s="56" t="n">
        <v>786000000</v>
      </c>
      <c r="E149" s="56" t="n">
        <v>-966000000</v>
      </c>
      <c r="F149" s="56" t="n">
        <v>-348000000</v>
      </c>
      <c r="G149" s="56" t="n">
        <v>-156000000</v>
      </c>
      <c r="H149" s="56" t="n">
        <v>-360000000</v>
      </c>
      <c r="I149" s="56" t="n">
        <v>-3671000000</v>
      </c>
    </row>
    <row r="150">
      <c r="B150" s="62" t="inlineStr">
        <is>
          <t>Adjustments for other bank balances</t>
        </is>
      </c>
      <c r="C150" s="55" t="inlineStr">
        <is>
          <t>AdjustmentsForOtherBankBalances</t>
        </is>
      </c>
      <c r="D150" s="56" t="n">
        <v>0</v>
      </c>
      <c r="E150" s="56" t="n">
        <v>0</v>
      </c>
      <c r="F150" s="56" t="n">
        <v>0</v>
      </c>
      <c r="G150" s="56" t="n">
        <v>0</v>
      </c>
      <c r="H150" s="56" t="n">
        <v>1961000000</v>
      </c>
      <c r="I150" s="56" t="n">
        <v>0</v>
      </c>
    </row>
    <row r="151">
      <c r="B151" s="62" t="inlineStr">
        <is>
          <t>Adjustments for increase (decrease) in trade payables, current</t>
        </is>
      </c>
      <c r="C151" s="55" t="inlineStr">
        <is>
          <t>AdjustmentsForIncreaseDecreaseInTradePayablesCurrent</t>
        </is>
      </c>
      <c r="D151" s="56" t="n">
        <v>-271000000</v>
      </c>
      <c r="E151" s="56" t="n">
        <v>176000000</v>
      </c>
      <c r="F151" s="56" t="n">
        <v>423000000</v>
      </c>
      <c r="G151" s="56" t="n">
        <v>537000000</v>
      </c>
      <c r="H151" s="56" t="n">
        <v>122000000</v>
      </c>
      <c r="I151" s="56" t="n">
        <v>2517000000</v>
      </c>
    </row>
    <row r="152">
      <c r="B152" s="62" t="inlineStr">
        <is>
          <t>Adjustments for increase (decrease) in other current liabilities</t>
        </is>
      </c>
      <c r="C152" s="55" t="inlineStr">
        <is>
          <t>AdjustmentsForIncreaseDecreaseInOtherCurrentLiabilities</t>
        </is>
      </c>
      <c r="D152" s="56" t="n">
        <v>215000000</v>
      </c>
      <c r="E152" s="56" t="n">
        <v>1014000000</v>
      </c>
      <c r="F152" s="56" t="n">
        <v>692000000</v>
      </c>
      <c r="G152" s="56" t="n">
        <v>908000000</v>
      </c>
      <c r="H152" s="56" t="n">
        <v>1573000000</v>
      </c>
      <c r="I152" s="56" t="n">
        <v>2355000000</v>
      </c>
    </row>
    <row r="153">
      <c r="B153" s="62" t="inlineStr">
        <is>
          <t>Adjustments for depreciation and amortisation expense</t>
        </is>
      </c>
      <c r="C153" s="55" t="inlineStr">
        <is>
          <t>AdjustmentsForDepreciationAndAmortisationExpense</t>
        </is>
      </c>
      <c r="D153" s="56" t="n">
        <v>1858000000</v>
      </c>
      <c r="E153" s="56" t="n">
        <v>1715000000</v>
      </c>
      <c r="F153" s="56" t="n">
        <v>1641000000</v>
      </c>
      <c r="G153" s="56" t="n">
        <v>2754000000</v>
      </c>
      <c r="H153" s="56" t="n">
        <v>2596000000</v>
      </c>
      <c r="I153" s="56" t="n">
        <v>2420000000</v>
      </c>
    </row>
    <row r="154">
      <c r="B154" s="62" t="inlineStr">
        <is>
          <t>Adjustments for impairment loss reversal of impairment loss recognised in profit or loss</t>
        </is>
      </c>
      <c r="C154" s="55" t="inlineStr">
        <is>
          <t>AdjustmentsForImpairmentLossReversalOfImpairmentLossRecognisedInProfitOrLoss</t>
        </is>
      </c>
      <c r="D154" s="56" t="n">
        <v>0</v>
      </c>
      <c r="E154" s="56" t="n">
        <v>0</v>
      </c>
      <c r="F154" s="56" t="n">
        <v>0</v>
      </c>
      <c r="G154" s="56" t="n">
        <v>0</v>
      </c>
      <c r="H154" s="56" t="n">
        <v>2000000</v>
      </c>
      <c r="I154" s="56" t="n">
        <v>0</v>
      </c>
    </row>
    <row r="155">
      <c r="B155" s="62" t="inlineStr">
        <is>
          <t>Adjustments for provisions, current</t>
        </is>
      </c>
      <c r="C155" s="55" t="inlineStr">
        <is>
          <t>AdjustmentsForProvisionsCurrent</t>
        </is>
      </c>
      <c r="D155" s="56" t="n">
        <v>-183000000</v>
      </c>
      <c r="E155" s="56" t="n">
        <v>113000000</v>
      </c>
      <c r="F155" s="56" t="n">
        <v>181000000</v>
      </c>
      <c r="G155" s="56" t="n">
        <v>325000000</v>
      </c>
      <c r="H155" s="56" t="n">
        <v>1211000000</v>
      </c>
      <c r="I155" s="56" t="n">
        <v>205000000</v>
      </c>
    </row>
    <row r="156">
      <c r="B156" s="62" t="inlineStr">
        <is>
          <t>Adjustments for other financial liabilities, current</t>
        </is>
      </c>
      <c r="C156" s="55" t="inlineStr">
        <is>
          <t>AdjustmentsForOtherFinancialLiabilitiesCurrent</t>
        </is>
      </c>
      <c r="D156" s="56" t="n">
        <v>0</v>
      </c>
      <c r="E156" s="56" t="n">
        <v>0</v>
      </c>
      <c r="F156" s="56" t="n">
        <v>-421000000</v>
      </c>
      <c r="G156" s="56" t="n">
        <v>0</v>
      </c>
      <c r="H156" s="56" t="n">
        <v>0</v>
      </c>
      <c r="I156" s="56" t="n">
        <v>0</v>
      </c>
    </row>
    <row r="157">
      <c r="B157" s="62" t="inlineStr">
        <is>
          <t>Adjustments for other financial liabilities, non-current</t>
        </is>
      </c>
      <c r="C157" s="55" t="inlineStr">
        <is>
          <t>AdjustmentsForOtherFinancialLiabilitiesNoncurrent</t>
        </is>
      </c>
      <c r="D157" s="56" t="n">
        <v>0</v>
      </c>
      <c r="E157" s="56" t="n">
        <v>-459000000</v>
      </c>
      <c r="F157" s="56" t="n">
        <v>0</v>
      </c>
      <c r="G157" s="56" t="n">
        <v>0</v>
      </c>
      <c r="H157" s="56" t="n">
        <v>0</v>
      </c>
      <c r="I157" s="56" t="n">
        <v>0</v>
      </c>
    </row>
    <row r="158">
      <c r="B158" s="62" t="inlineStr">
        <is>
          <t>Adjustments for unrealised foreign exchange losses gains</t>
        </is>
      </c>
      <c r="C158" s="55" t="inlineStr">
        <is>
          <t>AdjustmentsForUnrealisedForeignExchangeLossesGains</t>
        </is>
      </c>
      <c r="D158" s="56" t="n">
        <v>0</v>
      </c>
      <c r="E158" s="56" t="n">
        <v>96000000</v>
      </c>
      <c r="F158" s="56" t="n">
        <v>-228000000</v>
      </c>
      <c r="G158" s="56" t="n">
        <v>0</v>
      </c>
      <c r="H158" s="56" t="n">
        <v>-58000000</v>
      </c>
      <c r="I158" s="56" t="n">
        <v>-329000000</v>
      </c>
    </row>
    <row r="159">
      <c r="B159" s="62" t="inlineStr">
        <is>
          <t>Adjustments for dividend income</t>
        </is>
      </c>
      <c r="C159" s="55" t="inlineStr">
        <is>
          <t>AdjustmentsForDividendIncome</t>
        </is>
      </c>
      <c r="D159" s="56" t="n">
        <v>0</v>
      </c>
      <c r="E159" s="56" t="n">
        <v>1000000</v>
      </c>
      <c r="F159" s="56" t="n">
        <v>0</v>
      </c>
      <c r="G159" s="56" t="n">
        <v>0</v>
      </c>
      <c r="H159" s="56" t="n">
        <v>0</v>
      </c>
      <c r="I159" s="56" t="n">
        <v>0</v>
      </c>
    </row>
    <row r="160">
      <c r="B160" s="62" t="inlineStr">
        <is>
          <t>Adjustments for interest income</t>
        </is>
      </c>
      <c r="C160" s="55" t="inlineStr">
        <is>
          <t>AdjustmentsForInterestIncome</t>
        </is>
      </c>
      <c r="D160" s="56" t="n">
        <v>104000000</v>
      </c>
      <c r="E160" s="56" t="n">
        <v>110000000</v>
      </c>
      <c r="F160" s="56" t="n">
        <v>146000000</v>
      </c>
      <c r="G160" s="56" t="n">
        <v>0</v>
      </c>
      <c r="H160" s="56" t="n">
        <v>166000000</v>
      </c>
      <c r="I160" s="56" t="n">
        <v>426000000</v>
      </c>
    </row>
    <row r="161">
      <c r="B161" s="62" t="inlineStr">
        <is>
          <t>Adjustments for share-based payments</t>
        </is>
      </c>
      <c r="C161" s="55" t="inlineStr">
        <is>
          <t>AdjustmentsForSharebasedPayments</t>
        </is>
      </c>
      <c r="D161" s="56" t="n">
        <v>54000000</v>
      </c>
      <c r="E161" s="56" t="n">
        <v>0</v>
      </c>
      <c r="F161" s="56" t="n">
        <v>0</v>
      </c>
      <c r="G161" s="56" t="n">
        <v>102000000</v>
      </c>
      <c r="H161" s="56" t="n">
        <v>99000000</v>
      </c>
      <c r="I161" s="56" t="n">
        <v>430000000</v>
      </c>
    </row>
    <row r="162">
      <c r="B162" s="62" t="inlineStr">
        <is>
          <t>Adjustments for fair value losses (gains)</t>
        </is>
      </c>
      <c r="C162" s="55" t="inlineStr">
        <is>
          <t>AdjustmentsForFairValueGainsLosses</t>
        </is>
      </c>
      <c r="D162" s="56" t="n">
        <v>-146000000</v>
      </c>
      <c r="E162" s="56" t="n">
        <v>0</v>
      </c>
      <c r="F162" s="56" t="n">
        <v>0</v>
      </c>
      <c r="G162" s="56" t="n">
        <v>0</v>
      </c>
      <c r="H162" s="56" t="n">
        <v>0</v>
      </c>
      <c r="I162" s="56" t="n">
        <v>0</v>
      </c>
    </row>
    <row r="163">
      <c r="B163" s="62" t="inlineStr">
        <is>
          <t>Other adjustments for which cash effects are investing or financing cash flow</t>
        </is>
      </c>
      <c r="C163" s="55" t="inlineStr">
        <is>
          <t>OtherAdjustmentsForWhichCashEffectsAreInvestingOrFinancingCashFlow</t>
        </is>
      </c>
      <c r="D163" s="56" t="n">
        <v>-186000000</v>
      </c>
      <c r="E163" s="56" t="n">
        <v>0</v>
      </c>
      <c r="F163" s="56" t="n">
        <v>0</v>
      </c>
      <c r="G163" s="56" t="n">
        <v>0</v>
      </c>
      <c r="H163" s="56" t="n">
        <v>-987000000</v>
      </c>
      <c r="I163" s="56" t="n">
        <v>-841000000</v>
      </c>
    </row>
    <row r="164">
      <c r="B164" s="62" t="inlineStr">
        <is>
          <t>Other adjustments to reconcile profit (loss)</t>
        </is>
      </c>
      <c r="C164" s="55" t="inlineStr">
        <is>
          <t>OtherAdjustmentsToReconcileProfitLoss</t>
        </is>
      </c>
      <c r="D164" s="56" t="n">
        <v>0</v>
      </c>
      <c r="E164" s="56" t="n">
        <v>-916000000</v>
      </c>
      <c r="F164" s="56" t="n">
        <v>0</v>
      </c>
      <c r="G164" s="56" t="n">
        <v>-224000000</v>
      </c>
      <c r="H164" s="56" t="n">
        <v>0</v>
      </c>
      <c r="I164" s="56" t="n">
        <v>0</v>
      </c>
    </row>
    <row r="165">
      <c r="B165" s="62" t="inlineStr">
        <is>
          <t>Other adjustments for non-cash items</t>
        </is>
      </c>
      <c r="C165" s="55" t="inlineStr">
        <is>
          <t>OtherAdjustmentsForNoncashItems</t>
        </is>
      </c>
      <c r="D165" s="56" t="n">
        <v>-119000000</v>
      </c>
      <c r="E165" s="56" t="n">
        <v>192000000</v>
      </c>
      <c r="F165" s="56" t="n">
        <v>177000000</v>
      </c>
      <c r="G165" s="56" t="n">
        <v>-1979000000</v>
      </c>
      <c r="H165" s="56" t="n">
        <v>62000000</v>
      </c>
      <c r="I165" s="56" t="n">
        <v>85000000</v>
      </c>
    </row>
    <row r="166">
      <c r="B166" s="67" t="inlineStr">
        <is>
          <t>Total adjustments for reconcile profit (loss)</t>
        </is>
      </c>
      <c r="C166" s="55" t="inlineStr">
        <is>
          <t>AdjustmentsForReconcileProfitLoss</t>
        </is>
      </c>
      <c r="D166" s="58" t="n">
        <v>2765000000</v>
      </c>
      <c r="E166" s="58" t="n">
        <v>-147000000</v>
      </c>
      <c r="F166" s="58" t="n">
        <v>-1308000000</v>
      </c>
      <c r="G166" s="58" t="n">
        <v>1603000000</v>
      </c>
      <c r="H166" s="58" t="n">
        <v>8144000000</v>
      </c>
      <c r="I166" s="58" t="n">
        <v>-1273000000</v>
      </c>
    </row>
    <row r="167">
      <c r="B167" s="57" t="inlineStr">
        <is>
          <t>Net cash flows from (used in) operations</t>
        </is>
      </c>
      <c r="C167" s="55" t="inlineStr">
        <is>
          <t>CashFlowsFromUsedInOperations</t>
        </is>
      </c>
      <c r="D167" s="58" t="n">
        <v>8314000000</v>
      </c>
      <c r="E167" s="58" t="n">
        <v>7276000000</v>
      </c>
      <c r="F167" s="58" t="n">
        <v>8560000000</v>
      </c>
      <c r="G167" s="58" t="n">
        <v>9891000000</v>
      </c>
      <c r="H167" s="58" t="n">
        <v>23128000000</v>
      </c>
      <c r="I167" s="58" t="n">
        <v>20834000000</v>
      </c>
    </row>
    <row r="168">
      <c r="B168" s="54" t="inlineStr">
        <is>
          <t>Dividends received</t>
        </is>
      </c>
      <c r="C168" s="55" t="inlineStr">
        <is>
          <t>DividendsReceivedClassifiedAsOperatingActivities</t>
        </is>
      </c>
      <c r="D168" s="56" t="n">
        <v>-8000000</v>
      </c>
      <c r="E168" s="56" t="n">
        <v>0</v>
      </c>
      <c r="F168" s="56" t="n">
        <v>0</v>
      </c>
      <c r="G168" s="56" t="n">
        <v>0</v>
      </c>
      <c r="H168" s="56" t="n">
        <v>0</v>
      </c>
      <c r="I168" s="56" t="n">
        <v>0</v>
      </c>
    </row>
    <row r="169">
      <c r="B169" s="54" t="inlineStr">
        <is>
          <t>Income taxes paid (refund)</t>
        </is>
      </c>
      <c r="C169" s="55" t="inlineStr">
        <is>
          <t>IncomeTaxesPaidRefundClassifiedAsOperatingActivities</t>
        </is>
      </c>
      <c r="D169" s="56" t="n">
        <v>1771000000</v>
      </c>
      <c r="E169" s="56" t="n">
        <v>1632000000</v>
      </c>
      <c r="F169" s="56" t="n">
        <v>2255000000</v>
      </c>
      <c r="G169" s="56" t="n">
        <v>1640000000</v>
      </c>
      <c r="H169" s="56" t="n">
        <v>3168000000</v>
      </c>
      <c r="I169" s="56" t="n">
        <v>5464000000</v>
      </c>
    </row>
    <row r="170">
      <c r="B170" s="57" t="inlineStr">
        <is>
          <t>Net cash flows from (used in) operating activities</t>
        </is>
      </c>
      <c r="C170" s="55" t="inlineStr">
        <is>
          <t>CashFlowsFromUsedInOperatingActivities</t>
        </is>
      </c>
      <c r="D170" s="58" t="n">
        <v>6535000000</v>
      </c>
      <c r="E170" s="58" t="n">
        <v>5644000000</v>
      </c>
      <c r="F170" s="58" t="n">
        <v>6305000000</v>
      </c>
      <c r="G170" s="58" t="n">
        <v>8251000000</v>
      </c>
      <c r="H170" s="58" t="n">
        <v>19960000000</v>
      </c>
      <c r="I170" s="58" t="n">
        <v>15370000000</v>
      </c>
    </row>
    <row r="171" ht="15.5" customHeight="1" s="203">
      <c r="B171" s="38" t="inlineStr">
        <is>
          <t>Cash flows from used in investing activities [Abstract]</t>
        </is>
      </c>
    </row>
    <row r="172">
      <c r="B172" s="54" t="inlineStr">
        <is>
          <t>Cash flows used in obtaining control of subsidiaries or other businesses</t>
        </is>
      </c>
      <c r="C172" s="55" t="inlineStr">
        <is>
          <t>CashFlowsUsedInObtainingControlOfSubsidiariesOrOtherBusinessesClassifiedAsInvestingActivities</t>
        </is>
      </c>
      <c r="D172" s="56" t="n">
        <v>467000000</v>
      </c>
      <c r="E172" s="56" t="n">
        <v>164000000</v>
      </c>
      <c r="F172" s="56" t="n">
        <v>0</v>
      </c>
      <c r="G172" s="56" t="n">
        <v>0</v>
      </c>
      <c r="H172" s="56" t="n">
        <v>0</v>
      </c>
      <c r="I172" s="56" t="n">
        <v>0</v>
      </c>
    </row>
    <row r="173">
      <c r="B173" s="54" t="inlineStr">
        <is>
          <t>Other cash receipts from sales of equity or debt instruments of other entities</t>
        </is>
      </c>
      <c r="C173" s="55" t="inlineStr">
        <is>
          <t>OtherCashReceiptsFromSalesOfEquityOrDebtInstrumentsOfOtherEntitiesClassifiedAsInvestingActivities</t>
        </is>
      </c>
      <c r="D173" s="56" t="n">
        <v>0</v>
      </c>
      <c r="E173" s="56" t="n">
        <v>0</v>
      </c>
      <c r="F173" s="56" t="n">
        <v>17860000000</v>
      </c>
      <c r="G173" s="56" t="n">
        <v>0</v>
      </c>
      <c r="H173" s="56" t="n">
        <v>24135000000</v>
      </c>
      <c r="I173" s="56" t="n">
        <v>33343000000</v>
      </c>
    </row>
    <row r="174">
      <c r="B174" s="54" t="inlineStr">
        <is>
          <t>Other cash payments to acquire equity or debt instruments of other entities</t>
        </is>
      </c>
      <c r="C174" s="55" t="inlineStr">
        <is>
          <t>OtherCashPaymentsToAcquireEquityOrDebtInstrumentsOfOtherEntitiesClassifiedAsInvestingActivities</t>
        </is>
      </c>
      <c r="D174" s="56" t="n">
        <v>0</v>
      </c>
      <c r="E174" s="56" t="n">
        <v>0</v>
      </c>
      <c r="F174" s="56" t="n">
        <v>18161000000</v>
      </c>
      <c r="G174" s="56" t="n">
        <v>33066000000</v>
      </c>
      <c r="H174" s="56" t="n">
        <v>35976000000</v>
      </c>
      <c r="I174" s="56" t="n">
        <v>37428000000</v>
      </c>
    </row>
    <row r="175">
      <c r="B175" s="54" t="inlineStr">
        <is>
          <t>Other cash receipts from sales of interests in joint ventures</t>
        </is>
      </c>
      <c r="C175" s="55" t="inlineStr">
        <is>
          <t>OtherCashReceiptsFromSalesOfInterestsInJointVenturesClassifiedAsInvestingActivities</t>
        </is>
      </c>
      <c r="D175" s="56" t="n">
        <v>0</v>
      </c>
      <c r="E175" s="56" t="n">
        <v>0</v>
      </c>
      <c r="F175" s="56" t="n">
        <v>0</v>
      </c>
      <c r="G175" s="56" t="n">
        <v>33924000000</v>
      </c>
      <c r="H175" s="56" t="n">
        <v>0</v>
      </c>
      <c r="I175" s="56" t="n">
        <v>0</v>
      </c>
    </row>
    <row r="176">
      <c r="B176" s="54" t="inlineStr">
        <is>
          <t>Proceeds from sales of property, plant and equipment</t>
        </is>
      </c>
      <c r="C176" s="55" t="inlineStr">
        <is>
          <t>ProceedsFromSalesOfPropertyPlantAndEquipmentClassifiedAsInvestingActivities</t>
        </is>
      </c>
      <c r="D176" s="56" t="n">
        <v>25000000</v>
      </c>
      <c r="E176" s="56" t="n">
        <v>9000000</v>
      </c>
      <c r="F176" s="56" t="n">
        <v>39000000</v>
      </c>
      <c r="G176" s="56" t="n">
        <v>21000000</v>
      </c>
      <c r="H176" s="56" t="n">
        <v>59000000</v>
      </c>
      <c r="I176" s="56" t="n">
        <v>10000000</v>
      </c>
    </row>
    <row r="177">
      <c r="B177" s="54" t="inlineStr">
        <is>
          <t>Purchase of property, plant and equipment</t>
        </is>
      </c>
      <c r="C177" s="55" t="inlineStr">
        <is>
          <t>PurchaseOfPropertyPlantAndEquipmentClassifiedAsInvestingActivities</t>
        </is>
      </c>
      <c r="D177" s="56" t="n">
        <v>871000000</v>
      </c>
      <c r="E177" s="56" t="n">
        <v>1020000000</v>
      </c>
      <c r="F177" s="56" t="n">
        <v>1747000000</v>
      </c>
      <c r="G177" s="56" t="n">
        <v>1241000000</v>
      </c>
      <c r="H177" s="56" t="n">
        <v>673000000</v>
      </c>
      <c r="I177" s="56" t="n">
        <v>1982000000</v>
      </c>
    </row>
    <row r="178">
      <c r="B178" s="54" t="inlineStr">
        <is>
          <t>Proceeds from sales of other long-term assets</t>
        </is>
      </c>
      <c r="C178" s="55" t="inlineStr">
        <is>
          <t>ProceedsFromSalesOfOtherLongTermAssetsClassifiedAsInvestingActivities</t>
        </is>
      </c>
      <c r="D178" s="56" t="n">
        <v>9892000000</v>
      </c>
      <c r="E178" s="56" t="n">
        <v>13771000000</v>
      </c>
      <c r="F178" s="56" t="n">
        <v>0</v>
      </c>
      <c r="G178" s="56" t="n">
        <v>0</v>
      </c>
      <c r="H178" s="56" t="n">
        <v>0</v>
      </c>
      <c r="I178" s="56" t="n">
        <v>0</v>
      </c>
    </row>
    <row r="179">
      <c r="B179" s="54" t="inlineStr">
        <is>
          <t>Purchase of other long-term assets</t>
        </is>
      </c>
      <c r="C179" s="55" t="inlineStr">
        <is>
          <t>PurchaseOfOtherLongTermAssetsClassifiedAsInvestingActivities</t>
        </is>
      </c>
      <c r="D179" s="56" t="n">
        <v>13171000000</v>
      </c>
      <c r="E179" s="56" t="n">
        <v>14648000000</v>
      </c>
      <c r="F179" s="56" t="n">
        <v>0</v>
      </c>
      <c r="G179" s="56" t="n">
        <v>0</v>
      </c>
      <c r="H179" s="56" t="n">
        <v>0</v>
      </c>
      <c r="I179" s="56" t="n">
        <v>0</v>
      </c>
    </row>
    <row r="180">
      <c r="B180" s="54" t="inlineStr">
        <is>
          <t>Dividends received</t>
        </is>
      </c>
      <c r="C180" s="55" t="inlineStr">
        <is>
          <t>DividendsReceivedClassifiedAsInvestingActivities</t>
        </is>
      </c>
      <c r="D180" s="56" t="n">
        <v>8000000</v>
      </c>
      <c r="E180" s="56" t="n">
        <v>1000000</v>
      </c>
      <c r="F180" s="56" t="n">
        <v>0</v>
      </c>
      <c r="G180" s="56" t="n">
        <v>0</v>
      </c>
      <c r="H180" s="56" t="n">
        <v>0</v>
      </c>
      <c r="I180" s="56" t="n">
        <v>0</v>
      </c>
    </row>
    <row r="181">
      <c r="B181" s="54" t="inlineStr">
        <is>
          <t>Interest received</t>
        </is>
      </c>
      <c r="C181" s="55" t="inlineStr">
        <is>
          <t>InterestReceivedClassifiedAsInvestingActivities</t>
        </is>
      </c>
      <c r="D181" s="56" t="n">
        <v>51000000</v>
      </c>
      <c r="E181" s="56" t="n">
        <v>51000000</v>
      </c>
      <c r="F181" s="56" t="n">
        <v>76000000</v>
      </c>
      <c r="G181" s="56" t="n">
        <v>133000000</v>
      </c>
      <c r="H181" s="56" t="n">
        <v>168000000</v>
      </c>
      <c r="I181" s="56" t="n">
        <v>273000000</v>
      </c>
    </row>
    <row r="182">
      <c r="B182" s="54" t="inlineStr">
        <is>
          <t>Other inflows (outflows) of cash</t>
        </is>
      </c>
      <c r="C182" s="55" t="inlineStr">
        <is>
          <t>OtherInflowsOutflowsOfCashClassifiedAsInvestingActivities</t>
        </is>
      </c>
      <c r="D182" s="56" t="n">
        <v>0</v>
      </c>
      <c r="E182" s="56" t="n">
        <v>0</v>
      </c>
      <c r="F182" s="56" t="n">
        <v>0</v>
      </c>
      <c r="G182" s="56" t="n">
        <v>0</v>
      </c>
      <c r="H182" s="56" t="n">
        <v>454000000</v>
      </c>
      <c r="I182" s="56" t="n">
        <v>-1076000000</v>
      </c>
    </row>
    <row r="183">
      <c r="B183" s="57" t="inlineStr">
        <is>
          <t>Net cash flows from (used in) investing activities</t>
        </is>
      </c>
      <c r="C183" s="55" t="inlineStr">
        <is>
          <t>CashFlowsFromUsedInInvestingActivities</t>
        </is>
      </c>
      <c r="D183" s="58" t="n">
        <v>-4533000000</v>
      </c>
      <c r="E183" s="58" t="n">
        <v>-2000000000</v>
      </c>
      <c r="F183" s="58" t="n">
        <v>-1933000000</v>
      </c>
      <c r="G183" s="58" t="n">
        <v>-229000000</v>
      </c>
      <c r="H183" s="58" t="n">
        <v>-11833000000</v>
      </c>
      <c r="I183" s="58" t="n">
        <v>-6860000000</v>
      </c>
    </row>
    <row r="184" ht="15.5" customHeight="1" s="203">
      <c r="B184" s="38" t="inlineStr">
        <is>
          <t>Cash flows from used in financing activities [Abstract]</t>
        </is>
      </c>
    </row>
    <row r="185">
      <c r="B185" s="54" t="inlineStr">
        <is>
          <t>Proceeds from issuing shares</t>
        </is>
      </c>
      <c r="C185" s="55" t="inlineStr">
        <is>
          <t>ProceedsFromIssuingSharesClassifiedAsFinancingActivities</t>
        </is>
      </c>
      <c r="D185" s="56" t="n">
        <v>8000000</v>
      </c>
      <c r="E185" s="56" t="n">
        <v>0</v>
      </c>
      <c r="F185" s="56" t="n">
        <v>0</v>
      </c>
      <c r="G185" s="56" t="n">
        <v>4000000</v>
      </c>
      <c r="H185" s="56" t="n">
        <v>1000000</v>
      </c>
      <c r="I185" s="56" t="n">
        <v>1000000</v>
      </c>
    </row>
    <row r="186">
      <c r="B186" s="54" t="inlineStr">
        <is>
          <t>Proceeds from issuing other equity instruments</t>
        </is>
      </c>
      <c r="C186" s="55" t="inlineStr">
        <is>
          <t>ProceedsFromIssuingOtherEquityInstruments</t>
        </is>
      </c>
      <c r="D186" s="56" t="n">
        <v>0</v>
      </c>
      <c r="E186" s="56" t="n">
        <v>1000000</v>
      </c>
      <c r="F186" s="56" t="n">
        <v>3000000</v>
      </c>
      <c r="G186" s="56" t="n">
        <v>0</v>
      </c>
      <c r="H186" s="56" t="n">
        <v>0</v>
      </c>
      <c r="I186" s="56" t="n">
        <v>0</v>
      </c>
    </row>
    <row r="187">
      <c r="B187" s="54" t="inlineStr">
        <is>
          <t>Payments to acquire or redeem entity's shares</t>
        </is>
      </c>
      <c r="C187" s="55" t="inlineStr">
        <is>
          <t>PaymentsToAcquireOrRedeemEntitysShares</t>
        </is>
      </c>
      <c r="D187" s="56" t="n">
        <v>0</v>
      </c>
      <c r="E187" s="56" t="n">
        <v>2640000000</v>
      </c>
      <c r="F187" s="56" t="n">
        <v>0</v>
      </c>
      <c r="G187" s="56" t="n">
        <v>0</v>
      </c>
      <c r="H187" s="56" t="n">
        <v>0</v>
      </c>
      <c r="I187" s="56" t="n">
        <v>0</v>
      </c>
    </row>
    <row r="188">
      <c r="B188" s="54" t="inlineStr">
        <is>
          <t>Proceeds from borrowings</t>
        </is>
      </c>
      <c r="C188" s="55" t="inlineStr">
        <is>
          <t>ProceedsFromBorrowingsClassifiedAsFinancingActivities</t>
        </is>
      </c>
      <c r="D188" s="56" t="n">
        <v>935000000</v>
      </c>
      <c r="E188" s="56" t="n">
        <v>4500000000</v>
      </c>
      <c r="F188" s="56" t="n">
        <v>0</v>
      </c>
      <c r="G188" s="56" t="n">
        <v>0</v>
      </c>
      <c r="H188" s="56" t="n">
        <v>0</v>
      </c>
      <c r="I188" s="56" t="n">
        <v>0</v>
      </c>
    </row>
    <row r="189">
      <c r="B189" s="54" t="inlineStr">
        <is>
          <t>Repayments of borrowings</t>
        </is>
      </c>
      <c r="C189" s="55" t="inlineStr">
        <is>
          <t>RepaymentsOfBorrowingsClassifiedAsFinancingActivities</t>
        </is>
      </c>
      <c r="D189" s="56" t="n">
        <v>383000000</v>
      </c>
      <c r="E189" s="56" t="n">
        <v>2540000000</v>
      </c>
      <c r="F189" s="56" t="n">
        <v>3004000000</v>
      </c>
      <c r="G189" s="56" t="n">
        <v>5000000</v>
      </c>
      <c r="H189" s="56" t="n">
        <v>5000000</v>
      </c>
      <c r="I189" s="56" t="n">
        <v>0</v>
      </c>
    </row>
    <row r="190">
      <c r="B190" s="54" t="inlineStr">
        <is>
          <t>Payments of lease liabilities</t>
        </is>
      </c>
      <c r="C190" s="55" t="inlineStr">
        <is>
          <t>PaymentsOfLeaseLiabilitiesClassifiedAsFinancingActivities</t>
        </is>
      </c>
      <c r="D190" s="56" t="n">
        <v>0</v>
      </c>
      <c r="E190" s="56" t="n">
        <v>0</v>
      </c>
      <c r="F190" s="56" t="n">
        <v>0</v>
      </c>
      <c r="G190" s="56" t="n">
        <v>1019000000</v>
      </c>
      <c r="H190" s="56" t="n">
        <v>837000000</v>
      </c>
      <c r="I190" s="56" t="n">
        <v>928000000</v>
      </c>
    </row>
    <row r="191">
      <c r="B191" s="54" t="inlineStr">
        <is>
          <t>Dividends paid</t>
        </is>
      </c>
      <c r="C191" s="55" t="inlineStr">
        <is>
          <t>DividendsPaidClassifiedAsFinancingActivities</t>
        </is>
      </c>
      <c r="D191" s="56" t="n">
        <v>1934000000</v>
      </c>
      <c r="E191" s="56" t="n">
        <v>2142000000</v>
      </c>
      <c r="F191" s="56" t="n">
        <v>2180000000</v>
      </c>
      <c r="G191" s="56" t="n">
        <v>5940000000</v>
      </c>
      <c r="H191" s="56" t="n">
        <v>2880000000</v>
      </c>
      <c r="I191" s="56" t="n">
        <v>4528000000</v>
      </c>
    </row>
    <row r="192">
      <c r="B192" s="54" t="inlineStr">
        <is>
          <t>Interest paid</t>
        </is>
      </c>
      <c r="C192" s="55" t="inlineStr">
        <is>
          <t>InterestPaidClassifiedAsFinancingActivities</t>
        </is>
      </c>
      <c r="D192" s="56" t="n">
        <v>2000000</v>
      </c>
      <c r="E192" s="56" t="n">
        <v>54000000</v>
      </c>
      <c r="F192" s="56" t="n">
        <v>40000000</v>
      </c>
      <c r="G192" s="56" t="n">
        <v>0</v>
      </c>
      <c r="H192" s="56" t="n">
        <v>504000000</v>
      </c>
      <c r="I192" s="56" t="n">
        <v>502000000</v>
      </c>
    </row>
    <row r="193">
      <c r="B193" s="57" t="inlineStr">
        <is>
          <t>Net cash flows from (used in) financing activities</t>
        </is>
      </c>
      <c r="C193" s="55" t="inlineStr">
        <is>
          <t>CashFlowsFromUsedInFinancingActivities</t>
        </is>
      </c>
      <c r="D193" s="58" t="n">
        <v>-1376000000</v>
      </c>
      <c r="E193" s="58" t="n">
        <v>-2875000000</v>
      </c>
      <c r="F193" s="58" t="n">
        <v>-5221000000</v>
      </c>
      <c r="G193" s="58" t="n">
        <v>-6960000000</v>
      </c>
      <c r="H193" s="58" t="n">
        <v>-4225000000</v>
      </c>
      <c r="I193" s="58" t="n">
        <v>-5957000000</v>
      </c>
    </row>
    <row r="194">
      <c r="B194" s="8" t="inlineStr">
        <is>
          <t>Net increase (decrease) in cash and cash equivalents before effect of exchange rate changes</t>
        </is>
      </c>
      <c r="C194" s="55" t="inlineStr">
        <is>
          <t>IncreaseDecreaseInCashAndCashEquivalentsBeforeEffectOfExchangeRateChanges</t>
        </is>
      </c>
      <c r="D194" s="58" t="n">
        <v>626000000</v>
      </c>
      <c r="E194" s="58" t="n">
        <v>769000000</v>
      </c>
      <c r="F194" s="58" t="n">
        <v>-849000000</v>
      </c>
      <c r="G194" s="58" t="n">
        <v>1062000000</v>
      </c>
      <c r="H194" s="58" t="n">
        <v>3902000000</v>
      </c>
      <c r="I194" s="58" t="n">
        <v>2553000000</v>
      </c>
    </row>
    <row r="195" ht="15.5" customHeight="1" s="203">
      <c r="B195" s="38" t="inlineStr">
        <is>
          <t>Effect of exchange rate changes on cash and cash equivalents [Abstract]</t>
        </is>
      </c>
    </row>
    <row r="196">
      <c r="B196" s="54" t="inlineStr">
        <is>
          <t>Effect of exchange rate changes on cash and cash equivalents</t>
        </is>
      </c>
      <c r="C196" s="55" t="inlineStr">
        <is>
          <t>EffectOfExchangeRateChangesOnCashAndCashEquivalents</t>
        </is>
      </c>
      <c r="D196" s="56" t="n">
        <v>-55000000</v>
      </c>
      <c r="E196" s="56" t="n">
        <v>-2000000</v>
      </c>
      <c r="F196" s="56" t="n">
        <v>133000000</v>
      </c>
      <c r="G196" s="56" t="n">
        <v>288000000</v>
      </c>
      <c r="H196" s="56" t="n">
        <v>-214000000</v>
      </c>
      <c r="I196" s="56" t="n">
        <v>363000000</v>
      </c>
    </row>
    <row r="197">
      <c r="B197" s="8" t="inlineStr">
        <is>
          <t>Net increase (decrease) in cash and cash equivalents</t>
        </is>
      </c>
      <c r="C197" s="55" t="inlineStr">
        <is>
          <t>IncreaseDecreaseInCashAndCashEquivalents</t>
        </is>
      </c>
      <c r="D197" s="58" t="n">
        <v>571000000</v>
      </c>
      <c r="E197" s="58" t="n">
        <v>767000000</v>
      </c>
      <c r="F197" s="58" t="n">
        <v>-716000000</v>
      </c>
      <c r="G197" s="58" t="n">
        <v>1350000000</v>
      </c>
      <c r="H197" s="58" t="n">
        <v>3688000000</v>
      </c>
      <c r="I197" s="58" t="n">
        <v>2916000000</v>
      </c>
    </row>
    <row r="200" ht="21" customHeight="1" s="203">
      <c r="A200" t="inlineStr">
        <is>
          <t>#</t>
        </is>
      </c>
      <c r="B200" s="70" t="inlineStr">
        <is>
          <t>NOTES TO ACCOUNTS</t>
        </is>
      </c>
    </row>
    <row r="202" ht="15.5" customHeight="1" s="203">
      <c r="A202" t="inlineStr">
        <is>
          <t>#</t>
        </is>
      </c>
      <c r="B202" s="38" t="inlineStr">
        <is>
          <t>Notes to Statement of Profit and Loss: Additional Information Statement Of Profit And Loss</t>
        </is>
      </c>
    </row>
    <row r="204">
      <c r="C204" s="53" t="inlineStr">
        <is>
          <t>Concept Tag</t>
        </is>
      </c>
      <c r="D204" s="20" t="inlineStr">
        <is>
          <t>FY2017</t>
        </is>
      </c>
      <c r="E204" s="20" t="inlineStr">
        <is>
          <t>FY2018</t>
        </is>
      </c>
      <c r="F204" s="20" t="inlineStr">
        <is>
          <t>FY2019</t>
        </is>
      </c>
      <c r="G204" s="20" t="inlineStr">
        <is>
          <t>FY2020</t>
        </is>
      </c>
      <c r="H204" s="20" t="inlineStr">
        <is>
          <t>FY2021</t>
        </is>
      </c>
      <c r="I204" s="20" t="inlineStr">
        <is>
          <t>FY2022</t>
        </is>
      </c>
    </row>
    <row r="205" ht="15.5" customHeight="1" s="203">
      <c r="B205" s="38" t="inlineStr">
        <is>
          <t>Additional information on profit and loss account [Abstract]</t>
        </is>
      </c>
    </row>
    <row r="206">
      <c r="B206" s="59" t="inlineStr">
        <is>
          <t>Miscellaneous other comprehensive income [Abstract]</t>
        </is>
      </c>
    </row>
    <row r="207">
      <c r="B207" s="62" t="inlineStr">
        <is>
          <t>Other Comprehensive income, attributable to owners of parent</t>
        </is>
      </c>
      <c r="C207" s="55" t="inlineStr">
        <is>
          <t>OtherComprehensiveIncomeAttributableToOwnersOfParent</t>
        </is>
      </c>
      <c r="D207" s="56" t="n">
        <v>-621000000</v>
      </c>
      <c r="E207" s="56" t="n">
        <v>0</v>
      </c>
      <c r="F207" s="56" t="n">
        <v>0</v>
      </c>
      <c r="G207" s="56" t="n">
        <v>0</v>
      </c>
      <c r="H207" s="56" t="n">
        <v>0</v>
      </c>
      <c r="I207" s="56" t="n">
        <v>0</v>
      </c>
    </row>
    <row r="208">
      <c r="B208" s="59" t="inlineStr">
        <is>
          <t>Income tax relating to components of other comprehensive income [Abstract]</t>
        </is>
      </c>
    </row>
    <row r="209">
      <c r="B209" s="62" t="inlineStr">
        <is>
          <t>Aggregated income tax relating to components of other comprehensive income that will not be reclassified to profit or loss</t>
        </is>
      </c>
      <c r="C209" s="55" t="inlineStr">
        <is>
          <t>IncomeTaxRelatingToComponentsOfOtherComprehensiveIncomeThatWillNotBeReclassifiedToProfitOrLoss</t>
        </is>
      </c>
      <c r="D209" s="56" t="n">
        <v>-3000000</v>
      </c>
      <c r="E209" s="56" t="n">
        <v>-5000000</v>
      </c>
      <c r="F209" s="56" t="n">
        <v>-21000000</v>
      </c>
      <c r="G209" s="56" t="n">
        <v>-26000000</v>
      </c>
      <c r="H209" s="56" t="n">
        <v>-28000000</v>
      </c>
      <c r="I209" s="56" t="n">
        <v>24000000</v>
      </c>
    </row>
    <row r="210">
      <c r="B210" s="62" t="inlineStr">
        <is>
          <t>Aggregated income tax relating to components of other comprehensive income that will be reclassified to profit or loss</t>
        </is>
      </c>
      <c r="C210" s="55" t="inlineStr">
        <is>
          <t>IncomeTaxRelatingToComponentsOfOtherComprehensiveIncomeThatWillBeReclassifiedToProfitOrLoss</t>
        </is>
      </c>
      <c r="D210" s="56" t="n">
        <v>0</v>
      </c>
      <c r="E210" s="56" t="n">
        <v>0</v>
      </c>
      <c r="F210" s="56" t="n">
        <v>0</v>
      </c>
      <c r="G210" s="56" t="n">
        <v>-1093000000</v>
      </c>
      <c r="H210" s="56" t="n">
        <v>1819000000</v>
      </c>
      <c r="I210" s="56" t="n">
        <v>480000000</v>
      </c>
    </row>
    <row r="211">
      <c r="B211" s="67" t="inlineStr">
        <is>
          <t>Total aggregated income tax relating to components of other comprehensive income</t>
        </is>
      </c>
      <c r="C211" s="55" t="inlineStr">
        <is>
          <t>IncomeTaxRelatingToComponentsOfOtherComprehensiveIncome</t>
        </is>
      </c>
      <c r="D211" s="58" t="n">
        <v>-3000000</v>
      </c>
      <c r="E211" s="58" t="n">
        <v>-5000000</v>
      </c>
      <c r="F211" s="58" t="n">
        <v>-21000000</v>
      </c>
      <c r="G211" s="58" t="n">
        <v>-1119000000</v>
      </c>
      <c r="H211" s="58" t="n">
        <v>1791000000</v>
      </c>
      <c r="I211" s="58" t="n">
        <v>504000000</v>
      </c>
    </row>
    <row r="212">
      <c r="B212" s="59" t="inlineStr">
        <is>
          <t>Details of cost incurred for issuing options or shares under employee stock option or stock purchase scheme [Abstract]</t>
        </is>
      </c>
    </row>
    <row r="213">
      <c r="B213" s="60" t="inlineStr">
        <is>
          <t>Revenue from sale of services [Abstract]</t>
        </is>
      </c>
    </row>
    <row r="214">
      <c r="B214" s="65" t="inlineStr">
        <is>
          <t>Total revenue from sale of services</t>
        </is>
      </c>
      <c r="C214" s="55" t="inlineStr">
        <is>
          <t>RevenueFromSaleOfServices</t>
        </is>
      </c>
      <c r="D214" s="58" t="n">
        <v>52364000000</v>
      </c>
      <c r="E214" s="58" t="n">
        <v>54628000000</v>
      </c>
      <c r="F214" s="58" t="n">
        <v>70215000000</v>
      </c>
      <c r="G214" s="58" t="n">
        <v>77643000000</v>
      </c>
      <c r="H214" s="58" t="n">
        <v>79678000000</v>
      </c>
      <c r="I214" s="58" t="n">
        <v>105253000000</v>
      </c>
    </row>
    <row r="219" ht="15.5" customHeight="1" s="203">
      <c r="A219" t="inlineStr">
        <is>
          <t>#</t>
        </is>
      </c>
      <c r="B219" s="38" t="inlineStr">
        <is>
          <t>Notes to Statement of Profit and Loss: Earnings Per Share</t>
        </is>
      </c>
    </row>
    <row r="221">
      <c r="C221" s="53" t="inlineStr">
        <is>
          <t>Concept Tag</t>
        </is>
      </c>
      <c r="D221" s="20" t="inlineStr">
        <is>
          <t>FY2017</t>
        </is>
      </c>
      <c r="E221" s="20" t="inlineStr">
        <is>
          <t>FY2018</t>
        </is>
      </c>
      <c r="F221" s="20" t="inlineStr">
        <is>
          <t>FY2019</t>
        </is>
      </c>
      <c r="G221" s="20" t="inlineStr">
        <is>
          <t>FY2020</t>
        </is>
      </c>
      <c r="H221" s="20" t="inlineStr">
        <is>
          <t>FY2021</t>
        </is>
      </c>
      <c r="I221" s="20" t="inlineStr">
        <is>
          <t>FY2022</t>
        </is>
      </c>
    </row>
    <row r="222">
      <c r="B222" s="59" t="inlineStr">
        <is>
          <t>Earnings per share [Abstract]</t>
        </is>
      </c>
    </row>
    <row r="223">
      <c r="B223" s="60" t="inlineStr">
        <is>
          <t>Earnings per share [Line items]</t>
        </is>
      </c>
    </row>
    <row r="224">
      <c r="B224" s="63" t="inlineStr">
        <is>
          <t>Basic earnings per share [Abstract]</t>
        </is>
      </c>
    </row>
    <row r="225">
      <c r="B225" s="64" t="inlineStr">
        <is>
          <t>Basic earnings (loss) per share from continuing operations</t>
        </is>
      </c>
      <c r="C225" s="55" t="inlineStr">
        <is>
          <t>BasicEarningsLossPerShareFromContinuingOperations</t>
        </is>
      </c>
      <c r="D225" s="56" t="n">
        <v>24.93</v>
      </c>
      <c r="E225" s="56" t="n">
        <v>34.39</v>
      </c>
      <c r="F225" s="56" t="n">
        <v>45.94</v>
      </c>
      <c r="G225" s="56" t="n">
        <v>38.35</v>
      </c>
      <c r="H225" s="56" t="n">
        <v>67.44</v>
      </c>
      <c r="I225" s="56" t="n">
        <v>100.31</v>
      </c>
    </row>
    <row r="226">
      <c r="B226" s="66" t="inlineStr">
        <is>
          <t>Total basic earnings (loss) per share</t>
        </is>
      </c>
      <c r="C226" s="55" t="inlineStr">
        <is>
          <t>BasicEarningsLossPerShare</t>
        </is>
      </c>
      <c r="D226" s="58" t="n">
        <v>24.93</v>
      </c>
      <c r="E226" s="58" t="n">
        <v>34.39</v>
      </c>
      <c r="F226" s="58" t="n">
        <v>45.94</v>
      </c>
      <c r="G226" s="58" t="n">
        <v>0</v>
      </c>
      <c r="H226" s="58" t="n">
        <v>67.44</v>
      </c>
      <c r="I226" s="58" t="n">
        <v>100.31</v>
      </c>
    </row>
    <row r="227">
      <c r="B227" s="63" t="inlineStr">
        <is>
          <t>Diluted earnings per share [Abstract]</t>
        </is>
      </c>
    </row>
    <row r="228">
      <c r="B228" s="64" t="inlineStr">
        <is>
          <t>Diluted earnings (loss) per share from continuing operations</t>
        </is>
      </c>
      <c r="C228" s="55" t="inlineStr">
        <is>
          <t>DilutedEarningsLossPerShareFromContinuingOperations</t>
        </is>
      </c>
      <c r="D228" s="56" t="n">
        <v>24.89</v>
      </c>
      <c r="E228" s="56" t="n">
        <v>34.28</v>
      </c>
      <c r="F228" s="56" t="n">
        <v>45.85</v>
      </c>
      <c r="G228" s="56" t="n">
        <v>38.33</v>
      </c>
      <c r="H228" s="56" t="n">
        <v>67.41</v>
      </c>
      <c r="I228" s="56" t="n">
        <v>100.25</v>
      </c>
    </row>
    <row r="229">
      <c r="B229" s="66" t="inlineStr">
        <is>
          <t>Total diluted earnings (loss) per share</t>
        </is>
      </c>
      <c r="C229" s="55" t="inlineStr">
        <is>
          <t>DilutedEarningsLossPerShare</t>
        </is>
      </c>
      <c r="D229" s="58" t="n">
        <v>24.89</v>
      </c>
      <c r="E229" s="58" t="n">
        <v>34.28</v>
      </c>
      <c r="F229" s="58" t="n">
        <v>45.85</v>
      </c>
      <c r="G229" s="58" t="n">
        <v>38.33</v>
      </c>
      <c r="H229" s="58" t="n">
        <v>67.41</v>
      </c>
      <c r="I229" s="58" t="n">
        <v>100.25</v>
      </c>
    </row>
    <row r="230">
      <c r="B230" s="63" t="inlineStr">
        <is>
          <t>Profit (loss), attributable to ordinary equity holders of parent entity [Abstract]</t>
        </is>
      </c>
    </row>
    <row r="231">
      <c r="B231" s="64" t="inlineStr">
        <is>
          <t>Profit (loss), attributable to ordinary equity holders of parent entity, used in calculating basic earnings per share</t>
        </is>
      </c>
      <c r="C231" s="55" t="inlineStr">
        <is>
          <t>ProfitLossAttributableToOrdinaryEquityHoldersOfParentEntity</t>
        </is>
      </c>
      <c r="D231" s="56" t="n">
        <v>4186000000</v>
      </c>
      <c r="E231" s="56" t="n">
        <v>0</v>
      </c>
      <c r="F231" s="56" t="n">
        <v>0</v>
      </c>
      <c r="G231" s="56" t="n">
        <v>0</v>
      </c>
      <c r="H231" s="56" t="n">
        <v>11105000000</v>
      </c>
      <c r="I231" s="56" t="n">
        <v>16529000000</v>
      </c>
    </row>
    <row r="232">
      <c r="B232" s="64" t="inlineStr">
        <is>
          <t>Profit (loss), attributable to ordinary equity holders of parent entity, used in calculating diluted earnings per share</t>
        </is>
      </c>
      <c r="C232" s="55" t="inlineStr">
        <is>
          <t>ProfitLossAttributableToOrdinaryEquityHoldersOfParentEntityIncludingDilutiveEffects</t>
        </is>
      </c>
      <c r="D232" s="56" t="n">
        <v>4186000000</v>
      </c>
      <c r="E232" s="56" t="n">
        <v>0</v>
      </c>
      <c r="F232" s="56" t="n">
        <v>0</v>
      </c>
      <c r="G232" s="56" t="n">
        <v>0</v>
      </c>
      <c r="H232" s="56" t="n">
        <v>11105000000</v>
      </c>
      <c r="I232" s="56" t="n">
        <v>16529000000</v>
      </c>
    </row>
    <row r="233">
      <c r="B233" s="63" t="inlineStr">
        <is>
          <t>Weighted average shares and adjusted weighted average shares [Abstract]</t>
        </is>
      </c>
    </row>
    <row r="234">
      <c r="B234" s="64" t="inlineStr">
        <is>
          <t>Weighted average number of ordinary shares outstanding</t>
        </is>
      </c>
      <c r="C234" s="55" t="inlineStr">
        <is>
          <t>WeightedAverageShares</t>
        </is>
      </c>
      <c r="D234" s="56" t="n">
        <v>167918389</v>
      </c>
      <c r="E234" s="56" t="n">
        <v>0</v>
      </c>
      <c r="F234" s="56" t="n">
        <v>0</v>
      </c>
      <c r="G234" s="56" t="n">
        <v>0</v>
      </c>
      <c r="H234" s="56" t="n">
        <v>164661734</v>
      </c>
      <c r="I234" s="56" t="n">
        <v>164779774</v>
      </c>
    </row>
    <row r="236" ht="15.5" customHeight="1" s="203">
      <c r="B236" s="38" t="inlineStr">
        <is>
          <t>Adjustments to reconcile profit (loss) to numerator used in calculating earnings per share [abstract]</t>
        </is>
      </c>
    </row>
    <row r="237">
      <c r="B237" s="54" t="inlineStr">
        <is>
          <t>Profit (loss), attributable to ordinary equity holders of parent entity, used in calculating basic earnings per share</t>
        </is>
      </c>
      <c r="C237" s="55" t="inlineStr">
        <is>
          <t>ProfitLossAttributableToOrdinaryEquityHoldersOfParentEntity</t>
        </is>
      </c>
      <c r="D237" s="56" t="n">
        <v>4186000000</v>
      </c>
      <c r="E237" s="56" t="n">
        <v>0</v>
      </c>
      <c r="F237" s="56" t="n">
        <v>0</v>
      </c>
      <c r="G237" s="56" t="n">
        <v>0</v>
      </c>
      <c r="H237" s="56" t="n">
        <v>11105000000</v>
      </c>
      <c r="I237" s="56" t="n">
        <v>16529000000</v>
      </c>
    </row>
    <row r="238">
      <c r="B238" s="54" t="inlineStr">
        <is>
          <t>Profit (loss), attributable to ordinary equity holders of parent entity, used in calculating diluted earnings per share</t>
        </is>
      </c>
      <c r="C238" s="55" t="inlineStr">
        <is>
          <t>ProfitLossAttributableToOrdinaryEquityHoldersOfParentEntityIncludingDilutiveEffects</t>
        </is>
      </c>
      <c r="D238" s="56" t="n">
        <v>4186000000</v>
      </c>
      <c r="E238" s="56" t="n">
        <v>0</v>
      </c>
      <c r="F238" s="56" t="n">
        <v>0</v>
      </c>
      <c r="G238" s="56" t="n">
        <v>0</v>
      </c>
      <c r="H238" s="56" t="n">
        <v>11105000000</v>
      </c>
      <c r="I238" s="56" t="n">
        <v>16529000000</v>
      </c>
    </row>
    <row r="240" ht="15.5" customHeight="1" s="203">
      <c r="B240" s="38" t="inlineStr">
        <is>
          <t>Participating equity instruments other than ordinary shares [abstract]</t>
        </is>
      </c>
    </row>
    <row r="241">
      <c r="B241" s="59" t="inlineStr">
        <is>
          <t>Disclosure of depositary receipts [abstract]</t>
        </is>
      </c>
    </row>
    <row r="242">
      <c r="B242" s="60" t="inlineStr">
        <is>
          <t>Disclosure of depositary receipts [Line items]</t>
        </is>
      </c>
    </row>
    <row r="243">
      <c r="B243" s="63" t="inlineStr">
        <is>
          <t>Basic earnings per share [Abstract]</t>
        </is>
      </c>
    </row>
    <row r="244">
      <c r="B244" s="64" t="inlineStr">
        <is>
          <t>Basic earnings (loss) per share from continuing operations</t>
        </is>
      </c>
      <c r="C244" s="55" t="inlineStr">
        <is>
          <t>BasicEarningsLossPerShareFromContinuingOperations</t>
        </is>
      </c>
      <c r="D244" s="56" t="n">
        <v>24.93</v>
      </c>
      <c r="E244" s="56" t="n">
        <v>34.39</v>
      </c>
      <c r="F244" s="56" t="n">
        <v>45.94</v>
      </c>
      <c r="G244" s="56" t="n">
        <v>38.35</v>
      </c>
      <c r="H244" s="56" t="n">
        <v>67.44</v>
      </c>
      <c r="I244" s="56" t="n">
        <v>100.31</v>
      </c>
    </row>
    <row r="245">
      <c r="B245" s="66" t="inlineStr">
        <is>
          <t>Total basic earnings (loss) per share</t>
        </is>
      </c>
      <c r="C245" s="55" t="inlineStr">
        <is>
          <t>BasicEarningsLossPerShare</t>
        </is>
      </c>
      <c r="D245" s="58" t="n">
        <v>24.93</v>
      </c>
      <c r="E245" s="58" t="n">
        <v>34.39</v>
      </c>
      <c r="F245" s="58" t="n">
        <v>45.94</v>
      </c>
      <c r="G245" s="58" t="n">
        <v>0</v>
      </c>
      <c r="H245" s="58" t="n">
        <v>67.44</v>
      </c>
      <c r="I245" s="58" t="n">
        <v>100.31</v>
      </c>
    </row>
    <row r="246">
      <c r="B246" s="63" t="inlineStr">
        <is>
          <t>Diluted earnings per share [Abstract]</t>
        </is>
      </c>
    </row>
    <row r="247">
      <c r="B247" s="64" t="inlineStr">
        <is>
          <t>Diluted earnings (loss) per share from continuing operations</t>
        </is>
      </c>
      <c r="C247" s="55" t="inlineStr">
        <is>
          <t>DilutedEarningsLossPerShareFromContinuingOperations</t>
        </is>
      </c>
      <c r="D247" s="56" t="n">
        <v>24.89</v>
      </c>
      <c r="E247" s="56" t="n">
        <v>34.28</v>
      </c>
      <c r="F247" s="56" t="n">
        <v>45.85</v>
      </c>
      <c r="G247" s="56" t="n">
        <v>38.33</v>
      </c>
      <c r="H247" s="56" t="n">
        <v>67.41</v>
      </c>
      <c r="I247" s="56" t="n">
        <v>100.25</v>
      </c>
    </row>
    <row r="248">
      <c r="B248" s="66" t="inlineStr">
        <is>
          <t>Total diluted earnings (loss) per share</t>
        </is>
      </c>
      <c r="C248" s="55" t="inlineStr">
        <is>
          <t>DilutedEarningsLossPerShare</t>
        </is>
      </c>
      <c r="D248" s="58" t="n">
        <v>24.89</v>
      </c>
      <c r="E248" s="58" t="n">
        <v>34.28</v>
      </c>
      <c r="F248" s="58" t="n">
        <v>45.85</v>
      </c>
      <c r="G248" s="58" t="n">
        <v>38.33</v>
      </c>
      <c r="H248" s="58" t="n">
        <v>67.41</v>
      </c>
      <c r="I248" s="58" t="n">
        <v>100.25</v>
      </c>
    </row>
    <row r="249">
      <c r="B249" s="63" t="inlineStr">
        <is>
          <t>Weighted average shares and adjusted weighted average shares [Abstract]</t>
        </is>
      </c>
    </row>
    <row r="250">
      <c r="B250" s="64" t="inlineStr">
        <is>
          <t>Weighted average number of ordinary shares outstanding</t>
        </is>
      </c>
      <c r="C250" s="55" t="inlineStr">
        <is>
          <t>WeightedAverageShares</t>
        </is>
      </c>
      <c r="D250" s="56" t="n">
        <v>167918389</v>
      </c>
      <c r="E250" s="56" t="n">
        <v>0</v>
      </c>
      <c r="F250" s="56" t="n">
        <v>0</v>
      </c>
      <c r="G250" s="56" t="n">
        <v>0</v>
      </c>
      <c r="H250" s="56" t="n">
        <v>164661734</v>
      </c>
      <c r="I250" s="56" t="n">
        <v>164779774</v>
      </c>
    </row>
    <row r="253" ht="15.5" customHeight="1" s="203">
      <c r="A253" t="inlineStr">
        <is>
          <t>#</t>
        </is>
      </c>
      <c r="B253" s="38" t="inlineStr">
        <is>
          <t>Notes to Statement of Profit and Loss: Income Taxes</t>
        </is>
      </c>
    </row>
    <row r="255">
      <c r="C255" s="53" t="inlineStr">
        <is>
          <t>Concept Tag</t>
        </is>
      </c>
      <c r="D255" s="20" t="inlineStr">
        <is>
          <t>FY2017</t>
        </is>
      </c>
      <c r="E255" s="20" t="inlineStr">
        <is>
          <t>FY2018</t>
        </is>
      </c>
      <c r="F255" s="20" t="inlineStr">
        <is>
          <t>FY2019</t>
        </is>
      </c>
      <c r="G255" s="20" t="inlineStr">
        <is>
          <t>FY2020</t>
        </is>
      </c>
      <c r="H255" s="20" t="inlineStr">
        <is>
          <t>FY2021</t>
        </is>
      </c>
      <c r="I255" s="20" t="inlineStr">
        <is>
          <t>FY2022</t>
        </is>
      </c>
    </row>
    <row r="256" ht="15.5" customHeight="1" s="203">
      <c r="B256" s="38" t="inlineStr">
        <is>
          <t>Major components of tax expense (income) [Abstract]</t>
        </is>
      </c>
    </row>
    <row r="257">
      <c r="B257" s="59" t="inlineStr">
        <is>
          <t>Current tax expense (income) and adjustments for current tax of prior periods [Abstract]</t>
        </is>
      </c>
    </row>
    <row r="258">
      <c r="B258" s="62" t="inlineStr">
        <is>
          <t>Current tax expense (income)</t>
        </is>
      </c>
      <c r="C258" s="55" t="inlineStr">
        <is>
          <t>CurrentTaxExpenseIncome</t>
        </is>
      </c>
      <c r="D258" s="56" t="n">
        <v>1577000000</v>
      </c>
      <c r="E258" s="56" t="n">
        <v>1555000000</v>
      </c>
      <c r="F258" s="56" t="n">
        <v>2456000000</v>
      </c>
      <c r="G258" s="56" t="n">
        <v>2333000000</v>
      </c>
      <c r="H258" s="56" t="n">
        <v>4214000000</v>
      </c>
      <c r="I258" s="56" t="n">
        <v>5546000000</v>
      </c>
    </row>
    <row r="259">
      <c r="B259" s="67" t="inlineStr">
        <is>
          <t>Total current tax expense (income) and adjustments for current tax of prior periods</t>
        </is>
      </c>
      <c r="C259" s="55" t="inlineStr">
        <is>
          <t>CurrentTaxExpenseIncomeAndAdjustmentsForCurrentTaxOfPriorPeriods</t>
        </is>
      </c>
      <c r="D259" s="58" t="n">
        <v>1577000000</v>
      </c>
      <c r="E259" s="58" t="n">
        <v>1555000000</v>
      </c>
      <c r="F259" s="58" t="n">
        <v>2456000000</v>
      </c>
      <c r="G259" s="58" t="n">
        <v>2333000000</v>
      </c>
      <c r="H259" s="58" t="n">
        <v>4214000000</v>
      </c>
      <c r="I259" s="58" t="n">
        <v>5546000000</v>
      </c>
    </row>
    <row r="260">
      <c r="B260" s="54" t="inlineStr">
        <is>
          <t>Deferred tax expense (income) relating to origination and reversal of temporary differences</t>
        </is>
      </c>
      <c r="C260" s="55" t="inlineStr">
        <is>
          <t>DeferredTaxExpenseIncomeRelatingToOriginationAndReversalOfTemporaryDifferences</t>
        </is>
      </c>
      <c r="D260" s="56" t="n">
        <v>-214000000</v>
      </c>
      <c r="E260" s="56" t="n">
        <v>167000000</v>
      </c>
      <c r="F260" s="56" t="n">
        <v>-129000000</v>
      </c>
      <c r="G260" s="56" t="n">
        <v>-354000000</v>
      </c>
      <c r="H260" s="56" t="n">
        <v>-335000000</v>
      </c>
      <c r="I260" s="56" t="n">
        <v>32000000</v>
      </c>
    </row>
    <row r="261">
      <c r="B261" s="57" t="inlineStr">
        <is>
          <t>Total tax expense (income)</t>
        </is>
      </c>
      <c r="C261" s="55" t="inlineStr">
        <is>
          <t>IncomeTaxExpenseContinuingOperations</t>
        </is>
      </c>
      <c r="D261" s="58" t="n">
        <v>1363000000</v>
      </c>
      <c r="E261" s="58" t="n">
        <v>1722000000</v>
      </c>
      <c r="F261" s="58" t="n">
        <v>2327000000</v>
      </c>
      <c r="G261" s="58" t="n">
        <v>1979000000</v>
      </c>
      <c r="H261" s="58" t="n">
        <v>3879000000</v>
      </c>
      <c r="I261" s="58" t="n">
        <v>5578000000</v>
      </c>
    </row>
    <row r="264" ht="15.5" customHeight="1" s="203">
      <c r="B264" s="38" t="inlineStr">
        <is>
          <t>Income tax relating to components of other comprehensive income [Abstract]</t>
        </is>
      </c>
    </row>
    <row r="265">
      <c r="B265" s="54" t="inlineStr">
        <is>
          <t>Income tax relating to cash flow hedges of other comprehensive income</t>
        </is>
      </c>
      <c r="C265" s="55" t="inlineStr">
        <is>
          <t>IncomeTaxRelatingToCashFlowHedgesOfOtherComprehensiveIncome</t>
        </is>
      </c>
      <c r="D265" s="56" t="n">
        <v>0</v>
      </c>
      <c r="E265" s="56" t="n">
        <v>0</v>
      </c>
      <c r="F265" s="56" t="n">
        <v>0</v>
      </c>
      <c r="G265" s="56" t="n">
        <v>-1093000000</v>
      </c>
      <c r="H265" s="56" t="n">
        <v>0</v>
      </c>
      <c r="I265" s="56" t="n">
        <v>0</v>
      </c>
    </row>
    <row r="266">
      <c r="B266" s="54" t="inlineStr">
        <is>
          <t>Income tax relating to remeasurements of defined benefit plans of other comprehensive income</t>
        </is>
      </c>
      <c r="C266" s="55" t="inlineStr">
        <is>
          <t>IncomeTaxRelatingToRemeasurementsOfDefinedBenefitPlansOfOtherComprehensiveIncome</t>
        </is>
      </c>
      <c r="D266" s="56" t="n">
        <v>-2000000</v>
      </c>
      <c r="E266" s="56" t="n">
        <v>-5000000</v>
      </c>
      <c r="F266" s="56" t="n">
        <v>-21000000</v>
      </c>
      <c r="G266" s="56" t="n">
        <v>-26000000</v>
      </c>
      <c r="H266" s="56" t="n">
        <v>-28000000</v>
      </c>
      <c r="I266" s="56" t="n">
        <v>24000000</v>
      </c>
    </row>
    <row r="267">
      <c r="B267" s="54" t="inlineStr">
        <is>
          <t>Income tax relating to investments in equity instruments of other comprehensive income</t>
        </is>
      </c>
      <c r="C267" s="55" t="inlineStr">
        <is>
          <t>IncomeTaxRelatingToInvestmentsInEquityInstrumentsOfOtherComprehensiveIncome</t>
        </is>
      </c>
      <c r="D267" s="56" t="n">
        <v>-1000000</v>
      </c>
      <c r="E267" s="56" t="n">
        <v>0</v>
      </c>
      <c r="F267" s="56" t="n">
        <v>0</v>
      </c>
      <c r="G267" s="56" t="n">
        <v>0</v>
      </c>
      <c r="H267" s="56" t="n">
        <v>0</v>
      </c>
      <c r="I267" s="56" t="n">
        <v>0</v>
      </c>
    </row>
    <row r="268">
      <c r="B268" s="54" t="inlineStr">
        <is>
          <t>Others income tax relating to components of other comprehensive income that will be reclassified to profit or loss</t>
        </is>
      </c>
      <c r="C268" s="55" t="inlineStr">
        <is>
          <t>OthersIncomeTaxRelatingToComponentsOfOtherComprehensiveIncomeThatWillBeReclassifiedToProfitOrLoss</t>
        </is>
      </c>
      <c r="D268" s="56" t="n">
        <v>0</v>
      </c>
      <c r="E268" s="56" t="n">
        <v>0</v>
      </c>
      <c r="F268" s="56" t="n">
        <v>0</v>
      </c>
      <c r="G268" s="56" t="n">
        <v>0</v>
      </c>
      <c r="H268" s="56" t="n">
        <v>1819000000</v>
      </c>
      <c r="I268" s="56" t="n">
        <v>480000000</v>
      </c>
    </row>
    <row r="269">
      <c r="B269" s="57" t="inlineStr">
        <is>
          <t>Total aggregated income tax relating to components of other comprehensive income</t>
        </is>
      </c>
      <c r="C269" s="55" t="inlineStr">
        <is>
          <t>IncomeTaxRelatingToComponentsOfOtherComprehensiveIncome</t>
        </is>
      </c>
      <c r="D269" s="58" t="n">
        <v>-3000000</v>
      </c>
      <c r="E269" s="58" t="n">
        <v>-5000000</v>
      </c>
      <c r="F269" s="58" t="n">
        <v>-21000000</v>
      </c>
      <c r="G269" s="58" t="n">
        <v>-1119000000</v>
      </c>
      <c r="H269" s="58" t="n">
        <v>1791000000</v>
      </c>
      <c r="I269" s="58" t="n">
        <v>504000000</v>
      </c>
    </row>
    <row r="271">
      <c r="B271" s="6" t="inlineStr">
        <is>
          <t>Unused tax losses for which no deferred tax Assets recognised</t>
        </is>
      </c>
      <c r="C271" s="55" t="inlineStr">
        <is>
          <t>UnusedTaxLossesForWhichNoDeferredTaxAssetsRecognised</t>
        </is>
      </c>
      <c r="D271" s="56" t="n">
        <v>446000000</v>
      </c>
      <c r="E271" s="56" t="n">
        <v>0</v>
      </c>
      <c r="F271" s="56" t="n">
        <v>0</v>
      </c>
      <c r="G271" s="56" t="n">
        <v>0</v>
      </c>
      <c r="H271" s="56" t="n">
        <v>0</v>
      </c>
      <c r="I271" s="56" t="n">
        <v>0</v>
      </c>
    </row>
    <row r="272">
      <c r="B272" s="59" t="inlineStr">
        <is>
          <t>Disclosure of temporary difference, unused tax losses and unused tax credits [Abstract]</t>
        </is>
      </c>
    </row>
    <row r="273">
      <c r="B273" s="60" t="inlineStr">
        <is>
          <t>Disclosure of temporary difference, unused tax losses and unused tax credits [Line items]</t>
        </is>
      </c>
    </row>
    <row r="274">
      <c r="B274" s="63" t="inlineStr">
        <is>
          <t>Deferred tax assets and liabilities [Abstract]</t>
        </is>
      </c>
    </row>
    <row r="275">
      <c r="B275" s="64" t="inlineStr">
        <is>
          <t>Deferred tax assets</t>
        </is>
      </c>
      <c r="C275" s="55" t="inlineStr">
        <is>
          <t>DeferredTaxAssets</t>
        </is>
      </c>
      <c r="D275" s="56" t="n">
        <v>927000000</v>
      </c>
      <c r="E275" s="56" t="n">
        <v>832000000</v>
      </c>
      <c r="F275" s="56" t="n">
        <v>889000000</v>
      </c>
      <c r="G275" s="56" t="n">
        <v>2328000000</v>
      </c>
      <c r="H275" s="56" t="n">
        <v>1447000000</v>
      </c>
      <c r="I275" s="56" t="n">
        <v>1467000000</v>
      </c>
    </row>
    <row r="276">
      <c r="B276" s="64" t="inlineStr">
        <is>
          <t>Deferred tax liabilities</t>
        </is>
      </c>
      <c r="C276" s="55" t="inlineStr">
        <is>
          <t>DeferredTaxLiabilities</t>
        </is>
      </c>
      <c r="D276" s="56" t="n">
        <v>303000000</v>
      </c>
      <c r="E276" s="56" t="n">
        <v>514000000</v>
      </c>
      <c r="F276" s="56" t="n">
        <v>501000000</v>
      </c>
      <c r="G276" s="56" t="n">
        <v>493000000</v>
      </c>
      <c r="H276" s="56" t="n">
        <v>1096000000</v>
      </c>
      <c r="I276" s="56" t="n">
        <v>1628000000</v>
      </c>
    </row>
    <row r="277">
      <c r="B277" s="66" t="inlineStr">
        <is>
          <t>Deferred tax liability (assets) at end of period</t>
        </is>
      </c>
      <c r="C277" s="55" t="inlineStr">
        <is>
          <t>DeferredTaxLiabilityAssets</t>
        </is>
      </c>
      <c r="D277" s="58" t="n">
        <v>-624000000</v>
      </c>
      <c r="E277" s="58" t="n">
        <v>-318000000</v>
      </c>
      <c r="F277" s="58" t="n">
        <v>-388000000</v>
      </c>
      <c r="G277" s="58" t="n">
        <v>-1835000000</v>
      </c>
      <c r="H277" s="58" t="n">
        <v>-351000000</v>
      </c>
      <c r="I277" s="58" t="n">
        <v>161000000</v>
      </c>
    </row>
    <row r="278">
      <c r="B278" s="63" t="inlineStr">
        <is>
          <t>Deferred tax expense (income) [Abstract]</t>
        </is>
      </c>
    </row>
    <row r="279">
      <c r="B279" s="71" t="inlineStr">
        <is>
          <t>Deferred tax expense (income) recognised in profit or loss</t>
        </is>
      </c>
      <c r="C279" s="55" t="inlineStr">
        <is>
          <t>DeferredTaxExpenseIncomeRecognisedInProfitOrLoss</t>
        </is>
      </c>
      <c r="D279" s="56" t="n">
        <v>-214000000</v>
      </c>
      <c r="E279" s="56" t="n">
        <v>167000000</v>
      </c>
      <c r="F279" s="56" t="n">
        <v>-129000000</v>
      </c>
      <c r="G279" s="56" t="n">
        <v>-354000000</v>
      </c>
      <c r="H279" s="56" t="n">
        <v>-335000000</v>
      </c>
      <c r="I279" s="56" t="n">
        <v>32000000</v>
      </c>
    </row>
    <row r="280">
      <c r="B280" s="63" t="inlineStr">
        <is>
          <t>Reconciliation of changes in deferred tax liability (assets) [Abstract]</t>
        </is>
      </c>
    </row>
    <row r="281">
      <c r="B281" s="66" t="inlineStr">
        <is>
          <t>Deferred tax liability (assets) at end of period</t>
        </is>
      </c>
      <c r="C281" s="55" t="inlineStr">
        <is>
          <t>DeferredTaxLiabilityAssets</t>
        </is>
      </c>
      <c r="D281" s="58" t="n">
        <v>-624000000</v>
      </c>
      <c r="E281" s="58" t="n">
        <v>-318000000</v>
      </c>
      <c r="F281" s="58" t="n">
        <v>-388000000</v>
      </c>
      <c r="G281" s="58" t="n">
        <v>-1835000000</v>
      </c>
      <c r="H281" s="58" t="n">
        <v>-351000000</v>
      </c>
      <c r="I281" s="58" t="n">
        <v>161000000</v>
      </c>
    </row>
    <row r="282">
      <c r="B282" s="68" t="inlineStr">
        <is>
          <t>Changes in deferred tax liability (assets) [Abstract]</t>
        </is>
      </c>
    </row>
    <row r="283">
      <c r="B283" s="71" t="inlineStr">
        <is>
          <t>Deferred tax expense (income) recognised in profit or loss</t>
        </is>
      </c>
      <c r="C283" s="55" t="inlineStr">
        <is>
          <t>DeferredTaxExpenseIncomeRecognisedInProfitOrLoss</t>
        </is>
      </c>
      <c r="D283" s="56" t="n">
        <v>-214000000</v>
      </c>
      <c r="E283" s="56" t="n">
        <v>167000000</v>
      </c>
      <c r="F283" s="56" t="n">
        <v>-129000000</v>
      </c>
      <c r="G283" s="56" t="n">
        <v>-354000000</v>
      </c>
      <c r="H283" s="56" t="n">
        <v>-335000000</v>
      </c>
      <c r="I283" s="56" t="n">
        <v>32000000</v>
      </c>
    </row>
    <row r="284">
      <c r="B284" s="71" t="inlineStr">
        <is>
          <t>Aggregated income tax relating to components of other comprehensive income</t>
        </is>
      </c>
      <c r="C284" s="55" t="inlineStr">
        <is>
          <t>AggregatedIncomeTaxRelatingToComponentsOfOtherComprehensiveIncome</t>
        </is>
      </c>
      <c r="D284" s="56" t="n">
        <v>-1000000</v>
      </c>
      <c r="E284" s="56" t="n">
        <v>0</v>
      </c>
      <c r="F284" s="56" t="n">
        <v>0</v>
      </c>
      <c r="G284" s="56" t="n">
        <v>-1093000000</v>
      </c>
      <c r="H284" s="56" t="n">
        <v>1819000000</v>
      </c>
      <c r="I284" s="56" t="n">
        <v>480000000</v>
      </c>
    </row>
    <row r="285">
      <c r="B285" s="71" t="inlineStr">
        <is>
          <t>Increase (decrease) through net exchange differences, deferred tax liability (assets)</t>
        </is>
      </c>
      <c r="C285" s="55" t="inlineStr">
        <is>
          <t>IncreaseDecreaseThroughNetExchangeDifferencesDeferredTaxLiabilityAssets</t>
        </is>
      </c>
      <c r="D285" s="56" t="n">
        <v>0</v>
      </c>
      <c r="E285" s="56" t="n">
        <v>139000000</v>
      </c>
      <c r="F285" s="56" t="n">
        <v>59000000</v>
      </c>
      <c r="G285" s="56" t="n">
        <v>0</v>
      </c>
      <c r="H285" s="56" t="n">
        <v>0</v>
      </c>
      <c r="I285" s="56" t="n">
        <v>0</v>
      </c>
    </row>
    <row r="286">
      <c r="B286" s="69" t="inlineStr">
        <is>
          <t>Total increase (decrease) in deferred tax liability (assets)</t>
        </is>
      </c>
      <c r="C286" s="55" t="inlineStr">
        <is>
          <t>IncreaseDecreaseInDeferredTaxLiabilityAssets</t>
        </is>
      </c>
      <c r="D286" s="58" t="n">
        <v>-215000000</v>
      </c>
      <c r="E286" s="58" t="n">
        <v>306000000</v>
      </c>
      <c r="F286" s="58" t="n">
        <v>-70000000</v>
      </c>
      <c r="G286" s="58" t="n">
        <v>-1447000000</v>
      </c>
      <c r="H286" s="58" t="n">
        <v>1484000000</v>
      </c>
      <c r="I286" s="58" t="n">
        <v>512000000</v>
      </c>
    </row>
    <row r="287">
      <c r="B287" s="66" t="inlineStr">
        <is>
          <t>Deferred tax liability (assets) at end of period</t>
        </is>
      </c>
      <c r="C287" s="55" t="inlineStr">
        <is>
          <t>DeferredTaxLiabilityAssets</t>
        </is>
      </c>
      <c r="D287" s="58" t="n">
        <v>-624000000</v>
      </c>
      <c r="E287" s="58" t="n">
        <v>-318000000</v>
      </c>
      <c r="F287" s="58" t="n">
        <v>-388000000</v>
      </c>
      <c r="G287" s="58" t="n">
        <v>-1835000000</v>
      </c>
      <c r="H287" s="58" t="n">
        <v>-351000000</v>
      </c>
      <c r="I287" s="58" t="n">
        <v>161000000</v>
      </c>
    </row>
    <row r="289" ht="15.5" customHeight="1" s="203">
      <c r="B289" s="38" t="inlineStr">
        <is>
          <t>Reconciliation of accounting profit multiplied by applicable tax rates [Abstract]</t>
        </is>
      </c>
    </row>
    <row r="290">
      <c r="B290" s="54" t="inlineStr">
        <is>
          <t>Accounting profit</t>
        </is>
      </c>
      <c r="C290" s="55" t="inlineStr">
        <is>
          <t>AccountingProfit</t>
        </is>
      </c>
      <c r="D290" s="56" t="n">
        <v>0</v>
      </c>
      <c r="E290" s="56" t="n">
        <v>7423000000</v>
      </c>
      <c r="F290" s="56" t="n">
        <v>9868000000</v>
      </c>
      <c r="G290" s="56" t="n">
        <v>8288000000</v>
      </c>
      <c r="H290" s="56" t="n">
        <v>14984000000</v>
      </c>
      <c r="I290" s="56" t="n">
        <v>22107000000</v>
      </c>
    </row>
    <row r="291">
      <c r="B291" s="54" t="inlineStr">
        <is>
          <t>Tax expense (income) at applicable tax rate</t>
        </is>
      </c>
      <c r="C291" s="55" t="inlineStr">
        <is>
          <t>TaxExpenseIncomeAtApplicableTaxRate</t>
        </is>
      </c>
      <c r="D291" s="56" t="n">
        <v>1921000000</v>
      </c>
      <c r="E291" s="56" t="n">
        <v>2569000000</v>
      </c>
      <c r="F291" s="56" t="n">
        <v>3448000000</v>
      </c>
      <c r="G291" s="56" t="n">
        <v>2896000000</v>
      </c>
      <c r="H291" s="56" t="n">
        <v>5235000000</v>
      </c>
      <c r="I291" s="56" t="n">
        <v>7724000000</v>
      </c>
    </row>
    <row r="292">
      <c r="B292" s="54" t="inlineStr">
        <is>
          <t>Tax effect of revenues exempt from taxation</t>
        </is>
      </c>
      <c r="C292" s="55" t="inlineStr">
        <is>
          <t>TaxEffectOfRevenuesExemptFromTaxation2011</t>
        </is>
      </c>
      <c r="D292" s="56" t="n">
        <v>1024000000</v>
      </c>
      <c r="E292" s="56" t="n">
        <v>1358000000</v>
      </c>
      <c r="F292" s="56" t="n">
        <v>1080000000</v>
      </c>
      <c r="G292" s="56" t="n">
        <v>1055000000</v>
      </c>
      <c r="H292" s="56" t="n">
        <v>1771000000</v>
      </c>
      <c r="I292" s="56" t="n">
        <v>2151000000</v>
      </c>
    </row>
    <row r="293">
      <c r="B293" s="54" t="inlineStr">
        <is>
          <t>Tax effect of expense not deductible in determining taxable profit (tax loss)</t>
        </is>
      </c>
      <c r="C293" s="55" t="inlineStr">
        <is>
          <t>TaxEffectOfExpenseNotDeductibleInDeterminingTaxableProfitTaxLoss</t>
        </is>
      </c>
      <c r="D293" s="56" t="n">
        <v>87000000</v>
      </c>
      <c r="E293" s="56" t="n">
        <v>181000000</v>
      </c>
      <c r="F293" s="56" t="n">
        <v>66000000</v>
      </c>
      <c r="G293" s="56" t="n">
        <v>62000000</v>
      </c>
      <c r="H293" s="56" t="n">
        <v>106000000</v>
      </c>
      <c r="I293" s="56" t="n">
        <v>52000000</v>
      </c>
    </row>
    <row r="294">
      <c r="B294" s="54" t="inlineStr">
        <is>
          <t>Tax effect of foreign tax rates</t>
        </is>
      </c>
      <c r="C294" s="55" t="inlineStr">
        <is>
          <t>TaxEffectOfForeignTaxRates</t>
        </is>
      </c>
      <c r="D294" s="56" t="n">
        <v>364000000</v>
      </c>
      <c r="E294" s="56" t="n">
        <v>67000000</v>
      </c>
      <c r="F294" s="56" t="n">
        <v>0</v>
      </c>
      <c r="G294" s="56" t="n">
        <v>0</v>
      </c>
      <c r="H294" s="56" t="n">
        <v>0</v>
      </c>
      <c r="I294" s="56" t="n">
        <v>0</v>
      </c>
    </row>
    <row r="295">
      <c r="B295" s="54" t="inlineStr">
        <is>
          <t>Tax effect from change in tax rate</t>
        </is>
      </c>
      <c r="C295" s="55" t="inlineStr">
        <is>
          <t>TaxEffectFromChangeInTaxRate</t>
        </is>
      </c>
      <c r="D295" s="56" t="n">
        <v>-14000000</v>
      </c>
      <c r="E295" s="56" t="n">
        <v>0</v>
      </c>
      <c r="F295" s="56" t="n">
        <v>0</v>
      </c>
      <c r="G295" s="56" t="n">
        <v>0</v>
      </c>
      <c r="H295" s="56" t="n">
        <v>0</v>
      </c>
      <c r="I295" s="56" t="n">
        <v>0</v>
      </c>
    </row>
    <row r="296">
      <c r="B296" s="54" t="inlineStr">
        <is>
          <t>Other tax effects for reconciliation between accounting profit and tax expense (income)</t>
        </is>
      </c>
      <c r="C296" s="55" t="inlineStr">
        <is>
          <t>OtherTaxEffectsForReconciliationBetweenAccountingProfitAndTaxExpenseIncome</t>
        </is>
      </c>
      <c r="D296" s="56" t="n">
        <v>29000000</v>
      </c>
      <c r="E296" s="56" t="n">
        <v>263000000</v>
      </c>
      <c r="F296" s="56" t="n">
        <v>-107000000</v>
      </c>
      <c r="G296" s="56" t="n">
        <v>76000000</v>
      </c>
      <c r="H296" s="56" t="n">
        <v>309000000</v>
      </c>
      <c r="I296" s="56" t="n">
        <v>-47000000</v>
      </c>
    </row>
    <row r="297">
      <c r="B297" s="57" t="inlineStr">
        <is>
          <t>Total tax expense (income)</t>
        </is>
      </c>
      <c r="C297" s="55" t="inlineStr">
        <is>
          <t>IncomeTaxExpenseContinuingOperations</t>
        </is>
      </c>
      <c r="D297" s="58" t="n">
        <v>1363000000</v>
      </c>
      <c r="E297" s="58" t="n">
        <v>1722000000</v>
      </c>
      <c r="F297" s="58" t="n">
        <v>2327000000</v>
      </c>
      <c r="G297" s="58" t="n">
        <v>1979000000</v>
      </c>
      <c r="H297" s="58" t="n">
        <v>3879000000</v>
      </c>
      <c r="I297" s="58" t="n">
        <v>5578000000</v>
      </c>
    </row>
    <row r="299" ht="15.5" customHeight="1" s="203">
      <c r="B299" s="38" t="inlineStr">
        <is>
          <t>Reconciliation of average effective tax rate and applicable tax rate [Abstract]</t>
        </is>
      </c>
    </row>
    <row r="300">
      <c r="B300" s="54" t="inlineStr">
        <is>
          <t>Accounting profit</t>
        </is>
      </c>
      <c r="C300" s="55" t="inlineStr">
        <is>
          <t>AccountingProfit</t>
        </is>
      </c>
      <c r="D300" s="56" t="n">
        <v>0</v>
      </c>
      <c r="E300" s="56" t="n">
        <v>7423000000</v>
      </c>
      <c r="F300" s="56" t="n">
        <v>9868000000</v>
      </c>
      <c r="G300" s="56" t="n">
        <v>8288000000</v>
      </c>
      <c r="H300" s="56" t="n">
        <v>14984000000</v>
      </c>
      <c r="I300" s="56" t="n">
        <v>22107000000</v>
      </c>
    </row>
    <row r="301">
      <c r="B301" s="54" t="inlineStr">
        <is>
          <t>Applicable tax rate</t>
        </is>
      </c>
      <c r="C301" s="55" t="inlineStr">
        <is>
          <t>ApplicableTaxRate</t>
        </is>
      </c>
      <c r="D301" s="56" t="n">
        <v>0</v>
      </c>
      <c r="E301" s="56" t="n">
        <v>0.3461</v>
      </c>
      <c r="F301" s="56" t="n">
        <v>0.3494</v>
      </c>
      <c r="G301" s="56" t="n">
        <v>0.3494</v>
      </c>
      <c r="H301" s="56" t="n">
        <v>0.3494</v>
      </c>
      <c r="I301" s="56" t="n">
        <v>0.3494</v>
      </c>
    </row>
    <row r="302">
      <c r="B302" s="57" t="inlineStr">
        <is>
          <t>Total average effective tax rate</t>
        </is>
      </c>
      <c r="C302" s="55" t="inlineStr">
        <is>
          <t>AverageEffectiveTaxRate</t>
        </is>
      </c>
      <c r="D302" s="58" t="n">
        <v>0</v>
      </c>
      <c r="E302" s="58" t="n">
        <v>0.3461</v>
      </c>
      <c r="F302" s="58" t="n">
        <v>0.3494</v>
      </c>
      <c r="G302" s="58" t="n">
        <v>0.3494</v>
      </c>
      <c r="H302" s="58" t="n">
        <v>0.3494</v>
      </c>
      <c r="I302" s="58" t="n">
        <v>0.3494</v>
      </c>
    </row>
    <row r="305" ht="15.5" customHeight="1" s="203">
      <c r="A305" t="inlineStr">
        <is>
          <t>#</t>
        </is>
      </c>
      <c r="B305" s="38" t="inlineStr">
        <is>
          <t>Notes to Statement of Profit and Loss: Subclassification And Notes On Income And Expenses</t>
        </is>
      </c>
    </row>
    <row r="307">
      <c r="C307" s="53" t="inlineStr">
        <is>
          <t>Concept Tag</t>
        </is>
      </c>
      <c r="D307" s="20" t="inlineStr">
        <is>
          <t>FY2017</t>
        </is>
      </c>
      <c r="E307" s="20" t="inlineStr">
        <is>
          <t>FY2018</t>
        </is>
      </c>
      <c r="F307" s="20" t="inlineStr">
        <is>
          <t>FY2019</t>
        </is>
      </c>
      <c r="G307" s="20" t="inlineStr">
        <is>
          <t>FY2020</t>
        </is>
      </c>
      <c r="H307" s="20" t="inlineStr">
        <is>
          <t>FY2021</t>
        </is>
      </c>
      <c r="I307" s="20" t="inlineStr">
        <is>
          <t>FY2022</t>
        </is>
      </c>
    </row>
    <row r="308" ht="15.5" customHeight="1" s="203">
      <c r="B308" s="38" t="inlineStr">
        <is>
          <t>Disclosure of revenue from operations [Abstract]</t>
        </is>
      </c>
    </row>
    <row r="309">
      <c r="B309" s="59" t="inlineStr">
        <is>
          <t>Disclosure of revenue from operations for other than finance company [Abstract]</t>
        </is>
      </c>
    </row>
    <row r="310">
      <c r="B310" s="62" t="inlineStr">
        <is>
          <t>Total revenue from sale of services</t>
        </is>
      </c>
      <c r="C310" s="55" t="inlineStr">
        <is>
          <t>RevenueFromSaleOfServices</t>
        </is>
      </c>
      <c r="D310" s="56" t="n">
        <v>52364000000</v>
      </c>
      <c r="E310" s="56" t="n">
        <v>54628000000</v>
      </c>
      <c r="F310" s="56" t="n">
        <v>70215000000</v>
      </c>
      <c r="G310" s="56" t="n">
        <v>77643000000</v>
      </c>
      <c r="H310" s="56" t="n">
        <v>79678000000</v>
      </c>
      <c r="I310" s="56" t="n">
        <v>105253000000</v>
      </c>
    </row>
    <row r="311">
      <c r="B311" s="67" t="inlineStr">
        <is>
          <t>Total revenue from operations other than finance company</t>
        </is>
      </c>
      <c r="C311" s="55" t="inlineStr">
        <is>
          <t>RevenueFromOperationsOtherThanFinanceCompany</t>
        </is>
      </c>
      <c r="D311" s="58" t="n">
        <v>52364000000</v>
      </c>
      <c r="E311" s="58" t="n">
        <v>54628000000</v>
      </c>
      <c r="F311" s="58" t="n">
        <v>70215000000</v>
      </c>
      <c r="G311" s="58" t="n">
        <v>77643000000</v>
      </c>
      <c r="H311" s="58" t="n">
        <v>79678000000</v>
      </c>
      <c r="I311" s="58" t="n">
        <v>105253000000</v>
      </c>
    </row>
    <row r="312">
      <c r="B312" s="57" t="inlineStr">
        <is>
          <t>Total revenue from operations</t>
        </is>
      </c>
      <c r="C312" s="55" t="inlineStr">
        <is>
          <t>RevenueFromOperations</t>
        </is>
      </c>
      <c r="D312" s="58" t="n">
        <v>52364000000</v>
      </c>
      <c r="E312" s="58" t="n">
        <v>54628000000</v>
      </c>
      <c r="F312" s="58" t="n">
        <v>70215000000</v>
      </c>
      <c r="G312" s="58" t="n">
        <v>77643000000</v>
      </c>
      <c r="H312" s="58" t="n">
        <v>79678000000</v>
      </c>
      <c r="I312" s="58" t="n">
        <v>105253000000</v>
      </c>
    </row>
    <row r="315" ht="15.5" customHeight="1" s="203">
      <c r="B315" s="38" t="inlineStr">
        <is>
          <t>Disclosure of other income [Abstract]</t>
        </is>
      </c>
    </row>
    <row r="316">
      <c r="B316" s="59" t="inlineStr">
        <is>
          <t>Interest income [Abstract]</t>
        </is>
      </c>
    </row>
    <row r="317">
      <c r="B317" s="60" t="inlineStr">
        <is>
          <t>Interest income on current investments [Abstract]</t>
        </is>
      </c>
    </row>
    <row r="318">
      <c r="B318" s="61" t="inlineStr">
        <is>
          <t>Interest on fixed deposits, current investments</t>
        </is>
      </c>
      <c r="C318" s="55" t="inlineStr">
        <is>
          <t>InterestOnFixedDepositsCurrentInvestments</t>
        </is>
      </c>
      <c r="D318" s="56" t="n">
        <v>104000000</v>
      </c>
      <c r="E318" s="56" t="n">
        <v>0</v>
      </c>
      <c r="F318" s="56" t="n">
        <v>0</v>
      </c>
      <c r="G318" s="56" t="n">
        <v>0</v>
      </c>
      <c r="H318" s="56" t="n">
        <v>0</v>
      </c>
      <c r="I318" s="56" t="n">
        <v>0</v>
      </c>
    </row>
    <row r="319">
      <c r="B319" s="65" t="inlineStr">
        <is>
          <t>Total interest income on current investments</t>
        </is>
      </c>
      <c r="C319" s="55" t="inlineStr">
        <is>
          <t>InterestIncomeOnCurrentInvestments</t>
        </is>
      </c>
      <c r="D319" s="58" t="n">
        <v>104000000</v>
      </c>
      <c r="E319" s="58" t="n">
        <v>0</v>
      </c>
      <c r="F319" s="58" t="n">
        <v>0</v>
      </c>
      <c r="G319" s="58" t="n">
        <v>0</v>
      </c>
      <c r="H319" s="58" t="n">
        <v>0</v>
      </c>
      <c r="I319" s="58" t="n">
        <v>0</v>
      </c>
    </row>
    <row r="320">
      <c r="B320" s="60" t="inlineStr">
        <is>
          <t>Interest income on non-current investments [Abstract]</t>
        </is>
      </c>
    </row>
    <row r="321">
      <c r="B321" s="61" t="inlineStr">
        <is>
          <t>Interest on other non-current investments</t>
        </is>
      </c>
      <c r="C321" s="55" t="inlineStr">
        <is>
          <t>InterestOnOtherNoncurrentInvestments</t>
        </is>
      </c>
      <c r="D321" s="56" t="n">
        <v>0</v>
      </c>
      <c r="E321" s="56" t="n">
        <v>110000000</v>
      </c>
      <c r="F321" s="56" t="n">
        <v>146000000</v>
      </c>
      <c r="G321" s="56" t="n">
        <v>189000000</v>
      </c>
      <c r="H321" s="56" t="n">
        <v>166000000</v>
      </c>
      <c r="I321" s="56" t="n">
        <v>426000000</v>
      </c>
    </row>
    <row r="322">
      <c r="B322" s="65" t="inlineStr">
        <is>
          <t>Total interest income on non-current investments</t>
        </is>
      </c>
      <c r="C322" s="55" t="inlineStr">
        <is>
          <t>InterestIncomeOnNoncurrentInvestments</t>
        </is>
      </c>
      <c r="D322" s="58" t="n">
        <v>0</v>
      </c>
      <c r="E322" s="58" t="n">
        <v>110000000</v>
      </c>
      <c r="F322" s="58" t="n">
        <v>146000000</v>
      </c>
      <c r="G322" s="58" t="n">
        <v>189000000</v>
      </c>
      <c r="H322" s="58" t="n">
        <v>166000000</v>
      </c>
      <c r="I322" s="58" t="n">
        <v>426000000</v>
      </c>
    </row>
    <row r="323">
      <c r="B323" s="67" t="inlineStr">
        <is>
          <t>Total interest income</t>
        </is>
      </c>
      <c r="C323" s="55" t="inlineStr">
        <is>
          <t>InterestIncome</t>
        </is>
      </c>
      <c r="D323" s="58" t="n">
        <v>104000000</v>
      </c>
      <c r="E323" s="58" t="n">
        <v>110000000</v>
      </c>
      <c r="F323" s="58" t="n">
        <v>146000000</v>
      </c>
      <c r="G323" s="58" t="n">
        <v>189000000</v>
      </c>
      <c r="H323" s="58" t="n">
        <v>166000000</v>
      </c>
      <c r="I323" s="58" t="n">
        <v>426000000</v>
      </c>
    </row>
    <row r="324">
      <c r="B324" s="59" t="inlineStr">
        <is>
          <t>Dividend income [Abstract]</t>
        </is>
      </c>
    </row>
    <row r="325">
      <c r="B325" s="60" t="inlineStr">
        <is>
          <t>Dividend income current investments [Abstract]</t>
        </is>
      </c>
    </row>
    <row r="326">
      <c r="B326" s="61" t="inlineStr">
        <is>
          <t>Dividend income current mutual funds</t>
        </is>
      </c>
      <c r="C326" s="55" t="inlineStr">
        <is>
          <t>DividendIncomeCurrentMutualFunds</t>
        </is>
      </c>
      <c r="D326" s="56" t="n">
        <v>8000000</v>
      </c>
      <c r="E326" s="56" t="n">
        <v>1000000</v>
      </c>
      <c r="F326" s="56" t="n">
        <v>0</v>
      </c>
      <c r="G326" s="56" t="n">
        <v>0</v>
      </c>
      <c r="H326" s="56" t="n">
        <v>0</v>
      </c>
      <c r="I326" s="56" t="n">
        <v>0</v>
      </c>
    </row>
    <row r="327">
      <c r="B327" s="65" t="inlineStr">
        <is>
          <t>Total dividend income current investments</t>
        </is>
      </c>
      <c r="C327" s="55" t="inlineStr">
        <is>
          <t>DividendIncomeCurrentInvestments</t>
        </is>
      </c>
      <c r="D327" s="58" t="n">
        <v>8000000</v>
      </c>
      <c r="E327" s="58" t="n">
        <v>1000000</v>
      </c>
      <c r="F327" s="58" t="n">
        <v>0</v>
      </c>
      <c r="G327" s="58" t="n">
        <v>0</v>
      </c>
      <c r="H327" s="58" t="n">
        <v>0</v>
      </c>
      <c r="I327" s="58" t="n">
        <v>0</v>
      </c>
    </row>
    <row r="328">
      <c r="B328" s="67" t="inlineStr">
        <is>
          <t>Total dividend income</t>
        </is>
      </c>
      <c r="C328" s="55" t="inlineStr">
        <is>
          <t>DividendIncome</t>
        </is>
      </c>
      <c r="D328" s="58" t="n">
        <v>8000000</v>
      </c>
      <c r="E328" s="58" t="n">
        <v>1000000</v>
      </c>
      <c r="F328" s="58" t="n">
        <v>0</v>
      </c>
      <c r="G328" s="58" t="n">
        <v>0</v>
      </c>
      <c r="H328" s="58" t="n">
        <v>0</v>
      </c>
      <c r="I328" s="58" t="n">
        <v>0</v>
      </c>
    </row>
    <row r="329">
      <c r="B329" s="59" t="inlineStr">
        <is>
          <t>Net gain/loss on sale of investments [Abstract]</t>
        </is>
      </c>
    </row>
    <row r="330">
      <c r="B330" s="62" t="inlineStr">
        <is>
          <t>Net gain/loss on sale of current investments</t>
        </is>
      </c>
      <c r="C330" s="55" t="inlineStr">
        <is>
          <t>NetGainLossOnSaleOfCurrentInvestments</t>
        </is>
      </c>
      <c r="D330" s="56" t="n">
        <v>177000000</v>
      </c>
      <c r="E330" s="56" t="n">
        <v>0</v>
      </c>
      <c r="F330" s="56" t="n">
        <v>0</v>
      </c>
      <c r="G330" s="56" t="n">
        <v>509000000</v>
      </c>
      <c r="H330" s="56" t="n">
        <v>909000000</v>
      </c>
      <c r="I330" s="56" t="n">
        <v>832000000</v>
      </c>
    </row>
    <row r="331">
      <c r="B331" s="62" t="inlineStr">
        <is>
          <t>Net gain/loss on sale of non-current investments</t>
        </is>
      </c>
      <c r="C331" s="55" t="inlineStr">
        <is>
          <t>NetGainLossOnSaleOfNoncurrentInvestments</t>
        </is>
      </c>
      <c r="D331" s="56" t="n">
        <v>0</v>
      </c>
      <c r="E331" s="56" t="n">
        <v>459000000</v>
      </c>
      <c r="F331" s="56" t="n">
        <v>421000000</v>
      </c>
      <c r="G331" s="56" t="n">
        <v>0</v>
      </c>
      <c r="H331" s="56" t="n">
        <v>0</v>
      </c>
      <c r="I331" s="56" t="n">
        <v>0</v>
      </c>
    </row>
    <row r="332">
      <c r="B332" s="67" t="inlineStr">
        <is>
          <t>Total net gain/loss on sale of investments</t>
        </is>
      </c>
      <c r="C332" s="55" t="inlineStr">
        <is>
          <t>NetGainLossOnSaleOfInvestments</t>
        </is>
      </c>
      <c r="D332" s="58" t="n">
        <v>177000000</v>
      </c>
      <c r="E332" s="58" t="n">
        <v>459000000</v>
      </c>
      <c r="F332" s="58" t="n">
        <v>421000000</v>
      </c>
      <c r="G332" s="58" t="n">
        <v>509000000</v>
      </c>
      <c r="H332" s="58" t="n">
        <v>909000000</v>
      </c>
      <c r="I332" s="58" t="n">
        <v>832000000</v>
      </c>
    </row>
    <row r="333">
      <c r="B333" s="59" t="inlineStr">
        <is>
          <t>Other non-operating income [Abstract]</t>
        </is>
      </c>
    </row>
    <row r="334">
      <c r="B334" s="60" t="inlineStr">
        <is>
          <t>Net gain (loss) on foreign currency fluctuations treated as other income [Abstract]</t>
        </is>
      </c>
    </row>
    <row r="335">
      <c r="B335" s="61" t="inlineStr">
        <is>
          <t>Net gain (loss) on foreign currency translation</t>
        </is>
      </c>
      <c r="C335" s="55" t="inlineStr">
        <is>
          <t>NetGainLossOnForeignCurrencyTranslation</t>
        </is>
      </c>
      <c r="D335" s="56" t="n">
        <v>0</v>
      </c>
      <c r="E335" s="56" t="n">
        <v>0</v>
      </c>
      <c r="F335" s="56" t="n">
        <v>0</v>
      </c>
      <c r="G335" s="56" t="n">
        <v>0</v>
      </c>
      <c r="H335" s="56" t="n">
        <v>286000000</v>
      </c>
      <c r="I335" s="56" t="n">
        <v>1530000000</v>
      </c>
    </row>
    <row r="336">
      <c r="B336" s="61" t="inlineStr">
        <is>
          <t>Other net gain (loss) on foreign currency fluctuations treated as other income</t>
        </is>
      </c>
      <c r="C336" s="55" t="inlineStr">
        <is>
          <t>OtherNetGainLossOnForeignCurrencyFluctuationsTreatedAsOtherIncome</t>
        </is>
      </c>
      <c r="D336" s="56" t="n">
        <v>0</v>
      </c>
      <c r="E336" s="56" t="n">
        <v>242000000</v>
      </c>
      <c r="F336" s="56" t="n">
        <v>267000000</v>
      </c>
      <c r="G336" s="56" t="n">
        <v>0</v>
      </c>
      <c r="H336" s="56" t="n">
        <v>0</v>
      </c>
      <c r="I336" s="56" t="n">
        <v>0</v>
      </c>
    </row>
    <row r="337">
      <c r="B337" s="65" t="inlineStr">
        <is>
          <t>Total net gain/loss on foreign currency fluctuations treated as other income</t>
        </is>
      </c>
      <c r="C337" s="55" t="inlineStr">
        <is>
          <t>NetGainLossOnForeignCurrencyFluctuationsTreatedAsOtherIncome</t>
        </is>
      </c>
      <c r="D337" s="58" t="n">
        <v>0</v>
      </c>
      <c r="E337" s="58" t="n">
        <v>242000000</v>
      </c>
      <c r="F337" s="58" t="n">
        <v>267000000</v>
      </c>
      <c r="G337" s="58" t="n">
        <v>0</v>
      </c>
      <c r="H337" s="58" t="n">
        <v>286000000</v>
      </c>
      <c r="I337" s="58" t="n">
        <v>1530000000</v>
      </c>
    </row>
    <row r="338">
      <c r="B338" s="62" t="inlineStr">
        <is>
          <t>Miscellaneous other non-operating income</t>
        </is>
      </c>
      <c r="C338" s="55" t="inlineStr">
        <is>
          <t>MiscellaneousOtherNonoperatingIncome</t>
        </is>
      </c>
      <c r="D338" s="56" t="n">
        <v>264000000</v>
      </c>
      <c r="E338" s="56" t="n">
        <v>1090000000</v>
      </c>
      <c r="F338" s="56" t="n">
        <v>59000000</v>
      </c>
      <c r="G338" s="56" t="n">
        <v>58000000</v>
      </c>
      <c r="H338" s="56" t="n">
        <v>156000000</v>
      </c>
      <c r="I338" s="56" t="n">
        <v>285000000</v>
      </c>
    </row>
    <row r="339">
      <c r="B339" s="67" t="inlineStr">
        <is>
          <t>Total other non-operating income</t>
        </is>
      </c>
      <c r="C339" s="55" t="inlineStr">
        <is>
          <t>OtherNonoperatingIncome</t>
        </is>
      </c>
      <c r="D339" s="58" t="n">
        <v>264000000</v>
      </c>
      <c r="E339" s="58" t="n">
        <v>1332000000</v>
      </c>
      <c r="F339" s="58" t="n">
        <v>326000000</v>
      </c>
      <c r="G339" s="58" t="n">
        <v>58000000</v>
      </c>
      <c r="H339" s="58" t="n">
        <v>442000000</v>
      </c>
      <c r="I339" s="58" t="n">
        <v>1815000000</v>
      </c>
    </row>
    <row r="340">
      <c r="B340" s="57" t="inlineStr">
        <is>
          <t>Total other income</t>
        </is>
      </c>
      <c r="C340" s="55" t="inlineStr">
        <is>
          <t>OtherIncome</t>
        </is>
      </c>
      <c r="D340" s="58" t="n">
        <v>553000000</v>
      </c>
      <c r="E340" s="58" t="n">
        <v>1902000000</v>
      </c>
      <c r="F340" s="58" t="n">
        <v>893000000</v>
      </c>
      <c r="G340" s="58" t="n">
        <v>756000000</v>
      </c>
      <c r="H340" s="58" t="n">
        <v>1517000000</v>
      </c>
      <c r="I340" s="58" t="n">
        <v>3073000000</v>
      </c>
    </row>
    <row r="342" ht="15.5" customHeight="1" s="203">
      <c r="B342" s="38" t="inlineStr">
        <is>
          <t>Disclosure of finance cost [Abstract]</t>
        </is>
      </c>
    </row>
    <row r="343">
      <c r="B343" s="59" t="inlineStr">
        <is>
          <t>Interest expense [Abstract]</t>
        </is>
      </c>
    </row>
    <row r="344">
      <c r="B344" s="60" t="inlineStr">
        <is>
          <t>Interest expense current loans [Abstract]</t>
        </is>
      </c>
    </row>
    <row r="345">
      <c r="B345" s="61" t="inlineStr">
        <is>
          <t>Interest expense current loans, banks</t>
        </is>
      </c>
      <c r="C345" s="55" t="inlineStr">
        <is>
          <t>InterestExpenseCurrentLoansBanks</t>
        </is>
      </c>
      <c r="D345" s="56" t="n">
        <v>9000000</v>
      </c>
      <c r="E345" s="56" t="n">
        <v>0</v>
      </c>
      <c r="F345" s="56" t="n">
        <v>0</v>
      </c>
      <c r="G345" s="56" t="n">
        <v>0</v>
      </c>
      <c r="H345" s="56" t="n">
        <v>0</v>
      </c>
      <c r="I345" s="56" t="n">
        <v>0</v>
      </c>
    </row>
    <row r="346">
      <c r="B346" s="65" t="inlineStr">
        <is>
          <t>Total interest expense current loans</t>
        </is>
      </c>
      <c r="C346" s="55" t="inlineStr">
        <is>
          <t>InterestExpenseCurrentLoans</t>
        </is>
      </c>
      <c r="D346" s="58" t="n">
        <v>9000000</v>
      </c>
      <c r="E346" s="58" t="n">
        <v>0</v>
      </c>
      <c r="F346" s="58" t="n">
        <v>0</v>
      </c>
      <c r="G346" s="58" t="n">
        <v>0</v>
      </c>
      <c r="H346" s="58" t="n">
        <v>0</v>
      </c>
      <c r="I346" s="58" t="n">
        <v>0</v>
      </c>
    </row>
    <row r="347">
      <c r="B347" s="62" t="inlineStr">
        <is>
          <t>Interest expense on lease liabilities</t>
        </is>
      </c>
      <c r="C347" s="55" t="inlineStr">
        <is>
          <t>InterestExpenseOnLeaseLiabilities</t>
        </is>
      </c>
      <c r="D347" s="56" t="n">
        <v>0</v>
      </c>
      <c r="E347" s="56" t="n">
        <v>0</v>
      </c>
      <c r="F347" s="56" t="n">
        <v>0</v>
      </c>
      <c r="G347" s="56" t="n">
        <v>0</v>
      </c>
      <c r="H347" s="56" t="n">
        <v>503000000</v>
      </c>
      <c r="I347" s="56" t="n">
        <v>494000000</v>
      </c>
    </row>
    <row r="348">
      <c r="B348" s="62" t="inlineStr">
        <is>
          <t>Other interest charges</t>
        </is>
      </c>
      <c r="C348" s="55" t="inlineStr">
        <is>
          <t>OtherInterestCharges</t>
        </is>
      </c>
      <c r="D348" s="56" t="n">
        <v>182000000</v>
      </c>
      <c r="E348" s="56" t="n">
        <v>169000000</v>
      </c>
      <c r="F348" s="56" t="n">
        <v>29000000</v>
      </c>
      <c r="G348" s="56" t="n">
        <v>529000000</v>
      </c>
      <c r="H348" s="56" t="n">
        <v>1000000</v>
      </c>
      <c r="I348" s="56" t="n">
        <v>8000000</v>
      </c>
    </row>
    <row r="349">
      <c r="B349" s="67" t="inlineStr">
        <is>
          <t>Total interest expense</t>
        </is>
      </c>
      <c r="C349" s="55" t="inlineStr">
        <is>
          <t>InterestExpense</t>
        </is>
      </c>
      <c r="D349" s="58" t="n">
        <v>191000000</v>
      </c>
      <c r="E349" s="58" t="n">
        <v>169000000</v>
      </c>
      <c r="F349" s="58" t="n">
        <v>29000000</v>
      </c>
      <c r="G349" s="58" t="n">
        <v>529000000</v>
      </c>
      <c r="H349" s="58" t="n">
        <v>504000000</v>
      </c>
      <c r="I349" s="58" t="n">
        <v>502000000</v>
      </c>
    </row>
    <row r="350">
      <c r="B350" s="57" t="inlineStr">
        <is>
          <t>Total finance costs</t>
        </is>
      </c>
      <c r="C350" s="55" t="inlineStr">
        <is>
          <t>FinanceCosts</t>
        </is>
      </c>
      <c r="D350" s="58" t="n">
        <v>191000000</v>
      </c>
      <c r="E350" s="58" t="n">
        <v>169000000</v>
      </c>
      <c r="F350" s="58" t="n">
        <v>29000000</v>
      </c>
      <c r="G350" s="58" t="n">
        <v>529000000</v>
      </c>
      <c r="H350" s="58" t="n">
        <v>504000000</v>
      </c>
      <c r="I350" s="58" t="n">
        <v>502000000</v>
      </c>
    </row>
    <row r="352" ht="15.5" customHeight="1" s="203">
      <c r="B352" s="38" t="inlineStr">
        <is>
          <t>Employee benefit expense [Abstract]</t>
        </is>
      </c>
    </row>
    <row r="353">
      <c r="B353" s="54" t="inlineStr">
        <is>
          <t>Salaries and wages</t>
        </is>
      </c>
      <c r="C353" s="55" t="inlineStr">
        <is>
          <t>SalariesAndWages</t>
        </is>
      </c>
      <c r="D353" s="56" t="n">
        <v>31992000000</v>
      </c>
      <c r="E353" s="56" t="n">
        <v>33207000000</v>
      </c>
      <c r="F353" s="56" t="n">
        <v>40985000000</v>
      </c>
      <c r="G353" s="56" t="n">
        <v>46962000000</v>
      </c>
      <c r="H353" s="56" t="n">
        <v>46436000000</v>
      </c>
      <c r="I353" s="56" t="n">
        <v>57824000000</v>
      </c>
    </row>
    <row r="354">
      <c r="B354" s="59" t="inlineStr">
        <is>
          <t>Managerial remuneration [Abstract]</t>
        </is>
      </c>
    </row>
    <row r="355">
      <c r="B355" s="60" t="inlineStr">
        <is>
          <t>Remuneration to directors [Abstract]</t>
        </is>
      </c>
    </row>
    <row r="356">
      <c r="B356" s="61" t="inlineStr">
        <is>
          <t>Salary to directors</t>
        </is>
      </c>
      <c r="C356" s="55" t="inlineStr">
        <is>
          <t>SalaryToDirectors</t>
        </is>
      </c>
      <c r="D356" s="56" t="n">
        <v>0</v>
      </c>
      <c r="E356" s="56" t="n">
        <v>0</v>
      </c>
      <c r="F356" s="56" t="n">
        <v>0</v>
      </c>
      <c r="G356" s="56" t="n">
        <v>0</v>
      </c>
      <c r="H356" s="56" t="n">
        <v>283000000</v>
      </c>
      <c r="I356" s="56" t="n">
        <v>359000000</v>
      </c>
    </row>
    <row r="357">
      <c r="B357" s="65" t="inlineStr">
        <is>
          <t>Total remuneration to directors</t>
        </is>
      </c>
      <c r="C357" s="55" t="inlineStr">
        <is>
          <t>RemunerationToDirectors</t>
        </is>
      </c>
      <c r="D357" s="58" t="n">
        <v>0</v>
      </c>
      <c r="E357" s="58" t="n">
        <v>0</v>
      </c>
      <c r="F357" s="58" t="n">
        <v>0</v>
      </c>
      <c r="G357" s="58" t="n">
        <v>0</v>
      </c>
      <c r="H357" s="58" t="n">
        <v>283000000</v>
      </c>
      <c r="I357" s="58" t="n">
        <v>359000000</v>
      </c>
    </row>
    <row r="358">
      <c r="B358" s="67" t="inlineStr">
        <is>
          <t>Total managerial remuneration</t>
        </is>
      </c>
      <c r="C358" s="55" t="inlineStr">
        <is>
          <t>ManagerialRemuneration</t>
        </is>
      </c>
      <c r="D358" s="58" t="n">
        <v>0</v>
      </c>
      <c r="E358" s="58" t="n">
        <v>0</v>
      </c>
      <c r="F358" s="58" t="n">
        <v>0</v>
      </c>
      <c r="G358" s="58" t="n">
        <v>0</v>
      </c>
      <c r="H358" s="58" t="n">
        <v>283000000</v>
      </c>
      <c r="I358" s="58" t="n">
        <v>359000000</v>
      </c>
    </row>
    <row r="359">
      <c r="B359" s="59" t="inlineStr">
        <is>
          <t>Contribution to provident and other funds [Abstract]</t>
        </is>
      </c>
    </row>
    <row r="360">
      <c r="B360" s="62" t="inlineStr">
        <is>
          <t>Contribution to provident and other funds for others</t>
        </is>
      </c>
      <c r="C360" s="55" t="inlineStr">
        <is>
          <t>ContributionToProvidentAndOtherFundsForOthers</t>
        </is>
      </c>
      <c r="D360" s="56" t="n">
        <v>1882000000</v>
      </c>
      <c r="E360" s="56" t="n">
        <v>2100000000</v>
      </c>
      <c r="F360" s="56" t="n">
        <v>2829000000</v>
      </c>
      <c r="G360" s="56" t="n">
        <v>3205000000</v>
      </c>
      <c r="H360" s="56" t="n">
        <v>4084000000</v>
      </c>
      <c r="I360" s="56" t="n">
        <v>4324000000</v>
      </c>
    </row>
    <row r="361">
      <c r="B361" s="67" t="inlineStr">
        <is>
          <t>Total contribution to provident and other funds</t>
        </is>
      </c>
      <c r="C361" s="55" t="inlineStr">
        <is>
          <t>ContributionToProvidentAndOtherFunds</t>
        </is>
      </c>
      <c r="D361" s="58" t="n">
        <v>1882000000</v>
      </c>
      <c r="E361" s="58" t="n">
        <v>2100000000</v>
      </c>
      <c r="F361" s="58" t="n">
        <v>2829000000</v>
      </c>
      <c r="G361" s="58" t="n">
        <v>3205000000</v>
      </c>
      <c r="H361" s="58" t="n">
        <v>4084000000</v>
      </c>
      <c r="I361" s="58" t="n">
        <v>4324000000</v>
      </c>
    </row>
    <row r="362">
      <c r="B362" s="59" t="inlineStr">
        <is>
          <t>Employee share based payment [Abstract]</t>
        </is>
      </c>
    </row>
    <row r="363">
      <c r="B363" s="62" t="inlineStr">
        <is>
          <t>Employee share based payment- Equity settled</t>
        </is>
      </c>
      <c r="C363" s="55" t="inlineStr">
        <is>
          <t>EmployeeShareBasedPaymentEquitySettled</t>
        </is>
      </c>
      <c r="D363" s="56" t="n">
        <v>54000000</v>
      </c>
      <c r="E363" s="56" t="n">
        <v>195000000</v>
      </c>
      <c r="F363" s="56" t="n">
        <v>162000000</v>
      </c>
      <c r="G363" s="56" t="n">
        <v>102000000</v>
      </c>
      <c r="H363" s="56" t="n">
        <v>99000000</v>
      </c>
      <c r="I363" s="56" t="n">
        <v>438000000</v>
      </c>
    </row>
    <row r="364">
      <c r="B364" s="67" t="inlineStr">
        <is>
          <t>Total employee share based payment</t>
        </is>
      </c>
      <c r="C364" s="55" t="inlineStr">
        <is>
          <t>EmployeeShareBasedPayment</t>
        </is>
      </c>
      <c r="D364" s="58" t="n">
        <v>54000000</v>
      </c>
      <c r="E364" s="58" t="n">
        <v>195000000</v>
      </c>
      <c r="F364" s="58" t="n">
        <v>162000000</v>
      </c>
      <c r="G364" s="58" t="n">
        <v>102000000</v>
      </c>
      <c r="H364" s="58" t="n">
        <v>99000000</v>
      </c>
      <c r="I364" s="58" t="n">
        <v>438000000</v>
      </c>
    </row>
    <row r="365">
      <c r="B365" s="54" t="inlineStr">
        <is>
          <t>Staff welfare expense</t>
        </is>
      </c>
      <c r="C365" s="55" t="inlineStr">
        <is>
          <t>StaffWelfareExpense</t>
        </is>
      </c>
      <c r="D365" s="56" t="n">
        <v>197000000</v>
      </c>
      <c r="E365" s="56" t="n">
        <v>139000000</v>
      </c>
      <c r="F365" s="56" t="n">
        <v>236000000</v>
      </c>
      <c r="G365" s="56" t="n">
        <v>378000000</v>
      </c>
      <c r="H365" s="56" t="n">
        <v>230000000</v>
      </c>
      <c r="I365" s="56" t="n">
        <v>333000000</v>
      </c>
    </row>
    <row r="366">
      <c r="B366" s="57" t="inlineStr">
        <is>
          <t>Total employee benefit expense</t>
        </is>
      </c>
      <c r="C366" s="55" t="inlineStr">
        <is>
          <t>EmployeeBenefitExpense</t>
        </is>
      </c>
      <c r="D366" s="58" t="n">
        <v>34125000000</v>
      </c>
      <c r="E366" s="58" t="n">
        <v>35641000000</v>
      </c>
      <c r="F366" s="58" t="n">
        <v>44212000000</v>
      </c>
      <c r="G366" s="58" t="n">
        <v>50647000000</v>
      </c>
      <c r="H366" s="58" t="n">
        <v>51132000000</v>
      </c>
      <c r="I366" s="58" t="n">
        <v>63278000000</v>
      </c>
    </row>
    <row r="368" ht="15.5" customHeight="1" s="203">
      <c r="B368" s="38" t="inlineStr">
        <is>
          <t>Depreciation, depletion and amortisation expense [Abstract]</t>
        </is>
      </c>
    </row>
    <row r="369">
      <c r="B369" s="54" t="inlineStr">
        <is>
          <t>Depreciation expense</t>
        </is>
      </c>
      <c r="C369" s="55" t="inlineStr">
        <is>
          <t>DepreciationExpense</t>
        </is>
      </c>
      <c r="D369" s="56" t="n">
        <v>1283000000</v>
      </c>
      <c r="E369" s="56" t="n">
        <v>1215000000</v>
      </c>
      <c r="F369" s="56" t="n">
        <v>1175000000</v>
      </c>
      <c r="G369" s="56" t="n">
        <v>2302000000</v>
      </c>
      <c r="H369" s="56" t="n">
        <v>2003000000</v>
      </c>
      <c r="I369" s="56" t="n">
        <v>2208000000</v>
      </c>
    </row>
    <row r="370">
      <c r="B370" s="54" t="inlineStr">
        <is>
          <t>Amortisation expense</t>
        </is>
      </c>
      <c r="C370" s="55" t="inlineStr">
        <is>
          <t>AmortisationExpense</t>
        </is>
      </c>
      <c r="D370" s="56" t="n">
        <v>575000000</v>
      </c>
      <c r="E370" s="56" t="n">
        <v>500000000</v>
      </c>
      <c r="F370" s="56" t="n">
        <v>466000000</v>
      </c>
      <c r="G370" s="56" t="n">
        <v>452000000</v>
      </c>
      <c r="H370" s="56" t="n">
        <v>593000000</v>
      </c>
      <c r="I370" s="56" t="n">
        <v>212000000</v>
      </c>
    </row>
    <row r="371">
      <c r="B371" s="57" t="inlineStr">
        <is>
          <t>Total depreciation, depletion and amortisation expense</t>
        </is>
      </c>
      <c r="C371" s="55" t="inlineStr">
        <is>
          <t>DepreciationDepletionAndAmortisationExpense</t>
        </is>
      </c>
      <c r="D371" s="58" t="n">
        <v>1858000000</v>
      </c>
      <c r="E371" s="58" t="n">
        <v>1715000000</v>
      </c>
      <c r="F371" s="58" t="n">
        <v>1641000000</v>
      </c>
      <c r="G371" s="58" t="n">
        <v>2754000000</v>
      </c>
      <c r="H371" s="58" t="n">
        <v>2596000000</v>
      </c>
      <c r="I371" s="58" t="n">
        <v>2420000000</v>
      </c>
    </row>
    <row r="373" ht="15.5" customHeight="1" s="203">
      <c r="B373" s="38" t="inlineStr">
        <is>
          <t>Breakup of other expenses [Abstract]</t>
        </is>
      </c>
    </row>
    <row r="374">
      <c r="B374" s="54" t="inlineStr">
        <is>
          <t>Consumption of stores and spare parts</t>
        </is>
      </c>
      <c r="C374" s="55" t="inlineStr">
        <is>
          <t>ConsumptionOfStoresAndSpareParts</t>
        </is>
      </c>
      <c r="D374" s="56" t="n">
        <v>825000000</v>
      </c>
      <c r="E374" s="56" t="n">
        <v>0</v>
      </c>
      <c r="F374" s="56" t="n">
        <v>919000000</v>
      </c>
      <c r="G374" s="56" t="n">
        <v>0</v>
      </c>
      <c r="H374" s="56" t="n">
        <v>0</v>
      </c>
      <c r="I374" s="56" t="n">
        <v>0</v>
      </c>
    </row>
    <row r="375">
      <c r="B375" s="54" t="inlineStr">
        <is>
          <t>Power and fuel</t>
        </is>
      </c>
      <c r="C375" s="55" t="inlineStr">
        <is>
          <t>PowerAndFuel</t>
        </is>
      </c>
      <c r="D375" s="56" t="n">
        <v>313000000</v>
      </c>
      <c r="E375" s="56" t="n">
        <v>289000000</v>
      </c>
      <c r="F375" s="56" t="n">
        <v>302000000</v>
      </c>
      <c r="G375" s="56" t="n">
        <v>313000000</v>
      </c>
      <c r="H375" s="56" t="n">
        <v>168000000</v>
      </c>
      <c r="I375" s="56" t="n">
        <v>183000000</v>
      </c>
    </row>
    <row r="376">
      <c r="B376" s="54" t="inlineStr">
        <is>
          <t>Rent</t>
        </is>
      </c>
      <c r="C376" s="55" t="inlineStr">
        <is>
          <t>Rent</t>
        </is>
      </c>
      <c r="D376" s="56" t="n">
        <v>0</v>
      </c>
      <c r="E376" s="56" t="n">
        <v>965000000</v>
      </c>
      <c r="F376" s="56" t="n">
        <v>0</v>
      </c>
      <c r="G376" s="56" t="n">
        <v>0</v>
      </c>
      <c r="H376" s="56" t="n">
        <v>0</v>
      </c>
      <c r="I376" s="56" t="n">
        <v>0</v>
      </c>
    </row>
    <row r="377">
      <c r="B377" s="54" t="inlineStr">
        <is>
          <t>Repairs to building</t>
        </is>
      </c>
      <c r="C377" s="55" t="inlineStr">
        <is>
          <t>RepairsToBuilding</t>
        </is>
      </c>
      <c r="D377" s="56" t="n">
        <v>57000000</v>
      </c>
      <c r="E377" s="56" t="n">
        <v>63000000</v>
      </c>
      <c r="F377" s="56" t="n">
        <v>102000000</v>
      </c>
      <c r="G377" s="56" t="n">
        <v>383000000</v>
      </c>
      <c r="H377" s="56" t="n">
        <v>282000000</v>
      </c>
      <c r="I377" s="56" t="n">
        <v>404000000</v>
      </c>
    </row>
    <row r="378">
      <c r="B378" s="54" t="inlineStr">
        <is>
          <t>Repairs to machinery</t>
        </is>
      </c>
      <c r="C378" s="55" t="inlineStr">
        <is>
          <t>RepairsToMachinery</t>
        </is>
      </c>
      <c r="D378" s="56" t="n">
        <v>50000000</v>
      </c>
      <c r="E378" s="56" t="n">
        <v>53000000</v>
      </c>
      <c r="F378" s="56" t="n">
        <v>61000000</v>
      </c>
      <c r="G378" s="56" t="n">
        <v>59000000</v>
      </c>
      <c r="H378" s="56" t="n">
        <v>43000000</v>
      </c>
      <c r="I378" s="56" t="n">
        <v>37000000</v>
      </c>
    </row>
    <row r="379">
      <c r="B379" s="54" t="inlineStr">
        <is>
          <t>Insurance</t>
        </is>
      </c>
      <c r="C379" s="55" t="inlineStr">
        <is>
          <t>Insurance</t>
        </is>
      </c>
      <c r="D379" s="56" t="n">
        <v>99000000</v>
      </c>
      <c r="E379" s="56" t="n">
        <v>81000000</v>
      </c>
      <c r="F379" s="56" t="n">
        <v>76000000</v>
      </c>
      <c r="G379" s="56" t="n">
        <v>95000000</v>
      </c>
      <c r="H379" s="56" t="n">
        <v>105000000</v>
      </c>
      <c r="I379" s="56" t="n">
        <v>110000000</v>
      </c>
    </row>
    <row r="380">
      <c r="B380" s="59" t="inlineStr">
        <is>
          <t>Rates and taxes excluding taxes on income [Abstract]</t>
        </is>
      </c>
    </row>
    <row r="381">
      <c r="B381" s="62" t="inlineStr">
        <is>
          <t>Other cess taxes</t>
        </is>
      </c>
      <c r="C381" s="55" t="inlineStr">
        <is>
          <t>OtherCessTaxes</t>
        </is>
      </c>
      <c r="D381" s="56" t="n">
        <v>0</v>
      </c>
      <c r="E381" s="56" t="n">
        <v>0</v>
      </c>
      <c r="F381" s="56" t="n">
        <v>266000000</v>
      </c>
      <c r="G381" s="56" t="n">
        <v>344000000</v>
      </c>
      <c r="H381" s="56" t="n">
        <v>534000000</v>
      </c>
      <c r="I381" s="56" t="n">
        <v>648000000</v>
      </c>
    </row>
    <row r="382">
      <c r="B382" s="62" t="inlineStr">
        <is>
          <t>Cost taxes other levies by government local authorities</t>
        </is>
      </c>
      <c r="C382" s="55" t="inlineStr">
        <is>
          <t>CostTaxesOtherLeviesByGovernmentLocalAuthorities</t>
        </is>
      </c>
      <c r="D382" s="56" t="n">
        <v>152000000</v>
      </c>
      <c r="E382" s="56" t="n">
        <v>0</v>
      </c>
      <c r="F382" s="56" t="n">
        <v>0</v>
      </c>
      <c r="G382" s="56" t="n">
        <v>0</v>
      </c>
      <c r="H382" s="56" t="n">
        <v>0</v>
      </c>
      <c r="I382" s="56" t="n">
        <v>0</v>
      </c>
    </row>
    <row r="383">
      <c r="B383" s="67" t="inlineStr">
        <is>
          <t>Total rates and taxes excluding taxes on income</t>
        </is>
      </c>
      <c r="C383" s="55" t="inlineStr">
        <is>
          <t>RatesAndTaxesExcludingTaxesOnIncome</t>
        </is>
      </c>
      <c r="D383" s="58" t="n">
        <v>152000000</v>
      </c>
      <c r="E383" s="58" t="n">
        <v>0</v>
      </c>
      <c r="F383" s="58" t="n">
        <v>266000000</v>
      </c>
      <c r="G383" s="58" t="n">
        <v>344000000</v>
      </c>
      <c r="H383" s="58" t="n">
        <v>534000000</v>
      </c>
      <c r="I383" s="58" t="n">
        <v>648000000</v>
      </c>
    </row>
    <row r="384">
      <c r="B384" s="54" t="inlineStr">
        <is>
          <t>Telephone postage</t>
        </is>
      </c>
      <c r="C384" s="55" t="inlineStr">
        <is>
          <t>TelephonePostage</t>
        </is>
      </c>
      <c r="D384" s="56" t="n">
        <v>752000000</v>
      </c>
      <c r="E384" s="56" t="n">
        <v>0</v>
      </c>
      <c r="F384" s="56" t="n">
        <v>793000000</v>
      </c>
      <c r="G384" s="56" t="n">
        <v>691000000</v>
      </c>
      <c r="H384" s="56" t="n">
        <v>583000000</v>
      </c>
      <c r="I384" s="56" t="n">
        <v>716000000</v>
      </c>
    </row>
    <row r="385">
      <c r="B385" s="54" t="inlineStr">
        <is>
          <t>Information technology expenses</t>
        </is>
      </c>
      <c r="C385" s="55" t="inlineStr">
        <is>
          <t>InformationTechnologyExpenses</t>
        </is>
      </c>
      <c r="D385" s="56" t="n">
        <v>0</v>
      </c>
      <c r="E385" s="56" t="n">
        <v>0</v>
      </c>
      <c r="F385" s="56" t="n">
        <v>0</v>
      </c>
      <c r="G385" s="56" t="n">
        <v>1166000000</v>
      </c>
      <c r="H385" s="56" t="n">
        <v>1514000000</v>
      </c>
      <c r="I385" s="56" t="n">
        <v>2194000000</v>
      </c>
    </row>
    <row r="386">
      <c r="B386" s="54" t="inlineStr">
        <is>
          <t>Travelling conveyance</t>
        </is>
      </c>
      <c r="C386" s="55" t="inlineStr">
        <is>
          <t>TravellingConveyance</t>
        </is>
      </c>
      <c r="D386" s="56" t="n">
        <v>2208000000</v>
      </c>
      <c r="E386" s="56" t="n">
        <v>2333000000</v>
      </c>
      <c r="F386" s="56" t="n">
        <v>3006000000</v>
      </c>
      <c r="G386" s="56" t="n">
        <v>3265000000</v>
      </c>
      <c r="H386" s="56" t="n">
        <v>762000000</v>
      </c>
      <c r="I386" s="56" t="n">
        <v>1088000000</v>
      </c>
    </row>
    <row r="387">
      <c r="B387" s="54" t="inlineStr">
        <is>
          <t>Legal professional charges</t>
        </is>
      </c>
      <c r="C387" s="55" t="inlineStr">
        <is>
          <t>LegalProfessionalCharges</t>
        </is>
      </c>
      <c r="D387" s="56" t="n">
        <v>488000000</v>
      </c>
      <c r="E387" s="56" t="n">
        <v>524000000</v>
      </c>
      <c r="F387" s="56" t="n">
        <v>423000000</v>
      </c>
      <c r="G387" s="56" t="n">
        <v>572000000</v>
      </c>
      <c r="H387" s="56" t="n">
        <v>502000000</v>
      </c>
      <c r="I387" s="56" t="n">
        <v>921000000</v>
      </c>
    </row>
    <row r="388">
      <c r="B388" s="59" t="inlineStr">
        <is>
          <t>Payments to auditor [Abstract]</t>
        </is>
      </c>
    </row>
    <row r="389">
      <c r="B389" s="62" t="inlineStr">
        <is>
          <t>Payment for audit services</t>
        </is>
      </c>
      <c r="C389" s="55" t="inlineStr">
        <is>
          <t>PaymentForAuditServices</t>
        </is>
      </c>
      <c r="D389" s="56" t="n">
        <v>18000000</v>
      </c>
      <c r="E389" s="56" t="n">
        <v>18000000</v>
      </c>
      <c r="F389" s="56" t="n">
        <v>18000000</v>
      </c>
      <c r="G389" s="56" t="n">
        <v>20000000</v>
      </c>
      <c r="H389" s="56" t="n">
        <v>20000000</v>
      </c>
      <c r="I389" s="56" t="n">
        <v>20000000</v>
      </c>
    </row>
    <row r="390">
      <c r="B390" s="62" t="inlineStr">
        <is>
          <t>Payment for taxation matters</t>
        </is>
      </c>
      <c r="C390" s="55" t="inlineStr">
        <is>
          <t>PaymentForTaxationMatters</t>
        </is>
      </c>
      <c r="D390" s="56" t="n">
        <v>1000000</v>
      </c>
      <c r="E390" s="56" t="n">
        <v>0</v>
      </c>
      <c r="F390" s="56" t="n">
        <v>1000000</v>
      </c>
      <c r="G390" s="56" t="n">
        <v>1000000</v>
      </c>
      <c r="H390" s="56" t="n">
        <v>1000000</v>
      </c>
      <c r="I390" s="56" t="n">
        <v>1000000</v>
      </c>
    </row>
    <row r="391">
      <c r="B391" s="62" t="inlineStr">
        <is>
          <t>Payment for other services</t>
        </is>
      </c>
      <c r="C391" s="55" t="inlineStr">
        <is>
          <t>PaymentForOtherServices</t>
        </is>
      </c>
      <c r="D391" s="56" t="n">
        <v>3000000</v>
      </c>
      <c r="E391" s="56" t="n">
        <v>8000000</v>
      </c>
      <c r="F391" s="56" t="n">
        <v>8000000</v>
      </c>
      <c r="G391" s="56" t="n">
        <v>5000000</v>
      </c>
      <c r="H391" s="56" t="n">
        <v>3000000</v>
      </c>
      <c r="I391" s="56" t="n">
        <v>3000000</v>
      </c>
    </row>
    <row r="392">
      <c r="B392" s="62" t="inlineStr">
        <is>
          <t>Payment for reimbursement of expenses</t>
        </is>
      </c>
      <c r="C392" s="55" t="inlineStr">
        <is>
          <t>PaymentForReimbursementOfExpenses</t>
        </is>
      </c>
      <c r="D392" s="56" t="n">
        <v>2000000</v>
      </c>
      <c r="E392" s="56" t="n">
        <v>2000000</v>
      </c>
      <c r="F392" s="56" t="n">
        <v>2000000</v>
      </c>
      <c r="G392" s="56" t="n">
        <v>1000000</v>
      </c>
      <c r="H392" s="56" t="n">
        <v>0</v>
      </c>
      <c r="I392" s="56" t="n">
        <v>0</v>
      </c>
    </row>
    <row r="393">
      <c r="B393" s="67" t="inlineStr">
        <is>
          <t>Total payments to auditor</t>
        </is>
      </c>
      <c r="C393" s="55" t="inlineStr">
        <is>
          <t>PaymentsToAuditor</t>
        </is>
      </c>
      <c r="D393" s="58" t="n">
        <v>24000000</v>
      </c>
      <c r="E393" s="58" t="n">
        <v>28000000</v>
      </c>
      <c r="F393" s="58" t="n">
        <v>29000000</v>
      </c>
      <c r="G393" s="58" t="n">
        <v>27000000</v>
      </c>
      <c r="H393" s="58" t="n">
        <v>24000000</v>
      </c>
      <c r="I393" s="58" t="n">
        <v>24000000</v>
      </c>
    </row>
    <row r="394">
      <c r="B394" s="54" t="inlineStr">
        <is>
          <t>Corporate social responsibility expenditure</t>
        </is>
      </c>
      <c r="C394" s="55" t="inlineStr">
        <is>
          <t>CSRExpenditure</t>
        </is>
      </c>
      <c r="D394" s="56" t="n">
        <v>0</v>
      </c>
      <c r="E394" s="56" t="n">
        <v>0</v>
      </c>
      <c r="F394" s="56" t="n">
        <v>0</v>
      </c>
      <c r="G394" s="56" t="n">
        <v>343000000</v>
      </c>
      <c r="H394" s="56" t="n">
        <v>80000000</v>
      </c>
      <c r="I394" s="56" t="n">
        <v>171000000</v>
      </c>
    </row>
    <row r="395">
      <c r="B395" s="54" t="inlineStr">
        <is>
          <t>Miscellaneous expenses</t>
        </is>
      </c>
      <c r="C395" s="55" t="inlineStr">
        <is>
          <t>MiscellaneousExpenses</t>
        </is>
      </c>
      <c r="D395" s="56" t="n">
        <v>2174000000</v>
      </c>
      <c r="E395" s="56" t="n">
        <v>7246000000</v>
      </c>
      <c r="F395" s="56" t="n">
        <v>2877000000</v>
      </c>
      <c r="G395" s="56" t="n">
        <v>2545000000</v>
      </c>
      <c r="H395" s="56" t="n">
        <v>1537000000</v>
      </c>
      <c r="I395" s="56" t="n">
        <v>2591000000</v>
      </c>
    </row>
    <row r="396">
      <c r="B396" s="57" t="inlineStr">
        <is>
          <t>Total other expenses</t>
        </is>
      </c>
      <c r="C396" s="55" t="inlineStr">
        <is>
          <t>OtherExpenses</t>
        </is>
      </c>
      <c r="D396" s="58" t="n">
        <v>11194000000</v>
      </c>
      <c r="E396" s="58" t="n">
        <v>11582000000</v>
      </c>
      <c r="F396" s="58" t="n">
        <v>15358000000</v>
      </c>
      <c r="G396" s="58" t="n">
        <v>16181000000</v>
      </c>
      <c r="H396" s="58" t="n">
        <v>11979000000</v>
      </c>
      <c r="I396" s="58" t="n">
        <v>20019000000</v>
      </c>
    </row>
    <row r="399" ht="15.5" customHeight="1" s="203">
      <c r="B399" s="38" t="inlineStr">
        <is>
          <t>Current tax [Abstract]</t>
        </is>
      </c>
    </row>
    <row r="400">
      <c r="B400" s="54" t="inlineStr">
        <is>
          <t>Current tax pertaining to current year</t>
        </is>
      </c>
      <c r="C400" s="55" t="inlineStr">
        <is>
          <t>CurrentTaxPertainingToCurrentYear</t>
        </is>
      </c>
      <c r="D400" s="56" t="n">
        <v>1577000000</v>
      </c>
      <c r="E400" s="56" t="n">
        <v>1555000000</v>
      </c>
      <c r="F400" s="56" t="n">
        <v>2456000000</v>
      </c>
      <c r="G400" s="56" t="n">
        <v>2333000000</v>
      </c>
      <c r="H400" s="56" t="n">
        <v>4214000000</v>
      </c>
      <c r="I400" s="56" t="n">
        <v>5546000000</v>
      </c>
    </row>
    <row r="401">
      <c r="B401" s="57" t="inlineStr">
        <is>
          <t>Total current tax</t>
        </is>
      </c>
      <c r="C401" s="55" t="inlineStr">
        <is>
          <t>CurrentTax</t>
        </is>
      </c>
      <c r="D401" s="58" t="n">
        <v>1577000000</v>
      </c>
      <c r="E401" s="58" t="n">
        <v>1555000000</v>
      </c>
      <c r="F401" s="58" t="n">
        <v>2456000000</v>
      </c>
      <c r="G401" s="58" t="n">
        <v>2333000000</v>
      </c>
      <c r="H401" s="58" t="n">
        <v>4214000000</v>
      </c>
      <c r="I401" s="58" t="n">
        <v>5546000000</v>
      </c>
    </row>
    <row r="404" ht="15.5" customHeight="1" s="203">
      <c r="B404" s="38" t="inlineStr">
        <is>
          <t>Additional Items (Taxonomy Vintage 2017-03-31)</t>
        </is>
      </c>
    </row>
    <row r="405">
      <c r="B405" s="54" t="inlineStr">
        <is>
          <t>Cost lease rentals</t>
        </is>
      </c>
      <c r="C405" s="55" t="inlineStr">
        <is>
          <t>CostLeaseRentals</t>
        </is>
      </c>
      <c r="D405" s="56" t="n">
        <v>981000000</v>
      </c>
      <c r="E405" s="56" t="n">
        <v>0</v>
      </c>
      <c r="F405" s="56" t="n">
        <v>1223000000</v>
      </c>
      <c r="G405" s="56" t="n">
        <v>170000000</v>
      </c>
      <c r="H405" s="56" t="n">
        <v>115000000</v>
      </c>
      <c r="I405" s="56" t="n">
        <v>144000000</v>
      </c>
    </row>
    <row r="406">
      <c r="B406" s="54" t="inlineStr">
        <is>
          <t>Cost design technical assistance contracts</t>
        </is>
      </c>
      <c r="C406" s="55" t="inlineStr">
        <is>
          <t>CostDesignTechnicalAssistanceContracts</t>
        </is>
      </c>
      <c r="D406" s="56" t="n">
        <v>3071000000</v>
      </c>
      <c r="E406" s="56" t="n">
        <v>0</v>
      </c>
      <c r="F406" s="56" t="n">
        <v>0</v>
      </c>
      <c r="G406" s="56" t="n">
        <v>0</v>
      </c>
      <c r="H406" s="56" t="n">
        <v>0</v>
      </c>
      <c r="I406" s="56" t="n">
        <v>0</v>
      </c>
    </row>
    <row r="407">
      <c r="B407" s="54" t="inlineStr">
        <is>
          <t>Other claims contracts</t>
        </is>
      </c>
      <c r="C407" s="55" t="inlineStr">
        <is>
          <t>OtherClaimsContracts</t>
        </is>
      </c>
      <c r="D407" s="56" t="n">
        <v>0</v>
      </c>
      <c r="E407" s="56" t="n">
        <v>0</v>
      </c>
      <c r="F407" s="56" t="n">
        <v>5281000000</v>
      </c>
      <c r="G407" s="56" t="n">
        <v>6208000000</v>
      </c>
      <c r="H407" s="56" t="n">
        <v>5730000000</v>
      </c>
      <c r="I407" s="56" t="n">
        <v>10788000000</v>
      </c>
    </row>
    <row r="408">
      <c r="B408" s="57" t="inlineStr">
        <is>
          <t>Total contract cost</t>
        </is>
      </c>
      <c r="C408" s="55" t="inlineStr">
        <is>
          <t>ContractCost</t>
        </is>
      </c>
      <c r="D408" s="58" t="n">
        <v>3071000000</v>
      </c>
      <c r="E408" s="58" t="n">
        <v>0</v>
      </c>
      <c r="F408" s="58" t="n">
        <v>5281000000</v>
      </c>
      <c r="G408" s="58" t="n">
        <v>6208000000</v>
      </c>
      <c r="H408" s="58" t="n">
        <v>5730000000</v>
      </c>
      <c r="I408" s="58" t="n">
        <v>10788000000</v>
      </c>
    </row>
    <row r="411" ht="15.5" customHeight="1" s="203">
      <c r="A411" t="inlineStr">
        <is>
          <t>#</t>
        </is>
      </c>
      <c r="B411" s="38" t="inlineStr">
        <is>
          <t>Notes to Balance Sheet: Additional Disclosures On Balance Sheet</t>
        </is>
      </c>
    </row>
    <row r="413">
      <c r="C413" s="53" t="inlineStr">
        <is>
          <t>Concept Tag</t>
        </is>
      </c>
      <c r="D413" s="20" t="inlineStr">
        <is>
          <t>FY2017</t>
        </is>
      </c>
      <c r="E413" s="20" t="inlineStr">
        <is>
          <t>FY2018</t>
        </is>
      </c>
      <c r="F413" s="20" t="inlineStr">
        <is>
          <t>FY2019</t>
        </is>
      </c>
      <c r="G413" s="20" t="inlineStr">
        <is>
          <t>FY2020</t>
        </is>
      </c>
      <c r="H413" s="20" t="inlineStr">
        <is>
          <t>FY2021</t>
        </is>
      </c>
      <c r="I413" s="20" t="inlineStr">
        <is>
          <t>FY2022</t>
        </is>
      </c>
    </row>
    <row r="414" ht="15.5" customHeight="1" s="203">
      <c r="B414" s="38" t="inlineStr">
        <is>
          <t>Additional balance sheet notes [Abstract]</t>
        </is>
      </c>
    </row>
    <row r="415">
      <c r="B415" s="59" t="inlineStr">
        <is>
          <t>Contingent liabilities and commitments [Abstract]</t>
        </is>
      </c>
    </row>
    <row r="416">
      <c r="B416" s="60" t="inlineStr">
        <is>
          <t>Classification of contingent liabilities [Abstract]</t>
        </is>
      </c>
    </row>
    <row r="417">
      <c r="B417" s="61" t="inlineStr">
        <is>
          <t>Claims against company not acknowledged as debt</t>
        </is>
      </c>
      <c r="C417" s="55" t="inlineStr">
        <is>
          <t>ClaimsAgainstCompanyNotAcknowledgedAsDebt</t>
        </is>
      </c>
      <c r="D417" s="56" t="n">
        <v>0</v>
      </c>
      <c r="E417" s="56" t="n">
        <v>0</v>
      </c>
      <c r="F417" s="56" t="n">
        <v>1074000000</v>
      </c>
      <c r="G417" s="56" t="n">
        <v>1074000000</v>
      </c>
      <c r="H417" s="56" t="n">
        <v>824000000</v>
      </c>
      <c r="I417" s="56" t="n">
        <v>824000000</v>
      </c>
    </row>
    <row r="418">
      <c r="B418" s="65" t="inlineStr">
        <is>
          <t>Total contingent liabilities</t>
        </is>
      </c>
      <c r="C418" s="55" t="inlineStr">
        <is>
          <t>ContingentLiabilities</t>
        </is>
      </c>
      <c r="D418" s="58" t="n">
        <v>0</v>
      </c>
      <c r="E418" s="58" t="n">
        <v>0</v>
      </c>
      <c r="F418" s="58" t="n">
        <v>1074000000</v>
      </c>
      <c r="G418" s="58" t="n">
        <v>1074000000</v>
      </c>
      <c r="H418" s="58" t="n">
        <v>824000000</v>
      </c>
      <c r="I418" s="58" t="n">
        <v>824000000</v>
      </c>
    </row>
    <row r="419">
      <c r="B419" s="60" t="inlineStr">
        <is>
          <t>Classification of commitments [Abstract]</t>
        </is>
      </c>
    </row>
    <row r="420">
      <c r="B420" s="61" t="inlineStr">
        <is>
          <t>Estimated amount of contracts remaining to be executed on capital account and not provided for</t>
        </is>
      </c>
      <c r="C420" s="55" t="inlineStr">
        <is>
          <t>EstimatedAmountOfContractsRemainingToBeExecutedOnCapitalAccountAndNotProvidedFor</t>
        </is>
      </c>
      <c r="D420" s="56" t="n">
        <v>0</v>
      </c>
      <c r="E420" s="56" t="n">
        <v>0</v>
      </c>
      <c r="F420" s="56" t="n">
        <v>0</v>
      </c>
      <c r="G420" s="56" t="n">
        <v>0</v>
      </c>
      <c r="H420" s="56" t="n">
        <v>431000000</v>
      </c>
      <c r="I420" s="56" t="n">
        <v>753000000</v>
      </c>
    </row>
    <row r="421">
      <c r="B421" s="61" t="inlineStr">
        <is>
          <t>Other commitments</t>
        </is>
      </c>
      <c r="C421" s="55" t="inlineStr">
        <is>
          <t>OtherCommitments</t>
        </is>
      </c>
      <c r="D421" s="56" t="n">
        <v>242000000</v>
      </c>
      <c r="E421" s="56" t="n">
        <v>0</v>
      </c>
      <c r="F421" s="56" t="n">
        <v>0</v>
      </c>
      <c r="G421" s="56" t="n">
        <v>0</v>
      </c>
      <c r="H421" s="56" t="n">
        <v>0</v>
      </c>
      <c r="I421" s="56" t="n">
        <v>0</v>
      </c>
    </row>
    <row r="422">
      <c r="B422" s="65" t="inlineStr">
        <is>
          <t>Total commitments</t>
        </is>
      </c>
      <c r="C422" s="55" t="inlineStr">
        <is>
          <t>Commitments</t>
        </is>
      </c>
      <c r="D422" s="58" t="n">
        <v>242000000</v>
      </c>
      <c r="E422" s="58" t="n">
        <v>0</v>
      </c>
      <c r="F422" s="58" t="n">
        <v>0</v>
      </c>
      <c r="G422" s="58" t="n">
        <v>0</v>
      </c>
      <c r="H422" s="58" t="n">
        <v>431000000</v>
      </c>
      <c r="I422" s="58" t="n">
        <v>753000000</v>
      </c>
    </row>
    <row r="423">
      <c r="B423" s="67" t="inlineStr">
        <is>
          <t>Total contingent liabilities and commitments</t>
        </is>
      </c>
      <c r="C423" s="55" t="inlineStr">
        <is>
          <t>ContingentLiabilitiesAndCommitments</t>
        </is>
      </c>
      <c r="D423" s="58" t="n">
        <v>242000000</v>
      </c>
      <c r="E423" s="58" t="n">
        <v>0</v>
      </c>
      <c r="F423" s="58" t="n">
        <v>1074000000</v>
      </c>
      <c r="G423" s="58" t="n">
        <v>1074000000</v>
      </c>
      <c r="H423" s="58" t="n">
        <v>1255000000</v>
      </c>
      <c r="I423" s="58" t="n">
        <v>1577000000</v>
      </c>
    </row>
    <row r="424">
      <c r="B424" s="59" t="inlineStr">
        <is>
          <t>Details regarding dividends [Abstract]</t>
        </is>
      </c>
    </row>
    <row r="425">
      <c r="B425" s="62" t="inlineStr">
        <is>
          <t>Amount of dividends proposed to be distributed to equity shareholders</t>
        </is>
      </c>
      <c r="C425" s="55" t="inlineStr">
        <is>
          <t>AmountOfDividendsProposedToBeDistributedToEquityShareholders</t>
        </is>
      </c>
      <c r="D425" s="56" t="n">
        <v>0</v>
      </c>
      <c r="E425" s="56" t="n">
        <v>0</v>
      </c>
      <c r="F425" s="56" t="n">
        <v>0</v>
      </c>
      <c r="G425" s="56" t="n">
        <v>0</v>
      </c>
      <c r="H425" s="56" t="n">
        <v>4118180000</v>
      </c>
      <c r="I425" s="56" t="n">
        <v>6098850000</v>
      </c>
    </row>
    <row r="426">
      <c r="B426" s="62" t="inlineStr">
        <is>
          <t>Amount of per share dividend proposed to be distributed to equity shareholders</t>
        </is>
      </c>
      <c r="C426" s="55" t="inlineStr">
        <is>
          <t>AmountOfPerShareDividendProposedToBeDistributedToEquityShareholders</t>
        </is>
      </c>
      <c r="D426" s="56" t="n">
        <v>0</v>
      </c>
      <c r="E426" s="56" t="n">
        <v>0</v>
      </c>
      <c r="F426" s="56" t="n">
        <v>0</v>
      </c>
      <c r="G426" s="56" t="n">
        <v>0</v>
      </c>
      <c r="H426" s="56" t="n">
        <v>25</v>
      </c>
      <c r="I426" s="56" t="n">
        <v>37</v>
      </c>
    </row>
    <row r="427">
      <c r="B427" s="59" t="inlineStr">
        <is>
          <t>Additional regulatory information [Abstract]</t>
        </is>
      </c>
    </row>
    <row r="428">
      <c r="B428" s="71" t="inlineStr">
        <is>
          <t>Capital work-in-progress</t>
        </is>
      </c>
      <c r="C428" s="55" t="inlineStr">
        <is>
          <t>CapitalWorkInProgress</t>
        </is>
      </c>
      <c r="D428" s="56" t="n">
        <v>192000000</v>
      </c>
      <c r="E428" s="56" t="n">
        <v>92000000</v>
      </c>
      <c r="F428" s="56" t="n">
        <v>297000000</v>
      </c>
      <c r="G428" s="56" t="n">
        <v>136000000</v>
      </c>
      <c r="H428" s="56" t="n">
        <v>224000000</v>
      </c>
      <c r="I428" s="56" t="n">
        <v>215000000</v>
      </c>
    </row>
    <row r="433" ht="15.5" customHeight="1" s="203">
      <c r="A433" t="inlineStr">
        <is>
          <t>#</t>
        </is>
      </c>
      <c r="B433" s="38" t="inlineStr">
        <is>
          <t>Notes to Balance Sheet: Current Investments</t>
        </is>
      </c>
    </row>
    <row r="435">
      <c r="C435" s="53" t="inlineStr">
        <is>
          <t>Concept Tag</t>
        </is>
      </c>
      <c r="D435" s="20" t="inlineStr">
        <is>
          <t>FY2017</t>
        </is>
      </c>
      <c r="E435" s="20" t="inlineStr">
        <is>
          <t>FY2018</t>
        </is>
      </c>
      <c r="F435" s="20" t="inlineStr">
        <is>
          <t>FY2019</t>
        </is>
      </c>
      <c r="G435" s="20" t="inlineStr">
        <is>
          <t>FY2020</t>
        </is>
      </c>
      <c r="H435" s="20" t="inlineStr">
        <is>
          <t>FY2021</t>
        </is>
      </c>
      <c r="I435" s="20" t="inlineStr">
        <is>
          <t>FY2022</t>
        </is>
      </c>
    </row>
    <row r="436" ht="15.5" customHeight="1" s="203">
      <c r="B436" s="38" t="inlineStr">
        <is>
          <t>Current investments [Abstract]</t>
        </is>
      </c>
    </row>
    <row r="437">
      <c r="B437" s="59" t="inlineStr">
        <is>
          <t>Disclosure of details of current investments [Abstract]</t>
        </is>
      </c>
    </row>
    <row r="438">
      <c r="B438" s="60" t="inlineStr">
        <is>
          <t>Details of current investments [Line items]</t>
        </is>
      </c>
    </row>
    <row r="439">
      <c r="B439" s="61" t="inlineStr">
        <is>
          <t>Current investments</t>
        </is>
      </c>
      <c r="C439" s="55" t="inlineStr">
        <is>
          <t>CurrentInvestments</t>
        </is>
      </c>
      <c r="D439" s="56" t="n">
        <v>5869000000</v>
      </c>
      <c r="E439" s="56" t="n">
        <v>7206000000</v>
      </c>
      <c r="F439" s="56" t="n">
        <v>6836000000</v>
      </c>
      <c r="G439" s="56" t="n">
        <v>6944000000</v>
      </c>
      <c r="H439" s="56" t="n">
        <v>19307000000</v>
      </c>
      <c r="I439" s="56" t="n">
        <v>22391000000</v>
      </c>
    </row>
    <row r="440">
      <c r="B440" s="54" t="inlineStr">
        <is>
          <t>Aggregate amount of quoted current investments</t>
        </is>
      </c>
      <c r="C440" s="55" t="inlineStr">
        <is>
          <t>AggregateAmountOfQuotedCurrentInvestments</t>
        </is>
      </c>
      <c r="D440" s="56" t="n">
        <v>5259000000</v>
      </c>
      <c r="E440" s="56" t="n">
        <v>6218000000</v>
      </c>
      <c r="F440" s="56" t="n">
        <v>5908000000</v>
      </c>
      <c r="G440" s="56" t="n">
        <v>5878000000</v>
      </c>
      <c r="H440" s="56" t="n">
        <v>17146000000</v>
      </c>
      <c r="I440" s="56" t="n">
        <v>16902000000</v>
      </c>
    </row>
    <row r="441">
      <c r="B441" s="54" t="inlineStr">
        <is>
          <t>Market value of quoted current investments</t>
        </is>
      </c>
      <c r="C441" s="55" t="inlineStr">
        <is>
          <t>MarketValueOfQuotedCurrentInvestments</t>
        </is>
      </c>
      <c r="D441" s="56" t="n">
        <v>5259000000</v>
      </c>
      <c r="E441" s="56" t="n">
        <v>6218000000</v>
      </c>
      <c r="F441" s="56" t="n">
        <v>5908000000</v>
      </c>
      <c r="G441" s="56" t="n">
        <v>5878000000</v>
      </c>
      <c r="H441" s="56" t="n">
        <v>17146000000</v>
      </c>
      <c r="I441" s="56" t="n">
        <v>16902000000</v>
      </c>
    </row>
    <row r="442">
      <c r="B442" s="54" t="inlineStr">
        <is>
          <t>Aggregate amount of unquoted current investments</t>
        </is>
      </c>
      <c r="C442" s="55" t="inlineStr">
        <is>
          <t>AggregateAmountOfUnquotedCurrentInvestments</t>
        </is>
      </c>
      <c r="D442" s="56" t="n">
        <v>610000000</v>
      </c>
      <c r="E442" s="56" t="n">
        <v>988000000</v>
      </c>
      <c r="F442" s="56" t="n">
        <v>928000000</v>
      </c>
      <c r="G442" s="56" t="n">
        <v>1066000000</v>
      </c>
      <c r="H442" s="56" t="n">
        <v>2161000000</v>
      </c>
      <c r="I442" s="56" t="n">
        <v>5489000000</v>
      </c>
    </row>
    <row r="445" ht="15.5" customHeight="1" s="203">
      <c r="A445" t="inlineStr">
        <is>
          <t>#</t>
        </is>
      </c>
      <c r="B445" s="38" t="inlineStr">
        <is>
          <t>Notes to Balance Sheet: Equity Share Capital</t>
        </is>
      </c>
    </row>
    <row r="447">
      <c r="C447" s="53" t="inlineStr">
        <is>
          <t>Concept Tag</t>
        </is>
      </c>
      <c r="D447" s="20" t="inlineStr">
        <is>
          <t>FY2017</t>
        </is>
      </c>
      <c r="E447" s="20" t="inlineStr">
        <is>
          <t>FY2018</t>
        </is>
      </c>
      <c r="F447" s="20" t="inlineStr">
        <is>
          <t>FY2019</t>
        </is>
      </c>
      <c r="G447" s="20" t="inlineStr">
        <is>
          <t>FY2020</t>
        </is>
      </c>
      <c r="H447" s="20" t="inlineStr">
        <is>
          <t>FY2021</t>
        </is>
      </c>
      <c r="I447" s="20" t="inlineStr">
        <is>
          <t>FY2022</t>
        </is>
      </c>
    </row>
    <row r="448" ht="15.5" customHeight="1" s="203">
      <c r="B448" s="38" t="inlineStr">
        <is>
          <t>Disclosure of classes of equity share capital [Abstract]</t>
        </is>
      </c>
    </row>
    <row r="449">
      <c r="B449" s="59" t="inlineStr">
        <is>
          <t>Disclosure of classes of equity share capital [Line items]</t>
        </is>
      </c>
    </row>
    <row r="450">
      <c r="B450" s="62" t="inlineStr">
        <is>
          <t>Number of shares authorised</t>
        </is>
      </c>
      <c r="C450" s="55" t="inlineStr">
        <is>
          <t>NumberOfSharesAuthorised</t>
        </is>
      </c>
      <c r="D450" s="56" t="n">
        <v>800000000</v>
      </c>
      <c r="E450" s="56" t="n">
        <v>800000000</v>
      </c>
      <c r="F450" s="56" t="n">
        <v>800000000</v>
      </c>
      <c r="G450" s="56" t="n">
        <v>800000000</v>
      </c>
      <c r="H450" s="56" t="n">
        <v>800000000</v>
      </c>
      <c r="I450" s="56" t="n">
        <v>800000000</v>
      </c>
    </row>
    <row r="451">
      <c r="B451" s="62" t="inlineStr">
        <is>
          <t>Value of shares authorised</t>
        </is>
      </c>
      <c r="C451" s="55" t="inlineStr">
        <is>
          <t>ValueOfSharesAuthorised</t>
        </is>
      </c>
      <c r="D451" s="56" t="n">
        <v>8000000000</v>
      </c>
      <c r="E451" s="56" t="n">
        <v>8000000000</v>
      </c>
      <c r="F451" s="56" t="n">
        <v>8000000000</v>
      </c>
      <c r="G451" s="56" t="n">
        <v>8000000000</v>
      </c>
      <c r="H451" s="56" t="n">
        <v>8000000000</v>
      </c>
      <c r="I451" s="56" t="n">
        <v>8000000000</v>
      </c>
    </row>
    <row r="452">
      <c r="B452" s="62" t="inlineStr">
        <is>
          <t>Number of shares issued</t>
        </is>
      </c>
      <c r="C452" s="55" t="inlineStr">
        <is>
          <t>NumberOfSharesIssued</t>
        </is>
      </c>
      <c r="D452" s="56" t="n">
        <v>168025546</v>
      </c>
      <c r="E452" s="56" t="n">
        <v>163926311</v>
      </c>
      <c r="F452" s="56" t="n">
        <v>164214041</v>
      </c>
      <c r="G452" s="56" t="n">
        <v>164574066</v>
      </c>
      <c r="H452" s="56" t="n">
        <v>164719766</v>
      </c>
      <c r="I452" s="56" t="n">
        <v>164833772</v>
      </c>
    </row>
    <row r="453">
      <c r="B453" s="62" t="inlineStr">
        <is>
          <t>Value of shares issued</t>
        </is>
      </c>
      <c r="C453" s="55" t="inlineStr">
        <is>
          <t>ValueOfSharesIssued</t>
        </is>
      </c>
      <c r="D453" s="56" t="n">
        <v>1680000000</v>
      </c>
      <c r="E453" s="56" t="n">
        <v>1639260000</v>
      </c>
      <c r="F453" s="56" t="n">
        <v>1642140000</v>
      </c>
      <c r="G453" s="56" t="n">
        <v>1645740000</v>
      </c>
      <c r="H453" s="56" t="n">
        <v>1647000000</v>
      </c>
      <c r="I453" s="56" t="n">
        <v>1648000000</v>
      </c>
    </row>
    <row r="454">
      <c r="B454" s="62" t="inlineStr">
        <is>
          <t>Number of shares subscribed and fully paid</t>
        </is>
      </c>
      <c r="C454" s="55" t="inlineStr">
        <is>
          <t>NumberOfSharesSubscribedAndFullyPaid</t>
        </is>
      </c>
      <c r="D454" s="56" t="n">
        <v>168025546</v>
      </c>
      <c r="E454" s="56" t="n">
        <v>163926311</v>
      </c>
      <c r="F454" s="56" t="n">
        <v>164214041</v>
      </c>
      <c r="G454" s="56" t="n">
        <v>164574066</v>
      </c>
      <c r="H454" s="56" t="n">
        <v>164719766</v>
      </c>
      <c r="I454" s="56" t="n">
        <v>164833772</v>
      </c>
    </row>
    <row r="455">
      <c r="B455" s="62" t="inlineStr">
        <is>
          <t>Value of shares subscribed and fully paid</t>
        </is>
      </c>
      <c r="C455" s="55" t="inlineStr">
        <is>
          <t>ValueOfSharesSubscribedAndFullyPaid</t>
        </is>
      </c>
      <c r="D455" s="56" t="n">
        <v>1680000000</v>
      </c>
      <c r="E455" s="56" t="n">
        <v>1639000000</v>
      </c>
      <c r="F455" s="56" t="n">
        <v>1642000000</v>
      </c>
      <c r="G455" s="56" t="n">
        <v>1645740000</v>
      </c>
      <c r="H455" s="56" t="n">
        <v>1647000000</v>
      </c>
      <c r="I455" s="56" t="n">
        <v>1648000000</v>
      </c>
    </row>
    <row r="456">
      <c r="B456" s="67" t="inlineStr">
        <is>
          <t>Total number of shares subscribed</t>
        </is>
      </c>
      <c r="C456" s="55" t="inlineStr">
        <is>
          <t>NumberOfSharesSubscribed</t>
        </is>
      </c>
      <c r="D456" s="58" t="n">
        <v>168025546</v>
      </c>
      <c r="E456" s="58" t="n">
        <v>163926311</v>
      </c>
      <c r="F456" s="58" t="n">
        <v>164214041</v>
      </c>
      <c r="G456" s="58" t="n">
        <v>164574066</v>
      </c>
      <c r="H456" s="58" t="n">
        <v>164719766</v>
      </c>
      <c r="I456" s="58" t="n">
        <v>164833772</v>
      </c>
    </row>
    <row r="457">
      <c r="B457" s="67" t="inlineStr">
        <is>
          <t>Total value of shares subscribed</t>
        </is>
      </c>
      <c r="C457" s="55" t="inlineStr">
        <is>
          <t>ValueOfSharesSubscribed</t>
        </is>
      </c>
      <c r="D457" s="58" t="n">
        <v>1680000000</v>
      </c>
      <c r="E457" s="58" t="n">
        <v>1639000000</v>
      </c>
      <c r="F457" s="58" t="n">
        <v>1642000000</v>
      </c>
      <c r="G457" s="58" t="n">
        <v>1645740000</v>
      </c>
      <c r="H457" s="58" t="n">
        <v>1647000000</v>
      </c>
      <c r="I457" s="58" t="n">
        <v>1648000000</v>
      </c>
    </row>
    <row r="458">
      <c r="B458" s="60" t="inlineStr">
        <is>
          <t>Value of shares paid-up [Abstract]</t>
        </is>
      </c>
    </row>
    <row r="459">
      <c r="B459" s="61" t="inlineStr">
        <is>
          <t>Number of shares paid-up</t>
        </is>
      </c>
      <c r="C459" s="55" t="inlineStr">
        <is>
          <t>NumberOfSharesPaidUp</t>
        </is>
      </c>
      <c r="D459" s="56" t="n">
        <v>168025546</v>
      </c>
      <c r="E459" s="56" t="n">
        <v>163926311</v>
      </c>
      <c r="F459" s="56" t="n">
        <v>164214041</v>
      </c>
      <c r="G459" s="56" t="n">
        <v>164574066</v>
      </c>
      <c r="H459" s="56" t="n">
        <v>164719766</v>
      </c>
      <c r="I459" s="56" t="n">
        <v>164833772</v>
      </c>
    </row>
    <row r="460">
      <c r="B460" s="61" t="inlineStr">
        <is>
          <t>Value of shares called</t>
        </is>
      </c>
      <c r="C460" s="55" t="inlineStr">
        <is>
          <t>ValueOfSharesCalled</t>
        </is>
      </c>
      <c r="D460" s="56" t="n">
        <v>1680000000</v>
      </c>
      <c r="E460" s="56" t="n">
        <v>1639000000</v>
      </c>
      <c r="F460" s="56" t="n">
        <v>1642000000</v>
      </c>
      <c r="G460" s="56" t="n">
        <v>1645740000</v>
      </c>
      <c r="H460" s="56" t="n">
        <v>1647000000</v>
      </c>
      <c r="I460" s="56" t="n">
        <v>1648000000</v>
      </c>
    </row>
    <row r="461">
      <c r="B461" s="65" t="inlineStr">
        <is>
          <t>Value of shares paid-up</t>
        </is>
      </c>
      <c r="C461" s="55" t="inlineStr">
        <is>
          <t>ValueOfSharesPaidUp</t>
        </is>
      </c>
      <c r="D461" s="58" t="n">
        <v>1680000000</v>
      </c>
      <c r="E461" s="58" t="n">
        <v>1639000000</v>
      </c>
      <c r="F461" s="58" t="n">
        <v>1642000000</v>
      </c>
      <c r="G461" s="58" t="n">
        <v>1645740000</v>
      </c>
      <c r="H461" s="58" t="n">
        <v>1647000000</v>
      </c>
      <c r="I461" s="58" t="n">
        <v>1648000000</v>
      </c>
    </row>
    <row r="462">
      <c r="B462" s="60" t="inlineStr">
        <is>
          <t>Reconciliation of number of shares outstanding [Abstract]</t>
        </is>
      </c>
    </row>
    <row r="463">
      <c r="B463" s="61" t="inlineStr">
        <is>
          <t>Number of shares outstanding at end of period</t>
        </is>
      </c>
      <c r="C463" s="55" t="inlineStr">
        <is>
          <t>NumberOfSharesOutstanding</t>
        </is>
      </c>
      <c r="D463" s="56" t="n">
        <v>168025546</v>
      </c>
      <c r="E463" s="56" t="n">
        <v>163926311</v>
      </c>
      <c r="F463" s="56" t="n">
        <v>164214041</v>
      </c>
      <c r="G463" s="56" t="n">
        <v>164574066</v>
      </c>
      <c r="H463" s="56" t="n">
        <v>164719766</v>
      </c>
      <c r="I463" s="56" t="n">
        <v>164833772</v>
      </c>
    </row>
    <row r="464">
      <c r="B464" s="63" t="inlineStr">
        <is>
          <t>Changes in number of shares outstanding [Abstract]</t>
        </is>
      </c>
    </row>
    <row r="465">
      <c r="B465" s="68" t="inlineStr">
        <is>
          <t>Increase in number of shares outstanding [Abstract]</t>
        </is>
      </c>
    </row>
    <row r="466">
      <c r="B466" s="69" t="inlineStr">
        <is>
          <t>Total aggregate number of shares issued during period</t>
        </is>
      </c>
      <c r="C466" s="55" t="inlineStr">
        <is>
          <t>AggregateNumberOfSharesIssuedDuringPeriod</t>
        </is>
      </c>
      <c r="D466" s="58" t="n">
        <v>239370</v>
      </c>
      <c r="E466" s="58" t="n">
        <v>124765</v>
      </c>
      <c r="F466" s="58" t="n">
        <v>287730</v>
      </c>
      <c r="G466" s="58" t="n">
        <v>360025</v>
      </c>
      <c r="H466" s="58" t="n">
        <v>145700</v>
      </c>
      <c r="I466" s="58" t="n">
        <v>114006</v>
      </c>
    </row>
    <row r="467">
      <c r="B467" s="68" t="inlineStr">
        <is>
          <t>Decrease in number of shares during period [Abstract]</t>
        </is>
      </c>
    </row>
    <row r="468">
      <c r="B468" s="69" t="inlineStr">
        <is>
          <t>Total decrease in number of shares during period</t>
        </is>
      </c>
      <c r="C468" s="55" t="inlineStr">
        <is>
          <t>DecreaseInNumberOfSharesDuringPeriod</t>
        </is>
      </c>
      <c r="D468" s="58" t="n">
        <v>0</v>
      </c>
      <c r="E468" s="58" t="n">
        <v>4224000</v>
      </c>
      <c r="F468" s="58" t="n">
        <v>0</v>
      </c>
      <c r="G468" s="58" t="n">
        <v>0</v>
      </c>
      <c r="H468" s="58" t="n">
        <v>0</v>
      </c>
      <c r="I468" s="58" t="n">
        <v>0</v>
      </c>
    </row>
    <row r="469">
      <c r="B469" s="66" t="inlineStr">
        <is>
          <t>Total increase (decrease) in number of shares outstanding</t>
        </is>
      </c>
      <c r="C469" s="55" t="inlineStr">
        <is>
          <t>IncreaseDecreaseInNumberOfSharesOutstanding</t>
        </is>
      </c>
      <c r="D469" s="58" t="n">
        <v>239370</v>
      </c>
      <c r="E469" s="58" t="n">
        <v>-4099235</v>
      </c>
      <c r="F469" s="58" t="n">
        <v>287730</v>
      </c>
      <c r="G469" s="58" t="n">
        <v>360025</v>
      </c>
      <c r="H469" s="58" t="n">
        <v>145700</v>
      </c>
      <c r="I469" s="58" t="n">
        <v>114006</v>
      </c>
    </row>
    <row r="470">
      <c r="B470" s="61" t="inlineStr">
        <is>
          <t>Number of shares outstanding at end of period</t>
        </is>
      </c>
      <c r="C470" s="55" t="inlineStr">
        <is>
          <t>NumberOfSharesOutstanding</t>
        </is>
      </c>
      <c r="D470" s="56" t="n">
        <v>168025546</v>
      </c>
      <c r="E470" s="56" t="n">
        <v>163926311</v>
      </c>
      <c r="F470" s="56" t="n">
        <v>164214041</v>
      </c>
      <c r="G470" s="56" t="n">
        <v>164574066</v>
      </c>
      <c r="H470" s="56" t="n">
        <v>164719766</v>
      </c>
      <c r="I470" s="56" t="n">
        <v>164833772</v>
      </c>
    </row>
    <row r="471">
      <c r="B471" s="60" t="inlineStr">
        <is>
          <t>Reconciliation of value of shares outstanding [Abstract]</t>
        </is>
      </c>
    </row>
    <row r="472">
      <c r="B472" s="61" t="inlineStr">
        <is>
          <t>Equity share capital at end of period</t>
        </is>
      </c>
      <c r="C472" s="55" t="inlineStr">
        <is>
          <t>EquityShareCapital</t>
        </is>
      </c>
      <c r="D472" s="56" t="n">
        <v>1680000000</v>
      </c>
      <c r="E472" s="56" t="n">
        <v>1639000000</v>
      </c>
      <c r="F472" s="56" t="n">
        <v>1642000000</v>
      </c>
      <c r="G472" s="56" t="n">
        <v>1645740000</v>
      </c>
      <c r="H472" s="56" t="n">
        <v>1647000000</v>
      </c>
      <c r="I472" s="56" t="n">
        <v>1648000000</v>
      </c>
    </row>
    <row r="473">
      <c r="B473" s="63" t="inlineStr">
        <is>
          <t>Changes in equity share capital [Abstract]</t>
        </is>
      </c>
    </row>
    <row r="474">
      <c r="B474" s="68" t="inlineStr">
        <is>
          <t>Increase in equity share capital during period [Abstract]</t>
        </is>
      </c>
    </row>
    <row r="475">
      <c r="B475" s="71" t="inlineStr">
        <is>
          <t>Amount of shares issued under employee stock option plan</t>
        </is>
      </c>
      <c r="C475" s="55" t="inlineStr">
        <is>
          <t>AmountOfSharesIssuedUnderEmployeeStockOptionPlan</t>
        </is>
      </c>
      <c r="D475" s="56" t="n">
        <v>2000000</v>
      </c>
      <c r="E475" s="56" t="n">
        <v>1000000</v>
      </c>
      <c r="F475" s="56" t="n">
        <v>3000000</v>
      </c>
      <c r="G475" s="56" t="n">
        <v>3740000</v>
      </c>
      <c r="H475" s="56" t="n">
        <v>1000000</v>
      </c>
      <c r="I475" s="56" t="n">
        <v>1000000</v>
      </c>
    </row>
    <row r="476">
      <c r="B476" s="69" t="inlineStr">
        <is>
          <t>Total aggregate amount of increase in equity share capital during period</t>
        </is>
      </c>
      <c r="C476" s="55" t="inlineStr">
        <is>
          <t>AggregateAmountOfIncreaseInEquityShareCapitalDuringPeriod</t>
        </is>
      </c>
      <c r="D476" s="58" t="n">
        <v>2000000</v>
      </c>
      <c r="E476" s="58" t="n">
        <v>1000000</v>
      </c>
      <c r="F476" s="58" t="n">
        <v>3000000</v>
      </c>
      <c r="G476" s="58" t="n">
        <v>3740000</v>
      </c>
      <c r="H476" s="58" t="n">
        <v>1000000</v>
      </c>
      <c r="I476" s="58" t="n">
        <v>1000000</v>
      </c>
    </row>
    <row r="477">
      <c r="B477" s="68" t="inlineStr">
        <is>
          <t>Decrease in equity share capital during period [Abstract]</t>
        </is>
      </c>
    </row>
    <row r="478">
      <c r="B478" s="71" t="inlineStr">
        <is>
          <t>Decrease in amount of treasury shares or shares bought back</t>
        </is>
      </c>
      <c r="C478" s="55" t="inlineStr">
        <is>
          <t>DecreaseInAmountOfTreasurySharesOrSharesBoughtBack</t>
        </is>
      </c>
      <c r="D478" s="56" t="n">
        <v>0</v>
      </c>
      <c r="E478" s="56" t="n">
        <v>42000000</v>
      </c>
      <c r="F478" s="56" t="n">
        <v>0</v>
      </c>
      <c r="G478" s="56" t="n">
        <v>0</v>
      </c>
      <c r="H478" s="56" t="n">
        <v>0</v>
      </c>
      <c r="I478" s="56" t="n">
        <v>0</v>
      </c>
    </row>
    <row r="479">
      <c r="B479" s="69" t="inlineStr">
        <is>
          <t>Total decrease in equity share capital during period</t>
        </is>
      </c>
      <c r="C479" s="55" t="inlineStr">
        <is>
          <t>DecreaseInEquityShareCapitalDuringPeriod</t>
        </is>
      </c>
      <c r="D479" s="58" t="n">
        <v>0</v>
      </c>
      <c r="E479" s="58" t="n">
        <v>42000000</v>
      </c>
      <c r="F479" s="58" t="n">
        <v>0</v>
      </c>
      <c r="G479" s="58" t="n">
        <v>0</v>
      </c>
      <c r="H479" s="58" t="n">
        <v>0</v>
      </c>
      <c r="I479" s="58" t="n">
        <v>0</v>
      </c>
    </row>
    <row r="480">
      <c r="B480" s="66" t="inlineStr">
        <is>
          <t>Total increase (decrease) in share capital</t>
        </is>
      </c>
      <c r="C480" s="55" t="inlineStr">
        <is>
          <t>IncreaseDecreaseInEquityShareCapital</t>
        </is>
      </c>
      <c r="D480" s="58" t="n">
        <v>2000000</v>
      </c>
      <c r="E480" s="58" t="n">
        <v>-41000000</v>
      </c>
      <c r="F480" s="58" t="n">
        <v>3000000</v>
      </c>
      <c r="G480" s="58" t="n">
        <v>3740000</v>
      </c>
      <c r="H480" s="58" t="n">
        <v>1000000</v>
      </c>
      <c r="I480" s="58" t="n">
        <v>1000000</v>
      </c>
    </row>
    <row r="481">
      <c r="B481" s="61" t="inlineStr">
        <is>
          <t>Equity share capital at end of period</t>
        </is>
      </c>
      <c r="C481" s="55" t="inlineStr">
        <is>
          <t>EquityShareCapital</t>
        </is>
      </c>
      <c r="D481" s="56" t="n">
        <v>1680000000</v>
      </c>
      <c r="E481" s="56" t="n">
        <v>1639000000</v>
      </c>
      <c r="F481" s="56" t="n">
        <v>1642000000</v>
      </c>
      <c r="G481" s="56" t="n">
        <v>1645740000</v>
      </c>
      <c r="H481" s="56" t="n">
        <v>1647000000</v>
      </c>
      <c r="I481" s="56" t="n">
        <v>1648000000</v>
      </c>
    </row>
    <row r="482">
      <c r="B482" s="60" t="inlineStr">
        <is>
          <t>Shares in company held by holding company or ultimate holding company or by its subsidiaries or associates [Abstract]</t>
        </is>
      </c>
    </row>
    <row r="483">
      <c r="B483" s="61" t="inlineStr">
        <is>
          <t>Shares in company held by holding company</t>
        </is>
      </c>
      <c r="C483" s="55" t="inlineStr">
        <is>
          <t>SharesInCompanyHeldByHoldingCompany</t>
        </is>
      </c>
      <c r="D483" s="56" t="n">
        <v>0</v>
      </c>
      <c r="E483" s="56" t="n">
        <v>0</v>
      </c>
      <c r="F483" s="56" t="n">
        <v>0</v>
      </c>
      <c r="G483" s="56" t="n">
        <v>0</v>
      </c>
      <c r="H483" s="56" t="n">
        <v>100527734</v>
      </c>
      <c r="I483" s="56" t="n">
        <v>100527734</v>
      </c>
    </row>
    <row r="484">
      <c r="B484" s="65" t="inlineStr">
        <is>
          <t>Total shares in company held by holding company or ultimate holding company or by its subsidiaries or associates</t>
        </is>
      </c>
      <c r="C484" s="55" t="inlineStr">
        <is>
          <t>SharesInCompanyHeldByHoldingCompanyOrUltimateHoldingCompanyOrByItsSubsidiariesOrAssociates</t>
        </is>
      </c>
      <c r="D484" s="58" t="n">
        <v>0</v>
      </c>
      <c r="E484" s="58" t="n">
        <v>0</v>
      </c>
      <c r="F484" s="58" t="n">
        <v>0</v>
      </c>
      <c r="G484" s="58" t="n">
        <v>0</v>
      </c>
      <c r="H484" s="58" t="n">
        <v>100527734</v>
      </c>
      <c r="I484" s="58" t="n">
        <v>100527734</v>
      </c>
    </row>
    <row r="488" ht="15.5" customHeight="1" s="203">
      <c r="A488" t="inlineStr">
        <is>
          <t>#</t>
        </is>
      </c>
      <c r="B488" s="38" t="inlineStr">
        <is>
          <t>Notes to Balance Sheet: Goodwill</t>
        </is>
      </c>
    </row>
    <row r="490">
      <c r="C490" s="53" t="inlineStr">
        <is>
          <t>Concept Tag</t>
        </is>
      </c>
      <c r="D490" s="20" t="inlineStr">
        <is>
          <t>FY2017</t>
        </is>
      </c>
      <c r="E490" s="20" t="inlineStr">
        <is>
          <t>FY2018</t>
        </is>
      </c>
      <c r="F490" s="20" t="inlineStr">
        <is>
          <t>FY2019</t>
        </is>
      </c>
      <c r="G490" s="20" t="inlineStr">
        <is>
          <t>FY2020</t>
        </is>
      </c>
      <c r="H490" s="20" t="inlineStr">
        <is>
          <t>FY2021</t>
        </is>
      </c>
      <c r="I490" s="20" t="inlineStr">
        <is>
          <t>FY2022</t>
        </is>
      </c>
    </row>
    <row r="491" ht="15.5" customHeight="1" s="203">
      <c r="B491" s="38" t="inlineStr">
        <is>
          <t>Disclosure of reconciliation of changes in goodwill [Abstract]</t>
        </is>
      </c>
    </row>
    <row r="492">
      <c r="B492" s="59" t="inlineStr">
        <is>
          <t>Disclosure of reconciliation of changes in goodwill [Line items]</t>
        </is>
      </c>
    </row>
    <row r="493">
      <c r="B493" s="62" t="inlineStr">
        <is>
          <t>Goodwill at end of period</t>
        </is>
      </c>
      <c r="C493" s="55" t="inlineStr">
        <is>
          <t>Goodwill</t>
        </is>
      </c>
      <c r="D493" s="56" t="n">
        <v>4470000000</v>
      </c>
      <c r="E493" s="56" t="n">
        <v>4539000000</v>
      </c>
      <c r="F493" s="56" t="n">
        <v>4732000000</v>
      </c>
      <c r="G493" s="56" t="n">
        <v>4732000000</v>
      </c>
      <c r="H493" s="56" t="n">
        <v>4732000000</v>
      </c>
      <c r="I493" s="56" t="n">
        <v>4732000000</v>
      </c>
    </row>
    <row r="494">
      <c r="B494" s="60" t="inlineStr">
        <is>
          <t>Changes in goodwill [Abstract]</t>
        </is>
      </c>
    </row>
    <row r="495">
      <c r="B495" s="61" t="inlineStr">
        <is>
          <t>Increase (decrease) through net exchange differences, goodwill</t>
        </is>
      </c>
      <c r="C495" s="55" t="inlineStr">
        <is>
          <t>IncreaseDecreaseThroughNetExchangeDifferencesGoodwill</t>
        </is>
      </c>
      <c r="D495" s="56" t="n">
        <v>-345000000</v>
      </c>
      <c r="E495" s="56" t="n">
        <v>0</v>
      </c>
      <c r="F495" s="56" t="n">
        <v>0</v>
      </c>
      <c r="G495" s="56" t="n">
        <v>0</v>
      </c>
      <c r="H495" s="56" t="n">
        <v>0</v>
      </c>
      <c r="I495" s="56" t="n">
        <v>0</v>
      </c>
    </row>
    <row r="496">
      <c r="B496" s="65" t="inlineStr">
        <is>
          <t>Total increase (decrease) in goodwill</t>
        </is>
      </c>
      <c r="C496" s="55" t="inlineStr">
        <is>
          <t>ChangesInGoodwill</t>
        </is>
      </c>
      <c r="D496" s="58" t="n">
        <v>-345000000</v>
      </c>
      <c r="E496" s="58" t="n">
        <v>0</v>
      </c>
      <c r="F496" s="58" t="n">
        <v>0</v>
      </c>
      <c r="G496" s="58" t="n">
        <v>0</v>
      </c>
      <c r="H496" s="58" t="n">
        <v>0</v>
      </c>
      <c r="I496" s="58" t="n">
        <v>0</v>
      </c>
    </row>
    <row r="497">
      <c r="B497" s="62" t="inlineStr">
        <is>
          <t>Goodwill at end of period</t>
        </is>
      </c>
      <c r="C497" s="55" t="inlineStr">
        <is>
          <t>Goodwill</t>
        </is>
      </c>
      <c r="D497" s="56" t="n">
        <v>4470000000</v>
      </c>
      <c r="E497" s="56" t="n">
        <v>4539000000</v>
      </c>
      <c r="F497" s="56" t="n">
        <v>4732000000</v>
      </c>
      <c r="G497" s="56" t="n">
        <v>4732000000</v>
      </c>
      <c r="H497" s="56" t="n">
        <v>4732000000</v>
      </c>
      <c r="I497" s="56" t="n">
        <v>4732000000</v>
      </c>
    </row>
    <row r="500" ht="15.5" customHeight="1" s="203">
      <c r="A500" t="inlineStr">
        <is>
          <t>#</t>
        </is>
      </c>
      <c r="B500" s="38" t="inlineStr">
        <is>
          <t>Notes to Balance Sheet: Noncurrent Investments</t>
        </is>
      </c>
    </row>
    <row r="502">
      <c r="C502" s="53" t="inlineStr">
        <is>
          <t>Concept Tag</t>
        </is>
      </c>
      <c r="D502" s="20" t="inlineStr">
        <is>
          <t>FY2017</t>
        </is>
      </c>
      <c r="E502" s="20" t="inlineStr">
        <is>
          <t>FY2018</t>
        </is>
      </c>
      <c r="F502" s="20" t="inlineStr">
        <is>
          <t>FY2019</t>
        </is>
      </c>
      <c r="G502" s="20" t="inlineStr">
        <is>
          <t>FY2020</t>
        </is>
      </c>
      <c r="H502" s="20" t="inlineStr">
        <is>
          <t>FY2021</t>
        </is>
      </c>
      <c r="I502" s="20" t="inlineStr">
        <is>
          <t>FY2022</t>
        </is>
      </c>
    </row>
    <row r="503" ht="15.5" customHeight="1" s="203">
      <c r="B503" s="38" t="inlineStr">
        <is>
          <t>Non-current investments [Abstract]</t>
        </is>
      </c>
    </row>
    <row r="504">
      <c r="B504" s="59" t="inlineStr">
        <is>
          <t>Disclosure of details of non-current investments [Abstract]</t>
        </is>
      </c>
    </row>
    <row r="505">
      <c r="B505" s="60" t="inlineStr">
        <is>
          <t>Details of non-current investments [Line items]</t>
        </is>
      </c>
    </row>
    <row r="506">
      <c r="B506" s="61" t="inlineStr">
        <is>
          <t>Non-current investments</t>
        </is>
      </c>
      <c r="C506" s="55" t="inlineStr">
        <is>
          <t>NoncurrentInvestments</t>
        </is>
      </c>
      <c r="D506" s="56" t="n">
        <v>58000000</v>
      </c>
      <c r="E506" s="56" t="n">
        <v>58000000</v>
      </c>
      <c r="F506" s="56" t="n">
        <v>1200000000</v>
      </c>
      <c r="G506" s="56" t="n">
        <v>804000000</v>
      </c>
      <c r="H506" s="56" t="n">
        <v>1161000000</v>
      </c>
      <c r="I506" s="56" t="n">
        <v>3116000000</v>
      </c>
    </row>
    <row r="507">
      <c r="B507" s="54" t="inlineStr">
        <is>
          <t>Aggregate amount of quoted non-current investments</t>
        </is>
      </c>
      <c r="C507" s="55" t="inlineStr">
        <is>
          <t>AggregateAmountOfQuotedNoncurrentInvestments</t>
        </is>
      </c>
      <c r="D507" s="56" t="n">
        <v>50000000</v>
      </c>
      <c r="E507" s="56" t="n">
        <v>50000000</v>
      </c>
      <c r="F507" s="56" t="n">
        <v>1192000000</v>
      </c>
      <c r="G507" s="56" t="n">
        <v>796000000</v>
      </c>
      <c r="H507" s="56" t="n">
        <v>1153000000</v>
      </c>
      <c r="I507" s="56" t="n">
        <v>1788000000</v>
      </c>
    </row>
    <row r="508">
      <c r="B508" s="54" t="inlineStr">
        <is>
          <t>Market value of quoted non-current investments</t>
        </is>
      </c>
      <c r="C508" s="55" t="inlineStr">
        <is>
          <t>MarketValueOfQuotedNoncurrentInvestments</t>
        </is>
      </c>
      <c r="D508" s="56" t="n">
        <v>50000000</v>
      </c>
      <c r="E508" s="56" t="n">
        <v>50000000</v>
      </c>
      <c r="F508" s="56" t="n">
        <v>1192000000</v>
      </c>
      <c r="G508" s="56" t="n">
        <v>796000000</v>
      </c>
      <c r="H508" s="56" t="n">
        <v>1153000000</v>
      </c>
      <c r="I508" s="56" t="n">
        <v>1788000000</v>
      </c>
    </row>
    <row r="509">
      <c r="B509" s="54" t="inlineStr">
        <is>
          <t>Aggregate amount of unquoted non-current investments</t>
        </is>
      </c>
      <c r="C509" s="55" t="inlineStr">
        <is>
          <t>AggregateAmountOfUnquotedNoncurrentInvestments</t>
        </is>
      </c>
      <c r="D509" s="56" t="n">
        <v>8000000</v>
      </c>
      <c r="E509" s="56" t="n">
        <v>8000000</v>
      </c>
      <c r="F509" s="56" t="n">
        <v>8000000</v>
      </c>
      <c r="G509" s="56" t="n">
        <v>8000000</v>
      </c>
      <c r="H509" s="56" t="n">
        <v>8000000</v>
      </c>
      <c r="I509" s="56" t="n">
        <v>1328000000</v>
      </c>
    </row>
    <row r="510">
      <c r="B510" s="54" t="inlineStr">
        <is>
          <t>Aggregate provision for diminution in value of non-current investments</t>
        </is>
      </c>
      <c r="C510" s="55" t="inlineStr">
        <is>
          <t>AggregateProvisionForDiminutionInValueOfNoncurrentInvestments</t>
        </is>
      </c>
      <c r="D510" s="56" t="n">
        <v>1000000</v>
      </c>
      <c r="E510" s="56" t="n">
        <v>1000000</v>
      </c>
      <c r="F510" s="56" t="n">
        <v>1000000</v>
      </c>
      <c r="G510" s="56" t="n">
        <v>1000000</v>
      </c>
      <c r="H510" s="56" t="n">
        <v>1000000</v>
      </c>
      <c r="I510" s="56" t="n">
        <v>0</v>
      </c>
    </row>
    <row r="513" ht="15.5" customHeight="1" s="203">
      <c r="A513" t="inlineStr">
        <is>
          <t>#</t>
        </is>
      </c>
      <c r="B513" s="38" t="inlineStr">
        <is>
          <t>Notes to Balance Sheet: Other Intangible Assets</t>
        </is>
      </c>
    </row>
    <row r="515">
      <c r="C515" s="53" t="inlineStr">
        <is>
          <t>Concept Tag</t>
        </is>
      </c>
      <c r="D515" s="20" t="inlineStr">
        <is>
          <t>FY2017</t>
        </is>
      </c>
      <c r="E515" s="20" t="inlineStr">
        <is>
          <t>FY2018</t>
        </is>
      </c>
      <c r="F515" s="20" t="inlineStr">
        <is>
          <t>FY2019</t>
        </is>
      </c>
      <c r="G515" s="20" t="inlineStr">
        <is>
          <t>FY2020</t>
        </is>
      </c>
      <c r="H515" s="20" t="inlineStr">
        <is>
          <t>FY2021</t>
        </is>
      </c>
      <c r="I515" s="20" t="inlineStr">
        <is>
          <t>FY2022</t>
        </is>
      </c>
    </row>
    <row r="516">
      <c r="B516" s="59" t="inlineStr">
        <is>
          <t>Disclosure of detailed information about other intangible assets [Abstract]</t>
        </is>
      </c>
    </row>
    <row r="517">
      <c r="B517" s="60" t="inlineStr">
        <is>
          <t>Disclosure of detailed information about other intangible assets [Line items]</t>
        </is>
      </c>
    </row>
    <row r="518">
      <c r="B518" s="63" t="inlineStr">
        <is>
          <t>Reconciliation of changes in other intangible assets [Abstract]</t>
        </is>
      </c>
    </row>
    <row r="519">
      <c r="B519" s="64" t="inlineStr">
        <is>
          <t>Other intangible assets at end of period</t>
        </is>
      </c>
      <c r="C519" s="55" t="inlineStr">
        <is>
          <t>OtherIntangibleAssets</t>
        </is>
      </c>
      <c r="D519" s="56" t="n">
        <v>1941000000</v>
      </c>
      <c r="E519" s="56" t="n">
        <v>1520000000</v>
      </c>
      <c r="F519" s="56" t="n">
        <v>1180000000</v>
      </c>
      <c r="G519" s="56" t="n">
        <v>759000000</v>
      </c>
      <c r="H519" s="56" t="n">
        <v>214000000</v>
      </c>
      <c r="I519" s="56" t="n">
        <v>73000000</v>
      </c>
    </row>
    <row r="520">
      <c r="B520" s="68" t="inlineStr">
        <is>
          <t>Changes in Other intangible assets [Abstract]</t>
        </is>
      </c>
    </row>
    <row r="521">
      <c r="B521" s="71" t="inlineStr">
        <is>
          <t>Additions other than through business combinations</t>
        </is>
      </c>
      <c r="C521" s="55" t="inlineStr">
        <is>
          <t>AdditionsOtherThanThroughBusinessCombinationsOtherIntangibleAssets</t>
        </is>
      </c>
      <c r="D521" s="56" t="n">
        <v>40000000</v>
      </c>
      <c r="E521" s="56" t="n">
        <v>35000000</v>
      </c>
      <c r="F521" s="56" t="n">
        <v>58000000</v>
      </c>
      <c r="G521" s="56" t="n">
        <v>31000000</v>
      </c>
      <c r="H521" s="56" t="n">
        <v>48000000</v>
      </c>
      <c r="I521" s="56" t="n">
        <v>7000000</v>
      </c>
    </row>
    <row r="522">
      <c r="B522" s="71" t="inlineStr">
        <is>
          <t>Acquisitions through business combinations</t>
        </is>
      </c>
      <c r="C522" s="55" t="inlineStr">
        <is>
          <t>AcquisitionsThroughBusinessCombinationsOtherIntangibleAssets</t>
        </is>
      </c>
      <c r="D522" s="56" t="n">
        <v>0</v>
      </c>
      <c r="E522" s="56" t="n">
        <v>0</v>
      </c>
      <c r="F522" s="56" t="n">
        <v>0</v>
      </c>
      <c r="G522" s="56" t="n">
        <v>0</v>
      </c>
      <c r="H522" s="56" t="n">
        <v>0</v>
      </c>
      <c r="I522" s="56" t="n">
        <v>64000000</v>
      </c>
    </row>
    <row r="523">
      <c r="B523" s="71" t="inlineStr">
        <is>
          <t>Increase (decrease) through net exchange differences</t>
        </is>
      </c>
      <c r="C523" s="55" t="inlineStr">
        <is>
          <t>IncreaseDecreaseThroughNetExchangeDifferencesOtherIntangibleAssets</t>
        </is>
      </c>
      <c r="D523" s="56" t="n">
        <v>0</v>
      </c>
      <c r="E523" s="56" t="n">
        <v>45000000</v>
      </c>
      <c r="F523" s="56" t="n">
        <v>0</v>
      </c>
      <c r="G523" s="56" t="n">
        <v>0</v>
      </c>
      <c r="H523" s="56" t="n">
        <v>0</v>
      </c>
      <c r="I523" s="56" t="n">
        <v>0</v>
      </c>
    </row>
    <row r="524">
      <c r="B524" s="71" t="inlineStr">
        <is>
          <t>Amortisation other intangible assets</t>
        </is>
      </c>
      <c r="C524" s="55" t="inlineStr">
        <is>
          <t>AmortisationOtherIntangibleAssets</t>
        </is>
      </c>
      <c r="D524" s="56" t="n">
        <v>-575000000</v>
      </c>
      <c r="E524" s="56" t="n">
        <v>-500000000</v>
      </c>
      <c r="F524" s="56" t="n">
        <v>-466000000</v>
      </c>
      <c r="G524" s="56" t="n">
        <v>-452000000</v>
      </c>
      <c r="H524" s="56" t="n">
        <v>-593000000</v>
      </c>
      <c r="I524" s="56" t="n">
        <v>-212000000</v>
      </c>
    </row>
    <row r="525">
      <c r="B525" s="72" t="inlineStr">
        <is>
          <t>Increase (decrease) through transfers and other changes, other intangible assets [Abstract]</t>
        </is>
      </c>
    </row>
    <row r="526">
      <c r="B526" s="73" t="inlineStr">
        <is>
          <t>Increase (decrease) through other changes</t>
        </is>
      </c>
      <c r="C526" s="55" t="inlineStr">
        <is>
          <t>IncreaseDecreaseThroughOtherChangesOtherIntangibleAssets</t>
        </is>
      </c>
      <c r="D526" s="56" t="n">
        <v>-156000000</v>
      </c>
      <c r="E526" s="56" t="n">
        <v>-1000000</v>
      </c>
      <c r="F526" s="56" t="n">
        <v>68000000</v>
      </c>
      <c r="G526" s="56" t="n">
        <v>0</v>
      </c>
      <c r="H526" s="56" t="n">
        <v>0</v>
      </c>
      <c r="I526" s="56" t="n">
        <v>0</v>
      </c>
    </row>
    <row r="527">
      <c r="B527" s="74" t="inlineStr">
        <is>
          <t>Total increase (decrease) through transfers and other changes, Other intangible assets</t>
        </is>
      </c>
      <c r="C527" s="55" t="inlineStr">
        <is>
          <t>IncreaseDecreaseThroughTransfersAndOtherChangesOtherIntangibleAssets</t>
        </is>
      </c>
      <c r="D527" s="58" t="n">
        <v>-156000000</v>
      </c>
      <c r="E527" s="58" t="n">
        <v>-1000000</v>
      </c>
      <c r="F527" s="58" t="n">
        <v>68000000</v>
      </c>
      <c r="G527" s="58" t="n">
        <v>0</v>
      </c>
      <c r="H527" s="58" t="n">
        <v>0</v>
      </c>
      <c r="I527" s="58" t="n">
        <v>0</v>
      </c>
    </row>
    <row r="528">
      <c r="B528" s="69" t="inlineStr">
        <is>
          <t>Total increase (decrease) in Other intangible assets</t>
        </is>
      </c>
      <c r="C528" s="55" t="inlineStr">
        <is>
          <t>ChangesInOtherIntangibleAssets</t>
        </is>
      </c>
      <c r="D528" s="58" t="n">
        <v>-691000000</v>
      </c>
      <c r="E528" s="58" t="n">
        <v>-421000000</v>
      </c>
      <c r="F528" s="58" t="n">
        <v>-340000000</v>
      </c>
      <c r="G528" s="58" t="n">
        <v>-421000000</v>
      </c>
      <c r="H528" s="58" t="n">
        <v>-545000000</v>
      </c>
      <c r="I528" s="58" t="n">
        <v>-141000000</v>
      </c>
    </row>
    <row r="529">
      <c r="B529" s="64" t="inlineStr">
        <is>
          <t>Other intangible assets at end of period</t>
        </is>
      </c>
      <c r="C529" s="55" t="inlineStr">
        <is>
          <t>OtherIntangibleAssets</t>
        </is>
      </c>
      <c r="D529" s="56" t="n">
        <v>1941000000</v>
      </c>
      <c r="E529" s="56" t="n">
        <v>1520000000</v>
      </c>
      <c r="F529" s="56" t="n">
        <v>1180000000</v>
      </c>
      <c r="G529" s="56" t="n">
        <v>759000000</v>
      </c>
      <c r="H529" s="56" t="n">
        <v>214000000</v>
      </c>
      <c r="I529" s="56" t="n">
        <v>73000000</v>
      </c>
    </row>
    <row r="530">
      <c r="B530" s="6" t="inlineStr">
        <is>
          <t>Research and development expense</t>
        </is>
      </c>
      <c r="C530" s="55" t="inlineStr">
        <is>
          <t>ResearchAndDevelopmentExpense</t>
        </is>
      </c>
      <c r="D530" s="56" t="n">
        <v>321000000</v>
      </c>
      <c r="E530" s="56" t="n">
        <v>0</v>
      </c>
      <c r="F530" s="56" t="n">
        <v>0</v>
      </c>
      <c r="G530" s="56" t="n">
        <v>0</v>
      </c>
      <c r="H530" s="56" t="n">
        <v>0</v>
      </c>
      <c r="I530" s="56" t="n">
        <v>0</v>
      </c>
    </row>
    <row r="533" ht="15.5" customHeight="1" s="203">
      <c r="A533" t="inlineStr">
        <is>
          <t>#</t>
        </is>
      </c>
      <c r="B533" s="38" t="inlineStr">
        <is>
          <t>Notes to Balance Sheet: Other Provisions Contingent Liabilities And Contingent Assets</t>
        </is>
      </c>
    </row>
    <row r="535">
      <c r="C535" s="53" t="inlineStr">
        <is>
          <t>Concept Tag</t>
        </is>
      </c>
      <c r="D535" s="20" t="inlineStr">
        <is>
          <t>FY2017</t>
        </is>
      </c>
      <c r="E535" s="20" t="inlineStr">
        <is>
          <t>FY2018</t>
        </is>
      </c>
      <c r="F535" s="20" t="inlineStr">
        <is>
          <t>FY2019</t>
        </is>
      </c>
      <c r="G535" s="20" t="inlineStr">
        <is>
          <t>FY2020</t>
        </is>
      </c>
      <c r="H535" s="20" t="inlineStr">
        <is>
          <t>FY2021</t>
        </is>
      </c>
      <c r="I535" s="20" t="inlineStr">
        <is>
          <t>FY2022</t>
        </is>
      </c>
    </row>
    <row r="536">
      <c r="B536" s="59" t="inlineStr">
        <is>
          <t>Disclosure of other provisions [Abstract]</t>
        </is>
      </c>
    </row>
    <row r="537">
      <c r="B537" s="60" t="inlineStr">
        <is>
          <t>Disclosure of other provisions [Line items]</t>
        </is>
      </c>
    </row>
    <row r="538">
      <c r="B538" s="63" t="inlineStr">
        <is>
          <t>Reconciliation of changes in other provisions [Abstract]</t>
        </is>
      </c>
    </row>
    <row r="539">
      <c r="B539" s="64" t="inlineStr">
        <is>
          <t>Other provisions at end of period</t>
        </is>
      </c>
      <c r="C539" s="55" t="inlineStr">
        <is>
          <t>OtherProvisions</t>
        </is>
      </c>
      <c r="D539" s="56" t="n">
        <v>429000000</v>
      </c>
      <c r="E539" s="56" t="n">
        <v>0</v>
      </c>
      <c r="F539" s="56" t="n">
        <v>0</v>
      </c>
      <c r="G539" s="56" t="n">
        <v>0</v>
      </c>
      <c r="H539" s="56" t="n">
        <v>790000000</v>
      </c>
      <c r="I539" s="56" t="n">
        <v>835000000</v>
      </c>
    </row>
    <row r="540">
      <c r="B540" s="68" t="inlineStr">
        <is>
          <t>Changes in other provisions [Abstract]</t>
        </is>
      </c>
    </row>
    <row r="541">
      <c r="B541" s="72" t="inlineStr">
        <is>
          <t>Additional provisions, other provisions [Abstract]</t>
        </is>
      </c>
    </row>
    <row r="542">
      <c r="B542" s="73" t="inlineStr">
        <is>
          <t>Increase in existing provisions, other provisions</t>
        </is>
      </c>
      <c r="C542" s="55" t="inlineStr">
        <is>
          <t>IncreaseDecreaseInExistingProvisionsOtherProvisions</t>
        </is>
      </c>
      <c r="D542" s="56" t="n">
        <v>469000000</v>
      </c>
      <c r="E542" s="56" t="n">
        <v>0</v>
      </c>
      <c r="F542" s="56" t="n">
        <v>0</v>
      </c>
      <c r="G542" s="56" t="n">
        <v>0</v>
      </c>
      <c r="H542" s="56" t="n">
        <v>694000000</v>
      </c>
      <c r="I542" s="56" t="n">
        <v>127000000</v>
      </c>
    </row>
    <row r="543">
      <c r="B543" s="74" t="inlineStr">
        <is>
          <t>Total additional provisions, other provisions</t>
        </is>
      </c>
      <c r="C543" s="55" t="inlineStr">
        <is>
          <t>AdditionalProvisionsOtherProvisions</t>
        </is>
      </c>
      <c r="D543" s="58" t="n">
        <v>469000000</v>
      </c>
      <c r="E543" s="58" t="n">
        <v>0</v>
      </c>
      <c r="F543" s="58" t="n">
        <v>0</v>
      </c>
      <c r="G543" s="58" t="n">
        <v>0</v>
      </c>
      <c r="H543" s="58" t="n">
        <v>694000000</v>
      </c>
      <c r="I543" s="58" t="n">
        <v>127000000</v>
      </c>
    </row>
    <row r="544">
      <c r="B544" s="71" t="inlineStr">
        <is>
          <t>Provision used, other provisions</t>
        </is>
      </c>
      <c r="C544" s="55" t="inlineStr">
        <is>
          <t>ProvisionUsedOtherProvisions</t>
        </is>
      </c>
      <c r="D544" s="56" t="n">
        <v>663000000</v>
      </c>
      <c r="E544" s="56" t="n">
        <v>0</v>
      </c>
      <c r="F544" s="56" t="n">
        <v>0</v>
      </c>
      <c r="G544" s="56" t="n">
        <v>0</v>
      </c>
      <c r="H544" s="56" t="n">
        <v>71000000</v>
      </c>
      <c r="I544" s="56" t="n">
        <v>82000000</v>
      </c>
    </row>
    <row r="545">
      <c r="B545" s="71" t="inlineStr">
        <is>
          <t>Unused provision reversed, other provisions</t>
        </is>
      </c>
      <c r="C545" s="55" t="inlineStr">
        <is>
          <t>UnusedProvisionReversedOtherProvisions</t>
        </is>
      </c>
      <c r="D545" s="56" t="n">
        <v>52000000</v>
      </c>
      <c r="E545" s="56" t="n">
        <v>0</v>
      </c>
      <c r="F545" s="56" t="n">
        <v>0</v>
      </c>
      <c r="G545" s="56" t="n">
        <v>0</v>
      </c>
      <c r="H545" s="56" t="n">
        <v>0</v>
      </c>
      <c r="I545" s="56" t="n">
        <v>0</v>
      </c>
    </row>
    <row r="546">
      <c r="B546" s="69" t="inlineStr">
        <is>
          <t>Total changes in other provisions</t>
        </is>
      </c>
      <c r="C546" s="55" t="inlineStr">
        <is>
          <t>ChangesInOtherProvisions</t>
        </is>
      </c>
      <c r="D546" s="58" t="n">
        <v>-246000000</v>
      </c>
      <c r="E546" s="58" t="n">
        <v>0</v>
      </c>
      <c r="F546" s="58" t="n">
        <v>0</v>
      </c>
      <c r="G546" s="58" t="n">
        <v>0</v>
      </c>
      <c r="H546" s="58" t="n">
        <v>623000000</v>
      </c>
      <c r="I546" s="58" t="n">
        <v>45000000</v>
      </c>
    </row>
    <row r="547">
      <c r="B547" s="64" t="inlineStr">
        <is>
          <t>Other provisions at end of period</t>
        </is>
      </c>
      <c r="C547" s="55" t="inlineStr">
        <is>
          <t>OtherProvisions</t>
        </is>
      </c>
      <c r="D547" s="56" t="n">
        <v>429000000</v>
      </c>
      <c r="E547" s="56" t="n">
        <v>0</v>
      </c>
      <c r="F547" s="56" t="n">
        <v>0</v>
      </c>
      <c r="G547" s="56" t="n">
        <v>0</v>
      </c>
      <c r="H547" s="56" t="n">
        <v>790000000</v>
      </c>
      <c r="I547" s="56" t="n">
        <v>835000000</v>
      </c>
    </row>
    <row r="548">
      <c r="B548" s="59" t="inlineStr">
        <is>
          <t>Disclosure of contingent liabilities [Abstract]</t>
        </is>
      </c>
    </row>
    <row r="549">
      <c r="B549" s="60" t="inlineStr">
        <is>
          <t>Disclosure of contingent liabilities [Line items]</t>
        </is>
      </c>
    </row>
    <row r="550">
      <c r="B550" s="61" t="inlineStr">
        <is>
          <t>Estimated financial effect of contingent liabilities</t>
        </is>
      </c>
      <c r="C550" s="55" t="inlineStr">
        <is>
          <t>EstimatedFinancialEffectOfContingentLiabilities</t>
        </is>
      </c>
      <c r="D550" s="56" t="n">
        <v>0</v>
      </c>
      <c r="E550" s="56" t="n">
        <v>0</v>
      </c>
      <c r="F550" s="56" t="n">
        <v>0</v>
      </c>
      <c r="G550" s="56" t="n">
        <v>0</v>
      </c>
      <c r="H550" s="56" t="n">
        <v>824000000</v>
      </c>
      <c r="I550" s="56" t="n">
        <v>824000000</v>
      </c>
    </row>
    <row r="553" ht="15.5" customHeight="1" s="203">
      <c r="A553" t="inlineStr">
        <is>
          <t>#</t>
        </is>
      </c>
      <c r="B553" s="38" t="inlineStr">
        <is>
          <t>Notes to Balance Sheet: Property Plant And Equipment</t>
        </is>
      </c>
    </row>
    <row r="555">
      <c r="C555" s="53" t="inlineStr">
        <is>
          <t>Concept Tag</t>
        </is>
      </c>
      <c r="D555" s="20" t="inlineStr">
        <is>
          <t>FY2017</t>
        </is>
      </c>
      <c r="E555" s="20" t="inlineStr">
        <is>
          <t>FY2018</t>
        </is>
      </c>
      <c r="F555" s="20" t="inlineStr">
        <is>
          <t>FY2019</t>
        </is>
      </c>
      <c r="G555" s="20" t="inlineStr">
        <is>
          <t>FY2020</t>
        </is>
      </c>
      <c r="H555" s="20" t="inlineStr">
        <is>
          <t>FY2021</t>
        </is>
      </c>
      <c r="I555" s="20" t="inlineStr">
        <is>
          <t>FY2022</t>
        </is>
      </c>
    </row>
    <row r="556">
      <c r="B556" s="59" t="inlineStr">
        <is>
          <t>Disclosure of detailed information about property, plant and equipment [Abstract]</t>
        </is>
      </c>
    </row>
    <row r="557">
      <c r="B557" s="60" t="inlineStr">
        <is>
          <t>Disclosure of detailed information about property, plant and equipment [Line items]</t>
        </is>
      </c>
    </row>
    <row r="558">
      <c r="B558" s="63" t="inlineStr">
        <is>
          <t>Reconciliation of changes in property, plant and equipment [Abstract]</t>
        </is>
      </c>
    </row>
    <row r="559">
      <c r="B559" s="64" t="inlineStr">
        <is>
          <t>Property, plant and equipment at end of period</t>
        </is>
      </c>
      <c r="C559" s="55" t="inlineStr">
        <is>
          <t>PropertyPlantAndEquipment</t>
        </is>
      </c>
      <c r="D559" s="56" t="n">
        <v>3809000000</v>
      </c>
      <c r="E559" s="56" t="n">
        <v>3509000000</v>
      </c>
      <c r="F559" s="56" t="n">
        <v>3757000000</v>
      </c>
      <c r="G559" s="56" t="n">
        <v>8601000000</v>
      </c>
      <c r="H559" s="56" t="n">
        <v>7812000000</v>
      </c>
      <c r="I559" s="56" t="n">
        <v>8947000000</v>
      </c>
    </row>
    <row r="560">
      <c r="B560" s="68" t="inlineStr">
        <is>
          <t>Changes in property, plant and equipment [Abstract]</t>
        </is>
      </c>
    </row>
    <row r="561">
      <c r="B561" s="71" t="inlineStr">
        <is>
          <t>Additions other than through business combinations, property, plant and equipment</t>
        </is>
      </c>
      <c r="C561" s="55" t="inlineStr">
        <is>
          <t>AdditionsOtherThanThroughBusinessCombinationsPropertyPlantAndEquipment</t>
        </is>
      </c>
      <c r="D561" s="56" t="n">
        <v>937000000</v>
      </c>
      <c r="E561" s="56" t="n">
        <v>918000000</v>
      </c>
      <c r="F561" s="56" t="n">
        <v>1444000000</v>
      </c>
      <c r="G561" s="56" t="n">
        <v>7939000000</v>
      </c>
      <c r="H561" s="56" t="n">
        <v>1507000000</v>
      </c>
      <c r="I561" s="56" t="n">
        <v>3284000000</v>
      </c>
    </row>
    <row r="562">
      <c r="B562" s="71" t="inlineStr">
        <is>
          <t>Acquisitions through business combinations, property, plant and equipment</t>
        </is>
      </c>
      <c r="C562" s="55" t="inlineStr">
        <is>
          <t>AcquisitionsThroughBusinessCombinationsPropertyPlantAndEquipment</t>
        </is>
      </c>
      <c r="D562" s="56" t="n">
        <v>0</v>
      </c>
      <c r="E562" s="56" t="n">
        <v>0</v>
      </c>
      <c r="F562" s="56" t="n">
        <v>0</v>
      </c>
      <c r="G562" s="56" t="n">
        <v>0</v>
      </c>
      <c r="H562" s="56" t="n">
        <v>0</v>
      </c>
      <c r="I562" s="56" t="n">
        <v>72000000</v>
      </c>
    </row>
    <row r="563">
      <c r="B563" s="71" t="inlineStr">
        <is>
          <t>Increase (decrease) through net exchange differences, property, plant and equipment</t>
        </is>
      </c>
      <c r="C563" s="55" t="inlineStr">
        <is>
          <t>IncreaseDecreaseThroughNetExchangeDifferencesPropertyPlantAndEquipment</t>
        </is>
      </c>
      <c r="D563" s="56" t="n">
        <v>0</v>
      </c>
      <c r="E563" s="56" t="n">
        <v>4000000</v>
      </c>
      <c r="F563" s="56" t="n">
        <v>0</v>
      </c>
      <c r="G563" s="56" t="n">
        <v>0</v>
      </c>
      <c r="H563" s="56" t="n">
        <v>0</v>
      </c>
      <c r="I563" s="56" t="n">
        <v>0</v>
      </c>
    </row>
    <row r="564">
      <c r="B564" s="72" t="inlineStr">
        <is>
          <t>Depreciation, property, plant and equipment [Abstract]</t>
        </is>
      </c>
    </row>
    <row r="565">
      <c r="B565" s="73" t="inlineStr">
        <is>
          <t>Depreciation recognised in profit or loss</t>
        </is>
      </c>
      <c r="C565" s="55" t="inlineStr">
        <is>
          <t>AmortisationOfRightOfUseAssets</t>
        </is>
      </c>
      <c r="D565" s="56" t="n">
        <v>-1283000000</v>
      </c>
      <c r="E565" s="56" t="n">
        <v>-1215000000</v>
      </c>
      <c r="F565" s="56" t="n">
        <v>-1175000000</v>
      </c>
      <c r="G565" s="56" t="n">
        <v>-2302000000</v>
      </c>
      <c r="H565" s="56" t="n">
        <v>-2003000000</v>
      </c>
      <c r="I565" s="56" t="n">
        <v>-2208000000</v>
      </c>
    </row>
    <row r="566">
      <c r="B566" s="74" t="inlineStr">
        <is>
          <t>Total Depreciation property plant and equipment</t>
        </is>
      </c>
      <c r="C566" s="55" t="inlineStr">
        <is>
          <t>DepreciationPropertyPlantAndEquipment</t>
        </is>
      </c>
      <c r="D566" s="58" t="n">
        <v>-1283000000</v>
      </c>
      <c r="E566" s="58" t="n">
        <v>-1215000000</v>
      </c>
      <c r="F566" s="58" t="n">
        <v>-1175000000</v>
      </c>
      <c r="G566" s="58" t="n">
        <v>-2302000000</v>
      </c>
      <c r="H566" s="58" t="n">
        <v>-2003000000</v>
      </c>
      <c r="I566" s="58" t="n">
        <v>-2208000000</v>
      </c>
    </row>
    <row r="567">
      <c r="B567" s="72" t="inlineStr">
        <is>
          <t>Increase (decrease) through transfers and other changes, property, plant and equipment [Abstract]</t>
        </is>
      </c>
    </row>
    <row r="568">
      <c r="B568" s="73" t="inlineStr">
        <is>
          <t>Increase (decrease) through other changes, property, plant and equipment</t>
        </is>
      </c>
      <c r="C568" s="55" t="inlineStr">
        <is>
          <t>IncreaseDecreaseThroughOtherChangesPropertyPlantAndEquipment</t>
        </is>
      </c>
      <c r="D568" s="56" t="n">
        <v>-2000000</v>
      </c>
      <c r="E568" s="56" t="n">
        <v>-4000000</v>
      </c>
      <c r="F568" s="56" t="n">
        <v>-1000000</v>
      </c>
      <c r="G568" s="56" t="n">
        <v>-182000000</v>
      </c>
      <c r="H568" s="56" t="n">
        <v>0</v>
      </c>
      <c r="I568" s="56" t="n">
        <v>-12000000</v>
      </c>
    </row>
    <row r="569">
      <c r="B569" s="74" t="inlineStr">
        <is>
          <t>Total increase (decrease) through transfers and other changes, property, plant and equipment</t>
        </is>
      </c>
      <c r="C569" s="55" t="inlineStr">
        <is>
          <t>IncreaseDecreaseThroughTransfersAndOtherChangesPropertyPlantAndEquipment</t>
        </is>
      </c>
      <c r="D569" s="58" t="n">
        <v>-2000000</v>
      </c>
      <c r="E569" s="58" t="n">
        <v>-4000000</v>
      </c>
      <c r="F569" s="58" t="n">
        <v>-1000000</v>
      </c>
      <c r="G569" s="58" t="n">
        <v>-182000000</v>
      </c>
      <c r="H569" s="58" t="n">
        <v>0</v>
      </c>
      <c r="I569" s="58" t="n">
        <v>-12000000</v>
      </c>
    </row>
    <row r="570">
      <c r="B570" s="72" t="inlineStr">
        <is>
          <t>Disposals and retirements, property, plant and equipment [Abstract]</t>
        </is>
      </c>
    </row>
    <row r="571">
      <c r="B571" s="73" t="inlineStr">
        <is>
          <t>Disposals, property, plant and equipment</t>
        </is>
      </c>
      <c r="C571" s="55" t="inlineStr">
        <is>
          <t>DisposalsPropertyPlantAndEquipment</t>
        </is>
      </c>
      <c r="D571" s="56" t="n">
        <v>16000000</v>
      </c>
      <c r="E571" s="56" t="n">
        <v>3000000</v>
      </c>
      <c r="F571" s="56" t="n">
        <v>20000000</v>
      </c>
      <c r="G571" s="56" t="n">
        <v>111000000</v>
      </c>
      <c r="H571" s="56" t="n">
        <v>293000000</v>
      </c>
      <c r="I571" s="56" t="n">
        <v>1000000</v>
      </c>
    </row>
    <row r="572">
      <c r="B572" s="74" t="inlineStr">
        <is>
          <t>Total disposals and retirements, property, plant and equipment</t>
        </is>
      </c>
      <c r="C572" s="55" t="inlineStr">
        <is>
          <t>DisposalsAndRetirementsPropertyPlantAndEquipment</t>
        </is>
      </c>
      <c r="D572" s="58" t="n">
        <v>16000000</v>
      </c>
      <c r="E572" s="58" t="n">
        <v>3000000</v>
      </c>
      <c r="F572" s="58" t="n">
        <v>20000000</v>
      </c>
      <c r="G572" s="58" t="n">
        <v>111000000</v>
      </c>
      <c r="H572" s="58" t="n">
        <v>293000000</v>
      </c>
      <c r="I572" s="58" t="n">
        <v>1000000</v>
      </c>
    </row>
    <row r="573">
      <c r="B573" s="71" t="inlineStr">
        <is>
          <t>Decrease through classified as held for sale, property, plant and equipment</t>
        </is>
      </c>
      <c r="C573" s="55" t="inlineStr">
        <is>
          <t>DecreaseThroughClassifiedAsHeldForSalePropertyPlantAndEquipment</t>
        </is>
      </c>
      <c r="D573" s="56" t="n">
        <v>0</v>
      </c>
      <c r="E573" s="56" t="n">
        <v>0</v>
      </c>
      <c r="F573" s="56" t="n">
        <v>0</v>
      </c>
      <c r="G573" s="56" t="n">
        <v>500000000</v>
      </c>
      <c r="H573" s="56" t="n">
        <v>0</v>
      </c>
      <c r="I573" s="56" t="n">
        <v>0</v>
      </c>
    </row>
    <row r="574">
      <c r="B574" s="69" t="inlineStr">
        <is>
          <t>Total increase (decrease) in property, plant and equipment</t>
        </is>
      </c>
      <c r="C574" s="55" t="inlineStr">
        <is>
          <t>ChangesInPropertyPlantAndEquipment</t>
        </is>
      </c>
      <c r="D574" s="58" t="n">
        <v>-364000000</v>
      </c>
      <c r="E574" s="58" t="n">
        <v>-300000000</v>
      </c>
      <c r="F574" s="58" t="n">
        <v>248000000</v>
      </c>
      <c r="G574" s="58" t="n">
        <v>4844000000</v>
      </c>
      <c r="H574" s="58" t="n">
        <v>-789000000</v>
      </c>
      <c r="I574" s="58" t="n">
        <v>1135000000</v>
      </c>
    </row>
    <row r="575">
      <c r="B575" s="64" t="inlineStr">
        <is>
          <t>Property, plant and equipment at end of period</t>
        </is>
      </c>
      <c r="C575" s="55" t="inlineStr">
        <is>
          <t>PropertyPlantAndEquipment</t>
        </is>
      </c>
      <c r="D575" s="56" t="n">
        <v>3809000000</v>
      </c>
      <c r="E575" s="56" t="n">
        <v>3509000000</v>
      </c>
      <c r="F575" s="56" t="n">
        <v>3757000000</v>
      </c>
      <c r="G575" s="56" t="n">
        <v>8601000000</v>
      </c>
      <c r="H575" s="56" t="n">
        <v>7812000000</v>
      </c>
      <c r="I575" s="56" t="n">
        <v>8947000000</v>
      </c>
    </row>
    <row r="578" ht="15.5" customHeight="1" s="203">
      <c r="A578" t="inlineStr">
        <is>
          <t>#</t>
        </is>
      </c>
      <c r="B578" s="38" t="inlineStr">
        <is>
          <t>Notes to Balance Sheet: Subclassification And Notes On Liabilities And Assets</t>
        </is>
      </c>
    </row>
    <row r="580">
      <c r="C580" s="53" t="inlineStr">
        <is>
          <t>Concept Tag</t>
        </is>
      </c>
      <c r="D580" s="20" t="inlineStr">
        <is>
          <t>FY2017</t>
        </is>
      </c>
      <c r="E580" s="20" t="inlineStr">
        <is>
          <t>FY2018</t>
        </is>
      </c>
      <c r="F580" s="20" t="inlineStr">
        <is>
          <t>FY2019</t>
        </is>
      </c>
      <c r="G580" s="20" t="inlineStr">
        <is>
          <t>FY2020</t>
        </is>
      </c>
      <c r="H580" s="20" t="inlineStr">
        <is>
          <t>FY2021</t>
        </is>
      </c>
      <c r="I580" s="20" t="inlineStr">
        <is>
          <t>FY2022</t>
        </is>
      </c>
    </row>
    <row r="581" ht="15.5" customHeight="1" s="203">
      <c r="B581" s="38" t="inlineStr">
        <is>
          <t>Subclassification and notes on liabilities and assets [Abstract]</t>
        </is>
      </c>
    </row>
    <row r="582">
      <c r="B582" s="59" t="inlineStr">
        <is>
          <t>Disclosure of notes on trade receivables [Abstract]</t>
        </is>
      </c>
    </row>
    <row r="583">
      <c r="B583" s="60" t="inlineStr">
        <is>
          <t>Subclassification of trade receivables [Abstract]</t>
        </is>
      </c>
    </row>
    <row r="584">
      <c r="B584" s="63" t="inlineStr">
        <is>
          <t>Subclassification of trade receivables [Line items]</t>
        </is>
      </c>
    </row>
    <row r="585">
      <c r="B585" s="68" t="inlineStr">
        <is>
          <t>Breakup of trade receivables [Abstract]</t>
        </is>
      </c>
    </row>
    <row r="586">
      <c r="B586" s="71" t="inlineStr">
        <is>
          <t>Trade receivables, gross</t>
        </is>
      </c>
      <c r="C586" s="55" t="inlineStr">
        <is>
          <t>TradeReceivablesGross</t>
        </is>
      </c>
      <c r="D586" s="56" t="n">
        <v>9068000000</v>
      </c>
      <c r="E586" s="56" t="n">
        <v>10274000000</v>
      </c>
      <c r="F586" s="56" t="n">
        <v>13582000000</v>
      </c>
      <c r="G586" s="56" t="n">
        <v>14775000000</v>
      </c>
      <c r="H586" s="56" t="n">
        <v>13190000000</v>
      </c>
      <c r="I586" s="56" t="n">
        <v>17723000000</v>
      </c>
    </row>
    <row r="587">
      <c r="B587" s="71" t="inlineStr">
        <is>
          <t>Allowance for bad and doubtful debts</t>
        </is>
      </c>
      <c r="C587" s="55" t="inlineStr">
        <is>
          <t>AllowanceForBadAndDoubtfulDebts</t>
        </is>
      </c>
      <c r="D587" s="56" t="n">
        <v>106000000</v>
      </c>
      <c r="E587" s="56" t="n">
        <v>119000000</v>
      </c>
      <c r="F587" s="56" t="n">
        <v>226000000</v>
      </c>
      <c r="G587" s="56" t="n">
        <v>386000000</v>
      </c>
      <c r="H587" s="56" t="n">
        <v>448000000</v>
      </c>
      <c r="I587" s="56" t="n">
        <v>410000000</v>
      </c>
    </row>
    <row r="588">
      <c r="B588" s="69" t="inlineStr">
        <is>
          <t>Total trade receivables</t>
        </is>
      </c>
      <c r="C588" s="55" t="inlineStr">
        <is>
          <t>TradeReceivables</t>
        </is>
      </c>
      <c r="D588" s="58" t="n">
        <v>8962000000</v>
      </c>
      <c r="E588" s="58" t="n">
        <v>10155000000</v>
      </c>
      <c r="F588" s="58" t="n">
        <v>13356000000</v>
      </c>
      <c r="G588" s="58" t="n">
        <v>14389000000</v>
      </c>
      <c r="H588" s="58" t="n">
        <v>12742000000</v>
      </c>
      <c r="I588" s="58" t="n">
        <v>17313000000</v>
      </c>
    </row>
    <row r="589">
      <c r="B589" s="60" t="inlineStr">
        <is>
          <t>Details of trade receivables ageing schedule [Abstract]</t>
        </is>
      </c>
    </row>
    <row r="590">
      <c r="B590" s="63" t="inlineStr">
        <is>
          <t>Details of trade receivables ageing schedule [Line Items]</t>
        </is>
      </c>
    </row>
    <row r="591">
      <c r="B591" s="66" t="inlineStr">
        <is>
          <t>Total trade receivables</t>
        </is>
      </c>
      <c r="C591" s="55" t="inlineStr">
        <is>
          <t>TradeReceivables</t>
        </is>
      </c>
      <c r="D591" s="58" t="n">
        <v>8962000000</v>
      </c>
      <c r="E591" s="58" t="n">
        <v>10155000000</v>
      </c>
      <c r="F591" s="58" t="n">
        <v>13356000000</v>
      </c>
      <c r="G591" s="58" t="n">
        <v>14389000000</v>
      </c>
      <c r="H591" s="58" t="n">
        <v>12742000000</v>
      </c>
      <c r="I591" s="58" t="n">
        <v>17313000000</v>
      </c>
    </row>
    <row r="592">
      <c r="B592" s="59" t="inlineStr">
        <is>
          <t>Loans notes [Abstract]</t>
        </is>
      </c>
    </row>
    <row r="593">
      <c r="B593" s="60" t="inlineStr">
        <is>
          <t>Disclosure of loans [Abstract]</t>
        </is>
      </c>
    </row>
    <row r="594">
      <c r="B594" s="63" t="inlineStr">
        <is>
          <t>Details of loans [Line items]</t>
        </is>
      </c>
    </row>
    <row r="595">
      <c r="B595" s="64" t="inlineStr">
        <is>
          <t>Loans , gross</t>
        </is>
      </c>
      <c r="C595" s="55" t="inlineStr">
        <is>
          <t>LoansGross</t>
        </is>
      </c>
      <c r="D595" s="56" t="n">
        <v>679000000</v>
      </c>
      <c r="E595" s="56" t="n">
        <v>0</v>
      </c>
      <c r="F595" s="56" t="n">
        <v>0</v>
      </c>
      <c r="G595" s="56" t="n">
        <v>0</v>
      </c>
      <c r="H595" s="56" t="n">
        <v>0</v>
      </c>
      <c r="I595" s="56" t="n">
        <v>0</v>
      </c>
    </row>
    <row r="596">
      <c r="B596" s="66" t="inlineStr">
        <is>
          <t>Total loans</t>
        </is>
      </c>
      <c r="C596" s="55" t="inlineStr">
        <is>
          <t>Loans</t>
        </is>
      </c>
      <c r="D596" s="58" t="n">
        <v>679000000</v>
      </c>
      <c r="E596" s="58" t="n">
        <v>0</v>
      </c>
      <c r="F596" s="58" t="n">
        <v>0</v>
      </c>
      <c r="G596" s="58" t="n">
        <v>0</v>
      </c>
      <c r="H596" s="58" t="n">
        <v>0</v>
      </c>
      <c r="I596" s="58" t="n">
        <v>0</v>
      </c>
    </row>
    <row r="597">
      <c r="B597" s="59" t="inlineStr">
        <is>
          <t>Other non-current financial assets notes [Abstract]</t>
        </is>
      </c>
    </row>
    <row r="598">
      <c r="B598" s="60" t="inlineStr">
        <is>
          <t>Other non-current financial assets [Abstract]</t>
        </is>
      </c>
    </row>
    <row r="599">
      <c r="B599" s="61" t="inlineStr">
        <is>
          <t>Derivative assets</t>
        </is>
      </c>
      <c r="C599" s="55" t="inlineStr">
        <is>
          <t>DerivativeAssets</t>
        </is>
      </c>
      <c r="D599" s="56" t="n">
        <v>0</v>
      </c>
      <c r="E599" s="56" t="n">
        <v>0</v>
      </c>
      <c r="F599" s="56" t="n">
        <v>0</v>
      </c>
      <c r="G599" s="56" t="n">
        <v>0</v>
      </c>
      <c r="H599" s="56" t="n">
        <v>1225000000</v>
      </c>
      <c r="I599" s="56" t="n">
        <v>1787000000</v>
      </c>
    </row>
    <row r="600">
      <c r="B600" s="61" t="inlineStr">
        <is>
          <t>Other non-current financial assets, others</t>
        </is>
      </c>
      <c r="C600" s="55" t="inlineStr">
        <is>
          <t>OtherNoncurrentFinancialAssetsOthers</t>
        </is>
      </c>
      <c r="D600" s="56" t="n">
        <v>209000000</v>
      </c>
      <c r="E600" s="56" t="n">
        <v>0</v>
      </c>
      <c r="F600" s="56" t="n">
        <v>0</v>
      </c>
      <c r="G600" s="56" t="n">
        <v>0</v>
      </c>
      <c r="H600" s="56" t="n">
        <v>0</v>
      </c>
      <c r="I600" s="56" t="n">
        <v>677000000</v>
      </c>
    </row>
    <row r="601">
      <c r="B601" s="65" t="inlineStr">
        <is>
          <t>Total other non-current financial assets</t>
        </is>
      </c>
      <c r="C601" s="55" t="inlineStr">
        <is>
          <t>OtherNoncurrentFinancialAssets</t>
        </is>
      </c>
      <c r="D601" s="58" t="n">
        <v>209000000</v>
      </c>
      <c r="E601" s="58" t="n">
        <v>0</v>
      </c>
      <c r="F601" s="58" t="n">
        <v>0</v>
      </c>
      <c r="G601" s="58" t="n">
        <v>0</v>
      </c>
      <c r="H601" s="58" t="n">
        <v>1225000000</v>
      </c>
      <c r="I601" s="58" t="n">
        <v>2464000000</v>
      </c>
    </row>
    <row r="602">
      <c r="B602" s="63" t="inlineStr">
        <is>
          <t>Other non-current financial assets, others [Abstract]</t>
        </is>
      </c>
    </row>
    <row r="603">
      <c r="B603" s="68" t="inlineStr">
        <is>
          <t>Other non-current financial assets, others [Line items]</t>
        </is>
      </c>
    </row>
    <row r="604">
      <c r="B604" s="71" t="inlineStr">
        <is>
          <t>Other non-current financial assets, others</t>
        </is>
      </c>
      <c r="C604" s="55" t="inlineStr">
        <is>
          <t>OtherNoncurrentFinancialAssetsOthers</t>
        </is>
      </c>
      <c r="D604" s="56" t="n">
        <v>209000000</v>
      </c>
      <c r="E604" s="56" t="n">
        <v>0</v>
      </c>
      <c r="F604" s="56" t="n">
        <v>0</v>
      </c>
      <c r="G604" s="56" t="n">
        <v>0</v>
      </c>
      <c r="H604" s="56" t="n">
        <v>0</v>
      </c>
      <c r="I604" s="56" t="n">
        <v>677000000</v>
      </c>
    </row>
    <row r="605">
      <c r="B605" s="59" t="inlineStr">
        <is>
          <t>Disclosure of notes on advances [Abstract]</t>
        </is>
      </c>
    </row>
    <row r="606">
      <c r="B606" s="60" t="inlineStr">
        <is>
          <t>Disclosure of advances [Abstract]</t>
        </is>
      </c>
    </row>
    <row r="607">
      <c r="B607" s="63" t="inlineStr">
        <is>
          <t>Disclosure of advances [Line items]</t>
        </is>
      </c>
    </row>
    <row r="608">
      <c r="B608" s="64" t="inlineStr">
        <is>
          <t>Advances</t>
        </is>
      </c>
      <c r="C608" s="55" t="inlineStr">
        <is>
          <t>Advances</t>
        </is>
      </c>
      <c r="D608" s="56" t="n">
        <v>2089000000</v>
      </c>
      <c r="E608" s="56" t="n">
        <v>0</v>
      </c>
      <c r="F608" s="56" t="n">
        <v>0</v>
      </c>
      <c r="G608" s="56" t="n">
        <v>0</v>
      </c>
      <c r="H608" s="56" t="n">
        <v>0</v>
      </c>
      <c r="I608" s="56" t="n">
        <v>0</v>
      </c>
    </row>
    <row r="609">
      <c r="B609" s="59" t="inlineStr">
        <is>
          <t>Other non-current assets notes [Abstract]</t>
        </is>
      </c>
    </row>
    <row r="610">
      <c r="B610" s="60" t="inlineStr">
        <is>
          <t>Other non-current assets [Abstract]</t>
        </is>
      </c>
    </row>
    <row r="611">
      <c r="B611" s="61" t="inlineStr">
        <is>
          <t>Advances, non-current</t>
        </is>
      </c>
      <c r="C611" s="55" t="inlineStr">
        <is>
          <t>NoncurrentAdvances</t>
        </is>
      </c>
      <c r="D611" s="56" t="n">
        <v>1310000000</v>
      </c>
      <c r="E611" s="56" t="n">
        <v>0</v>
      </c>
      <c r="F611" s="56" t="n">
        <v>1889000000</v>
      </c>
      <c r="G611" s="56" t="n">
        <v>1693000000</v>
      </c>
      <c r="H611" s="56" t="n">
        <v>1665000000</v>
      </c>
      <c r="I611" s="56" t="n">
        <v>1286000000</v>
      </c>
    </row>
    <row r="612">
      <c r="B612" s="61" t="inlineStr">
        <is>
          <t>Other non-current assets, others</t>
        </is>
      </c>
      <c r="C612" s="55" t="inlineStr">
        <is>
          <t>OtherNoncurrentAssetsOthers</t>
        </is>
      </c>
      <c r="D612" s="56" t="n">
        <v>16000000</v>
      </c>
      <c r="E612" s="56" t="n">
        <v>1547000000</v>
      </c>
      <c r="F612" s="56" t="n">
        <v>0</v>
      </c>
      <c r="G612" s="56" t="n">
        <v>0</v>
      </c>
      <c r="H612" s="56" t="n">
        <v>0</v>
      </c>
      <c r="I612" s="56" t="n">
        <v>0</v>
      </c>
    </row>
    <row r="613">
      <c r="B613" s="65" t="inlineStr">
        <is>
          <t>Total other non-current assets</t>
        </is>
      </c>
      <c r="C613" s="55" t="inlineStr">
        <is>
          <t>OtherNoncurrentAssets</t>
        </is>
      </c>
      <c r="D613" s="58" t="n">
        <v>1326000000</v>
      </c>
      <c r="E613" s="58" t="n">
        <v>1547000000</v>
      </c>
      <c r="F613" s="58" t="n">
        <v>1889000000</v>
      </c>
      <c r="G613" s="58" t="n">
        <v>1693000000</v>
      </c>
      <c r="H613" s="58" t="n">
        <v>1665000000</v>
      </c>
      <c r="I613" s="58" t="n">
        <v>1286000000</v>
      </c>
    </row>
    <row r="614">
      <c r="B614" s="63" t="inlineStr">
        <is>
          <t>Other non-current assets, others [Abstract]</t>
        </is>
      </c>
    </row>
    <row r="615">
      <c r="B615" s="68" t="inlineStr">
        <is>
          <t>Other non-current assets, others [Line items]</t>
        </is>
      </c>
    </row>
    <row r="616">
      <c r="B616" s="71" t="inlineStr">
        <is>
          <t>Other non-current assets, others</t>
        </is>
      </c>
      <c r="C616" s="55" t="inlineStr">
        <is>
          <t>OtherNoncurrentAssetsOthers</t>
        </is>
      </c>
      <c r="D616" s="56" t="n">
        <v>16000000</v>
      </c>
      <c r="E616" s="56" t="n">
        <v>1547000000</v>
      </c>
      <c r="F616" s="56" t="n">
        <v>0</v>
      </c>
      <c r="G616" s="56" t="n">
        <v>0</v>
      </c>
      <c r="H616" s="56" t="n">
        <v>0</v>
      </c>
      <c r="I616" s="56" t="n">
        <v>0</v>
      </c>
    </row>
    <row r="617">
      <c r="B617" s="59" t="inlineStr">
        <is>
          <t>Inventories notes [Abstract]</t>
        </is>
      </c>
    </row>
    <row r="618">
      <c r="B618" s="60" t="inlineStr">
        <is>
          <t>Classification of inventories [Abstract]</t>
        </is>
      </c>
    </row>
    <row r="619">
      <c r="B619" s="63" t="inlineStr">
        <is>
          <t>Classification of inventories [Line items]</t>
        </is>
      </c>
    </row>
    <row r="620">
      <c r="B620" s="64" t="inlineStr">
        <is>
          <t>Inventories</t>
        </is>
      </c>
      <c r="C620" s="55" t="inlineStr">
        <is>
          <t>Inventories</t>
        </is>
      </c>
      <c r="D620" s="56" t="n">
        <v>0</v>
      </c>
      <c r="E620" s="56" t="n">
        <v>0</v>
      </c>
      <c r="F620" s="56" t="n">
        <v>0</v>
      </c>
      <c r="G620" s="56" t="n">
        <v>0</v>
      </c>
      <c r="H620" s="56" t="n">
        <v>0</v>
      </c>
      <c r="I620" s="56" t="n">
        <v>41000000</v>
      </c>
    </row>
    <row r="621">
      <c r="B621" s="59" t="inlineStr">
        <is>
          <t>Cash and bank balances notes [Abstract]</t>
        </is>
      </c>
    </row>
    <row r="622">
      <c r="B622" s="63" t="inlineStr">
        <is>
          <t>Cash and bank balances [Abstract]</t>
        </is>
      </c>
    </row>
    <row r="623">
      <c r="B623" s="68" t="inlineStr">
        <is>
          <t>Classification of cash and bank balances [Abstract]</t>
        </is>
      </c>
    </row>
    <row r="624">
      <c r="B624" s="72" t="inlineStr">
        <is>
          <t>Cash and cash equivalents [Abstract]</t>
        </is>
      </c>
    </row>
    <row r="625">
      <c r="B625" s="75" t="inlineStr">
        <is>
          <t>Balance with banks [Abstract]</t>
        </is>
      </c>
    </row>
    <row r="626">
      <c r="B626" s="76" t="inlineStr">
        <is>
          <t>Other deposits with banks</t>
        </is>
      </c>
      <c r="C626" s="55" t="inlineStr">
        <is>
          <t>OtherDepositsWithBanks</t>
        </is>
      </c>
      <c r="D626" s="56" t="n">
        <v>2508000000</v>
      </c>
      <c r="E626" s="56" t="n">
        <v>0</v>
      </c>
      <c r="F626" s="56" t="n">
        <v>2546000000</v>
      </c>
      <c r="G626" s="56" t="n">
        <v>3886000000</v>
      </c>
      <c r="H626" s="56" t="n">
        <v>7572000000</v>
      </c>
      <c r="I626" s="56" t="n">
        <v>10485000000</v>
      </c>
    </row>
    <row r="627">
      <c r="B627" s="76" t="inlineStr">
        <is>
          <t>Other balances with banks</t>
        </is>
      </c>
      <c r="C627" s="55" t="inlineStr">
        <is>
          <t>OtherBalancesWithBanks</t>
        </is>
      </c>
      <c r="D627" s="56" t="n">
        <v>0</v>
      </c>
      <c r="E627" s="56" t="n">
        <v>13000000</v>
      </c>
      <c r="F627" s="56" t="n">
        <v>16000000</v>
      </c>
      <c r="G627" s="56" t="n">
        <v>23000000</v>
      </c>
      <c r="H627" s="56" t="n">
        <v>25000000</v>
      </c>
      <c r="I627" s="56" t="n">
        <v>28000000</v>
      </c>
    </row>
    <row r="628">
      <c r="B628" s="77" t="inlineStr">
        <is>
          <t>Total balance with banks</t>
        </is>
      </c>
      <c r="C628" s="55" t="inlineStr">
        <is>
          <t>BalanceWithBanks</t>
        </is>
      </c>
      <c r="D628" s="58" t="n">
        <v>2508000000</v>
      </c>
      <c r="E628" s="58" t="n">
        <v>3289000000</v>
      </c>
      <c r="F628" s="58" t="n">
        <v>2562000000</v>
      </c>
      <c r="G628" s="58" t="n">
        <v>3909000000</v>
      </c>
      <c r="H628" s="58" t="n">
        <v>7597000000</v>
      </c>
      <c r="I628" s="58" t="n">
        <v>10513000000</v>
      </c>
    </row>
    <row r="629">
      <c r="B629" s="74" t="inlineStr">
        <is>
          <t>Cash and cash equivalents at end of period</t>
        </is>
      </c>
      <c r="C629" s="55" t="inlineStr">
        <is>
          <t>CashAndCashEquivalents</t>
        </is>
      </c>
      <c r="D629" s="58" t="n">
        <v>2508000000</v>
      </c>
      <c r="E629" s="58" t="n">
        <v>3289000000</v>
      </c>
      <c r="F629" s="58" t="n">
        <v>2562000000</v>
      </c>
      <c r="G629" s="58" t="n">
        <v>3909000000</v>
      </c>
      <c r="H629" s="58" t="n">
        <v>7597000000</v>
      </c>
      <c r="I629" s="58" t="n">
        <v>10513000000</v>
      </c>
    </row>
    <row r="630">
      <c r="B630" s="71" t="inlineStr">
        <is>
          <t>Bank balance other than cash and cash equivalents</t>
        </is>
      </c>
      <c r="C630" s="55" t="inlineStr">
        <is>
          <t>BankBalanceOtherThanCashAndCashEquivalents</t>
        </is>
      </c>
      <c r="D630" s="56" t="n">
        <v>0</v>
      </c>
      <c r="E630" s="56" t="n">
        <v>0</v>
      </c>
      <c r="F630" s="56" t="n">
        <v>0</v>
      </c>
      <c r="G630" s="56" t="n">
        <v>1961000000</v>
      </c>
      <c r="H630" s="56" t="n">
        <v>0</v>
      </c>
      <c r="I630" s="56" t="n">
        <v>0</v>
      </c>
    </row>
    <row r="631">
      <c r="B631" s="69" t="inlineStr">
        <is>
          <t>Total cash and bank balances</t>
        </is>
      </c>
      <c r="C631" s="55" t="inlineStr">
        <is>
          <t>CashAndBankBalances</t>
        </is>
      </c>
      <c r="D631" s="58" t="n">
        <v>2508000000</v>
      </c>
      <c r="E631" s="58" t="n">
        <v>3289000000</v>
      </c>
      <c r="F631" s="58" t="n">
        <v>2562000000</v>
      </c>
      <c r="G631" s="58" t="n">
        <v>5870000000</v>
      </c>
      <c r="H631" s="58" t="n">
        <v>7597000000</v>
      </c>
      <c r="I631" s="58" t="n">
        <v>10513000000</v>
      </c>
    </row>
    <row r="632">
      <c r="B632" s="59" t="inlineStr">
        <is>
          <t>Other current financial assets [Abstract]</t>
        </is>
      </c>
    </row>
    <row r="633">
      <c r="B633" s="62" t="inlineStr">
        <is>
          <t>Derivative financial instruments</t>
        </is>
      </c>
      <c r="C633" s="55" t="inlineStr">
        <is>
          <t>DerivativeFinancialInstruments</t>
        </is>
      </c>
      <c r="D633" s="56" t="n">
        <v>37000000</v>
      </c>
      <c r="E633" s="56" t="n">
        <v>0</v>
      </c>
      <c r="F633" s="56" t="n">
        <v>84000000</v>
      </c>
      <c r="G633" s="56" t="n">
        <v>0</v>
      </c>
      <c r="H633" s="56" t="n">
        <v>868000000</v>
      </c>
      <c r="I633" s="56" t="n">
        <v>1703000000</v>
      </c>
    </row>
    <row r="634">
      <c r="B634" s="62" t="inlineStr">
        <is>
          <t>Unbilled revenue</t>
        </is>
      </c>
      <c r="C634" s="55" t="inlineStr">
        <is>
          <t>UnbilledRevenue</t>
        </is>
      </c>
      <c r="D634" s="56" t="n">
        <v>1885000000</v>
      </c>
      <c r="E634" s="56" t="n">
        <v>0</v>
      </c>
      <c r="F634" s="56" t="n">
        <v>2143000000</v>
      </c>
      <c r="G634" s="56" t="n">
        <v>2503000000</v>
      </c>
      <c r="H634" s="56" t="n">
        <v>1859000000</v>
      </c>
      <c r="I634" s="56" t="n">
        <v>3768000000</v>
      </c>
    </row>
    <row r="635">
      <c r="B635" s="62" t="inlineStr">
        <is>
          <t>Security deposits</t>
        </is>
      </c>
      <c r="C635" s="55" t="inlineStr">
        <is>
          <t>SecurityDeposits</t>
        </is>
      </c>
      <c r="D635" s="56" t="n">
        <v>0</v>
      </c>
      <c r="E635" s="56" t="n">
        <v>0</v>
      </c>
      <c r="F635" s="56" t="n">
        <v>0</v>
      </c>
      <c r="G635" s="56" t="n">
        <v>0</v>
      </c>
      <c r="H635" s="56" t="n">
        <v>0</v>
      </c>
      <c r="I635" s="56" t="n">
        <v>16000000</v>
      </c>
    </row>
    <row r="636">
      <c r="B636" s="62" t="inlineStr">
        <is>
          <t>Other current financial assets others</t>
        </is>
      </c>
      <c r="C636" s="55" t="inlineStr">
        <is>
          <t>OtherCurrentFinancialAssetsOthers</t>
        </is>
      </c>
      <c r="D636" s="56" t="n">
        <v>303000000</v>
      </c>
      <c r="E636" s="56" t="n">
        <v>3081000000</v>
      </c>
      <c r="F636" s="56" t="n">
        <v>301000000</v>
      </c>
      <c r="G636" s="56" t="n">
        <v>302000000</v>
      </c>
      <c r="H636" s="56" t="n">
        <v>196000000</v>
      </c>
      <c r="I636" s="56" t="n">
        <v>340000000</v>
      </c>
    </row>
    <row r="637">
      <c r="B637" s="67" t="inlineStr">
        <is>
          <t>Total other current financial assets</t>
        </is>
      </c>
      <c r="C637" s="55" t="inlineStr">
        <is>
          <t>OtherCurrentFinancialAssets</t>
        </is>
      </c>
      <c r="D637" s="58" t="n">
        <v>2225000000</v>
      </c>
      <c r="E637" s="58" t="n">
        <v>3081000000</v>
      </c>
      <c r="F637" s="58" t="n">
        <v>2528000000</v>
      </c>
      <c r="G637" s="58" t="n">
        <v>2805000000</v>
      </c>
      <c r="H637" s="58" t="n">
        <v>2923000000</v>
      </c>
      <c r="I637" s="58" t="n">
        <v>5827000000</v>
      </c>
    </row>
    <row r="638">
      <c r="B638" s="60" t="inlineStr">
        <is>
          <t>Other current financial assets others [Abstract]</t>
        </is>
      </c>
    </row>
    <row r="639">
      <c r="B639" s="63" t="inlineStr">
        <is>
          <t>Other current financial assets others [Line items]</t>
        </is>
      </c>
    </row>
    <row r="640">
      <c r="B640" s="64" t="inlineStr">
        <is>
          <t>Other current financial assets others</t>
        </is>
      </c>
      <c r="C640" s="55" t="inlineStr">
        <is>
          <t>OtherCurrentFinancialAssetsOthers</t>
        </is>
      </c>
      <c r="D640" s="56" t="n">
        <v>303000000</v>
      </c>
      <c r="E640" s="56" t="n">
        <v>3081000000</v>
      </c>
      <c r="F640" s="56" t="n">
        <v>301000000</v>
      </c>
      <c r="G640" s="56" t="n">
        <v>302000000</v>
      </c>
      <c r="H640" s="56" t="n">
        <v>196000000</v>
      </c>
      <c r="I640" s="56" t="n">
        <v>340000000</v>
      </c>
    </row>
    <row r="641">
      <c r="B641" s="59" t="inlineStr">
        <is>
          <t>Other current assets notes [Abstract]</t>
        </is>
      </c>
    </row>
    <row r="642">
      <c r="B642" s="60" t="inlineStr">
        <is>
          <t>Other current assets [Abstract]</t>
        </is>
      </c>
    </row>
    <row r="643">
      <c r="B643" s="61" t="inlineStr">
        <is>
          <t>Advances, current</t>
        </is>
      </c>
      <c r="C643" s="55" t="inlineStr">
        <is>
          <t>CurrentAdvances</t>
        </is>
      </c>
      <c r="D643" s="56" t="n">
        <v>799000000</v>
      </c>
      <c r="E643" s="56" t="n">
        <v>0</v>
      </c>
      <c r="F643" s="56" t="n">
        <v>33000000</v>
      </c>
      <c r="G643" s="56" t="n">
        <v>35000000</v>
      </c>
      <c r="H643" s="56" t="n">
        <v>1450000000</v>
      </c>
      <c r="I643" s="56" t="n">
        <v>2292000000</v>
      </c>
    </row>
    <row r="644">
      <c r="B644" s="61" t="inlineStr">
        <is>
          <t>Other current assets, others</t>
        </is>
      </c>
      <c r="C644" s="55" t="inlineStr">
        <is>
          <t>OtherCurrentAssetsOthers</t>
        </is>
      </c>
      <c r="D644" s="56" t="n">
        <v>235000000</v>
      </c>
      <c r="E644" s="56" t="n">
        <v>1283000000</v>
      </c>
      <c r="F644" s="56" t="n">
        <v>2234000000</v>
      </c>
      <c r="G644" s="56" t="n">
        <v>1946000000</v>
      </c>
      <c r="H644" s="56" t="n">
        <v>1694000000</v>
      </c>
      <c r="I644" s="56" t="n">
        <v>2363000000</v>
      </c>
    </row>
    <row r="645">
      <c r="B645" s="65" t="inlineStr">
        <is>
          <t>Total other current assets</t>
        </is>
      </c>
      <c r="C645" s="55" t="inlineStr">
        <is>
          <t>OtherCurrentAssets</t>
        </is>
      </c>
      <c r="D645" s="58" t="n">
        <v>1034000000</v>
      </c>
      <c r="E645" s="58" t="n">
        <v>1283000000</v>
      </c>
      <c r="F645" s="58" t="n">
        <v>2267000000</v>
      </c>
      <c r="G645" s="58" t="n">
        <v>1981000000</v>
      </c>
      <c r="H645" s="58" t="n">
        <v>3144000000</v>
      </c>
      <c r="I645" s="58" t="n">
        <v>4655000000</v>
      </c>
    </row>
    <row r="646">
      <c r="B646" s="63" t="inlineStr">
        <is>
          <t>Other current assets others [Abstract]</t>
        </is>
      </c>
    </row>
    <row r="647">
      <c r="B647" s="68" t="inlineStr">
        <is>
          <t>Other current assets others [Line items]</t>
        </is>
      </c>
    </row>
    <row r="648">
      <c r="B648" s="71" t="inlineStr">
        <is>
          <t>Other current assets, others</t>
        </is>
      </c>
      <c r="C648" s="55" t="inlineStr">
        <is>
          <t>OtherCurrentAssetsOthers</t>
        </is>
      </c>
      <c r="D648" s="56" t="n">
        <v>235000000</v>
      </c>
      <c r="E648" s="56" t="n">
        <v>1283000000</v>
      </c>
      <c r="F648" s="56" t="n">
        <v>2234000000</v>
      </c>
      <c r="G648" s="56" t="n">
        <v>1946000000</v>
      </c>
      <c r="H648" s="56" t="n">
        <v>1694000000</v>
      </c>
      <c r="I648" s="56" t="n">
        <v>2363000000</v>
      </c>
    </row>
    <row r="649">
      <c r="B649" s="59" t="inlineStr">
        <is>
          <t>Disclosure of other non-current financial liabilities notes [Abstract]</t>
        </is>
      </c>
    </row>
    <row r="650">
      <c r="B650" s="60" t="inlineStr">
        <is>
          <t>Other non-current financial liabilities [Abstract]</t>
        </is>
      </c>
    </row>
    <row r="651">
      <c r="B651" s="61" t="inlineStr">
        <is>
          <t>Derivative liabilities, non-current</t>
        </is>
      </c>
      <c r="C651" s="55" t="inlineStr">
        <is>
          <t>DerivativeLiabilitiesNoncurrent</t>
        </is>
      </c>
      <c r="D651" s="56" t="n">
        <v>0</v>
      </c>
      <c r="E651" s="56" t="n">
        <v>0</v>
      </c>
      <c r="F651" s="56" t="n">
        <v>0</v>
      </c>
      <c r="G651" s="56" t="n">
        <v>0</v>
      </c>
      <c r="H651" s="56" t="n">
        <v>0</v>
      </c>
      <c r="I651" s="56" t="n">
        <v>1000000</v>
      </c>
    </row>
    <row r="652">
      <c r="B652" s="61" t="inlineStr">
        <is>
          <t>Other non-current financial liabilities, others</t>
        </is>
      </c>
      <c r="C652" s="55" t="inlineStr">
        <is>
          <t>OtherNoncurrentFinancialLiabilitiesOthers</t>
        </is>
      </c>
      <c r="D652" s="56" t="n">
        <v>230000000</v>
      </c>
      <c r="E652" s="56" t="n">
        <v>0</v>
      </c>
      <c r="F652" s="56" t="n">
        <v>1000000</v>
      </c>
      <c r="G652" s="56" t="n">
        <v>6762260000</v>
      </c>
      <c r="H652" s="56" t="n">
        <v>4498000000</v>
      </c>
      <c r="I652" s="56" t="n">
        <v>4664000000</v>
      </c>
    </row>
    <row r="653">
      <c r="B653" s="65" t="inlineStr">
        <is>
          <t>Total other non-current financial liabilities</t>
        </is>
      </c>
      <c r="C653" s="55" t="inlineStr">
        <is>
          <t>OtherNoncurrentFinancialLiabilities</t>
        </is>
      </c>
      <c r="D653" s="58" t="n">
        <v>230000000</v>
      </c>
      <c r="E653" s="58" t="n">
        <v>0</v>
      </c>
      <c r="F653" s="58" t="n">
        <v>1000000</v>
      </c>
      <c r="G653" s="58" t="n">
        <v>6762260000</v>
      </c>
      <c r="H653" s="58" t="n">
        <v>4498000000</v>
      </c>
      <c r="I653" s="58" t="n">
        <v>4665000000</v>
      </c>
    </row>
    <row r="654">
      <c r="B654" s="63" t="inlineStr">
        <is>
          <t>Other non-current financial liabilities others [Abstract]</t>
        </is>
      </c>
    </row>
    <row r="655">
      <c r="B655" s="68" t="inlineStr">
        <is>
          <t>Other non-current financial liabilities others [Line items]</t>
        </is>
      </c>
    </row>
    <row r="656">
      <c r="B656" s="71" t="inlineStr">
        <is>
          <t>Other non-current financial liabilities, others</t>
        </is>
      </c>
      <c r="C656" s="55" t="inlineStr">
        <is>
          <t>OtherNoncurrentFinancialLiabilitiesOthers</t>
        </is>
      </c>
      <c r="D656" s="56" t="n">
        <v>230000000</v>
      </c>
      <c r="E656" s="56" t="n">
        <v>0</v>
      </c>
      <c r="F656" s="56" t="n">
        <v>1000000</v>
      </c>
      <c r="G656" s="56" t="n">
        <v>6762260000</v>
      </c>
      <c r="H656" s="56" t="n">
        <v>4498000000</v>
      </c>
      <c r="I656" s="56" t="n">
        <v>4664000000</v>
      </c>
    </row>
    <row r="657">
      <c r="B657" s="59" t="inlineStr">
        <is>
          <t>Provisions notes [Abstract]</t>
        </is>
      </c>
    </row>
    <row r="658">
      <c r="B658" s="60" t="inlineStr">
        <is>
          <t>Disclosure of breakup of provisions [Abstract]</t>
        </is>
      </c>
    </row>
    <row r="659">
      <c r="B659" s="63" t="inlineStr">
        <is>
          <t>Disclosure of breakup of provisions [Line items]</t>
        </is>
      </c>
    </row>
    <row r="660">
      <c r="B660" s="68" t="inlineStr">
        <is>
          <t>Provisions [Abstract]</t>
        </is>
      </c>
    </row>
    <row r="661">
      <c r="B661" s="72" t="inlineStr">
        <is>
          <t>Provisions for employee benefits [Abstract]</t>
        </is>
      </c>
    </row>
    <row r="662">
      <c r="B662" s="73" t="inlineStr">
        <is>
          <t>Provision other employee related liabilities</t>
        </is>
      </c>
      <c r="C662" s="55" t="inlineStr">
        <is>
          <t>ProvisionOtherEmployeeRelatedLiabilities</t>
        </is>
      </c>
      <c r="D662" s="56" t="n">
        <v>595000000</v>
      </c>
      <c r="E662" s="56" t="n">
        <v>0</v>
      </c>
      <c r="F662" s="56" t="n">
        <v>0</v>
      </c>
      <c r="G662" s="56" t="n">
        <v>0</v>
      </c>
      <c r="H662" s="56" t="n">
        <v>1437000000</v>
      </c>
      <c r="I662" s="56" t="n">
        <v>1530000000</v>
      </c>
    </row>
    <row r="663">
      <c r="B663" s="74" t="inlineStr">
        <is>
          <t>Total provisions for employee benefits</t>
        </is>
      </c>
      <c r="C663" s="55" t="inlineStr">
        <is>
          <t>ProvisionsForEmployeeBenefits</t>
        </is>
      </c>
      <c r="D663" s="58" t="n">
        <v>595000000</v>
      </c>
      <c r="E663" s="58" t="n">
        <v>0</v>
      </c>
      <c r="F663" s="58" t="n">
        <v>0</v>
      </c>
      <c r="G663" s="58" t="n">
        <v>0</v>
      </c>
      <c r="H663" s="58" t="n">
        <v>1437000000</v>
      </c>
      <c r="I663" s="58" t="n">
        <v>1530000000</v>
      </c>
    </row>
    <row r="664">
      <c r="B664" s="72" t="inlineStr">
        <is>
          <t>Provision for corporate tax [Abstract]</t>
        </is>
      </c>
    </row>
    <row r="665">
      <c r="B665" s="73" t="inlineStr">
        <is>
          <t>Provision for other tax</t>
        </is>
      </c>
      <c r="C665" s="55" t="inlineStr">
        <is>
          <t>ProvisionForOtherTax</t>
        </is>
      </c>
      <c r="D665" s="56" t="n">
        <v>81000000</v>
      </c>
      <c r="E665" s="56" t="n">
        <v>0</v>
      </c>
      <c r="F665" s="56" t="n">
        <v>0</v>
      </c>
      <c r="G665" s="56" t="n">
        <v>0</v>
      </c>
      <c r="H665" s="56" t="n">
        <v>0</v>
      </c>
      <c r="I665" s="56" t="n">
        <v>0</v>
      </c>
    </row>
    <row r="666">
      <c r="B666" s="74" t="inlineStr">
        <is>
          <t>Total provision for corporate tax</t>
        </is>
      </c>
      <c r="C666" s="55" t="inlineStr">
        <is>
          <t>ProvisionForCorporateTax</t>
        </is>
      </c>
      <c r="D666" s="58" t="n">
        <v>81000000</v>
      </c>
      <c r="E666" s="58" t="n">
        <v>0</v>
      </c>
      <c r="F666" s="58" t="n">
        <v>0</v>
      </c>
      <c r="G666" s="58" t="n">
        <v>0</v>
      </c>
      <c r="H666" s="58" t="n">
        <v>0</v>
      </c>
      <c r="I666" s="58" t="n">
        <v>0</v>
      </c>
    </row>
    <row r="667">
      <c r="B667" s="71" t="inlineStr">
        <is>
          <t>CSR expenditure provision</t>
        </is>
      </c>
      <c r="C667" s="55" t="inlineStr">
        <is>
          <t>CSRExpenditureProvision</t>
        </is>
      </c>
      <c r="D667" s="56" t="n">
        <v>0</v>
      </c>
      <c r="E667" s="56" t="n">
        <v>0</v>
      </c>
      <c r="F667" s="56" t="n">
        <v>0</v>
      </c>
      <c r="G667" s="56" t="n">
        <v>0</v>
      </c>
      <c r="H667" s="56" t="n">
        <v>0</v>
      </c>
      <c r="I667" s="56" t="n">
        <v>77000000</v>
      </c>
    </row>
    <row r="668">
      <c r="B668" s="71" t="inlineStr">
        <is>
          <t>Other provisions at end of period</t>
        </is>
      </c>
      <c r="C668" s="55" t="inlineStr">
        <is>
          <t>OtherProvisions</t>
        </is>
      </c>
      <c r="D668" s="56" t="n">
        <v>429000000</v>
      </c>
      <c r="E668" s="56" t="n">
        <v>0</v>
      </c>
      <c r="F668" s="56" t="n">
        <v>0</v>
      </c>
      <c r="G668" s="56" t="n">
        <v>0</v>
      </c>
      <c r="H668" s="56" t="n">
        <v>790000000</v>
      </c>
      <c r="I668" s="56" t="n">
        <v>835000000</v>
      </c>
    </row>
    <row r="669">
      <c r="B669" s="69" t="inlineStr">
        <is>
          <t>Total provisions</t>
        </is>
      </c>
      <c r="C669" s="55" t="inlineStr">
        <is>
          <t>Provisions</t>
        </is>
      </c>
      <c r="D669" s="58" t="n">
        <v>1105000000</v>
      </c>
      <c r="E669" s="58" t="n">
        <v>0</v>
      </c>
      <c r="F669" s="58" t="n">
        <v>0</v>
      </c>
      <c r="G669" s="58" t="n">
        <v>0</v>
      </c>
      <c r="H669" s="58" t="n">
        <v>2227000000</v>
      </c>
      <c r="I669" s="58" t="n">
        <v>2442000000</v>
      </c>
    </row>
    <row r="670">
      <c r="B670" s="59" t="inlineStr">
        <is>
          <t>Other non-current liabilities [Abstract]</t>
        </is>
      </c>
    </row>
    <row r="671">
      <c r="B671" s="62" t="inlineStr">
        <is>
          <t>Other non-current liabilities others</t>
        </is>
      </c>
      <c r="C671" s="55" t="inlineStr">
        <is>
          <t>OtherNoncurrentLiabilitiesOthers</t>
        </is>
      </c>
      <c r="D671" s="56" t="n">
        <v>71000000</v>
      </c>
      <c r="E671" s="56" t="n">
        <v>85000000</v>
      </c>
      <c r="F671" s="56" t="n">
        <v>173000000</v>
      </c>
      <c r="G671" s="56" t="n">
        <v>0</v>
      </c>
      <c r="H671" s="56" t="n">
        <v>0</v>
      </c>
      <c r="I671" s="56" t="n">
        <v>0</v>
      </c>
    </row>
    <row r="672">
      <c r="B672" s="67" t="inlineStr">
        <is>
          <t>Total other non-current liabilities</t>
        </is>
      </c>
      <c r="C672" s="55" t="inlineStr">
        <is>
          <t>OtherNoncurrentLiabilities</t>
        </is>
      </c>
      <c r="D672" s="58" t="n">
        <v>71000000</v>
      </c>
      <c r="E672" s="58" t="n">
        <v>85000000</v>
      </c>
      <c r="F672" s="58" t="n">
        <v>173000000</v>
      </c>
      <c r="G672" s="58" t="n">
        <v>0</v>
      </c>
      <c r="H672" s="58" t="n">
        <v>0</v>
      </c>
      <c r="I672" s="58" t="n">
        <v>0</v>
      </c>
    </row>
    <row r="673">
      <c r="B673" s="60" t="inlineStr">
        <is>
          <t>Other non-current liabilities others [Abstract]</t>
        </is>
      </c>
    </row>
    <row r="674">
      <c r="B674" s="63" t="inlineStr">
        <is>
          <t>Other non-current liabilities others [Line items]</t>
        </is>
      </c>
    </row>
    <row r="675">
      <c r="B675" s="64" t="inlineStr">
        <is>
          <t>Other non-current liabilities others</t>
        </is>
      </c>
      <c r="C675" s="55" t="inlineStr">
        <is>
          <t>OtherNoncurrentLiabilitiesOthers</t>
        </is>
      </c>
      <c r="D675" s="56" t="n">
        <v>71000000</v>
      </c>
      <c r="E675" s="56" t="n">
        <v>85000000</v>
      </c>
      <c r="F675" s="56" t="n">
        <v>173000000</v>
      </c>
      <c r="G675" s="56" t="n">
        <v>0</v>
      </c>
      <c r="H675" s="56" t="n">
        <v>0</v>
      </c>
      <c r="I675" s="56" t="n">
        <v>0</v>
      </c>
    </row>
    <row r="676">
      <c r="B676" s="59" t="inlineStr">
        <is>
          <t>Disclosure of other current financial liabilities notes [Abstract]</t>
        </is>
      </c>
    </row>
    <row r="677">
      <c r="B677" s="60" t="inlineStr">
        <is>
          <t>Other current financial liabilities [Abstract]</t>
        </is>
      </c>
    </row>
    <row r="678">
      <c r="B678" s="61" t="inlineStr">
        <is>
          <t>Unpaid dividends</t>
        </is>
      </c>
      <c r="C678" s="55" t="inlineStr">
        <is>
          <t>UnpaidDividends</t>
        </is>
      </c>
      <c r="D678" s="56" t="n">
        <v>9000000</v>
      </c>
      <c r="E678" s="56" t="n">
        <v>0</v>
      </c>
      <c r="F678" s="56" t="n">
        <v>16000000</v>
      </c>
      <c r="G678" s="56" t="n">
        <v>23000000</v>
      </c>
      <c r="H678" s="56" t="n">
        <v>25000000</v>
      </c>
      <c r="I678" s="56" t="n">
        <v>28000000</v>
      </c>
    </row>
    <row r="679">
      <c r="B679" s="61" t="inlineStr">
        <is>
          <t>Derivative liabilities</t>
        </is>
      </c>
      <c r="C679" s="55" t="inlineStr">
        <is>
          <t>DerivativeLiabilities</t>
        </is>
      </c>
      <c r="D679" s="56" t="n">
        <v>0</v>
      </c>
      <c r="E679" s="56" t="n">
        <v>0</v>
      </c>
      <c r="F679" s="56" t="n">
        <v>2000000</v>
      </c>
      <c r="G679" s="56" t="n">
        <v>1623000000</v>
      </c>
      <c r="H679" s="56" t="n">
        <v>33000000</v>
      </c>
      <c r="I679" s="56" t="n">
        <v>12000000</v>
      </c>
    </row>
    <row r="680">
      <c r="B680" s="61" t="inlineStr">
        <is>
          <t>Other current financial liabilities, others</t>
        </is>
      </c>
      <c r="C680" s="55" t="inlineStr">
        <is>
          <t>OtherCurrentFinancialLiabilitiesOthers</t>
        </is>
      </c>
      <c r="D680" s="56" t="n">
        <v>2624000000</v>
      </c>
      <c r="E680" s="56" t="n">
        <v>1812000000</v>
      </c>
      <c r="F680" s="56" t="n">
        <v>2411000000</v>
      </c>
      <c r="G680" s="56" t="n">
        <v>4298000000</v>
      </c>
      <c r="H680" s="56" t="n">
        <v>6077000000</v>
      </c>
      <c r="I680" s="56" t="n">
        <v>7741000000</v>
      </c>
    </row>
    <row r="681">
      <c r="B681" s="65" t="inlineStr">
        <is>
          <t>Total other current financial liabilities</t>
        </is>
      </c>
      <c r="C681" s="55" t="inlineStr">
        <is>
          <t>OtherCurrentFinancialLiabilities</t>
        </is>
      </c>
      <c r="D681" s="58" t="n">
        <v>2638000000</v>
      </c>
      <c r="E681" s="58" t="n">
        <v>1812000000</v>
      </c>
      <c r="F681" s="58" t="n">
        <v>2434000000</v>
      </c>
      <c r="G681" s="58" t="n">
        <v>5949000000</v>
      </c>
      <c r="H681" s="58" t="n">
        <v>6135000000</v>
      </c>
      <c r="I681" s="58" t="n">
        <v>7781000000</v>
      </c>
    </row>
    <row r="682">
      <c r="B682" s="63" t="inlineStr">
        <is>
          <t>Other current financial liabilities, others [Abstract]</t>
        </is>
      </c>
    </row>
    <row r="683">
      <c r="B683" s="68" t="inlineStr">
        <is>
          <t>Other current financial liabilities, others [Line items]</t>
        </is>
      </c>
    </row>
    <row r="684">
      <c r="B684" s="71" t="inlineStr">
        <is>
          <t>Other current financial liabilities, others</t>
        </is>
      </c>
      <c r="C684" s="55" t="inlineStr">
        <is>
          <t>OtherCurrentFinancialLiabilitiesOthers</t>
        </is>
      </c>
      <c r="D684" s="56" t="n">
        <v>2624000000</v>
      </c>
      <c r="E684" s="56" t="n">
        <v>1812000000</v>
      </c>
      <c r="F684" s="56" t="n">
        <v>2411000000</v>
      </c>
      <c r="G684" s="56" t="n">
        <v>4298000000</v>
      </c>
      <c r="H684" s="56" t="n">
        <v>6077000000</v>
      </c>
      <c r="I684" s="56" t="n">
        <v>7741000000</v>
      </c>
    </row>
    <row r="685">
      <c r="B685" s="59" t="inlineStr">
        <is>
          <t>Disclosure of other current liabilities notes [Abstract]</t>
        </is>
      </c>
    </row>
    <row r="686">
      <c r="B686" s="60" t="inlineStr">
        <is>
          <t>Other current liabilities [Abstract]</t>
        </is>
      </c>
    </row>
    <row r="687">
      <c r="B687" s="61" t="inlineStr">
        <is>
          <t>Revenue received in advance</t>
        </is>
      </c>
      <c r="C687" s="55" t="inlineStr">
        <is>
          <t>RevenueReceivedInAdvance</t>
        </is>
      </c>
      <c r="D687" s="56" t="n">
        <v>505000000</v>
      </c>
      <c r="E687" s="56" t="n">
        <v>0</v>
      </c>
      <c r="F687" s="56" t="n">
        <v>0</v>
      </c>
      <c r="G687" s="56" t="n">
        <v>0</v>
      </c>
      <c r="H687" s="56" t="n">
        <v>0</v>
      </c>
      <c r="I687" s="56" t="n">
        <v>0</v>
      </c>
    </row>
    <row r="688">
      <c r="B688" s="63" t="inlineStr">
        <is>
          <t>Other advance [Abstract]</t>
        </is>
      </c>
    </row>
    <row r="689">
      <c r="B689" s="64" t="inlineStr">
        <is>
          <t>Advance received from customers</t>
        </is>
      </c>
      <c r="C689" s="55" t="inlineStr">
        <is>
          <t>AdvanceReceivedFromCustomers</t>
        </is>
      </c>
      <c r="D689" s="56" t="n">
        <v>67000000</v>
      </c>
      <c r="E689" s="56" t="n">
        <v>0</v>
      </c>
      <c r="F689" s="56" t="n">
        <v>330000000</v>
      </c>
      <c r="G689" s="56" t="n">
        <v>169000000</v>
      </c>
      <c r="H689" s="56" t="n">
        <v>732000000</v>
      </c>
      <c r="I689" s="56" t="n">
        <v>864000000</v>
      </c>
    </row>
    <row r="690">
      <c r="B690" s="66" t="inlineStr">
        <is>
          <t>Total other advance</t>
        </is>
      </c>
      <c r="C690" s="55" t="inlineStr">
        <is>
          <t>OtherAdvance</t>
        </is>
      </c>
      <c r="D690" s="58" t="n">
        <v>67000000</v>
      </c>
      <c r="E690" s="58" t="n">
        <v>0</v>
      </c>
      <c r="F690" s="58" t="n">
        <v>330000000</v>
      </c>
      <c r="G690" s="58" t="n">
        <v>169000000</v>
      </c>
      <c r="H690" s="58" t="n">
        <v>732000000</v>
      </c>
      <c r="I690" s="58" t="n">
        <v>864000000</v>
      </c>
    </row>
    <row r="691">
      <c r="B691" s="63" t="inlineStr">
        <is>
          <t>Other payables, current [Abstract]</t>
        </is>
      </c>
    </row>
    <row r="692">
      <c r="B692" s="64" t="inlineStr">
        <is>
          <t>Taxes payable other tax</t>
        </is>
      </c>
      <c r="C692" s="55" t="inlineStr">
        <is>
          <t>TaxesPayableOtherTax</t>
        </is>
      </c>
      <c r="D692" s="56" t="n">
        <v>413000000</v>
      </c>
      <c r="E692" s="56" t="n">
        <v>0</v>
      </c>
      <c r="F692" s="56" t="n">
        <v>0</v>
      </c>
      <c r="G692" s="56" t="n">
        <v>0</v>
      </c>
      <c r="H692" s="56" t="n">
        <v>812000000</v>
      </c>
      <c r="I692" s="56" t="n">
        <v>1430000000</v>
      </c>
    </row>
    <row r="693">
      <c r="B693" s="66" t="inlineStr">
        <is>
          <t>Total other payables, current</t>
        </is>
      </c>
      <c r="C693" s="55" t="inlineStr">
        <is>
          <t>OtherPayablesCurrent</t>
        </is>
      </c>
      <c r="D693" s="58" t="n">
        <v>413000000</v>
      </c>
      <c r="E693" s="58" t="n">
        <v>0</v>
      </c>
      <c r="F693" s="58" t="n">
        <v>0</v>
      </c>
      <c r="G693" s="58" t="n">
        <v>0</v>
      </c>
      <c r="H693" s="58" t="n">
        <v>812000000</v>
      </c>
      <c r="I693" s="58" t="n">
        <v>1430000000</v>
      </c>
    </row>
    <row r="694">
      <c r="B694" s="61" t="inlineStr">
        <is>
          <t>Other current liabilities, others</t>
        </is>
      </c>
      <c r="C694" s="55" t="inlineStr">
        <is>
          <t>OtherCurrentLiabilitiesOthers</t>
        </is>
      </c>
      <c r="D694" s="56" t="n">
        <v>141000000</v>
      </c>
      <c r="E694" s="56" t="n">
        <v>1802000000</v>
      </c>
      <c r="F694" s="56" t="n">
        <v>1507000000</v>
      </c>
      <c r="G694" s="56" t="n">
        <v>1427000000</v>
      </c>
      <c r="H694" s="56" t="n">
        <v>966000000</v>
      </c>
      <c r="I694" s="56" t="n">
        <v>2024000000</v>
      </c>
    </row>
    <row r="695">
      <c r="B695" s="65" t="inlineStr">
        <is>
          <t>Total other current liabilities</t>
        </is>
      </c>
      <c r="C695" s="55" t="inlineStr">
        <is>
          <t>OtherCurrentLiabilities</t>
        </is>
      </c>
      <c r="D695" s="58" t="n">
        <v>1126000000</v>
      </c>
      <c r="E695" s="58" t="n">
        <v>1802000000</v>
      </c>
      <c r="F695" s="58" t="n">
        <v>1837000000</v>
      </c>
      <c r="G695" s="58" t="n">
        <v>1596000000</v>
      </c>
      <c r="H695" s="58" t="n">
        <v>2510000000</v>
      </c>
      <c r="I695" s="58" t="n">
        <v>4318000000</v>
      </c>
    </row>
    <row r="696">
      <c r="B696" s="63" t="inlineStr">
        <is>
          <t>Other current liabilities, others [Abstract]</t>
        </is>
      </c>
    </row>
    <row r="697">
      <c r="B697" s="68" t="inlineStr">
        <is>
          <t>Other current liabilities, others [Line items]</t>
        </is>
      </c>
    </row>
    <row r="698">
      <c r="B698" s="71" t="inlineStr">
        <is>
          <t>Other current liabilities, others</t>
        </is>
      </c>
      <c r="C698" s="55" t="inlineStr">
        <is>
          <t>OtherCurrentLiabilitiesOthers</t>
        </is>
      </c>
      <c r="D698" s="56" t="n">
        <v>141000000</v>
      </c>
      <c r="E698" s="56" t="n">
        <v>1802000000</v>
      </c>
      <c r="F698" s="56" t="n">
        <v>1507000000</v>
      </c>
      <c r="G698" s="56" t="n">
        <v>1427000000</v>
      </c>
      <c r="H698" s="56" t="n">
        <v>966000000</v>
      </c>
      <c r="I698" s="56" t="n">
        <v>2024000000</v>
      </c>
    </row>
    <row r="703" ht="15.5" customHeight="1" s="203">
      <c r="A703" t="inlineStr">
        <is>
          <t>#</t>
        </is>
      </c>
      <c r="B703" s="38" t="inlineStr">
        <is>
          <t>Notes to Statement of Cash Flows: Cash Flow Statement</t>
        </is>
      </c>
    </row>
    <row r="705">
      <c r="C705" s="53" t="inlineStr">
        <is>
          <t>Concept Tag</t>
        </is>
      </c>
      <c r="D705" s="20" t="inlineStr">
        <is>
          <t>FY2017</t>
        </is>
      </c>
      <c r="E705" s="20" t="inlineStr">
        <is>
          <t>FY2018</t>
        </is>
      </c>
      <c r="F705" s="20" t="inlineStr">
        <is>
          <t>FY2019</t>
        </is>
      </c>
      <c r="G705" s="20" t="inlineStr">
        <is>
          <t>FY2020</t>
        </is>
      </c>
      <c r="H705" s="20" t="inlineStr">
        <is>
          <t>FY2021</t>
        </is>
      </c>
      <c r="I705" s="20" t="inlineStr">
        <is>
          <t>FY2022</t>
        </is>
      </c>
    </row>
    <row r="707" ht="15.5" customHeight="1" s="203">
      <c r="B707" s="38" t="inlineStr">
        <is>
          <t>Cash and cash equivalents if different from Balance Sheet [Abstract]</t>
        </is>
      </c>
    </row>
    <row r="708">
      <c r="B708" s="54" t="inlineStr">
        <is>
          <t>Cash and cash equivalents cash flow statement at end of period</t>
        </is>
      </c>
      <c r="C708" s="55" t="inlineStr">
        <is>
          <t>CashAndCashEquivalentsCashFlowStatement</t>
        </is>
      </c>
      <c r="D708" s="56" t="n">
        <v>2508000000</v>
      </c>
      <c r="E708" s="56" t="n">
        <v>3275000000</v>
      </c>
      <c r="F708" s="56" t="n">
        <v>2559000000</v>
      </c>
      <c r="G708" s="56" t="n">
        <v>3909000000</v>
      </c>
      <c r="H708" s="56" t="n">
        <v>7597000000</v>
      </c>
      <c r="I708" s="56" t="n">
        <v>10513000000</v>
      </c>
    </row>
    <row r="709">
      <c r="B709" s="54" t="inlineStr">
        <is>
          <t>Bank overdrafts</t>
        </is>
      </c>
      <c r="C709" s="55" t="inlineStr">
        <is>
          <t>BankOverdraftsClassifiedAsCashEquivalents</t>
        </is>
      </c>
      <c r="D709" s="56" t="n">
        <v>0</v>
      </c>
      <c r="E709" s="56" t="n">
        <v>-14000000</v>
      </c>
      <c r="F709" s="56" t="n">
        <v>-3000000</v>
      </c>
      <c r="G709" s="56" t="n">
        <v>0</v>
      </c>
      <c r="H709" s="56" t="n">
        <v>0</v>
      </c>
      <c r="I709" s="56" t="n">
        <v>0</v>
      </c>
    </row>
    <row r="710">
      <c r="B710" s="57" t="inlineStr">
        <is>
          <t>Cash and cash equivalents at end of period</t>
        </is>
      </c>
      <c r="C710" s="55" t="inlineStr">
        <is>
          <t>CashAndCashEquivalents</t>
        </is>
      </c>
      <c r="D710" s="58" t="n">
        <v>2508000000</v>
      </c>
      <c r="E710" s="58" t="n">
        <v>3289000000</v>
      </c>
      <c r="F710" s="58" t="n">
        <v>2562000000</v>
      </c>
      <c r="G710" s="58" t="n">
        <v>3909000000</v>
      </c>
      <c r="H710" s="58" t="n">
        <v>7597000000</v>
      </c>
      <c r="I710" s="58" t="n">
        <v>10513000000</v>
      </c>
    </row>
    <row r="712" ht="15.5" customHeight="1" s="203">
      <c r="B712" s="38" t="inlineStr">
        <is>
          <t>Income taxes paid (refund) [Abstract]</t>
        </is>
      </c>
    </row>
    <row r="713">
      <c r="B713" s="54" t="inlineStr">
        <is>
          <t>Income taxes paid (refund)</t>
        </is>
      </c>
      <c r="C713" s="55" t="inlineStr">
        <is>
          <t>IncomeTaxesPaidRefundClassifiedAsOperatingActivities</t>
        </is>
      </c>
      <c r="D713" s="56" t="n">
        <v>1771000000</v>
      </c>
      <c r="E713" s="56" t="n">
        <v>1632000000</v>
      </c>
      <c r="F713" s="56" t="n">
        <v>2255000000</v>
      </c>
      <c r="G713" s="56" t="n">
        <v>1640000000</v>
      </c>
      <c r="H713" s="56" t="n">
        <v>3168000000</v>
      </c>
      <c r="I713" s="56" t="n">
        <v>5464000000</v>
      </c>
    </row>
    <row r="714">
      <c r="B714" s="57" t="inlineStr">
        <is>
          <t>Total income taxes paid (refund)</t>
        </is>
      </c>
      <c r="C714" s="55" t="inlineStr">
        <is>
          <t>IncomeTaxesPaidRefund</t>
        </is>
      </c>
      <c r="D714" s="58" t="n">
        <v>1771000000</v>
      </c>
      <c r="E714" s="58" t="n">
        <v>1632000000</v>
      </c>
      <c r="F714" s="58" t="n">
        <v>2255000000</v>
      </c>
      <c r="G714" s="58" t="n">
        <v>1640000000</v>
      </c>
      <c r="H714" s="58" t="n">
        <v>3168000000</v>
      </c>
      <c r="I714" s="58" t="n">
        <v>5464000000</v>
      </c>
    </row>
    <row r="717" ht="18.5" customHeight="1" s="203">
      <c r="A717" t="inlineStr">
        <is>
          <t>#</t>
        </is>
      </c>
      <c r="B717" s="52" t="inlineStr">
        <is>
          <t>General / Cross-Statement Notes</t>
        </is>
      </c>
    </row>
    <row r="719" ht="15.5" customHeight="1" s="203">
      <c r="A719" t="inlineStr">
        <is>
          <t>#</t>
        </is>
      </c>
      <c r="B719" s="38" t="inlineStr">
        <is>
          <t>Notes to General: Accounting For Government Grants And Disclosure Of Government Assistance</t>
        </is>
      </c>
    </row>
    <row r="721">
      <c r="C721" s="53" t="inlineStr">
        <is>
          <t>Concept Tag</t>
        </is>
      </c>
      <c r="D721" s="20" t="inlineStr">
        <is>
          <t>FY2017</t>
        </is>
      </c>
      <c r="E721" s="20" t="inlineStr">
        <is>
          <t>FY2018</t>
        </is>
      </c>
      <c r="F721" s="20" t="inlineStr">
        <is>
          <t>FY2019</t>
        </is>
      </c>
      <c r="G721" s="20" t="inlineStr">
        <is>
          <t>FY2020</t>
        </is>
      </c>
      <c r="H721" s="20" t="inlineStr">
        <is>
          <t>FY2021</t>
        </is>
      </c>
      <c r="I721" s="20" t="inlineStr">
        <is>
          <t>FY2022</t>
        </is>
      </c>
    </row>
    <row r="722">
      <c r="B722" s="6" t="inlineStr">
        <is>
          <t>Revenue subsidies or grants received from government authorities</t>
        </is>
      </c>
      <c r="C722" s="55" t="inlineStr">
        <is>
          <t>RevenueSubsidiesOrGrantsReceivedFromGovernmentAuthorities</t>
        </is>
      </c>
      <c r="D722" s="56" t="n">
        <v>53000000</v>
      </c>
      <c r="E722" s="56" t="n">
        <v>21000000</v>
      </c>
      <c r="F722" s="56" t="n">
        <v>18000000</v>
      </c>
      <c r="G722" s="56" t="n">
        <v>0</v>
      </c>
      <c r="H722" s="56" t="n">
        <v>120000000</v>
      </c>
      <c r="I722" s="56" t="n">
        <v>31000000</v>
      </c>
    </row>
    <row r="725" ht="15.5" customHeight="1" s="203">
      <c r="A725" t="inlineStr">
        <is>
          <t>#</t>
        </is>
      </c>
      <c r="B725" s="38" t="inlineStr">
        <is>
          <t>Notes to General: Fair Value Measurement</t>
        </is>
      </c>
    </row>
    <row r="727">
      <c r="C727" s="53" t="inlineStr">
        <is>
          <t>Concept Tag</t>
        </is>
      </c>
      <c r="D727" s="20" t="inlineStr">
        <is>
          <t>FY2017</t>
        </is>
      </c>
      <c r="E727" s="20" t="inlineStr">
        <is>
          <t>FY2018</t>
        </is>
      </c>
      <c r="F727" s="20" t="inlineStr">
        <is>
          <t>FY2019</t>
        </is>
      </c>
      <c r="G727" s="20" t="inlineStr">
        <is>
          <t>FY2020</t>
        </is>
      </c>
      <c r="H727" s="20" t="inlineStr">
        <is>
          <t>FY2021</t>
        </is>
      </c>
      <c r="I727" s="20" t="inlineStr">
        <is>
          <t>FY2022</t>
        </is>
      </c>
    </row>
    <row r="728">
      <c r="B728" s="59" t="inlineStr">
        <is>
          <t>Disclosure of fair value measurement of assets [Abstract]</t>
        </is>
      </c>
    </row>
    <row r="729">
      <c r="B729" s="60" t="inlineStr">
        <is>
          <t>Disclosure of fair value measurement of assets [Line items]</t>
        </is>
      </c>
    </row>
    <row r="730">
      <c r="B730" s="61" t="inlineStr">
        <is>
          <t>Assets at end of period</t>
        </is>
      </c>
      <c r="C730" s="55" t="inlineStr">
        <is>
          <t>AssetsFairValue</t>
        </is>
      </c>
      <c r="D730" s="56" t="n">
        <v>5204000000</v>
      </c>
      <c r="E730" s="56" t="n">
        <v>0</v>
      </c>
      <c r="F730" s="56" t="n">
        <v>0</v>
      </c>
      <c r="G730" s="56" t="n">
        <v>0</v>
      </c>
      <c r="H730" s="56" t="n">
        <v>0</v>
      </c>
      <c r="I730" s="56" t="n">
        <v>0</v>
      </c>
    </row>
    <row r="731">
      <c r="B731" s="63" t="inlineStr">
        <is>
          <t>Reconciliation of changes in fair value measurement, assets [Abstract]</t>
        </is>
      </c>
    </row>
    <row r="732">
      <c r="B732" s="64" t="inlineStr">
        <is>
          <t>Assets at end of period</t>
        </is>
      </c>
      <c r="C732" s="55" t="inlineStr">
        <is>
          <t>AssetsFairValue</t>
        </is>
      </c>
      <c r="D732" s="56" t="n">
        <v>5204000000</v>
      </c>
      <c r="E732" s="56" t="n">
        <v>0</v>
      </c>
      <c r="F732" s="56" t="n">
        <v>0</v>
      </c>
      <c r="G732" s="56" t="n">
        <v>0</v>
      </c>
      <c r="H732" s="56" t="n">
        <v>0</v>
      </c>
      <c r="I732" s="56" t="n">
        <v>0</v>
      </c>
    </row>
    <row r="733">
      <c r="B733" s="64" t="inlineStr">
        <is>
          <t>Assets at end of period</t>
        </is>
      </c>
      <c r="C733" s="55" t="inlineStr">
        <is>
          <t>AssetsFairValue</t>
        </is>
      </c>
      <c r="D733" s="56" t="n">
        <v>5204000000</v>
      </c>
      <c r="E733" s="56" t="n">
        <v>0</v>
      </c>
      <c r="F733" s="56" t="n">
        <v>0</v>
      </c>
      <c r="G733" s="56" t="n">
        <v>0</v>
      </c>
      <c r="H733" s="56" t="n">
        <v>0</v>
      </c>
      <c r="I733" s="56" t="n">
        <v>0</v>
      </c>
    </row>
    <row r="736" ht="15.5" customHeight="1" s="203">
      <c r="A736" t="inlineStr">
        <is>
          <t>#</t>
        </is>
      </c>
      <c r="B736" s="38" t="inlineStr">
        <is>
          <t>Notes to General: Financial Instruments</t>
        </is>
      </c>
    </row>
    <row r="738">
      <c r="C738" s="53" t="inlineStr">
        <is>
          <t>Concept Tag</t>
        </is>
      </c>
      <c r="D738" s="20" t="inlineStr">
        <is>
          <t>FY2017</t>
        </is>
      </c>
      <c r="E738" s="20" t="inlineStr">
        <is>
          <t>FY2018</t>
        </is>
      </c>
      <c r="F738" s="20" t="inlineStr">
        <is>
          <t>FY2019</t>
        </is>
      </c>
      <c r="G738" s="20" t="inlineStr">
        <is>
          <t>FY2020</t>
        </is>
      </c>
      <c r="H738" s="20" t="inlineStr">
        <is>
          <t>FY2021</t>
        </is>
      </c>
      <c r="I738" s="20" t="inlineStr">
        <is>
          <t>FY2022</t>
        </is>
      </c>
    </row>
    <row r="739">
      <c r="B739" s="59" t="inlineStr">
        <is>
          <t>Disclosure of financial assets [Abstract]</t>
        </is>
      </c>
    </row>
    <row r="740">
      <c r="B740" s="60" t="inlineStr">
        <is>
          <t>Disclosure of financial assets [Line items]</t>
        </is>
      </c>
    </row>
    <row r="741">
      <c r="B741" s="61" t="inlineStr">
        <is>
          <t>Financial assets at end of period</t>
        </is>
      </c>
      <c r="C741" s="55" t="inlineStr">
        <is>
          <t>FinancialAssets</t>
        </is>
      </c>
      <c r="D741" s="56" t="n">
        <v>20510000000</v>
      </c>
      <c r="E741" s="56" t="n">
        <v>0</v>
      </c>
      <c r="F741" s="56" t="n">
        <v>0</v>
      </c>
      <c r="G741" s="56" t="n">
        <v>0</v>
      </c>
      <c r="H741" s="56" t="n">
        <v>0</v>
      </c>
      <c r="I741" s="56" t="n">
        <v>0</v>
      </c>
    </row>
    <row r="742">
      <c r="B742" s="61" t="inlineStr">
        <is>
          <t>Financial assets, at fair value</t>
        </is>
      </c>
      <c r="C742" s="55" t="inlineStr">
        <is>
          <t>FinancialAssetsAtFairValue</t>
        </is>
      </c>
      <c r="D742" s="56" t="n">
        <v>20510000000</v>
      </c>
      <c r="E742" s="56" t="n">
        <v>0</v>
      </c>
      <c r="F742" s="56" t="n">
        <v>0</v>
      </c>
      <c r="G742" s="56" t="n">
        <v>0</v>
      </c>
      <c r="H742" s="56" t="n">
        <v>0</v>
      </c>
      <c r="I742" s="56" t="n">
        <v>0</v>
      </c>
    </row>
    <row r="743">
      <c r="B743" s="59" t="inlineStr">
        <is>
          <t>Disclosure of financial liabilities [Abstract]</t>
        </is>
      </c>
    </row>
    <row r="744">
      <c r="B744" s="60" t="inlineStr">
        <is>
          <t>Disclosure of financial liabilities [Line items]</t>
        </is>
      </c>
    </row>
    <row r="745">
      <c r="B745" s="61" t="inlineStr">
        <is>
          <t>Financial liabilities</t>
        </is>
      </c>
      <c r="C745" s="55" t="inlineStr">
        <is>
          <t>FinancialLiabilities</t>
        </is>
      </c>
      <c r="D745" s="56" t="n">
        <v>5510000000</v>
      </c>
      <c r="E745" s="56" t="n">
        <v>0</v>
      </c>
      <c r="F745" s="56" t="n">
        <v>0</v>
      </c>
      <c r="G745" s="56" t="n">
        <v>0</v>
      </c>
      <c r="H745" s="56" t="n">
        <v>0</v>
      </c>
      <c r="I745" s="56" t="n">
        <v>0</v>
      </c>
    </row>
    <row r="746">
      <c r="B746" s="61" t="inlineStr">
        <is>
          <t>Financial liabilities, at fair value</t>
        </is>
      </c>
      <c r="C746" s="55" t="inlineStr">
        <is>
          <t>FinancialLiabilitiesAtFairValue</t>
        </is>
      </c>
      <c r="D746" s="56" t="n">
        <v>5510000000</v>
      </c>
      <c r="E746" s="56" t="n">
        <v>0</v>
      </c>
      <c r="F746" s="56" t="n">
        <v>0</v>
      </c>
      <c r="G746" s="56" t="n">
        <v>0</v>
      </c>
      <c r="H746" s="56" t="n">
        <v>0</v>
      </c>
      <c r="I746" s="56" t="n">
        <v>0</v>
      </c>
    </row>
    <row r="751" ht="15.5" customHeight="1" s="203">
      <c r="B751" s="38" t="inlineStr">
        <is>
          <t>Income, expense, gains or losses of financial instruments [Abstract]</t>
        </is>
      </c>
    </row>
    <row r="752">
      <c r="B752" s="59" t="inlineStr">
        <is>
          <t>Disclosure of nature and extent of risks arising from financial instruments [Abstract]</t>
        </is>
      </c>
    </row>
    <row r="753">
      <c r="B753" s="60" t="inlineStr">
        <is>
          <t>Disclosure of reconciliation of changes in loss allowance and explanation of changes in gross carrying amount for financial instruments [Abstract]</t>
        </is>
      </c>
    </row>
    <row r="754">
      <c r="B754" s="63" t="inlineStr">
        <is>
          <t>Disclosure of reconciliation of changes in loss allowance and explanation of changes in gross carrying amount for financial instruments [Line items]</t>
        </is>
      </c>
    </row>
    <row r="755">
      <c r="B755" s="64" t="inlineStr">
        <is>
          <t>Financial assets at end of period</t>
        </is>
      </c>
      <c r="C755" s="55" t="inlineStr">
        <is>
          <t>FinancialAssets</t>
        </is>
      </c>
      <c r="D755" s="56" t="n">
        <v>20510000000</v>
      </c>
      <c r="E755" s="56" t="n">
        <v>0</v>
      </c>
      <c r="F755" s="56" t="n">
        <v>0</v>
      </c>
      <c r="G755" s="56" t="n">
        <v>0</v>
      </c>
      <c r="H755" s="56" t="n">
        <v>0</v>
      </c>
      <c r="I755" s="56" t="n">
        <v>0</v>
      </c>
    </row>
    <row r="756">
      <c r="B756" s="64" t="inlineStr">
        <is>
          <t>Financial assets at end of period</t>
        </is>
      </c>
      <c r="C756" s="55" t="inlineStr">
        <is>
          <t>FinancialAssets</t>
        </is>
      </c>
      <c r="D756" s="56" t="n">
        <v>20510000000</v>
      </c>
      <c r="E756" s="56" t="n">
        <v>0</v>
      </c>
      <c r="F756" s="56" t="n">
        <v>0</v>
      </c>
      <c r="G756" s="56" t="n">
        <v>0</v>
      </c>
      <c r="H756" s="56" t="n">
        <v>0</v>
      </c>
      <c r="I756" s="56" t="n">
        <v>0</v>
      </c>
    </row>
    <row r="757">
      <c r="B757" s="60" t="inlineStr">
        <is>
          <t>Disclosure of credit risk exposure [Abstract]</t>
        </is>
      </c>
    </row>
    <row r="758">
      <c r="B758" s="63" t="inlineStr">
        <is>
          <t>Disclosure of credit risk exposure [Line items]</t>
        </is>
      </c>
    </row>
    <row r="759">
      <c r="B759" s="64" t="inlineStr">
        <is>
          <t>Financial assets at end of period</t>
        </is>
      </c>
      <c r="C759" s="55" t="inlineStr">
        <is>
          <t>FinancialAssets</t>
        </is>
      </c>
      <c r="D759" s="56" t="n">
        <v>20510000000</v>
      </c>
      <c r="E759" s="56" t="n">
        <v>0</v>
      </c>
      <c r="F759" s="56" t="n">
        <v>0</v>
      </c>
      <c r="G759" s="56" t="n">
        <v>0</v>
      </c>
      <c r="H759" s="56" t="n">
        <v>0</v>
      </c>
      <c r="I759" s="56" t="n">
        <v>0</v>
      </c>
    </row>
    <row r="760">
      <c r="B760" s="60" t="inlineStr">
        <is>
          <t>Disclosure of provision matrix [Abstract]</t>
        </is>
      </c>
    </row>
    <row r="761">
      <c r="B761" s="63" t="inlineStr">
        <is>
          <t>Disclosure of provision matrix [Line items]</t>
        </is>
      </c>
    </row>
    <row r="762">
      <c r="B762" s="64" t="inlineStr">
        <is>
          <t>Financial assets at end of period</t>
        </is>
      </c>
      <c r="C762" s="55" t="inlineStr">
        <is>
          <t>FinancialAssets</t>
        </is>
      </c>
      <c r="D762" s="56" t="n">
        <v>20510000000</v>
      </c>
      <c r="E762" s="56" t="n">
        <v>0</v>
      </c>
      <c r="F762" s="56" t="n">
        <v>0</v>
      </c>
      <c r="G762" s="56" t="n">
        <v>0</v>
      </c>
      <c r="H762" s="56" t="n">
        <v>0</v>
      </c>
      <c r="I762" s="56" t="n">
        <v>0</v>
      </c>
    </row>
    <row r="763">
      <c r="B763" s="59" t="inlineStr">
        <is>
          <t>Disclosure of financial instruments by type of interest rate [Abstract]</t>
        </is>
      </c>
    </row>
    <row r="764">
      <c r="B764" s="60" t="inlineStr">
        <is>
          <t>Disclosure of financial instruments by type of interest rate [Line items]</t>
        </is>
      </c>
    </row>
    <row r="765">
      <c r="B765" s="61" t="inlineStr">
        <is>
          <t>Financial assets at end of period</t>
        </is>
      </c>
      <c r="C765" s="55" t="inlineStr">
        <is>
          <t>FinancialAssets</t>
        </is>
      </c>
      <c r="D765" s="56" t="n">
        <v>20510000000</v>
      </c>
      <c r="E765" s="56" t="n">
        <v>0</v>
      </c>
      <c r="F765" s="56" t="n">
        <v>0</v>
      </c>
      <c r="G765" s="56" t="n">
        <v>0</v>
      </c>
      <c r="H765" s="56" t="n">
        <v>0</v>
      </c>
      <c r="I765" s="56" t="n">
        <v>0</v>
      </c>
    </row>
    <row r="766">
      <c r="B766" s="61" t="inlineStr">
        <is>
          <t>Financial liabilities</t>
        </is>
      </c>
      <c r="C766" s="55" t="inlineStr">
        <is>
          <t>FinancialLiabilities</t>
        </is>
      </c>
      <c r="D766" s="56" t="n">
        <v>5510000000</v>
      </c>
      <c r="E766" s="56" t="n">
        <v>0</v>
      </c>
      <c r="F766" s="56" t="n">
        <v>0</v>
      </c>
      <c r="G766" s="56" t="n">
        <v>0</v>
      </c>
      <c r="H766" s="56" t="n">
        <v>0</v>
      </c>
      <c r="I766" s="56" t="n">
        <v>0</v>
      </c>
    </row>
    <row r="771" ht="15.5" customHeight="1" s="203">
      <c r="A771" t="inlineStr">
        <is>
          <t>#</t>
        </is>
      </c>
      <c r="B771" s="38" t="inlineStr">
        <is>
          <t>Notes to General: Leases</t>
        </is>
      </c>
    </row>
    <row r="773">
      <c r="C773" s="53" t="inlineStr">
        <is>
          <t>Concept Tag</t>
        </is>
      </c>
      <c r="D773" s="20" t="inlineStr">
        <is>
          <t>FY2017</t>
        </is>
      </c>
      <c r="E773" s="20" t="inlineStr">
        <is>
          <t>FY2018</t>
        </is>
      </c>
      <c r="F773" s="20" t="inlineStr">
        <is>
          <t>FY2019</t>
        </is>
      </c>
      <c r="G773" s="20" t="inlineStr">
        <is>
          <t>FY2020</t>
        </is>
      </c>
      <c r="H773" s="20" t="inlineStr">
        <is>
          <t>FY2021</t>
        </is>
      </c>
      <c r="I773" s="20" t="inlineStr">
        <is>
          <t>FY2022</t>
        </is>
      </c>
    </row>
    <row r="775" ht="15.5" customHeight="1" s="203">
      <c r="B775" s="38" t="inlineStr">
        <is>
          <t>Disclosure of detailed information about right-of-use assets [Abstract]</t>
        </is>
      </c>
    </row>
    <row r="776">
      <c r="B776" s="59" t="inlineStr">
        <is>
          <t>Disclosure of detailed information about right-of-use assets  [Line items]</t>
        </is>
      </c>
    </row>
    <row r="777">
      <c r="B777" s="60" t="inlineStr">
        <is>
          <t>Reconciliation of changes in right-of-use assets [Abstract]</t>
        </is>
      </c>
    </row>
    <row r="778">
      <c r="B778" s="63" t="inlineStr">
        <is>
          <t>Changes in right-of-use assets [Abstract]</t>
        </is>
      </c>
    </row>
    <row r="779">
      <c r="B779" s="68" t="inlineStr">
        <is>
          <t>Depreciation or Amortisation , right-of-use assets  [Abstract]</t>
        </is>
      </c>
    </row>
    <row r="780">
      <c r="B780" s="71" t="inlineStr">
        <is>
          <t>Depreciation recognised in profit or loss</t>
        </is>
      </c>
      <c r="C780" s="55" t="inlineStr">
        <is>
          <t>AmortisationOfRightOfUseAssets</t>
        </is>
      </c>
      <c r="D780" s="56" t="n">
        <v>-1283000000</v>
      </c>
      <c r="E780" s="56" t="n">
        <v>-1215000000</v>
      </c>
      <c r="F780" s="56" t="n">
        <v>-1175000000</v>
      </c>
      <c r="G780" s="56" t="n">
        <v>-2302000000</v>
      </c>
      <c r="H780" s="56" t="n">
        <v>-2003000000</v>
      </c>
      <c r="I780" s="56" t="n">
        <v>-2208000000</v>
      </c>
    </row>
    <row r="782" ht="15.5" customHeight="1" s="203">
      <c r="B782" s="38" t="inlineStr">
        <is>
          <t>Disclosure of quantitative information about leases for lessee [Abstract]</t>
        </is>
      </c>
    </row>
    <row r="783">
      <c r="B783" s="54" t="inlineStr">
        <is>
          <t>Interest expense on lease liabilities</t>
        </is>
      </c>
      <c r="C783" s="55" t="inlineStr">
        <is>
          <t>InterestExpenseOnLeaseLiabilities</t>
        </is>
      </c>
      <c r="D783" s="56" t="n">
        <v>0</v>
      </c>
      <c r="E783" s="56" t="n">
        <v>0</v>
      </c>
      <c r="F783" s="56" t="n">
        <v>0</v>
      </c>
      <c r="G783" s="56" t="n">
        <v>0</v>
      </c>
      <c r="H783" s="56" t="n">
        <v>503000000</v>
      </c>
      <c r="I783" s="56" t="n">
        <v>494000000</v>
      </c>
    </row>
    <row r="790" ht="15.5" customHeight="1" s="203">
      <c r="A790" t="inlineStr">
        <is>
          <t>#</t>
        </is>
      </c>
      <c r="B790" s="38" t="inlineStr">
        <is>
          <t>Notes to General: Non Current Asset Held For Sale And Discontinued Operations</t>
        </is>
      </c>
    </row>
    <row r="792">
      <c r="C792" s="53" t="inlineStr">
        <is>
          <t>Concept Tag</t>
        </is>
      </c>
      <c r="D792" s="20" t="inlineStr">
        <is>
          <t>FY2017</t>
        </is>
      </c>
      <c r="E792" s="20" t="inlineStr">
        <is>
          <t>FY2018</t>
        </is>
      </c>
      <c r="F792" s="20" t="inlineStr">
        <is>
          <t>FY2019</t>
        </is>
      </c>
      <c r="G792" s="20" t="inlineStr">
        <is>
          <t>FY2020</t>
        </is>
      </c>
      <c r="H792" s="20" t="inlineStr">
        <is>
          <t>FY2021</t>
        </is>
      </c>
      <c r="I792" s="20" t="inlineStr">
        <is>
          <t>FY2022</t>
        </is>
      </c>
    </row>
    <row r="794" ht="15.5" customHeight="1" s="203">
      <c r="B794" s="38" t="inlineStr">
        <is>
          <t>Cash flows from continuing and discontinued operations [Abstract]</t>
        </is>
      </c>
    </row>
    <row r="795">
      <c r="B795" s="59" t="inlineStr">
        <is>
          <t>Cash flows from used in operating activities [Abstract]</t>
        </is>
      </c>
    </row>
    <row r="796">
      <c r="B796" s="62" t="inlineStr">
        <is>
          <t>Net cash flows from (used in) operating activities, continuing operations</t>
        </is>
      </c>
      <c r="C796" s="55" t="inlineStr">
        <is>
          <t>CashFlowsFromUsedInOperatingActivitiesContinuingOperations</t>
        </is>
      </c>
      <c r="D796" s="56" t="n">
        <v>6535000000</v>
      </c>
      <c r="E796" s="56" t="n">
        <v>5644000000</v>
      </c>
      <c r="F796" s="56" t="n">
        <v>6305000000</v>
      </c>
      <c r="G796" s="56" t="n">
        <v>8251000000</v>
      </c>
      <c r="H796" s="56" t="n">
        <v>19960000000</v>
      </c>
      <c r="I796" s="56" t="n">
        <v>15370000000</v>
      </c>
    </row>
    <row r="797">
      <c r="B797" s="67" t="inlineStr">
        <is>
          <t>Net cash flows from (used in) operating activities</t>
        </is>
      </c>
      <c r="C797" s="55" t="inlineStr">
        <is>
          <t>CashFlowsFromUsedInOperatingActivities</t>
        </is>
      </c>
      <c r="D797" s="58" t="n">
        <v>6535000000</v>
      </c>
      <c r="E797" s="58" t="n">
        <v>5644000000</v>
      </c>
      <c r="F797" s="58" t="n">
        <v>6305000000</v>
      </c>
      <c r="G797" s="58" t="n">
        <v>8251000000</v>
      </c>
      <c r="H797" s="58" t="n">
        <v>19960000000</v>
      </c>
      <c r="I797" s="58" t="n">
        <v>15370000000</v>
      </c>
    </row>
    <row r="798">
      <c r="B798" s="59" t="inlineStr">
        <is>
          <t>Cash flows from used in investing activities [Abstract]</t>
        </is>
      </c>
    </row>
    <row r="799">
      <c r="B799" s="62" t="inlineStr">
        <is>
          <t>Net cash flows from (used in) investing activities, continuing operations</t>
        </is>
      </c>
      <c r="C799" s="55" t="inlineStr">
        <is>
          <t>CashFlowsFromUsedInInvestingActivitiesContinuingOperations</t>
        </is>
      </c>
      <c r="D799" s="56" t="n">
        <v>-4533000000</v>
      </c>
      <c r="E799" s="56" t="n">
        <v>-2000000000</v>
      </c>
      <c r="F799" s="56" t="n">
        <v>-1933000000</v>
      </c>
      <c r="G799" s="56" t="n">
        <v>-229000000</v>
      </c>
      <c r="H799" s="56" t="n">
        <v>-11833000000</v>
      </c>
      <c r="I799" s="56" t="n">
        <v>-6860000000</v>
      </c>
    </row>
    <row r="800">
      <c r="B800" s="67" t="inlineStr">
        <is>
          <t>Net cash flows from (used in) investing activities</t>
        </is>
      </c>
      <c r="C800" s="55" t="inlineStr">
        <is>
          <t>CashFlowsFromUsedInInvestingActivities</t>
        </is>
      </c>
      <c r="D800" s="58" t="n">
        <v>-4533000000</v>
      </c>
      <c r="E800" s="58" t="n">
        <v>-2000000000</v>
      </c>
      <c r="F800" s="58" t="n">
        <v>-1933000000</v>
      </c>
      <c r="G800" s="58" t="n">
        <v>-229000000</v>
      </c>
      <c r="H800" s="58" t="n">
        <v>-11833000000</v>
      </c>
      <c r="I800" s="58" t="n">
        <v>-6860000000</v>
      </c>
    </row>
    <row r="801">
      <c r="B801" s="59" t="inlineStr">
        <is>
          <t>Cash flows from used in financing activities [Abstract]</t>
        </is>
      </c>
    </row>
    <row r="802">
      <c r="B802" s="62" t="inlineStr">
        <is>
          <t>Net cash flows from (used in) financing activities, continuing operations</t>
        </is>
      </c>
      <c r="C802" s="55" t="inlineStr">
        <is>
          <t>CashFlowsFromUsedInFinancingActivitiesContinuingOperations</t>
        </is>
      </c>
      <c r="D802" s="56" t="n">
        <v>-1376000000</v>
      </c>
      <c r="E802" s="56" t="n">
        <v>-2875000000</v>
      </c>
      <c r="F802" s="56" t="n">
        <v>-5221000000</v>
      </c>
      <c r="G802" s="56" t="n">
        <v>-6960000000</v>
      </c>
      <c r="H802" s="56" t="n">
        <v>-4225000000</v>
      </c>
      <c r="I802" s="56" t="n">
        <v>-5957000000</v>
      </c>
    </row>
    <row r="803">
      <c r="B803" s="67" t="inlineStr">
        <is>
          <t>Net cash flows from (used in) financing activities</t>
        </is>
      </c>
      <c r="C803" s="55" t="inlineStr">
        <is>
          <t>CashFlowsFromUsedInFinancingActivities</t>
        </is>
      </c>
      <c r="D803" s="58" t="n">
        <v>-1376000000</v>
      </c>
      <c r="E803" s="58" t="n">
        <v>-2875000000</v>
      </c>
      <c r="F803" s="58" t="n">
        <v>-5221000000</v>
      </c>
      <c r="G803" s="58" t="n">
        <v>-6960000000</v>
      </c>
      <c r="H803" s="58" t="n">
        <v>-4225000000</v>
      </c>
      <c r="I803" s="58" t="n">
        <v>-5957000000</v>
      </c>
    </row>
    <row r="806" ht="15.5" customHeight="1" s="203">
      <c r="A806" t="inlineStr">
        <is>
          <t>#</t>
        </is>
      </c>
      <c r="B806" s="38" t="inlineStr">
        <is>
          <t>Notes to General: Operating Segments</t>
        </is>
      </c>
    </row>
    <row r="808">
      <c r="C808" s="53" t="inlineStr">
        <is>
          <t>Concept Tag</t>
        </is>
      </c>
      <c r="D808" s="20" t="inlineStr">
        <is>
          <t>FY2017</t>
        </is>
      </c>
      <c r="E808" s="20" t="inlineStr">
        <is>
          <t>FY2018</t>
        </is>
      </c>
      <c r="F808" s="20" t="inlineStr">
        <is>
          <t>FY2019</t>
        </is>
      </c>
      <c r="G808" s="20" t="inlineStr">
        <is>
          <t>FY2020</t>
        </is>
      </c>
      <c r="H808" s="20" t="inlineStr">
        <is>
          <t>FY2021</t>
        </is>
      </c>
      <c r="I808" s="20" t="inlineStr">
        <is>
          <t>FY2022</t>
        </is>
      </c>
    </row>
    <row r="809">
      <c r="B809" s="59" t="inlineStr">
        <is>
          <t>Disclosure of reportable segments [Abstract]</t>
        </is>
      </c>
    </row>
    <row r="810">
      <c r="B810" s="60" t="inlineStr">
        <is>
          <t>Disclosure of reportable segments [Line items]</t>
        </is>
      </c>
    </row>
    <row r="811">
      <c r="B811" s="61" t="inlineStr">
        <is>
          <t>Revenue primary reportable segment</t>
        </is>
      </c>
      <c r="C811" s="55" t="inlineStr">
        <is>
          <t>RevenuePrimaryReportableSegment</t>
        </is>
      </c>
      <c r="D811" s="56" t="n">
        <v>52364000000</v>
      </c>
      <c r="E811" s="56" t="n">
        <v>0</v>
      </c>
      <c r="F811" s="56" t="n">
        <v>0</v>
      </c>
      <c r="G811" s="56" t="n">
        <v>0</v>
      </c>
      <c r="H811" s="56" t="n">
        <v>79678000000</v>
      </c>
      <c r="I811" s="56" t="n">
        <v>105253000000</v>
      </c>
    </row>
    <row r="812">
      <c r="B812" s="65" t="inlineStr">
        <is>
          <t>Total revenues from external customers and transactions with other reportable segments of same enterprise reportable segment</t>
        </is>
      </c>
      <c r="C812" s="55" t="inlineStr">
        <is>
          <t>RevenuesFromExternalCustomersAndTransactionsWithOtherReportableSegmentsOfSameEnterpriseReportableSegment</t>
        </is>
      </c>
      <c r="D812" s="58" t="n">
        <v>52364000000</v>
      </c>
      <c r="E812" s="58" t="n">
        <v>0</v>
      </c>
      <c r="F812" s="58" t="n">
        <v>0</v>
      </c>
      <c r="G812" s="58" t="n">
        <v>0</v>
      </c>
      <c r="H812" s="58" t="n">
        <v>79678000000</v>
      </c>
      <c r="I812" s="58" t="n">
        <v>105253000000</v>
      </c>
    </row>
    <row r="813">
      <c r="B813" s="61" t="inlineStr">
        <is>
          <t>Other material non-cash items reportable segment</t>
        </is>
      </c>
      <c r="C813" s="55" t="inlineStr">
        <is>
          <t>OtherMaterialNoncashItemsReportableSegment</t>
        </is>
      </c>
      <c r="D813" s="56" t="n">
        <v>0</v>
      </c>
      <c r="E813" s="56" t="n">
        <v>0</v>
      </c>
      <c r="F813" s="56" t="n">
        <v>0</v>
      </c>
      <c r="G813" s="56" t="n">
        <v>0</v>
      </c>
      <c r="H813" s="56" t="n">
        <v>14000000</v>
      </c>
      <c r="I813" s="56" t="n">
        <v>-53000000</v>
      </c>
    </row>
    <row r="814">
      <c r="B814" s="61" t="inlineStr">
        <is>
          <t>Profit (loss) before tax reportable segment</t>
        </is>
      </c>
      <c r="C814" s="55" t="inlineStr">
        <is>
          <t>ProfitLossBeforeTaxReportableSegment</t>
        </is>
      </c>
      <c r="D814" s="56" t="n">
        <v>0</v>
      </c>
      <c r="E814" s="56" t="n">
        <v>0</v>
      </c>
      <c r="F814" s="56" t="n">
        <v>0</v>
      </c>
      <c r="G814" s="56" t="n">
        <v>0</v>
      </c>
      <c r="H814" s="56" t="n">
        <v>16567000000</v>
      </c>
      <c r="I814" s="56" t="n">
        <v>21956000000</v>
      </c>
    </row>
    <row r="815">
      <c r="B815" s="61" t="inlineStr">
        <is>
          <t>Profit (loss) reportable segment</t>
        </is>
      </c>
      <c r="C815" s="55" t="inlineStr">
        <is>
          <t>ProfitLossReportableSegment</t>
        </is>
      </c>
      <c r="D815" s="56" t="n">
        <v>0</v>
      </c>
      <c r="E815" s="56" t="n">
        <v>0</v>
      </c>
      <c r="F815" s="56" t="n">
        <v>0</v>
      </c>
      <c r="G815" s="56" t="n">
        <v>0</v>
      </c>
      <c r="H815" s="56" t="n">
        <v>16567000000</v>
      </c>
      <c r="I815" s="56" t="n">
        <v>21956000000</v>
      </c>
    </row>
    <row r="816">
      <c r="B816" s="59" t="inlineStr">
        <is>
          <t>Disclosure of products and services [Abstract]</t>
        </is>
      </c>
    </row>
    <row r="817">
      <c r="B817" s="60" t="inlineStr">
        <is>
          <t>Disclosure of products and services [Line items]</t>
        </is>
      </c>
    </row>
    <row r="818">
      <c r="B818" s="61" t="inlineStr">
        <is>
          <t>Revenue from external customers</t>
        </is>
      </c>
      <c r="C818" s="55" t="inlineStr">
        <is>
          <t>RevenueFromExternalCustomers</t>
        </is>
      </c>
      <c r="D818" s="56" t="n">
        <v>52364000000</v>
      </c>
      <c r="E818" s="56" t="n">
        <v>0</v>
      </c>
      <c r="F818" s="56" t="n">
        <v>0</v>
      </c>
      <c r="G818" s="56" t="n">
        <v>0</v>
      </c>
      <c r="H818" s="56" t="n">
        <v>79678000000</v>
      </c>
      <c r="I818" s="56" t="n">
        <v>105253000000</v>
      </c>
    </row>
    <row r="819">
      <c r="B819" s="59" t="inlineStr">
        <is>
          <t>Disclosure of geographical areas [Abstract]</t>
        </is>
      </c>
    </row>
    <row r="820">
      <c r="B820" s="60" t="inlineStr">
        <is>
          <t>Disclosure of geographical areas [Line items]</t>
        </is>
      </c>
    </row>
    <row r="821">
      <c r="B821" s="61" t="inlineStr">
        <is>
          <t>Revenue from external customers</t>
        </is>
      </c>
      <c r="C821" s="55" t="inlineStr">
        <is>
          <t>RevenueFromExternalCustomers</t>
        </is>
      </c>
      <c r="D821" s="56" t="n">
        <v>52364000000</v>
      </c>
      <c r="E821" s="56" t="n">
        <v>0</v>
      </c>
      <c r="F821" s="56" t="n">
        <v>0</v>
      </c>
      <c r="G821" s="56" t="n">
        <v>0</v>
      </c>
      <c r="H821" s="56" t="n">
        <v>79678000000</v>
      </c>
      <c r="I821" s="56" t="n">
        <v>105253000000</v>
      </c>
    </row>
    <row r="822">
      <c r="B822" s="59" t="inlineStr">
        <is>
          <t>Disclosure of major customers [Abstract]</t>
        </is>
      </c>
    </row>
    <row r="823">
      <c r="B823" s="60" t="inlineStr">
        <is>
          <t>Disclosure of major customers [Line items]</t>
        </is>
      </c>
    </row>
    <row r="824">
      <c r="B824" s="61" t="inlineStr">
        <is>
          <t>Revenue from external customers</t>
        </is>
      </c>
      <c r="C824" s="55" t="inlineStr">
        <is>
          <t>RevenueFromExternalCustomers</t>
        </is>
      </c>
      <c r="D824" s="56" t="n">
        <v>52364000000</v>
      </c>
      <c r="E824" s="56" t="n">
        <v>0</v>
      </c>
      <c r="F824" s="56" t="n">
        <v>0</v>
      </c>
      <c r="G824" s="56" t="n">
        <v>0</v>
      </c>
      <c r="H824" s="56" t="n">
        <v>79678000000</v>
      </c>
      <c r="I824" s="56" t="n">
        <v>105253000000</v>
      </c>
    </row>
    <row r="827" ht="15.5" customHeight="1" s="203">
      <c r="A827" t="inlineStr">
        <is>
          <t>#</t>
        </is>
      </c>
      <c r="B827" s="38" t="inlineStr">
        <is>
          <t>Notes to General: Share Based Payment Arrangements</t>
        </is>
      </c>
    </row>
    <row r="829">
      <c r="C829" s="53" t="inlineStr">
        <is>
          <t>Concept Tag</t>
        </is>
      </c>
      <c r="D829" s="20" t="inlineStr">
        <is>
          <t>FY2017</t>
        </is>
      </c>
      <c r="E829" s="20" t="inlineStr">
        <is>
          <t>FY2018</t>
        </is>
      </c>
      <c r="F829" s="20" t="inlineStr">
        <is>
          <t>FY2019</t>
        </is>
      </c>
      <c r="G829" s="20" t="inlineStr">
        <is>
          <t>FY2020</t>
        </is>
      </c>
      <c r="H829" s="20" t="inlineStr">
        <is>
          <t>FY2021</t>
        </is>
      </c>
      <c r="I829" s="20" t="inlineStr">
        <is>
          <t>FY2022</t>
        </is>
      </c>
    </row>
    <row r="830">
      <c r="B830" s="54" t="inlineStr">
        <is>
          <t>Number of share options outstanding in share-based payment arrangement at end of period</t>
        </is>
      </c>
      <c r="C830" s="55" t="inlineStr">
        <is>
          <t>NumberOfOutstandingShareOptions</t>
        </is>
      </c>
      <c r="D830" s="56" t="n">
        <v>1004586</v>
      </c>
      <c r="E830" s="56" t="n">
        <v>658000</v>
      </c>
      <c r="F830" s="56" t="n">
        <v>0</v>
      </c>
      <c r="G830" s="56" t="n">
        <v>101</v>
      </c>
      <c r="H830" s="56" t="n">
        <v>5200</v>
      </c>
      <c r="I830" s="56" t="n">
        <v>490403</v>
      </c>
    </row>
    <row r="831">
      <c r="B831" s="59" t="inlineStr">
        <is>
          <t>Number of share options outstanding in share based payment arrangement [Abstract]</t>
        </is>
      </c>
    </row>
    <row r="832">
      <c r="B832" s="62" t="inlineStr">
        <is>
          <t>Number of share options granted in share-based payment arrangement</t>
        </is>
      </c>
      <c r="C832" s="55" t="inlineStr">
        <is>
          <t>NumberOfShareOptionsGrantedInSharebasedPaymentArrangement</t>
        </is>
      </c>
      <c r="D832" s="56" t="n">
        <v>258262</v>
      </c>
      <c r="E832" s="56" t="n">
        <v>703000</v>
      </c>
      <c r="F832" s="56" t="n">
        <v>0</v>
      </c>
      <c r="G832" s="56" t="n">
        <v>0</v>
      </c>
      <c r="H832" s="56" t="n">
        <v>154155</v>
      </c>
      <c r="I832" s="56" t="n">
        <v>632369</v>
      </c>
    </row>
    <row r="833">
      <c r="B833" s="62" t="inlineStr">
        <is>
          <t>Number of share options forfeited in share-based payment arrangement</t>
        </is>
      </c>
      <c r="C833" s="55" t="inlineStr">
        <is>
          <t>NumberOfShareOptionsForfeitedInSharebasedPaymentArrangement</t>
        </is>
      </c>
      <c r="D833" s="56" t="n">
        <v>0</v>
      </c>
      <c r="E833" s="56" t="n">
        <v>0</v>
      </c>
      <c r="F833" s="56" t="n">
        <v>0</v>
      </c>
      <c r="G833" s="56" t="n">
        <v>0</v>
      </c>
      <c r="H833" s="56" t="n">
        <v>0</v>
      </c>
      <c r="I833" s="56" t="n">
        <v>-33160</v>
      </c>
    </row>
    <row r="834">
      <c r="B834" s="62" t="inlineStr">
        <is>
          <t>Number of share options exercised in share-based payment arrangement</t>
        </is>
      </c>
      <c r="C834" s="55" t="inlineStr">
        <is>
          <t>NumberOfShareOptionsExercisedInSharebasedPaymentArrangement</t>
        </is>
      </c>
      <c r="D834" s="56" t="n">
        <v>-382400</v>
      </c>
      <c r="E834" s="56" t="n">
        <v>-124765</v>
      </c>
      <c r="F834" s="56" t="n">
        <v>0</v>
      </c>
      <c r="G834" s="56" t="n">
        <v>-64</v>
      </c>
      <c r="H834" s="56" t="n">
        <v>-145700</v>
      </c>
      <c r="I834" s="56" t="n">
        <v>-114006</v>
      </c>
    </row>
    <row r="835">
      <c r="B835" s="62" t="inlineStr">
        <is>
          <t>Number of share options expired in share-based payment arrangement</t>
        </is>
      </c>
      <c r="C835" s="55" t="inlineStr">
        <is>
          <t>NumberOfShareOptionsExpiredInSharebasedPaymentArrangement</t>
        </is>
      </c>
      <c r="D835" s="56" t="n">
        <v>-619672</v>
      </c>
      <c r="E835" s="56" t="n">
        <v>-924821</v>
      </c>
      <c r="F835" s="56" t="n">
        <v>0</v>
      </c>
      <c r="G835" s="56" t="n">
        <v>0</v>
      </c>
      <c r="H835" s="56" t="n">
        <v>-3255</v>
      </c>
      <c r="I835" s="56" t="n">
        <v>0</v>
      </c>
    </row>
    <row r="836">
      <c r="B836" s="67" t="inlineStr">
        <is>
          <t>Total changes of number of share options outstanding in share based payment arrangement</t>
        </is>
      </c>
      <c r="C836" s="55" t="inlineStr">
        <is>
          <t>ChangesOfNumberOfShareOptionsOutstandingInShareBasedPaymentArrangement</t>
        </is>
      </c>
      <c r="D836" s="58" t="n">
        <v>-743810</v>
      </c>
      <c r="E836" s="58" t="n">
        <v>-346586</v>
      </c>
      <c r="F836" s="58" t="n">
        <v>0</v>
      </c>
      <c r="G836" s="58" t="n">
        <v>-64</v>
      </c>
      <c r="H836" s="58" t="n">
        <v>5200</v>
      </c>
      <c r="I836" s="58" t="n">
        <v>485203</v>
      </c>
    </row>
    <row r="837">
      <c r="B837" s="54" t="inlineStr">
        <is>
          <t>Number of share options outstanding in share-based payment arrangement at end of period</t>
        </is>
      </c>
      <c r="C837" s="55" t="inlineStr">
        <is>
          <t>NumberOfOutstandingShareOptions</t>
        </is>
      </c>
      <c r="D837" s="56" t="n">
        <v>1004586</v>
      </c>
      <c r="E837" s="56" t="n">
        <v>658000</v>
      </c>
      <c r="F837" s="56" t="n">
        <v>0</v>
      </c>
      <c r="G837" s="56" t="n">
        <v>101</v>
      </c>
      <c r="H837" s="56" t="n">
        <v>5200</v>
      </c>
      <c r="I837" s="56" t="n">
        <v>490403</v>
      </c>
    </row>
  </sheetData>
  <pageMargins left="0.75" right="0.75" top="1" bottom="1" header="0.5" footer="0.5"/>
</worksheet>
</file>

<file path=xl/worksheets/sheet38.xml><?xml version="1.0" encoding="utf-8"?>
<worksheet xmlns="http://schemas.openxmlformats.org/spreadsheetml/2006/main">
  <sheetPr>
    <tabColor rgb="00B45F06"/>
    <outlinePr summaryBelow="1" summaryRight="1"/>
    <pageSetUpPr/>
  </sheetPr>
  <dimension ref="A1:I851"/>
  <sheetViews>
    <sheetView workbookViewId="0">
      <selection activeCell="A1" sqref="A1"/>
    </sheetView>
  </sheetViews>
  <sheetFormatPr baseColWidth="8" defaultRowHeight="14.5"/>
  <cols>
    <col width="3" customWidth="1" style="203" min="1" max="1"/>
    <col width="62" customWidth="1" style="203" min="2" max="2"/>
    <col width="42" customWidth="1" style="203" min="3" max="3"/>
    <col width="22" customWidth="1" style="203" min="4" max="9"/>
  </cols>
  <sheetData>
    <row r="1" ht="18.5" customHeight="1" s="203">
      <c r="B1" s="52" t="inlineStr">
        <is>
          <t>Mindtree</t>
        </is>
      </c>
    </row>
    <row r="3">
      <c r="A3" t="inlineStr">
        <is>
          <t>#</t>
        </is>
      </c>
      <c r="B3" s="20" t="inlineStr">
        <is>
          <t>Statement of Profit and Loss</t>
        </is>
      </c>
    </row>
    <row r="4">
      <c r="B4" t="inlineStr">
        <is>
          <t>Raw units, no conversion applied -- source varies by year, see Output/XBRL_Files filenames (_MCA = MCA XBRL, _NSE = NSE Integrated Filing XBRL)</t>
        </is>
      </c>
    </row>
    <row r="6">
      <c r="C6" s="53" t="inlineStr">
        <is>
          <t>Concept Tag</t>
        </is>
      </c>
      <c r="D6" s="20" t="inlineStr">
        <is>
          <t>FY2017</t>
        </is>
      </c>
      <c r="E6" s="20" t="inlineStr">
        <is>
          <t>FY2018</t>
        </is>
      </c>
      <c r="F6" s="20" t="inlineStr">
        <is>
          <t>FY2019</t>
        </is>
      </c>
      <c r="G6" s="20" t="inlineStr">
        <is>
          <t>FY2020</t>
        </is>
      </c>
      <c r="H6" s="20" t="inlineStr">
        <is>
          <t>FY2021</t>
        </is>
      </c>
      <c r="I6" s="20" t="inlineStr">
        <is>
          <t>FY2022</t>
        </is>
      </c>
    </row>
    <row r="7" ht="15.5" customHeight="1" s="203">
      <c r="B7" s="38" t="inlineStr">
        <is>
          <t>Income [Abstract]</t>
        </is>
      </c>
    </row>
    <row r="8">
      <c r="B8" s="54" t="inlineStr">
        <is>
          <t>Total revenue from operations</t>
        </is>
      </c>
      <c r="C8" s="55" t="inlineStr">
        <is>
          <t>RevenueFromOperations</t>
        </is>
      </c>
      <c r="D8" s="56" t="n">
        <v>47526000000</v>
      </c>
      <c r="E8" s="56" t="n">
        <v>53250000000</v>
      </c>
      <c r="F8" s="56" t="n">
        <v>70215000000</v>
      </c>
      <c r="G8" s="56" t="n">
        <v>77643000000</v>
      </c>
      <c r="H8" s="56" t="n">
        <v>79678000000</v>
      </c>
      <c r="I8" s="56" t="n">
        <v>105253000000</v>
      </c>
    </row>
    <row r="9">
      <c r="B9" s="54" t="inlineStr">
        <is>
          <t>Total other income</t>
        </is>
      </c>
      <c r="C9" s="55" t="inlineStr">
        <is>
          <t>OtherIncome</t>
        </is>
      </c>
      <c r="D9" s="56" t="n">
        <v>633000000</v>
      </c>
      <c r="E9" s="56" t="n">
        <v>1901000000</v>
      </c>
      <c r="F9" s="56" t="n">
        <v>893000000</v>
      </c>
      <c r="G9" s="56" t="n">
        <v>756000000</v>
      </c>
      <c r="H9" s="56" t="n">
        <v>1517000000</v>
      </c>
      <c r="I9" s="56" t="n">
        <v>3071000000</v>
      </c>
    </row>
    <row r="10">
      <c r="B10" s="57" t="inlineStr">
        <is>
          <t>Total income</t>
        </is>
      </c>
      <c r="C10" s="55" t="inlineStr">
        <is>
          <t>Income</t>
        </is>
      </c>
      <c r="D10" s="58" t="n">
        <v>48159000000</v>
      </c>
      <c r="E10" s="58" t="n">
        <v>55151000000</v>
      </c>
      <c r="F10" s="58" t="n">
        <v>71108000000</v>
      </c>
      <c r="G10" s="58" t="n">
        <v>78399000000</v>
      </c>
      <c r="H10" s="58" t="n">
        <v>81195000000</v>
      </c>
      <c r="I10" s="58" t="n">
        <v>108324000000</v>
      </c>
    </row>
    <row r="11" ht="15.5" customHeight="1" s="203">
      <c r="B11" s="38" t="inlineStr">
        <is>
          <t>Expenses [Abstract]</t>
        </is>
      </c>
    </row>
    <row r="12">
      <c r="B12" s="54" t="inlineStr">
        <is>
          <t>Total employee benefit expense</t>
        </is>
      </c>
      <c r="C12" s="55" t="inlineStr">
        <is>
          <t>EmployeeBenefitExpense</t>
        </is>
      </c>
      <c r="D12" s="56" t="n">
        <v>30215000000</v>
      </c>
      <c r="E12" s="56" t="n">
        <v>33949000000</v>
      </c>
      <c r="F12" s="56" t="n">
        <v>44211000000</v>
      </c>
      <c r="G12" s="56" t="n">
        <v>50647000000</v>
      </c>
      <c r="H12" s="56" t="n">
        <v>51132000000</v>
      </c>
      <c r="I12" s="56" t="n">
        <v>63278000000</v>
      </c>
    </row>
    <row r="13">
      <c r="B13" s="54" t="inlineStr">
        <is>
          <t>Total finance costs</t>
        </is>
      </c>
      <c r="C13" s="55" t="inlineStr">
        <is>
          <t>FinanceCosts</t>
        </is>
      </c>
      <c r="D13" s="56" t="n">
        <v>190000000</v>
      </c>
      <c r="E13" s="56" t="n">
        <v>168000000</v>
      </c>
      <c r="F13" s="56" t="n">
        <v>29000000</v>
      </c>
      <c r="G13" s="56" t="n">
        <v>529000000</v>
      </c>
      <c r="H13" s="56" t="n">
        <v>504000000</v>
      </c>
      <c r="I13" s="56" t="n">
        <v>502000000</v>
      </c>
    </row>
    <row r="14">
      <c r="B14" s="54" t="inlineStr">
        <is>
          <t>Total depreciation, depletion and amortisation expense</t>
        </is>
      </c>
      <c r="C14" s="55" t="inlineStr">
        <is>
          <t>DepreciationDepletionAndAmortisationExpense</t>
        </is>
      </c>
      <c r="D14" s="56" t="n">
        <v>1331000000</v>
      </c>
      <c r="E14" s="56" t="n">
        <v>1552000000</v>
      </c>
      <c r="F14" s="56" t="n">
        <v>1641000000</v>
      </c>
      <c r="G14" s="56" t="n">
        <v>2754000000</v>
      </c>
      <c r="H14" s="56" t="n">
        <v>2596000000</v>
      </c>
      <c r="I14" s="56" t="n">
        <v>2420000000</v>
      </c>
    </row>
    <row r="15">
      <c r="B15" s="54" t="inlineStr">
        <is>
          <t>Total other expenses</t>
        </is>
      </c>
      <c r="C15" s="55" t="inlineStr">
        <is>
          <t>OtherExpenses</t>
        </is>
      </c>
      <c r="D15" s="56" t="n">
        <v>10106000000</v>
      </c>
      <c r="E15" s="56" t="n">
        <v>11539000000</v>
      </c>
      <c r="F15" s="56" t="n">
        <v>15360000000</v>
      </c>
      <c r="G15" s="56" t="n">
        <v>16182000000</v>
      </c>
      <c r="H15" s="56" t="n">
        <v>11981000000</v>
      </c>
      <c r="I15" s="56" t="n">
        <v>20018000000</v>
      </c>
    </row>
    <row r="16">
      <c r="B16" s="57" t="inlineStr">
        <is>
          <t>Total expenses</t>
        </is>
      </c>
      <c r="C16" s="55" t="inlineStr">
        <is>
          <t>Expenses</t>
        </is>
      </c>
      <c r="D16" s="58" t="n">
        <v>41842000000</v>
      </c>
      <c r="E16" s="58" t="n">
        <v>47208000000</v>
      </c>
      <c r="F16" s="58" t="n">
        <v>61241000000</v>
      </c>
      <c r="G16" s="58" t="n">
        <v>70112000000</v>
      </c>
      <c r="H16" s="58" t="n">
        <v>66213000000</v>
      </c>
      <c r="I16" s="58" t="n">
        <v>86218000000</v>
      </c>
    </row>
    <row r="17">
      <c r="B17" s="8" t="inlineStr">
        <is>
          <t>Profit before exceptional items and tax</t>
        </is>
      </c>
      <c r="C17" s="55" t="inlineStr">
        <is>
          <t>ProfitBeforeExceptionalItemsAndTax</t>
        </is>
      </c>
      <c r="D17" s="58" t="n">
        <v>6317000000</v>
      </c>
      <c r="E17" s="58" t="n">
        <v>7943000000</v>
      </c>
      <c r="F17" s="58" t="n">
        <v>9867000000</v>
      </c>
      <c r="G17" s="58" t="n">
        <v>8287000000</v>
      </c>
      <c r="H17" s="58" t="n">
        <v>14982000000</v>
      </c>
      <c r="I17" s="58" t="n">
        <v>22106000000</v>
      </c>
    </row>
    <row r="18">
      <c r="B18" s="8" t="inlineStr">
        <is>
          <t>Total profit before tax</t>
        </is>
      </c>
      <c r="C18" s="55" t="inlineStr">
        <is>
          <t>ProfitBeforeTax</t>
        </is>
      </c>
      <c r="D18" s="58" t="n">
        <v>6317000000</v>
      </c>
      <c r="E18" s="58" t="n">
        <v>7943000000</v>
      </c>
      <c r="F18" s="58" t="n">
        <v>9867000000</v>
      </c>
      <c r="G18" s="58" t="n">
        <v>8287000000</v>
      </c>
      <c r="H18" s="58" t="n">
        <v>14982000000</v>
      </c>
      <c r="I18" s="58" t="n">
        <v>22106000000</v>
      </c>
    </row>
    <row r="19" ht="15.5" customHeight="1" s="203">
      <c r="B19" s="38" t="inlineStr">
        <is>
          <t>Tax expense [Abstract]</t>
        </is>
      </c>
    </row>
    <row r="20">
      <c r="B20" s="54" t="inlineStr">
        <is>
          <t>Total current tax</t>
        </is>
      </c>
      <c r="C20" s="55" t="inlineStr">
        <is>
          <t>CurrentTax</t>
        </is>
      </c>
      <c r="D20" s="56" t="n">
        <v>1531000000</v>
      </c>
      <c r="E20" s="56" t="n">
        <v>1555000000</v>
      </c>
      <c r="F20" s="56" t="n">
        <v>2456000000</v>
      </c>
      <c r="G20" s="56" t="n">
        <v>2333000000</v>
      </c>
      <c r="H20" s="56" t="n">
        <v>4214000000</v>
      </c>
      <c r="I20" s="56" t="n">
        <v>5546000000</v>
      </c>
    </row>
    <row r="21">
      <c r="B21" s="54" t="inlineStr">
        <is>
          <t>Deferred tax</t>
        </is>
      </c>
      <c r="C21" s="55" t="inlineStr">
        <is>
          <t>DeferredTax</t>
        </is>
      </c>
      <c r="D21" s="56" t="n">
        <v>-105000000</v>
      </c>
      <c r="E21" s="56" t="n">
        <v>139000000</v>
      </c>
      <c r="F21" s="56" t="n">
        <v>-129000000</v>
      </c>
      <c r="G21" s="56" t="n">
        <v>-354000000</v>
      </c>
      <c r="H21" s="56" t="n">
        <v>-335000000</v>
      </c>
      <c r="I21" s="56" t="n">
        <v>32000000</v>
      </c>
    </row>
    <row r="22">
      <c r="B22" s="57" t="inlineStr">
        <is>
          <t>Total tax expense</t>
        </is>
      </c>
      <c r="C22" s="55" t="inlineStr">
        <is>
          <t>TaxExpense</t>
        </is>
      </c>
      <c r="D22" s="58" t="n">
        <v>1426000000</v>
      </c>
      <c r="E22" s="58" t="n">
        <v>1694000000</v>
      </c>
      <c r="F22" s="58" t="n">
        <v>2327000000</v>
      </c>
      <c r="G22" s="58" t="n">
        <v>1979000000</v>
      </c>
      <c r="H22" s="58" t="n">
        <v>3879000000</v>
      </c>
      <c r="I22" s="58" t="n">
        <v>5578000000</v>
      </c>
    </row>
    <row r="23">
      <c r="B23" s="8" t="inlineStr">
        <is>
          <t>Total profit (loss) for period from continuing operations</t>
        </is>
      </c>
      <c r="C23" s="55" t="inlineStr">
        <is>
          <t>ProfitLossForPeriodFromContinuingOperations</t>
        </is>
      </c>
      <c r="D23" s="58" t="n">
        <v>4891000000</v>
      </c>
      <c r="E23" s="58" t="n">
        <v>6249000000</v>
      </c>
      <c r="F23" s="58" t="n">
        <v>7540000000</v>
      </c>
      <c r="G23" s="58" t="n">
        <v>6308000000</v>
      </c>
      <c r="H23" s="58" t="n">
        <v>11103000000</v>
      </c>
      <c r="I23" s="58" t="n">
        <v>16528000000</v>
      </c>
    </row>
    <row r="24">
      <c r="B24" s="8" t="inlineStr">
        <is>
          <t>Total profit (loss) for period</t>
        </is>
      </c>
      <c r="C24" s="55" t="inlineStr">
        <is>
          <t>ProfitLossForPeriod</t>
        </is>
      </c>
      <c r="D24" s="58" t="n">
        <v>4891000000</v>
      </c>
      <c r="E24" s="58" t="n">
        <v>6249000000</v>
      </c>
      <c r="F24" s="58" t="n">
        <v>7540000000</v>
      </c>
      <c r="G24" s="58" t="n">
        <v>6308000000</v>
      </c>
      <c r="H24" s="58" t="n">
        <v>11103000000</v>
      </c>
      <c r="I24" s="58" t="n">
        <v>16528000000</v>
      </c>
    </row>
    <row r="25" ht="15.5" customHeight="1" s="203">
      <c r="B25" s="38" t="inlineStr">
        <is>
          <t>Comprehensive income OCI components presented net of tax [Abstract]</t>
        </is>
      </c>
    </row>
    <row r="26">
      <c r="B26" s="59" t="inlineStr">
        <is>
          <t>Other comprehensive income net of tax [Abstract]</t>
        </is>
      </c>
    </row>
    <row r="27">
      <c r="B27" s="62" t="inlineStr">
        <is>
          <t>Total other comprehensive income</t>
        </is>
      </c>
      <c r="C27" s="55" t="inlineStr">
        <is>
          <t>OtherComprehensiveIncome</t>
        </is>
      </c>
      <c r="D27" s="56" t="n">
        <v>-11000000</v>
      </c>
      <c r="E27" s="56" t="n">
        <v>117000000</v>
      </c>
      <c r="F27" s="56" t="n">
        <v>197000000</v>
      </c>
      <c r="G27" s="56" t="n">
        <v>-2118000000</v>
      </c>
      <c r="H27" s="56" t="n">
        <v>3298000000</v>
      </c>
      <c r="I27" s="56" t="n">
        <v>976000000</v>
      </c>
    </row>
    <row r="28">
      <c r="B28" s="60" t="inlineStr">
        <is>
          <t>Other comprehensive income attributable to net of tax [Abstract]</t>
        </is>
      </c>
    </row>
    <row r="29">
      <c r="B29" s="61" t="inlineStr">
        <is>
          <t>Other Comprehensive income, attributable to owners of parent</t>
        </is>
      </c>
      <c r="C29" s="55" t="inlineStr">
        <is>
          <t>OtherComprehensiveIncomeAttributableToOwnersOfParent</t>
        </is>
      </c>
      <c r="D29" s="56" t="n">
        <v>-11000000</v>
      </c>
      <c r="E29" s="56" t="n">
        <v>0</v>
      </c>
      <c r="F29" s="56" t="n">
        <v>0</v>
      </c>
      <c r="G29" s="56" t="n">
        <v>0</v>
      </c>
      <c r="H29" s="56" t="n">
        <v>0</v>
      </c>
      <c r="I29" s="56" t="n">
        <v>0</v>
      </c>
    </row>
    <row r="30">
      <c r="B30" s="61" t="inlineStr">
        <is>
          <t>Total comprehensive income</t>
        </is>
      </c>
      <c r="C30" s="55" t="inlineStr">
        <is>
          <t>ComprehensiveIncome</t>
        </is>
      </c>
      <c r="D30" s="56" t="n">
        <v>4880000000</v>
      </c>
      <c r="E30" s="56" t="n">
        <v>6366000000</v>
      </c>
      <c r="F30" s="56" t="n">
        <v>7737000000</v>
      </c>
      <c r="G30" s="56" t="n">
        <v>4190000000</v>
      </c>
      <c r="H30" s="56" t="n">
        <v>14401000000</v>
      </c>
      <c r="I30" s="56" t="n">
        <v>17504000000</v>
      </c>
    </row>
    <row r="31">
      <c r="B31" s="54" t="inlineStr">
        <is>
          <t>Total comprehensive income</t>
        </is>
      </c>
      <c r="C31" s="55" t="inlineStr">
        <is>
          <t>ComprehensiveIncome</t>
        </is>
      </c>
      <c r="D31" s="56" t="n">
        <v>4880000000</v>
      </c>
      <c r="E31" s="56" t="n">
        <v>6366000000</v>
      </c>
      <c r="F31" s="56" t="n">
        <v>7737000000</v>
      </c>
      <c r="G31" s="56" t="n">
        <v>4190000000</v>
      </c>
      <c r="H31" s="56" t="n">
        <v>14401000000</v>
      </c>
      <c r="I31" s="56" t="n">
        <v>17504000000</v>
      </c>
    </row>
    <row r="32" ht="15.5" customHeight="1" s="203">
      <c r="B32" s="38" t="inlineStr">
        <is>
          <t>Comprehensive income OCI components presented before tax [Abstract]</t>
        </is>
      </c>
    </row>
    <row r="33">
      <c r="B33" s="59" t="inlineStr">
        <is>
          <t>Other comprehensive income before tax [Abstract]</t>
        </is>
      </c>
    </row>
    <row r="34">
      <c r="B34" s="60" t="inlineStr">
        <is>
          <t>Components of other comprehensive income that will not be reclassified to profit or loss, before tax [Abstract]</t>
        </is>
      </c>
    </row>
    <row r="35">
      <c r="B35" s="61" t="inlineStr">
        <is>
          <t>Other comprehensive income, before tax, gains (losses) on remeasurements of defined benefit plans</t>
        </is>
      </c>
      <c r="C35" s="55" t="inlineStr">
        <is>
          <t>OtherComprehensiveIncomeBeforeTaxGainsLossesOnRemeasurementsOfDefinedBenefitPlans</t>
        </is>
      </c>
      <c r="D35" s="56" t="n">
        <v>0</v>
      </c>
      <c r="E35" s="56" t="n">
        <v>-23000000</v>
      </c>
      <c r="F35" s="56" t="n">
        <v>-86000000</v>
      </c>
      <c r="G35" s="56" t="n">
        <v>-109000000</v>
      </c>
      <c r="H35" s="56" t="n">
        <v>-117000000</v>
      </c>
      <c r="I35" s="56" t="n">
        <v>107000000</v>
      </c>
    </row>
    <row r="36">
      <c r="B36" s="62" t="inlineStr">
        <is>
          <t>Other comprehensive income that will not be reclassified to profit or loss, before tax, others</t>
        </is>
      </c>
      <c r="C36" s="55" t="inlineStr">
        <is>
          <t>OtherComprehensiveIncomeThatWillNotBeReclassifiedToProfitOrLossBeforeTaxOthers</t>
        </is>
      </c>
      <c r="D36" s="56" t="n">
        <v>-14000000</v>
      </c>
      <c r="E36" s="56" t="n">
        <v>0</v>
      </c>
      <c r="F36" s="56" t="n">
        <v>0</v>
      </c>
      <c r="G36" s="56" t="n">
        <v>0</v>
      </c>
      <c r="H36" s="56" t="n">
        <v>0</v>
      </c>
      <c r="I36" s="56" t="n">
        <v>0</v>
      </c>
    </row>
    <row r="37">
      <c r="B37" s="62" t="inlineStr">
        <is>
          <t>Total other comprehensive income that will not be reclassified to profit or loss, before tax</t>
        </is>
      </c>
      <c r="C37" s="55" t="inlineStr">
        <is>
          <t>OtherComprehensiveIncomeThatWillNotBeReclassifiedToProfitOrLossBeforeTax</t>
        </is>
      </c>
      <c r="D37" s="56" t="n">
        <v>-14000000</v>
      </c>
      <c r="E37" s="56" t="n">
        <v>-23000000</v>
      </c>
      <c r="F37" s="56" t="n">
        <v>-86000000</v>
      </c>
      <c r="G37" s="56" t="n">
        <v>-109000000</v>
      </c>
      <c r="H37" s="56" t="n">
        <v>-117000000</v>
      </c>
      <c r="I37" s="56" t="n">
        <v>107000000</v>
      </c>
    </row>
    <row r="38">
      <c r="B38" s="60" t="inlineStr">
        <is>
          <t>Components of other comprehensive income that will be reclassified to profit or loss, before tax [Abstract]</t>
        </is>
      </c>
    </row>
    <row r="39">
      <c r="B39" s="63" t="inlineStr">
        <is>
          <t>Cash flow hedges before tax [Abstract]</t>
        </is>
      </c>
    </row>
    <row r="40">
      <c r="B40" s="64" t="inlineStr">
        <is>
          <t>Gains (losses) on cash flow hedges, before tax</t>
        </is>
      </c>
      <c r="C40" s="55" t="inlineStr">
        <is>
          <t>GainsLossesOnCashFlowHedgesBeforeTax</t>
        </is>
      </c>
      <c r="D40" s="56" t="n">
        <v>0</v>
      </c>
      <c r="E40" s="56" t="n">
        <v>0</v>
      </c>
      <c r="F40" s="56" t="n">
        <v>0</v>
      </c>
      <c r="G40" s="56" t="n">
        <v>0</v>
      </c>
      <c r="H40" s="56" t="n">
        <v>5206000000</v>
      </c>
      <c r="I40" s="56" t="n">
        <v>1373000000</v>
      </c>
    </row>
    <row r="41">
      <c r="B41" s="64" t="inlineStr">
        <is>
          <t>Total other comprehensive income, before tax, cash flow hedges</t>
        </is>
      </c>
      <c r="C41" s="55" t="inlineStr">
        <is>
          <t>OtherComprehensiveIncomeBeforeTaxCashFlowHedges</t>
        </is>
      </c>
      <c r="D41" s="56" t="n">
        <v>0</v>
      </c>
      <c r="E41" s="56" t="n">
        <v>0</v>
      </c>
      <c r="F41" s="56" t="n">
        <v>0</v>
      </c>
      <c r="G41" s="56" t="n">
        <v>0</v>
      </c>
      <c r="H41" s="56" t="n">
        <v>5206000000</v>
      </c>
      <c r="I41" s="56" t="n">
        <v>1373000000</v>
      </c>
    </row>
    <row r="42">
      <c r="B42" s="62" t="inlineStr">
        <is>
          <t>Other comprehensive income that will be reclassified to profit or loss, before tax, others</t>
        </is>
      </c>
      <c r="C42" s="55" t="inlineStr">
        <is>
          <t>OtherComprehensiveIncomeThatWillBeReclassifiedToProfitOrLossBeforeTaxOthers</t>
        </is>
      </c>
      <c r="D42" s="56" t="n">
        <v>0</v>
      </c>
      <c r="E42" s="56" t="n">
        <v>135000000</v>
      </c>
      <c r="F42" s="56" t="n">
        <v>262000000</v>
      </c>
      <c r="G42" s="56" t="n">
        <v>-3128000000</v>
      </c>
      <c r="H42" s="56" t="n">
        <v>0</v>
      </c>
      <c r="I42" s="56" t="n">
        <v>0</v>
      </c>
    </row>
    <row r="43">
      <c r="B43" s="62" t="inlineStr">
        <is>
          <t>Total other comprehensive income that will be reclassified to profit or loss, before tax</t>
        </is>
      </c>
      <c r="C43" s="55" t="inlineStr">
        <is>
          <t>OtherComprehensiveIncomeThatWillBeReclassifiedToProfitOrLossBeforeTax</t>
        </is>
      </c>
      <c r="D43" s="56" t="n">
        <v>0</v>
      </c>
      <c r="E43" s="56" t="n">
        <v>135000000</v>
      </c>
      <c r="F43" s="56" t="n">
        <v>262000000</v>
      </c>
      <c r="G43" s="56" t="n">
        <v>-3128000000</v>
      </c>
      <c r="H43" s="56" t="n">
        <v>5206000000</v>
      </c>
      <c r="I43" s="56" t="n">
        <v>1373000000</v>
      </c>
    </row>
    <row r="44">
      <c r="B44" s="62" t="inlineStr">
        <is>
          <t>Total other comprehensive income, before tax</t>
        </is>
      </c>
      <c r="C44" s="55" t="inlineStr">
        <is>
          <t>OtherComprehensiveIncomeBeforeTax</t>
        </is>
      </c>
      <c r="D44" s="56" t="n">
        <v>-14000000</v>
      </c>
      <c r="E44" s="56" t="n">
        <v>112000000</v>
      </c>
      <c r="F44" s="56" t="n">
        <v>176000000</v>
      </c>
      <c r="G44" s="56" t="n">
        <v>-3237000000</v>
      </c>
      <c r="H44" s="56" t="n">
        <v>5089000000</v>
      </c>
      <c r="I44" s="56" t="n">
        <v>1480000000</v>
      </c>
    </row>
    <row r="45">
      <c r="B45" s="60" t="inlineStr">
        <is>
          <t>Income tax relating to components of other comprehensive income that will not be reclassified to profit or loss [Abstract]</t>
        </is>
      </c>
    </row>
    <row r="46">
      <c r="B46" s="61" t="inlineStr">
        <is>
          <t>Income tax relating to investments in equity instruments of other comprehensive income</t>
        </is>
      </c>
      <c r="C46" s="55" t="inlineStr">
        <is>
          <t>IncomeTaxRelatingToInvestmentsInEquityInstrumentsOfOtherComprehensiveIncome</t>
        </is>
      </c>
      <c r="D46" s="56" t="n">
        <v>-1000000</v>
      </c>
      <c r="E46" s="56" t="n">
        <v>0</v>
      </c>
      <c r="F46" s="56" t="n">
        <v>0</v>
      </c>
      <c r="G46" s="56" t="n">
        <v>0</v>
      </c>
      <c r="H46" s="56" t="n">
        <v>0</v>
      </c>
      <c r="I46" s="56" t="n">
        <v>0</v>
      </c>
    </row>
    <row r="47">
      <c r="B47" s="61" t="inlineStr">
        <is>
          <t>Income tax relating to remeasurements of defined benefit plans of other comprehensive income</t>
        </is>
      </c>
      <c r="C47" s="55" t="inlineStr">
        <is>
          <t>IncomeTaxRelatingToRemeasurementsOfDefinedBenefitPlansOfOtherComprehensiveIncome</t>
        </is>
      </c>
      <c r="D47" s="56" t="n">
        <v>-2000000</v>
      </c>
      <c r="E47" s="56" t="n">
        <v>-5000000</v>
      </c>
      <c r="F47" s="56" t="n">
        <v>-21000000</v>
      </c>
      <c r="G47" s="56" t="n">
        <v>-26000000</v>
      </c>
      <c r="H47" s="56" t="n">
        <v>-28000000</v>
      </c>
      <c r="I47" s="56" t="n">
        <v>24000000</v>
      </c>
    </row>
    <row r="48">
      <c r="B48" s="61" t="inlineStr">
        <is>
          <t>Aggregated income tax relating to components of other comprehensive income that will not be reclassified to profit or loss</t>
        </is>
      </c>
      <c r="C48" s="55" t="inlineStr">
        <is>
          <t>IncomeTaxRelatingToComponentsOfOtherComprehensiveIncomeThatWillNotBeReclassifiedToProfitOrLoss</t>
        </is>
      </c>
      <c r="D48" s="56" t="n">
        <v>-3000000</v>
      </c>
      <c r="E48" s="56" t="n">
        <v>-5000000</v>
      </c>
      <c r="F48" s="56" t="n">
        <v>-21000000</v>
      </c>
      <c r="G48" s="56" t="n">
        <v>-26000000</v>
      </c>
      <c r="H48" s="56" t="n">
        <v>-28000000</v>
      </c>
      <c r="I48" s="56" t="n">
        <v>24000000</v>
      </c>
    </row>
    <row r="49">
      <c r="B49" s="60" t="inlineStr">
        <is>
          <t>Income tax relating to components of other comprehensive income that will be reclassified to profit or loss [Abstract]</t>
        </is>
      </c>
    </row>
    <row r="50">
      <c r="B50" s="61" t="inlineStr">
        <is>
          <t>Income tax relating to cash flow hedges of other comprehensive income</t>
        </is>
      </c>
      <c r="C50" s="55" t="inlineStr">
        <is>
          <t>IncomeTaxRelatingToCashFlowHedgesOfOtherComprehensiveIncome</t>
        </is>
      </c>
      <c r="D50" s="56" t="n">
        <v>0</v>
      </c>
      <c r="E50" s="56" t="n">
        <v>0</v>
      </c>
      <c r="F50" s="56" t="n">
        <v>0</v>
      </c>
      <c r="G50" s="56" t="n">
        <v>-1093000000</v>
      </c>
      <c r="H50" s="56" t="n">
        <v>0</v>
      </c>
      <c r="I50" s="56" t="n">
        <v>0</v>
      </c>
    </row>
    <row r="51">
      <c r="B51" s="61" t="inlineStr">
        <is>
          <t>Others income tax relating to components of other comprehensive income that will be reclassified to profit or loss</t>
        </is>
      </c>
      <c r="C51" s="55" t="inlineStr">
        <is>
          <t>OthersIncomeTaxRelatingToComponentsOfOtherComprehensiveIncomeThatWillBeReclassifiedToProfitOrLoss</t>
        </is>
      </c>
      <c r="D51" s="56" t="n">
        <v>0</v>
      </c>
      <c r="E51" s="56" t="n">
        <v>0</v>
      </c>
      <c r="F51" s="56" t="n">
        <v>0</v>
      </c>
      <c r="G51" s="56" t="n">
        <v>0</v>
      </c>
      <c r="H51" s="56" t="n">
        <v>1819000000</v>
      </c>
      <c r="I51" s="56" t="n">
        <v>480000000</v>
      </c>
    </row>
    <row r="52">
      <c r="B52" s="61" t="inlineStr">
        <is>
          <t>Aggregated income tax relating to components of other comprehensive income that will be reclassified to profit or loss</t>
        </is>
      </c>
      <c r="C52" s="55" t="inlineStr">
        <is>
          <t>IncomeTaxRelatingToComponentsOfOtherComprehensiveIncomeThatWillBeReclassifiedToProfitOrLoss</t>
        </is>
      </c>
      <c r="D52" s="56" t="n">
        <v>0</v>
      </c>
      <c r="E52" s="56" t="n">
        <v>0</v>
      </c>
      <c r="F52" s="56" t="n">
        <v>0</v>
      </c>
      <c r="G52" s="56" t="n">
        <v>-1093000000</v>
      </c>
      <c r="H52" s="56" t="n">
        <v>1819000000</v>
      </c>
      <c r="I52" s="56" t="n">
        <v>480000000</v>
      </c>
    </row>
    <row r="53">
      <c r="B53" s="62" t="inlineStr">
        <is>
          <t>Total other comprehensive income</t>
        </is>
      </c>
      <c r="C53" s="55" t="inlineStr">
        <is>
          <t>OtherComprehensiveIncome</t>
        </is>
      </c>
      <c r="D53" s="56" t="n">
        <v>-11000000</v>
      </c>
      <c r="E53" s="56" t="n">
        <v>117000000</v>
      </c>
      <c r="F53" s="56" t="n">
        <v>197000000</v>
      </c>
      <c r="G53" s="56" t="n">
        <v>-2118000000</v>
      </c>
      <c r="H53" s="56" t="n">
        <v>3298000000</v>
      </c>
      <c r="I53" s="56" t="n">
        <v>976000000</v>
      </c>
    </row>
    <row r="54">
      <c r="B54" s="60" t="inlineStr">
        <is>
          <t>Other comprehensive income attributable to [Abstract]</t>
        </is>
      </c>
    </row>
    <row r="55">
      <c r="B55" s="61" t="inlineStr">
        <is>
          <t>Other Comprehensive income, attributable to owners of parent</t>
        </is>
      </c>
      <c r="C55" s="55" t="inlineStr">
        <is>
          <t>OtherComprehensiveIncomeAttributableToOwnersOfParent</t>
        </is>
      </c>
      <c r="D55" s="56" t="n">
        <v>-11000000</v>
      </c>
      <c r="E55" s="56" t="n">
        <v>0</v>
      </c>
      <c r="F55" s="56" t="n">
        <v>0</v>
      </c>
      <c r="G55" s="56" t="n">
        <v>0</v>
      </c>
      <c r="H55" s="56" t="n">
        <v>0</v>
      </c>
      <c r="I55" s="56" t="n">
        <v>0</v>
      </c>
    </row>
    <row r="56">
      <c r="B56" s="61" t="inlineStr">
        <is>
          <t>Total comprehensive income</t>
        </is>
      </c>
      <c r="C56" s="55" t="inlineStr">
        <is>
          <t>ComprehensiveIncome</t>
        </is>
      </c>
      <c r="D56" s="56" t="n">
        <v>4880000000</v>
      </c>
      <c r="E56" s="56" t="n">
        <v>6366000000</v>
      </c>
      <c r="F56" s="56" t="n">
        <v>7737000000</v>
      </c>
      <c r="G56" s="56" t="n">
        <v>4190000000</v>
      </c>
      <c r="H56" s="56" t="n">
        <v>14401000000</v>
      </c>
      <c r="I56" s="56" t="n">
        <v>17504000000</v>
      </c>
    </row>
    <row r="57">
      <c r="B57" s="60" t="inlineStr">
        <is>
          <t>Basic earnings per share [Abstract]</t>
        </is>
      </c>
    </row>
    <row r="58">
      <c r="B58" s="61" t="inlineStr">
        <is>
          <t>Basic earnings (loss) per share from continuing operations</t>
        </is>
      </c>
      <c r="C58" s="55" t="inlineStr">
        <is>
          <t>BasicEarningsLossPerShareFromContinuingOperations</t>
        </is>
      </c>
      <c r="D58" s="56" t="n">
        <v>29.13</v>
      </c>
      <c r="E58" s="56" t="n">
        <v>37.69</v>
      </c>
      <c r="F58" s="56" t="n">
        <v>45.94</v>
      </c>
      <c r="G58" s="56" t="n">
        <v>38.35</v>
      </c>
      <c r="H58" s="56" t="n">
        <v>67.43000000000001</v>
      </c>
      <c r="I58" s="56" t="n">
        <v>100.3</v>
      </c>
    </row>
    <row r="59">
      <c r="B59" s="65" t="inlineStr">
        <is>
          <t>Total basic earnings (loss) per share</t>
        </is>
      </c>
      <c r="C59" s="55" t="inlineStr">
        <is>
          <t>BasicEarningsLossPerShare</t>
        </is>
      </c>
      <c r="D59" s="58" t="n">
        <v>29.13</v>
      </c>
      <c r="E59" s="58" t="n">
        <v>37.69</v>
      </c>
      <c r="F59" s="58" t="n">
        <v>45.94</v>
      </c>
      <c r="G59" s="58" t="n">
        <v>38.35</v>
      </c>
      <c r="H59" s="58" t="n">
        <v>67.43000000000001</v>
      </c>
      <c r="I59" s="58" t="n">
        <v>100.3</v>
      </c>
    </row>
    <row r="60">
      <c r="B60" s="60" t="inlineStr">
        <is>
          <t>Diluted earnings per share [Abstract]</t>
        </is>
      </c>
    </row>
    <row r="61">
      <c r="B61" s="61" t="inlineStr">
        <is>
          <t>Diluted earnings (loss) per share from continuing operations</t>
        </is>
      </c>
      <c r="C61" s="55" t="inlineStr">
        <is>
          <t>DilutedEarningsLossPerShareFromContinuingOperations</t>
        </is>
      </c>
      <c r="D61" s="56" t="n">
        <v>29.08</v>
      </c>
      <c r="E61" s="56" t="n">
        <v>37.58</v>
      </c>
      <c r="F61" s="56" t="n">
        <v>45.84</v>
      </c>
      <c r="G61" s="56" t="n">
        <v>38.33</v>
      </c>
      <c r="H61" s="56" t="n">
        <v>67.39</v>
      </c>
      <c r="I61" s="56" t="n">
        <v>100.24</v>
      </c>
    </row>
    <row r="62">
      <c r="B62" s="65" t="inlineStr">
        <is>
          <t>Total diluted earnings (loss) per share</t>
        </is>
      </c>
      <c r="C62" s="55" t="inlineStr">
        <is>
          <t>DilutedEarningsLossPerShare</t>
        </is>
      </c>
      <c r="D62" s="58" t="n">
        <v>29.08</v>
      </c>
      <c r="E62" s="58" t="n">
        <v>37.58</v>
      </c>
      <c r="F62" s="58" t="n">
        <v>45.84</v>
      </c>
      <c r="G62" s="58" t="n">
        <v>38.33</v>
      </c>
      <c r="H62" s="58" t="n">
        <v>67.39</v>
      </c>
      <c r="I62" s="58" t="n">
        <v>100.24</v>
      </c>
    </row>
    <row r="63">
      <c r="B63" s="54" t="inlineStr">
        <is>
          <t>Total comprehensive income</t>
        </is>
      </c>
      <c r="C63" s="55" t="inlineStr">
        <is>
          <t>ComprehensiveIncome</t>
        </is>
      </c>
      <c r="D63" s="56" t="n">
        <v>4880000000</v>
      </c>
      <c r="E63" s="56" t="n">
        <v>6366000000</v>
      </c>
      <c r="F63" s="56" t="n">
        <v>7737000000</v>
      </c>
      <c r="G63" s="56" t="n">
        <v>4190000000</v>
      </c>
      <c r="H63" s="56" t="n">
        <v>14401000000</v>
      </c>
      <c r="I63" s="56" t="n">
        <v>17504000000</v>
      </c>
    </row>
    <row r="64" ht="15.5" customHeight="1" s="203">
      <c r="B64" s="38" t="inlineStr">
        <is>
          <t>Additional disclosure on discontinued operations [Abstract]</t>
        </is>
      </c>
    </row>
    <row r="65">
      <c r="B65" s="59" t="inlineStr">
        <is>
          <t>Earnings per share [Abstract]</t>
        </is>
      </c>
    </row>
    <row r="66">
      <c r="B66" s="60" t="inlineStr">
        <is>
          <t>Earnings per share [Line items]</t>
        </is>
      </c>
    </row>
    <row r="67">
      <c r="B67" s="63" t="inlineStr">
        <is>
          <t>Basic earnings per share [Abstract]</t>
        </is>
      </c>
    </row>
    <row r="68">
      <c r="B68" s="64" t="inlineStr">
        <is>
          <t>Basic earnings (loss) per share from continuing operations</t>
        </is>
      </c>
      <c r="C68" s="55" t="inlineStr">
        <is>
          <t>BasicEarningsLossPerShareFromContinuingOperations</t>
        </is>
      </c>
      <c r="D68" s="56" t="n">
        <v>29.13</v>
      </c>
      <c r="E68" s="56" t="n">
        <v>37.69</v>
      </c>
      <c r="F68" s="56" t="n">
        <v>45.94</v>
      </c>
      <c r="G68" s="56" t="n">
        <v>38.35</v>
      </c>
      <c r="H68" s="56" t="n">
        <v>67.43000000000001</v>
      </c>
      <c r="I68" s="56" t="n">
        <v>100.3</v>
      </c>
    </row>
    <row r="69">
      <c r="B69" s="66" t="inlineStr">
        <is>
          <t>Total basic earnings (loss) per share</t>
        </is>
      </c>
      <c r="C69" s="55" t="inlineStr">
        <is>
          <t>BasicEarningsLossPerShare</t>
        </is>
      </c>
      <c r="D69" s="58" t="n">
        <v>29.13</v>
      </c>
      <c r="E69" s="58" t="n">
        <v>37.69</v>
      </c>
      <c r="F69" s="58" t="n">
        <v>45.94</v>
      </c>
      <c r="G69" s="58" t="n">
        <v>38.35</v>
      </c>
      <c r="H69" s="58" t="n">
        <v>67.43000000000001</v>
      </c>
      <c r="I69" s="58" t="n">
        <v>100.3</v>
      </c>
    </row>
    <row r="70">
      <c r="B70" s="63" t="inlineStr">
        <is>
          <t>Diluted earnings per share [Abstract]</t>
        </is>
      </c>
    </row>
    <row r="71">
      <c r="B71" s="64" t="inlineStr">
        <is>
          <t>Diluted earnings (loss) per share from continuing operations</t>
        </is>
      </c>
      <c r="C71" s="55" t="inlineStr">
        <is>
          <t>DilutedEarningsLossPerShareFromContinuingOperations</t>
        </is>
      </c>
      <c r="D71" s="56" t="n">
        <v>29.08</v>
      </c>
      <c r="E71" s="56" t="n">
        <v>37.58</v>
      </c>
      <c r="F71" s="56" t="n">
        <v>45.84</v>
      </c>
      <c r="G71" s="56" t="n">
        <v>38.33</v>
      </c>
      <c r="H71" s="56" t="n">
        <v>67.39</v>
      </c>
      <c r="I71" s="56" t="n">
        <v>100.24</v>
      </c>
    </row>
    <row r="72">
      <c r="B72" s="66" t="inlineStr">
        <is>
          <t>Total diluted earnings (loss) per share</t>
        </is>
      </c>
      <c r="C72" s="55" t="inlineStr">
        <is>
          <t>DilutedEarningsLossPerShare</t>
        </is>
      </c>
      <c r="D72" s="58" t="n">
        <v>29.08</v>
      </c>
      <c r="E72" s="58" t="n">
        <v>37.58</v>
      </c>
      <c r="F72" s="58" t="n">
        <v>45.84</v>
      </c>
      <c r="G72" s="58" t="n">
        <v>38.33</v>
      </c>
      <c r="H72" s="58" t="n">
        <v>67.39</v>
      </c>
      <c r="I72" s="58" t="n">
        <v>100.24</v>
      </c>
    </row>
    <row r="75">
      <c r="A75" t="inlineStr">
        <is>
          <t>#</t>
        </is>
      </c>
      <c r="B75" s="20" t="inlineStr">
        <is>
          <t>Balance Sheet</t>
        </is>
      </c>
    </row>
    <row r="76">
      <c r="B76" t="inlineStr">
        <is>
          <t>Raw units, no conversion applied -- source varies by year, see Output/XBRL_Files filenames (_MCA = MCA XBRL, _NSE = NSE Integrated Filing XBRL)</t>
        </is>
      </c>
    </row>
    <row r="78">
      <c r="C78" s="53" t="inlineStr">
        <is>
          <t>Concept Tag</t>
        </is>
      </c>
      <c r="D78" s="20" t="inlineStr">
        <is>
          <t>FY2017</t>
        </is>
      </c>
      <c r="E78" s="20" t="inlineStr">
        <is>
          <t>FY2018</t>
        </is>
      </c>
      <c r="F78" s="20" t="inlineStr">
        <is>
          <t>FY2019</t>
        </is>
      </c>
      <c r="G78" s="20" t="inlineStr">
        <is>
          <t>FY2020</t>
        </is>
      </c>
      <c r="H78" s="20" t="inlineStr">
        <is>
          <t>FY2021</t>
        </is>
      </c>
      <c r="I78" s="20" t="inlineStr">
        <is>
          <t>FY2022</t>
        </is>
      </c>
    </row>
    <row r="79" ht="15.5" customHeight="1" s="203">
      <c r="B79" s="38" t="inlineStr">
        <is>
          <t>Assets [Abstract]</t>
        </is>
      </c>
    </row>
    <row r="80">
      <c r="B80" s="59" t="inlineStr">
        <is>
          <t>Non-current assets [Abstract]</t>
        </is>
      </c>
    </row>
    <row r="81">
      <c r="B81" s="62" t="inlineStr">
        <is>
          <t>Property, plant and equipment at end of period</t>
        </is>
      </c>
      <c r="C81" s="55" t="inlineStr">
        <is>
          <t>PropertyPlantAndEquipment</t>
        </is>
      </c>
      <c r="D81" s="56" t="n">
        <v>3753000000</v>
      </c>
      <c r="E81" s="56" t="n">
        <v>3467000000</v>
      </c>
      <c r="F81" s="56" t="n">
        <v>3757000000</v>
      </c>
      <c r="G81" s="56" t="n">
        <v>8601000000</v>
      </c>
      <c r="H81" s="56" t="n">
        <v>7812000000</v>
      </c>
      <c r="I81" s="56" t="n">
        <v>8947000000</v>
      </c>
    </row>
    <row r="82">
      <c r="B82" s="62" t="inlineStr">
        <is>
          <t>Capital work-in-progress</t>
        </is>
      </c>
      <c r="C82" s="55" t="inlineStr">
        <is>
          <t>CapitalWorkInProgress</t>
        </is>
      </c>
      <c r="D82" s="56" t="n">
        <v>192000000</v>
      </c>
      <c r="E82" s="56" t="n">
        <v>92000000</v>
      </c>
      <c r="F82" s="56" t="n">
        <v>297000000</v>
      </c>
      <c r="G82" s="56" t="n">
        <v>136000000</v>
      </c>
      <c r="H82" s="56" t="n">
        <v>224000000</v>
      </c>
      <c r="I82" s="56" t="n">
        <v>215000000</v>
      </c>
    </row>
    <row r="83">
      <c r="B83" s="62" t="inlineStr">
        <is>
          <t>Goodwill at end of period</t>
        </is>
      </c>
      <c r="C83" s="55" t="inlineStr">
        <is>
          <t>Goodwill</t>
        </is>
      </c>
      <c r="D83" s="56" t="n">
        <v>0</v>
      </c>
      <c r="E83" s="56" t="n">
        <v>2831000000</v>
      </c>
      <c r="F83" s="56" t="n">
        <v>4730000000</v>
      </c>
      <c r="G83" s="56" t="n">
        <v>4730000000</v>
      </c>
      <c r="H83" s="56" t="n">
        <v>4730000000</v>
      </c>
      <c r="I83" s="56" t="n">
        <v>4730000000</v>
      </c>
    </row>
    <row r="84">
      <c r="B84" s="62" t="inlineStr">
        <is>
          <t>Other intangible assets at end of period</t>
        </is>
      </c>
      <c r="C84" s="55" t="inlineStr">
        <is>
          <t>OtherIntangibleAssets</t>
        </is>
      </c>
      <c r="D84" s="56" t="n">
        <v>51000000</v>
      </c>
      <c r="E84" s="56" t="n">
        <v>856000000</v>
      </c>
      <c r="F84" s="56" t="n">
        <v>1180000000</v>
      </c>
      <c r="G84" s="56" t="n">
        <v>759000000</v>
      </c>
      <c r="H84" s="56" t="n">
        <v>214000000</v>
      </c>
      <c r="I84" s="56" t="n">
        <v>73000000</v>
      </c>
    </row>
    <row r="85">
      <c r="B85" s="60" t="inlineStr">
        <is>
          <t>Non-current financial assets [Abstract]</t>
        </is>
      </c>
    </row>
    <row r="86">
      <c r="B86" s="61" t="inlineStr">
        <is>
          <t>Non-current investments</t>
        </is>
      </c>
      <c r="C86" s="55" t="inlineStr">
        <is>
          <t>NoncurrentInvestments</t>
        </is>
      </c>
      <c r="D86" s="56" t="n">
        <v>8666000000</v>
      </c>
      <c r="E86" s="56" t="n">
        <v>3532000000</v>
      </c>
      <c r="F86" s="56" t="n">
        <v>1216000000</v>
      </c>
      <c r="G86" s="56" t="n">
        <v>820000000</v>
      </c>
      <c r="H86" s="56" t="n">
        <v>1177000000</v>
      </c>
      <c r="I86" s="56" t="n">
        <v>3132000000</v>
      </c>
    </row>
    <row r="87">
      <c r="B87" s="61" t="inlineStr">
        <is>
          <t>Loans, non-current</t>
        </is>
      </c>
      <c r="C87" s="55" t="inlineStr">
        <is>
          <t>LoansNoncurrent</t>
        </is>
      </c>
      <c r="D87" s="56" t="n">
        <v>663000000</v>
      </c>
      <c r="E87" s="56" t="n">
        <v>746000000</v>
      </c>
      <c r="F87" s="56" t="n">
        <v>675000000</v>
      </c>
      <c r="G87" s="56" t="n">
        <v>457000000</v>
      </c>
      <c r="H87" s="56" t="n">
        <v>476000000</v>
      </c>
      <c r="I87" s="56" t="n">
        <v>0</v>
      </c>
    </row>
    <row r="88">
      <c r="B88" s="61" t="inlineStr">
        <is>
          <t>Total other non-current financial assets</t>
        </is>
      </c>
      <c r="C88" s="55" t="inlineStr">
        <is>
          <t>OtherNoncurrentFinancialAssets</t>
        </is>
      </c>
      <c r="D88" s="56" t="n">
        <v>209000000</v>
      </c>
      <c r="E88" s="56" t="n">
        <v>0</v>
      </c>
      <c r="F88" s="56" t="n">
        <v>0</v>
      </c>
      <c r="G88" s="56" t="n">
        <v>0</v>
      </c>
      <c r="H88" s="56" t="n">
        <v>1225000000</v>
      </c>
      <c r="I88" s="56" t="n">
        <v>2464000000</v>
      </c>
    </row>
    <row r="89">
      <c r="B89" s="65" t="inlineStr">
        <is>
          <t>Total non-current financial assets</t>
        </is>
      </c>
      <c r="C89" s="55" t="inlineStr">
        <is>
          <t>NoncurrentFinancialAssets</t>
        </is>
      </c>
      <c r="D89" s="58" t="n">
        <v>9538000000</v>
      </c>
      <c r="E89" s="58" t="n">
        <v>4278000000</v>
      </c>
      <c r="F89" s="58" t="n">
        <v>1891000000</v>
      </c>
      <c r="G89" s="58" t="n">
        <v>1277000000</v>
      </c>
      <c r="H89" s="58" t="n">
        <v>2878000000</v>
      </c>
      <c r="I89" s="58" t="n">
        <v>5596000000</v>
      </c>
    </row>
    <row r="90">
      <c r="B90" s="62" t="inlineStr">
        <is>
          <t>Deferred tax assets (net)</t>
        </is>
      </c>
      <c r="C90" s="55" t="inlineStr">
        <is>
          <t>DeferredTaxAssetsNet</t>
        </is>
      </c>
      <c r="D90" s="56" t="n">
        <v>840000000</v>
      </c>
      <c r="E90" s="56" t="n">
        <v>327000000</v>
      </c>
      <c r="F90" s="56" t="n">
        <v>388000000</v>
      </c>
      <c r="G90" s="56" t="n">
        <v>1835000000</v>
      </c>
      <c r="H90" s="56" t="n">
        <v>351000000</v>
      </c>
      <c r="I90" s="56" t="n">
        <v>0</v>
      </c>
    </row>
    <row r="91">
      <c r="B91" s="62" t="inlineStr">
        <is>
          <t>Total other non-current assets</t>
        </is>
      </c>
      <c r="C91" s="55" t="inlineStr">
        <is>
          <t>OtherNoncurrentAssets</t>
        </is>
      </c>
      <c r="D91" s="56" t="n">
        <v>1290000000</v>
      </c>
      <c r="E91" s="56" t="n">
        <v>1548000000</v>
      </c>
      <c r="F91" s="56" t="n">
        <v>1889000000</v>
      </c>
      <c r="G91" s="56" t="n">
        <v>1693000000</v>
      </c>
      <c r="H91" s="56" t="n">
        <v>1665000000</v>
      </c>
      <c r="I91" s="56" t="n">
        <v>1286000000</v>
      </c>
    </row>
    <row r="92">
      <c r="B92" s="67" t="inlineStr">
        <is>
          <t>Total non-current assets</t>
        </is>
      </c>
      <c r="C92" s="55" t="inlineStr">
        <is>
          <t>NoncurrentAssets</t>
        </is>
      </c>
      <c r="D92" s="58" t="n">
        <v>15664000000</v>
      </c>
      <c r="E92" s="58" t="n">
        <v>13399000000</v>
      </c>
      <c r="F92" s="58" t="n">
        <v>14132000000</v>
      </c>
      <c r="G92" s="58" t="n">
        <v>19031000000</v>
      </c>
      <c r="H92" s="58" t="n">
        <v>17874000000</v>
      </c>
      <c r="I92" s="58" t="n">
        <v>20847000000</v>
      </c>
    </row>
    <row r="93">
      <c r="B93" s="59" t="inlineStr">
        <is>
          <t>Current assets [Abstract]</t>
        </is>
      </c>
    </row>
    <row r="94">
      <c r="B94" s="62" t="inlineStr">
        <is>
          <t>Inventories</t>
        </is>
      </c>
      <c r="C94" s="55" t="inlineStr">
        <is>
          <t>Inventories</t>
        </is>
      </c>
      <c r="D94" s="56" t="n">
        <v>0</v>
      </c>
      <c r="E94" s="56" t="n">
        <v>0</v>
      </c>
      <c r="F94" s="56" t="n">
        <v>0</v>
      </c>
      <c r="G94" s="56" t="n">
        <v>0</v>
      </c>
      <c r="H94" s="56" t="n">
        <v>0</v>
      </c>
      <c r="I94" s="56" t="n">
        <v>41000000</v>
      </c>
    </row>
    <row r="95">
      <c r="B95" s="60" t="inlineStr">
        <is>
          <t>Current financial assets [Abstract]</t>
        </is>
      </c>
    </row>
    <row r="96">
      <c r="B96" s="61" t="inlineStr">
        <is>
          <t>Current investments</t>
        </is>
      </c>
      <c r="C96" s="55" t="inlineStr">
        <is>
          <t>CurrentInvestments</t>
        </is>
      </c>
      <c r="D96" s="56" t="n">
        <v>5869000000</v>
      </c>
      <c r="E96" s="56" t="n">
        <v>7206000000</v>
      </c>
      <c r="F96" s="56" t="n">
        <v>6836000000</v>
      </c>
      <c r="G96" s="56" t="n">
        <v>6944000000</v>
      </c>
      <c r="H96" s="56" t="n">
        <v>19307000000</v>
      </c>
      <c r="I96" s="56" t="n">
        <v>22391000000</v>
      </c>
    </row>
    <row r="97">
      <c r="B97" s="61" t="inlineStr">
        <is>
          <t>Trade receivables, current</t>
        </is>
      </c>
      <c r="C97" s="55" t="inlineStr">
        <is>
          <t>TradeReceivablesCurrent</t>
        </is>
      </c>
      <c r="D97" s="56" t="n">
        <v>8061000000</v>
      </c>
      <c r="E97" s="56" t="n">
        <v>9891000000</v>
      </c>
      <c r="F97" s="56" t="n">
        <v>13356000000</v>
      </c>
      <c r="G97" s="56" t="n">
        <v>14389000000</v>
      </c>
      <c r="H97" s="56" t="n">
        <v>12742000000</v>
      </c>
      <c r="I97" s="56" t="n">
        <v>17313000000</v>
      </c>
    </row>
    <row r="98">
      <c r="B98" s="61" t="inlineStr">
        <is>
          <t>Cash and cash equivalents at end of period</t>
        </is>
      </c>
      <c r="C98" s="55" t="inlineStr">
        <is>
          <t>CashAndCashEquivalents</t>
        </is>
      </c>
      <c r="D98" s="56" t="n">
        <v>2250000000</v>
      </c>
      <c r="E98" s="56" t="n">
        <v>3243000000</v>
      </c>
      <c r="F98" s="56" t="n">
        <v>2547000000</v>
      </c>
      <c r="G98" s="56" t="n">
        <v>3894000000</v>
      </c>
      <c r="H98" s="56" t="n">
        <v>7575000000</v>
      </c>
      <c r="I98" s="56" t="n">
        <v>10494000000</v>
      </c>
    </row>
    <row r="99">
      <c r="B99" s="61" t="inlineStr">
        <is>
          <t>Bank balance other than cash and cash equivalents</t>
        </is>
      </c>
      <c r="C99" s="55" t="inlineStr">
        <is>
          <t>BankBalanceOtherThanCashAndCashEquivalents</t>
        </is>
      </c>
      <c r="D99" s="56" t="n">
        <v>0</v>
      </c>
      <c r="E99" s="56" t="n">
        <v>0</v>
      </c>
      <c r="F99" s="56" t="n">
        <v>0</v>
      </c>
      <c r="G99" s="56" t="n">
        <v>1961000000</v>
      </c>
      <c r="H99" s="56" t="n">
        <v>0</v>
      </c>
      <c r="I99" s="56" t="n">
        <v>0</v>
      </c>
    </row>
    <row r="100">
      <c r="B100" s="61" t="inlineStr">
        <is>
          <t>Loans, current</t>
        </is>
      </c>
      <c r="C100" s="55" t="inlineStr">
        <is>
          <t>LoansCurrent</t>
        </is>
      </c>
      <c r="D100" s="56" t="n">
        <v>12000000</v>
      </c>
      <c r="E100" s="56" t="n">
        <v>17000000</v>
      </c>
      <c r="F100" s="56" t="n">
        <v>123000000</v>
      </c>
      <c r="G100" s="56" t="n">
        <v>99000000</v>
      </c>
      <c r="H100" s="56" t="n">
        <v>41000000</v>
      </c>
      <c r="I100" s="56" t="n">
        <v>0</v>
      </c>
    </row>
    <row r="101">
      <c r="B101" s="61" t="inlineStr">
        <is>
          <t>Total other current financial assets</t>
        </is>
      </c>
      <c r="C101" s="55" t="inlineStr">
        <is>
          <t>OtherCurrentFinancialAssets</t>
        </is>
      </c>
      <c r="D101" s="56" t="n">
        <v>2042000000</v>
      </c>
      <c r="E101" s="56" t="n">
        <v>3040000000</v>
      </c>
      <c r="F101" s="56" t="n">
        <v>2528000000</v>
      </c>
      <c r="G101" s="56" t="n">
        <v>2805000000</v>
      </c>
      <c r="H101" s="56" t="n">
        <v>2923000000</v>
      </c>
      <c r="I101" s="56" t="n">
        <v>5827000000</v>
      </c>
    </row>
    <row r="102">
      <c r="B102" s="65" t="inlineStr">
        <is>
          <t>Total current financial assets</t>
        </is>
      </c>
      <c r="C102" s="55" t="inlineStr">
        <is>
          <t>CurrentFinancialAssets</t>
        </is>
      </c>
      <c r="D102" s="58" t="n">
        <v>18234000000</v>
      </c>
      <c r="E102" s="58" t="n">
        <v>23397000000</v>
      </c>
      <c r="F102" s="58" t="n">
        <v>25390000000</v>
      </c>
      <c r="G102" s="58" t="n">
        <v>30092000000</v>
      </c>
      <c r="H102" s="58" t="n">
        <v>42588000000</v>
      </c>
      <c r="I102" s="58" t="n">
        <v>56025000000</v>
      </c>
    </row>
    <row r="103">
      <c r="B103" s="62" t="inlineStr">
        <is>
          <t>Total other current assets</t>
        </is>
      </c>
      <c r="C103" s="55" t="inlineStr">
        <is>
          <t>OtherCurrentAssets</t>
        </is>
      </c>
      <c r="D103" s="56" t="n">
        <v>896000000</v>
      </c>
      <c r="E103" s="56" t="n">
        <v>1258000000</v>
      </c>
      <c r="F103" s="56" t="n">
        <v>2268000000</v>
      </c>
      <c r="G103" s="56" t="n">
        <v>1981000000</v>
      </c>
      <c r="H103" s="56" t="n">
        <v>3144000000</v>
      </c>
      <c r="I103" s="56" t="n">
        <v>4655000000</v>
      </c>
    </row>
    <row r="104">
      <c r="B104" s="67" t="inlineStr">
        <is>
          <t>Total current assets</t>
        </is>
      </c>
      <c r="C104" s="55" t="inlineStr">
        <is>
          <t>CurrentAssets</t>
        </is>
      </c>
      <c r="D104" s="58" t="n">
        <v>19130000000</v>
      </c>
      <c r="E104" s="58" t="n">
        <v>24655000000</v>
      </c>
      <c r="F104" s="58" t="n">
        <v>27658000000</v>
      </c>
      <c r="G104" s="58" t="n">
        <v>32073000000</v>
      </c>
      <c r="H104" s="58" t="n">
        <v>45732000000</v>
      </c>
      <c r="I104" s="58" t="n">
        <v>60721000000</v>
      </c>
    </row>
    <row r="105">
      <c r="B105" s="54" t="inlineStr">
        <is>
          <t>Non-current assets classified as held for sale</t>
        </is>
      </c>
      <c r="C105" s="55" t="inlineStr">
        <is>
          <t>NoncurrentAssetsOrDisposalGroupsClassifiedAsHeldForSaleOrAsHeldForDistributionToOwners</t>
        </is>
      </c>
      <c r="D105" s="56" t="n">
        <v>0</v>
      </c>
      <c r="E105" s="56" t="n">
        <v>0</v>
      </c>
      <c r="F105" s="56" t="n">
        <v>0</v>
      </c>
      <c r="G105" s="56" t="n">
        <v>461000000</v>
      </c>
      <c r="H105" s="56" t="n">
        <v>0</v>
      </c>
      <c r="I105" s="56" t="n">
        <v>0</v>
      </c>
    </row>
    <row r="106">
      <c r="B106" s="57" t="inlineStr">
        <is>
          <t>Assets at end of period</t>
        </is>
      </c>
      <c r="C106" s="55" t="inlineStr">
        <is>
          <t>Assets</t>
        </is>
      </c>
      <c r="D106" s="58" t="n">
        <v>34794000000</v>
      </c>
      <c r="E106" s="58" t="n">
        <v>38054000000</v>
      </c>
      <c r="F106" s="58" t="n">
        <v>41790000000</v>
      </c>
      <c r="G106" s="58" t="n">
        <v>51565000000</v>
      </c>
      <c r="H106" s="58" t="n">
        <v>63606000000</v>
      </c>
      <c r="I106" s="58" t="n">
        <v>81568000000</v>
      </c>
    </row>
    <row r="107" ht="15.5" customHeight="1" s="203">
      <c r="B107" s="38" t="inlineStr">
        <is>
          <t>Equity and liabilities [Abstract]</t>
        </is>
      </c>
    </row>
    <row r="108">
      <c r="B108" s="59" t="inlineStr">
        <is>
          <t>Equity [Abstract]</t>
        </is>
      </c>
    </row>
    <row r="109">
      <c r="B109" s="60" t="inlineStr">
        <is>
          <t>Equity attributable to owners of parent [Abstract]</t>
        </is>
      </c>
    </row>
    <row r="110">
      <c r="B110" s="61" t="inlineStr">
        <is>
          <t>Equity share capital at end of period</t>
        </is>
      </c>
      <c r="C110" s="55" t="inlineStr">
        <is>
          <t>EquityShareCapital</t>
        </is>
      </c>
      <c r="D110" s="56" t="n">
        <v>1680000000</v>
      </c>
      <c r="E110" s="56" t="n">
        <v>1639000000</v>
      </c>
      <c r="F110" s="56" t="n">
        <v>1642000000</v>
      </c>
      <c r="G110" s="56" t="n">
        <v>1645740000</v>
      </c>
      <c r="H110" s="56" t="n">
        <v>1647000000</v>
      </c>
      <c r="I110" s="56" t="n">
        <v>1648000000</v>
      </c>
    </row>
    <row r="111">
      <c r="B111" s="61" t="inlineStr">
        <is>
          <t>Other equity</t>
        </is>
      </c>
      <c r="C111" s="55" t="inlineStr">
        <is>
          <t>OtherEquity</t>
        </is>
      </c>
      <c r="D111" s="56" t="n">
        <v>25898000000</v>
      </c>
      <c r="E111" s="56" t="n">
        <v>26742000000</v>
      </c>
      <c r="F111" s="56" t="n">
        <v>31418000000</v>
      </c>
      <c r="G111" s="56" t="n">
        <v>29920000000</v>
      </c>
      <c r="H111" s="56" t="n">
        <v>41539000000</v>
      </c>
      <c r="I111" s="56" t="n">
        <v>53086000000</v>
      </c>
    </row>
    <row r="112">
      <c r="B112" s="65" t="inlineStr">
        <is>
          <t>Total equity attributable to owners of parent</t>
        </is>
      </c>
      <c r="C112" s="55" t="inlineStr">
        <is>
          <t>EquityAttributableToOwnersOfParent</t>
        </is>
      </c>
      <c r="D112" s="58" t="n">
        <v>27578000000</v>
      </c>
      <c r="E112" s="58" t="n">
        <v>28381000000</v>
      </c>
      <c r="F112" s="58" t="n">
        <v>33060000000</v>
      </c>
      <c r="G112" s="58" t="n">
        <v>31565740000</v>
      </c>
      <c r="H112" s="58" t="n">
        <v>43186000000</v>
      </c>
      <c r="I112" s="58" t="n">
        <v>54734000000</v>
      </c>
    </row>
    <row r="113">
      <c r="B113" s="67" t="inlineStr">
        <is>
          <t>Equity at end of period</t>
        </is>
      </c>
      <c r="C113" s="55" t="inlineStr">
        <is>
          <t>Equity</t>
        </is>
      </c>
      <c r="D113" s="58" t="n">
        <v>27578000000</v>
      </c>
      <c r="E113" s="58" t="n">
        <v>28381000000</v>
      </c>
      <c r="F113" s="58" t="n">
        <v>33060000000</v>
      </c>
      <c r="G113" s="58" t="n">
        <v>31565740000</v>
      </c>
      <c r="H113" s="58" t="n">
        <v>43186000000</v>
      </c>
      <c r="I113" s="58" t="n">
        <v>54734000000</v>
      </c>
    </row>
    <row r="114">
      <c r="B114" s="59" t="inlineStr">
        <is>
          <t>Liabilities [Abstract]</t>
        </is>
      </c>
    </row>
    <row r="115">
      <c r="B115" s="60" t="inlineStr">
        <is>
          <t>Non-current liabilities [Abstract]</t>
        </is>
      </c>
    </row>
    <row r="116">
      <c r="B116" s="63" t="inlineStr">
        <is>
          <t>Non-current financial liabilities [Abstract]</t>
        </is>
      </c>
    </row>
    <row r="117">
      <c r="B117" s="64" t="inlineStr">
        <is>
          <t>Borrowings, non-current</t>
        </is>
      </c>
      <c r="C117" s="55" t="inlineStr">
        <is>
          <t>BorrowingsNoncurrent</t>
        </is>
      </c>
      <c r="D117" s="56" t="n">
        <v>13000000</v>
      </c>
      <c r="E117" s="56" t="n">
        <v>9000000</v>
      </c>
      <c r="F117" s="56" t="n">
        <v>5000000</v>
      </c>
      <c r="G117" s="56" t="n">
        <v>0</v>
      </c>
      <c r="H117" s="56" t="n">
        <v>0</v>
      </c>
      <c r="I117" s="56" t="n">
        <v>0</v>
      </c>
    </row>
    <row r="118">
      <c r="B118" s="64" t="inlineStr">
        <is>
          <t>Total other non-current financial liabilities</t>
        </is>
      </c>
      <c r="C118" s="55" t="inlineStr">
        <is>
          <t>OtherNoncurrentFinancialLiabilities</t>
        </is>
      </c>
      <c r="D118" s="56" t="n">
        <v>195000000</v>
      </c>
      <c r="E118" s="56" t="n">
        <v>0</v>
      </c>
      <c r="F118" s="56" t="n">
        <v>1000000</v>
      </c>
      <c r="G118" s="56" t="n">
        <v>6762260000</v>
      </c>
      <c r="H118" s="56" t="n">
        <v>4498000000</v>
      </c>
      <c r="I118" s="56" t="n">
        <v>4665000000</v>
      </c>
    </row>
    <row r="119">
      <c r="B119" s="66" t="inlineStr">
        <is>
          <t>Total non-current financial liabilities</t>
        </is>
      </c>
      <c r="C119" s="55" t="inlineStr">
        <is>
          <t>NoncurrentFinancialLiabilities</t>
        </is>
      </c>
      <c r="D119" s="58" t="n">
        <v>208000000</v>
      </c>
      <c r="E119" s="58" t="n">
        <v>9000000</v>
      </c>
      <c r="F119" s="58" t="n">
        <v>6000000</v>
      </c>
      <c r="G119" s="58" t="n">
        <v>6762260000</v>
      </c>
      <c r="H119" s="58" t="n">
        <v>4498000000</v>
      </c>
      <c r="I119" s="58" t="n">
        <v>4665000000</v>
      </c>
    </row>
    <row r="120">
      <c r="B120" s="61" t="inlineStr">
        <is>
          <t>Deferred tax liabilities (net)</t>
        </is>
      </c>
      <c r="C120" s="55" t="inlineStr">
        <is>
          <t>DeferredTaxLiabilitiesNet</t>
        </is>
      </c>
      <c r="D120" s="56" t="n">
        <v>0</v>
      </c>
      <c r="E120" s="56" t="n">
        <v>0</v>
      </c>
      <c r="F120" s="56" t="n">
        <v>0</v>
      </c>
      <c r="G120" s="56" t="n">
        <v>0</v>
      </c>
      <c r="H120" s="56" t="n">
        <v>0</v>
      </c>
      <c r="I120" s="56" t="n">
        <v>161000000</v>
      </c>
    </row>
    <row r="121">
      <c r="B121" s="61" t="inlineStr">
        <is>
          <t>Total other non-current liabilities</t>
        </is>
      </c>
      <c r="C121" s="55" t="inlineStr">
        <is>
          <t>OtherNoncurrentLiabilities</t>
        </is>
      </c>
      <c r="D121" s="56" t="n">
        <v>71000000</v>
      </c>
      <c r="E121" s="56" t="n">
        <v>79000000</v>
      </c>
      <c r="F121" s="56" t="n">
        <v>173000000</v>
      </c>
      <c r="G121" s="56" t="n">
        <v>0</v>
      </c>
      <c r="H121" s="56" t="n">
        <v>0</v>
      </c>
      <c r="I121" s="56" t="n">
        <v>0</v>
      </c>
    </row>
    <row r="122">
      <c r="B122" s="65" t="inlineStr">
        <is>
          <t>Total non-current liabilities</t>
        </is>
      </c>
      <c r="C122" s="55" t="inlineStr">
        <is>
          <t>NoncurrentLiabilities</t>
        </is>
      </c>
      <c r="D122" s="58" t="n">
        <v>279000000</v>
      </c>
      <c r="E122" s="58" t="n">
        <v>88000000</v>
      </c>
      <c r="F122" s="58" t="n">
        <v>179000000</v>
      </c>
      <c r="G122" s="58" t="n">
        <v>6762260000</v>
      </c>
      <c r="H122" s="58" t="n">
        <v>4498000000</v>
      </c>
      <c r="I122" s="58" t="n">
        <v>4826000000</v>
      </c>
    </row>
    <row r="123">
      <c r="B123" s="60" t="inlineStr">
        <is>
          <t>Current liabilities [Abstract]</t>
        </is>
      </c>
    </row>
    <row r="124">
      <c r="B124" s="63" t="inlineStr">
        <is>
          <t>Current financial liabilities [Abstract]</t>
        </is>
      </c>
    </row>
    <row r="125">
      <c r="B125" s="64" t="inlineStr">
        <is>
          <t>Borrowings, current</t>
        </is>
      </c>
      <c r="C125" s="55" t="inlineStr">
        <is>
          <t>BorrowingsCurrent</t>
        </is>
      </c>
      <c r="D125" s="56" t="n">
        <v>942000000</v>
      </c>
      <c r="E125" s="56" t="n">
        <v>3000000000</v>
      </c>
      <c r="F125" s="56" t="n">
        <v>0</v>
      </c>
      <c r="G125" s="56" t="n">
        <v>0</v>
      </c>
      <c r="H125" s="56" t="n">
        <v>0</v>
      </c>
      <c r="I125" s="56" t="n">
        <v>0</v>
      </c>
    </row>
    <row r="126">
      <c r="B126" s="68" t="inlineStr">
        <is>
          <t>Trade payables, current [Abstract]</t>
        </is>
      </c>
    </row>
    <row r="127">
      <c r="B127" s="69" t="inlineStr">
        <is>
          <t>Total trade payables, current</t>
        </is>
      </c>
      <c r="C127" s="55" t="inlineStr">
        <is>
          <t>TradePayablesCurrent</t>
        </is>
      </c>
      <c r="D127" s="58" t="n">
        <v>1326000000</v>
      </c>
      <c r="E127" s="58" t="n">
        <v>1690000000</v>
      </c>
      <c r="F127" s="58" t="n">
        <v>2131000000</v>
      </c>
      <c r="G127" s="58" t="n">
        <v>2587000000</v>
      </c>
      <c r="H127" s="58" t="n">
        <v>2673000000</v>
      </c>
      <c r="I127" s="58" t="n">
        <v>5357000000</v>
      </c>
    </row>
    <row r="128">
      <c r="B128" s="64" t="inlineStr">
        <is>
          <t>Total other current financial liabilities</t>
        </is>
      </c>
      <c r="C128" s="55" t="inlineStr">
        <is>
          <t>OtherCurrentFinancialLiabilities</t>
        </is>
      </c>
      <c r="D128" s="56" t="n">
        <v>2412000000</v>
      </c>
      <c r="E128" s="56" t="n">
        <v>1669000000</v>
      </c>
      <c r="F128" s="56" t="n">
        <v>2434000000</v>
      </c>
      <c r="G128" s="56" t="n">
        <v>5949000000</v>
      </c>
      <c r="H128" s="56" t="n">
        <v>6135000000</v>
      </c>
      <c r="I128" s="56" t="n">
        <v>7781000000</v>
      </c>
    </row>
    <row r="129">
      <c r="B129" s="66" t="inlineStr">
        <is>
          <t>Total current financial liabilities</t>
        </is>
      </c>
      <c r="C129" s="55" t="inlineStr">
        <is>
          <t>CurrentFinancialLiabilities</t>
        </is>
      </c>
      <c r="D129" s="58" t="n">
        <v>4680000000</v>
      </c>
      <c r="E129" s="58" t="n">
        <v>6359000000</v>
      </c>
      <c r="F129" s="58" t="n">
        <v>4565000000</v>
      </c>
      <c r="G129" s="58" t="n">
        <v>8536000000</v>
      </c>
      <c r="H129" s="58" t="n">
        <v>8808000000</v>
      </c>
      <c r="I129" s="58" t="n">
        <v>13138000000</v>
      </c>
    </row>
    <row r="130">
      <c r="B130" s="61" t="inlineStr">
        <is>
          <t>Total other current liabilities</t>
        </is>
      </c>
      <c r="C130" s="55" t="inlineStr">
        <is>
          <t>OtherCurrentLiabilities</t>
        </is>
      </c>
      <c r="D130" s="56" t="n">
        <v>944000000</v>
      </c>
      <c r="E130" s="56" t="n">
        <v>1720000000</v>
      </c>
      <c r="F130" s="56" t="n">
        <v>1838000000</v>
      </c>
      <c r="G130" s="56" t="n">
        <v>1597000000</v>
      </c>
      <c r="H130" s="56" t="n">
        <v>2509000000</v>
      </c>
      <c r="I130" s="56" t="n">
        <v>4318000000</v>
      </c>
    </row>
    <row r="131">
      <c r="B131" s="61" t="inlineStr">
        <is>
          <t>Provisions, current</t>
        </is>
      </c>
      <c r="C131" s="55" t="inlineStr">
        <is>
          <t>ProvisionsCurrent</t>
        </is>
      </c>
      <c r="D131" s="56" t="n">
        <v>1095000000</v>
      </c>
      <c r="E131" s="56" t="n">
        <v>1191000000</v>
      </c>
      <c r="F131" s="56" t="n">
        <v>1399000000</v>
      </c>
      <c r="G131" s="56" t="n">
        <v>1724000000</v>
      </c>
      <c r="H131" s="56" t="n">
        <v>2227000000</v>
      </c>
      <c r="I131" s="56" t="n">
        <v>2442000000</v>
      </c>
    </row>
    <row r="132">
      <c r="B132" s="61" t="inlineStr">
        <is>
          <t>Current tax liabilities</t>
        </is>
      </c>
      <c r="C132" s="55" t="inlineStr">
        <is>
          <t>CurrentTaxLiabilities</t>
        </is>
      </c>
      <c r="D132" s="56" t="n">
        <v>218000000</v>
      </c>
      <c r="E132" s="56" t="n">
        <v>315000000</v>
      </c>
      <c r="F132" s="56" t="n">
        <v>749000000</v>
      </c>
      <c r="G132" s="56" t="n">
        <v>1380000000</v>
      </c>
      <c r="H132" s="56" t="n">
        <v>2378000000</v>
      </c>
      <c r="I132" s="56" t="n">
        <v>2110000000</v>
      </c>
    </row>
    <row r="133">
      <c r="B133" s="65" t="inlineStr">
        <is>
          <t>Total current liabilities</t>
        </is>
      </c>
      <c r="C133" s="55" t="inlineStr">
        <is>
          <t>CurrentLiabilities</t>
        </is>
      </c>
      <c r="D133" s="58" t="n">
        <v>6937000000</v>
      </c>
      <c r="E133" s="58" t="n">
        <v>9585000000</v>
      </c>
      <c r="F133" s="58" t="n">
        <v>8551000000</v>
      </c>
      <c r="G133" s="58" t="n">
        <v>13237000000</v>
      </c>
      <c r="H133" s="58" t="n">
        <v>15922000000</v>
      </c>
      <c r="I133" s="58" t="n">
        <v>22008000000</v>
      </c>
    </row>
    <row r="134">
      <c r="B134" s="67" t="inlineStr">
        <is>
          <t>Liabilities</t>
        </is>
      </c>
      <c r="C134" s="55" t="inlineStr">
        <is>
          <t>Liabilities</t>
        </is>
      </c>
      <c r="D134" s="58" t="n">
        <v>7216000000</v>
      </c>
      <c r="E134" s="58" t="n">
        <v>9673000000</v>
      </c>
      <c r="F134" s="58" t="n">
        <v>8730000000</v>
      </c>
      <c r="G134" s="58" t="n">
        <v>19999260000</v>
      </c>
      <c r="H134" s="58" t="n">
        <v>20420000000</v>
      </c>
      <c r="I134" s="58" t="n">
        <v>26834000000</v>
      </c>
    </row>
    <row r="135">
      <c r="B135" s="57" t="inlineStr">
        <is>
          <t>Total equity and liabilities</t>
        </is>
      </c>
      <c r="C135" s="55" t="inlineStr">
        <is>
          <t>EquityAndLiabilities</t>
        </is>
      </c>
      <c r="D135" s="58" t="n">
        <v>34794000000</v>
      </c>
      <c r="E135" s="58" t="n">
        <v>38054000000</v>
      </c>
      <c r="F135" s="58" t="n">
        <v>41790000000</v>
      </c>
      <c r="G135" s="58" t="n">
        <v>51565000000</v>
      </c>
      <c r="H135" s="58" t="n">
        <v>63606000000</v>
      </c>
      <c r="I135" s="58" t="n">
        <v>81568000000</v>
      </c>
    </row>
    <row r="138">
      <c r="A138" t="inlineStr">
        <is>
          <t>#</t>
        </is>
      </c>
      <c r="B138" s="20" t="inlineStr">
        <is>
          <t>Statement of Cash Flows</t>
        </is>
      </c>
    </row>
    <row r="139">
      <c r="B139" t="inlineStr">
        <is>
          <t>Raw units, no conversion applied -- source varies by year, see Output/XBRL_Files filenames (_MCA = MCA XBRL, _NSE = NSE Integrated Filing XBRL)</t>
        </is>
      </c>
    </row>
    <row r="141">
      <c r="C141" s="53" t="inlineStr">
        <is>
          <t>Concept Tag</t>
        </is>
      </c>
      <c r="D141" s="20" t="inlineStr">
        <is>
          <t>FY2017</t>
        </is>
      </c>
      <c r="E141" s="20" t="inlineStr">
        <is>
          <t>FY2018</t>
        </is>
      </c>
      <c r="F141" s="20" t="inlineStr">
        <is>
          <t>FY2019</t>
        </is>
      </c>
      <c r="G141" s="20" t="inlineStr">
        <is>
          <t>FY2020</t>
        </is>
      </c>
      <c r="H141" s="20" t="inlineStr">
        <is>
          <t>FY2021</t>
        </is>
      </c>
      <c r="I141" s="20" t="inlineStr">
        <is>
          <t>FY2022</t>
        </is>
      </c>
    </row>
    <row r="142" ht="15.5" customHeight="1" s="203">
      <c r="B142" s="38" t="inlineStr">
        <is>
          <t>Cash flows from used in operating activities [Abstract]</t>
        </is>
      </c>
    </row>
    <row r="143">
      <c r="B143" s="54" t="inlineStr">
        <is>
          <t>Total profit before tax</t>
        </is>
      </c>
      <c r="C143" s="55" t="inlineStr">
        <is>
          <t>ProfitBeforeTax</t>
        </is>
      </c>
      <c r="D143" s="56" t="n">
        <v>6317000000</v>
      </c>
      <c r="E143" s="56" t="n">
        <v>7943000000</v>
      </c>
      <c r="F143" s="56" t="n">
        <v>9867000000</v>
      </c>
      <c r="G143" s="56" t="n">
        <v>8287000000</v>
      </c>
      <c r="H143" s="56" t="n">
        <v>14982000000</v>
      </c>
      <c r="I143" s="56" t="n">
        <v>22106000000</v>
      </c>
    </row>
    <row r="144">
      <c r="B144" s="59" t="inlineStr">
        <is>
          <t>Adjustments for reconcile profit (loss) [Abstract]</t>
        </is>
      </c>
    </row>
    <row r="145">
      <c r="B145" s="62" t="inlineStr">
        <is>
          <t>Adjustments for finance costs</t>
        </is>
      </c>
      <c r="C145" s="55" t="inlineStr">
        <is>
          <t>AdjustmentsForFinanceCosts</t>
        </is>
      </c>
      <c r="D145" s="56" t="n">
        <v>190000000</v>
      </c>
      <c r="E145" s="56" t="n">
        <v>168000000</v>
      </c>
      <c r="F145" s="56" t="n">
        <v>29000000</v>
      </c>
      <c r="G145" s="56" t="n">
        <v>529000000</v>
      </c>
      <c r="H145" s="56" t="n">
        <v>504000000</v>
      </c>
      <c r="I145" s="56" t="n">
        <v>502000000</v>
      </c>
    </row>
    <row r="146">
      <c r="B146" s="62" t="inlineStr">
        <is>
          <t>Adjustments for decrease (increase) in inventories</t>
        </is>
      </c>
      <c r="C146" s="55" t="inlineStr">
        <is>
          <t>AdjustmentsForDecreaseIncreaseInInventories</t>
        </is>
      </c>
      <c r="D146" s="56" t="n">
        <v>0</v>
      </c>
      <c r="E146" s="56" t="n">
        <v>0</v>
      </c>
      <c r="F146" s="56" t="n">
        <v>0</v>
      </c>
      <c r="G146" s="56" t="n">
        <v>0</v>
      </c>
      <c r="H146" s="56" t="n">
        <v>0</v>
      </c>
      <c r="I146" s="56" t="n">
        <v>4000000</v>
      </c>
    </row>
    <row r="147">
      <c r="B147" s="62" t="inlineStr">
        <is>
          <t>Adjustments for decrease (increase) in trade receivables, current</t>
        </is>
      </c>
      <c r="C147" s="55" t="inlineStr">
        <is>
          <t>AdjustmentsForDecreaseIncreaseInTradeReceivablesCurrent</t>
        </is>
      </c>
      <c r="D147" s="56" t="n">
        <v>774000000</v>
      </c>
      <c r="E147" s="56" t="n">
        <v>-1156000000</v>
      </c>
      <c r="F147" s="56" t="n">
        <v>0</v>
      </c>
      <c r="G147" s="56" t="n">
        <v>0</v>
      </c>
      <c r="H147" s="56" t="n">
        <v>1585000000</v>
      </c>
      <c r="I147" s="56" t="n">
        <v>-4524000000</v>
      </c>
    </row>
    <row r="148">
      <c r="B148" s="62" t="inlineStr">
        <is>
          <t>Adjustments for decrease (increase) in trade receivables, non-current</t>
        </is>
      </c>
      <c r="C148" s="55" t="inlineStr">
        <is>
          <t>AdjustmentsForDecreaseIncreaseInTradeReceivablesNoncurrent</t>
        </is>
      </c>
      <c r="D148" s="56" t="n">
        <v>0</v>
      </c>
      <c r="E148" s="56" t="n">
        <v>0</v>
      </c>
      <c r="F148" s="56" t="n">
        <v>-3308000000</v>
      </c>
      <c r="G148" s="56" t="n">
        <v>-1193000000</v>
      </c>
      <c r="H148" s="56" t="n">
        <v>0</v>
      </c>
      <c r="I148" s="56" t="n">
        <v>0</v>
      </c>
    </row>
    <row r="149">
      <c r="B149" s="62" t="inlineStr">
        <is>
          <t>Adjustments for decrease (increase) in other current assets</t>
        </is>
      </c>
      <c r="C149" s="55" t="inlineStr">
        <is>
          <t>AdjustmentsForDecreaseIncreaseInOtherCurrentAssets</t>
        </is>
      </c>
      <c r="D149" s="56" t="n">
        <v>687000000</v>
      </c>
      <c r="E149" s="56" t="n">
        <v>-978000000</v>
      </c>
      <c r="F149" s="56" t="n">
        <v>-348000000</v>
      </c>
      <c r="G149" s="56" t="n">
        <v>-156000000</v>
      </c>
      <c r="H149" s="56" t="n">
        <v>-360000000</v>
      </c>
      <c r="I149" s="56" t="n">
        <v>-3671000000</v>
      </c>
    </row>
    <row r="150">
      <c r="B150" s="62" t="inlineStr">
        <is>
          <t>Adjustments for other bank balances</t>
        </is>
      </c>
      <c r="C150" s="55" t="inlineStr">
        <is>
          <t>AdjustmentsForOtherBankBalances</t>
        </is>
      </c>
      <c r="D150" s="56" t="n">
        <v>0</v>
      </c>
      <c r="E150" s="56" t="n">
        <v>0</v>
      </c>
      <c r="F150" s="56" t="n">
        <v>0</v>
      </c>
      <c r="G150" s="56" t="n">
        <v>0</v>
      </c>
      <c r="H150" s="56" t="n">
        <v>1961000000</v>
      </c>
      <c r="I150" s="56" t="n">
        <v>0</v>
      </c>
    </row>
    <row r="151">
      <c r="B151" s="62" t="inlineStr">
        <is>
          <t>Adjustments for increase (decrease) in trade payables, current</t>
        </is>
      </c>
      <c r="C151" s="55" t="inlineStr">
        <is>
          <t>AdjustmentsForIncreaseDecreaseInTradePayablesCurrent</t>
        </is>
      </c>
      <c r="D151" s="56" t="n">
        <v>-157000000</v>
      </c>
      <c r="E151" s="56" t="n">
        <v>253000000</v>
      </c>
      <c r="F151" s="56" t="n">
        <v>422000000</v>
      </c>
      <c r="G151" s="56" t="n">
        <v>537000000</v>
      </c>
      <c r="H151" s="56" t="n">
        <v>119000000</v>
      </c>
      <c r="I151" s="56" t="n">
        <v>2520000000</v>
      </c>
    </row>
    <row r="152">
      <c r="B152" s="62" t="inlineStr">
        <is>
          <t>Adjustments for increase (decrease) in other current liabilities</t>
        </is>
      </c>
      <c r="C152" s="55" t="inlineStr">
        <is>
          <t>AdjustmentsForIncreaseDecreaseInOtherCurrentLiabilities</t>
        </is>
      </c>
      <c r="D152" s="56" t="n">
        <v>39000000</v>
      </c>
      <c r="E152" s="56" t="n">
        <v>1029000000</v>
      </c>
      <c r="F152" s="56" t="n">
        <v>692000000</v>
      </c>
      <c r="G152" s="56" t="n">
        <v>908000000</v>
      </c>
      <c r="H152" s="56" t="n">
        <v>1571000000</v>
      </c>
      <c r="I152" s="56" t="n">
        <v>2356000000</v>
      </c>
    </row>
    <row r="153">
      <c r="B153" s="62" t="inlineStr">
        <is>
          <t>Adjustments for depreciation and amortisation expense</t>
        </is>
      </c>
      <c r="C153" s="55" t="inlineStr">
        <is>
          <t>AdjustmentsForDepreciationAndAmortisationExpense</t>
        </is>
      </c>
      <c r="D153" s="56" t="n">
        <v>1331000000</v>
      </c>
      <c r="E153" s="56" t="n">
        <v>1552000000</v>
      </c>
      <c r="F153" s="56" t="n">
        <v>1641000000</v>
      </c>
      <c r="G153" s="56" t="n">
        <v>2754000000</v>
      </c>
      <c r="H153" s="56" t="n">
        <v>2596000000</v>
      </c>
      <c r="I153" s="56" t="n">
        <v>2420000000</v>
      </c>
    </row>
    <row r="154">
      <c r="B154" s="62" t="inlineStr">
        <is>
          <t>Adjustments for impairment loss reversal of impairment loss recognised in profit or loss</t>
        </is>
      </c>
      <c r="C154" s="55" t="inlineStr">
        <is>
          <t>AdjustmentsForImpairmentLossReversalOfImpairmentLossRecognisedInProfitOrLoss</t>
        </is>
      </c>
      <c r="D154" s="56" t="n">
        <v>0</v>
      </c>
      <c r="E154" s="56" t="n">
        <v>0</v>
      </c>
      <c r="F154" s="56" t="n">
        <v>0</v>
      </c>
      <c r="G154" s="56" t="n">
        <v>0</v>
      </c>
      <c r="H154" s="56" t="n">
        <v>2000000</v>
      </c>
      <c r="I154" s="56" t="n">
        <v>0</v>
      </c>
    </row>
    <row r="155">
      <c r="B155" s="62" t="inlineStr">
        <is>
          <t>Adjustments for provisions, current</t>
        </is>
      </c>
      <c r="C155" s="55" t="inlineStr">
        <is>
          <t>AdjustmentsForProvisionsCurrent</t>
        </is>
      </c>
      <c r="D155" s="56" t="n">
        <v>-181000000</v>
      </c>
      <c r="E155" s="56" t="n">
        <v>86000000</v>
      </c>
      <c r="F155" s="56" t="n">
        <v>181000000</v>
      </c>
      <c r="G155" s="56" t="n">
        <v>325000000</v>
      </c>
      <c r="H155" s="56" t="n">
        <v>1211000000</v>
      </c>
      <c r="I155" s="56" t="n">
        <v>205000000</v>
      </c>
    </row>
    <row r="156">
      <c r="B156" s="62" t="inlineStr">
        <is>
          <t>Adjustments for other financial liabilities, current</t>
        </is>
      </c>
      <c r="C156" s="55" t="inlineStr">
        <is>
          <t>AdjustmentsForOtherFinancialLiabilitiesCurrent</t>
        </is>
      </c>
      <c r="D156" s="56" t="n">
        <v>0</v>
      </c>
      <c r="E156" s="56" t="n">
        <v>-459000000</v>
      </c>
      <c r="F156" s="56" t="n">
        <v>0</v>
      </c>
      <c r="G156" s="56" t="n">
        <v>0</v>
      </c>
      <c r="H156" s="56" t="n">
        <v>0</v>
      </c>
      <c r="I156" s="56" t="n">
        <v>0</v>
      </c>
    </row>
    <row r="157">
      <c r="B157" s="62" t="inlineStr">
        <is>
          <t>Adjustments for unrealised foreign exchange losses gains</t>
        </is>
      </c>
      <c r="C157" s="55" t="inlineStr">
        <is>
          <t>AdjustmentsForUnrealisedForeignExchangeLossesGains</t>
        </is>
      </c>
      <c r="D157" s="56" t="n">
        <v>-86000000</v>
      </c>
      <c r="E157" s="56" t="n">
        <v>96000000</v>
      </c>
      <c r="F157" s="56" t="n">
        <v>0</v>
      </c>
      <c r="G157" s="56" t="n">
        <v>0</v>
      </c>
      <c r="H157" s="56" t="n">
        <v>-58000000</v>
      </c>
      <c r="I157" s="56" t="n">
        <v>-329000000</v>
      </c>
    </row>
    <row r="158">
      <c r="B158" s="62" t="inlineStr">
        <is>
          <t>Adjustments for dividend income</t>
        </is>
      </c>
      <c r="C158" s="55" t="inlineStr">
        <is>
          <t>AdjustmentsForDividendIncome</t>
        </is>
      </c>
      <c r="D158" s="56" t="n">
        <v>88000000</v>
      </c>
      <c r="E158" s="56" t="n">
        <v>1000000</v>
      </c>
      <c r="F158" s="56" t="n">
        <v>0</v>
      </c>
      <c r="G158" s="56" t="n">
        <v>0</v>
      </c>
      <c r="H158" s="56" t="n">
        <v>0</v>
      </c>
      <c r="I158" s="56" t="n">
        <v>0</v>
      </c>
    </row>
    <row r="159">
      <c r="B159" s="62" t="inlineStr">
        <is>
          <t>Adjustments for interest income</t>
        </is>
      </c>
      <c r="C159" s="55" t="inlineStr">
        <is>
          <t>AdjustmentsForInterestIncome</t>
        </is>
      </c>
      <c r="D159" s="56" t="n">
        <v>103000000</v>
      </c>
      <c r="E159" s="56" t="n">
        <v>110000000</v>
      </c>
      <c r="F159" s="56" t="n">
        <v>146000000</v>
      </c>
      <c r="G159" s="56" t="n">
        <v>0</v>
      </c>
      <c r="H159" s="56" t="n">
        <v>0</v>
      </c>
      <c r="I159" s="56" t="n">
        <v>426000000</v>
      </c>
    </row>
    <row r="160">
      <c r="B160" s="62" t="inlineStr">
        <is>
          <t>Adjustments for share-based payments</t>
        </is>
      </c>
      <c r="C160" s="55" t="inlineStr">
        <is>
          <t>AdjustmentsForSharebasedPayments</t>
        </is>
      </c>
      <c r="D160" s="56" t="n">
        <v>54000000</v>
      </c>
      <c r="E160" s="56" t="n">
        <v>195000000</v>
      </c>
      <c r="F160" s="56" t="n">
        <v>89000000</v>
      </c>
      <c r="G160" s="56" t="n">
        <v>102000000</v>
      </c>
      <c r="H160" s="56" t="n">
        <v>99000000</v>
      </c>
      <c r="I160" s="56" t="n">
        <v>430000000</v>
      </c>
    </row>
    <row r="161">
      <c r="B161" s="62" t="inlineStr">
        <is>
          <t>Adjustments for fair value losses (gains)</t>
        </is>
      </c>
      <c r="C161" s="55" t="inlineStr">
        <is>
          <t>AdjustmentsForFairValueGainsLosses</t>
        </is>
      </c>
      <c r="D161" s="56" t="n">
        <v>-146000000</v>
      </c>
      <c r="E161" s="56" t="n">
        <v>0</v>
      </c>
      <c r="F161" s="56" t="n">
        <v>0</v>
      </c>
      <c r="G161" s="56" t="n">
        <v>0</v>
      </c>
      <c r="H161" s="56" t="n">
        <v>0</v>
      </c>
      <c r="I161" s="56" t="n">
        <v>0</v>
      </c>
    </row>
    <row r="162">
      <c r="B162" s="62" t="inlineStr">
        <is>
          <t>Other adjustments for which cash effects are investing or financing cash flow</t>
        </is>
      </c>
      <c r="C162" s="55" t="inlineStr">
        <is>
          <t>OtherAdjustmentsForWhichCashEffectsAreInvestingOrFinancingCashFlow</t>
        </is>
      </c>
      <c r="D162" s="56" t="n">
        <v>-186000000</v>
      </c>
      <c r="E162" s="56" t="n">
        <v>0</v>
      </c>
      <c r="F162" s="56" t="n">
        <v>0</v>
      </c>
      <c r="G162" s="56" t="n">
        <v>0</v>
      </c>
      <c r="H162" s="56" t="n">
        <v>-1153000000</v>
      </c>
      <c r="I162" s="56" t="n">
        <v>-841000000</v>
      </c>
    </row>
    <row r="163">
      <c r="B163" s="62" t="inlineStr">
        <is>
          <t>Other adjustments to reconcile profit (loss)</t>
        </is>
      </c>
      <c r="C163" s="55" t="inlineStr">
        <is>
          <t>OtherAdjustmentsToReconcileProfitLoss</t>
        </is>
      </c>
      <c r="D163" s="56" t="n">
        <v>-10000000</v>
      </c>
      <c r="E163" s="56" t="n">
        <v>0</v>
      </c>
      <c r="F163" s="56" t="n">
        <v>1767000000</v>
      </c>
      <c r="G163" s="56" t="n">
        <v>-222000000</v>
      </c>
      <c r="H163" s="56" t="n">
        <v>0</v>
      </c>
      <c r="I163" s="56" t="n">
        <v>0</v>
      </c>
    </row>
    <row r="164">
      <c r="B164" s="62" t="inlineStr">
        <is>
          <t>Other adjustments for non-cash items</t>
        </is>
      </c>
      <c r="C164" s="55" t="inlineStr">
        <is>
          <t>OtherAdjustmentsForNoncashItems</t>
        </is>
      </c>
      <c r="D164" s="56" t="n">
        <v>-18000000</v>
      </c>
      <c r="E164" s="56" t="n">
        <v>-918000000</v>
      </c>
      <c r="F164" s="56" t="n">
        <v>-2327000000</v>
      </c>
      <c r="G164" s="56" t="n">
        <v>-1979000000</v>
      </c>
      <c r="H164" s="56" t="n">
        <v>62000000</v>
      </c>
      <c r="I164" s="56" t="n">
        <v>85000000</v>
      </c>
    </row>
    <row r="165">
      <c r="B165" s="67" t="inlineStr">
        <is>
          <t>Total adjustments for reconcile profit (loss)</t>
        </is>
      </c>
      <c r="C165" s="55" t="inlineStr">
        <is>
          <t>AdjustmentsForReconcileProfitLoss</t>
        </is>
      </c>
      <c r="D165" s="58" t="n">
        <v>2100000000</v>
      </c>
      <c r="E165" s="58" t="n">
        <v>-243000000</v>
      </c>
      <c r="F165" s="58" t="n">
        <v>-1308000000</v>
      </c>
      <c r="G165" s="58" t="n">
        <v>1605000000</v>
      </c>
      <c r="H165" s="58" t="n">
        <v>8139000000</v>
      </c>
      <c r="I165" s="58" t="n">
        <v>-1269000000</v>
      </c>
    </row>
    <row r="166">
      <c r="B166" s="57" t="inlineStr">
        <is>
          <t>Net cash flows from (used in) operations</t>
        </is>
      </c>
      <c r="C166" s="55" t="inlineStr">
        <is>
          <t>CashFlowsFromUsedInOperations</t>
        </is>
      </c>
      <c r="D166" s="58" t="n">
        <v>8417000000</v>
      </c>
      <c r="E166" s="58" t="n">
        <v>7700000000</v>
      </c>
      <c r="F166" s="58" t="n">
        <v>8559000000</v>
      </c>
      <c r="G166" s="58" t="n">
        <v>9892000000</v>
      </c>
      <c r="H166" s="58" t="n">
        <v>23121000000</v>
      </c>
      <c r="I166" s="58" t="n">
        <v>20837000000</v>
      </c>
    </row>
    <row r="167">
      <c r="B167" s="54" t="inlineStr">
        <is>
          <t>Income taxes paid (refund)</t>
        </is>
      </c>
      <c r="C167" s="55" t="inlineStr">
        <is>
          <t>IncomeTaxesPaidRefundClassifiedAsOperatingActivities</t>
        </is>
      </c>
      <c r="D167" s="56" t="n">
        <v>1748000000</v>
      </c>
      <c r="E167" s="56" t="n">
        <v>1631000000</v>
      </c>
      <c r="F167" s="56" t="n">
        <v>2255000000</v>
      </c>
      <c r="G167" s="56" t="n">
        <v>1640000000</v>
      </c>
      <c r="H167" s="56" t="n">
        <v>3168000000</v>
      </c>
      <c r="I167" s="56" t="n">
        <v>5464000000</v>
      </c>
    </row>
    <row r="168">
      <c r="B168" s="57" t="inlineStr">
        <is>
          <t>Net cash flows from (used in) operating activities</t>
        </is>
      </c>
      <c r="C168" s="55" t="inlineStr">
        <is>
          <t>CashFlowsFromUsedInOperatingActivities</t>
        </is>
      </c>
      <c r="D168" s="58" t="n">
        <v>6669000000</v>
      </c>
      <c r="E168" s="58" t="n">
        <v>6069000000</v>
      </c>
      <c r="F168" s="58" t="n">
        <v>6304000000</v>
      </c>
      <c r="G168" s="58" t="n">
        <v>8252000000</v>
      </c>
      <c r="H168" s="58" t="n">
        <v>19953000000</v>
      </c>
      <c r="I168" s="58" t="n">
        <v>15373000000</v>
      </c>
    </row>
    <row r="169" ht="15.5" customHeight="1" s="203">
      <c r="B169" s="38" t="inlineStr">
        <is>
          <t>Cash flows from used in investing activities [Abstract]</t>
        </is>
      </c>
    </row>
    <row r="170">
      <c r="B170" s="54" t="inlineStr">
        <is>
          <t>Cash flows used in obtaining control of subsidiaries or other businesses</t>
        </is>
      </c>
      <c r="C170" s="55" t="inlineStr">
        <is>
          <t>CashFlowsUsedInObtainingControlOfSubsidiariesOrOtherBusinessesClassifiedAsInvestingActivities</t>
        </is>
      </c>
      <c r="D170" s="56" t="n">
        <v>467000000</v>
      </c>
      <c r="E170" s="56" t="n">
        <v>496000000</v>
      </c>
      <c r="F170" s="56" t="n">
        <v>0</v>
      </c>
      <c r="G170" s="56" t="n">
        <v>0</v>
      </c>
      <c r="H170" s="56" t="n">
        <v>0</v>
      </c>
      <c r="I170" s="56" t="n">
        <v>0</v>
      </c>
    </row>
    <row r="171">
      <c r="B171" s="54" t="inlineStr">
        <is>
          <t>Other cash receipts from sales of equity or debt instruments of other entities</t>
        </is>
      </c>
      <c r="C171" s="55" t="inlineStr">
        <is>
          <t>OtherCashReceiptsFromSalesOfEquityOrDebtInstrumentsOfOtherEntitiesClassifiedAsInvestingActivities</t>
        </is>
      </c>
      <c r="D171" s="56" t="n">
        <v>9892000000</v>
      </c>
      <c r="E171" s="56" t="n">
        <v>0</v>
      </c>
      <c r="F171" s="56" t="n">
        <v>0</v>
      </c>
      <c r="G171" s="56" t="n">
        <v>0</v>
      </c>
      <c r="H171" s="56" t="n">
        <v>24135000000</v>
      </c>
      <c r="I171" s="56" t="n">
        <v>33343000000</v>
      </c>
    </row>
    <row r="172">
      <c r="B172" s="54" t="inlineStr">
        <is>
          <t>Other cash payments to acquire equity or debt instruments of other entities</t>
        </is>
      </c>
      <c r="C172" s="55" t="inlineStr">
        <is>
          <t>OtherCashPaymentsToAcquireEquityOrDebtInstrumentsOfOtherEntitiesClassifiedAsInvestingActivities</t>
        </is>
      </c>
      <c r="D172" s="56" t="n">
        <v>0</v>
      </c>
      <c r="E172" s="56" t="n">
        <v>164000000</v>
      </c>
      <c r="F172" s="56" t="n">
        <v>18161000000</v>
      </c>
      <c r="G172" s="56" t="n">
        <v>33066000000</v>
      </c>
      <c r="H172" s="56" t="n">
        <v>35976000000</v>
      </c>
      <c r="I172" s="56" t="n">
        <v>37428000000</v>
      </c>
    </row>
    <row r="173">
      <c r="B173" s="54" t="inlineStr">
        <is>
          <t>Other cash receipts from sales of interests in joint ventures</t>
        </is>
      </c>
      <c r="C173" s="55" t="inlineStr">
        <is>
          <t>OtherCashReceiptsFromSalesOfInterestsInJointVenturesClassifiedAsInvestingActivities</t>
        </is>
      </c>
      <c r="D173" s="56" t="n">
        <v>0</v>
      </c>
      <c r="E173" s="56" t="n">
        <v>0</v>
      </c>
      <c r="F173" s="56" t="n">
        <v>17860000000</v>
      </c>
      <c r="G173" s="56" t="n">
        <v>33924000000</v>
      </c>
      <c r="H173" s="56" t="n">
        <v>0</v>
      </c>
      <c r="I173" s="56" t="n">
        <v>0</v>
      </c>
    </row>
    <row r="174">
      <c r="B174" s="54" t="inlineStr">
        <is>
          <t>Proceeds from sales of property, plant and equipment</t>
        </is>
      </c>
      <c r="C174" s="55" t="inlineStr">
        <is>
          <t>ProceedsFromSalesOfPropertyPlantAndEquipmentClassifiedAsInvestingActivities</t>
        </is>
      </c>
      <c r="D174" s="56" t="n">
        <v>25000000</v>
      </c>
      <c r="E174" s="56" t="n">
        <v>8000000</v>
      </c>
      <c r="F174" s="56" t="n">
        <v>39000000</v>
      </c>
      <c r="G174" s="56" t="n">
        <v>21000000</v>
      </c>
      <c r="H174" s="56" t="n">
        <v>59000000</v>
      </c>
      <c r="I174" s="56" t="n">
        <v>10000000</v>
      </c>
    </row>
    <row r="175">
      <c r="B175" s="54" t="inlineStr">
        <is>
          <t>Purchase of property, plant and equipment</t>
        </is>
      </c>
      <c r="C175" s="55" t="inlineStr">
        <is>
          <t>PurchaseOfPropertyPlantAndEquipmentClassifiedAsInvestingActivities</t>
        </is>
      </c>
      <c r="D175" s="56" t="n">
        <v>845000000</v>
      </c>
      <c r="E175" s="56" t="n">
        <v>989000000</v>
      </c>
      <c r="F175" s="56" t="n">
        <v>1747000000</v>
      </c>
      <c r="G175" s="56" t="n">
        <v>1241000000</v>
      </c>
      <c r="H175" s="56" t="n">
        <v>673000000</v>
      </c>
      <c r="I175" s="56" t="n">
        <v>1982000000</v>
      </c>
    </row>
    <row r="176">
      <c r="B176" s="54" t="inlineStr">
        <is>
          <t>Proceeds from sales of other long-term assets</t>
        </is>
      </c>
      <c r="C176" s="55" t="inlineStr">
        <is>
          <t>ProceedsFromSalesOfOtherLongTermAssetsClassifiedAsInvestingActivities</t>
        </is>
      </c>
      <c r="D176" s="56" t="n">
        <v>0</v>
      </c>
      <c r="E176" s="56" t="n">
        <v>13771000000</v>
      </c>
      <c r="F176" s="56" t="n">
        <v>0</v>
      </c>
      <c r="G176" s="56" t="n">
        <v>0</v>
      </c>
      <c r="H176" s="56" t="n">
        <v>0</v>
      </c>
      <c r="I176" s="56" t="n">
        <v>0</v>
      </c>
    </row>
    <row r="177">
      <c r="B177" s="54" t="inlineStr">
        <is>
          <t>Purchase of other long-term assets</t>
        </is>
      </c>
      <c r="C177" s="55" t="inlineStr">
        <is>
          <t>PurchaseOfOtherLongTermAssetsClassifiedAsInvestingActivities</t>
        </is>
      </c>
      <c r="D177" s="56" t="n">
        <v>0</v>
      </c>
      <c r="E177" s="56" t="n">
        <v>14649000000</v>
      </c>
      <c r="F177" s="56" t="n">
        <v>0</v>
      </c>
      <c r="G177" s="56" t="n">
        <v>0</v>
      </c>
      <c r="H177" s="56" t="n">
        <v>0</v>
      </c>
      <c r="I177" s="56" t="n">
        <v>0</v>
      </c>
    </row>
    <row r="178">
      <c r="B178" s="54" t="inlineStr">
        <is>
          <t>Dividends received</t>
        </is>
      </c>
      <c r="C178" s="55" t="inlineStr">
        <is>
          <t>DividendsReceivedClassifiedAsInvestingActivities</t>
        </is>
      </c>
      <c r="D178" s="56" t="n">
        <v>88000000</v>
      </c>
      <c r="E178" s="56" t="n">
        <v>1000000</v>
      </c>
      <c r="F178" s="56" t="n">
        <v>0</v>
      </c>
      <c r="G178" s="56" t="n">
        <v>0</v>
      </c>
      <c r="H178" s="56" t="n">
        <v>0</v>
      </c>
      <c r="I178" s="56" t="n">
        <v>0</v>
      </c>
    </row>
    <row r="179">
      <c r="B179" s="54" t="inlineStr">
        <is>
          <t>Interest received</t>
        </is>
      </c>
      <c r="C179" s="55" t="inlineStr">
        <is>
          <t>InterestReceivedClassifiedAsInvestingActivities</t>
        </is>
      </c>
      <c r="D179" s="56" t="n">
        <v>51000000</v>
      </c>
      <c r="E179" s="56" t="n">
        <v>51000000</v>
      </c>
      <c r="F179" s="56" t="n">
        <v>76000000</v>
      </c>
      <c r="G179" s="56" t="n">
        <v>133000000</v>
      </c>
      <c r="H179" s="56" t="n">
        <v>168000000</v>
      </c>
      <c r="I179" s="56" t="n">
        <v>273000000</v>
      </c>
    </row>
    <row r="180">
      <c r="B180" s="54" t="inlineStr">
        <is>
          <t>Other inflows (outflows) of cash</t>
        </is>
      </c>
      <c r="C180" s="55" t="inlineStr">
        <is>
          <t>OtherInflowsOutflowsOfCashClassifiedAsInvestingActivities</t>
        </is>
      </c>
      <c r="D180" s="56" t="n">
        <v>-13256000000</v>
      </c>
      <c r="E180" s="56" t="n">
        <v>0</v>
      </c>
      <c r="F180" s="56" t="n">
        <v>0</v>
      </c>
      <c r="G180" s="56" t="n">
        <v>0</v>
      </c>
      <c r="H180" s="56" t="n">
        <v>454000000</v>
      </c>
      <c r="I180" s="56" t="n">
        <v>-1076000000</v>
      </c>
    </row>
    <row r="181">
      <c r="B181" s="57" t="inlineStr">
        <is>
          <t>Net cash flows from (used in) investing activities</t>
        </is>
      </c>
      <c r="C181" s="55" t="inlineStr">
        <is>
          <t>CashFlowsFromUsedInInvestingActivities</t>
        </is>
      </c>
      <c r="D181" s="58" t="n">
        <v>-4512000000</v>
      </c>
      <c r="E181" s="58" t="n">
        <v>-2467000000</v>
      </c>
      <c r="F181" s="58" t="n">
        <v>-1933000000</v>
      </c>
      <c r="G181" s="58" t="n">
        <v>-229000000</v>
      </c>
      <c r="H181" s="58" t="n">
        <v>-11833000000</v>
      </c>
      <c r="I181" s="58" t="n">
        <v>-6860000000</v>
      </c>
    </row>
    <row r="182" ht="15.5" customHeight="1" s="203">
      <c r="B182" s="38" t="inlineStr">
        <is>
          <t>Cash flows from used in financing activities [Abstract]</t>
        </is>
      </c>
    </row>
    <row r="183">
      <c r="B183" s="54" t="inlineStr">
        <is>
          <t>Proceeds from issuing shares</t>
        </is>
      </c>
      <c r="C183" s="55" t="inlineStr">
        <is>
          <t>ProceedsFromIssuingSharesClassifiedAsFinancingActivities</t>
        </is>
      </c>
      <c r="D183" s="56" t="n">
        <v>8000000</v>
      </c>
      <c r="E183" s="56" t="n">
        <v>1000000</v>
      </c>
      <c r="F183" s="56" t="n">
        <v>3000000</v>
      </c>
      <c r="G183" s="56" t="n">
        <v>4000000</v>
      </c>
      <c r="H183" s="56" t="n">
        <v>1000000</v>
      </c>
      <c r="I183" s="56" t="n">
        <v>1000000</v>
      </c>
    </row>
    <row r="184">
      <c r="B184" s="54" t="inlineStr">
        <is>
          <t>Payments to acquire or redeem entity's shares</t>
        </is>
      </c>
      <c r="C184" s="55" t="inlineStr">
        <is>
          <t>PaymentsToAcquireOrRedeemEntitysShares</t>
        </is>
      </c>
      <c r="D184" s="56" t="n">
        <v>0</v>
      </c>
      <c r="E184" s="56" t="n">
        <v>2640000000</v>
      </c>
      <c r="F184" s="56" t="n">
        <v>0</v>
      </c>
      <c r="G184" s="56" t="n">
        <v>0</v>
      </c>
      <c r="H184" s="56" t="n">
        <v>0</v>
      </c>
      <c r="I184" s="56" t="n">
        <v>0</v>
      </c>
    </row>
    <row r="185">
      <c r="B185" s="54" t="inlineStr">
        <is>
          <t>Proceeds from borrowings</t>
        </is>
      </c>
      <c r="C185" s="55" t="inlineStr">
        <is>
          <t>ProceedsFromBorrowingsClassifiedAsFinancingActivities</t>
        </is>
      </c>
      <c r="D185" s="56" t="n">
        <v>935000000</v>
      </c>
      <c r="E185" s="56" t="n">
        <v>4500000000</v>
      </c>
      <c r="F185" s="56" t="n">
        <v>0</v>
      </c>
      <c r="G185" s="56" t="n">
        <v>0</v>
      </c>
      <c r="H185" s="56" t="n">
        <v>0</v>
      </c>
      <c r="I185" s="56" t="n">
        <v>0</v>
      </c>
    </row>
    <row r="186">
      <c r="B186" s="54" t="inlineStr">
        <is>
          <t>Repayments of borrowings</t>
        </is>
      </c>
      <c r="C186" s="55" t="inlineStr">
        <is>
          <t>RepaymentsOfBorrowingsClassifiedAsFinancingActivities</t>
        </is>
      </c>
      <c r="D186" s="56" t="n">
        <v>405000000</v>
      </c>
      <c r="E186" s="56" t="n">
        <v>2504000000</v>
      </c>
      <c r="F186" s="56" t="n">
        <v>3004000000</v>
      </c>
      <c r="G186" s="56" t="n">
        <v>5000000</v>
      </c>
      <c r="H186" s="56" t="n">
        <v>5000000</v>
      </c>
      <c r="I186" s="56" t="n">
        <v>0</v>
      </c>
    </row>
    <row r="187">
      <c r="B187" s="54" t="inlineStr">
        <is>
          <t>Payments of lease liabilities</t>
        </is>
      </c>
      <c r="C187" s="55" t="inlineStr">
        <is>
          <t>PaymentsOfLeaseLiabilitiesClassifiedAsFinancingActivities</t>
        </is>
      </c>
      <c r="D187" s="56" t="n">
        <v>0</v>
      </c>
      <c r="E187" s="56" t="n">
        <v>0</v>
      </c>
      <c r="F187" s="56" t="n">
        <v>0</v>
      </c>
      <c r="G187" s="56" t="n">
        <v>1019000000</v>
      </c>
      <c r="H187" s="56" t="n">
        <v>837000000</v>
      </c>
      <c r="I187" s="56" t="n">
        <v>928000000</v>
      </c>
    </row>
    <row r="188">
      <c r="B188" s="54" t="inlineStr">
        <is>
          <t>Dividends paid</t>
        </is>
      </c>
      <c r="C188" s="55" t="inlineStr">
        <is>
          <t>DividendsPaidClassifiedAsFinancingActivities</t>
        </is>
      </c>
      <c r="D188" s="56" t="n">
        <v>1934000000</v>
      </c>
      <c r="E188" s="56" t="n">
        <v>2142000000</v>
      </c>
      <c r="F188" s="56" t="n">
        <v>2180000000</v>
      </c>
      <c r="G188" s="56" t="n">
        <v>5940000000</v>
      </c>
      <c r="H188" s="56" t="n">
        <v>2880000000</v>
      </c>
      <c r="I188" s="56" t="n">
        <v>4528000000</v>
      </c>
    </row>
    <row r="189">
      <c r="B189" s="54" t="inlineStr">
        <is>
          <t>Interest paid</t>
        </is>
      </c>
      <c r="C189" s="55" t="inlineStr">
        <is>
          <t>InterestPaidClassifiedAsFinancingActivities</t>
        </is>
      </c>
      <c r="D189" s="56" t="n">
        <v>3000000</v>
      </c>
      <c r="E189" s="56" t="n">
        <v>53000000</v>
      </c>
      <c r="F189" s="56" t="n">
        <v>0</v>
      </c>
      <c r="G189" s="56" t="n">
        <v>0</v>
      </c>
      <c r="H189" s="56" t="n">
        <v>504000000</v>
      </c>
      <c r="I189" s="56" t="n">
        <v>502000000</v>
      </c>
    </row>
    <row r="190">
      <c r="B190" s="54" t="inlineStr">
        <is>
          <t>Other inflows (outflows) of cash</t>
        </is>
      </c>
      <c r="C190" s="55" t="inlineStr">
        <is>
          <t>OtherInflowsOutflowsOfCashClassifiedAsFinancingActivities</t>
        </is>
      </c>
      <c r="D190" s="56" t="n">
        <v>0</v>
      </c>
      <c r="E190" s="56" t="n">
        <v>0</v>
      </c>
      <c r="F190" s="56" t="n">
        <v>-40000000</v>
      </c>
      <c r="G190" s="56" t="n">
        <v>0</v>
      </c>
      <c r="H190" s="56" t="n">
        <v>0</v>
      </c>
      <c r="I190" s="56" t="n">
        <v>0</v>
      </c>
    </row>
    <row r="191">
      <c r="B191" s="57" t="inlineStr">
        <is>
          <t>Net cash flows from (used in) financing activities</t>
        </is>
      </c>
      <c r="C191" s="55" t="inlineStr">
        <is>
          <t>CashFlowsFromUsedInFinancingActivities</t>
        </is>
      </c>
      <c r="D191" s="58" t="n">
        <v>-1399000000</v>
      </c>
      <c r="E191" s="58" t="n">
        <v>-2838000000</v>
      </c>
      <c r="F191" s="58" t="n">
        <v>-5221000000</v>
      </c>
      <c r="G191" s="58" t="n">
        <v>-6960000000</v>
      </c>
      <c r="H191" s="58" t="n">
        <v>-4225000000</v>
      </c>
      <c r="I191" s="58" t="n">
        <v>-5957000000</v>
      </c>
    </row>
    <row r="192">
      <c r="B192" s="8" t="inlineStr">
        <is>
          <t>Net increase (decrease) in cash and cash equivalents before effect of exchange rate changes</t>
        </is>
      </c>
      <c r="C192" s="55" t="inlineStr">
        <is>
          <t>IncreaseDecreaseInCashAndCashEquivalentsBeforeEffectOfExchangeRateChanges</t>
        </is>
      </c>
      <c r="D192" s="58" t="n">
        <v>758000000</v>
      </c>
      <c r="E192" s="58" t="n">
        <v>764000000</v>
      </c>
      <c r="F192" s="58" t="n">
        <v>-850000000</v>
      </c>
      <c r="G192" s="58" t="n">
        <v>1063000000</v>
      </c>
      <c r="H192" s="58" t="n">
        <v>3895000000</v>
      </c>
      <c r="I192" s="58" t="n">
        <v>2556000000</v>
      </c>
    </row>
    <row r="193" ht="15.5" customHeight="1" s="203">
      <c r="B193" s="38" t="inlineStr">
        <is>
          <t>Effect of exchange rate changes on cash and cash equivalents [Abstract]</t>
        </is>
      </c>
    </row>
    <row r="194">
      <c r="B194" s="54" t="inlineStr">
        <is>
          <t>Effect of exchange rate changes on cash and cash equivalents</t>
        </is>
      </c>
      <c r="C194" s="55" t="inlineStr">
        <is>
          <t>EffectOfExchangeRateChangesOnCashAndCashEquivalents</t>
        </is>
      </c>
      <c r="D194" s="56" t="n">
        <v>-37000000</v>
      </c>
      <c r="E194" s="56" t="n">
        <v>-3000000</v>
      </c>
      <c r="F194" s="56" t="n">
        <v>132000000</v>
      </c>
      <c r="G194" s="56" t="n">
        <v>287000000</v>
      </c>
      <c r="H194" s="56" t="n">
        <v>-214000000</v>
      </c>
      <c r="I194" s="56" t="n">
        <v>363000000</v>
      </c>
    </row>
    <row r="195">
      <c r="B195" s="8" t="inlineStr">
        <is>
          <t>Net increase (decrease) in cash and cash equivalents</t>
        </is>
      </c>
      <c r="C195" s="55" t="inlineStr">
        <is>
          <t>IncreaseDecreaseInCashAndCashEquivalents</t>
        </is>
      </c>
      <c r="D195" s="58" t="n">
        <v>721000000</v>
      </c>
      <c r="E195" s="58" t="n">
        <v>761000000</v>
      </c>
      <c r="F195" s="58" t="n">
        <v>-718000000</v>
      </c>
      <c r="G195" s="58" t="n">
        <v>1350000000</v>
      </c>
      <c r="H195" s="58" t="n">
        <v>3681000000</v>
      </c>
      <c r="I195" s="58" t="n">
        <v>2919000000</v>
      </c>
    </row>
    <row r="198" ht="21" customHeight="1" s="203">
      <c r="A198" t="inlineStr">
        <is>
          <t>#</t>
        </is>
      </c>
      <c r="B198" s="70" t="inlineStr">
        <is>
          <t>NOTES TO ACCOUNTS</t>
        </is>
      </c>
    </row>
    <row r="200" ht="15.5" customHeight="1" s="203">
      <c r="A200" t="inlineStr">
        <is>
          <t>#</t>
        </is>
      </c>
      <c r="B200" s="38" t="inlineStr">
        <is>
          <t>Notes to Statement of Profit and Loss: Additional Information Statement Of Profit And Loss</t>
        </is>
      </c>
    </row>
    <row r="202">
      <c r="C202" s="53" t="inlineStr">
        <is>
          <t>Concept Tag</t>
        </is>
      </c>
      <c r="D202" s="20" t="inlineStr">
        <is>
          <t>FY2017</t>
        </is>
      </c>
      <c r="E202" s="20" t="inlineStr">
        <is>
          <t>FY2018</t>
        </is>
      </c>
      <c r="F202" s="20" t="inlineStr">
        <is>
          <t>FY2019</t>
        </is>
      </c>
      <c r="G202" s="20" t="inlineStr">
        <is>
          <t>FY2020</t>
        </is>
      </c>
      <c r="H202" s="20" t="inlineStr">
        <is>
          <t>FY2021</t>
        </is>
      </c>
      <c r="I202" s="20" t="inlineStr">
        <is>
          <t>FY2022</t>
        </is>
      </c>
    </row>
    <row r="203" ht="15.5" customHeight="1" s="203">
      <c r="B203" s="38" t="inlineStr">
        <is>
          <t>Additional information on profit and loss account [Abstract]</t>
        </is>
      </c>
    </row>
    <row r="204">
      <c r="B204" s="59" t="inlineStr">
        <is>
          <t>Miscellaneous other comprehensive income [Abstract]</t>
        </is>
      </c>
    </row>
    <row r="205">
      <c r="B205" s="62" t="inlineStr">
        <is>
          <t>Other Comprehensive income, attributable to owners of parent</t>
        </is>
      </c>
      <c r="C205" s="55" t="inlineStr">
        <is>
          <t>OtherComprehensiveIncomeAttributableToOwnersOfParent</t>
        </is>
      </c>
      <c r="D205" s="56" t="n">
        <v>-11000000</v>
      </c>
      <c r="E205" s="56" t="n">
        <v>0</v>
      </c>
      <c r="F205" s="56" t="n">
        <v>0</v>
      </c>
      <c r="G205" s="56" t="n">
        <v>0</v>
      </c>
      <c r="H205" s="56" t="n">
        <v>0</v>
      </c>
      <c r="I205" s="56" t="n">
        <v>0</v>
      </c>
    </row>
    <row r="206">
      <c r="B206" s="59" t="inlineStr">
        <is>
          <t>Income tax relating to components of other comprehensive income [Abstract]</t>
        </is>
      </c>
    </row>
    <row r="207">
      <c r="B207" s="62" t="inlineStr">
        <is>
          <t>Aggregated income tax relating to components of other comprehensive income that will not be reclassified to profit or loss</t>
        </is>
      </c>
      <c r="C207" s="55" t="inlineStr">
        <is>
          <t>IncomeTaxRelatingToComponentsOfOtherComprehensiveIncomeThatWillNotBeReclassifiedToProfitOrLoss</t>
        </is>
      </c>
      <c r="D207" s="56" t="n">
        <v>-3000000</v>
      </c>
      <c r="E207" s="56" t="n">
        <v>-5000000</v>
      </c>
      <c r="F207" s="56" t="n">
        <v>-21000000</v>
      </c>
      <c r="G207" s="56" t="n">
        <v>-26000000</v>
      </c>
      <c r="H207" s="56" t="n">
        <v>-28000000</v>
      </c>
      <c r="I207" s="56" t="n">
        <v>24000000</v>
      </c>
    </row>
    <row r="208">
      <c r="B208" s="62" t="inlineStr">
        <is>
          <t>Aggregated income tax relating to components of other comprehensive income that will be reclassified to profit or loss</t>
        </is>
      </c>
      <c r="C208" s="55" t="inlineStr">
        <is>
          <t>IncomeTaxRelatingToComponentsOfOtherComprehensiveIncomeThatWillBeReclassifiedToProfitOrLoss</t>
        </is>
      </c>
      <c r="D208" s="56" t="n">
        <v>0</v>
      </c>
      <c r="E208" s="56" t="n">
        <v>0</v>
      </c>
      <c r="F208" s="56" t="n">
        <v>0</v>
      </c>
      <c r="G208" s="56" t="n">
        <v>-1093000000</v>
      </c>
      <c r="H208" s="56" t="n">
        <v>1819000000</v>
      </c>
      <c r="I208" s="56" t="n">
        <v>480000000</v>
      </c>
    </row>
    <row r="209">
      <c r="B209" s="67" t="inlineStr">
        <is>
          <t>Total aggregated income tax relating to components of other comprehensive income</t>
        </is>
      </c>
      <c r="C209" s="55" t="inlineStr">
        <is>
          <t>IncomeTaxRelatingToComponentsOfOtherComprehensiveIncome</t>
        </is>
      </c>
      <c r="D209" s="58" t="n">
        <v>-3000000</v>
      </c>
      <c r="E209" s="58" t="n">
        <v>-5000000</v>
      </c>
      <c r="F209" s="58" t="n">
        <v>-21000000</v>
      </c>
      <c r="G209" s="58" t="n">
        <v>-1119000000</v>
      </c>
      <c r="H209" s="58" t="n">
        <v>1791000000</v>
      </c>
      <c r="I209" s="58" t="n">
        <v>504000000</v>
      </c>
    </row>
    <row r="210">
      <c r="B210" s="59" t="inlineStr">
        <is>
          <t>Details of cost incurred for issuing options or shares under employee stock option or stock purchase scheme [Abstract]</t>
        </is>
      </c>
    </row>
    <row r="211">
      <c r="B211" s="60" t="inlineStr">
        <is>
          <t>Revenue from sale of services [Abstract]</t>
        </is>
      </c>
    </row>
    <row r="212">
      <c r="B212" s="65" t="inlineStr">
        <is>
          <t>Total revenue from sale of services</t>
        </is>
      </c>
      <c r="C212" s="55" t="inlineStr">
        <is>
          <t>RevenueFromSaleOfServices</t>
        </is>
      </c>
      <c r="D212" s="58" t="n">
        <v>47526000000</v>
      </c>
      <c r="E212" s="58" t="n">
        <v>53250000000</v>
      </c>
      <c r="F212" s="58" t="n">
        <v>70215000000</v>
      </c>
      <c r="G212" s="58" t="n">
        <v>77643000000</v>
      </c>
      <c r="H212" s="58" t="n">
        <v>79678000000</v>
      </c>
      <c r="I212" s="58" t="n">
        <v>105253000000</v>
      </c>
    </row>
    <row r="217" ht="15.5" customHeight="1" s="203">
      <c r="A217" t="inlineStr">
        <is>
          <t>#</t>
        </is>
      </c>
      <c r="B217" s="38" t="inlineStr">
        <is>
          <t>Notes to Statement of Profit and Loss: Earnings Per Share</t>
        </is>
      </c>
    </row>
    <row r="219">
      <c r="C219" s="53" t="inlineStr">
        <is>
          <t>Concept Tag</t>
        </is>
      </c>
      <c r="D219" s="20" t="inlineStr">
        <is>
          <t>FY2017</t>
        </is>
      </c>
      <c r="E219" s="20" t="inlineStr">
        <is>
          <t>FY2018</t>
        </is>
      </c>
      <c r="F219" s="20" t="inlineStr">
        <is>
          <t>FY2019</t>
        </is>
      </c>
      <c r="G219" s="20" t="inlineStr">
        <is>
          <t>FY2020</t>
        </is>
      </c>
      <c r="H219" s="20" t="inlineStr">
        <is>
          <t>FY2021</t>
        </is>
      </c>
      <c r="I219" s="20" t="inlineStr">
        <is>
          <t>FY2022</t>
        </is>
      </c>
    </row>
    <row r="220">
      <c r="B220" s="59" t="inlineStr">
        <is>
          <t>Earnings per share [Abstract]</t>
        </is>
      </c>
    </row>
    <row r="221">
      <c r="B221" s="60" t="inlineStr">
        <is>
          <t>Earnings per share [Line items]</t>
        </is>
      </c>
    </row>
    <row r="222">
      <c r="B222" s="63" t="inlineStr">
        <is>
          <t>Basic earnings per share [Abstract]</t>
        </is>
      </c>
    </row>
    <row r="223">
      <c r="B223" s="64" t="inlineStr">
        <is>
          <t>Basic earnings (loss) per share from continuing operations</t>
        </is>
      </c>
      <c r="C223" s="55" t="inlineStr">
        <is>
          <t>BasicEarningsLossPerShareFromContinuingOperations</t>
        </is>
      </c>
      <c r="D223" s="56" t="n">
        <v>29.13</v>
      </c>
      <c r="E223" s="56" t="n">
        <v>37.69</v>
      </c>
      <c r="F223" s="56" t="n">
        <v>45.94</v>
      </c>
      <c r="G223" s="56" t="n">
        <v>38.35</v>
      </c>
      <c r="H223" s="56" t="n">
        <v>67.43000000000001</v>
      </c>
      <c r="I223" s="56" t="n">
        <v>100.3</v>
      </c>
    </row>
    <row r="224">
      <c r="B224" s="66" t="inlineStr">
        <is>
          <t>Total basic earnings (loss) per share</t>
        </is>
      </c>
      <c r="C224" s="55" t="inlineStr">
        <is>
          <t>BasicEarningsLossPerShare</t>
        </is>
      </c>
      <c r="D224" s="58" t="n">
        <v>29.13</v>
      </c>
      <c r="E224" s="58" t="n">
        <v>37.69</v>
      </c>
      <c r="F224" s="58" t="n">
        <v>45.94</v>
      </c>
      <c r="G224" s="58" t="n">
        <v>38.35</v>
      </c>
      <c r="H224" s="58" t="n">
        <v>67.43000000000001</v>
      </c>
      <c r="I224" s="58" t="n">
        <v>100.3</v>
      </c>
    </row>
    <row r="225">
      <c r="B225" s="63" t="inlineStr">
        <is>
          <t>Diluted earnings per share [Abstract]</t>
        </is>
      </c>
    </row>
    <row r="226">
      <c r="B226" s="64" t="inlineStr">
        <is>
          <t>Diluted earnings (loss) per share from continuing operations</t>
        </is>
      </c>
      <c r="C226" s="55" t="inlineStr">
        <is>
          <t>DilutedEarningsLossPerShareFromContinuingOperations</t>
        </is>
      </c>
      <c r="D226" s="56" t="n">
        <v>29.08</v>
      </c>
      <c r="E226" s="56" t="n">
        <v>37.58</v>
      </c>
      <c r="F226" s="56" t="n">
        <v>45.84</v>
      </c>
      <c r="G226" s="56" t="n">
        <v>38.33</v>
      </c>
      <c r="H226" s="56" t="n">
        <v>67.39</v>
      </c>
      <c r="I226" s="56" t="n">
        <v>100.24</v>
      </c>
    </row>
    <row r="227">
      <c r="B227" s="66" t="inlineStr">
        <is>
          <t>Total diluted earnings (loss) per share</t>
        </is>
      </c>
      <c r="C227" s="55" t="inlineStr">
        <is>
          <t>DilutedEarningsLossPerShare</t>
        </is>
      </c>
      <c r="D227" s="58" t="n">
        <v>29.08</v>
      </c>
      <c r="E227" s="58" t="n">
        <v>37.58</v>
      </c>
      <c r="F227" s="58" t="n">
        <v>45.84</v>
      </c>
      <c r="G227" s="58" t="n">
        <v>38.33</v>
      </c>
      <c r="H227" s="58" t="n">
        <v>67.39</v>
      </c>
      <c r="I227" s="58" t="n">
        <v>100.24</v>
      </c>
    </row>
    <row r="228">
      <c r="B228" s="63" t="inlineStr">
        <is>
          <t>Profit (loss), attributable to ordinary equity holders of parent entity [Abstract]</t>
        </is>
      </c>
    </row>
    <row r="229">
      <c r="B229" s="64" t="inlineStr">
        <is>
          <t>Profit (loss), attributable to ordinary equity holders of parent entity, used in calculating basic earnings per share</t>
        </is>
      </c>
      <c r="C229" s="55" t="inlineStr">
        <is>
          <t>ProfitLossAttributableToOrdinaryEquityHoldersOfParentEntity</t>
        </is>
      </c>
      <c r="D229" s="56" t="n">
        <v>4891000000</v>
      </c>
      <c r="E229" s="56" t="n">
        <v>6249000000</v>
      </c>
      <c r="F229" s="56" t="n">
        <v>0</v>
      </c>
      <c r="G229" s="56" t="n">
        <v>0</v>
      </c>
      <c r="H229" s="56" t="n">
        <v>11103000000</v>
      </c>
      <c r="I229" s="56" t="n">
        <v>16528000000</v>
      </c>
    </row>
    <row r="230">
      <c r="B230" s="64" t="inlineStr">
        <is>
          <t>Profit (loss), attributable to ordinary equity holders of parent entity, used in calculating diluted earnings per share</t>
        </is>
      </c>
      <c r="C230" s="55" t="inlineStr">
        <is>
          <t>ProfitLossAttributableToOrdinaryEquityHoldersOfParentEntityIncludingDilutiveEffects</t>
        </is>
      </c>
      <c r="D230" s="56" t="n">
        <v>4891000000</v>
      </c>
      <c r="E230" s="56" t="n">
        <v>6249000000</v>
      </c>
      <c r="F230" s="56" t="n">
        <v>0</v>
      </c>
      <c r="G230" s="56" t="n">
        <v>0</v>
      </c>
      <c r="H230" s="56" t="n">
        <v>11103000000</v>
      </c>
      <c r="I230" s="56" t="n">
        <v>16528000000</v>
      </c>
    </row>
    <row r="231">
      <c r="B231" s="63" t="inlineStr">
        <is>
          <t>Weighted average shares and adjusted weighted average shares [Abstract]</t>
        </is>
      </c>
    </row>
    <row r="232">
      <c r="B232" s="64" t="inlineStr">
        <is>
          <t>Weighted average number of ordinary shares outstanding</t>
        </is>
      </c>
      <c r="C232" s="55" t="inlineStr">
        <is>
          <t>WeightedAverageShares</t>
        </is>
      </c>
      <c r="D232" s="56" t="n">
        <v>167918389</v>
      </c>
      <c r="E232" s="56" t="n">
        <v>165787460</v>
      </c>
      <c r="F232" s="56" t="n">
        <v>0</v>
      </c>
      <c r="G232" s="56" t="n">
        <v>0</v>
      </c>
      <c r="H232" s="56" t="n">
        <v>164661734</v>
      </c>
      <c r="I232" s="56" t="n">
        <v>164779774</v>
      </c>
    </row>
    <row r="234" ht="15.5" customHeight="1" s="203">
      <c r="B234" s="38" t="inlineStr">
        <is>
          <t>Adjustments to reconcile profit (loss) to numerator used in calculating earnings per share [abstract]</t>
        </is>
      </c>
    </row>
    <row r="235">
      <c r="B235" s="54" t="inlineStr">
        <is>
          <t>Profit (loss), attributable to ordinary equity holders of parent entity, used in calculating basic earnings per share</t>
        </is>
      </c>
      <c r="C235" s="55" t="inlineStr">
        <is>
          <t>ProfitLossAttributableToOrdinaryEquityHoldersOfParentEntity</t>
        </is>
      </c>
      <c r="D235" s="56" t="n">
        <v>4891000000</v>
      </c>
      <c r="E235" s="56" t="n">
        <v>6249000000</v>
      </c>
      <c r="F235" s="56" t="n">
        <v>0</v>
      </c>
      <c r="G235" s="56" t="n">
        <v>0</v>
      </c>
      <c r="H235" s="56" t="n">
        <v>11103000000</v>
      </c>
      <c r="I235" s="56" t="n">
        <v>16528000000</v>
      </c>
    </row>
    <row r="236">
      <c r="B236" s="54" t="inlineStr">
        <is>
          <t>Profit (loss), attributable to ordinary equity holders of parent entity, used in calculating diluted earnings per share</t>
        </is>
      </c>
      <c r="C236" s="55" t="inlineStr">
        <is>
          <t>ProfitLossAttributableToOrdinaryEquityHoldersOfParentEntityIncludingDilutiveEffects</t>
        </is>
      </c>
      <c r="D236" s="56" t="n">
        <v>4891000000</v>
      </c>
      <c r="E236" s="56" t="n">
        <v>6249000000</v>
      </c>
      <c r="F236" s="56" t="n">
        <v>0</v>
      </c>
      <c r="G236" s="56" t="n">
        <v>0</v>
      </c>
      <c r="H236" s="56" t="n">
        <v>11103000000</v>
      </c>
      <c r="I236" s="56" t="n">
        <v>16528000000</v>
      </c>
    </row>
    <row r="238" ht="15.5" customHeight="1" s="203">
      <c r="B238" s="38" t="inlineStr">
        <is>
          <t>Participating equity instruments other than ordinary shares [abstract]</t>
        </is>
      </c>
    </row>
    <row r="239">
      <c r="B239" s="59" t="inlineStr">
        <is>
          <t>Disclosure of depositary receipts [abstract]</t>
        </is>
      </c>
    </row>
    <row r="240">
      <c r="B240" s="60" t="inlineStr">
        <is>
          <t>Disclosure of depositary receipts [Line items]</t>
        </is>
      </c>
    </row>
    <row r="241">
      <c r="B241" s="63" t="inlineStr">
        <is>
          <t>Basic earnings per share [Abstract]</t>
        </is>
      </c>
    </row>
    <row r="242">
      <c r="B242" s="64" t="inlineStr">
        <is>
          <t>Basic earnings (loss) per share from continuing operations</t>
        </is>
      </c>
      <c r="C242" s="55" t="inlineStr">
        <is>
          <t>BasicEarningsLossPerShareFromContinuingOperations</t>
        </is>
      </c>
      <c r="D242" s="56" t="n">
        <v>29.13</v>
      </c>
      <c r="E242" s="56" t="n">
        <v>37.69</v>
      </c>
      <c r="F242" s="56" t="n">
        <v>45.94</v>
      </c>
      <c r="G242" s="56" t="n">
        <v>38.35</v>
      </c>
      <c r="H242" s="56" t="n">
        <v>67.43000000000001</v>
      </c>
      <c r="I242" s="56" t="n">
        <v>100.3</v>
      </c>
    </row>
    <row r="243">
      <c r="B243" s="66" t="inlineStr">
        <is>
          <t>Total basic earnings (loss) per share</t>
        </is>
      </c>
      <c r="C243" s="55" t="inlineStr">
        <is>
          <t>BasicEarningsLossPerShare</t>
        </is>
      </c>
      <c r="D243" s="58" t="n">
        <v>29.13</v>
      </c>
      <c r="E243" s="58" t="n">
        <v>37.69</v>
      </c>
      <c r="F243" s="58" t="n">
        <v>45.94</v>
      </c>
      <c r="G243" s="58" t="n">
        <v>38.35</v>
      </c>
      <c r="H243" s="58" t="n">
        <v>67.43000000000001</v>
      </c>
      <c r="I243" s="58" t="n">
        <v>100.3</v>
      </c>
    </row>
    <row r="244">
      <c r="B244" s="63" t="inlineStr">
        <is>
          <t>Diluted earnings per share [Abstract]</t>
        </is>
      </c>
    </row>
    <row r="245">
      <c r="B245" s="64" t="inlineStr">
        <is>
          <t>Diluted earnings (loss) per share from continuing operations</t>
        </is>
      </c>
      <c r="C245" s="55" t="inlineStr">
        <is>
          <t>DilutedEarningsLossPerShareFromContinuingOperations</t>
        </is>
      </c>
      <c r="D245" s="56" t="n">
        <v>29.08</v>
      </c>
      <c r="E245" s="56" t="n">
        <v>37.58</v>
      </c>
      <c r="F245" s="56" t="n">
        <v>45.84</v>
      </c>
      <c r="G245" s="56" t="n">
        <v>38.33</v>
      </c>
      <c r="H245" s="56" t="n">
        <v>67.39</v>
      </c>
      <c r="I245" s="56" t="n">
        <v>100.24</v>
      </c>
    </row>
    <row r="246">
      <c r="B246" s="66" t="inlineStr">
        <is>
          <t>Total diluted earnings (loss) per share</t>
        </is>
      </c>
      <c r="C246" s="55" t="inlineStr">
        <is>
          <t>DilutedEarningsLossPerShare</t>
        </is>
      </c>
      <c r="D246" s="58" t="n">
        <v>29.08</v>
      </c>
      <c r="E246" s="58" t="n">
        <v>37.58</v>
      </c>
      <c r="F246" s="58" t="n">
        <v>45.84</v>
      </c>
      <c r="G246" s="58" t="n">
        <v>38.33</v>
      </c>
      <c r="H246" s="58" t="n">
        <v>67.39</v>
      </c>
      <c r="I246" s="58" t="n">
        <v>100.24</v>
      </c>
    </row>
    <row r="247">
      <c r="B247" s="63" t="inlineStr">
        <is>
          <t>Weighted average shares and adjusted weighted average shares [Abstract]</t>
        </is>
      </c>
    </row>
    <row r="248">
      <c r="B248" s="64" t="inlineStr">
        <is>
          <t>Weighted average number of ordinary shares outstanding</t>
        </is>
      </c>
      <c r="C248" s="55" t="inlineStr">
        <is>
          <t>WeightedAverageShares</t>
        </is>
      </c>
      <c r="D248" s="56" t="n">
        <v>167918389</v>
      </c>
      <c r="E248" s="56" t="n">
        <v>165787460</v>
      </c>
      <c r="F248" s="56" t="n">
        <v>0</v>
      </c>
      <c r="G248" s="56" t="n">
        <v>0</v>
      </c>
      <c r="H248" s="56" t="n">
        <v>164661734</v>
      </c>
      <c r="I248" s="56" t="n">
        <v>164779774</v>
      </c>
    </row>
    <row r="251" ht="15.5" customHeight="1" s="203">
      <c r="A251" t="inlineStr">
        <is>
          <t>#</t>
        </is>
      </c>
      <c r="B251" s="38" t="inlineStr">
        <is>
          <t>Notes to Statement of Profit and Loss: Income Taxes</t>
        </is>
      </c>
    </row>
    <row r="253">
      <c r="C253" s="53" t="inlineStr">
        <is>
          <t>Concept Tag</t>
        </is>
      </c>
      <c r="D253" s="20" t="inlineStr">
        <is>
          <t>FY2017</t>
        </is>
      </c>
      <c r="E253" s="20" t="inlineStr">
        <is>
          <t>FY2018</t>
        </is>
      </c>
      <c r="F253" s="20" t="inlineStr">
        <is>
          <t>FY2019</t>
        </is>
      </c>
      <c r="G253" s="20" t="inlineStr">
        <is>
          <t>FY2020</t>
        </is>
      </c>
      <c r="H253" s="20" t="inlineStr">
        <is>
          <t>FY2021</t>
        </is>
      </c>
      <c r="I253" s="20" t="inlineStr">
        <is>
          <t>FY2022</t>
        </is>
      </c>
    </row>
    <row r="254" ht="15.5" customHeight="1" s="203">
      <c r="B254" s="38" t="inlineStr">
        <is>
          <t>Major components of tax expense (income) [Abstract]</t>
        </is>
      </c>
    </row>
    <row r="255">
      <c r="B255" s="59" t="inlineStr">
        <is>
          <t>Current tax expense (income) and adjustments for current tax of prior periods [Abstract]</t>
        </is>
      </c>
    </row>
    <row r="256">
      <c r="B256" s="62" t="inlineStr">
        <is>
          <t>Current tax expense (income)</t>
        </is>
      </c>
      <c r="C256" s="55" t="inlineStr">
        <is>
          <t>CurrentTaxExpenseIncome</t>
        </is>
      </c>
      <c r="D256" s="56" t="n">
        <v>1531000000</v>
      </c>
      <c r="E256" s="56" t="n">
        <v>1555000000</v>
      </c>
      <c r="F256" s="56" t="n">
        <v>2456000000</v>
      </c>
      <c r="G256" s="56" t="n">
        <v>2333000000</v>
      </c>
      <c r="H256" s="56" t="n">
        <v>4214000000</v>
      </c>
      <c r="I256" s="56" t="n">
        <v>5546000000</v>
      </c>
    </row>
    <row r="257">
      <c r="B257" s="67" t="inlineStr">
        <is>
          <t>Total current tax expense (income) and adjustments for current tax of prior periods</t>
        </is>
      </c>
      <c r="C257" s="55" t="inlineStr">
        <is>
          <t>CurrentTaxExpenseIncomeAndAdjustmentsForCurrentTaxOfPriorPeriods</t>
        </is>
      </c>
      <c r="D257" s="58" t="n">
        <v>1531000000</v>
      </c>
      <c r="E257" s="58" t="n">
        <v>1555000000</v>
      </c>
      <c r="F257" s="58" t="n">
        <v>2456000000</v>
      </c>
      <c r="G257" s="58" t="n">
        <v>2333000000</v>
      </c>
      <c r="H257" s="58" t="n">
        <v>4214000000</v>
      </c>
      <c r="I257" s="58" t="n">
        <v>5546000000</v>
      </c>
    </row>
    <row r="258">
      <c r="B258" s="54" t="inlineStr">
        <is>
          <t>Deferred tax expense (income) relating to origination and reversal of temporary differences</t>
        </is>
      </c>
      <c r="C258" s="55" t="inlineStr">
        <is>
          <t>DeferredTaxExpenseIncomeRelatingToOriginationAndReversalOfTemporaryDifferences</t>
        </is>
      </c>
      <c r="D258" s="56" t="n">
        <v>0</v>
      </c>
      <c r="E258" s="56" t="n">
        <v>0</v>
      </c>
      <c r="F258" s="56" t="n">
        <v>-129000000</v>
      </c>
      <c r="G258" s="56" t="n">
        <v>-354000000</v>
      </c>
      <c r="H258" s="56" t="n">
        <v>-335000000</v>
      </c>
      <c r="I258" s="56" t="n">
        <v>32000000</v>
      </c>
    </row>
    <row r="259">
      <c r="B259" s="54" t="inlineStr">
        <is>
          <t>Adjustments for deferred tax of prior periods</t>
        </is>
      </c>
      <c r="C259" s="55" t="inlineStr">
        <is>
          <t>AdjustmentsForDeferredTaxOfPriorPeriods</t>
        </is>
      </c>
      <c r="D259" s="56" t="n">
        <v>-105000000</v>
      </c>
      <c r="E259" s="56" t="n">
        <v>139000000</v>
      </c>
      <c r="F259" s="56" t="n">
        <v>0</v>
      </c>
      <c r="G259" s="56" t="n">
        <v>0</v>
      </c>
      <c r="H259" s="56" t="n">
        <v>0</v>
      </c>
      <c r="I259" s="56" t="n">
        <v>0</v>
      </c>
    </row>
    <row r="260">
      <c r="B260" s="57" t="inlineStr">
        <is>
          <t>Total tax expense (income)</t>
        </is>
      </c>
      <c r="C260" s="55" t="inlineStr">
        <is>
          <t>IncomeTaxExpenseContinuingOperations</t>
        </is>
      </c>
      <c r="D260" s="58" t="n">
        <v>1426000000</v>
      </c>
      <c r="E260" s="58" t="n">
        <v>1694000000</v>
      </c>
      <c r="F260" s="58" t="n">
        <v>2327000000</v>
      </c>
      <c r="G260" s="58" t="n">
        <v>1979000000</v>
      </c>
      <c r="H260" s="58" t="n">
        <v>3879000000</v>
      </c>
      <c r="I260" s="58" t="n">
        <v>5578000000</v>
      </c>
    </row>
    <row r="262" ht="15.5" customHeight="1" s="203">
      <c r="B262" s="38" t="inlineStr">
        <is>
          <t>Current and deferred tax relating to items charged or credited directly to equity [Abstract]</t>
        </is>
      </c>
    </row>
    <row r="263">
      <c r="B263" s="54" t="inlineStr">
        <is>
          <t>Deferred tax relating to items credited (charged) directly to equity</t>
        </is>
      </c>
      <c r="C263" s="55" t="inlineStr">
        <is>
          <t>DeferredTaxRelatingToItemsChargedOrCreditedDirectlyToEquity</t>
        </is>
      </c>
      <c r="D263" s="56" t="n">
        <v>0</v>
      </c>
      <c r="E263" s="56" t="n">
        <v>139000000</v>
      </c>
      <c r="F263" s="56" t="n">
        <v>0</v>
      </c>
      <c r="G263" s="56" t="n">
        <v>0</v>
      </c>
      <c r="H263" s="56" t="n">
        <v>0</v>
      </c>
      <c r="I263" s="56" t="n">
        <v>0</v>
      </c>
    </row>
    <row r="264">
      <c r="B264" s="57" t="inlineStr">
        <is>
          <t>Total aggregate current and deferred tax relating to items credited (charged) directly to equity</t>
        </is>
      </c>
      <c r="C264" s="55" t="inlineStr">
        <is>
          <t>CurrentAndDeferredTaxRelatingToItemsChargedOrCreditedDirectlyToEquity</t>
        </is>
      </c>
      <c r="D264" s="58" t="n">
        <v>0</v>
      </c>
      <c r="E264" s="58" t="n">
        <v>139000000</v>
      </c>
      <c r="F264" s="58" t="n">
        <v>0</v>
      </c>
      <c r="G264" s="58" t="n">
        <v>0</v>
      </c>
      <c r="H264" s="58" t="n">
        <v>0</v>
      </c>
      <c r="I264" s="58" t="n">
        <v>0</v>
      </c>
    </row>
    <row r="266" ht="15.5" customHeight="1" s="203">
      <c r="B266" s="38" t="inlineStr">
        <is>
          <t>Income tax relating to components of other comprehensive income [Abstract]</t>
        </is>
      </c>
    </row>
    <row r="267">
      <c r="B267" s="54" t="inlineStr">
        <is>
          <t>Income tax relating to cash flow hedges of other comprehensive income</t>
        </is>
      </c>
      <c r="C267" s="55" t="inlineStr">
        <is>
          <t>IncomeTaxRelatingToCashFlowHedgesOfOtherComprehensiveIncome</t>
        </is>
      </c>
      <c r="D267" s="56" t="n">
        <v>0</v>
      </c>
      <c r="E267" s="56" t="n">
        <v>0</v>
      </c>
      <c r="F267" s="56" t="n">
        <v>0</v>
      </c>
      <c r="G267" s="56" t="n">
        <v>-1093000000</v>
      </c>
      <c r="H267" s="56" t="n">
        <v>0</v>
      </c>
      <c r="I267" s="56" t="n">
        <v>0</v>
      </c>
    </row>
    <row r="268">
      <c r="B268" s="54" t="inlineStr">
        <is>
          <t>Income tax relating to remeasurements of defined benefit plans of other comprehensive income</t>
        </is>
      </c>
      <c r="C268" s="55" t="inlineStr">
        <is>
          <t>IncomeTaxRelatingToRemeasurementsOfDefinedBenefitPlansOfOtherComprehensiveIncome</t>
        </is>
      </c>
      <c r="D268" s="56" t="n">
        <v>-2000000</v>
      </c>
      <c r="E268" s="56" t="n">
        <v>-5000000</v>
      </c>
      <c r="F268" s="56" t="n">
        <v>-21000000</v>
      </c>
      <c r="G268" s="56" t="n">
        <v>-26000000</v>
      </c>
      <c r="H268" s="56" t="n">
        <v>-28000000</v>
      </c>
      <c r="I268" s="56" t="n">
        <v>24000000</v>
      </c>
    </row>
    <row r="269">
      <c r="B269" s="54" t="inlineStr">
        <is>
          <t>Income tax relating to investments in equity instruments of other comprehensive income</t>
        </is>
      </c>
      <c r="C269" s="55" t="inlineStr">
        <is>
          <t>IncomeTaxRelatingToInvestmentsInEquityInstrumentsOfOtherComprehensiveIncome</t>
        </is>
      </c>
      <c r="D269" s="56" t="n">
        <v>-1000000</v>
      </c>
      <c r="E269" s="56" t="n">
        <v>0</v>
      </c>
      <c r="F269" s="56" t="n">
        <v>0</v>
      </c>
      <c r="G269" s="56" t="n">
        <v>0</v>
      </c>
      <c r="H269" s="56" t="n">
        <v>0</v>
      </c>
      <c r="I269" s="56" t="n">
        <v>0</v>
      </c>
    </row>
    <row r="270">
      <c r="B270" s="54" t="inlineStr">
        <is>
          <t>Others income tax relating to components of other comprehensive income that will be reclassified to profit or loss</t>
        </is>
      </c>
      <c r="C270" s="55" t="inlineStr">
        <is>
          <t>OthersIncomeTaxRelatingToComponentsOfOtherComprehensiveIncomeThatWillBeReclassifiedToProfitOrLoss</t>
        </is>
      </c>
      <c r="D270" s="56" t="n">
        <v>0</v>
      </c>
      <c r="E270" s="56" t="n">
        <v>0</v>
      </c>
      <c r="F270" s="56" t="n">
        <v>0</v>
      </c>
      <c r="G270" s="56" t="n">
        <v>0</v>
      </c>
      <c r="H270" s="56" t="n">
        <v>1819000000</v>
      </c>
      <c r="I270" s="56" t="n">
        <v>480000000</v>
      </c>
    </row>
    <row r="271">
      <c r="B271" s="57" t="inlineStr">
        <is>
          <t>Total aggregated income tax relating to components of other comprehensive income</t>
        </is>
      </c>
      <c r="C271" s="55" t="inlineStr">
        <is>
          <t>IncomeTaxRelatingToComponentsOfOtherComprehensiveIncome</t>
        </is>
      </c>
      <c r="D271" s="58" t="n">
        <v>-3000000</v>
      </c>
      <c r="E271" s="58" t="n">
        <v>-5000000</v>
      </c>
      <c r="F271" s="58" t="n">
        <v>-21000000</v>
      </c>
      <c r="G271" s="58" t="n">
        <v>-1119000000</v>
      </c>
      <c r="H271" s="58" t="n">
        <v>1791000000</v>
      </c>
      <c r="I271" s="58" t="n">
        <v>504000000</v>
      </c>
    </row>
    <row r="273">
      <c r="B273" s="6" t="inlineStr">
        <is>
          <t>Unused tax losses for which no deferred tax Assets recognised</t>
        </is>
      </c>
      <c r="C273" s="55" t="inlineStr">
        <is>
          <t>UnusedTaxLossesForWhichNoDeferredTaxAssetsRecognised</t>
        </is>
      </c>
      <c r="D273" s="56" t="n">
        <v>446000000</v>
      </c>
      <c r="E273" s="56" t="n">
        <v>0</v>
      </c>
      <c r="F273" s="56" t="n">
        <v>0</v>
      </c>
      <c r="G273" s="56" t="n">
        <v>0</v>
      </c>
      <c r="H273" s="56" t="n">
        <v>0</v>
      </c>
      <c r="I273" s="56" t="n">
        <v>0</v>
      </c>
    </row>
    <row r="274">
      <c r="B274" s="59" t="inlineStr">
        <is>
          <t>Disclosure of temporary difference, unused tax losses and unused tax credits [Abstract]</t>
        </is>
      </c>
    </row>
    <row r="275">
      <c r="B275" s="60" t="inlineStr">
        <is>
          <t>Disclosure of temporary difference, unused tax losses and unused tax credits [Line items]</t>
        </is>
      </c>
    </row>
    <row r="276">
      <c r="B276" s="63" t="inlineStr">
        <is>
          <t>Deferred tax assets and liabilities [Abstract]</t>
        </is>
      </c>
    </row>
    <row r="277">
      <c r="B277" s="64" t="inlineStr">
        <is>
          <t>Deferred tax assets</t>
        </is>
      </c>
      <c r="C277" s="55" t="inlineStr">
        <is>
          <t>DeferredTaxAssets</t>
        </is>
      </c>
      <c r="D277" s="56" t="n">
        <v>904000000</v>
      </c>
      <c r="E277" s="56" t="n">
        <v>832000000</v>
      </c>
      <c r="F277" s="56" t="n">
        <v>889000000</v>
      </c>
      <c r="G277" s="56" t="n">
        <v>2328000000</v>
      </c>
      <c r="H277" s="56" t="n">
        <v>1447000000</v>
      </c>
      <c r="I277" s="56" t="n">
        <v>1467000000</v>
      </c>
    </row>
    <row r="278">
      <c r="B278" s="64" t="inlineStr">
        <is>
          <t>Deferred tax liabilities</t>
        </is>
      </c>
      <c r="C278" s="55" t="inlineStr">
        <is>
          <t>DeferredTaxLiabilities</t>
        </is>
      </c>
      <c r="D278" s="56" t="n">
        <v>64000000</v>
      </c>
      <c r="E278" s="56" t="n">
        <v>505000000</v>
      </c>
      <c r="F278" s="56" t="n">
        <v>501000000</v>
      </c>
      <c r="G278" s="56" t="n">
        <v>493000000</v>
      </c>
      <c r="H278" s="56" t="n">
        <v>1096000000</v>
      </c>
      <c r="I278" s="56" t="n">
        <v>1628000000</v>
      </c>
    </row>
    <row r="279">
      <c r="B279" s="66" t="inlineStr">
        <is>
          <t>Deferred tax liability (assets) at end of period</t>
        </is>
      </c>
      <c r="C279" s="55" t="inlineStr">
        <is>
          <t>DeferredTaxLiabilityAssets</t>
        </is>
      </c>
      <c r="D279" s="58" t="n">
        <v>-840000000</v>
      </c>
      <c r="E279" s="58" t="n">
        <v>-327000000</v>
      </c>
      <c r="F279" s="58" t="n">
        <v>-388000000</v>
      </c>
      <c r="G279" s="58" t="n">
        <v>-1835000000</v>
      </c>
      <c r="H279" s="58" t="n">
        <v>-351000000</v>
      </c>
      <c r="I279" s="58" t="n">
        <v>161000000</v>
      </c>
    </row>
    <row r="280">
      <c r="B280" s="63" t="inlineStr">
        <is>
          <t>Deferred tax expense (income) [Abstract]</t>
        </is>
      </c>
    </row>
    <row r="281">
      <c r="B281" s="71" t="inlineStr">
        <is>
          <t>Deferred tax expense (income) recognised in profit or loss</t>
        </is>
      </c>
      <c r="C281" s="55" t="inlineStr">
        <is>
          <t>DeferredTaxExpenseIncomeRecognisedInProfitOrLoss</t>
        </is>
      </c>
      <c r="D281" s="56" t="n">
        <v>-105000000</v>
      </c>
      <c r="E281" s="56" t="n">
        <v>139000000</v>
      </c>
      <c r="F281" s="56" t="n">
        <v>-129000000</v>
      </c>
      <c r="G281" s="56" t="n">
        <v>-354000000</v>
      </c>
      <c r="H281" s="56" t="n">
        <v>-335000000</v>
      </c>
      <c r="I281" s="56" t="n">
        <v>32000000</v>
      </c>
    </row>
    <row r="282">
      <c r="B282" s="63" t="inlineStr">
        <is>
          <t>Reconciliation of changes in deferred tax liability (assets) [Abstract]</t>
        </is>
      </c>
    </row>
    <row r="283">
      <c r="B283" s="66" t="inlineStr">
        <is>
          <t>Deferred tax liability (assets) at end of period</t>
        </is>
      </c>
      <c r="C283" s="55" t="inlineStr">
        <is>
          <t>DeferredTaxLiabilityAssets</t>
        </is>
      </c>
      <c r="D283" s="58" t="n">
        <v>-840000000</v>
      </c>
      <c r="E283" s="58" t="n">
        <v>-327000000</v>
      </c>
      <c r="F283" s="58" t="n">
        <v>-388000000</v>
      </c>
      <c r="G283" s="58" t="n">
        <v>-1835000000</v>
      </c>
      <c r="H283" s="58" t="n">
        <v>-351000000</v>
      </c>
      <c r="I283" s="58" t="n">
        <v>161000000</v>
      </c>
    </row>
    <row r="284">
      <c r="B284" s="68" t="inlineStr">
        <is>
          <t>Changes in deferred tax liability (assets) [Abstract]</t>
        </is>
      </c>
    </row>
    <row r="285">
      <c r="B285" s="71" t="inlineStr">
        <is>
          <t>Deferred tax expense (income) recognised in profit or loss</t>
        </is>
      </c>
      <c r="C285" s="55" t="inlineStr">
        <is>
          <t>DeferredTaxExpenseIncomeRecognisedInProfitOrLoss</t>
        </is>
      </c>
      <c r="D285" s="56" t="n">
        <v>-105000000</v>
      </c>
      <c r="E285" s="56" t="n">
        <v>139000000</v>
      </c>
      <c r="F285" s="56" t="n">
        <v>-129000000</v>
      </c>
      <c r="G285" s="56" t="n">
        <v>-354000000</v>
      </c>
      <c r="H285" s="56" t="n">
        <v>-335000000</v>
      </c>
      <c r="I285" s="56" t="n">
        <v>32000000</v>
      </c>
    </row>
    <row r="286">
      <c r="B286" s="71" t="inlineStr">
        <is>
          <t>Deferred tax relating to items credited (charged) directly to equity</t>
        </is>
      </c>
      <c r="C286" s="55" t="inlineStr">
        <is>
          <t>DeferredTaxRelatingToItemsChargedOrCreditedDirectlyToEquity</t>
        </is>
      </c>
      <c r="D286" s="56" t="n">
        <v>0</v>
      </c>
      <c r="E286" s="56" t="n">
        <v>139000000</v>
      </c>
      <c r="F286" s="56" t="n">
        <v>0</v>
      </c>
      <c r="G286" s="56" t="n">
        <v>0</v>
      </c>
      <c r="H286" s="56" t="n">
        <v>0</v>
      </c>
      <c r="I286" s="56" t="n">
        <v>0</v>
      </c>
    </row>
    <row r="287">
      <c r="B287" s="71" t="inlineStr">
        <is>
          <t>Aggregated income tax relating to components of other comprehensive income</t>
        </is>
      </c>
      <c r="C287" s="55" t="inlineStr">
        <is>
          <t>AggregatedIncomeTaxRelatingToComponentsOfOtherComprehensiveIncome</t>
        </is>
      </c>
      <c r="D287" s="56" t="n">
        <v>-1000000</v>
      </c>
      <c r="E287" s="56" t="n">
        <v>0</v>
      </c>
      <c r="F287" s="56" t="n">
        <v>0</v>
      </c>
      <c r="G287" s="56" t="n">
        <v>-1093000000</v>
      </c>
      <c r="H287" s="56" t="n">
        <v>1819000000</v>
      </c>
      <c r="I287" s="56" t="n">
        <v>480000000</v>
      </c>
    </row>
    <row r="288">
      <c r="B288" s="71" t="inlineStr">
        <is>
          <t>Increase (decrease) through net exchange differences, deferred tax liability (assets)</t>
        </is>
      </c>
      <c r="C288" s="55" t="inlineStr">
        <is>
          <t>IncreaseDecreaseThroughNetExchangeDifferencesDeferredTaxLiabilityAssets</t>
        </is>
      </c>
      <c r="D288" s="56" t="n">
        <v>0</v>
      </c>
      <c r="E288" s="56" t="n">
        <v>0</v>
      </c>
      <c r="F288" s="56" t="n">
        <v>59000000</v>
      </c>
      <c r="G288" s="56" t="n">
        <v>0</v>
      </c>
      <c r="H288" s="56" t="n">
        <v>0</v>
      </c>
      <c r="I288" s="56" t="n">
        <v>0</v>
      </c>
    </row>
    <row r="289">
      <c r="B289" s="69" t="inlineStr">
        <is>
          <t>Total increase (decrease) in deferred tax liability (assets)</t>
        </is>
      </c>
      <c r="C289" s="55" t="inlineStr">
        <is>
          <t>IncreaseDecreaseInDeferredTaxLiabilityAssets</t>
        </is>
      </c>
      <c r="D289" s="58" t="n">
        <v>-106000000</v>
      </c>
      <c r="E289" s="58" t="n">
        <v>278000000</v>
      </c>
      <c r="F289" s="58" t="n">
        <v>-70000000</v>
      </c>
      <c r="G289" s="58" t="n">
        <v>-1447000000</v>
      </c>
      <c r="H289" s="58" t="n">
        <v>1484000000</v>
      </c>
      <c r="I289" s="58" t="n">
        <v>512000000</v>
      </c>
    </row>
    <row r="290">
      <c r="B290" s="66" t="inlineStr">
        <is>
          <t>Deferred tax liability (assets) at end of period</t>
        </is>
      </c>
      <c r="C290" s="55" t="inlineStr">
        <is>
          <t>DeferredTaxLiabilityAssets</t>
        </is>
      </c>
      <c r="D290" s="58" t="n">
        <v>-840000000</v>
      </c>
      <c r="E290" s="58" t="n">
        <v>-327000000</v>
      </c>
      <c r="F290" s="58" t="n">
        <v>-388000000</v>
      </c>
      <c r="G290" s="58" t="n">
        <v>-1835000000</v>
      </c>
      <c r="H290" s="58" t="n">
        <v>-351000000</v>
      </c>
      <c r="I290" s="58" t="n">
        <v>161000000</v>
      </c>
    </row>
    <row r="292" ht="15.5" customHeight="1" s="203">
      <c r="B292" s="38" t="inlineStr">
        <is>
          <t>Reconciliation of accounting profit multiplied by applicable tax rates [Abstract]</t>
        </is>
      </c>
    </row>
    <row r="293">
      <c r="B293" s="54" t="inlineStr">
        <is>
          <t>Accounting profit</t>
        </is>
      </c>
      <c r="C293" s="55" t="inlineStr">
        <is>
          <t>AccountingProfit</t>
        </is>
      </c>
      <c r="D293" s="56" t="n">
        <v>6317000000</v>
      </c>
      <c r="E293" s="56" t="n">
        <v>7943000000</v>
      </c>
      <c r="F293" s="56" t="n">
        <v>9867000000</v>
      </c>
      <c r="G293" s="56" t="n">
        <v>8287000000</v>
      </c>
      <c r="H293" s="56" t="n">
        <v>14982000000</v>
      </c>
      <c r="I293" s="56" t="n">
        <v>22106000000</v>
      </c>
    </row>
    <row r="294">
      <c r="B294" s="54" t="inlineStr">
        <is>
          <t>Tax expense (income) at applicable tax rate</t>
        </is>
      </c>
      <c r="C294" s="55" t="inlineStr">
        <is>
          <t>TaxExpenseIncomeAtApplicableTaxRate</t>
        </is>
      </c>
      <c r="D294" s="56" t="n">
        <v>2186000000</v>
      </c>
      <c r="E294" s="56" t="n">
        <v>2749000000</v>
      </c>
      <c r="F294" s="56" t="n">
        <v>3448000000</v>
      </c>
      <c r="G294" s="56" t="n">
        <v>2895000000</v>
      </c>
      <c r="H294" s="56" t="n">
        <v>5235000000</v>
      </c>
      <c r="I294" s="56" t="n">
        <v>7724000000</v>
      </c>
    </row>
    <row r="295">
      <c r="B295" s="54" t="inlineStr">
        <is>
          <t>Tax effect of revenues exempt from taxation</t>
        </is>
      </c>
      <c r="C295" s="55" t="inlineStr">
        <is>
          <t>TaxEffectOfRevenuesExemptFromTaxation2011</t>
        </is>
      </c>
      <c r="D295" s="56" t="n">
        <v>1023000000</v>
      </c>
      <c r="E295" s="56" t="n">
        <v>1358000000</v>
      </c>
      <c r="F295" s="56" t="n">
        <v>1080000000</v>
      </c>
      <c r="G295" s="56" t="n">
        <v>1055000000</v>
      </c>
      <c r="H295" s="56" t="n">
        <v>1771000000</v>
      </c>
      <c r="I295" s="56" t="n">
        <v>2151000000</v>
      </c>
    </row>
    <row r="296">
      <c r="B296" s="54" t="inlineStr">
        <is>
          <t>Tax effect of expense not deductible in determining taxable profit (tax loss)</t>
        </is>
      </c>
      <c r="C296" s="55" t="inlineStr">
        <is>
          <t>TaxEffectOfExpenseNotDeductibleInDeterminingTaxableProfitTaxLoss</t>
        </is>
      </c>
      <c r="D296" s="56" t="n">
        <v>87000000</v>
      </c>
      <c r="E296" s="56" t="n">
        <v>153000000</v>
      </c>
      <c r="F296" s="56" t="n">
        <v>61000000</v>
      </c>
      <c r="G296" s="56" t="n">
        <v>62000000</v>
      </c>
      <c r="H296" s="56" t="n">
        <v>106000000</v>
      </c>
      <c r="I296" s="56" t="n">
        <v>52000000</v>
      </c>
    </row>
    <row r="297">
      <c r="B297" s="54" t="inlineStr">
        <is>
          <t>Tax effect of foreign tax rates</t>
        </is>
      </c>
      <c r="C297" s="55" t="inlineStr">
        <is>
          <t>TaxEffectOfForeignTaxRates</t>
        </is>
      </c>
      <c r="D297" s="56" t="n">
        <v>161000000</v>
      </c>
      <c r="E297" s="56" t="n">
        <v>0</v>
      </c>
      <c r="F297" s="56" t="n">
        <v>0</v>
      </c>
      <c r="G297" s="56" t="n">
        <v>0</v>
      </c>
      <c r="H297" s="56" t="n">
        <v>0</v>
      </c>
      <c r="I297" s="56" t="n">
        <v>0</v>
      </c>
    </row>
    <row r="298">
      <c r="B298" s="54" t="inlineStr">
        <is>
          <t>Tax effect from change in tax rate</t>
        </is>
      </c>
      <c r="C298" s="55" t="inlineStr">
        <is>
          <t>TaxEffectFromChangeInTaxRate</t>
        </is>
      </c>
      <c r="D298" s="56" t="n">
        <v>-14000000</v>
      </c>
      <c r="E298" s="56" t="n">
        <v>0</v>
      </c>
      <c r="F298" s="56" t="n">
        <v>0</v>
      </c>
      <c r="G298" s="56" t="n">
        <v>0</v>
      </c>
      <c r="H298" s="56" t="n">
        <v>0</v>
      </c>
      <c r="I298" s="56" t="n">
        <v>0</v>
      </c>
    </row>
    <row r="299">
      <c r="B299" s="54" t="inlineStr">
        <is>
          <t>Other tax effects for reconciliation between accounting profit and tax expense (income)</t>
        </is>
      </c>
      <c r="C299" s="55" t="inlineStr">
        <is>
          <t>OtherTaxEffectsForReconciliationBetweenAccountingProfitAndTaxExpenseIncome</t>
        </is>
      </c>
      <c r="D299" s="56" t="n">
        <v>29000000</v>
      </c>
      <c r="E299" s="56" t="n">
        <v>150000000</v>
      </c>
      <c r="F299" s="56" t="n">
        <v>-102000000</v>
      </c>
      <c r="G299" s="56" t="n">
        <v>77000000</v>
      </c>
      <c r="H299" s="56" t="n">
        <v>309000000</v>
      </c>
      <c r="I299" s="56" t="n">
        <v>-47000000</v>
      </c>
    </row>
    <row r="300">
      <c r="B300" s="57" t="inlineStr">
        <is>
          <t>Total tax expense (income)</t>
        </is>
      </c>
      <c r="C300" s="55" t="inlineStr">
        <is>
          <t>IncomeTaxExpenseContinuingOperations</t>
        </is>
      </c>
      <c r="D300" s="58" t="n">
        <v>1426000000</v>
      </c>
      <c r="E300" s="58" t="n">
        <v>1694000000</v>
      </c>
      <c r="F300" s="58" t="n">
        <v>2327000000</v>
      </c>
      <c r="G300" s="58" t="n">
        <v>1979000000</v>
      </c>
      <c r="H300" s="58" t="n">
        <v>3879000000</v>
      </c>
      <c r="I300" s="58" t="n">
        <v>5578000000</v>
      </c>
    </row>
    <row r="302" ht="15.5" customHeight="1" s="203">
      <c r="B302" s="38" t="inlineStr">
        <is>
          <t>Reconciliation of average effective tax rate and applicable tax rate [Abstract]</t>
        </is>
      </c>
    </row>
    <row r="303">
      <c r="B303" s="54" t="inlineStr">
        <is>
          <t>Accounting profit</t>
        </is>
      </c>
      <c r="C303" s="55" t="inlineStr">
        <is>
          <t>AccountingProfit</t>
        </is>
      </c>
      <c r="D303" s="56" t="n">
        <v>6317000000</v>
      </c>
      <c r="E303" s="56" t="n">
        <v>7943000000</v>
      </c>
      <c r="F303" s="56" t="n">
        <v>9867000000</v>
      </c>
      <c r="G303" s="56" t="n">
        <v>8287000000</v>
      </c>
      <c r="H303" s="56" t="n">
        <v>14982000000</v>
      </c>
      <c r="I303" s="56" t="n">
        <v>22106000000</v>
      </c>
    </row>
    <row r="304">
      <c r="B304" s="54" t="inlineStr">
        <is>
          <t>Applicable tax rate</t>
        </is>
      </c>
      <c r="C304" s="55" t="inlineStr">
        <is>
          <t>ApplicableTaxRate</t>
        </is>
      </c>
      <c r="D304" s="56" t="n">
        <v>0</v>
      </c>
      <c r="E304" s="56" t="n">
        <v>0.3461</v>
      </c>
      <c r="F304" s="56" t="n">
        <v>0.3494</v>
      </c>
      <c r="G304" s="56" t="n">
        <v>0.3494</v>
      </c>
      <c r="H304" s="56" t="n">
        <v>0.3494</v>
      </c>
      <c r="I304" s="56" t="n">
        <v>0.3494</v>
      </c>
    </row>
    <row r="305">
      <c r="B305" s="57" t="inlineStr">
        <is>
          <t>Total average effective tax rate</t>
        </is>
      </c>
      <c r="C305" s="55" t="inlineStr">
        <is>
          <t>AverageEffectiveTaxRate</t>
        </is>
      </c>
      <c r="D305" s="58" t="n">
        <v>0</v>
      </c>
      <c r="E305" s="58" t="n">
        <v>0.3461</v>
      </c>
      <c r="F305" s="58" t="n">
        <v>0.3494</v>
      </c>
      <c r="G305" s="58" t="n">
        <v>0.3494</v>
      </c>
      <c r="H305" s="58" t="n">
        <v>0.3494</v>
      </c>
      <c r="I305" s="58" t="n">
        <v>0.3494</v>
      </c>
    </row>
    <row r="308" ht="15.5" customHeight="1" s="203">
      <c r="A308" t="inlineStr">
        <is>
          <t>#</t>
        </is>
      </c>
      <c r="B308" s="38" t="inlineStr">
        <is>
          <t>Notes to Statement of Profit and Loss: Subclassification And Notes On Income And Expenses</t>
        </is>
      </c>
    </row>
    <row r="310">
      <c r="C310" s="53" t="inlineStr">
        <is>
          <t>Concept Tag</t>
        </is>
      </c>
      <c r="D310" s="20" t="inlineStr">
        <is>
          <t>FY2017</t>
        </is>
      </c>
      <c r="E310" s="20" t="inlineStr">
        <is>
          <t>FY2018</t>
        </is>
      </c>
      <c r="F310" s="20" t="inlineStr">
        <is>
          <t>FY2019</t>
        </is>
      </c>
      <c r="G310" s="20" t="inlineStr">
        <is>
          <t>FY2020</t>
        </is>
      </c>
      <c r="H310" s="20" t="inlineStr">
        <is>
          <t>FY2021</t>
        </is>
      </c>
      <c r="I310" s="20" t="inlineStr">
        <is>
          <t>FY2022</t>
        </is>
      </c>
    </row>
    <row r="311" ht="15.5" customHeight="1" s="203">
      <c r="B311" s="38" t="inlineStr">
        <is>
          <t>Disclosure of revenue from operations [Abstract]</t>
        </is>
      </c>
    </row>
    <row r="312">
      <c r="B312" s="59" t="inlineStr">
        <is>
          <t>Disclosure of revenue from operations for other than finance company [Abstract]</t>
        </is>
      </c>
    </row>
    <row r="313">
      <c r="B313" s="62" t="inlineStr">
        <is>
          <t>Total revenue from sale of services</t>
        </is>
      </c>
      <c r="C313" s="55" t="inlineStr">
        <is>
          <t>RevenueFromSaleOfServices</t>
        </is>
      </c>
      <c r="D313" s="56" t="n">
        <v>47526000000</v>
      </c>
      <c r="E313" s="56" t="n">
        <v>53250000000</v>
      </c>
      <c r="F313" s="56" t="n">
        <v>70215000000</v>
      </c>
      <c r="G313" s="56" t="n">
        <v>77643000000</v>
      </c>
      <c r="H313" s="56" t="n">
        <v>79678000000</v>
      </c>
      <c r="I313" s="56" t="n">
        <v>105253000000</v>
      </c>
    </row>
    <row r="314">
      <c r="B314" s="67" t="inlineStr">
        <is>
          <t>Total revenue from operations other than finance company</t>
        </is>
      </c>
      <c r="C314" s="55" t="inlineStr">
        <is>
          <t>RevenueFromOperationsOtherThanFinanceCompany</t>
        </is>
      </c>
      <c r="D314" s="58" t="n">
        <v>47526000000</v>
      </c>
      <c r="E314" s="58" t="n">
        <v>53250000000</v>
      </c>
      <c r="F314" s="58" t="n">
        <v>70215000000</v>
      </c>
      <c r="G314" s="58" t="n">
        <v>77643000000</v>
      </c>
      <c r="H314" s="58" t="n">
        <v>79678000000</v>
      </c>
      <c r="I314" s="58" t="n">
        <v>105253000000</v>
      </c>
    </row>
    <row r="315">
      <c r="B315" s="57" t="inlineStr">
        <is>
          <t>Total revenue from operations</t>
        </is>
      </c>
      <c r="C315" s="55" t="inlineStr">
        <is>
          <t>RevenueFromOperations</t>
        </is>
      </c>
      <c r="D315" s="58" t="n">
        <v>47526000000</v>
      </c>
      <c r="E315" s="58" t="n">
        <v>53250000000</v>
      </c>
      <c r="F315" s="58" t="n">
        <v>70215000000</v>
      </c>
      <c r="G315" s="58" t="n">
        <v>77643000000</v>
      </c>
      <c r="H315" s="58" t="n">
        <v>79678000000</v>
      </c>
      <c r="I315" s="58" t="n">
        <v>105253000000</v>
      </c>
    </row>
    <row r="318" ht="15.5" customHeight="1" s="203">
      <c r="B318" s="38" t="inlineStr">
        <is>
          <t>Disclosure of other income [Abstract]</t>
        </is>
      </c>
    </row>
    <row r="319">
      <c r="B319" s="59" t="inlineStr">
        <is>
          <t>Interest income [Abstract]</t>
        </is>
      </c>
    </row>
    <row r="320">
      <c r="B320" s="60" t="inlineStr">
        <is>
          <t>Interest income on current investments [Abstract]</t>
        </is>
      </c>
    </row>
    <row r="321">
      <c r="B321" s="61" t="inlineStr">
        <is>
          <t>Interest on other current investments</t>
        </is>
      </c>
      <c r="C321" s="55" t="inlineStr">
        <is>
          <t>InterestOnOtherCurrentInvestments</t>
        </is>
      </c>
      <c r="D321" s="56" t="n">
        <v>103000000</v>
      </c>
      <c r="E321" s="56" t="n">
        <v>110000000</v>
      </c>
      <c r="F321" s="56" t="n">
        <v>146000000</v>
      </c>
      <c r="G321" s="56" t="n">
        <v>0</v>
      </c>
      <c r="H321" s="56" t="n">
        <v>0</v>
      </c>
      <c r="I321" s="56" t="n">
        <v>0</v>
      </c>
    </row>
    <row r="322">
      <c r="B322" s="65" t="inlineStr">
        <is>
          <t>Total interest income on current investments</t>
        </is>
      </c>
      <c r="C322" s="55" t="inlineStr">
        <is>
          <t>InterestIncomeOnCurrentInvestments</t>
        </is>
      </c>
      <c r="D322" s="58" t="n">
        <v>103000000</v>
      </c>
      <c r="E322" s="58" t="n">
        <v>110000000</v>
      </c>
      <c r="F322" s="58" t="n">
        <v>146000000</v>
      </c>
      <c r="G322" s="58" t="n">
        <v>0</v>
      </c>
      <c r="H322" s="58" t="n">
        <v>0</v>
      </c>
      <c r="I322" s="58" t="n">
        <v>0</v>
      </c>
    </row>
    <row r="323">
      <c r="B323" s="60" t="inlineStr">
        <is>
          <t>Interest income on non-current investments [Abstract]</t>
        </is>
      </c>
    </row>
    <row r="324">
      <c r="B324" s="61" t="inlineStr">
        <is>
          <t>Interest on other non-current investments</t>
        </is>
      </c>
      <c r="C324" s="55" t="inlineStr">
        <is>
          <t>InterestOnOtherNoncurrentInvestments</t>
        </is>
      </c>
      <c r="D324" s="56" t="n">
        <v>0</v>
      </c>
      <c r="E324" s="56" t="n">
        <v>0</v>
      </c>
      <c r="F324" s="56" t="n">
        <v>0</v>
      </c>
      <c r="G324" s="56" t="n">
        <v>189000000</v>
      </c>
      <c r="H324" s="56" t="n">
        <v>166000000</v>
      </c>
      <c r="I324" s="56" t="n">
        <v>426000000</v>
      </c>
    </row>
    <row r="325">
      <c r="B325" s="65" t="inlineStr">
        <is>
          <t>Total interest income on non-current investments</t>
        </is>
      </c>
      <c r="C325" s="55" t="inlineStr">
        <is>
          <t>InterestIncomeOnNoncurrentInvestments</t>
        </is>
      </c>
      <c r="D325" s="58" t="n">
        <v>0</v>
      </c>
      <c r="E325" s="58" t="n">
        <v>0</v>
      </c>
      <c r="F325" s="58" t="n">
        <v>0</v>
      </c>
      <c r="G325" s="58" t="n">
        <v>189000000</v>
      </c>
      <c r="H325" s="58" t="n">
        <v>166000000</v>
      </c>
      <c r="I325" s="58" t="n">
        <v>426000000</v>
      </c>
    </row>
    <row r="326">
      <c r="B326" s="67" t="inlineStr">
        <is>
          <t>Total interest income</t>
        </is>
      </c>
      <c r="C326" s="55" t="inlineStr">
        <is>
          <t>InterestIncome</t>
        </is>
      </c>
      <c r="D326" s="58" t="n">
        <v>103000000</v>
      </c>
      <c r="E326" s="58" t="n">
        <v>110000000</v>
      </c>
      <c r="F326" s="58" t="n">
        <v>146000000</v>
      </c>
      <c r="G326" s="58" t="n">
        <v>189000000</v>
      </c>
      <c r="H326" s="58" t="n">
        <v>166000000</v>
      </c>
      <c r="I326" s="58" t="n">
        <v>426000000</v>
      </c>
    </row>
    <row r="327">
      <c r="B327" s="59" t="inlineStr">
        <is>
          <t>Dividend income [Abstract]</t>
        </is>
      </c>
    </row>
    <row r="328">
      <c r="B328" s="60" t="inlineStr">
        <is>
          <t>Dividend income current investments [Abstract]</t>
        </is>
      </c>
    </row>
    <row r="329">
      <c r="B329" s="61" t="inlineStr">
        <is>
          <t>Dividend income current mutual funds</t>
        </is>
      </c>
      <c r="C329" s="55" t="inlineStr">
        <is>
          <t>DividendIncomeCurrentMutualFunds</t>
        </is>
      </c>
      <c r="D329" s="56" t="n">
        <v>8000000</v>
      </c>
      <c r="E329" s="56" t="n">
        <v>1000000</v>
      </c>
      <c r="F329" s="56" t="n">
        <v>0</v>
      </c>
      <c r="G329" s="56" t="n">
        <v>0</v>
      </c>
      <c r="H329" s="56" t="n">
        <v>0</v>
      </c>
      <c r="I329" s="56" t="n">
        <v>0</v>
      </c>
    </row>
    <row r="330">
      <c r="B330" s="65" t="inlineStr">
        <is>
          <t>Total dividend income current investments</t>
        </is>
      </c>
      <c r="C330" s="55" t="inlineStr">
        <is>
          <t>DividendIncomeCurrentInvestments</t>
        </is>
      </c>
      <c r="D330" s="58" t="n">
        <v>8000000</v>
      </c>
      <c r="E330" s="58" t="n">
        <v>1000000</v>
      </c>
      <c r="F330" s="58" t="n">
        <v>0</v>
      </c>
      <c r="G330" s="58" t="n">
        <v>0</v>
      </c>
      <c r="H330" s="58" t="n">
        <v>0</v>
      </c>
      <c r="I330" s="58" t="n">
        <v>0</v>
      </c>
    </row>
    <row r="331">
      <c r="B331" s="60" t="inlineStr">
        <is>
          <t>Dividend income non-current investments [Abstract]</t>
        </is>
      </c>
    </row>
    <row r="332">
      <c r="B332" s="61" t="inlineStr">
        <is>
          <t>Dividend income non-current investments from subsidiaries</t>
        </is>
      </c>
      <c r="C332" s="55" t="inlineStr">
        <is>
          <t>DividendIncomeNoncurrentInvestmentsFromSubsidiaries</t>
        </is>
      </c>
      <c r="D332" s="56" t="n">
        <v>80000000</v>
      </c>
      <c r="E332" s="56" t="n">
        <v>0</v>
      </c>
      <c r="F332" s="56" t="n">
        <v>0</v>
      </c>
      <c r="G332" s="56" t="n">
        <v>0</v>
      </c>
      <c r="H332" s="56" t="n">
        <v>0</v>
      </c>
      <c r="I332" s="56" t="n">
        <v>0</v>
      </c>
    </row>
    <row r="333">
      <c r="B333" s="65" t="inlineStr">
        <is>
          <t>Total dividend income non-current investments</t>
        </is>
      </c>
      <c r="C333" s="55" t="inlineStr">
        <is>
          <t>DividendIncomeNoncurrentInvestments</t>
        </is>
      </c>
      <c r="D333" s="58" t="n">
        <v>80000000</v>
      </c>
      <c r="E333" s="58" t="n">
        <v>0</v>
      </c>
      <c r="F333" s="58" t="n">
        <v>0</v>
      </c>
      <c r="G333" s="58" t="n">
        <v>0</v>
      </c>
      <c r="H333" s="58" t="n">
        <v>0</v>
      </c>
      <c r="I333" s="58" t="n">
        <v>0</v>
      </c>
    </row>
    <row r="334">
      <c r="B334" s="67" t="inlineStr">
        <is>
          <t>Total dividend income</t>
        </is>
      </c>
      <c r="C334" s="55" t="inlineStr">
        <is>
          <t>DividendIncome</t>
        </is>
      </c>
      <c r="D334" s="58" t="n">
        <v>88000000</v>
      </c>
      <c r="E334" s="58" t="n">
        <v>1000000</v>
      </c>
      <c r="F334" s="58" t="n">
        <v>0</v>
      </c>
      <c r="G334" s="58" t="n">
        <v>0</v>
      </c>
      <c r="H334" s="58" t="n">
        <v>0</v>
      </c>
      <c r="I334" s="58" t="n">
        <v>0</v>
      </c>
    </row>
    <row r="335">
      <c r="B335" s="59" t="inlineStr">
        <is>
          <t>Net gain/loss on sale of investments [Abstract]</t>
        </is>
      </c>
    </row>
    <row r="336">
      <c r="B336" s="62" t="inlineStr">
        <is>
          <t>Net gain/loss on sale of current investments</t>
        </is>
      </c>
      <c r="C336" s="55" t="inlineStr">
        <is>
          <t>NetGainLossOnSaleOfCurrentInvestments</t>
        </is>
      </c>
      <c r="D336" s="56" t="n">
        <v>177000000</v>
      </c>
      <c r="E336" s="56" t="n">
        <v>459000000</v>
      </c>
      <c r="F336" s="56" t="n">
        <v>421000000</v>
      </c>
      <c r="G336" s="56" t="n">
        <v>509000000</v>
      </c>
      <c r="H336" s="56" t="n">
        <v>909000000</v>
      </c>
      <c r="I336" s="56" t="n">
        <v>832000000</v>
      </c>
    </row>
    <row r="337">
      <c r="B337" s="67" t="inlineStr">
        <is>
          <t>Total net gain/loss on sale of investments</t>
        </is>
      </c>
      <c r="C337" s="55" t="inlineStr">
        <is>
          <t>NetGainLossOnSaleOfInvestments</t>
        </is>
      </c>
      <c r="D337" s="58" t="n">
        <v>177000000</v>
      </c>
      <c r="E337" s="58" t="n">
        <v>459000000</v>
      </c>
      <c r="F337" s="58" t="n">
        <v>421000000</v>
      </c>
      <c r="G337" s="58" t="n">
        <v>509000000</v>
      </c>
      <c r="H337" s="58" t="n">
        <v>909000000</v>
      </c>
      <c r="I337" s="58" t="n">
        <v>832000000</v>
      </c>
    </row>
    <row r="338">
      <c r="B338" s="59" t="inlineStr">
        <is>
          <t>Other non-operating income [Abstract]</t>
        </is>
      </c>
    </row>
    <row r="339">
      <c r="B339" s="60" t="inlineStr">
        <is>
          <t>Net gain (loss) on foreign currency fluctuations treated as other income [Abstract]</t>
        </is>
      </c>
    </row>
    <row r="340">
      <c r="B340" s="61" t="inlineStr">
        <is>
          <t>Net gain (loss) on foreign currency translation</t>
        </is>
      </c>
      <c r="C340" s="55" t="inlineStr">
        <is>
          <t>NetGainLossOnForeignCurrencyTranslation</t>
        </is>
      </c>
      <c r="D340" s="56" t="n">
        <v>0</v>
      </c>
      <c r="E340" s="56" t="n">
        <v>0</v>
      </c>
      <c r="F340" s="56" t="n">
        <v>267000000</v>
      </c>
      <c r="G340" s="56" t="n">
        <v>0</v>
      </c>
      <c r="H340" s="56" t="n">
        <v>286000000</v>
      </c>
      <c r="I340" s="56" t="n">
        <v>1528000000</v>
      </c>
    </row>
    <row r="341">
      <c r="B341" s="65" t="inlineStr">
        <is>
          <t>Total net gain/loss on foreign currency fluctuations treated as other income</t>
        </is>
      </c>
      <c r="C341" s="55" t="inlineStr">
        <is>
          <t>NetGainLossOnForeignCurrencyFluctuationsTreatedAsOtherIncome</t>
        </is>
      </c>
      <c r="D341" s="58" t="n">
        <v>0</v>
      </c>
      <c r="E341" s="58" t="n">
        <v>0</v>
      </c>
      <c r="F341" s="58" t="n">
        <v>267000000</v>
      </c>
      <c r="G341" s="58" t="n">
        <v>0</v>
      </c>
      <c r="H341" s="58" t="n">
        <v>286000000</v>
      </c>
      <c r="I341" s="58" t="n">
        <v>1528000000</v>
      </c>
    </row>
    <row r="342">
      <c r="B342" s="62" t="inlineStr">
        <is>
          <t>Miscellaneous other non-operating income</t>
        </is>
      </c>
      <c r="C342" s="55" t="inlineStr">
        <is>
          <t>MiscellaneousOtherNonoperatingIncome</t>
        </is>
      </c>
      <c r="D342" s="56" t="n">
        <v>265000000</v>
      </c>
      <c r="E342" s="56" t="n">
        <v>1331000000</v>
      </c>
      <c r="F342" s="56" t="n">
        <v>59000000</v>
      </c>
      <c r="G342" s="56" t="n">
        <v>58000000</v>
      </c>
      <c r="H342" s="56" t="n">
        <v>156000000</v>
      </c>
      <c r="I342" s="56" t="n">
        <v>285000000</v>
      </c>
    </row>
    <row r="343">
      <c r="B343" s="67" t="inlineStr">
        <is>
          <t>Total other non-operating income</t>
        </is>
      </c>
      <c r="C343" s="55" t="inlineStr">
        <is>
          <t>OtherNonoperatingIncome</t>
        </is>
      </c>
      <c r="D343" s="58" t="n">
        <v>265000000</v>
      </c>
      <c r="E343" s="58" t="n">
        <v>1331000000</v>
      </c>
      <c r="F343" s="58" t="n">
        <v>326000000</v>
      </c>
      <c r="G343" s="58" t="n">
        <v>58000000</v>
      </c>
      <c r="H343" s="58" t="n">
        <v>442000000</v>
      </c>
      <c r="I343" s="58" t="n">
        <v>1813000000</v>
      </c>
    </row>
    <row r="344">
      <c r="B344" s="57" t="inlineStr">
        <is>
          <t>Total other income</t>
        </is>
      </c>
      <c r="C344" s="55" t="inlineStr">
        <is>
          <t>OtherIncome</t>
        </is>
      </c>
      <c r="D344" s="58" t="n">
        <v>633000000</v>
      </c>
      <c r="E344" s="58" t="n">
        <v>1901000000</v>
      </c>
      <c r="F344" s="58" t="n">
        <v>893000000</v>
      </c>
      <c r="G344" s="58" t="n">
        <v>756000000</v>
      </c>
      <c r="H344" s="58" t="n">
        <v>1517000000</v>
      </c>
      <c r="I344" s="58" t="n">
        <v>3071000000</v>
      </c>
    </row>
    <row r="346" ht="15.5" customHeight="1" s="203">
      <c r="B346" s="38" t="inlineStr">
        <is>
          <t>Disclosure of finance cost [Abstract]</t>
        </is>
      </c>
    </row>
    <row r="347">
      <c r="B347" s="59" t="inlineStr">
        <is>
          <t>Interest expense [Abstract]</t>
        </is>
      </c>
    </row>
    <row r="348">
      <c r="B348" s="62" t="inlineStr">
        <is>
          <t>Interest expense debt securities</t>
        </is>
      </c>
      <c r="C348" s="55" t="inlineStr">
        <is>
          <t>InterestExpenseDebtSecurities</t>
        </is>
      </c>
      <c r="D348" s="56" t="n">
        <v>190000000</v>
      </c>
      <c r="E348" s="56" t="n">
        <v>168000000</v>
      </c>
      <c r="F348" s="56" t="n">
        <v>0</v>
      </c>
      <c r="G348" s="56" t="n">
        <v>0</v>
      </c>
      <c r="H348" s="56" t="n">
        <v>0</v>
      </c>
      <c r="I348" s="56" t="n">
        <v>0</v>
      </c>
    </row>
    <row r="349">
      <c r="B349" s="62" t="inlineStr">
        <is>
          <t>Interest expense on lease liabilities</t>
        </is>
      </c>
      <c r="C349" s="55" t="inlineStr">
        <is>
          <t>InterestExpenseOnLeaseLiabilities</t>
        </is>
      </c>
      <c r="D349" s="56" t="n">
        <v>0</v>
      </c>
      <c r="E349" s="56" t="n">
        <v>0</v>
      </c>
      <c r="F349" s="56" t="n">
        <v>0</v>
      </c>
      <c r="G349" s="56" t="n">
        <v>0</v>
      </c>
      <c r="H349" s="56" t="n">
        <v>503000000</v>
      </c>
      <c r="I349" s="56" t="n">
        <v>494000000</v>
      </c>
    </row>
    <row r="350">
      <c r="B350" s="62" t="inlineStr">
        <is>
          <t>Other interest charges</t>
        </is>
      </c>
      <c r="C350" s="55" t="inlineStr">
        <is>
          <t>OtherInterestCharges</t>
        </is>
      </c>
      <c r="D350" s="56" t="n">
        <v>0</v>
      </c>
      <c r="E350" s="56" t="n">
        <v>0</v>
      </c>
      <c r="F350" s="56" t="n">
        <v>29000000</v>
      </c>
      <c r="G350" s="56" t="n">
        <v>529000000</v>
      </c>
      <c r="H350" s="56" t="n">
        <v>1000000</v>
      </c>
      <c r="I350" s="56" t="n">
        <v>8000000</v>
      </c>
    </row>
    <row r="351">
      <c r="B351" s="67" t="inlineStr">
        <is>
          <t>Total interest expense</t>
        </is>
      </c>
      <c r="C351" s="55" t="inlineStr">
        <is>
          <t>InterestExpense</t>
        </is>
      </c>
      <c r="D351" s="58" t="n">
        <v>190000000</v>
      </c>
      <c r="E351" s="58" t="n">
        <v>168000000</v>
      </c>
      <c r="F351" s="58" t="n">
        <v>29000000</v>
      </c>
      <c r="G351" s="58" t="n">
        <v>529000000</v>
      </c>
      <c r="H351" s="58" t="n">
        <v>504000000</v>
      </c>
      <c r="I351" s="58" t="n">
        <v>502000000</v>
      </c>
    </row>
    <row r="352">
      <c r="B352" s="57" t="inlineStr">
        <is>
          <t>Total finance costs</t>
        </is>
      </c>
      <c r="C352" s="55" t="inlineStr">
        <is>
          <t>FinanceCosts</t>
        </is>
      </c>
      <c r="D352" s="58" t="n">
        <v>190000000</v>
      </c>
      <c r="E352" s="58" t="n">
        <v>168000000</v>
      </c>
      <c r="F352" s="58" t="n">
        <v>29000000</v>
      </c>
      <c r="G352" s="58" t="n">
        <v>529000000</v>
      </c>
      <c r="H352" s="58" t="n">
        <v>504000000</v>
      </c>
      <c r="I352" s="58" t="n">
        <v>502000000</v>
      </c>
    </row>
    <row r="354" ht="15.5" customHeight="1" s="203">
      <c r="B354" s="38" t="inlineStr">
        <is>
          <t>Employee benefit expense [Abstract]</t>
        </is>
      </c>
    </row>
    <row r="355">
      <c r="B355" s="54" t="inlineStr">
        <is>
          <t>Salaries and wages</t>
        </is>
      </c>
      <c r="C355" s="55" t="inlineStr">
        <is>
          <t>SalariesAndWages</t>
        </is>
      </c>
      <c r="D355" s="56" t="n">
        <v>28385000000</v>
      </c>
      <c r="E355" s="56" t="n">
        <v>31562000000</v>
      </c>
      <c r="F355" s="56" t="n">
        <v>40985000000</v>
      </c>
      <c r="G355" s="56" t="n">
        <v>46962000000</v>
      </c>
      <c r="H355" s="56" t="n">
        <v>46436000000</v>
      </c>
      <c r="I355" s="56" t="n">
        <v>57824000000</v>
      </c>
    </row>
    <row r="356">
      <c r="B356" s="59" t="inlineStr">
        <is>
          <t>Managerial remuneration [Abstract]</t>
        </is>
      </c>
    </row>
    <row r="357">
      <c r="B357" s="60" t="inlineStr">
        <is>
          <t>Remuneration to directors [Abstract]</t>
        </is>
      </c>
    </row>
    <row r="358">
      <c r="B358" s="61" t="inlineStr">
        <is>
          <t>Salary to directors</t>
        </is>
      </c>
      <c r="C358" s="55" t="inlineStr">
        <is>
          <t>SalaryToDirectors</t>
        </is>
      </c>
      <c r="D358" s="56" t="n">
        <v>0</v>
      </c>
      <c r="E358" s="56" t="n">
        <v>0</v>
      </c>
      <c r="F358" s="56" t="n">
        <v>0</v>
      </c>
      <c r="G358" s="56" t="n">
        <v>0</v>
      </c>
      <c r="H358" s="56" t="n">
        <v>283000000</v>
      </c>
      <c r="I358" s="56" t="n">
        <v>359000000</v>
      </c>
    </row>
    <row r="359">
      <c r="B359" s="65" t="inlineStr">
        <is>
          <t>Total remuneration to directors</t>
        </is>
      </c>
      <c r="C359" s="55" t="inlineStr">
        <is>
          <t>RemunerationToDirectors</t>
        </is>
      </c>
      <c r="D359" s="58" t="n">
        <v>0</v>
      </c>
      <c r="E359" s="58" t="n">
        <v>0</v>
      </c>
      <c r="F359" s="58" t="n">
        <v>0</v>
      </c>
      <c r="G359" s="58" t="n">
        <v>0</v>
      </c>
      <c r="H359" s="58" t="n">
        <v>283000000</v>
      </c>
      <c r="I359" s="58" t="n">
        <v>359000000</v>
      </c>
    </row>
    <row r="360">
      <c r="B360" s="67" t="inlineStr">
        <is>
          <t>Total managerial remuneration</t>
        </is>
      </c>
      <c r="C360" s="55" t="inlineStr">
        <is>
          <t>ManagerialRemuneration</t>
        </is>
      </c>
      <c r="D360" s="58" t="n">
        <v>0</v>
      </c>
      <c r="E360" s="58" t="n">
        <v>0</v>
      </c>
      <c r="F360" s="58" t="n">
        <v>0</v>
      </c>
      <c r="G360" s="58" t="n">
        <v>0</v>
      </c>
      <c r="H360" s="58" t="n">
        <v>283000000</v>
      </c>
      <c r="I360" s="58" t="n">
        <v>359000000</v>
      </c>
    </row>
    <row r="361">
      <c r="B361" s="59" t="inlineStr">
        <is>
          <t>Contribution to provident and other funds [Abstract]</t>
        </is>
      </c>
    </row>
    <row r="362">
      <c r="B362" s="62" t="inlineStr">
        <is>
          <t>Contribution to provident and other funds for others</t>
        </is>
      </c>
      <c r="C362" s="55" t="inlineStr">
        <is>
          <t>ContributionToProvidentAndOtherFundsForOthers</t>
        </is>
      </c>
      <c r="D362" s="56" t="n">
        <v>1592000000</v>
      </c>
      <c r="E362" s="56" t="n">
        <v>2059000000</v>
      </c>
      <c r="F362" s="56" t="n">
        <v>2828000000</v>
      </c>
      <c r="G362" s="56" t="n">
        <v>3205000000</v>
      </c>
      <c r="H362" s="56" t="n">
        <v>4084000000</v>
      </c>
      <c r="I362" s="56" t="n">
        <v>4324000000</v>
      </c>
    </row>
    <row r="363">
      <c r="B363" s="67" t="inlineStr">
        <is>
          <t>Total contribution to provident and other funds</t>
        </is>
      </c>
      <c r="C363" s="55" t="inlineStr">
        <is>
          <t>ContributionToProvidentAndOtherFunds</t>
        </is>
      </c>
      <c r="D363" s="58" t="n">
        <v>1592000000</v>
      </c>
      <c r="E363" s="58" t="n">
        <v>2059000000</v>
      </c>
      <c r="F363" s="58" t="n">
        <v>2828000000</v>
      </c>
      <c r="G363" s="58" t="n">
        <v>3205000000</v>
      </c>
      <c r="H363" s="58" t="n">
        <v>4084000000</v>
      </c>
      <c r="I363" s="58" t="n">
        <v>4324000000</v>
      </c>
    </row>
    <row r="364">
      <c r="B364" s="59" t="inlineStr">
        <is>
          <t>Employee share based payment [Abstract]</t>
        </is>
      </c>
    </row>
    <row r="365">
      <c r="B365" s="62" t="inlineStr">
        <is>
          <t>Employee share based payment- Equity settled</t>
        </is>
      </c>
      <c r="C365" s="55" t="inlineStr">
        <is>
          <t>EmployeeShareBasedPaymentEquitySettled</t>
        </is>
      </c>
      <c r="D365" s="56" t="n">
        <v>54000000</v>
      </c>
      <c r="E365" s="56" t="n">
        <v>195000000</v>
      </c>
      <c r="F365" s="56" t="n">
        <v>162000000</v>
      </c>
      <c r="G365" s="56" t="n">
        <v>102000000</v>
      </c>
      <c r="H365" s="56" t="n">
        <v>99000000</v>
      </c>
      <c r="I365" s="56" t="n">
        <v>438000000</v>
      </c>
    </row>
    <row r="366">
      <c r="B366" s="67" t="inlineStr">
        <is>
          <t>Total employee share based payment</t>
        </is>
      </c>
      <c r="C366" s="55" t="inlineStr">
        <is>
          <t>EmployeeShareBasedPayment</t>
        </is>
      </c>
      <c r="D366" s="58" t="n">
        <v>54000000</v>
      </c>
      <c r="E366" s="58" t="n">
        <v>195000000</v>
      </c>
      <c r="F366" s="58" t="n">
        <v>162000000</v>
      </c>
      <c r="G366" s="58" t="n">
        <v>102000000</v>
      </c>
      <c r="H366" s="58" t="n">
        <v>99000000</v>
      </c>
      <c r="I366" s="58" t="n">
        <v>438000000</v>
      </c>
    </row>
    <row r="367">
      <c r="B367" s="54" t="inlineStr">
        <is>
          <t>Staff welfare expense</t>
        </is>
      </c>
      <c r="C367" s="55" t="inlineStr">
        <is>
          <t>StaffWelfareExpense</t>
        </is>
      </c>
      <c r="D367" s="56" t="n">
        <v>184000000</v>
      </c>
      <c r="E367" s="56" t="n">
        <v>133000000</v>
      </c>
      <c r="F367" s="56" t="n">
        <v>236000000</v>
      </c>
      <c r="G367" s="56" t="n">
        <v>378000000</v>
      </c>
      <c r="H367" s="56" t="n">
        <v>230000000</v>
      </c>
      <c r="I367" s="56" t="n">
        <v>333000000</v>
      </c>
    </row>
    <row r="368">
      <c r="B368" s="57" t="inlineStr">
        <is>
          <t>Total employee benefit expense</t>
        </is>
      </c>
      <c r="C368" s="55" t="inlineStr">
        <is>
          <t>EmployeeBenefitExpense</t>
        </is>
      </c>
      <c r="D368" s="58" t="n">
        <v>30215000000</v>
      </c>
      <c r="E368" s="58" t="n">
        <v>33949000000</v>
      </c>
      <c r="F368" s="58" t="n">
        <v>44211000000</v>
      </c>
      <c r="G368" s="58" t="n">
        <v>50647000000</v>
      </c>
      <c r="H368" s="58" t="n">
        <v>51132000000</v>
      </c>
      <c r="I368" s="58" t="n">
        <v>63278000000</v>
      </c>
    </row>
    <row r="370" ht="15.5" customHeight="1" s="203">
      <c r="B370" s="38" t="inlineStr">
        <is>
          <t>Depreciation, depletion and amortisation expense [Abstract]</t>
        </is>
      </c>
    </row>
    <row r="371">
      <c r="B371" s="54" t="inlineStr">
        <is>
          <t>Depreciation expense</t>
        </is>
      </c>
      <c r="C371" s="55" t="inlineStr">
        <is>
          <t>DepreciationExpense</t>
        </is>
      </c>
      <c r="D371" s="56" t="n">
        <v>1251000000</v>
      </c>
      <c r="E371" s="56" t="n">
        <v>1186000000</v>
      </c>
      <c r="F371" s="56" t="n">
        <v>1175000000</v>
      </c>
      <c r="G371" s="56" t="n">
        <v>2302000000</v>
      </c>
      <c r="H371" s="56" t="n">
        <v>2003000000</v>
      </c>
      <c r="I371" s="56" t="n">
        <v>2208000000</v>
      </c>
    </row>
    <row r="372">
      <c r="B372" s="54" t="inlineStr">
        <is>
          <t>Amortisation expense</t>
        </is>
      </c>
      <c r="C372" s="55" t="inlineStr">
        <is>
          <t>AmortisationExpense</t>
        </is>
      </c>
      <c r="D372" s="56" t="n">
        <v>80000000</v>
      </c>
      <c r="E372" s="56" t="n">
        <v>366000000</v>
      </c>
      <c r="F372" s="56" t="n">
        <v>466000000</v>
      </c>
      <c r="G372" s="56" t="n">
        <v>452000000</v>
      </c>
      <c r="H372" s="56" t="n">
        <v>593000000</v>
      </c>
      <c r="I372" s="56" t="n">
        <v>212000000</v>
      </c>
    </row>
    <row r="373">
      <c r="B373" s="57" t="inlineStr">
        <is>
          <t>Total depreciation, depletion and amortisation expense</t>
        </is>
      </c>
      <c r="C373" s="55" t="inlineStr">
        <is>
          <t>DepreciationDepletionAndAmortisationExpense</t>
        </is>
      </c>
      <c r="D373" s="58" t="n">
        <v>1331000000</v>
      </c>
      <c r="E373" s="58" t="n">
        <v>1552000000</v>
      </c>
      <c r="F373" s="58" t="n">
        <v>1641000000</v>
      </c>
      <c r="G373" s="58" t="n">
        <v>2754000000</v>
      </c>
      <c r="H373" s="58" t="n">
        <v>2596000000</v>
      </c>
      <c r="I373" s="58" t="n">
        <v>2420000000</v>
      </c>
    </row>
    <row r="375" ht="15.5" customHeight="1" s="203">
      <c r="B375" s="38" t="inlineStr">
        <is>
          <t>Breakup of other expenses [Abstract]</t>
        </is>
      </c>
    </row>
    <row r="376">
      <c r="B376" s="54" t="inlineStr">
        <is>
          <t>Power and fuel</t>
        </is>
      </c>
      <c r="C376" s="55" t="inlineStr">
        <is>
          <t>PowerAndFuel</t>
        </is>
      </c>
      <c r="D376" s="56" t="n">
        <v>313000000</v>
      </c>
      <c r="E376" s="56" t="n">
        <v>289000000</v>
      </c>
      <c r="F376" s="56" t="n">
        <v>302000000</v>
      </c>
      <c r="G376" s="56" t="n">
        <v>313000000</v>
      </c>
      <c r="H376" s="56" t="n">
        <v>168000000</v>
      </c>
      <c r="I376" s="56" t="n">
        <v>183000000</v>
      </c>
    </row>
    <row r="377">
      <c r="B377" s="54" t="inlineStr">
        <is>
          <t>Repairs to building</t>
        </is>
      </c>
      <c r="C377" s="55" t="inlineStr">
        <is>
          <t>RepairsToBuilding</t>
        </is>
      </c>
      <c r="D377" s="56" t="n">
        <v>49000000</v>
      </c>
      <c r="E377" s="56" t="n">
        <v>62000000</v>
      </c>
      <c r="F377" s="56" t="n">
        <v>102000000</v>
      </c>
      <c r="G377" s="56" t="n">
        <v>383000000</v>
      </c>
      <c r="H377" s="56" t="n">
        <v>282000000</v>
      </c>
      <c r="I377" s="56" t="n">
        <v>404000000</v>
      </c>
    </row>
    <row r="378">
      <c r="B378" s="54" t="inlineStr">
        <is>
          <t>Repairs to machinery</t>
        </is>
      </c>
      <c r="C378" s="55" t="inlineStr">
        <is>
          <t>RepairsToMachinery</t>
        </is>
      </c>
      <c r="D378" s="56" t="n">
        <v>50000000</v>
      </c>
      <c r="E378" s="56" t="n">
        <v>53000000</v>
      </c>
      <c r="F378" s="56" t="n">
        <v>61000000</v>
      </c>
      <c r="G378" s="56" t="n">
        <v>59000000</v>
      </c>
      <c r="H378" s="56" t="n">
        <v>43000000</v>
      </c>
      <c r="I378" s="56" t="n">
        <v>37000000</v>
      </c>
    </row>
    <row r="379">
      <c r="B379" s="54" t="inlineStr">
        <is>
          <t>Insurance</t>
        </is>
      </c>
      <c r="C379" s="55" t="inlineStr">
        <is>
          <t>Insurance</t>
        </is>
      </c>
      <c r="D379" s="56" t="n">
        <v>85000000</v>
      </c>
      <c r="E379" s="56" t="n">
        <v>79000000</v>
      </c>
      <c r="F379" s="56" t="n">
        <v>76000000</v>
      </c>
      <c r="G379" s="56" t="n">
        <v>95000000</v>
      </c>
      <c r="H379" s="56" t="n">
        <v>105000000</v>
      </c>
      <c r="I379" s="56" t="n">
        <v>110000000</v>
      </c>
    </row>
    <row r="380">
      <c r="B380" s="59" t="inlineStr">
        <is>
          <t>Rates and taxes excluding taxes on income [Abstract]</t>
        </is>
      </c>
    </row>
    <row r="381">
      <c r="B381" s="62" t="inlineStr">
        <is>
          <t>Other cess taxes</t>
        </is>
      </c>
      <c r="C381" s="55" t="inlineStr">
        <is>
          <t>OtherCessTaxes</t>
        </is>
      </c>
      <c r="D381" s="56" t="n">
        <v>151000000</v>
      </c>
      <c r="E381" s="56" t="n">
        <v>0</v>
      </c>
      <c r="F381" s="56" t="n">
        <v>266000000</v>
      </c>
      <c r="G381" s="56" t="n">
        <v>344000000</v>
      </c>
      <c r="H381" s="56" t="n">
        <v>534000000</v>
      </c>
      <c r="I381" s="56" t="n">
        <v>648000000</v>
      </c>
    </row>
    <row r="382">
      <c r="B382" s="62" t="inlineStr">
        <is>
          <t>Cost taxes other levies by government local authorities</t>
        </is>
      </c>
      <c r="C382" s="55" t="inlineStr">
        <is>
          <t>CostTaxesOtherLeviesByGovernmentLocalAuthorities</t>
        </is>
      </c>
      <c r="D382" s="56" t="n">
        <v>0</v>
      </c>
      <c r="E382" s="56" t="n">
        <v>224000000</v>
      </c>
      <c r="F382" s="56" t="n">
        <v>0</v>
      </c>
      <c r="G382" s="56" t="n">
        <v>0</v>
      </c>
      <c r="H382" s="56" t="n">
        <v>0</v>
      </c>
      <c r="I382" s="56" t="n">
        <v>0</v>
      </c>
    </row>
    <row r="383">
      <c r="B383" s="67" t="inlineStr">
        <is>
          <t>Total rates and taxes excluding taxes on income</t>
        </is>
      </c>
      <c r="C383" s="55" t="inlineStr">
        <is>
          <t>RatesAndTaxesExcludingTaxesOnIncome</t>
        </is>
      </c>
      <c r="D383" s="58" t="n">
        <v>151000000</v>
      </c>
      <c r="E383" s="58" t="n">
        <v>224000000</v>
      </c>
      <c r="F383" s="58" t="n">
        <v>266000000</v>
      </c>
      <c r="G383" s="58" t="n">
        <v>344000000</v>
      </c>
      <c r="H383" s="58" t="n">
        <v>534000000</v>
      </c>
      <c r="I383" s="58" t="n">
        <v>648000000</v>
      </c>
    </row>
    <row r="384">
      <c r="B384" s="54" t="inlineStr">
        <is>
          <t>Telephone postage</t>
        </is>
      </c>
      <c r="C384" s="55" t="inlineStr">
        <is>
          <t>TelephonePostage</t>
        </is>
      </c>
      <c r="D384" s="56" t="n">
        <v>0</v>
      </c>
      <c r="E384" s="56" t="n">
        <v>0</v>
      </c>
      <c r="F384" s="56" t="n">
        <v>793000000</v>
      </c>
      <c r="G384" s="56" t="n">
        <v>691000000</v>
      </c>
      <c r="H384" s="56" t="n">
        <v>583000000</v>
      </c>
      <c r="I384" s="56" t="n">
        <v>716000000</v>
      </c>
    </row>
    <row r="385">
      <c r="B385" s="54" t="inlineStr">
        <is>
          <t>Information technology expenses</t>
        </is>
      </c>
      <c r="C385" s="55" t="inlineStr">
        <is>
          <t>InformationTechnologyExpenses</t>
        </is>
      </c>
      <c r="D385" s="56" t="n">
        <v>785000000</v>
      </c>
      <c r="E385" s="56" t="n">
        <v>815000000</v>
      </c>
      <c r="F385" s="56" t="n">
        <v>919000000</v>
      </c>
      <c r="G385" s="56" t="n">
        <v>1166000000</v>
      </c>
      <c r="H385" s="56" t="n">
        <v>1514000000</v>
      </c>
      <c r="I385" s="56" t="n">
        <v>2194000000</v>
      </c>
    </row>
    <row r="386">
      <c r="B386" s="54" t="inlineStr">
        <is>
          <t>Travelling conveyance</t>
        </is>
      </c>
      <c r="C386" s="55" t="inlineStr">
        <is>
          <t>TravellingConveyance</t>
        </is>
      </c>
      <c r="D386" s="56" t="n">
        <v>1967000000</v>
      </c>
      <c r="E386" s="56" t="n">
        <v>2269000000</v>
      </c>
      <c r="F386" s="56" t="n">
        <v>3006000000</v>
      </c>
      <c r="G386" s="56" t="n">
        <v>3266000000</v>
      </c>
      <c r="H386" s="56" t="n">
        <v>762000000</v>
      </c>
      <c r="I386" s="56" t="n">
        <v>1088000000</v>
      </c>
    </row>
    <row r="387">
      <c r="B387" s="54" t="inlineStr">
        <is>
          <t>Legal professional charges</t>
        </is>
      </c>
      <c r="C387" s="55" t="inlineStr">
        <is>
          <t>LegalProfessionalCharges</t>
        </is>
      </c>
      <c r="D387" s="56" t="n">
        <v>428000000</v>
      </c>
      <c r="E387" s="56" t="n">
        <v>514000000</v>
      </c>
      <c r="F387" s="56" t="n">
        <v>419000000</v>
      </c>
      <c r="G387" s="56" t="n">
        <v>568000000</v>
      </c>
      <c r="H387" s="56" t="n">
        <v>499000000</v>
      </c>
      <c r="I387" s="56" t="n">
        <v>916000000</v>
      </c>
    </row>
    <row r="388">
      <c r="B388" s="59" t="inlineStr">
        <is>
          <t>Payments to auditor [Abstract]</t>
        </is>
      </c>
    </row>
    <row r="389">
      <c r="B389" s="62" t="inlineStr">
        <is>
          <t>Payment for audit services</t>
        </is>
      </c>
      <c r="C389" s="55" t="inlineStr">
        <is>
          <t>PaymentForAuditServices</t>
        </is>
      </c>
      <c r="D389" s="56" t="n">
        <v>18000000</v>
      </c>
      <c r="E389" s="56" t="n">
        <v>18000000</v>
      </c>
      <c r="F389" s="56" t="n">
        <v>18000000</v>
      </c>
      <c r="G389" s="56" t="n">
        <v>20000000</v>
      </c>
      <c r="H389" s="56" t="n">
        <v>20000000</v>
      </c>
      <c r="I389" s="56" t="n">
        <v>20000000</v>
      </c>
    </row>
    <row r="390">
      <c r="B390" s="62" t="inlineStr">
        <is>
          <t>Payment for taxation matters</t>
        </is>
      </c>
      <c r="C390" s="55" t="inlineStr">
        <is>
          <t>PaymentForTaxationMatters</t>
        </is>
      </c>
      <c r="D390" s="56" t="n">
        <v>1000000</v>
      </c>
      <c r="E390" s="56" t="n">
        <v>0</v>
      </c>
      <c r="F390" s="56" t="n">
        <v>1000000</v>
      </c>
      <c r="G390" s="56" t="n">
        <v>1000000</v>
      </c>
      <c r="H390" s="56" t="n">
        <v>1000000</v>
      </c>
      <c r="I390" s="56" t="n">
        <v>1000000</v>
      </c>
    </row>
    <row r="391">
      <c r="B391" s="62" t="inlineStr">
        <is>
          <t>Payment for other services</t>
        </is>
      </c>
      <c r="C391" s="55" t="inlineStr">
        <is>
          <t>PaymentForOtherServices</t>
        </is>
      </c>
      <c r="D391" s="56" t="n">
        <v>3000000</v>
      </c>
      <c r="E391" s="56" t="n">
        <v>8000000</v>
      </c>
      <c r="F391" s="56" t="n">
        <v>8000000</v>
      </c>
      <c r="G391" s="56" t="n">
        <v>5000000</v>
      </c>
      <c r="H391" s="56" t="n">
        <v>3000000</v>
      </c>
      <c r="I391" s="56" t="n">
        <v>3000000</v>
      </c>
    </row>
    <row r="392">
      <c r="B392" s="62" t="inlineStr">
        <is>
          <t>Payment for reimbursement of expenses</t>
        </is>
      </c>
      <c r="C392" s="55" t="inlineStr">
        <is>
          <t>PaymentForReimbursementOfExpenses</t>
        </is>
      </c>
      <c r="D392" s="56" t="n">
        <v>2000000</v>
      </c>
      <c r="E392" s="56" t="n">
        <v>2000000</v>
      </c>
      <c r="F392" s="56" t="n">
        <v>2000000</v>
      </c>
      <c r="G392" s="56" t="n">
        <v>1000000</v>
      </c>
      <c r="H392" s="56" t="n">
        <v>0</v>
      </c>
      <c r="I392" s="56" t="n">
        <v>0</v>
      </c>
    </row>
    <row r="393">
      <c r="B393" s="67" t="inlineStr">
        <is>
          <t>Total payments to auditor</t>
        </is>
      </c>
      <c r="C393" s="55" t="inlineStr">
        <is>
          <t>PaymentsToAuditor</t>
        </is>
      </c>
      <c r="D393" s="58" t="n">
        <v>24000000</v>
      </c>
      <c r="E393" s="58" t="n">
        <v>28000000</v>
      </c>
      <c r="F393" s="58" t="n">
        <v>29000000</v>
      </c>
      <c r="G393" s="58" t="n">
        <v>27000000</v>
      </c>
      <c r="H393" s="58" t="n">
        <v>24000000</v>
      </c>
      <c r="I393" s="58" t="n">
        <v>24000000</v>
      </c>
    </row>
    <row r="394">
      <c r="B394" s="54" t="inlineStr">
        <is>
          <t>Corporate social responsibility expenditure</t>
        </is>
      </c>
      <c r="C394" s="55" t="inlineStr">
        <is>
          <t>CSRExpenditure</t>
        </is>
      </c>
      <c r="D394" s="56" t="n">
        <v>109000000</v>
      </c>
      <c r="E394" s="56" t="n">
        <v>124000000</v>
      </c>
      <c r="F394" s="56" t="n">
        <v>150350000</v>
      </c>
      <c r="G394" s="56" t="n">
        <v>343000000</v>
      </c>
      <c r="H394" s="56" t="n">
        <v>80000000</v>
      </c>
      <c r="I394" s="56" t="n">
        <v>171380000</v>
      </c>
    </row>
    <row r="395">
      <c r="B395" s="54" t="inlineStr">
        <is>
          <t>Miscellaneous expenses</t>
        </is>
      </c>
      <c r="C395" s="55" t="inlineStr">
        <is>
          <t>MiscellaneousExpenses</t>
        </is>
      </c>
      <c r="D395" s="56" t="n">
        <v>5337000000</v>
      </c>
      <c r="E395" s="56" t="n">
        <v>6179000000</v>
      </c>
      <c r="F395" s="56" t="n">
        <v>2734650000</v>
      </c>
      <c r="G395" s="56" t="n">
        <v>2551000000</v>
      </c>
      <c r="H395" s="56" t="n">
        <v>1542000000</v>
      </c>
      <c r="I395" s="56" t="n">
        <v>2595620000</v>
      </c>
    </row>
    <row r="396">
      <c r="B396" s="57" t="inlineStr">
        <is>
          <t>Total other expenses</t>
        </is>
      </c>
      <c r="C396" s="55" t="inlineStr">
        <is>
          <t>OtherExpenses</t>
        </is>
      </c>
      <c r="D396" s="58" t="n">
        <v>10106000000</v>
      </c>
      <c r="E396" s="58" t="n">
        <v>11539000000</v>
      </c>
      <c r="F396" s="58" t="n">
        <v>15360000000</v>
      </c>
      <c r="G396" s="58" t="n">
        <v>16182000000</v>
      </c>
      <c r="H396" s="58" t="n">
        <v>11981000000</v>
      </c>
      <c r="I396" s="58" t="n">
        <v>20018000000</v>
      </c>
    </row>
    <row r="399" ht="15.5" customHeight="1" s="203">
      <c r="B399" s="38" t="inlineStr">
        <is>
          <t>Current tax [Abstract]</t>
        </is>
      </c>
    </row>
    <row r="400">
      <c r="B400" s="54" t="inlineStr">
        <is>
          <t>Current tax pertaining to current year</t>
        </is>
      </c>
      <c r="C400" s="55" t="inlineStr">
        <is>
          <t>CurrentTaxPertainingToCurrentYear</t>
        </is>
      </c>
      <c r="D400" s="56" t="n">
        <v>1531000000</v>
      </c>
      <c r="E400" s="56" t="n">
        <v>1555000000</v>
      </c>
      <c r="F400" s="56" t="n">
        <v>2456000000</v>
      </c>
      <c r="G400" s="56" t="n">
        <v>2333000000</v>
      </c>
      <c r="H400" s="56" t="n">
        <v>4214000000</v>
      </c>
      <c r="I400" s="56" t="n">
        <v>5546000000</v>
      </c>
    </row>
    <row r="401">
      <c r="B401" s="57" t="inlineStr">
        <is>
          <t>Total current tax</t>
        </is>
      </c>
      <c r="C401" s="55" t="inlineStr">
        <is>
          <t>CurrentTax</t>
        </is>
      </c>
      <c r="D401" s="58" t="n">
        <v>1531000000</v>
      </c>
      <c r="E401" s="58" t="n">
        <v>1555000000</v>
      </c>
      <c r="F401" s="58" t="n">
        <v>2456000000</v>
      </c>
      <c r="G401" s="58" t="n">
        <v>2333000000</v>
      </c>
      <c r="H401" s="58" t="n">
        <v>4214000000</v>
      </c>
      <c r="I401" s="58" t="n">
        <v>5546000000</v>
      </c>
    </row>
    <row r="404" ht="15.5" customHeight="1" s="203">
      <c r="B404" s="38" t="inlineStr">
        <is>
          <t>Additional Items (Taxonomy Vintage 2017-03-31)</t>
        </is>
      </c>
    </row>
    <row r="405">
      <c r="B405" s="54" t="inlineStr">
        <is>
          <t>Cost lease rentals</t>
        </is>
      </c>
      <c r="C405" s="55" t="inlineStr">
        <is>
          <t>CostLeaseRentals</t>
        </is>
      </c>
      <c r="D405" s="56" t="n">
        <v>808000000</v>
      </c>
      <c r="E405" s="56" t="n">
        <v>903000000</v>
      </c>
      <c r="F405" s="56" t="n">
        <v>1221000000</v>
      </c>
      <c r="G405" s="56" t="n">
        <v>168000000</v>
      </c>
      <c r="H405" s="56" t="n">
        <v>115000000</v>
      </c>
      <c r="I405" s="56" t="n">
        <v>143000000</v>
      </c>
    </row>
    <row r="406">
      <c r="B406" s="54" t="inlineStr">
        <is>
          <t>Other claims contracts</t>
        </is>
      </c>
      <c r="C406" s="55" t="inlineStr">
        <is>
          <t>OtherClaimsContracts</t>
        </is>
      </c>
      <c r="D406" s="56" t="n">
        <v>0</v>
      </c>
      <c r="E406" s="56" t="n">
        <v>0</v>
      </c>
      <c r="F406" s="56" t="n">
        <v>5281000000</v>
      </c>
      <c r="G406" s="56" t="n">
        <v>6208000000</v>
      </c>
      <c r="H406" s="56" t="n">
        <v>5730000000</v>
      </c>
      <c r="I406" s="56" t="n">
        <v>10788000000</v>
      </c>
    </row>
    <row r="407">
      <c r="B407" s="57" t="inlineStr">
        <is>
          <t>Total contract cost</t>
        </is>
      </c>
      <c r="C407" s="55" t="inlineStr">
        <is>
          <t>ContractCost</t>
        </is>
      </c>
      <c r="D407" s="58" t="n">
        <v>0</v>
      </c>
      <c r="E407" s="58" t="n">
        <v>0</v>
      </c>
      <c r="F407" s="58" t="n">
        <v>5281000000</v>
      </c>
      <c r="G407" s="58" t="n">
        <v>6208000000</v>
      </c>
      <c r="H407" s="58" t="n">
        <v>5730000000</v>
      </c>
      <c r="I407" s="58" t="n">
        <v>10788000000</v>
      </c>
    </row>
    <row r="410" ht="15.5" customHeight="1" s="203">
      <c r="A410" t="inlineStr">
        <is>
          <t>#</t>
        </is>
      </c>
      <c r="B410" s="38" t="inlineStr">
        <is>
          <t>Notes to Balance Sheet: Additional Disclosures On Balance Sheet</t>
        </is>
      </c>
    </row>
    <row r="412">
      <c r="C412" s="53" t="inlineStr">
        <is>
          <t>Concept Tag</t>
        </is>
      </c>
      <c r="D412" s="20" t="inlineStr">
        <is>
          <t>FY2017</t>
        </is>
      </c>
      <c r="E412" s="20" t="inlineStr">
        <is>
          <t>FY2018</t>
        </is>
      </c>
      <c r="F412" s="20" t="inlineStr">
        <is>
          <t>FY2019</t>
        </is>
      </c>
      <c r="G412" s="20" t="inlineStr">
        <is>
          <t>FY2020</t>
        </is>
      </c>
      <c r="H412" s="20" t="inlineStr">
        <is>
          <t>FY2021</t>
        </is>
      </c>
      <c r="I412" s="20" t="inlineStr">
        <is>
          <t>FY2022</t>
        </is>
      </c>
    </row>
    <row r="413" ht="15.5" customHeight="1" s="203">
      <c r="B413" s="38" t="inlineStr">
        <is>
          <t>Additional balance sheet notes [Abstract]</t>
        </is>
      </c>
    </row>
    <row r="414">
      <c r="B414" s="59" t="inlineStr">
        <is>
          <t>Contingent liabilities and commitments [Abstract]</t>
        </is>
      </c>
    </row>
    <row r="415">
      <c r="B415" s="60" t="inlineStr">
        <is>
          <t>Classification of contingent liabilities [Abstract]</t>
        </is>
      </c>
    </row>
    <row r="416">
      <c r="B416" s="61" t="inlineStr">
        <is>
          <t>Claims against company not acknowledged as debt</t>
        </is>
      </c>
      <c r="C416" s="55" t="inlineStr">
        <is>
          <t>ClaimsAgainstCompanyNotAcknowledgedAsDebt</t>
        </is>
      </c>
      <c r="D416" s="56" t="n">
        <v>0</v>
      </c>
      <c r="E416" s="56" t="n">
        <v>0</v>
      </c>
      <c r="F416" s="56" t="n">
        <v>1074000000</v>
      </c>
      <c r="G416" s="56" t="n">
        <v>1074000000</v>
      </c>
      <c r="H416" s="56" t="n">
        <v>824000000</v>
      </c>
      <c r="I416" s="56" t="n">
        <v>824000000</v>
      </c>
    </row>
    <row r="417">
      <c r="B417" s="65" t="inlineStr">
        <is>
          <t>Total contingent liabilities</t>
        </is>
      </c>
      <c r="C417" s="55" t="inlineStr">
        <is>
          <t>ContingentLiabilities</t>
        </is>
      </c>
      <c r="D417" s="58" t="n">
        <v>0</v>
      </c>
      <c r="E417" s="58" t="n">
        <v>0</v>
      </c>
      <c r="F417" s="58" t="n">
        <v>1074000000</v>
      </c>
      <c r="G417" s="58" t="n">
        <v>1074000000</v>
      </c>
      <c r="H417" s="58" t="n">
        <v>824000000</v>
      </c>
      <c r="I417" s="58" t="n">
        <v>824000000</v>
      </c>
    </row>
    <row r="418">
      <c r="B418" s="60" t="inlineStr">
        <is>
          <t>Classification of commitments [Abstract]</t>
        </is>
      </c>
    </row>
    <row r="419">
      <c r="B419" s="61" t="inlineStr">
        <is>
          <t>Estimated amount of contracts remaining to be executed on capital account and not provided for</t>
        </is>
      </c>
      <c r="C419" s="55" t="inlineStr">
        <is>
          <t>EstimatedAmountOfContractsRemainingToBeExecutedOnCapitalAccountAndNotProvidedFor</t>
        </is>
      </c>
      <c r="D419" s="56" t="n">
        <v>0</v>
      </c>
      <c r="E419" s="56" t="n">
        <v>0</v>
      </c>
      <c r="F419" s="56" t="n">
        <v>0</v>
      </c>
      <c r="G419" s="56" t="n">
        <v>0</v>
      </c>
      <c r="H419" s="56" t="n">
        <v>431000000</v>
      </c>
      <c r="I419" s="56" t="n">
        <v>753000000</v>
      </c>
    </row>
    <row r="420">
      <c r="B420" s="65" t="inlineStr">
        <is>
          <t>Total commitments</t>
        </is>
      </c>
      <c r="C420" s="55" t="inlineStr">
        <is>
          <t>Commitments</t>
        </is>
      </c>
      <c r="D420" s="58" t="n">
        <v>0</v>
      </c>
      <c r="E420" s="58" t="n">
        <v>0</v>
      </c>
      <c r="F420" s="58" t="n">
        <v>0</v>
      </c>
      <c r="G420" s="58" t="n">
        <v>0</v>
      </c>
      <c r="H420" s="58" t="n">
        <v>431000000</v>
      </c>
      <c r="I420" s="58" t="n">
        <v>753000000</v>
      </c>
    </row>
    <row r="421">
      <c r="B421" s="67" t="inlineStr">
        <is>
          <t>Total contingent liabilities and commitments</t>
        </is>
      </c>
      <c r="C421" s="55" t="inlineStr">
        <is>
          <t>ContingentLiabilitiesAndCommitments</t>
        </is>
      </c>
      <c r="D421" s="58" t="n">
        <v>0</v>
      </c>
      <c r="E421" s="58" t="n">
        <v>0</v>
      </c>
      <c r="F421" s="58" t="n">
        <v>1074000000</v>
      </c>
      <c r="G421" s="58" t="n">
        <v>1074000000</v>
      </c>
      <c r="H421" s="58" t="n">
        <v>1255000000</v>
      </c>
      <c r="I421" s="58" t="n">
        <v>1577000000</v>
      </c>
    </row>
    <row r="422">
      <c r="B422" s="59" t="inlineStr">
        <is>
          <t>Details regarding dividends [Abstract]</t>
        </is>
      </c>
    </row>
    <row r="423">
      <c r="B423" s="62" t="inlineStr">
        <is>
          <t>Amount of dividends proposed to be distributed to equity shareholders</t>
        </is>
      </c>
      <c r="C423" s="55" t="inlineStr">
        <is>
          <t>AmountOfDividendsProposedToBeDistributedToEquityShareholders</t>
        </is>
      </c>
      <c r="D423" s="56" t="n">
        <v>0</v>
      </c>
      <c r="E423" s="56" t="n">
        <v>0</v>
      </c>
      <c r="F423" s="56" t="n">
        <v>0</v>
      </c>
      <c r="G423" s="56" t="n">
        <v>0</v>
      </c>
      <c r="H423" s="56" t="n">
        <v>4118180000</v>
      </c>
      <c r="I423" s="56" t="n">
        <v>6098850000</v>
      </c>
    </row>
    <row r="424">
      <c r="B424" s="62" t="inlineStr">
        <is>
          <t>Amount of per share dividend proposed to be distributed to equity shareholders</t>
        </is>
      </c>
      <c r="C424" s="55" t="inlineStr">
        <is>
          <t>AmountOfPerShareDividendProposedToBeDistributedToEquityShareholders</t>
        </is>
      </c>
      <c r="D424" s="56" t="n">
        <v>0</v>
      </c>
      <c r="E424" s="56" t="n">
        <v>0</v>
      </c>
      <c r="F424" s="56" t="n">
        <v>0</v>
      </c>
      <c r="G424" s="56" t="n">
        <v>0</v>
      </c>
      <c r="H424" s="56" t="n">
        <v>25</v>
      </c>
      <c r="I424" s="56" t="n">
        <v>37</v>
      </c>
    </row>
    <row r="425">
      <c r="B425" s="59" t="inlineStr">
        <is>
          <t>Additional regulatory information [Abstract]</t>
        </is>
      </c>
    </row>
    <row r="426">
      <c r="B426" s="71" t="inlineStr">
        <is>
          <t>Capital work-in-progress</t>
        </is>
      </c>
      <c r="C426" s="55" t="inlineStr">
        <is>
          <t>CapitalWorkInProgress</t>
        </is>
      </c>
      <c r="D426" s="56" t="n">
        <v>192000000</v>
      </c>
      <c r="E426" s="56" t="n">
        <v>92000000</v>
      </c>
      <c r="F426" s="56" t="n">
        <v>297000000</v>
      </c>
      <c r="G426" s="56" t="n">
        <v>136000000</v>
      </c>
      <c r="H426" s="56" t="n">
        <v>224000000</v>
      </c>
      <c r="I426" s="56" t="n">
        <v>215000000</v>
      </c>
    </row>
    <row r="431" ht="15.5" customHeight="1" s="203">
      <c r="A431" t="inlineStr">
        <is>
          <t>#</t>
        </is>
      </c>
      <c r="B431" s="38" t="inlineStr">
        <is>
          <t>Notes to Balance Sheet: Current Investments</t>
        </is>
      </c>
    </row>
    <row r="433">
      <c r="C433" s="53" t="inlineStr">
        <is>
          <t>Concept Tag</t>
        </is>
      </c>
      <c r="D433" s="20" t="inlineStr">
        <is>
          <t>FY2017</t>
        </is>
      </c>
      <c r="E433" s="20" t="inlineStr">
        <is>
          <t>FY2018</t>
        </is>
      </c>
      <c r="F433" s="20" t="inlineStr">
        <is>
          <t>FY2019</t>
        </is>
      </c>
      <c r="G433" s="20" t="inlineStr">
        <is>
          <t>FY2020</t>
        </is>
      </c>
      <c r="H433" s="20" t="inlineStr">
        <is>
          <t>FY2021</t>
        </is>
      </c>
      <c r="I433" s="20" t="inlineStr">
        <is>
          <t>FY2022</t>
        </is>
      </c>
    </row>
    <row r="434" ht="15.5" customHeight="1" s="203">
      <c r="B434" s="38" t="inlineStr">
        <is>
          <t>Current investments [Abstract]</t>
        </is>
      </c>
    </row>
    <row r="435">
      <c r="B435" s="59" t="inlineStr">
        <is>
          <t>Disclosure of details of current investments [Abstract]</t>
        </is>
      </c>
    </row>
    <row r="436">
      <c r="B436" s="60" t="inlineStr">
        <is>
          <t>Details of current investments [Line items]</t>
        </is>
      </c>
    </row>
    <row r="437">
      <c r="B437" s="61" t="inlineStr">
        <is>
          <t>Current investments</t>
        </is>
      </c>
      <c r="C437" s="55" t="inlineStr">
        <is>
          <t>CurrentInvestments</t>
        </is>
      </c>
      <c r="D437" s="56" t="n">
        <v>5869000000</v>
      </c>
      <c r="E437" s="56" t="n">
        <v>7206000000</v>
      </c>
      <c r="F437" s="56" t="n">
        <v>6836000000</v>
      </c>
      <c r="G437" s="56" t="n">
        <v>6944000000</v>
      </c>
      <c r="H437" s="56" t="n">
        <v>19307000000</v>
      </c>
      <c r="I437" s="56" t="n">
        <v>22391000000</v>
      </c>
    </row>
    <row r="438">
      <c r="B438" s="54" t="inlineStr">
        <is>
          <t>Aggregate amount of quoted current investments</t>
        </is>
      </c>
      <c r="C438" s="55" t="inlineStr">
        <is>
          <t>AggregateAmountOfQuotedCurrentInvestments</t>
        </is>
      </c>
      <c r="D438" s="56" t="n">
        <v>5259000000</v>
      </c>
      <c r="E438" s="56" t="n">
        <v>6218000000</v>
      </c>
      <c r="F438" s="56" t="n">
        <v>5908000000</v>
      </c>
      <c r="G438" s="56" t="n">
        <v>5878000000</v>
      </c>
      <c r="H438" s="56" t="n">
        <v>17146000000</v>
      </c>
      <c r="I438" s="56" t="n">
        <v>16902000000</v>
      </c>
    </row>
    <row r="439">
      <c r="B439" s="54" t="inlineStr">
        <is>
          <t>Market value of quoted current investments</t>
        </is>
      </c>
      <c r="C439" s="55" t="inlineStr">
        <is>
          <t>MarketValueOfQuotedCurrentInvestments</t>
        </is>
      </c>
      <c r="D439" s="56" t="n">
        <v>5259000000</v>
      </c>
      <c r="E439" s="56" t="n">
        <v>6218000000</v>
      </c>
      <c r="F439" s="56" t="n">
        <v>5908000000</v>
      </c>
      <c r="G439" s="56" t="n">
        <v>5878000000</v>
      </c>
      <c r="H439" s="56" t="n">
        <v>17146000000</v>
      </c>
      <c r="I439" s="56" t="n">
        <v>16902000000</v>
      </c>
    </row>
    <row r="440">
      <c r="B440" s="54" t="inlineStr">
        <is>
          <t>Aggregate amount of unquoted current investments</t>
        </is>
      </c>
      <c r="C440" s="55" t="inlineStr">
        <is>
          <t>AggregateAmountOfUnquotedCurrentInvestments</t>
        </is>
      </c>
      <c r="D440" s="56" t="n">
        <v>610000000</v>
      </c>
      <c r="E440" s="56" t="n">
        <v>988000000</v>
      </c>
      <c r="F440" s="56" t="n">
        <v>928000000</v>
      </c>
      <c r="G440" s="56" t="n">
        <v>1066000000</v>
      </c>
      <c r="H440" s="56" t="n">
        <v>2161000000</v>
      </c>
      <c r="I440" s="56" t="n">
        <v>5489000000</v>
      </c>
    </row>
    <row r="443" ht="15.5" customHeight="1" s="203">
      <c r="A443" t="inlineStr">
        <is>
          <t>#</t>
        </is>
      </c>
      <c r="B443" s="38" t="inlineStr">
        <is>
          <t>Notes to Balance Sheet: Equity Share Capital</t>
        </is>
      </c>
    </row>
    <row r="445">
      <c r="C445" s="53" t="inlineStr">
        <is>
          <t>Concept Tag</t>
        </is>
      </c>
      <c r="D445" s="20" t="inlineStr">
        <is>
          <t>FY2017</t>
        </is>
      </c>
      <c r="E445" s="20" t="inlineStr">
        <is>
          <t>FY2018</t>
        </is>
      </c>
      <c r="F445" s="20" t="inlineStr">
        <is>
          <t>FY2019</t>
        </is>
      </c>
      <c r="G445" s="20" t="inlineStr">
        <is>
          <t>FY2020</t>
        </is>
      </c>
      <c r="H445" s="20" t="inlineStr">
        <is>
          <t>FY2021</t>
        </is>
      </c>
      <c r="I445" s="20" t="inlineStr">
        <is>
          <t>FY2022</t>
        </is>
      </c>
    </row>
    <row r="446" ht="15.5" customHeight="1" s="203">
      <c r="B446" s="38" t="inlineStr">
        <is>
          <t>Disclosure of classes of equity share capital [Abstract]</t>
        </is>
      </c>
    </row>
    <row r="447">
      <c r="B447" s="59" t="inlineStr">
        <is>
          <t>Disclosure of classes of equity share capital [Line items]</t>
        </is>
      </c>
    </row>
    <row r="448">
      <c r="B448" s="62" t="inlineStr">
        <is>
          <t>Number of shares authorised</t>
        </is>
      </c>
      <c r="C448" s="55" t="inlineStr">
        <is>
          <t>NumberOfSharesAuthorised</t>
        </is>
      </c>
      <c r="D448" s="56" t="n">
        <v>800000000</v>
      </c>
      <c r="E448" s="56" t="n">
        <v>800000000</v>
      </c>
      <c r="F448" s="56" t="n">
        <v>800000000</v>
      </c>
      <c r="G448" s="56" t="n">
        <v>800000000</v>
      </c>
      <c r="H448" s="56" t="n">
        <v>800000000</v>
      </c>
      <c r="I448" s="56" t="n">
        <v>800000000</v>
      </c>
    </row>
    <row r="449">
      <c r="B449" s="62" t="inlineStr">
        <is>
          <t>Value of shares authorised</t>
        </is>
      </c>
      <c r="C449" s="55" t="inlineStr">
        <is>
          <t>ValueOfSharesAuthorised</t>
        </is>
      </c>
      <c r="D449" s="56" t="n">
        <v>8000000000</v>
      </c>
      <c r="E449" s="56" t="n">
        <v>8000000000</v>
      </c>
      <c r="F449" s="56" t="n">
        <v>8000000000</v>
      </c>
      <c r="G449" s="56" t="n">
        <v>8000000000</v>
      </c>
      <c r="H449" s="56" t="n">
        <v>8000000000</v>
      </c>
      <c r="I449" s="56" t="n">
        <v>8000000000</v>
      </c>
    </row>
    <row r="450">
      <c r="B450" s="62" t="inlineStr">
        <is>
          <t>Number of shares issued</t>
        </is>
      </c>
      <c r="C450" s="55" t="inlineStr">
        <is>
          <t>NumberOfSharesIssued</t>
        </is>
      </c>
      <c r="D450" s="56" t="n">
        <v>168025546</v>
      </c>
      <c r="E450" s="56" t="n">
        <v>163926311</v>
      </c>
      <c r="F450" s="56" t="n">
        <v>164214041</v>
      </c>
      <c r="G450" s="56" t="n">
        <v>164574066</v>
      </c>
      <c r="H450" s="56" t="n">
        <v>164719766</v>
      </c>
      <c r="I450" s="56" t="n">
        <v>164833772</v>
      </c>
    </row>
    <row r="451">
      <c r="B451" s="62" t="inlineStr">
        <is>
          <t>Value of shares issued</t>
        </is>
      </c>
      <c r="C451" s="55" t="inlineStr">
        <is>
          <t>ValueOfSharesIssued</t>
        </is>
      </c>
      <c r="D451" s="56" t="n">
        <v>1680000000</v>
      </c>
      <c r="E451" s="56" t="n">
        <v>1639260000</v>
      </c>
      <c r="F451" s="56" t="n">
        <v>1642140000</v>
      </c>
      <c r="G451" s="56" t="n">
        <v>1645740000</v>
      </c>
      <c r="H451" s="56" t="n">
        <v>1647000000</v>
      </c>
      <c r="I451" s="56" t="n">
        <v>1648000000</v>
      </c>
    </row>
    <row r="452">
      <c r="B452" s="62" t="inlineStr">
        <is>
          <t>Number of shares subscribed and fully paid</t>
        </is>
      </c>
      <c r="C452" s="55" t="inlineStr">
        <is>
          <t>NumberOfSharesSubscribedAndFullyPaid</t>
        </is>
      </c>
      <c r="D452" s="56" t="n">
        <v>168025546</v>
      </c>
      <c r="E452" s="56" t="n">
        <v>163926311</v>
      </c>
      <c r="F452" s="56" t="n">
        <v>164214041</v>
      </c>
      <c r="G452" s="56" t="n">
        <v>164574066</v>
      </c>
      <c r="H452" s="56" t="n">
        <v>164719766</v>
      </c>
      <c r="I452" s="56" t="n">
        <v>164833772</v>
      </c>
    </row>
    <row r="453">
      <c r="B453" s="62" t="inlineStr">
        <is>
          <t>Value of shares subscribed and fully paid</t>
        </is>
      </c>
      <c r="C453" s="55" t="inlineStr">
        <is>
          <t>ValueOfSharesSubscribedAndFullyPaid</t>
        </is>
      </c>
      <c r="D453" s="56" t="n">
        <v>1680000000</v>
      </c>
      <c r="E453" s="56" t="n">
        <v>1639000000</v>
      </c>
      <c r="F453" s="56" t="n">
        <v>1642000000</v>
      </c>
      <c r="G453" s="56" t="n">
        <v>1645740000</v>
      </c>
      <c r="H453" s="56" t="n">
        <v>1647000000</v>
      </c>
      <c r="I453" s="56" t="n">
        <v>1648000000</v>
      </c>
    </row>
    <row r="454">
      <c r="B454" s="67" t="inlineStr">
        <is>
          <t>Total number of shares subscribed</t>
        </is>
      </c>
      <c r="C454" s="55" t="inlineStr">
        <is>
          <t>NumberOfSharesSubscribed</t>
        </is>
      </c>
      <c r="D454" s="58" t="n">
        <v>168025546</v>
      </c>
      <c r="E454" s="58" t="n">
        <v>163926311</v>
      </c>
      <c r="F454" s="58" t="n">
        <v>164214041</v>
      </c>
      <c r="G454" s="58" t="n">
        <v>164574066</v>
      </c>
      <c r="H454" s="58" t="n">
        <v>164719766</v>
      </c>
      <c r="I454" s="58" t="n">
        <v>164833772</v>
      </c>
    </row>
    <row r="455">
      <c r="B455" s="67" t="inlineStr">
        <is>
          <t>Total value of shares subscribed</t>
        </is>
      </c>
      <c r="C455" s="55" t="inlineStr">
        <is>
          <t>ValueOfSharesSubscribed</t>
        </is>
      </c>
      <c r="D455" s="58" t="n">
        <v>1680000000</v>
      </c>
      <c r="E455" s="58" t="n">
        <v>1639000000</v>
      </c>
      <c r="F455" s="58" t="n">
        <v>1642000000</v>
      </c>
      <c r="G455" s="58" t="n">
        <v>1645740000</v>
      </c>
      <c r="H455" s="58" t="n">
        <v>1647000000</v>
      </c>
      <c r="I455" s="58" t="n">
        <v>1648000000</v>
      </c>
    </row>
    <row r="456">
      <c r="B456" s="60" t="inlineStr">
        <is>
          <t>Value of shares paid-up [Abstract]</t>
        </is>
      </c>
    </row>
    <row r="457">
      <c r="B457" s="61" t="inlineStr">
        <is>
          <t>Number of shares paid-up</t>
        </is>
      </c>
      <c r="C457" s="55" t="inlineStr">
        <is>
          <t>NumberOfSharesPaidUp</t>
        </is>
      </c>
      <c r="D457" s="56" t="n">
        <v>168025546</v>
      </c>
      <c r="E457" s="56" t="n">
        <v>163926311</v>
      </c>
      <c r="F457" s="56" t="n">
        <v>164214041</v>
      </c>
      <c r="G457" s="56" t="n">
        <v>164574066</v>
      </c>
      <c r="H457" s="56" t="n">
        <v>164719766</v>
      </c>
      <c r="I457" s="56" t="n">
        <v>164833772</v>
      </c>
    </row>
    <row r="458">
      <c r="B458" s="61" t="inlineStr">
        <is>
          <t>Value of shares called</t>
        </is>
      </c>
      <c r="C458" s="55" t="inlineStr">
        <is>
          <t>ValueOfSharesCalled</t>
        </is>
      </c>
      <c r="D458" s="56" t="n">
        <v>1680000000</v>
      </c>
      <c r="E458" s="56" t="n">
        <v>1639000000</v>
      </c>
      <c r="F458" s="56" t="n">
        <v>1642000000</v>
      </c>
      <c r="G458" s="56" t="n">
        <v>1645740000</v>
      </c>
      <c r="H458" s="56" t="n">
        <v>1647000000</v>
      </c>
      <c r="I458" s="56" t="n">
        <v>1648000000</v>
      </c>
    </row>
    <row r="459">
      <c r="B459" s="65" t="inlineStr">
        <is>
          <t>Value of shares paid-up</t>
        </is>
      </c>
      <c r="C459" s="55" t="inlineStr">
        <is>
          <t>ValueOfSharesPaidUp</t>
        </is>
      </c>
      <c r="D459" s="58" t="n">
        <v>1680000000</v>
      </c>
      <c r="E459" s="58" t="n">
        <v>1639000000</v>
      </c>
      <c r="F459" s="58" t="n">
        <v>1642000000</v>
      </c>
      <c r="G459" s="58" t="n">
        <v>1645740000</v>
      </c>
      <c r="H459" s="58" t="n">
        <v>1647000000</v>
      </c>
      <c r="I459" s="58" t="n">
        <v>1648000000</v>
      </c>
    </row>
    <row r="460">
      <c r="B460" s="60" t="inlineStr">
        <is>
          <t>Reconciliation of number of shares outstanding [Abstract]</t>
        </is>
      </c>
    </row>
    <row r="461">
      <c r="B461" s="61" t="inlineStr">
        <is>
          <t>Number of shares outstanding at end of period</t>
        </is>
      </c>
      <c r="C461" s="55" t="inlineStr">
        <is>
          <t>NumberOfSharesOutstanding</t>
        </is>
      </c>
      <c r="D461" s="56" t="n">
        <v>168025546</v>
      </c>
      <c r="E461" s="56" t="n">
        <v>163926311</v>
      </c>
      <c r="F461" s="56" t="n">
        <v>164214041</v>
      </c>
      <c r="G461" s="56" t="n">
        <v>164574066</v>
      </c>
      <c r="H461" s="56" t="n">
        <v>164719766</v>
      </c>
      <c r="I461" s="56" t="n">
        <v>164833772</v>
      </c>
    </row>
    <row r="462">
      <c r="B462" s="63" t="inlineStr">
        <is>
          <t>Changes in number of shares outstanding [Abstract]</t>
        </is>
      </c>
    </row>
    <row r="463">
      <c r="B463" s="68" t="inlineStr">
        <is>
          <t>Increase in number of shares outstanding [Abstract]</t>
        </is>
      </c>
    </row>
    <row r="464">
      <c r="B464" s="69" t="inlineStr">
        <is>
          <t>Total aggregate number of shares issued during period</t>
        </is>
      </c>
      <c r="C464" s="55" t="inlineStr">
        <is>
          <t>AggregateNumberOfSharesIssuedDuringPeriod</t>
        </is>
      </c>
      <c r="D464" s="58" t="n">
        <v>239370</v>
      </c>
      <c r="E464" s="58" t="n">
        <v>124765</v>
      </c>
      <c r="F464" s="58" t="n">
        <v>287730</v>
      </c>
      <c r="G464" s="58" t="n">
        <v>360025</v>
      </c>
      <c r="H464" s="58" t="n">
        <v>145700</v>
      </c>
      <c r="I464" s="58" t="n">
        <v>114006</v>
      </c>
    </row>
    <row r="465">
      <c r="B465" s="68" t="inlineStr">
        <is>
          <t>Decrease in number of shares during period [Abstract]</t>
        </is>
      </c>
    </row>
    <row r="466">
      <c r="B466" s="69" t="inlineStr">
        <is>
          <t>Total decrease in number of shares during period</t>
        </is>
      </c>
      <c r="C466" s="55" t="inlineStr">
        <is>
          <t>DecreaseInNumberOfSharesDuringPeriod</t>
        </is>
      </c>
      <c r="D466" s="58" t="n">
        <v>0</v>
      </c>
      <c r="E466" s="58" t="n">
        <v>4224000</v>
      </c>
      <c r="F466" s="58" t="n">
        <v>0</v>
      </c>
      <c r="G466" s="58" t="n">
        <v>0</v>
      </c>
      <c r="H466" s="58" t="n">
        <v>0</v>
      </c>
      <c r="I466" s="58" t="n">
        <v>0</v>
      </c>
    </row>
    <row r="467">
      <c r="B467" s="66" t="inlineStr">
        <is>
          <t>Total increase (decrease) in number of shares outstanding</t>
        </is>
      </c>
      <c r="C467" s="55" t="inlineStr">
        <is>
          <t>IncreaseDecreaseInNumberOfSharesOutstanding</t>
        </is>
      </c>
      <c r="D467" s="58" t="n">
        <v>239370</v>
      </c>
      <c r="E467" s="58" t="n">
        <v>-4099235</v>
      </c>
      <c r="F467" s="58" t="n">
        <v>287730</v>
      </c>
      <c r="G467" s="58" t="n">
        <v>360025</v>
      </c>
      <c r="H467" s="58" t="n">
        <v>145700</v>
      </c>
      <c r="I467" s="58" t="n">
        <v>114006</v>
      </c>
    </row>
    <row r="468">
      <c r="B468" s="61" t="inlineStr">
        <is>
          <t>Number of shares outstanding at end of period</t>
        </is>
      </c>
      <c r="C468" s="55" t="inlineStr">
        <is>
          <t>NumberOfSharesOutstanding</t>
        </is>
      </c>
      <c r="D468" s="56" t="n">
        <v>168025546</v>
      </c>
      <c r="E468" s="56" t="n">
        <v>163926311</v>
      </c>
      <c r="F468" s="56" t="n">
        <v>164214041</v>
      </c>
      <c r="G468" s="56" t="n">
        <v>164574066</v>
      </c>
      <c r="H468" s="56" t="n">
        <v>164719766</v>
      </c>
      <c r="I468" s="56" t="n">
        <v>164833772</v>
      </c>
    </row>
    <row r="469">
      <c r="B469" s="60" t="inlineStr">
        <is>
          <t>Reconciliation of value of shares outstanding [Abstract]</t>
        </is>
      </c>
    </row>
    <row r="470">
      <c r="B470" s="61" t="inlineStr">
        <is>
          <t>Equity share capital at end of period</t>
        </is>
      </c>
      <c r="C470" s="55" t="inlineStr">
        <is>
          <t>EquityShareCapital</t>
        </is>
      </c>
      <c r="D470" s="56" t="n">
        <v>1680000000</v>
      </c>
      <c r="E470" s="56" t="n">
        <v>1639000000</v>
      </c>
      <c r="F470" s="56" t="n">
        <v>1642000000</v>
      </c>
      <c r="G470" s="56" t="n">
        <v>1645740000</v>
      </c>
      <c r="H470" s="56" t="n">
        <v>1647000000</v>
      </c>
      <c r="I470" s="56" t="n">
        <v>1648000000</v>
      </c>
    </row>
    <row r="471">
      <c r="B471" s="63" t="inlineStr">
        <is>
          <t>Changes in equity share capital [Abstract]</t>
        </is>
      </c>
    </row>
    <row r="472">
      <c r="B472" s="68" t="inlineStr">
        <is>
          <t>Increase in equity share capital during period [Abstract]</t>
        </is>
      </c>
    </row>
    <row r="473">
      <c r="B473" s="71" t="inlineStr">
        <is>
          <t>Amount of shares issued under employee stock option plan</t>
        </is>
      </c>
      <c r="C473" s="55" t="inlineStr">
        <is>
          <t>AmountOfSharesIssuedUnderEmployeeStockOptionPlan</t>
        </is>
      </c>
      <c r="D473" s="56" t="n">
        <v>2000000</v>
      </c>
      <c r="E473" s="56" t="n">
        <v>1000000</v>
      </c>
      <c r="F473" s="56" t="n">
        <v>3000000</v>
      </c>
      <c r="G473" s="56" t="n">
        <v>3740000</v>
      </c>
      <c r="H473" s="56" t="n">
        <v>1000000</v>
      </c>
      <c r="I473" s="56" t="n">
        <v>1000000</v>
      </c>
    </row>
    <row r="474">
      <c r="B474" s="69" t="inlineStr">
        <is>
          <t>Total aggregate amount of increase in equity share capital during period</t>
        </is>
      </c>
      <c r="C474" s="55" t="inlineStr">
        <is>
          <t>AggregateAmountOfIncreaseInEquityShareCapitalDuringPeriod</t>
        </is>
      </c>
      <c r="D474" s="58" t="n">
        <v>2000000</v>
      </c>
      <c r="E474" s="58" t="n">
        <v>1000000</v>
      </c>
      <c r="F474" s="58" t="n">
        <v>3000000</v>
      </c>
      <c r="G474" s="58" t="n">
        <v>3740000</v>
      </c>
      <c r="H474" s="58" t="n">
        <v>1000000</v>
      </c>
      <c r="I474" s="58" t="n">
        <v>1000000</v>
      </c>
    </row>
    <row r="475">
      <c r="B475" s="68" t="inlineStr">
        <is>
          <t>Decrease in equity share capital during period [Abstract]</t>
        </is>
      </c>
    </row>
    <row r="476">
      <c r="B476" s="71" t="inlineStr">
        <is>
          <t>Decrease in amount of treasury shares or shares bought back</t>
        </is>
      </c>
      <c r="C476" s="55" t="inlineStr">
        <is>
          <t>DecreaseInAmountOfTreasurySharesOrSharesBoughtBack</t>
        </is>
      </c>
      <c r="D476" s="56" t="n">
        <v>0</v>
      </c>
      <c r="E476" s="56" t="n">
        <v>42000000</v>
      </c>
      <c r="F476" s="56" t="n">
        <v>0</v>
      </c>
      <c r="G476" s="56" t="n">
        <v>0</v>
      </c>
      <c r="H476" s="56" t="n">
        <v>0</v>
      </c>
      <c r="I476" s="56" t="n">
        <v>0</v>
      </c>
    </row>
    <row r="477">
      <c r="B477" s="69" t="inlineStr">
        <is>
          <t>Total decrease in equity share capital during period</t>
        </is>
      </c>
      <c r="C477" s="55" t="inlineStr">
        <is>
          <t>DecreaseInEquityShareCapitalDuringPeriod</t>
        </is>
      </c>
      <c r="D477" s="58" t="n">
        <v>0</v>
      </c>
      <c r="E477" s="58" t="n">
        <v>42000000</v>
      </c>
      <c r="F477" s="58" t="n">
        <v>0</v>
      </c>
      <c r="G477" s="58" t="n">
        <v>0</v>
      </c>
      <c r="H477" s="58" t="n">
        <v>0</v>
      </c>
      <c r="I477" s="58" t="n">
        <v>0</v>
      </c>
    </row>
    <row r="478">
      <c r="B478" s="66" t="inlineStr">
        <is>
          <t>Total increase (decrease) in share capital</t>
        </is>
      </c>
      <c r="C478" s="55" t="inlineStr">
        <is>
          <t>IncreaseDecreaseInEquityShareCapital</t>
        </is>
      </c>
      <c r="D478" s="58" t="n">
        <v>2000000</v>
      </c>
      <c r="E478" s="58" t="n">
        <v>-41000000</v>
      </c>
      <c r="F478" s="58" t="n">
        <v>3000000</v>
      </c>
      <c r="G478" s="58" t="n">
        <v>3740000</v>
      </c>
      <c r="H478" s="58" t="n">
        <v>1000000</v>
      </c>
      <c r="I478" s="58" t="n">
        <v>1000000</v>
      </c>
    </row>
    <row r="479">
      <c r="B479" s="61" t="inlineStr">
        <is>
          <t>Equity share capital at end of period</t>
        </is>
      </c>
      <c r="C479" s="55" t="inlineStr">
        <is>
          <t>EquityShareCapital</t>
        </is>
      </c>
      <c r="D479" s="56" t="n">
        <v>1680000000</v>
      </c>
      <c r="E479" s="56" t="n">
        <v>1639000000</v>
      </c>
      <c r="F479" s="56" t="n">
        <v>1642000000</v>
      </c>
      <c r="G479" s="56" t="n">
        <v>1645740000</v>
      </c>
      <c r="H479" s="56" t="n">
        <v>1647000000</v>
      </c>
      <c r="I479" s="56" t="n">
        <v>1648000000</v>
      </c>
    </row>
    <row r="480">
      <c r="B480" s="60" t="inlineStr">
        <is>
          <t>Shares in company held by holding company or ultimate holding company or by its subsidiaries or associates [Abstract]</t>
        </is>
      </c>
    </row>
    <row r="481">
      <c r="B481" s="61" t="inlineStr">
        <is>
          <t>Shares in company held by holding company</t>
        </is>
      </c>
      <c r="C481" s="55" t="inlineStr">
        <is>
          <t>SharesInCompanyHeldByHoldingCompany</t>
        </is>
      </c>
      <c r="D481" s="56" t="n">
        <v>0</v>
      </c>
      <c r="E481" s="56" t="n">
        <v>0</v>
      </c>
      <c r="F481" s="56" t="n">
        <v>0</v>
      </c>
      <c r="G481" s="56" t="n">
        <v>0</v>
      </c>
      <c r="H481" s="56" t="n">
        <v>100527734</v>
      </c>
      <c r="I481" s="56" t="n">
        <v>100527734</v>
      </c>
    </row>
    <row r="482">
      <c r="B482" s="65" t="inlineStr">
        <is>
          <t>Total shares in company held by holding company or ultimate holding company or by its subsidiaries or associates</t>
        </is>
      </c>
      <c r="C482" s="55" t="inlineStr">
        <is>
          <t>SharesInCompanyHeldByHoldingCompanyOrUltimateHoldingCompanyOrByItsSubsidiariesOrAssociates</t>
        </is>
      </c>
      <c r="D482" s="58" t="n">
        <v>0</v>
      </c>
      <c r="E482" s="58" t="n">
        <v>0</v>
      </c>
      <c r="F482" s="58" t="n">
        <v>0</v>
      </c>
      <c r="G482" s="58" t="n">
        <v>0</v>
      </c>
      <c r="H482" s="58" t="n">
        <v>100527734</v>
      </c>
      <c r="I482" s="58" t="n">
        <v>100527734</v>
      </c>
    </row>
    <row r="486" ht="15.5" customHeight="1" s="203">
      <c r="A486" t="inlineStr">
        <is>
          <t>#</t>
        </is>
      </c>
      <c r="B486" s="38" t="inlineStr">
        <is>
          <t>Notes to Balance Sheet: Goodwill</t>
        </is>
      </c>
    </row>
    <row r="488">
      <c r="C488" s="53" t="inlineStr">
        <is>
          <t>Concept Tag</t>
        </is>
      </c>
      <c r="D488" s="20" t="inlineStr">
        <is>
          <t>FY2017</t>
        </is>
      </c>
      <c r="E488" s="20" t="inlineStr">
        <is>
          <t>FY2018</t>
        </is>
      </c>
      <c r="F488" s="20" t="inlineStr">
        <is>
          <t>FY2019</t>
        </is>
      </c>
      <c r="G488" s="20" t="inlineStr">
        <is>
          <t>FY2020</t>
        </is>
      </c>
      <c r="H488" s="20" t="inlineStr">
        <is>
          <t>FY2021</t>
        </is>
      </c>
      <c r="I488" s="20" t="inlineStr">
        <is>
          <t>FY2022</t>
        </is>
      </c>
    </row>
    <row r="489" ht="15.5" customHeight="1" s="203">
      <c r="B489" s="38" t="inlineStr">
        <is>
          <t>Disclosure of reconciliation of changes in goodwill [Abstract]</t>
        </is>
      </c>
    </row>
    <row r="490">
      <c r="B490" s="59" t="inlineStr">
        <is>
          <t>Disclosure of reconciliation of changes in goodwill [Line items]</t>
        </is>
      </c>
    </row>
    <row r="491">
      <c r="B491" s="62" t="inlineStr">
        <is>
          <t>Goodwill at end of period</t>
        </is>
      </c>
      <c r="C491" s="55" t="inlineStr">
        <is>
          <t>Goodwill</t>
        </is>
      </c>
      <c r="D491" s="56" t="n">
        <v>0</v>
      </c>
      <c r="E491" s="56" t="n">
        <v>2831000000</v>
      </c>
      <c r="F491" s="56" t="n">
        <v>4730000000</v>
      </c>
      <c r="G491" s="56" t="n">
        <v>4730000000</v>
      </c>
      <c r="H491" s="56" t="n">
        <v>4730000000</v>
      </c>
      <c r="I491" s="56" t="n">
        <v>4730000000</v>
      </c>
    </row>
    <row r="492">
      <c r="B492" s="62" t="inlineStr">
        <is>
          <t>Goodwill at end of period</t>
        </is>
      </c>
      <c r="C492" s="55" t="inlineStr">
        <is>
          <t>Goodwill</t>
        </is>
      </c>
      <c r="D492" s="56" t="n">
        <v>0</v>
      </c>
      <c r="E492" s="56" t="n">
        <v>2831000000</v>
      </c>
      <c r="F492" s="56" t="n">
        <v>4730000000</v>
      </c>
      <c r="G492" s="56" t="n">
        <v>4730000000</v>
      </c>
      <c r="H492" s="56" t="n">
        <v>4730000000</v>
      </c>
      <c r="I492" s="56" t="n">
        <v>4730000000</v>
      </c>
    </row>
    <row r="495" ht="15.5" customHeight="1" s="203">
      <c r="A495" t="inlineStr">
        <is>
          <t>#</t>
        </is>
      </c>
      <c r="B495" s="38" t="inlineStr">
        <is>
          <t>Notes to Balance Sheet: Noncurrent Investments</t>
        </is>
      </c>
    </row>
    <row r="497">
      <c r="C497" s="53" t="inlineStr">
        <is>
          <t>Concept Tag</t>
        </is>
      </c>
      <c r="D497" s="20" t="inlineStr">
        <is>
          <t>FY2017</t>
        </is>
      </c>
      <c r="E497" s="20" t="inlineStr">
        <is>
          <t>FY2018</t>
        </is>
      </c>
      <c r="F497" s="20" t="inlineStr">
        <is>
          <t>FY2019</t>
        </is>
      </c>
      <c r="G497" s="20" t="inlineStr">
        <is>
          <t>FY2020</t>
        </is>
      </c>
      <c r="H497" s="20" t="inlineStr">
        <is>
          <t>FY2021</t>
        </is>
      </c>
      <c r="I497" s="20" t="inlineStr">
        <is>
          <t>FY2022</t>
        </is>
      </c>
    </row>
    <row r="498" ht="15.5" customHeight="1" s="203">
      <c r="B498" s="38" t="inlineStr">
        <is>
          <t>Non-current investments [Abstract]</t>
        </is>
      </c>
    </row>
    <row r="499">
      <c r="B499" s="59" t="inlineStr">
        <is>
          <t>Disclosure of details of non-current investments [Abstract]</t>
        </is>
      </c>
    </row>
    <row r="500">
      <c r="B500" s="60" t="inlineStr">
        <is>
          <t>Details of non-current investments [Line items]</t>
        </is>
      </c>
    </row>
    <row r="501">
      <c r="B501" s="61" t="inlineStr">
        <is>
          <t>Non-current investments</t>
        </is>
      </c>
      <c r="C501" s="55" t="inlineStr">
        <is>
          <t>NoncurrentInvestments</t>
        </is>
      </c>
      <c r="D501" s="56" t="n">
        <v>8666000000</v>
      </c>
      <c r="E501" s="56" t="n">
        <v>3532000000</v>
      </c>
      <c r="F501" s="56" t="n">
        <v>1216000000</v>
      </c>
      <c r="G501" s="56" t="n">
        <v>820000000</v>
      </c>
      <c r="H501" s="56" t="n">
        <v>1177000000</v>
      </c>
      <c r="I501" s="56" t="n">
        <v>3132000000</v>
      </c>
    </row>
    <row r="502">
      <c r="B502" s="54" t="inlineStr">
        <is>
          <t>Aggregate amount of quoted non-current investments</t>
        </is>
      </c>
      <c r="C502" s="55" t="inlineStr">
        <is>
          <t>AggregateAmountOfQuotedNoncurrentInvestments</t>
        </is>
      </c>
      <c r="D502" s="56" t="n">
        <v>50000000</v>
      </c>
      <c r="E502" s="56" t="n">
        <v>50000000</v>
      </c>
      <c r="F502" s="56" t="n">
        <v>1192000000</v>
      </c>
      <c r="G502" s="56" t="n">
        <v>796000000</v>
      </c>
      <c r="H502" s="56" t="n">
        <v>1153000000</v>
      </c>
      <c r="I502" s="56" t="n">
        <v>1788000000</v>
      </c>
    </row>
    <row r="503">
      <c r="B503" s="54" t="inlineStr">
        <is>
          <t>Market value of quoted non-current investments</t>
        </is>
      </c>
      <c r="C503" s="55" t="inlineStr">
        <is>
          <t>MarketValueOfQuotedNoncurrentInvestments</t>
        </is>
      </c>
      <c r="D503" s="56" t="n">
        <v>50000000</v>
      </c>
      <c r="E503" s="56" t="n">
        <v>50000000</v>
      </c>
      <c r="F503" s="56" t="n">
        <v>1192000000</v>
      </c>
      <c r="G503" s="56" t="n">
        <v>796000000</v>
      </c>
      <c r="H503" s="56" t="n">
        <v>1153000000</v>
      </c>
      <c r="I503" s="56" t="n">
        <v>1788000000</v>
      </c>
    </row>
    <row r="504">
      <c r="B504" s="54" t="inlineStr">
        <is>
          <t>Aggregate amount of unquoted non-current investments</t>
        </is>
      </c>
      <c r="C504" s="55" t="inlineStr">
        <is>
          <t>AggregateAmountOfUnquotedNoncurrentInvestments</t>
        </is>
      </c>
      <c r="D504" s="56" t="n">
        <v>8616000000</v>
      </c>
      <c r="E504" s="56" t="n">
        <v>3482000000</v>
      </c>
      <c r="F504" s="56" t="n">
        <v>24000000</v>
      </c>
      <c r="G504" s="56" t="n">
        <v>24000000</v>
      </c>
      <c r="H504" s="56" t="n">
        <v>24000000</v>
      </c>
      <c r="I504" s="56" t="n">
        <v>1344000000</v>
      </c>
    </row>
    <row r="505">
      <c r="B505" s="54" t="inlineStr">
        <is>
          <t>Aggregate provision for diminution in value of non-current investments</t>
        </is>
      </c>
      <c r="C505" s="55" t="inlineStr">
        <is>
          <t>AggregateProvisionForDiminutionInValueOfNoncurrentInvestments</t>
        </is>
      </c>
      <c r="D505" s="56" t="n">
        <v>1000000</v>
      </c>
      <c r="E505" s="56" t="n">
        <v>1000000</v>
      </c>
      <c r="F505" s="56" t="n">
        <v>1000000</v>
      </c>
      <c r="G505" s="56" t="n">
        <v>1000000</v>
      </c>
      <c r="H505" s="56" t="n">
        <v>1000000</v>
      </c>
      <c r="I505" s="56" t="n">
        <v>0</v>
      </c>
    </row>
    <row r="508" ht="15.5" customHeight="1" s="203">
      <c r="A508" t="inlineStr">
        <is>
          <t>#</t>
        </is>
      </c>
      <c r="B508" s="38" t="inlineStr">
        <is>
          <t>Notes to Balance Sheet: Other Intangible Assets</t>
        </is>
      </c>
    </row>
    <row r="510">
      <c r="C510" s="53" t="inlineStr">
        <is>
          <t>Concept Tag</t>
        </is>
      </c>
      <c r="D510" s="20" t="inlineStr">
        <is>
          <t>FY2017</t>
        </is>
      </c>
      <c r="E510" s="20" t="inlineStr">
        <is>
          <t>FY2018</t>
        </is>
      </c>
      <c r="F510" s="20" t="inlineStr">
        <is>
          <t>FY2019</t>
        </is>
      </c>
      <c r="G510" s="20" t="inlineStr">
        <is>
          <t>FY2020</t>
        </is>
      </c>
      <c r="H510" s="20" t="inlineStr">
        <is>
          <t>FY2021</t>
        </is>
      </c>
      <c r="I510" s="20" t="inlineStr">
        <is>
          <t>FY2022</t>
        </is>
      </c>
    </row>
    <row r="511">
      <c r="B511" s="59" t="inlineStr">
        <is>
          <t>Disclosure of detailed information about other intangible assets [Abstract]</t>
        </is>
      </c>
    </row>
    <row r="512">
      <c r="B512" s="60" t="inlineStr">
        <is>
          <t>Disclosure of detailed information about other intangible assets [Line items]</t>
        </is>
      </c>
    </row>
    <row r="513">
      <c r="B513" s="63" t="inlineStr">
        <is>
          <t>Reconciliation of changes in other intangible assets [Abstract]</t>
        </is>
      </c>
    </row>
    <row r="514">
      <c r="B514" s="64" t="inlineStr">
        <is>
          <t>Other intangible assets at end of period</t>
        </is>
      </c>
      <c r="C514" s="55" t="inlineStr">
        <is>
          <t>OtherIntangibleAssets</t>
        </is>
      </c>
      <c r="D514" s="56" t="n">
        <v>51000000</v>
      </c>
      <c r="E514" s="56" t="n">
        <v>856000000</v>
      </c>
      <c r="F514" s="56" t="n">
        <v>1180000000</v>
      </c>
      <c r="G514" s="56" t="n">
        <v>759000000</v>
      </c>
      <c r="H514" s="56" t="n">
        <v>214000000</v>
      </c>
      <c r="I514" s="56" t="n">
        <v>73000000</v>
      </c>
    </row>
    <row r="515">
      <c r="B515" s="68" t="inlineStr">
        <is>
          <t>Changes in Other intangible assets [Abstract]</t>
        </is>
      </c>
    </row>
    <row r="516">
      <c r="B516" s="71" t="inlineStr">
        <is>
          <t>Additions other than through business combinations</t>
        </is>
      </c>
      <c r="C516" s="55" t="inlineStr">
        <is>
          <t>AdditionsOtherThanThroughBusinessCombinationsOtherIntangibleAssets</t>
        </is>
      </c>
      <c r="D516" s="56" t="n">
        <v>0</v>
      </c>
      <c r="E516" s="56" t="n">
        <v>35000000</v>
      </c>
      <c r="F516" s="56" t="n">
        <v>58000000</v>
      </c>
      <c r="G516" s="56" t="n">
        <v>31000000</v>
      </c>
      <c r="H516" s="56" t="n">
        <v>48000000</v>
      </c>
      <c r="I516" s="56" t="n">
        <v>7000000</v>
      </c>
    </row>
    <row r="517">
      <c r="B517" s="71" t="inlineStr">
        <is>
          <t>Acquisitions through business combinations</t>
        </is>
      </c>
      <c r="C517" s="55" t="inlineStr">
        <is>
          <t>AcquisitionsThroughBusinessCombinationsOtherIntangibleAssets</t>
        </is>
      </c>
      <c r="D517" s="56" t="n">
        <v>0</v>
      </c>
      <c r="E517" s="56" t="n">
        <v>0</v>
      </c>
      <c r="F517" s="56" t="n">
        <v>0</v>
      </c>
      <c r="G517" s="56" t="n">
        <v>0</v>
      </c>
      <c r="H517" s="56" t="n">
        <v>0</v>
      </c>
      <c r="I517" s="56" t="n">
        <v>64000000</v>
      </c>
    </row>
    <row r="518">
      <c r="B518" s="71" t="inlineStr">
        <is>
          <t>Increase (decrease) through net exchange differences</t>
        </is>
      </c>
      <c r="C518" s="55" t="inlineStr">
        <is>
          <t>IncreaseDecreaseThroughNetExchangeDifferencesOtherIntangibleAssets</t>
        </is>
      </c>
      <c r="D518" s="56" t="n">
        <v>0</v>
      </c>
      <c r="E518" s="56" t="n">
        <v>41000000</v>
      </c>
      <c r="F518" s="56" t="n">
        <v>0</v>
      </c>
      <c r="G518" s="56" t="n">
        <v>0</v>
      </c>
      <c r="H518" s="56" t="n">
        <v>0</v>
      </c>
      <c r="I518" s="56" t="n">
        <v>0</v>
      </c>
    </row>
    <row r="519">
      <c r="B519" s="71" t="inlineStr">
        <is>
          <t>Amortisation other intangible assets</t>
        </is>
      </c>
      <c r="C519" s="55" t="inlineStr">
        <is>
          <t>AmortisationOtherIntangibleAssets</t>
        </is>
      </c>
      <c r="D519" s="56" t="n">
        <v>-80000000</v>
      </c>
      <c r="E519" s="56" t="n">
        <v>-366000000</v>
      </c>
      <c r="F519" s="56" t="n">
        <v>-466000000</v>
      </c>
      <c r="G519" s="56" t="n">
        <v>-452000000</v>
      </c>
      <c r="H519" s="56" t="n">
        <v>-593000000</v>
      </c>
      <c r="I519" s="56" t="n">
        <v>-212000000</v>
      </c>
    </row>
    <row r="520">
      <c r="B520" s="72" t="inlineStr">
        <is>
          <t>Increase (decrease) through transfers and other changes, other intangible assets [Abstract]</t>
        </is>
      </c>
    </row>
    <row r="521">
      <c r="B521" s="73" t="inlineStr">
        <is>
          <t>Increase (decrease) through other changes</t>
        </is>
      </c>
      <c r="C521" s="55" t="inlineStr">
        <is>
          <t>IncreaseDecreaseThroughOtherChangesOtherIntangibleAssets</t>
        </is>
      </c>
      <c r="D521" s="56" t="n">
        <v>39000000</v>
      </c>
      <c r="E521" s="56" t="n">
        <v>-2000000</v>
      </c>
      <c r="F521" s="56" t="n">
        <v>68000000</v>
      </c>
      <c r="G521" s="56" t="n">
        <v>0</v>
      </c>
      <c r="H521" s="56" t="n">
        <v>0</v>
      </c>
      <c r="I521" s="56" t="n">
        <v>0</v>
      </c>
    </row>
    <row r="522">
      <c r="B522" s="74" t="inlineStr">
        <is>
          <t>Total increase (decrease) through transfers and other changes, Other intangible assets</t>
        </is>
      </c>
      <c r="C522" s="55" t="inlineStr">
        <is>
          <t>IncreaseDecreaseThroughTransfersAndOtherChangesOtherIntangibleAssets</t>
        </is>
      </c>
      <c r="D522" s="58" t="n">
        <v>39000000</v>
      </c>
      <c r="E522" s="58" t="n">
        <v>-2000000</v>
      </c>
      <c r="F522" s="58" t="n">
        <v>68000000</v>
      </c>
      <c r="G522" s="58" t="n">
        <v>0</v>
      </c>
      <c r="H522" s="58" t="n">
        <v>0</v>
      </c>
      <c r="I522" s="58" t="n">
        <v>0</v>
      </c>
    </row>
    <row r="523">
      <c r="B523" s="69" t="inlineStr">
        <is>
          <t>Total increase (decrease) in Other intangible assets</t>
        </is>
      </c>
      <c r="C523" s="55" t="inlineStr">
        <is>
          <t>ChangesInOtherIntangibleAssets</t>
        </is>
      </c>
      <c r="D523" s="58" t="n">
        <v>-41000000</v>
      </c>
      <c r="E523" s="58" t="n">
        <v>-292000000</v>
      </c>
      <c r="F523" s="58" t="n">
        <v>-340000000</v>
      </c>
      <c r="G523" s="58" t="n">
        <v>-421000000</v>
      </c>
      <c r="H523" s="58" t="n">
        <v>-545000000</v>
      </c>
      <c r="I523" s="58" t="n">
        <v>-141000000</v>
      </c>
    </row>
    <row r="524">
      <c r="B524" s="64" t="inlineStr">
        <is>
          <t>Other intangible assets at end of period</t>
        </is>
      </c>
      <c r="C524" s="55" t="inlineStr">
        <is>
          <t>OtherIntangibleAssets</t>
        </is>
      </c>
      <c r="D524" s="56" t="n">
        <v>51000000</v>
      </c>
      <c r="E524" s="56" t="n">
        <v>856000000</v>
      </c>
      <c r="F524" s="56" t="n">
        <v>1180000000</v>
      </c>
      <c r="G524" s="56" t="n">
        <v>759000000</v>
      </c>
      <c r="H524" s="56" t="n">
        <v>214000000</v>
      </c>
      <c r="I524" s="56" t="n">
        <v>73000000</v>
      </c>
    </row>
    <row r="527" ht="15.5" customHeight="1" s="203">
      <c r="A527" t="inlineStr">
        <is>
          <t>#</t>
        </is>
      </c>
      <c r="B527" s="38" t="inlineStr">
        <is>
          <t>Notes to Balance Sheet: Other Provisions Contingent Liabilities And Contingent Assets</t>
        </is>
      </c>
    </row>
    <row r="529">
      <c r="C529" s="53" t="inlineStr">
        <is>
          <t>Concept Tag</t>
        </is>
      </c>
      <c r="D529" s="20" t="inlineStr">
        <is>
          <t>FY2017</t>
        </is>
      </c>
      <c r="E529" s="20" t="inlineStr">
        <is>
          <t>FY2018</t>
        </is>
      </c>
      <c r="F529" s="20" t="inlineStr">
        <is>
          <t>FY2019</t>
        </is>
      </c>
      <c r="G529" s="20" t="inlineStr">
        <is>
          <t>FY2020</t>
        </is>
      </c>
      <c r="H529" s="20" t="inlineStr">
        <is>
          <t>FY2021</t>
        </is>
      </c>
      <c r="I529" s="20" t="inlineStr">
        <is>
          <t>FY2022</t>
        </is>
      </c>
    </row>
    <row r="530">
      <c r="B530" s="59" t="inlineStr">
        <is>
          <t>Disclosure of other provisions [Abstract]</t>
        </is>
      </c>
    </row>
    <row r="531">
      <c r="B531" s="60" t="inlineStr">
        <is>
          <t>Disclosure of other provisions [Line items]</t>
        </is>
      </c>
    </row>
    <row r="532">
      <c r="B532" s="63" t="inlineStr">
        <is>
          <t>Reconciliation of changes in other provisions [Abstract]</t>
        </is>
      </c>
    </row>
    <row r="533">
      <c r="B533" s="64" t="inlineStr">
        <is>
          <t>Other provisions at end of period</t>
        </is>
      </c>
      <c r="C533" s="55" t="inlineStr">
        <is>
          <t>OtherProvisions</t>
        </is>
      </c>
      <c r="D533" s="56" t="n">
        <v>427000000</v>
      </c>
      <c r="E533" s="56" t="n">
        <v>0</v>
      </c>
      <c r="F533" s="56" t="n">
        <v>0</v>
      </c>
      <c r="G533" s="56" t="n">
        <v>0</v>
      </c>
      <c r="H533" s="56" t="n">
        <v>790000000</v>
      </c>
      <c r="I533" s="56" t="n">
        <v>835000000</v>
      </c>
    </row>
    <row r="534">
      <c r="B534" s="68" t="inlineStr">
        <is>
          <t>Changes in other provisions [Abstract]</t>
        </is>
      </c>
    </row>
    <row r="535">
      <c r="B535" s="72" t="inlineStr">
        <is>
          <t>Additional provisions, other provisions [Abstract]</t>
        </is>
      </c>
    </row>
    <row r="536">
      <c r="B536" s="73" t="inlineStr">
        <is>
          <t>New provisions, other provisions</t>
        </is>
      </c>
      <c r="C536" s="55" t="inlineStr">
        <is>
          <t>NewProvisionsOtherProvisions</t>
        </is>
      </c>
      <c r="D536" s="56" t="n">
        <v>472000000</v>
      </c>
      <c r="E536" s="56" t="n">
        <v>0</v>
      </c>
      <c r="F536" s="56" t="n">
        <v>0</v>
      </c>
      <c r="G536" s="56" t="n">
        <v>0</v>
      </c>
      <c r="H536" s="56" t="n">
        <v>0</v>
      </c>
      <c r="I536" s="56" t="n">
        <v>0</v>
      </c>
    </row>
    <row r="537">
      <c r="B537" s="73" t="inlineStr">
        <is>
          <t>Increase in existing provisions, other provisions</t>
        </is>
      </c>
      <c r="C537" s="55" t="inlineStr">
        <is>
          <t>IncreaseDecreaseInExistingProvisionsOtherProvisions</t>
        </is>
      </c>
      <c r="D537" s="56" t="n">
        <v>0</v>
      </c>
      <c r="E537" s="56" t="n">
        <v>0</v>
      </c>
      <c r="F537" s="56" t="n">
        <v>0</v>
      </c>
      <c r="G537" s="56" t="n">
        <v>0</v>
      </c>
      <c r="H537" s="56" t="n">
        <v>694000000</v>
      </c>
      <c r="I537" s="56" t="n">
        <v>127000000</v>
      </c>
    </row>
    <row r="538">
      <c r="B538" s="74" t="inlineStr">
        <is>
          <t>Total additional provisions, other provisions</t>
        </is>
      </c>
      <c r="C538" s="55" t="inlineStr">
        <is>
          <t>AdditionalProvisionsOtherProvisions</t>
        </is>
      </c>
      <c r="D538" s="58" t="n">
        <v>472000000</v>
      </c>
      <c r="E538" s="58" t="n">
        <v>0</v>
      </c>
      <c r="F538" s="58" t="n">
        <v>0</v>
      </c>
      <c r="G538" s="58" t="n">
        <v>0</v>
      </c>
      <c r="H538" s="58" t="n">
        <v>694000000</v>
      </c>
      <c r="I538" s="58" t="n">
        <v>127000000</v>
      </c>
    </row>
    <row r="539">
      <c r="B539" s="71" t="inlineStr">
        <is>
          <t>Provision used, other provisions</t>
        </is>
      </c>
      <c r="C539" s="55" t="inlineStr">
        <is>
          <t>ProvisionUsedOtherProvisions</t>
        </is>
      </c>
      <c r="D539" s="56" t="n">
        <v>663000000</v>
      </c>
      <c r="E539" s="56" t="n">
        <v>0</v>
      </c>
      <c r="F539" s="56" t="n">
        <v>0</v>
      </c>
      <c r="G539" s="56" t="n">
        <v>0</v>
      </c>
      <c r="H539" s="56" t="n">
        <v>71000000</v>
      </c>
      <c r="I539" s="56" t="n">
        <v>82000000</v>
      </c>
    </row>
    <row r="540">
      <c r="B540" s="71" t="inlineStr">
        <is>
          <t>Other increase decrease in other provisions</t>
        </is>
      </c>
      <c r="C540" s="55" t="inlineStr">
        <is>
          <t>OtherIncreaseDecreaseInOtherProvisions</t>
        </is>
      </c>
      <c r="D540" s="56" t="n">
        <v>-52000000</v>
      </c>
      <c r="E540" s="56" t="n">
        <v>0</v>
      </c>
      <c r="F540" s="56" t="n">
        <v>0</v>
      </c>
      <c r="G540" s="56" t="n">
        <v>0</v>
      </c>
      <c r="H540" s="56" t="n">
        <v>0</v>
      </c>
      <c r="I540" s="56" t="n">
        <v>0</v>
      </c>
    </row>
    <row r="541">
      <c r="B541" s="69" t="inlineStr">
        <is>
          <t>Total changes in other provisions</t>
        </is>
      </c>
      <c r="C541" s="55" t="inlineStr">
        <is>
          <t>ChangesInOtherProvisions</t>
        </is>
      </c>
      <c r="D541" s="58" t="n">
        <v>-243000000</v>
      </c>
      <c r="E541" s="58" t="n">
        <v>0</v>
      </c>
      <c r="F541" s="58" t="n">
        <v>0</v>
      </c>
      <c r="G541" s="58" t="n">
        <v>0</v>
      </c>
      <c r="H541" s="58" t="n">
        <v>623000000</v>
      </c>
      <c r="I541" s="58" t="n">
        <v>45000000</v>
      </c>
    </row>
    <row r="542">
      <c r="B542" s="64" t="inlineStr">
        <is>
          <t>Other provisions at end of period</t>
        </is>
      </c>
      <c r="C542" s="55" t="inlineStr">
        <is>
          <t>OtherProvisions</t>
        </is>
      </c>
      <c r="D542" s="56" t="n">
        <v>427000000</v>
      </c>
      <c r="E542" s="56" t="n">
        <v>0</v>
      </c>
      <c r="F542" s="56" t="n">
        <v>0</v>
      </c>
      <c r="G542" s="56" t="n">
        <v>0</v>
      </c>
      <c r="H542" s="56" t="n">
        <v>790000000</v>
      </c>
      <c r="I542" s="56" t="n">
        <v>835000000</v>
      </c>
    </row>
    <row r="543">
      <c r="B543" s="59" t="inlineStr">
        <is>
          <t>Disclosure of contingent liabilities [Abstract]</t>
        </is>
      </c>
    </row>
    <row r="544">
      <c r="B544" s="60" t="inlineStr">
        <is>
          <t>Disclosure of contingent liabilities [Line items]</t>
        </is>
      </c>
    </row>
    <row r="545">
      <c r="B545" s="61" t="inlineStr">
        <is>
          <t>Estimated financial effect of contingent liabilities</t>
        </is>
      </c>
      <c r="C545" s="55" t="inlineStr">
        <is>
          <t>EstimatedFinancialEffectOfContingentLiabilities</t>
        </is>
      </c>
      <c r="D545" s="56" t="n">
        <v>0</v>
      </c>
      <c r="E545" s="56" t="n">
        <v>0</v>
      </c>
      <c r="F545" s="56" t="n">
        <v>0</v>
      </c>
      <c r="G545" s="56" t="n">
        <v>0</v>
      </c>
      <c r="H545" s="56" t="n">
        <v>824000000</v>
      </c>
      <c r="I545" s="56" t="n">
        <v>824000000</v>
      </c>
    </row>
    <row r="548" ht="15.5" customHeight="1" s="203">
      <c r="A548" t="inlineStr">
        <is>
          <t>#</t>
        </is>
      </c>
      <c r="B548" s="38" t="inlineStr">
        <is>
          <t>Notes to Balance Sheet: Property Plant And Equipment</t>
        </is>
      </c>
    </row>
    <row r="550">
      <c r="C550" s="53" t="inlineStr">
        <is>
          <t>Concept Tag</t>
        </is>
      </c>
      <c r="D550" s="20" t="inlineStr">
        <is>
          <t>FY2017</t>
        </is>
      </c>
      <c r="E550" s="20" t="inlineStr">
        <is>
          <t>FY2018</t>
        </is>
      </c>
      <c r="F550" s="20" t="inlineStr">
        <is>
          <t>FY2019</t>
        </is>
      </c>
      <c r="G550" s="20" t="inlineStr">
        <is>
          <t>FY2020</t>
        </is>
      </c>
      <c r="H550" s="20" t="inlineStr">
        <is>
          <t>FY2021</t>
        </is>
      </c>
      <c r="I550" s="20" t="inlineStr">
        <is>
          <t>FY2022</t>
        </is>
      </c>
    </row>
    <row r="551">
      <c r="B551" s="59" t="inlineStr">
        <is>
          <t>Disclosure of detailed information about property, plant and equipment [Abstract]</t>
        </is>
      </c>
    </row>
    <row r="552">
      <c r="B552" s="60" t="inlineStr">
        <is>
          <t>Disclosure of detailed information about property, plant and equipment [Line items]</t>
        </is>
      </c>
    </row>
    <row r="553">
      <c r="B553" s="63" t="inlineStr">
        <is>
          <t>Reconciliation of changes in property, plant and equipment [Abstract]</t>
        </is>
      </c>
    </row>
    <row r="554">
      <c r="B554" s="64" t="inlineStr">
        <is>
          <t>Property, plant and equipment at end of period</t>
        </is>
      </c>
      <c r="C554" s="55" t="inlineStr">
        <is>
          <t>PropertyPlantAndEquipment</t>
        </is>
      </c>
      <c r="D554" s="56" t="n">
        <v>3753000000</v>
      </c>
      <c r="E554" s="56" t="n">
        <v>3467000000</v>
      </c>
      <c r="F554" s="56" t="n">
        <v>3757000000</v>
      </c>
      <c r="G554" s="56" t="n">
        <v>8601000000</v>
      </c>
      <c r="H554" s="56" t="n">
        <v>7812000000</v>
      </c>
      <c r="I554" s="56" t="n">
        <v>8947000000</v>
      </c>
    </row>
    <row r="555">
      <c r="B555" s="68" t="inlineStr">
        <is>
          <t>Changes in property, plant and equipment [Abstract]</t>
        </is>
      </c>
    </row>
    <row r="556">
      <c r="B556" s="71" t="inlineStr">
        <is>
          <t>Additions other than through business combinations, property, plant and equipment</t>
        </is>
      </c>
      <c r="C556" s="55" t="inlineStr">
        <is>
          <t>AdditionsOtherThanThroughBusinessCombinationsPropertyPlantAndEquipment</t>
        </is>
      </c>
      <c r="D556" s="56" t="n">
        <v>911000000</v>
      </c>
      <c r="E556" s="56" t="n">
        <v>885000000</v>
      </c>
      <c r="F556" s="56" t="n">
        <v>1444000000</v>
      </c>
      <c r="G556" s="56" t="n">
        <v>7939000000</v>
      </c>
      <c r="H556" s="56" t="n">
        <v>1507000000</v>
      </c>
      <c r="I556" s="56" t="n">
        <v>3284000000</v>
      </c>
    </row>
    <row r="557">
      <c r="B557" s="71" t="inlineStr">
        <is>
          <t>Acquisitions through business combinations, property, plant and equipment</t>
        </is>
      </c>
      <c r="C557" s="55" t="inlineStr">
        <is>
          <t>AcquisitionsThroughBusinessCombinationsPropertyPlantAndEquipment</t>
        </is>
      </c>
      <c r="D557" s="56" t="n">
        <v>0</v>
      </c>
      <c r="E557" s="56" t="n">
        <v>0</v>
      </c>
      <c r="F557" s="56" t="n">
        <v>0</v>
      </c>
      <c r="G557" s="56" t="n">
        <v>0</v>
      </c>
      <c r="H557" s="56" t="n">
        <v>0</v>
      </c>
      <c r="I557" s="56" t="n">
        <v>72000000</v>
      </c>
    </row>
    <row r="558">
      <c r="B558" s="71" t="inlineStr">
        <is>
          <t>Increase (decrease) through net exchange differences, property, plant and equipment</t>
        </is>
      </c>
      <c r="C558" s="55" t="inlineStr">
        <is>
          <t>IncreaseDecreaseThroughNetExchangeDifferencesPropertyPlantAndEquipment</t>
        </is>
      </c>
      <c r="D558" s="56" t="n">
        <v>0</v>
      </c>
      <c r="E558" s="56" t="n">
        <v>4000000</v>
      </c>
      <c r="F558" s="56" t="n">
        <v>-2000000</v>
      </c>
      <c r="G558" s="56" t="n">
        <v>0</v>
      </c>
      <c r="H558" s="56" t="n">
        <v>0</v>
      </c>
      <c r="I558" s="56" t="n">
        <v>0</v>
      </c>
    </row>
    <row r="559">
      <c r="B559" s="72" t="inlineStr">
        <is>
          <t>Depreciation, property, plant and equipment [Abstract]</t>
        </is>
      </c>
    </row>
    <row r="560">
      <c r="B560" s="73" t="inlineStr">
        <is>
          <t>Depreciation recognised in profit or loss</t>
        </is>
      </c>
      <c r="C560" s="55" t="inlineStr">
        <is>
          <t>AmortisationOfRightOfUseAssets</t>
        </is>
      </c>
      <c r="D560" s="56" t="n">
        <v>-1251000000</v>
      </c>
      <c r="E560" s="56" t="n">
        <v>-1186000000</v>
      </c>
      <c r="F560" s="56" t="n">
        <v>-1175000000</v>
      </c>
      <c r="G560" s="56" t="n">
        <v>-2302000000</v>
      </c>
      <c r="H560" s="56" t="n">
        <v>-2003000000</v>
      </c>
      <c r="I560" s="56" t="n">
        <v>-2208000000</v>
      </c>
    </row>
    <row r="561">
      <c r="B561" s="74" t="inlineStr">
        <is>
          <t>Total Depreciation property plant and equipment</t>
        </is>
      </c>
      <c r="C561" s="55" t="inlineStr">
        <is>
          <t>DepreciationPropertyPlantAndEquipment</t>
        </is>
      </c>
      <c r="D561" s="58" t="n">
        <v>-1251000000</v>
      </c>
      <c r="E561" s="58" t="n">
        <v>-1186000000</v>
      </c>
      <c r="F561" s="58" t="n">
        <v>-1175000000</v>
      </c>
      <c r="G561" s="58" t="n">
        <v>-2302000000</v>
      </c>
      <c r="H561" s="58" t="n">
        <v>-2003000000</v>
      </c>
      <c r="I561" s="58" t="n">
        <v>-2208000000</v>
      </c>
    </row>
    <row r="562">
      <c r="B562" s="72" t="inlineStr">
        <is>
          <t>Increase (decrease) through transfers and other changes, property, plant and equipment [Abstract]</t>
        </is>
      </c>
    </row>
    <row r="563">
      <c r="B563" s="73" t="inlineStr">
        <is>
          <t>Increase (decrease) through other changes, property, plant and equipment</t>
        </is>
      </c>
      <c r="C563" s="55" t="inlineStr">
        <is>
          <t>IncreaseDecreaseThroughOtherChangesPropertyPlantAndEquipment</t>
        </is>
      </c>
      <c r="D563" s="56" t="n">
        <v>0</v>
      </c>
      <c r="E563" s="56" t="n">
        <v>-4000000</v>
      </c>
      <c r="F563" s="56" t="n">
        <v>1000000</v>
      </c>
      <c r="G563" s="56" t="n">
        <v>-182000000</v>
      </c>
      <c r="H563" s="56" t="n">
        <v>0</v>
      </c>
      <c r="I563" s="56" t="n">
        <v>-12000000</v>
      </c>
    </row>
    <row r="564">
      <c r="B564" s="74" t="inlineStr">
        <is>
          <t>Total increase (decrease) through transfers and other changes, property, plant and equipment</t>
        </is>
      </c>
      <c r="C564" s="55" t="inlineStr">
        <is>
          <t>IncreaseDecreaseThroughTransfersAndOtherChangesPropertyPlantAndEquipment</t>
        </is>
      </c>
      <c r="D564" s="58" t="n">
        <v>0</v>
      </c>
      <c r="E564" s="58" t="n">
        <v>-4000000</v>
      </c>
      <c r="F564" s="58" t="n">
        <v>1000000</v>
      </c>
      <c r="G564" s="58" t="n">
        <v>-182000000</v>
      </c>
      <c r="H564" s="58" t="n">
        <v>0</v>
      </c>
      <c r="I564" s="58" t="n">
        <v>-12000000</v>
      </c>
    </row>
    <row r="565">
      <c r="B565" s="72" t="inlineStr">
        <is>
          <t>Disposals and retirements, property, plant and equipment [Abstract]</t>
        </is>
      </c>
    </row>
    <row r="566">
      <c r="B566" s="73" t="inlineStr">
        <is>
          <t>Disposals, property, plant and equipment</t>
        </is>
      </c>
      <c r="C566" s="55" t="inlineStr">
        <is>
          <t>DisposalsPropertyPlantAndEquipment</t>
        </is>
      </c>
      <c r="D566" s="56" t="n">
        <v>16000000</v>
      </c>
      <c r="E566" s="56" t="n">
        <v>3000000</v>
      </c>
      <c r="F566" s="56" t="n">
        <v>20000000</v>
      </c>
      <c r="G566" s="56" t="n">
        <v>111000000</v>
      </c>
      <c r="H566" s="56" t="n">
        <v>293000000</v>
      </c>
      <c r="I566" s="56" t="n">
        <v>1000000</v>
      </c>
    </row>
    <row r="567">
      <c r="B567" s="74" t="inlineStr">
        <is>
          <t>Total disposals and retirements, property, plant and equipment</t>
        </is>
      </c>
      <c r="C567" s="55" t="inlineStr">
        <is>
          <t>DisposalsAndRetirementsPropertyPlantAndEquipment</t>
        </is>
      </c>
      <c r="D567" s="58" t="n">
        <v>16000000</v>
      </c>
      <c r="E567" s="58" t="n">
        <v>3000000</v>
      </c>
      <c r="F567" s="58" t="n">
        <v>20000000</v>
      </c>
      <c r="G567" s="58" t="n">
        <v>111000000</v>
      </c>
      <c r="H567" s="58" t="n">
        <v>293000000</v>
      </c>
      <c r="I567" s="58" t="n">
        <v>1000000</v>
      </c>
    </row>
    <row r="568">
      <c r="B568" s="71" t="inlineStr">
        <is>
          <t>Decrease through classified as held for sale, property, plant and equipment</t>
        </is>
      </c>
      <c r="C568" s="55" t="inlineStr">
        <is>
          <t>DecreaseThroughClassifiedAsHeldForSalePropertyPlantAndEquipment</t>
        </is>
      </c>
      <c r="D568" s="56" t="n">
        <v>0</v>
      </c>
      <c r="E568" s="56" t="n">
        <v>0</v>
      </c>
      <c r="F568" s="56" t="n">
        <v>0</v>
      </c>
      <c r="G568" s="56" t="n">
        <v>500000000</v>
      </c>
      <c r="H568" s="56" t="n">
        <v>0</v>
      </c>
      <c r="I568" s="56" t="n">
        <v>0</v>
      </c>
    </row>
    <row r="569">
      <c r="B569" s="69" t="inlineStr">
        <is>
          <t>Total increase (decrease) in property, plant and equipment</t>
        </is>
      </c>
      <c r="C569" s="55" t="inlineStr">
        <is>
          <t>ChangesInPropertyPlantAndEquipment</t>
        </is>
      </c>
      <c r="D569" s="58" t="n">
        <v>-356000000</v>
      </c>
      <c r="E569" s="58" t="n">
        <v>-304000000</v>
      </c>
      <c r="F569" s="58" t="n">
        <v>248000000</v>
      </c>
      <c r="G569" s="58" t="n">
        <v>4844000000</v>
      </c>
      <c r="H569" s="58" t="n">
        <v>-789000000</v>
      </c>
      <c r="I569" s="58" t="n">
        <v>1135000000</v>
      </c>
    </row>
    <row r="570">
      <c r="B570" s="64" t="inlineStr">
        <is>
          <t>Property, plant and equipment at end of period</t>
        </is>
      </c>
      <c r="C570" s="55" t="inlineStr">
        <is>
          <t>PropertyPlantAndEquipment</t>
        </is>
      </c>
      <c r="D570" s="56" t="n">
        <v>3753000000</v>
      </c>
      <c r="E570" s="56" t="n">
        <v>3467000000</v>
      </c>
      <c r="F570" s="56" t="n">
        <v>3757000000</v>
      </c>
      <c r="G570" s="56" t="n">
        <v>8601000000</v>
      </c>
      <c r="H570" s="56" t="n">
        <v>7812000000</v>
      </c>
      <c r="I570" s="56" t="n">
        <v>8947000000</v>
      </c>
    </row>
    <row r="573" ht="15.5" customHeight="1" s="203">
      <c r="A573" t="inlineStr">
        <is>
          <t>#</t>
        </is>
      </c>
      <c r="B573" s="38" t="inlineStr">
        <is>
          <t>Notes to Balance Sheet: Subclassification And Notes On Liabilities And Assets</t>
        </is>
      </c>
    </row>
    <row r="575">
      <c r="C575" s="53" t="inlineStr">
        <is>
          <t>Concept Tag</t>
        </is>
      </c>
      <c r="D575" s="20" t="inlineStr">
        <is>
          <t>FY2017</t>
        </is>
      </c>
      <c r="E575" s="20" t="inlineStr">
        <is>
          <t>FY2018</t>
        </is>
      </c>
      <c r="F575" s="20" t="inlineStr">
        <is>
          <t>FY2019</t>
        </is>
      </c>
      <c r="G575" s="20" t="inlineStr">
        <is>
          <t>FY2020</t>
        </is>
      </c>
      <c r="H575" s="20" t="inlineStr">
        <is>
          <t>FY2021</t>
        </is>
      </c>
      <c r="I575" s="20" t="inlineStr">
        <is>
          <t>FY2022</t>
        </is>
      </c>
    </row>
    <row r="576" ht="15.5" customHeight="1" s="203">
      <c r="B576" s="38" t="inlineStr">
        <is>
          <t>Subclassification and notes on liabilities and assets [Abstract]</t>
        </is>
      </c>
    </row>
    <row r="577">
      <c r="B577" s="59" t="inlineStr">
        <is>
          <t>Disclosure of notes on trade receivables [Abstract]</t>
        </is>
      </c>
    </row>
    <row r="578">
      <c r="B578" s="60" t="inlineStr">
        <is>
          <t>Subclassification of trade receivables [Abstract]</t>
        </is>
      </c>
    </row>
    <row r="579">
      <c r="B579" s="63" t="inlineStr">
        <is>
          <t>Subclassification of trade receivables [Line items]</t>
        </is>
      </c>
    </row>
    <row r="580">
      <c r="B580" s="68" t="inlineStr">
        <is>
          <t>Breakup of trade receivables [Abstract]</t>
        </is>
      </c>
    </row>
    <row r="581">
      <c r="B581" s="71" t="inlineStr">
        <is>
          <t>Trade receivables, gross</t>
        </is>
      </c>
      <c r="C581" s="55" t="inlineStr">
        <is>
          <t>TradeReceivablesGross</t>
        </is>
      </c>
      <c r="D581" s="56" t="n">
        <v>8153000000</v>
      </c>
      <c r="E581" s="56" t="n">
        <v>10006000000</v>
      </c>
      <c r="F581" s="56" t="n">
        <v>13582000000</v>
      </c>
      <c r="G581" s="56" t="n">
        <v>14775000000</v>
      </c>
      <c r="H581" s="56" t="n">
        <v>13190000000</v>
      </c>
      <c r="I581" s="56" t="n">
        <v>17723000000</v>
      </c>
    </row>
    <row r="582">
      <c r="B582" s="71" t="inlineStr">
        <is>
          <t>Allowance for bad and doubtful debts</t>
        </is>
      </c>
      <c r="C582" s="55" t="inlineStr">
        <is>
          <t>AllowanceForBadAndDoubtfulDebts</t>
        </is>
      </c>
      <c r="D582" s="56" t="n">
        <v>92000000</v>
      </c>
      <c r="E582" s="56" t="n">
        <v>115000000</v>
      </c>
      <c r="F582" s="56" t="n">
        <v>226000000</v>
      </c>
      <c r="G582" s="56" t="n">
        <v>386000000</v>
      </c>
      <c r="H582" s="56" t="n">
        <v>448000000</v>
      </c>
      <c r="I582" s="56" t="n">
        <v>410000000</v>
      </c>
    </row>
    <row r="583">
      <c r="B583" s="69" t="inlineStr">
        <is>
          <t>Total trade receivables</t>
        </is>
      </c>
      <c r="C583" s="55" t="inlineStr">
        <is>
          <t>TradeReceivables</t>
        </is>
      </c>
      <c r="D583" s="58" t="n">
        <v>8061000000</v>
      </c>
      <c r="E583" s="58" t="n">
        <v>9891000000</v>
      </c>
      <c r="F583" s="58" t="n">
        <v>13356000000</v>
      </c>
      <c r="G583" s="58" t="n">
        <v>14389000000</v>
      </c>
      <c r="H583" s="58" t="n">
        <v>12742000000</v>
      </c>
      <c r="I583" s="58" t="n">
        <v>17313000000</v>
      </c>
    </row>
    <row r="584">
      <c r="B584" s="60" t="inlineStr">
        <is>
          <t>Details of trade receivables ageing schedule [Abstract]</t>
        </is>
      </c>
    </row>
    <row r="585">
      <c r="B585" s="63" t="inlineStr">
        <is>
          <t>Details of trade receivables ageing schedule [Line Items]</t>
        </is>
      </c>
    </row>
    <row r="586">
      <c r="B586" s="66" t="inlineStr">
        <is>
          <t>Total trade receivables</t>
        </is>
      </c>
      <c r="C586" s="55" t="inlineStr">
        <is>
          <t>TradeReceivables</t>
        </is>
      </c>
      <c r="D586" s="58" t="n">
        <v>8061000000</v>
      </c>
      <c r="E586" s="58" t="n">
        <v>9891000000</v>
      </c>
      <c r="F586" s="58" t="n">
        <v>13356000000</v>
      </c>
      <c r="G586" s="58" t="n">
        <v>14389000000</v>
      </c>
      <c r="H586" s="58" t="n">
        <v>12742000000</v>
      </c>
      <c r="I586" s="58" t="n">
        <v>17313000000</v>
      </c>
    </row>
    <row r="587">
      <c r="B587" s="59" t="inlineStr">
        <is>
          <t>Other non-current financial assets notes [Abstract]</t>
        </is>
      </c>
    </row>
    <row r="588">
      <c r="B588" s="60" t="inlineStr">
        <is>
          <t>Other non-current financial assets [Abstract]</t>
        </is>
      </c>
    </row>
    <row r="589">
      <c r="B589" s="61" t="inlineStr">
        <is>
          <t>Derivative assets</t>
        </is>
      </c>
      <c r="C589" s="55" t="inlineStr">
        <is>
          <t>DerivativeAssets</t>
        </is>
      </c>
      <c r="D589" s="56" t="n">
        <v>0</v>
      </c>
      <c r="E589" s="56" t="n">
        <v>0</v>
      </c>
      <c r="F589" s="56" t="n">
        <v>0</v>
      </c>
      <c r="G589" s="56" t="n">
        <v>0</v>
      </c>
      <c r="H589" s="56" t="n">
        <v>1225000000</v>
      </c>
      <c r="I589" s="56" t="n">
        <v>1787000000</v>
      </c>
    </row>
    <row r="590">
      <c r="B590" s="61" t="inlineStr">
        <is>
          <t>Other non-current financial assets, others</t>
        </is>
      </c>
      <c r="C590" s="55" t="inlineStr">
        <is>
          <t>OtherNoncurrentFinancialAssetsOthers</t>
        </is>
      </c>
      <c r="D590" s="56" t="n">
        <v>209000000</v>
      </c>
      <c r="E590" s="56" t="n">
        <v>0</v>
      </c>
      <c r="F590" s="56" t="n">
        <v>0</v>
      </c>
      <c r="G590" s="56" t="n">
        <v>0</v>
      </c>
      <c r="H590" s="56" t="n">
        <v>0</v>
      </c>
      <c r="I590" s="56" t="n">
        <v>677000000</v>
      </c>
    </row>
    <row r="591">
      <c r="B591" s="65" t="inlineStr">
        <is>
          <t>Total other non-current financial assets</t>
        </is>
      </c>
      <c r="C591" s="55" t="inlineStr">
        <is>
          <t>OtherNoncurrentFinancialAssets</t>
        </is>
      </c>
      <c r="D591" s="58" t="n">
        <v>209000000</v>
      </c>
      <c r="E591" s="58" t="n">
        <v>0</v>
      </c>
      <c r="F591" s="58" t="n">
        <v>0</v>
      </c>
      <c r="G591" s="58" t="n">
        <v>0</v>
      </c>
      <c r="H591" s="58" t="n">
        <v>1225000000</v>
      </c>
      <c r="I591" s="58" t="n">
        <v>2464000000</v>
      </c>
    </row>
    <row r="592">
      <c r="B592" s="63" t="inlineStr">
        <is>
          <t>Other non-current financial assets, others [Abstract]</t>
        </is>
      </c>
    </row>
    <row r="593">
      <c r="B593" s="68" t="inlineStr">
        <is>
          <t>Other non-current financial assets, others [Line items]</t>
        </is>
      </c>
    </row>
    <row r="594">
      <c r="B594" s="71" t="inlineStr">
        <is>
          <t>Other non-current financial assets, others</t>
        </is>
      </c>
      <c r="C594" s="55" t="inlineStr">
        <is>
          <t>OtherNoncurrentFinancialAssetsOthers</t>
        </is>
      </c>
      <c r="D594" s="56" t="n">
        <v>209000000</v>
      </c>
      <c r="E594" s="56" t="n">
        <v>0</v>
      </c>
      <c r="F594" s="56" t="n">
        <v>0</v>
      </c>
      <c r="G594" s="56" t="n">
        <v>0</v>
      </c>
      <c r="H594" s="56" t="n">
        <v>0</v>
      </c>
      <c r="I594" s="56" t="n">
        <v>677000000</v>
      </c>
    </row>
    <row r="595">
      <c r="B595" s="59" t="inlineStr">
        <is>
          <t>Other non-current assets notes [Abstract]</t>
        </is>
      </c>
    </row>
    <row r="596">
      <c r="B596" s="60" t="inlineStr">
        <is>
          <t>Other non-current assets [Abstract]</t>
        </is>
      </c>
    </row>
    <row r="597">
      <c r="B597" s="61" t="inlineStr">
        <is>
          <t>Advances, non-current</t>
        </is>
      </c>
      <c r="C597" s="55" t="inlineStr">
        <is>
          <t>NoncurrentAdvances</t>
        </is>
      </c>
      <c r="D597" s="56" t="n">
        <v>0</v>
      </c>
      <c r="E597" s="56" t="n">
        <v>0</v>
      </c>
      <c r="F597" s="56" t="n">
        <v>1889000000</v>
      </c>
      <c r="G597" s="56" t="n">
        <v>1693000000</v>
      </c>
      <c r="H597" s="56" t="n">
        <v>1665000000</v>
      </c>
      <c r="I597" s="56" t="n">
        <v>1286000000</v>
      </c>
    </row>
    <row r="598">
      <c r="B598" s="61" t="inlineStr">
        <is>
          <t>Other non-current assets, others</t>
        </is>
      </c>
      <c r="C598" s="55" t="inlineStr">
        <is>
          <t>OtherNoncurrentAssetsOthers</t>
        </is>
      </c>
      <c r="D598" s="56" t="n">
        <v>1290000000</v>
      </c>
      <c r="E598" s="56" t="n">
        <v>1548000000</v>
      </c>
      <c r="F598" s="56" t="n">
        <v>0</v>
      </c>
      <c r="G598" s="56" t="n">
        <v>0</v>
      </c>
      <c r="H598" s="56" t="n">
        <v>0</v>
      </c>
      <c r="I598" s="56" t="n">
        <v>0</v>
      </c>
    </row>
    <row r="599">
      <c r="B599" s="65" t="inlineStr">
        <is>
          <t>Total other non-current assets</t>
        </is>
      </c>
      <c r="C599" s="55" t="inlineStr">
        <is>
          <t>OtherNoncurrentAssets</t>
        </is>
      </c>
      <c r="D599" s="58" t="n">
        <v>1290000000</v>
      </c>
      <c r="E599" s="58" t="n">
        <v>1548000000</v>
      </c>
      <c r="F599" s="58" t="n">
        <v>1889000000</v>
      </c>
      <c r="G599" s="58" t="n">
        <v>1693000000</v>
      </c>
      <c r="H599" s="58" t="n">
        <v>1665000000</v>
      </c>
      <c r="I599" s="58" t="n">
        <v>1286000000</v>
      </c>
    </row>
    <row r="600">
      <c r="B600" s="63" t="inlineStr">
        <is>
          <t>Other non-current assets, others [Abstract]</t>
        </is>
      </c>
    </row>
    <row r="601">
      <c r="B601" s="68" t="inlineStr">
        <is>
          <t>Other non-current assets, others [Line items]</t>
        </is>
      </c>
    </row>
    <row r="602">
      <c r="B602" s="71" t="inlineStr">
        <is>
          <t>Other non-current assets, others</t>
        </is>
      </c>
      <c r="C602" s="55" t="inlineStr">
        <is>
          <t>OtherNoncurrentAssetsOthers</t>
        </is>
      </c>
      <c r="D602" s="56" t="n">
        <v>1290000000</v>
      </c>
      <c r="E602" s="56" t="n">
        <v>1548000000</v>
      </c>
      <c r="F602" s="56" t="n">
        <v>0</v>
      </c>
      <c r="G602" s="56" t="n">
        <v>0</v>
      </c>
      <c r="H602" s="56" t="n">
        <v>0</v>
      </c>
      <c r="I602" s="56" t="n">
        <v>0</v>
      </c>
    </row>
    <row r="603">
      <c r="B603" s="59" t="inlineStr">
        <is>
          <t>Inventories notes [Abstract]</t>
        </is>
      </c>
    </row>
    <row r="604">
      <c r="B604" s="60" t="inlineStr">
        <is>
          <t>Classification of inventories [Abstract]</t>
        </is>
      </c>
    </row>
    <row r="605">
      <c r="B605" s="63" t="inlineStr">
        <is>
          <t>Classification of inventories [Line items]</t>
        </is>
      </c>
    </row>
    <row r="606">
      <c r="B606" s="64" t="inlineStr">
        <is>
          <t>Inventories</t>
        </is>
      </c>
      <c r="C606" s="55" t="inlineStr">
        <is>
          <t>Inventories</t>
        </is>
      </c>
      <c r="D606" s="56" t="n">
        <v>0</v>
      </c>
      <c r="E606" s="56" t="n">
        <v>0</v>
      </c>
      <c r="F606" s="56" t="n">
        <v>0</v>
      </c>
      <c r="G606" s="56" t="n">
        <v>0</v>
      </c>
      <c r="H606" s="56" t="n">
        <v>0</v>
      </c>
      <c r="I606" s="56" t="n">
        <v>41000000</v>
      </c>
    </row>
    <row r="607">
      <c r="B607" s="59" t="inlineStr">
        <is>
          <t>Cash and bank balances notes [Abstract]</t>
        </is>
      </c>
    </row>
    <row r="608">
      <c r="B608" s="63" t="inlineStr">
        <is>
          <t>Cash and bank balances [Abstract]</t>
        </is>
      </c>
    </row>
    <row r="609">
      <c r="B609" s="68" t="inlineStr">
        <is>
          <t>Classification of cash and bank balances [Abstract]</t>
        </is>
      </c>
    </row>
    <row r="610">
      <c r="B610" s="72" t="inlineStr">
        <is>
          <t>Cash and cash equivalents [Abstract]</t>
        </is>
      </c>
    </row>
    <row r="611">
      <c r="B611" s="75" t="inlineStr">
        <is>
          <t>Balance with banks [Abstract]</t>
        </is>
      </c>
    </row>
    <row r="612">
      <c r="B612" s="76" t="inlineStr">
        <is>
          <t>Other deposits with banks</t>
        </is>
      </c>
      <c r="C612" s="55" t="inlineStr">
        <is>
          <t>OtherDepositsWithBanks</t>
        </is>
      </c>
      <c r="D612" s="56" t="n">
        <v>1904000000</v>
      </c>
      <c r="E612" s="56" t="n">
        <v>3230000000</v>
      </c>
      <c r="F612" s="56" t="n">
        <v>2531000000</v>
      </c>
      <c r="G612" s="56" t="n">
        <v>3871000000</v>
      </c>
      <c r="H612" s="56" t="n">
        <v>7550000000</v>
      </c>
      <c r="I612" s="56" t="n">
        <v>10466000000</v>
      </c>
    </row>
    <row r="613">
      <c r="B613" s="76" t="inlineStr">
        <is>
          <t>Other balances with banks</t>
        </is>
      </c>
      <c r="C613" s="55" t="inlineStr">
        <is>
          <t>OtherBalancesWithBanks</t>
        </is>
      </c>
      <c r="D613" s="56" t="n">
        <v>346000000</v>
      </c>
      <c r="E613" s="56" t="n">
        <v>13000000</v>
      </c>
      <c r="F613" s="56" t="n">
        <v>16000000</v>
      </c>
      <c r="G613" s="56" t="n">
        <v>23000000</v>
      </c>
      <c r="H613" s="56" t="n">
        <v>25000000</v>
      </c>
      <c r="I613" s="56" t="n">
        <v>28000000</v>
      </c>
    </row>
    <row r="614">
      <c r="B614" s="77" t="inlineStr">
        <is>
          <t>Total balance with banks</t>
        </is>
      </c>
      <c r="C614" s="55" t="inlineStr">
        <is>
          <t>BalanceWithBanks</t>
        </is>
      </c>
      <c r="D614" s="58" t="n">
        <v>2250000000</v>
      </c>
      <c r="E614" s="58" t="n">
        <v>3243000000</v>
      </c>
      <c r="F614" s="58" t="n">
        <v>2547000000</v>
      </c>
      <c r="G614" s="58" t="n">
        <v>3894000000</v>
      </c>
      <c r="H614" s="58" t="n">
        <v>7575000000</v>
      </c>
      <c r="I614" s="58" t="n">
        <v>10494000000</v>
      </c>
    </row>
    <row r="615">
      <c r="B615" s="74" t="inlineStr">
        <is>
          <t>Cash and cash equivalents at end of period</t>
        </is>
      </c>
      <c r="C615" s="55" t="inlineStr">
        <is>
          <t>CashAndCashEquivalents</t>
        </is>
      </c>
      <c r="D615" s="58" t="n">
        <v>2250000000</v>
      </c>
      <c r="E615" s="58" t="n">
        <v>3243000000</v>
      </c>
      <c r="F615" s="58" t="n">
        <v>2547000000</v>
      </c>
      <c r="G615" s="58" t="n">
        <v>3894000000</v>
      </c>
      <c r="H615" s="58" t="n">
        <v>7575000000</v>
      </c>
      <c r="I615" s="58" t="n">
        <v>10494000000</v>
      </c>
    </row>
    <row r="616">
      <c r="B616" s="71" t="inlineStr">
        <is>
          <t>Bank balance other than cash and cash equivalents</t>
        </is>
      </c>
      <c r="C616" s="55" t="inlineStr">
        <is>
          <t>BankBalanceOtherThanCashAndCashEquivalents</t>
        </is>
      </c>
      <c r="D616" s="56" t="n">
        <v>0</v>
      </c>
      <c r="E616" s="56" t="n">
        <v>0</v>
      </c>
      <c r="F616" s="56" t="n">
        <v>0</v>
      </c>
      <c r="G616" s="56" t="n">
        <v>1961000000</v>
      </c>
      <c r="H616" s="56" t="n">
        <v>0</v>
      </c>
      <c r="I616" s="56" t="n">
        <v>0</v>
      </c>
    </row>
    <row r="617">
      <c r="B617" s="69" t="inlineStr">
        <is>
          <t>Total cash and bank balances</t>
        </is>
      </c>
      <c r="C617" s="55" t="inlineStr">
        <is>
          <t>CashAndBankBalances</t>
        </is>
      </c>
      <c r="D617" s="58" t="n">
        <v>2250000000</v>
      </c>
      <c r="E617" s="58" t="n">
        <v>3243000000</v>
      </c>
      <c r="F617" s="58" t="n">
        <v>2547000000</v>
      </c>
      <c r="G617" s="58" t="n">
        <v>5855000000</v>
      </c>
      <c r="H617" s="58" t="n">
        <v>7575000000</v>
      </c>
      <c r="I617" s="58" t="n">
        <v>10494000000</v>
      </c>
    </row>
    <row r="618">
      <c r="B618" s="59" t="inlineStr">
        <is>
          <t>Other current financial assets [Abstract]</t>
        </is>
      </c>
    </row>
    <row r="619">
      <c r="B619" s="62" t="inlineStr">
        <is>
          <t>Derivative financial instruments</t>
        </is>
      </c>
      <c r="C619" s="55" t="inlineStr">
        <is>
          <t>DerivativeFinancialInstruments</t>
        </is>
      </c>
      <c r="D619" s="56" t="n">
        <v>37000000</v>
      </c>
      <c r="E619" s="56" t="n">
        <v>1000000</v>
      </c>
      <c r="F619" s="56" t="n">
        <v>84000000</v>
      </c>
      <c r="G619" s="56" t="n">
        <v>0</v>
      </c>
      <c r="H619" s="56" t="n">
        <v>868000000</v>
      </c>
      <c r="I619" s="56" t="n">
        <v>1703000000</v>
      </c>
    </row>
    <row r="620">
      <c r="B620" s="62" t="inlineStr">
        <is>
          <t>Unbilled revenue</t>
        </is>
      </c>
      <c r="C620" s="55" t="inlineStr">
        <is>
          <t>UnbilledRevenue</t>
        </is>
      </c>
      <c r="D620" s="56" t="n">
        <v>1700000000</v>
      </c>
      <c r="E620" s="56" t="n">
        <v>2763000000</v>
      </c>
      <c r="F620" s="56" t="n">
        <v>2143000000</v>
      </c>
      <c r="G620" s="56" t="n">
        <v>2503000000</v>
      </c>
      <c r="H620" s="56" t="n">
        <v>1859000000</v>
      </c>
      <c r="I620" s="56" t="n">
        <v>3768000000</v>
      </c>
    </row>
    <row r="621">
      <c r="B621" s="62" t="inlineStr">
        <is>
          <t>Security deposits</t>
        </is>
      </c>
      <c r="C621" s="55" t="inlineStr">
        <is>
          <t>SecurityDeposits</t>
        </is>
      </c>
      <c r="D621" s="56" t="n">
        <v>0</v>
      </c>
      <c r="E621" s="56" t="n">
        <v>0</v>
      </c>
      <c r="F621" s="56" t="n">
        <v>0</v>
      </c>
      <c r="G621" s="56" t="n">
        <v>0</v>
      </c>
      <c r="H621" s="56" t="n">
        <v>0</v>
      </c>
      <c r="I621" s="56" t="n">
        <v>16000000</v>
      </c>
    </row>
    <row r="622">
      <c r="B622" s="62" t="inlineStr">
        <is>
          <t>Other current financial assets others</t>
        </is>
      </c>
      <c r="C622" s="55" t="inlineStr">
        <is>
          <t>OtherCurrentFinancialAssetsOthers</t>
        </is>
      </c>
      <c r="D622" s="56" t="n">
        <v>305000000</v>
      </c>
      <c r="E622" s="56" t="n">
        <v>276000000</v>
      </c>
      <c r="F622" s="56" t="n">
        <v>301000000</v>
      </c>
      <c r="G622" s="56" t="n">
        <v>302000000</v>
      </c>
      <c r="H622" s="56" t="n">
        <v>196000000</v>
      </c>
      <c r="I622" s="56" t="n">
        <v>340000000</v>
      </c>
    </row>
    <row r="623">
      <c r="B623" s="67" t="inlineStr">
        <is>
          <t>Total other current financial assets</t>
        </is>
      </c>
      <c r="C623" s="55" t="inlineStr">
        <is>
          <t>OtherCurrentFinancialAssets</t>
        </is>
      </c>
      <c r="D623" s="58" t="n">
        <v>2042000000</v>
      </c>
      <c r="E623" s="58" t="n">
        <v>3040000000</v>
      </c>
      <c r="F623" s="58" t="n">
        <v>2528000000</v>
      </c>
      <c r="G623" s="58" t="n">
        <v>2805000000</v>
      </c>
      <c r="H623" s="58" t="n">
        <v>2923000000</v>
      </c>
      <c r="I623" s="58" t="n">
        <v>5827000000</v>
      </c>
    </row>
    <row r="624">
      <c r="B624" s="60" t="inlineStr">
        <is>
          <t>Other current financial assets others [Abstract]</t>
        </is>
      </c>
    </row>
    <row r="625">
      <c r="B625" s="63" t="inlineStr">
        <is>
          <t>Other current financial assets others [Line items]</t>
        </is>
      </c>
    </row>
    <row r="626">
      <c r="B626" s="64" t="inlineStr">
        <is>
          <t>Other current financial assets others</t>
        </is>
      </c>
      <c r="C626" s="55" t="inlineStr">
        <is>
          <t>OtherCurrentFinancialAssetsOthers</t>
        </is>
      </c>
      <c r="D626" s="56" t="n">
        <v>305000000</v>
      </c>
      <c r="E626" s="56" t="n">
        <v>276000000</v>
      </c>
      <c r="F626" s="56" t="n">
        <v>301000000</v>
      </c>
      <c r="G626" s="56" t="n">
        <v>302000000</v>
      </c>
      <c r="H626" s="56" t="n">
        <v>196000000</v>
      </c>
      <c r="I626" s="56" t="n">
        <v>340000000</v>
      </c>
    </row>
    <row r="627">
      <c r="B627" s="59" t="inlineStr">
        <is>
          <t>Other current assets notes [Abstract]</t>
        </is>
      </c>
    </row>
    <row r="628">
      <c r="B628" s="60" t="inlineStr">
        <is>
          <t>Other current assets [Abstract]</t>
        </is>
      </c>
    </row>
    <row r="629">
      <c r="B629" s="61" t="inlineStr">
        <is>
          <t>Advances, current</t>
        </is>
      </c>
      <c r="C629" s="55" t="inlineStr">
        <is>
          <t>CurrentAdvances</t>
        </is>
      </c>
      <c r="D629" s="56" t="n">
        <v>39000000</v>
      </c>
      <c r="E629" s="56" t="n">
        <v>1258000000</v>
      </c>
      <c r="F629" s="56" t="n">
        <v>33000000</v>
      </c>
      <c r="G629" s="56" t="n">
        <v>35000000</v>
      </c>
      <c r="H629" s="56" t="n">
        <v>1112000000</v>
      </c>
      <c r="I629" s="56" t="n">
        <v>1563000000</v>
      </c>
    </row>
    <row r="630">
      <c r="B630" s="61" t="inlineStr">
        <is>
          <t>Other unamortised expenses</t>
        </is>
      </c>
      <c r="C630" s="55" t="inlineStr">
        <is>
          <t>OtherUnamortisedExpenses</t>
        </is>
      </c>
      <c r="D630" s="56" t="n">
        <v>672000000</v>
      </c>
      <c r="E630" s="56" t="n">
        <v>0</v>
      </c>
      <c r="F630" s="56" t="n">
        <v>0</v>
      </c>
      <c r="G630" s="56" t="n">
        <v>0</v>
      </c>
      <c r="H630" s="56" t="n">
        <v>0</v>
      </c>
      <c r="I630" s="56" t="n">
        <v>0</v>
      </c>
    </row>
    <row r="631">
      <c r="B631" s="61" t="inlineStr">
        <is>
          <t>Other current assets, others</t>
        </is>
      </c>
      <c r="C631" s="55" t="inlineStr">
        <is>
          <t>OtherCurrentAssetsOthers</t>
        </is>
      </c>
      <c r="D631" s="56" t="n">
        <v>185000000</v>
      </c>
      <c r="E631" s="56" t="n">
        <v>0</v>
      </c>
      <c r="F631" s="56" t="n">
        <v>2235000000</v>
      </c>
      <c r="G631" s="56" t="n">
        <v>1946000000</v>
      </c>
      <c r="H631" s="56" t="n">
        <v>2032000000</v>
      </c>
      <c r="I631" s="56" t="n">
        <v>3092000000</v>
      </c>
    </row>
    <row r="632">
      <c r="B632" s="65" t="inlineStr">
        <is>
          <t>Total other current assets</t>
        </is>
      </c>
      <c r="C632" s="55" t="inlineStr">
        <is>
          <t>OtherCurrentAssets</t>
        </is>
      </c>
      <c r="D632" s="58" t="n">
        <v>896000000</v>
      </c>
      <c r="E632" s="58" t="n">
        <v>1258000000</v>
      </c>
      <c r="F632" s="58" t="n">
        <v>2268000000</v>
      </c>
      <c r="G632" s="58" t="n">
        <v>1981000000</v>
      </c>
      <c r="H632" s="58" t="n">
        <v>3144000000</v>
      </c>
      <c r="I632" s="58" t="n">
        <v>4655000000</v>
      </c>
    </row>
    <row r="633">
      <c r="B633" s="63" t="inlineStr">
        <is>
          <t>Other current assets others [Abstract]</t>
        </is>
      </c>
    </row>
    <row r="634">
      <c r="B634" s="68" t="inlineStr">
        <is>
          <t>Other current assets others [Line items]</t>
        </is>
      </c>
    </row>
    <row r="635">
      <c r="B635" s="71" t="inlineStr">
        <is>
          <t>Other current assets, others</t>
        </is>
      </c>
      <c r="C635" s="55" t="inlineStr">
        <is>
          <t>OtherCurrentAssetsOthers</t>
        </is>
      </c>
      <c r="D635" s="56" t="n">
        <v>185000000</v>
      </c>
      <c r="E635" s="56" t="n">
        <v>0</v>
      </c>
      <c r="F635" s="56" t="n">
        <v>2235000000</v>
      </c>
      <c r="G635" s="56" t="n">
        <v>1946000000</v>
      </c>
      <c r="H635" s="56" t="n">
        <v>2032000000</v>
      </c>
      <c r="I635" s="56" t="n">
        <v>3092000000</v>
      </c>
    </row>
    <row r="636">
      <c r="B636" s="59" t="inlineStr">
        <is>
          <t>Disclosure of other non-current financial liabilities notes [Abstract]</t>
        </is>
      </c>
    </row>
    <row r="637">
      <c r="B637" s="60" t="inlineStr">
        <is>
          <t>Other non-current financial liabilities [Abstract]</t>
        </is>
      </c>
    </row>
    <row r="638">
      <c r="B638" s="61" t="inlineStr">
        <is>
          <t>Derivative liabilities, non-current</t>
        </is>
      </c>
      <c r="C638" s="55" t="inlineStr">
        <is>
          <t>DerivativeLiabilitiesNoncurrent</t>
        </is>
      </c>
      <c r="D638" s="56" t="n">
        <v>0</v>
      </c>
      <c r="E638" s="56" t="n">
        <v>0</v>
      </c>
      <c r="F638" s="56" t="n">
        <v>0</v>
      </c>
      <c r="G638" s="56" t="n">
        <v>0</v>
      </c>
      <c r="H638" s="56" t="n">
        <v>0</v>
      </c>
      <c r="I638" s="56" t="n">
        <v>1000000</v>
      </c>
    </row>
    <row r="639">
      <c r="B639" s="61" t="inlineStr">
        <is>
          <t>Other non-current financial liabilities, others</t>
        </is>
      </c>
      <c r="C639" s="55" t="inlineStr">
        <is>
          <t>OtherNoncurrentFinancialLiabilitiesOthers</t>
        </is>
      </c>
      <c r="D639" s="56" t="n">
        <v>195000000</v>
      </c>
      <c r="E639" s="56" t="n">
        <v>0</v>
      </c>
      <c r="F639" s="56" t="n">
        <v>1000000</v>
      </c>
      <c r="G639" s="56" t="n">
        <v>6762260000</v>
      </c>
      <c r="H639" s="56" t="n">
        <v>4498000000</v>
      </c>
      <c r="I639" s="56" t="n">
        <v>4664000000</v>
      </c>
    </row>
    <row r="640">
      <c r="B640" s="65" t="inlineStr">
        <is>
          <t>Total other non-current financial liabilities</t>
        </is>
      </c>
      <c r="C640" s="55" t="inlineStr">
        <is>
          <t>OtherNoncurrentFinancialLiabilities</t>
        </is>
      </c>
      <c r="D640" s="58" t="n">
        <v>195000000</v>
      </c>
      <c r="E640" s="58" t="n">
        <v>0</v>
      </c>
      <c r="F640" s="58" t="n">
        <v>1000000</v>
      </c>
      <c r="G640" s="58" t="n">
        <v>6762260000</v>
      </c>
      <c r="H640" s="58" t="n">
        <v>4498000000</v>
      </c>
      <c r="I640" s="58" t="n">
        <v>4665000000</v>
      </c>
    </row>
    <row r="641">
      <c r="B641" s="63" t="inlineStr">
        <is>
          <t>Other non-current financial liabilities others [Abstract]</t>
        </is>
      </c>
    </row>
    <row r="642">
      <c r="B642" s="68" t="inlineStr">
        <is>
          <t>Other non-current financial liabilities others [Line items]</t>
        </is>
      </c>
    </row>
    <row r="643">
      <c r="B643" s="71" t="inlineStr">
        <is>
          <t>Other non-current financial liabilities, others</t>
        </is>
      </c>
      <c r="C643" s="55" t="inlineStr">
        <is>
          <t>OtherNoncurrentFinancialLiabilitiesOthers</t>
        </is>
      </c>
      <c r="D643" s="56" t="n">
        <v>195000000</v>
      </c>
      <c r="E643" s="56" t="n">
        <v>0</v>
      </c>
      <c r="F643" s="56" t="n">
        <v>1000000</v>
      </c>
      <c r="G643" s="56" t="n">
        <v>6762260000</v>
      </c>
      <c r="H643" s="56" t="n">
        <v>4498000000</v>
      </c>
      <c r="I643" s="56" t="n">
        <v>4664000000</v>
      </c>
    </row>
    <row r="644">
      <c r="B644" s="59" t="inlineStr">
        <is>
          <t>Provisions notes [Abstract]</t>
        </is>
      </c>
    </row>
    <row r="645">
      <c r="B645" s="60" t="inlineStr">
        <is>
          <t>Disclosure of breakup of provisions [Abstract]</t>
        </is>
      </c>
    </row>
    <row r="646">
      <c r="B646" s="63" t="inlineStr">
        <is>
          <t>Disclosure of breakup of provisions [Line items]</t>
        </is>
      </c>
    </row>
    <row r="647">
      <c r="B647" s="68" t="inlineStr">
        <is>
          <t>Provisions [Abstract]</t>
        </is>
      </c>
    </row>
    <row r="648">
      <c r="B648" s="72" t="inlineStr">
        <is>
          <t>Provisions for employee benefits [Abstract]</t>
        </is>
      </c>
    </row>
    <row r="649">
      <c r="B649" s="73" t="inlineStr">
        <is>
          <t>Provision leave encashment</t>
        </is>
      </c>
      <c r="C649" s="55" t="inlineStr">
        <is>
          <t>ProvisionLeaveEncashment</t>
        </is>
      </c>
      <c r="D649" s="56" t="n">
        <v>0</v>
      </c>
      <c r="E649" s="56" t="n">
        <v>0</v>
      </c>
      <c r="F649" s="56" t="n">
        <v>0</v>
      </c>
      <c r="G649" s="56" t="n">
        <v>0</v>
      </c>
      <c r="H649" s="56" t="n">
        <v>1437000000</v>
      </c>
      <c r="I649" s="56" t="n">
        <v>1530000000</v>
      </c>
    </row>
    <row r="650">
      <c r="B650" s="73" t="inlineStr">
        <is>
          <t>Provision other employee related liabilities</t>
        </is>
      </c>
      <c r="C650" s="55" t="inlineStr">
        <is>
          <t>ProvisionOtherEmployeeRelatedLiabilities</t>
        </is>
      </c>
      <c r="D650" s="56" t="n">
        <v>587000000</v>
      </c>
      <c r="E650" s="56" t="n">
        <v>0</v>
      </c>
      <c r="F650" s="56" t="n">
        <v>0</v>
      </c>
      <c r="G650" s="56" t="n">
        <v>0</v>
      </c>
      <c r="H650" s="56" t="n">
        <v>0</v>
      </c>
      <c r="I650" s="56" t="n">
        <v>0</v>
      </c>
    </row>
    <row r="651">
      <c r="B651" s="74" t="inlineStr">
        <is>
          <t>Total provisions for employee benefits</t>
        </is>
      </c>
      <c r="C651" s="55" t="inlineStr">
        <is>
          <t>ProvisionsForEmployeeBenefits</t>
        </is>
      </c>
      <c r="D651" s="58" t="n">
        <v>587000000</v>
      </c>
      <c r="E651" s="58" t="n">
        <v>0</v>
      </c>
      <c r="F651" s="58" t="n">
        <v>0</v>
      </c>
      <c r="G651" s="58" t="n">
        <v>0</v>
      </c>
      <c r="H651" s="58" t="n">
        <v>1437000000</v>
      </c>
      <c r="I651" s="58" t="n">
        <v>1530000000</v>
      </c>
    </row>
    <row r="652">
      <c r="B652" s="72" t="inlineStr">
        <is>
          <t>Provision for corporate tax [Abstract]</t>
        </is>
      </c>
    </row>
    <row r="653">
      <c r="B653" s="73" t="inlineStr">
        <is>
          <t>Provision for other tax</t>
        </is>
      </c>
      <c r="C653" s="55" t="inlineStr">
        <is>
          <t>ProvisionForOtherTax</t>
        </is>
      </c>
      <c r="D653" s="56" t="n">
        <v>81000000</v>
      </c>
      <c r="E653" s="56" t="n">
        <v>0</v>
      </c>
      <c r="F653" s="56" t="n">
        <v>0</v>
      </c>
      <c r="G653" s="56" t="n">
        <v>0</v>
      </c>
      <c r="H653" s="56" t="n">
        <v>0</v>
      </c>
      <c r="I653" s="56" t="n">
        <v>0</v>
      </c>
    </row>
    <row r="654">
      <c r="B654" s="74" t="inlineStr">
        <is>
          <t>Total provision for corporate tax</t>
        </is>
      </c>
      <c r="C654" s="55" t="inlineStr">
        <is>
          <t>ProvisionForCorporateTax</t>
        </is>
      </c>
      <c r="D654" s="58" t="n">
        <v>81000000</v>
      </c>
      <c r="E654" s="58" t="n">
        <v>0</v>
      </c>
      <c r="F654" s="58" t="n">
        <v>0</v>
      </c>
      <c r="G654" s="58" t="n">
        <v>0</v>
      </c>
      <c r="H654" s="58" t="n">
        <v>0</v>
      </c>
      <c r="I654" s="58" t="n">
        <v>0</v>
      </c>
    </row>
    <row r="655">
      <c r="B655" s="71" t="inlineStr">
        <is>
          <t>CSR expenditure provision</t>
        </is>
      </c>
      <c r="C655" s="55" t="inlineStr">
        <is>
          <t>CSRExpenditureProvision</t>
        </is>
      </c>
      <c r="D655" s="56" t="n">
        <v>0</v>
      </c>
      <c r="E655" s="56" t="n">
        <v>0</v>
      </c>
      <c r="F655" s="56" t="n">
        <v>0</v>
      </c>
      <c r="G655" s="56" t="n">
        <v>0</v>
      </c>
      <c r="H655" s="56" t="n">
        <v>0</v>
      </c>
      <c r="I655" s="56" t="n">
        <v>77000000</v>
      </c>
    </row>
    <row r="656">
      <c r="B656" s="71" t="inlineStr">
        <is>
          <t>Other provisions at end of period</t>
        </is>
      </c>
      <c r="C656" s="55" t="inlineStr">
        <is>
          <t>OtherProvisions</t>
        </is>
      </c>
      <c r="D656" s="56" t="n">
        <v>427000000</v>
      </c>
      <c r="E656" s="56" t="n">
        <v>0</v>
      </c>
      <c r="F656" s="56" t="n">
        <v>0</v>
      </c>
      <c r="G656" s="56" t="n">
        <v>0</v>
      </c>
      <c r="H656" s="56" t="n">
        <v>790000000</v>
      </c>
      <c r="I656" s="56" t="n">
        <v>835000000</v>
      </c>
    </row>
    <row r="657">
      <c r="B657" s="69" t="inlineStr">
        <is>
          <t>Total provisions</t>
        </is>
      </c>
      <c r="C657" s="55" t="inlineStr">
        <is>
          <t>Provisions</t>
        </is>
      </c>
      <c r="D657" s="58" t="n">
        <v>1095000000</v>
      </c>
      <c r="E657" s="58" t="n">
        <v>0</v>
      </c>
      <c r="F657" s="58" t="n">
        <v>0</v>
      </c>
      <c r="G657" s="58" t="n">
        <v>0</v>
      </c>
      <c r="H657" s="58" t="n">
        <v>2227000000</v>
      </c>
      <c r="I657" s="58" t="n">
        <v>2442000000</v>
      </c>
    </row>
    <row r="658">
      <c r="B658" s="59" t="inlineStr">
        <is>
          <t>Other non-current liabilities [Abstract]</t>
        </is>
      </c>
    </row>
    <row r="659">
      <c r="B659" s="62" t="inlineStr">
        <is>
          <t>Other non-current liabilities others</t>
        </is>
      </c>
      <c r="C659" s="55" t="inlineStr">
        <is>
          <t>OtherNoncurrentLiabilitiesOthers</t>
        </is>
      </c>
      <c r="D659" s="56" t="n">
        <v>71000000</v>
      </c>
      <c r="E659" s="56" t="n">
        <v>79000000</v>
      </c>
      <c r="F659" s="56" t="n">
        <v>173000000</v>
      </c>
      <c r="G659" s="56" t="n">
        <v>0</v>
      </c>
      <c r="H659" s="56" t="n">
        <v>0</v>
      </c>
      <c r="I659" s="56" t="n">
        <v>0</v>
      </c>
    </row>
    <row r="660">
      <c r="B660" s="67" t="inlineStr">
        <is>
          <t>Total other non-current liabilities</t>
        </is>
      </c>
      <c r="C660" s="55" t="inlineStr">
        <is>
          <t>OtherNoncurrentLiabilities</t>
        </is>
      </c>
      <c r="D660" s="58" t="n">
        <v>71000000</v>
      </c>
      <c r="E660" s="58" t="n">
        <v>79000000</v>
      </c>
      <c r="F660" s="58" t="n">
        <v>173000000</v>
      </c>
      <c r="G660" s="58" t="n">
        <v>0</v>
      </c>
      <c r="H660" s="58" t="n">
        <v>0</v>
      </c>
      <c r="I660" s="58" t="n">
        <v>0</v>
      </c>
    </row>
    <row r="661">
      <c r="B661" s="60" t="inlineStr">
        <is>
          <t>Other non-current liabilities others [Abstract]</t>
        </is>
      </c>
    </row>
    <row r="662">
      <c r="B662" s="63" t="inlineStr">
        <is>
          <t>Other non-current liabilities others [Line items]</t>
        </is>
      </c>
    </row>
    <row r="663">
      <c r="B663" s="64" t="inlineStr">
        <is>
          <t>Other non-current liabilities others</t>
        </is>
      </c>
      <c r="C663" s="55" t="inlineStr">
        <is>
          <t>OtherNoncurrentLiabilitiesOthers</t>
        </is>
      </c>
      <c r="D663" s="56" t="n">
        <v>71000000</v>
      </c>
      <c r="E663" s="56" t="n">
        <v>79000000</v>
      </c>
      <c r="F663" s="56" t="n">
        <v>173000000</v>
      </c>
      <c r="G663" s="56" t="n">
        <v>0</v>
      </c>
      <c r="H663" s="56" t="n">
        <v>0</v>
      </c>
      <c r="I663" s="56" t="n">
        <v>0</v>
      </c>
    </row>
    <row r="664">
      <c r="B664" s="59" t="inlineStr">
        <is>
          <t>Disclosure of other current financial liabilities notes [Abstract]</t>
        </is>
      </c>
    </row>
    <row r="665">
      <c r="B665" s="60" t="inlineStr">
        <is>
          <t>Other current financial liabilities [Abstract]</t>
        </is>
      </c>
    </row>
    <row r="666">
      <c r="B666" s="61" t="inlineStr">
        <is>
          <t>Interest accrued others</t>
        </is>
      </c>
      <c r="C666" s="55" t="inlineStr">
        <is>
          <t>InterestAccruedOthers</t>
        </is>
      </c>
      <c r="D666" s="56" t="n">
        <v>0</v>
      </c>
      <c r="E666" s="56" t="n">
        <v>11000000</v>
      </c>
      <c r="F666" s="56" t="n">
        <v>0</v>
      </c>
      <c r="G666" s="56" t="n">
        <v>0</v>
      </c>
      <c r="H666" s="56" t="n">
        <v>0</v>
      </c>
      <c r="I666" s="56" t="n">
        <v>0</v>
      </c>
    </row>
    <row r="667">
      <c r="B667" s="61" t="inlineStr">
        <is>
          <t>Unpaid dividends</t>
        </is>
      </c>
      <c r="C667" s="55" t="inlineStr">
        <is>
          <t>UnpaidDividends</t>
        </is>
      </c>
      <c r="D667" s="56" t="n">
        <v>9000000</v>
      </c>
      <c r="E667" s="56" t="n">
        <v>13000000</v>
      </c>
      <c r="F667" s="56" t="n">
        <v>16000000</v>
      </c>
      <c r="G667" s="56" t="n">
        <v>23000000</v>
      </c>
      <c r="H667" s="56" t="n">
        <v>25000000</v>
      </c>
      <c r="I667" s="56" t="n">
        <v>28000000</v>
      </c>
    </row>
    <row r="668">
      <c r="B668" s="61" t="inlineStr">
        <is>
          <t>Derivative liabilities</t>
        </is>
      </c>
      <c r="C668" s="55" t="inlineStr">
        <is>
          <t>DerivativeLiabilities</t>
        </is>
      </c>
      <c r="D668" s="56" t="n">
        <v>0</v>
      </c>
      <c r="E668" s="56" t="n">
        <v>15000000</v>
      </c>
      <c r="F668" s="56" t="n">
        <v>2000000</v>
      </c>
      <c r="G668" s="56" t="n">
        <v>1623000000</v>
      </c>
      <c r="H668" s="56" t="n">
        <v>33000000</v>
      </c>
      <c r="I668" s="56" t="n">
        <v>12000000</v>
      </c>
    </row>
    <row r="669">
      <c r="B669" s="61" t="inlineStr">
        <is>
          <t>Other current financial liabilities, others</t>
        </is>
      </c>
      <c r="C669" s="55" t="inlineStr">
        <is>
          <t>OtherCurrentFinancialLiabilitiesOthers</t>
        </is>
      </c>
      <c r="D669" s="56" t="n">
        <v>2398000000</v>
      </c>
      <c r="E669" s="56" t="n">
        <v>1625000000</v>
      </c>
      <c r="F669" s="56" t="n">
        <v>2411000000</v>
      </c>
      <c r="G669" s="56" t="n">
        <v>4298000000</v>
      </c>
      <c r="H669" s="56" t="n">
        <v>6077000000</v>
      </c>
      <c r="I669" s="56" t="n">
        <v>7741000000</v>
      </c>
    </row>
    <row r="670">
      <c r="B670" s="65" t="inlineStr">
        <is>
          <t>Total other current financial liabilities</t>
        </is>
      </c>
      <c r="C670" s="55" t="inlineStr">
        <is>
          <t>OtherCurrentFinancialLiabilities</t>
        </is>
      </c>
      <c r="D670" s="58" t="n">
        <v>2412000000</v>
      </c>
      <c r="E670" s="58" t="n">
        <v>1669000000</v>
      </c>
      <c r="F670" s="58" t="n">
        <v>2434000000</v>
      </c>
      <c r="G670" s="58" t="n">
        <v>5949000000</v>
      </c>
      <c r="H670" s="58" t="n">
        <v>6135000000</v>
      </c>
      <c r="I670" s="58" t="n">
        <v>7781000000</v>
      </c>
    </row>
    <row r="671">
      <c r="B671" s="63" t="inlineStr">
        <is>
          <t>Other current financial liabilities, others [Abstract]</t>
        </is>
      </c>
    </row>
    <row r="672">
      <c r="B672" s="68" t="inlineStr">
        <is>
          <t>Other current financial liabilities, others [Line items]</t>
        </is>
      </c>
    </row>
    <row r="673">
      <c r="B673" s="71" t="inlineStr">
        <is>
          <t>Other current financial liabilities, others</t>
        </is>
      </c>
      <c r="C673" s="55" t="inlineStr">
        <is>
          <t>OtherCurrentFinancialLiabilitiesOthers</t>
        </is>
      </c>
      <c r="D673" s="56" t="n">
        <v>2398000000</v>
      </c>
      <c r="E673" s="56" t="n">
        <v>1625000000</v>
      </c>
      <c r="F673" s="56" t="n">
        <v>2411000000</v>
      </c>
      <c r="G673" s="56" t="n">
        <v>4298000000</v>
      </c>
      <c r="H673" s="56" t="n">
        <v>6077000000</v>
      </c>
      <c r="I673" s="56" t="n">
        <v>7741000000</v>
      </c>
    </row>
    <row r="674">
      <c r="B674" s="59" t="inlineStr">
        <is>
          <t>Disclosure of other current liabilities notes [Abstract]</t>
        </is>
      </c>
    </row>
    <row r="675">
      <c r="B675" s="60" t="inlineStr">
        <is>
          <t>Other current liabilities [Abstract]</t>
        </is>
      </c>
    </row>
    <row r="676">
      <c r="B676" s="61" t="inlineStr">
        <is>
          <t>Revenue received in advance</t>
        </is>
      </c>
      <c r="C676" s="55" t="inlineStr">
        <is>
          <t>RevenueReceivedInAdvance</t>
        </is>
      </c>
      <c r="D676" s="56" t="n">
        <v>407000000</v>
      </c>
      <c r="E676" s="56" t="n">
        <v>656000000</v>
      </c>
      <c r="F676" s="56" t="n">
        <v>0</v>
      </c>
      <c r="G676" s="56" t="n">
        <v>0</v>
      </c>
      <c r="H676" s="56" t="n">
        <v>0</v>
      </c>
      <c r="I676" s="56" t="n">
        <v>0</v>
      </c>
    </row>
    <row r="677">
      <c r="B677" s="63" t="inlineStr">
        <is>
          <t>Other advance [Abstract]</t>
        </is>
      </c>
    </row>
    <row r="678">
      <c r="B678" s="64" t="inlineStr">
        <is>
          <t>Advance received from customers</t>
        </is>
      </c>
      <c r="C678" s="55" t="inlineStr">
        <is>
          <t>AdvanceReceivedFromCustomers</t>
        </is>
      </c>
      <c r="D678" s="56" t="n">
        <v>67000000</v>
      </c>
      <c r="E678" s="56" t="n">
        <v>375000000</v>
      </c>
      <c r="F678" s="56" t="n">
        <v>330000000</v>
      </c>
      <c r="G678" s="56" t="n">
        <v>169000000</v>
      </c>
      <c r="H678" s="56" t="n">
        <v>732000000</v>
      </c>
      <c r="I678" s="56" t="n">
        <v>864000000</v>
      </c>
    </row>
    <row r="679">
      <c r="B679" s="66" t="inlineStr">
        <is>
          <t>Total other advance</t>
        </is>
      </c>
      <c r="C679" s="55" t="inlineStr">
        <is>
          <t>OtherAdvance</t>
        </is>
      </c>
      <c r="D679" s="58" t="n">
        <v>67000000</v>
      </c>
      <c r="E679" s="58" t="n">
        <v>375000000</v>
      </c>
      <c r="F679" s="58" t="n">
        <v>330000000</v>
      </c>
      <c r="G679" s="58" t="n">
        <v>169000000</v>
      </c>
      <c r="H679" s="58" t="n">
        <v>732000000</v>
      </c>
      <c r="I679" s="58" t="n">
        <v>864000000</v>
      </c>
    </row>
    <row r="680">
      <c r="B680" s="63" t="inlineStr">
        <is>
          <t>Other payables, current [Abstract]</t>
        </is>
      </c>
    </row>
    <row r="681">
      <c r="B681" s="64" t="inlineStr">
        <is>
          <t>Taxes payable other tax</t>
        </is>
      </c>
      <c r="C681" s="55" t="inlineStr">
        <is>
          <t>TaxesPayableOtherTax</t>
        </is>
      </c>
      <c r="D681" s="56" t="n">
        <v>330000000</v>
      </c>
      <c r="E681" s="56" t="n">
        <v>529000000</v>
      </c>
      <c r="F681" s="56" t="n">
        <v>0</v>
      </c>
      <c r="G681" s="56" t="n">
        <v>0</v>
      </c>
      <c r="H681" s="56" t="n">
        <v>812000000</v>
      </c>
      <c r="I681" s="56" t="n">
        <v>1430000000</v>
      </c>
    </row>
    <row r="682">
      <c r="B682" s="64" t="inlineStr">
        <is>
          <t>Accrued expenses payable</t>
        </is>
      </c>
      <c r="C682" s="55" t="inlineStr">
        <is>
          <t>AccruedExpensesPayable</t>
        </is>
      </c>
      <c r="D682" s="56" t="n">
        <v>91000000</v>
      </c>
      <c r="E682" s="56" t="n">
        <v>141000000</v>
      </c>
      <c r="F682" s="56" t="n">
        <v>0</v>
      </c>
      <c r="G682" s="56" t="n">
        <v>0</v>
      </c>
      <c r="H682" s="56" t="n">
        <v>0</v>
      </c>
      <c r="I682" s="56" t="n">
        <v>0</v>
      </c>
    </row>
    <row r="683">
      <c r="B683" s="66" t="inlineStr">
        <is>
          <t>Total other payables, current</t>
        </is>
      </c>
      <c r="C683" s="55" t="inlineStr">
        <is>
          <t>OtherPayablesCurrent</t>
        </is>
      </c>
      <c r="D683" s="58" t="n">
        <v>421000000</v>
      </c>
      <c r="E683" s="58" t="n">
        <v>670000000</v>
      </c>
      <c r="F683" s="58" t="n">
        <v>0</v>
      </c>
      <c r="G683" s="58" t="n">
        <v>0</v>
      </c>
      <c r="H683" s="58" t="n">
        <v>812000000</v>
      </c>
      <c r="I683" s="58" t="n">
        <v>1430000000</v>
      </c>
    </row>
    <row r="684">
      <c r="B684" s="61" t="inlineStr">
        <is>
          <t>Other current liabilities, others</t>
        </is>
      </c>
      <c r="C684" s="55" t="inlineStr">
        <is>
          <t>OtherCurrentLiabilitiesOthers</t>
        </is>
      </c>
      <c r="D684" s="56" t="n">
        <v>49000000</v>
      </c>
      <c r="E684" s="56" t="n">
        <v>19000000</v>
      </c>
      <c r="F684" s="56" t="n">
        <v>1508000000</v>
      </c>
      <c r="G684" s="56" t="n">
        <v>1428000000</v>
      </c>
      <c r="H684" s="56" t="n">
        <v>965000000</v>
      </c>
      <c r="I684" s="56" t="n">
        <v>2024000000</v>
      </c>
    </row>
    <row r="685">
      <c r="B685" s="65" t="inlineStr">
        <is>
          <t>Total other current liabilities</t>
        </is>
      </c>
      <c r="C685" s="55" t="inlineStr">
        <is>
          <t>OtherCurrentLiabilities</t>
        </is>
      </c>
      <c r="D685" s="58" t="n">
        <v>944000000</v>
      </c>
      <c r="E685" s="58" t="n">
        <v>1720000000</v>
      </c>
      <c r="F685" s="58" t="n">
        <v>1838000000</v>
      </c>
      <c r="G685" s="58" t="n">
        <v>1597000000</v>
      </c>
      <c r="H685" s="58" t="n">
        <v>2509000000</v>
      </c>
      <c r="I685" s="58" t="n">
        <v>4318000000</v>
      </c>
    </row>
    <row r="686">
      <c r="B686" s="63" t="inlineStr">
        <is>
          <t>Other current liabilities, others [Abstract]</t>
        </is>
      </c>
    </row>
    <row r="687">
      <c r="B687" s="68" t="inlineStr">
        <is>
          <t>Other current liabilities, others [Line items]</t>
        </is>
      </c>
    </row>
    <row r="688">
      <c r="B688" s="71" t="inlineStr">
        <is>
          <t>Other current liabilities, others</t>
        </is>
      </c>
      <c r="C688" s="55" t="inlineStr">
        <is>
          <t>OtherCurrentLiabilitiesOthers</t>
        </is>
      </c>
      <c r="D688" s="56" t="n">
        <v>49000000</v>
      </c>
      <c r="E688" s="56" t="n">
        <v>19000000</v>
      </c>
      <c r="F688" s="56" t="n">
        <v>1508000000</v>
      </c>
      <c r="G688" s="56" t="n">
        <v>1428000000</v>
      </c>
      <c r="H688" s="56" t="n">
        <v>965000000</v>
      </c>
      <c r="I688" s="56" t="n">
        <v>2024000000</v>
      </c>
    </row>
    <row r="693" ht="15.5" customHeight="1" s="203">
      <c r="A693" t="inlineStr">
        <is>
          <t>#</t>
        </is>
      </c>
      <c r="B693" s="38" t="inlineStr">
        <is>
          <t>Notes to Statement of Cash Flows: Cash Flow Statement</t>
        </is>
      </c>
    </row>
    <row r="695">
      <c r="C695" s="53" t="inlineStr">
        <is>
          <t>Concept Tag</t>
        </is>
      </c>
      <c r="D695" s="20" t="inlineStr">
        <is>
          <t>FY2017</t>
        </is>
      </c>
      <c r="E695" s="20" t="inlineStr">
        <is>
          <t>FY2018</t>
        </is>
      </c>
      <c r="F695" s="20" t="inlineStr">
        <is>
          <t>FY2019</t>
        </is>
      </c>
      <c r="G695" s="20" t="inlineStr">
        <is>
          <t>FY2020</t>
        </is>
      </c>
      <c r="H695" s="20" t="inlineStr">
        <is>
          <t>FY2021</t>
        </is>
      </c>
      <c r="I695" s="20" t="inlineStr">
        <is>
          <t>FY2022</t>
        </is>
      </c>
    </row>
    <row r="697" ht="15.5" customHeight="1" s="203">
      <c r="B697" s="38" t="inlineStr">
        <is>
          <t>Cash and cash equivalents if different from Balance Sheet [Abstract]</t>
        </is>
      </c>
    </row>
    <row r="698">
      <c r="B698" s="54" t="inlineStr">
        <is>
          <t>Cash and cash equivalents cash flow statement at end of period</t>
        </is>
      </c>
      <c r="C698" s="55" t="inlineStr">
        <is>
          <t>CashAndCashEquivalentsCashFlowStatement</t>
        </is>
      </c>
      <c r="D698" s="56" t="n">
        <v>2250000000</v>
      </c>
      <c r="E698" s="56" t="n">
        <v>3229000000</v>
      </c>
      <c r="F698" s="56" t="n">
        <v>2544000000</v>
      </c>
      <c r="G698" s="56" t="n">
        <v>3894000000</v>
      </c>
      <c r="H698" s="56" t="n">
        <v>7575000000</v>
      </c>
      <c r="I698" s="56" t="n">
        <v>10494000000</v>
      </c>
    </row>
    <row r="699">
      <c r="B699" s="54" t="inlineStr">
        <is>
          <t>Bank overdrafts</t>
        </is>
      </c>
      <c r="C699" s="55" t="inlineStr">
        <is>
          <t>BankOverdraftsClassifiedAsCashEquivalents</t>
        </is>
      </c>
      <c r="D699" s="56" t="n">
        <v>0</v>
      </c>
      <c r="E699" s="56" t="n">
        <v>-14000000</v>
      </c>
      <c r="F699" s="56" t="n">
        <v>-3000000</v>
      </c>
      <c r="G699" s="56" t="n">
        <v>0</v>
      </c>
      <c r="H699" s="56" t="n">
        <v>0</v>
      </c>
      <c r="I699" s="56" t="n">
        <v>0</v>
      </c>
    </row>
    <row r="700">
      <c r="B700" s="57" t="inlineStr">
        <is>
          <t>Cash and cash equivalents at end of period</t>
        </is>
      </c>
      <c r="C700" s="55" t="inlineStr">
        <is>
          <t>CashAndCashEquivalents</t>
        </is>
      </c>
      <c r="D700" s="58" t="n">
        <v>2250000000</v>
      </c>
      <c r="E700" s="58" t="n">
        <v>3243000000</v>
      </c>
      <c r="F700" s="58" t="n">
        <v>2547000000</v>
      </c>
      <c r="G700" s="58" t="n">
        <v>3894000000</v>
      </c>
      <c r="H700" s="58" t="n">
        <v>7575000000</v>
      </c>
      <c r="I700" s="58" t="n">
        <v>10494000000</v>
      </c>
    </row>
    <row r="702" ht="15.5" customHeight="1" s="203">
      <c r="B702" s="38" t="inlineStr">
        <is>
          <t>Income taxes paid (refund) [Abstract]</t>
        </is>
      </c>
    </row>
    <row r="703">
      <c r="B703" s="54" t="inlineStr">
        <is>
          <t>Income taxes paid (refund)</t>
        </is>
      </c>
      <c r="C703" s="55" t="inlineStr">
        <is>
          <t>IncomeTaxesPaidRefundClassifiedAsOperatingActivities</t>
        </is>
      </c>
      <c r="D703" s="56" t="n">
        <v>1748000000</v>
      </c>
      <c r="E703" s="56" t="n">
        <v>1631000000</v>
      </c>
      <c r="F703" s="56" t="n">
        <v>2255000000</v>
      </c>
      <c r="G703" s="56" t="n">
        <v>1640000000</v>
      </c>
      <c r="H703" s="56" t="n">
        <v>3168000000</v>
      </c>
      <c r="I703" s="56" t="n">
        <v>5464000000</v>
      </c>
    </row>
    <row r="704">
      <c r="B704" s="57" t="inlineStr">
        <is>
          <t>Total income taxes paid (refund)</t>
        </is>
      </c>
      <c r="C704" s="55" t="inlineStr">
        <is>
          <t>IncomeTaxesPaidRefund</t>
        </is>
      </c>
      <c r="D704" s="58" t="n">
        <v>1748000000</v>
      </c>
      <c r="E704" s="58" t="n">
        <v>1631000000</v>
      </c>
      <c r="F704" s="58" t="n">
        <v>2255000000</v>
      </c>
      <c r="G704" s="58" t="n">
        <v>1640000000</v>
      </c>
      <c r="H704" s="58" t="n">
        <v>3168000000</v>
      </c>
      <c r="I704" s="58" t="n">
        <v>5464000000</v>
      </c>
    </row>
    <row r="707" ht="18.5" customHeight="1" s="203">
      <c r="A707" t="inlineStr">
        <is>
          <t>#</t>
        </is>
      </c>
      <c r="B707" s="52" t="inlineStr">
        <is>
          <t>General / Cross-Statement Notes</t>
        </is>
      </c>
    </row>
    <row r="709" ht="15.5" customHeight="1" s="203">
      <c r="A709" t="inlineStr">
        <is>
          <t>#</t>
        </is>
      </c>
      <c r="B709" s="38" t="inlineStr">
        <is>
          <t>Notes to General: Accounting For Government Grants And Disclosure Of Government Assistance</t>
        </is>
      </c>
    </row>
    <row r="711">
      <c r="C711" s="53" t="inlineStr">
        <is>
          <t>Concept Tag</t>
        </is>
      </c>
      <c r="D711" s="20" t="inlineStr">
        <is>
          <t>FY2017</t>
        </is>
      </c>
      <c r="E711" s="20" t="inlineStr">
        <is>
          <t>FY2018</t>
        </is>
      </c>
      <c r="F711" s="20" t="inlineStr">
        <is>
          <t>FY2019</t>
        </is>
      </c>
      <c r="G711" s="20" t="inlineStr">
        <is>
          <t>FY2020</t>
        </is>
      </c>
      <c r="H711" s="20" t="inlineStr">
        <is>
          <t>FY2021</t>
        </is>
      </c>
      <c r="I711" s="20" t="inlineStr">
        <is>
          <t>FY2022</t>
        </is>
      </c>
    </row>
    <row r="712">
      <c r="B712" s="6" t="inlineStr">
        <is>
          <t>Revenue subsidies or grants received from government authorities</t>
        </is>
      </c>
      <c r="C712" s="55" t="inlineStr">
        <is>
          <t>RevenueSubsidiesOrGrantsReceivedFromGovernmentAuthorities</t>
        </is>
      </c>
      <c r="D712" s="56" t="n">
        <v>0</v>
      </c>
      <c r="E712" s="56" t="n">
        <v>0</v>
      </c>
      <c r="F712" s="56" t="n">
        <v>0</v>
      </c>
      <c r="G712" s="56" t="n">
        <v>0</v>
      </c>
      <c r="H712" s="56" t="n">
        <v>120000000</v>
      </c>
      <c r="I712" s="56" t="n">
        <v>31000000</v>
      </c>
    </row>
    <row r="715" ht="15.5" customHeight="1" s="203">
      <c r="A715" t="inlineStr">
        <is>
          <t>#</t>
        </is>
      </c>
      <c r="B715" s="38" t="inlineStr">
        <is>
          <t>Notes to General: Corporate Social Responsibility</t>
        </is>
      </c>
    </row>
    <row r="717">
      <c r="C717" s="53" t="inlineStr">
        <is>
          <t>Concept Tag</t>
        </is>
      </c>
      <c r="D717" s="20" t="inlineStr">
        <is>
          <t>FY2017</t>
        </is>
      </c>
      <c r="E717" s="20" t="inlineStr">
        <is>
          <t>FY2018</t>
        </is>
      </c>
      <c r="F717" s="20" t="inlineStr">
        <is>
          <t>FY2019</t>
        </is>
      </c>
      <c r="G717" s="20" t="inlineStr">
        <is>
          <t>FY2020</t>
        </is>
      </c>
      <c r="H717" s="20" t="inlineStr">
        <is>
          <t>FY2021</t>
        </is>
      </c>
      <c r="I717" s="20" t="inlineStr">
        <is>
          <t>FY2022</t>
        </is>
      </c>
    </row>
    <row r="719" ht="15.5" customHeight="1" s="203">
      <c r="B719" s="38" t="inlineStr">
        <is>
          <t>Disclosure of CSR spending [Abstract]</t>
        </is>
      </c>
    </row>
    <row r="720">
      <c r="B720" s="54" t="inlineStr">
        <is>
          <t>Average net profit for last three financial years</t>
        </is>
      </c>
      <c r="C720" s="55" t="inlineStr">
        <is>
          <t>AverageNetProfitForLastThreeFinancialYears</t>
        </is>
      </c>
      <c r="D720" s="56" t="n">
        <v>5397000000</v>
      </c>
      <c r="E720" s="56" t="n">
        <v>5220000000</v>
      </c>
      <c r="F720" s="56" t="n">
        <v>5461000000</v>
      </c>
      <c r="G720" s="56" t="n">
        <v>6164500000</v>
      </c>
      <c r="H720" s="56" t="n">
        <v>6800560000</v>
      </c>
      <c r="I720" s="56" t="n">
        <v>8399840000</v>
      </c>
    </row>
    <row r="721">
      <c r="B721" s="54" t="inlineStr">
        <is>
          <t>Prescribed CSR expenditure</t>
        </is>
      </c>
      <c r="C721" s="55" t="inlineStr">
        <is>
          <t>PrescribedCSRExpenditure</t>
        </is>
      </c>
      <c r="D721" s="56" t="n">
        <v>108000000</v>
      </c>
      <c r="E721" s="56" t="n">
        <v>104400000</v>
      </c>
      <c r="F721" s="56" t="n">
        <v>109220000</v>
      </c>
      <c r="G721" s="56" t="n">
        <v>123290000</v>
      </c>
      <c r="H721" s="56" t="n">
        <v>136010000</v>
      </c>
      <c r="I721" s="56" t="n">
        <v>168000000</v>
      </c>
    </row>
    <row r="722">
      <c r="B722" s="59" t="inlineStr">
        <is>
          <t>Details of CSR spent during financial year [Abstract]</t>
        </is>
      </c>
    </row>
    <row r="723">
      <c r="B723" s="62" t="inlineStr">
        <is>
          <t>Amount CSR to be spent for financial year</t>
        </is>
      </c>
      <c r="C723" s="55" t="inlineStr">
        <is>
          <t>AmountCSRToBeSpentForFinancialYear</t>
        </is>
      </c>
      <c r="D723" s="56" t="n">
        <v>107000000</v>
      </c>
      <c r="E723" s="56" t="n">
        <v>104400000</v>
      </c>
      <c r="F723" s="56" t="n">
        <v>109220000</v>
      </c>
      <c r="G723" s="56" t="n">
        <v>123290000</v>
      </c>
      <c r="H723" s="56" t="n">
        <v>0</v>
      </c>
      <c r="I723" s="56" t="n">
        <v>0</v>
      </c>
    </row>
    <row r="724">
      <c r="B724" s="62" t="inlineStr">
        <is>
          <t>Amount spent in local area</t>
        </is>
      </c>
      <c r="C724" s="55" t="inlineStr">
        <is>
          <t>AmountSpentInLocalArea</t>
        </is>
      </c>
      <c r="D724" s="56" t="n">
        <v>109000000</v>
      </c>
      <c r="E724" s="56" t="n">
        <v>0</v>
      </c>
      <c r="F724" s="56" t="n">
        <v>0</v>
      </c>
      <c r="G724" s="56" t="n">
        <v>343000000</v>
      </c>
      <c r="H724" s="56" t="n">
        <v>0</v>
      </c>
      <c r="I724" s="56" t="n">
        <v>0</v>
      </c>
    </row>
    <row r="726">
      <c r="B726" s="6" t="inlineStr">
        <is>
          <t>Average net profit for last three financial years</t>
        </is>
      </c>
      <c r="C726" s="55" t="inlineStr">
        <is>
          <t>AverageNetProfitForLastThreeFinancialYears</t>
        </is>
      </c>
      <c r="D726" s="56" t="n">
        <v>5397000000</v>
      </c>
      <c r="E726" s="56" t="n">
        <v>5220000000</v>
      </c>
      <c r="F726" s="56" t="n">
        <v>5461000000</v>
      </c>
      <c r="G726" s="56" t="n">
        <v>6164500000</v>
      </c>
      <c r="H726" s="56" t="n">
        <v>6800560000</v>
      </c>
      <c r="I726" s="56" t="n">
        <v>8399840000</v>
      </c>
    </row>
    <row r="734" ht="15.5" customHeight="1" s="203">
      <c r="A734" t="inlineStr">
        <is>
          <t>#</t>
        </is>
      </c>
      <c r="B734" s="38" t="inlineStr">
        <is>
          <t>Notes to General: Financial Instruments</t>
        </is>
      </c>
    </row>
    <row r="736">
      <c r="C736" s="53" t="inlineStr">
        <is>
          <t>Concept Tag</t>
        </is>
      </c>
      <c r="D736" s="20" t="inlineStr">
        <is>
          <t>FY2017</t>
        </is>
      </c>
      <c r="E736" s="20" t="inlineStr">
        <is>
          <t>FY2018</t>
        </is>
      </c>
      <c r="F736" s="20" t="inlineStr">
        <is>
          <t>FY2019</t>
        </is>
      </c>
      <c r="G736" s="20" t="inlineStr">
        <is>
          <t>FY2020</t>
        </is>
      </c>
      <c r="H736" s="20" t="inlineStr">
        <is>
          <t>FY2021</t>
        </is>
      </c>
      <c r="I736" s="20" t="inlineStr">
        <is>
          <t>FY2022</t>
        </is>
      </c>
    </row>
    <row r="737">
      <c r="B737" s="59" t="inlineStr">
        <is>
          <t>Disclosure of financial assets [Abstract]</t>
        </is>
      </c>
    </row>
    <row r="738">
      <c r="B738" s="60" t="inlineStr">
        <is>
          <t>Disclosure of financial assets [Line items]</t>
        </is>
      </c>
    </row>
    <row r="739">
      <c r="B739" s="61" t="inlineStr">
        <is>
          <t>Financial assets at end of period</t>
        </is>
      </c>
      <c r="C739" s="55" t="inlineStr">
        <is>
          <t>FinancialAssets</t>
        </is>
      </c>
      <c r="D739" s="56" t="n">
        <v>19164000000</v>
      </c>
      <c r="E739" s="56" t="n">
        <v>0</v>
      </c>
      <c r="F739" s="56" t="n">
        <v>0</v>
      </c>
      <c r="G739" s="56" t="n">
        <v>0</v>
      </c>
      <c r="H739" s="56" t="n">
        <v>0</v>
      </c>
      <c r="I739" s="56" t="n">
        <v>0</v>
      </c>
    </row>
    <row r="740">
      <c r="B740" s="61" t="inlineStr">
        <is>
          <t>Financial assets, at fair value</t>
        </is>
      </c>
      <c r="C740" s="55" t="inlineStr">
        <is>
          <t>FinancialAssetsAtFairValue</t>
        </is>
      </c>
      <c r="D740" s="56" t="n">
        <v>19164000000</v>
      </c>
      <c r="E740" s="56" t="n">
        <v>0</v>
      </c>
      <c r="F740" s="56" t="n">
        <v>0</v>
      </c>
      <c r="G740" s="56" t="n">
        <v>0</v>
      </c>
      <c r="H740" s="56" t="n">
        <v>0</v>
      </c>
      <c r="I740" s="56" t="n">
        <v>0</v>
      </c>
    </row>
    <row r="741">
      <c r="B741" s="59" t="inlineStr">
        <is>
          <t>Disclosure of financial liabilities [Abstract]</t>
        </is>
      </c>
    </row>
    <row r="742">
      <c r="B742" s="60" t="inlineStr">
        <is>
          <t>Disclosure of financial liabilities [Line items]</t>
        </is>
      </c>
    </row>
    <row r="743">
      <c r="B743" s="61" t="inlineStr">
        <is>
          <t>Financial liabilities</t>
        </is>
      </c>
      <c r="C743" s="55" t="inlineStr">
        <is>
          <t>FinancialLiabilities</t>
        </is>
      </c>
      <c r="D743" s="56" t="n">
        <v>4888000000</v>
      </c>
      <c r="E743" s="56" t="n">
        <v>0</v>
      </c>
      <c r="F743" s="56" t="n">
        <v>0</v>
      </c>
      <c r="G743" s="56" t="n">
        <v>0</v>
      </c>
      <c r="H743" s="56" t="n">
        <v>0</v>
      </c>
      <c r="I743" s="56" t="n">
        <v>0</v>
      </c>
    </row>
    <row r="744">
      <c r="B744" s="61" t="inlineStr">
        <is>
          <t>Financial liabilities, at fair value</t>
        </is>
      </c>
      <c r="C744" s="55" t="inlineStr">
        <is>
          <t>FinancialLiabilitiesAtFairValue</t>
        </is>
      </c>
      <c r="D744" s="56" t="n">
        <v>4888000000</v>
      </c>
      <c r="E744" s="56" t="n">
        <v>0</v>
      </c>
      <c r="F744" s="56" t="n">
        <v>0</v>
      </c>
      <c r="G744" s="56" t="n">
        <v>0</v>
      </c>
      <c r="H744" s="56" t="n">
        <v>0</v>
      </c>
      <c r="I744" s="56" t="n">
        <v>0</v>
      </c>
    </row>
    <row r="749" ht="15.5" customHeight="1" s="203">
      <c r="B749" s="38" t="inlineStr">
        <is>
          <t>Income, expense, gains or losses of financial instruments [Abstract]</t>
        </is>
      </c>
    </row>
    <row r="750">
      <c r="B750" s="59" t="inlineStr">
        <is>
          <t>Disclosure of nature and extent of risks arising from financial instruments [Abstract]</t>
        </is>
      </c>
    </row>
    <row r="751">
      <c r="B751" s="60" t="inlineStr">
        <is>
          <t>Disclosure of reconciliation of changes in loss allowance and explanation of changes in gross carrying amount for financial instruments [Abstract]</t>
        </is>
      </c>
    </row>
    <row r="752">
      <c r="B752" s="63" t="inlineStr">
        <is>
          <t>Disclosure of reconciliation of changes in loss allowance and explanation of changes in gross carrying amount for financial instruments [Line items]</t>
        </is>
      </c>
    </row>
    <row r="753">
      <c r="B753" s="64" t="inlineStr">
        <is>
          <t>Financial assets at end of period</t>
        </is>
      </c>
      <c r="C753" s="55" t="inlineStr">
        <is>
          <t>FinancialAssets</t>
        </is>
      </c>
      <c r="D753" s="56" t="n">
        <v>19164000000</v>
      </c>
      <c r="E753" s="56" t="n">
        <v>0</v>
      </c>
      <c r="F753" s="56" t="n">
        <v>0</v>
      </c>
      <c r="G753" s="56" t="n">
        <v>0</v>
      </c>
      <c r="H753" s="56" t="n">
        <v>0</v>
      </c>
      <c r="I753" s="56" t="n">
        <v>0</v>
      </c>
    </row>
    <row r="754">
      <c r="B754" s="64" t="inlineStr">
        <is>
          <t>Financial assets at end of period</t>
        </is>
      </c>
      <c r="C754" s="55" t="inlineStr">
        <is>
          <t>FinancialAssets</t>
        </is>
      </c>
      <c r="D754" s="56" t="n">
        <v>19164000000</v>
      </c>
      <c r="E754" s="56" t="n">
        <v>0</v>
      </c>
      <c r="F754" s="56" t="n">
        <v>0</v>
      </c>
      <c r="G754" s="56" t="n">
        <v>0</v>
      </c>
      <c r="H754" s="56" t="n">
        <v>0</v>
      </c>
      <c r="I754" s="56" t="n">
        <v>0</v>
      </c>
    </row>
    <row r="755">
      <c r="B755" s="60" t="inlineStr">
        <is>
          <t>Disclosure of credit risk exposure [Abstract]</t>
        </is>
      </c>
    </row>
    <row r="756">
      <c r="B756" s="63" t="inlineStr">
        <is>
          <t>Disclosure of credit risk exposure [Line items]</t>
        </is>
      </c>
    </row>
    <row r="757">
      <c r="B757" s="64" t="inlineStr">
        <is>
          <t>Financial assets at end of period</t>
        </is>
      </c>
      <c r="C757" s="55" t="inlineStr">
        <is>
          <t>FinancialAssets</t>
        </is>
      </c>
      <c r="D757" s="56" t="n">
        <v>19164000000</v>
      </c>
      <c r="E757" s="56" t="n">
        <v>0</v>
      </c>
      <c r="F757" s="56" t="n">
        <v>0</v>
      </c>
      <c r="G757" s="56" t="n">
        <v>0</v>
      </c>
      <c r="H757" s="56" t="n">
        <v>0</v>
      </c>
      <c r="I757" s="56" t="n">
        <v>0</v>
      </c>
    </row>
    <row r="758">
      <c r="B758" s="60" t="inlineStr">
        <is>
          <t>Disclosure of provision matrix [Abstract]</t>
        </is>
      </c>
    </row>
    <row r="759">
      <c r="B759" s="63" t="inlineStr">
        <is>
          <t>Disclosure of provision matrix [Line items]</t>
        </is>
      </c>
    </row>
    <row r="760">
      <c r="B760" s="64" t="inlineStr">
        <is>
          <t>Financial assets at end of period</t>
        </is>
      </c>
      <c r="C760" s="55" t="inlineStr">
        <is>
          <t>FinancialAssets</t>
        </is>
      </c>
      <c r="D760" s="56" t="n">
        <v>19164000000</v>
      </c>
      <c r="E760" s="56" t="n">
        <v>0</v>
      </c>
      <c r="F760" s="56" t="n">
        <v>0</v>
      </c>
      <c r="G760" s="56" t="n">
        <v>0</v>
      </c>
      <c r="H760" s="56" t="n">
        <v>0</v>
      </c>
      <c r="I760" s="56" t="n">
        <v>0</v>
      </c>
    </row>
    <row r="761">
      <c r="B761" s="59" t="inlineStr">
        <is>
          <t>Disclosure of financial instruments by type of interest rate [Abstract]</t>
        </is>
      </c>
    </row>
    <row r="762">
      <c r="B762" s="60" t="inlineStr">
        <is>
          <t>Disclosure of financial instruments by type of interest rate [Line items]</t>
        </is>
      </c>
    </row>
    <row r="763">
      <c r="B763" s="61" t="inlineStr">
        <is>
          <t>Financial assets at end of period</t>
        </is>
      </c>
      <c r="C763" s="55" t="inlineStr">
        <is>
          <t>FinancialAssets</t>
        </is>
      </c>
      <c r="D763" s="56" t="n">
        <v>19164000000</v>
      </c>
      <c r="E763" s="56" t="n">
        <v>0</v>
      </c>
      <c r="F763" s="56" t="n">
        <v>0</v>
      </c>
      <c r="G763" s="56" t="n">
        <v>0</v>
      </c>
      <c r="H763" s="56" t="n">
        <v>0</v>
      </c>
      <c r="I763" s="56" t="n">
        <v>0</v>
      </c>
    </row>
    <row r="764">
      <c r="B764" s="61" t="inlineStr">
        <is>
          <t>Financial liabilities</t>
        </is>
      </c>
      <c r="C764" s="55" t="inlineStr">
        <is>
          <t>FinancialLiabilities</t>
        </is>
      </c>
      <c r="D764" s="56" t="n">
        <v>4888000000</v>
      </c>
      <c r="E764" s="56" t="n">
        <v>0</v>
      </c>
      <c r="F764" s="56" t="n">
        <v>0</v>
      </c>
      <c r="G764" s="56" t="n">
        <v>0</v>
      </c>
      <c r="H764" s="56" t="n">
        <v>0</v>
      </c>
      <c r="I764" s="56" t="n">
        <v>0</v>
      </c>
    </row>
    <row r="769" ht="15.5" customHeight="1" s="203">
      <c r="A769" t="inlineStr">
        <is>
          <t>#</t>
        </is>
      </c>
      <c r="B769" s="38" t="inlineStr">
        <is>
          <t>Notes to General: First Time Adoption</t>
        </is>
      </c>
    </row>
    <row r="771">
      <c r="C771" s="53" t="inlineStr">
        <is>
          <t>Concept Tag</t>
        </is>
      </c>
      <c r="D771" s="20" t="inlineStr">
        <is>
          <t>FY2017</t>
        </is>
      </c>
      <c r="E771" s="20" t="inlineStr">
        <is>
          <t>FY2018</t>
        </is>
      </c>
      <c r="F771" s="20" t="inlineStr">
        <is>
          <t>FY2019</t>
        </is>
      </c>
      <c r="G771" s="20" t="inlineStr">
        <is>
          <t>FY2020</t>
        </is>
      </c>
      <c r="H771" s="20" t="inlineStr">
        <is>
          <t>FY2021</t>
        </is>
      </c>
      <c r="I771" s="20" t="inlineStr">
        <is>
          <t>FY2022</t>
        </is>
      </c>
    </row>
    <row r="772">
      <c r="B772" s="59" t="inlineStr">
        <is>
          <t>Disclosure of reconciliation of equity from previous GAAP to Ind AS [Abstract]</t>
        </is>
      </c>
    </row>
    <row r="773">
      <c r="B773" s="62" t="inlineStr">
        <is>
          <t>Equity as per Indian GAAP</t>
        </is>
      </c>
      <c r="C773" s="55" t="inlineStr">
        <is>
          <t>EquityAsPerIndianGaap</t>
        </is>
      </c>
      <c r="D773" s="56" t="n">
        <v>27578000000</v>
      </c>
      <c r="E773" s="56" t="n">
        <v>0</v>
      </c>
      <c r="F773" s="56" t="n">
        <v>0</v>
      </c>
      <c r="G773" s="56" t="n">
        <v>0</v>
      </c>
      <c r="H773" s="56" t="n">
        <v>0</v>
      </c>
      <c r="I773" s="56" t="n">
        <v>0</v>
      </c>
    </row>
    <row r="774">
      <c r="B774" s="67" t="inlineStr">
        <is>
          <t>Equity as per Ind AS</t>
        </is>
      </c>
      <c r="C774" s="55" t="inlineStr">
        <is>
          <t>EquityAsPerIndAs</t>
        </is>
      </c>
      <c r="D774" s="58" t="n">
        <v>27578000000</v>
      </c>
      <c r="E774" s="58" t="n">
        <v>0</v>
      </c>
      <c r="F774" s="58" t="n">
        <v>0</v>
      </c>
      <c r="G774" s="58" t="n">
        <v>0</v>
      </c>
      <c r="H774" s="58" t="n">
        <v>0</v>
      </c>
      <c r="I774" s="58" t="n">
        <v>0</v>
      </c>
    </row>
    <row r="775">
      <c r="B775" s="59" t="inlineStr">
        <is>
          <t>Disclosure of reconciliation of comprehensive income from previous GAAP to Ind AS [Abstract]</t>
        </is>
      </c>
    </row>
    <row r="776">
      <c r="B776" s="62" t="inlineStr">
        <is>
          <t>Comprehensive income as per Indian GAAP</t>
        </is>
      </c>
      <c r="C776" s="55" t="inlineStr">
        <is>
          <t>ComprehensiveIncomeAsPerIndianGaap</t>
        </is>
      </c>
      <c r="D776" s="56" t="n">
        <v>4880000000</v>
      </c>
      <c r="E776" s="56" t="n">
        <v>0</v>
      </c>
      <c r="F776" s="56" t="n">
        <v>0</v>
      </c>
      <c r="G776" s="56" t="n">
        <v>0</v>
      </c>
      <c r="H776" s="56" t="n">
        <v>0</v>
      </c>
      <c r="I776" s="56" t="n">
        <v>0</v>
      </c>
    </row>
    <row r="777">
      <c r="B777" s="67" t="inlineStr">
        <is>
          <t>Comprehensive income as per Ind AS</t>
        </is>
      </c>
      <c r="C777" s="55" t="inlineStr">
        <is>
          <t>ComprehensiveIncomeAsPerIndAs</t>
        </is>
      </c>
      <c r="D777" s="58" t="n">
        <v>4880000000</v>
      </c>
      <c r="E777" s="58" t="n">
        <v>0</v>
      </c>
      <c r="F777" s="58" t="n">
        <v>0</v>
      </c>
      <c r="G777" s="58" t="n">
        <v>0</v>
      </c>
      <c r="H777" s="58" t="n">
        <v>0</v>
      </c>
      <c r="I777" s="58" t="n">
        <v>0</v>
      </c>
    </row>
    <row r="778">
      <c r="B778" s="59" t="inlineStr">
        <is>
          <t>Disclosure of reconciliation of profit (loss) for the period from previous GAAP to Ind AS [Abstract]</t>
        </is>
      </c>
    </row>
    <row r="779">
      <c r="B779" s="62" t="inlineStr">
        <is>
          <t>Profit (loss) for the period as per Indian GAAP</t>
        </is>
      </c>
      <c r="C779" s="55" t="inlineStr">
        <is>
          <t>ProfitLossForThePeriodAsPerIndianGaap</t>
        </is>
      </c>
      <c r="D779" s="56" t="n">
        <v>4891000000</v>
      </c>
      <c r="E779" s="56" t="n">
        <v>0</v>
      </c>
      <c r="F779" s="56" t="n">
        <v>0</v>
      </c>
      <c r="G779" s="56" t="n">
        <v>0</v>
      </c>
      <c r="H779" s="56" t="n">
        <v>0</v>
      </c>
      <c r="I779" s="56" t="n">
        <v>0</v>
      </c>
    </row>
    <row r="780">
      <c r="B780" s="67" t="inlineStr">
        <is>
          <t>Profit (loss) for the period as per Ind AS</t>
        </is>
      </c>
      <c r="C780" s="55" t="inlineStr">
        <is>
          <t>ProfitLossForThePeriodAsPerIndAs</t>
        </is>
      </c>
      <c r="D780" s="58" t="n">
        <v>4891000000</v>
      </c>
      <c r="E780" s="58" t="n">
        <v>0</v>
      </c>
      <c r="F780" s="58" t="n">
        <v>0</v>
      </c>
      <c r="G780" s="58" t="n">
        <v>0</v>
      </c>
      <c r="H780" s="58" t="n">
        <v>0</v>
      </c>
      <c r="I780" s="58" t="n">
        <v>0</v>
      </c>
    </row>
    <row r="785" ht="15.5" customHeight="1" s="203">
      <c r="A785" t="inlineStr">
        <is>
          <t>#</t>
        </is>
      </c>
      <c r="B785" s="38" t="inlineStr">
        <is>
          <t>Notes to General: Leases</t>
        </is>
      </c>
    </row>
    <row r="787">
      <c r="C787" s="53" t="inlineStr">
        <is>
          <t>Concept Tag</t>
        </is>
      </c>
      <c r="D787" s="20" t="inlineStr">
        <is>
          <t>FY2017</t>
        </is>
      </c>
      <c r="E787" s="20" t="inlineStr">
        <is>
          <t>FY2018</t>
        </is>
      </c>
      <c r="F787" s="20" t="inlineStr">
        <is>
          <t>FY2019</t>
        </is>
      </c>
      <c r="G787" s="20" t="inlineStr">
        <is>
          <t>FY2020</t>
        </is>
      </c>
      <c r="H787" s="20" t="inlineStr">
        <is>
          <t>FY2021</t>
        </is>
      </c>
      <c r="I787" s="20" t="inlineStr">
        <is>
          <t>FY2022</t>
        </is>
      </c>
    </row>
    <row r="789" ht="15.5" customHeight="1" s="203">
      <c r="B789" s="38" t="inlineStr">
        <is>
          <t>Disclosure of detailed information about right-of-use assets [Abstract]</t>
        </is>
      </c>
    </row>
    <row r="790">
      <c r="B790" s="59" t="inlineStr">
        <is>
          <t>Disclosure of detailed information about right-of-use assets  [Line items]</t>
        </is>
      </c>
    </row>
    <row r="791">
      <c r="B791" s="60" t="inlineStr">
        <is>
          <t>Reconciliation of changes in right-of-use assets [Abstract]</t>
        </is>
      </c>
    </row>
    <row r="792">
      <c r="B792" s="63" t="inlineStr">
        <is>
          <t>Changes in right-of-use assets [Abstract]</t>
        </is>
      </c>
    </row>
    <row r="793">
      <c r="B793" s="68" t="inlineStr">
        <is>
          <t>Depreciation or Amortisation , right-of-use assets  [Abstract]</t>
        </is>
      </c>
    </row>
    <row r="794">
      <c r="B794" s="71" t="inlineStr">
        <is>
          <t>Depreciation recognised in profit or loss</t>
        </is>
      </c>
      <c r="C794" s="55" t="inlineStr">
        <is>
          <t>AmortisationOfRightOfUseAssets</t>
        </is>
      </c>
      <c r="D794" s="56" t="n">
        <v>-1251000000</v>
      </c>
      <c r="E794" s="56" t="n">
        <v>-1186000000</v>
      </c>
      <c r="F794" s="56" t="n">
        <v>-1175000000</v>
      </c>
      <c r="G794" s="56" t="n">
        <v>-2302000000</v>
      </c>
      <c r="H794" s="56" t="n">
        <v>-2003000000</v>
      </c>
      <c r="I794" s="56" t="n">
        <v>-2208000000</v>
      </c>
    </row>
    <row r="796" ht="15.5" customHeight="1" s="203">
      <c r="B796" s="38" t="inlineStr">
        <is>
          <t>Disclosure of quantitative information about leases for lessee [Abstract]</t>
        </is>
      </c>
    </row>
    <row r="797">
      <c r="B797" s="54" t="inlineStr">
        <is>
          <t>Interest expense on lease liabilities</t>
        </is>
      </c>
      <c r="C797" s="55" t="inlineStr">
        <is>
          <t>InterestExpenseOnLeaseLiabilities</t>
        </is>
      </c>
      <c r="D797" s="56" t="n">
        <v>0</v>
      </c>
      <c r="E797" s="56" t="n">
        <v>0</v>
      </c>
      <c r="F797" s="56" t="n">
        <v>0</v>
      </c>
      <c r="G797" s="56" t="n">
        <v>0</v>
      </c>
      <c r="H797" s="56" t="n">
        <v>503000000</v>
      </c>
      <c r="I797" s="56" t="n">
        <v>494000000</v>
      </c>
    </row>
    <row r="804" ht="15.5" customHeight="1" s="203">
      <c r="A804" t="inlineStr">
        <is>
          <t>#</t>
        </is>
      </c>
      <c r="B804" s="38" t="inlineStr">
        <is>
          <t>Notes to General: Non Current Asset Held For Sale And Discontinued Operations</t>
        </is>
      </c>
    </row>
    <row r="806">
      <c r="C806" s="53" t="inlineStr">
        <is>
          <t>Concept Tag</t>
        </is>
      </c>
      <c r="D806" s="20" t="inlineStr">
        <is>
          <t>FY2017</t>
        </is>
      </c>
      <c r="E806" s="20" t="inlineStr">
        <is>
          <t>FY2018</t>
        </is>
      </c>
      <c r="F806" s="20" t="inlineStr">
        <is>
          <t>FY2019</t>
        </is>
      </c>
      <c r="G806" s="20" t="inlineStr">
        <is>
          <t>FY2020</t>
        </is>
      </c>
      <c r="H806" s="20" t="inlineStr">
        <is>
          <t>FY2021</t>
        </is>
      </c>
      <c r="I806" s="20" t="inlineStr">
        <is>
          <t>FY2022</t>
        </is>
      </c>
    </row>
    <row r="808" ht="15.5" customHeight="1" s="203">
      <c r="B808" s="38" t="inlineStr">
        <is>
          <t>Cash flows from continuing and discontinued operations [Abstract]</t>
        </is>
      </c>
    </row>
    <row r="809">
      <c r="B809" s="59" t="inlineStr">
        <is>
          <t>Cash flows from used in operating activities [Abstract]</t>
        </is>
      </c>
    </row>
    <row r="810">
      <c r="B810" s="62" t="inlineStr">
        <is>
          <t>Net cash flows from (used in) operating activities, continuing operations</t>
        </is>
      </c>
      <c r="C810" s="55" t="inlineStr">
        <is>
          <t>CashFlowsFromUsedInOperatingActivitiesContinuingOperations</t>
        </is>
      </c>
      <c r="D810" s="56" t="n">
        <v>6669000000</v>
      </c>
      <c r="E810" s="56" t="n">
        <v>6069000000</v>
      </c>
      <c r="F810" s="56" t="n">
        <v>6304000000</v>
      </c>
      <c r="G810" s="56" t="n">
        <v>8252000000</v>
      </c>
      <c r="H810" s="56" t="n">
        <v>19953000000</v>
      </c>
      <c r="I810" s="56" t="n">
        <v>15373000000</v>
      </c>
    </row>
    <row r="811">
      <c r="B811" s="67" t="inlineStr">
        <is>
          <t>Net cash flows from (used in) operating activities</t>
        </is>
      </c>
      <c r="C811" s="55" t="inlineStr">
        <is>
          <t>CashFlowsFromUsedInOperatingActivities</t>
        </is>
      </c>
      <c r="D811" s="58" t="n">
        <v>6669000000</v>
      </c>
      <c r="E811" s="58" t="n">
        <v>6069000000</v>
      </c>
      <c r="F811" s="58" t="n">
        <v>6304000000</v>
      </c>
      <c r="G811" s="58" t="n">
        <v>8252000000</v>
      </c>
      <c r="H811" s="58" t="n">
        <v>19953000000</v>
      </c>
      <c r="I811" s="58" t="n">
        <v>15373000000</v>
      </c>
    </row>
    <row r="812">
      <c r="B812" s="59" t="inlineStr">
        <is>
          <t>Cash flows from used in investing activities [Abstract]</t>
        </is>
      </c>
    </row>
    <row r="813">
      <c r="B813" s="62" t="inlineStr">
        <is>
          <t>Net cash flows from (used in) investing activities, continuing operations</t>
        </is>
      </c>
      <c r="C813" s="55" t="inlineStr">
        <is>
          <t>CashFlowsFromUsedInInvestingActivitiesContinuingOperations</t>
        </is>
      </c>
      <c r="D813" s="56" t="n">
        <v>-4512000000</v>
      </c>
      <c r="E813" s="56" t="n">
        <v>-2467000000</v>
      </c>
      <c r="F813" s="56" t="n">
        <v>-1933000000</v>
      </c>
      <c r="G813" s="56" t="n">
        <v>-229000000</v>
      </c>
      <c r="H813" s="56" t="n">
        <v>-11833000000</v>
      </c>
      <c r="I813" s="56" t="n">
        <v>-6860000000</v>
      </c>
    </row>
    <row r="814">
      <c r="B814" s="67" t="inlineStr">
        <is>
          <t>Net cash flows from (used in) investing activities</t>
        </is>
      </c>
      <c r="C814" s="55" t="inlineStr">
        <is>
          <t>CashFlowsFromUsedInInvestingActivities</t>
        </is>
      </c>
      <c r="D814" s="58" t="n">
        <v>-4512000000</v>
      </c>
      <c r="E814" s="58" t="n">
        <v>-2467000000</v>
      </c>
      <c r="F814" s="58" t="n">
        <v>-1933000000</v>
      </c>
      <c r="G814" s="58" t="n">
        <v>-229000000</v>
      </c>
      <c r="H814" s="58" t="n">
        <v>-11833000000</v>
      </c>
      <c r="I814" s="58" t="n">
        <v>-6860000000</v>
      </c>
    </row>
    <row r="815">
      <c r="B815" s="59" t="inlineStr">
        <is>
          <t>Cash flows from used in financing activities [Abstract]</t>
        </is>
      </c>
    </row>
    <row r="816">
      <c r="B816" s="62" t="inlineStr">
        <is>
          <t>Net cash flows from (used in) financing activities, continuing operations</t>
        </is>
      </c>
      <c r="C816" s="55" t="inlineStr">
        <is>
          <t>CashFlowsFromUsedInFinancingActivitiesContinuingOperations</t>
        </is>
      </c>
      <c r="D816" s="56" t="n">
        <v>-1399000000</v>
      </c>
      <c r="E816" s="56" t="n">
        <v>-2838000000</v>
      </c>
      <c r="F816" s="56" t="n">
        <v>-5221000000</v>
      </c>
      <c r="G816" s="56" t="n">
        <v>-6960000000</v>
      </c>
      <c r="H816" s="56" t="n">
        <v>-4225000000</v>
      </c>
      <c r="I816" s="56" t="n">
        <v>-5957000000</v>
      </c>
    </row>
    <row r="817">
      <c r="B817" s="67" t="inlineStr">
        <is>
          <t>Net cash flows from (used in) financing activities</t>
        </is>
      </c>
      <c r="C817" s="55" t="inlineStr">
        <is>
          <t>CashFlowsFromUsedInFinancingActivities</t>
        </is>
      </c>
      <c r="D817" s="58" t="n">
        <v>-1399000000</v>
      </c>
      <c r="E817" s="58" t="n">
        <v>-2838000000</v>
      </c>
      <c r="F817" s="58" t="n">
        <v>-5221000000</v>
      </c>
      <c r="G817" s="58" t="n">
        <v>-6960000000</v>
      </c>
      <c r="H817" s="58" t="n">
        <v>-4225000000</v>
      </c>
      <c r="I817" s="58" t="n">
        <v>-5957000000</v>
      </c>
    </row>
    <row r="820" ht="15.5" customHeight="1" s="203">
      <c r="A820" t="inlineStr">
        <is>
          <t>#</t>
        </is>
      </c>
      <c r="B820" s="38" t="inlineStr">
        <is>
          <t>Notes to General: Operating Segments</t>
        </is>
      </c>
    </row>
    <row r="822">
      <c r="C822" s="53" t="inlineStr">
        <is>
          <t>Concept Tag</t>
        </is>
      </c>
      <c r="D822" s="20" t="inlineStr">
        <is>
          <t>FY2017</t>
        </is>
      </c>
      <c r="E822" s="20" t="inlineStr">
        <is>
          <t>FY2018</t>
        </is>
      </c>
      <c r="F822" s="20" t="inlineStr">
        <is>
          <t>FY2019</t>
        </is>
      </c>
      <c r="G822" s="20" t="inlineStr">
        <is>
          <t>FY2020</t>
        </is>
      </c>
      <c r="H822" s="20" t="inlineStr">
        <is>
          <t>FY2021</t>
        </is>
      </c>
      <c r="I822" s="20" t="inlineStr">
        <is>
          <t>FY2022</t>
        </is>
      </c>
    </row>
    <row r="823">
      <c r="B823" s="59" t="inlineStr">
        <is>
          <t>Disclosure of reportable segments [Abstract]</t>
        </is>
      </c>
    </row>
    <row r="824">
      <c r="B824" s="60" t="inlineStr">
        <is>
          <t>Disclosure of reportable segments [Line items]</t>
        </is>
      </c>
    </row>
    <row r="825">
      <c r="B825" s="61" t="inlineStr">
        <is>
          <t>Revenue primary reportable segment</t>
        </is>
      </c>
      <c r="C825" s="55" t="inlineStr">
        <is>
          <t>RevenuePrimaryReportableSegment</t>
        </is>
      </c>
      <c r="D825" s="56" t="n">
        <v>0</v>
      </c>
      <c r="E825" s="56" t="n">
        <v>0</v>
      </c>
      <c r="F825" s="56" t="n">
        <v>0</v>
      </c>
      <c r="G825" s="56" t="n">
        <v>0</v>
      </c>
      <c r="H825" s="56" t="n">
        <v>79678000000</v>
      </c>
      <c r="I825" s="56" t="n">
        <v>105253000000</v>
      </c>
    </row>
    <row r="826">
      <c r="B826" s="65" t="inlineStr">
        <is>
          <t>Total revenues from external customers and transactions with other reportable segments of same enterprise reportable segment</t>
        </is>
      </c>
      <c r="C826" s="55" t="inlineStr">
        <is>
          <t>RevenuesFromExternalCustomersAndTransactionsWithOtherReportableSegmentsOfSameEnterpriseReportableSegment</t>
        </is>
      </c>
      <c r="D826" s="58" t="n">
        <v>0</v>
      </c>
      <c r="E826" s="58" t="n">
        <v>0</v>
      </c>
      <c r="F826" s="58" t="n">
        <v>0</v>
      </c>
      <c r="G826" s="58" t="n">
        <v>0</v>
      </c>
      <c r="H826" s="58" t="n">
        <v>79678000000</v>
      </c>
      <c r="I826" s="58" t="n">
        <v>105253000000</v>
      </c>
    </row>
    <row r="827">
      <c r="B827" s="61" t="inlineStr">
        <is>
          <t>Other material non-cash items reportable segment</t>
        </is>
      </c>
      <c r="C827" s="55" t="inlineStr">
        <is>
          <t>OtherMaterialNoncashItemsReportableSegment</t>
        </is>
      </c>
      <c r="D827" s="56" t="n">
        <v>0</v>
      </c>
      <c r="E827" s="56" t="n">
        <v>0</v>
      </c>
      <c r="F827" s="56" t="n">
        <v>0</v>
      </c>
      <c r="G827" s="56" t="n">
        <v>0</v>
      </c>
      <c r="H827" s="56" t="n">
        <v>14000000</v>
      </c>
      <c r="I827" s="56" t="n">
        <v>-53000000</v>
      </c>
    </row>
    <row r="828">
      <c r="B828" s="61" t="inlineStr">
        <is>
          <t>Profit (loss) before tax reportable segment</t>
        </is>
      </c>
      <c r="C828" s="55" t="inlineStr">
        <is>
          <t>ProfitLossBeforeTaxReportableSegment</t>
        </is>
      </c>
      <c r="D828" s="56" t="n">
        <v>0</v>
      </c>
      <c r="E828" s="56" t="n">
        <v>0</v>
      </c>
      <c r="F828" s="56" t="n">
        <v>0</v>
      </c>
      <c r="G828" s="56" t="n">
        <v>0</v>
      </c>
      <c r="H828" s="56" t="n">
        <v>16565000000</v>
      </c>
      <c r="I828" s="56" t="n">
        <v>21957000000</v>
      </c>
    </row>
    <row r="829">
      <c r="B829" s="61" t="inlineStr">
        <is>
          <t>Profit (loss) reportable segment</t>
        </is>
      </c>
      <c r="C829" s="55" t="inlineStr">
        <is>
          <t>ProfitLossReportableSegment</t>
        </is>
      </c>
      <c r="D829" s="56" t="n">
        <v>0</v>
      </c>
      <c r="E829" s="56" t="n">
        <v>0</v>
      </c>
      <c r="F829" s="56" t="n">
        <v>0</v>
      </c>
      <c r="G829" s="56" t="n">
        <v>0</v>
      </c>
      <c r="H829" s="56" t="n">
        <v>16565000000</v>
      </c>
      <c r="I829" s="56" t="n">
        <v>21957000000</v>
      </c>
    </row>
    <row r="830">
      <c r="B830" s="59" t="inlineStr">
        <is>
          <t>Disclosure of products and services [Abstract]</t>
        </is>
      </c>
    </row>
    <row r="831">
      <c r="B831" s="60" t="inlineStr">
        <is>
          <t>Disclosure of products and services [Line items]</t>
        </is>
      </c>
    </row>
    <row r="832">
      <c r="B832" s="61" t="inlineStr">
        <is>
          <t>Revenue from external customers</t>
        </is>
      </c>
      <c r="C832" s="55" t="inlineStr">
        <is>
          <t>RevenueFromExternalCustomers</t>
        </is>
      </c>
      <c r="D832" s="56" t="n">
        <v>0</v>
      </c>
      <c r="E832" s="56" t="n">
        <v>0</v>
      </c>
      <c r="F832" s="56" t="n">
        <v>0</v>
      </c>
      <c r="G832" s="56" t="n">
        <v>0</v>
      </c>
      <c r="H832" s="56" t="n">
        <v>79678000000</v>
      </c>
      <c r="I832" s="56" t="n">
        <v>105253000000</v>
      </c>
    </row>
    <row r="833">
      <c r="B833" s="59" t="inlineStr">
        <is>
          <t>Disclosure of geographical areas [Abstract]</t>
        </is>
      </c>
    </row>
    <row r="834">
      <c r="B834" s="60" t="inlineStr">
        <is>
          <t>Disclosure of geographical areas [Line items]</t>
        </is>
      </c>
    </row>
    <row r="835">
      <c r="B835" s="61" t="inlineStr">
        <is>
          <t>Revenue from external customers</t>
        </is>
      </c>
      <c r="C835" s="55" t="inlineStr">
        <is>
          <t>RevenueFromExternalCustomers</t>
        </is>
      </c>
      <c r="D835" s="56" t="n">
        <v>0</v>
      </c>
      <c r="E835" s="56" t="n">
        <v>0</v>
      </c>
      <c r="F835" s="56" t="n">
        <v>0</v>
      </c>
      <c r="G835" s="56" t="n">
        <v>0</v>
      </c>
      <c r="H835" s="56" t="n">
        <v>79678000000</v>
      </c>
      <c r="I835" s="56" t="n">
        <v>105253000000</v>
      </c>
    </row>
    <row r="836">
      <c r="B836" s="59" t="inlineStr">
        <is>
          <t>Disclosure of major customers [Abstract]</t>
        </is>
      </c>
    </row>
    <row r="837">
      <c r="B837" s="60" t="inlineStr">
        <is>
          <t>Disclosure of major customers [Line items]</t>
        </is>
      </c>
    </row>
    <row r="838">
      <c r="B838" s="61" t="inlineStr">
        <is>
          <t>Revenue from external customers</t>
        </is>
      </c>
      <c r="C838" s="55" t="inlineStr">
        <is>
          <t>RevenueFromExternalCustomers</t>
        </is>
      </c>
      <c r="D838" s="56" t="n">
        <v>0</v>
      </c>
      <c r="E838" s="56" t="n">
        <v>0</v>
      </c>
      <c r="F838" s="56" t="n">
        <v>0</v>
      </c>
      <c r="G838" s="56" t="n">
        <v>0</v>
      </c>
      <c r="H838" s="56" t="n">
        <v>79678000000</v>
      </c>
      <c r="I838" s="56" t="n">
        <v>105253000000</v>
      </c>
    </row>
    <row r="841" ht="15.5" customHeight="1" s="203">
      <c r="A841" t="inlineStr">
        <is>
          <t>#</t>
        </is>
      </c>
      <c r="B841" s="38" t="inlineStr">
        <is>
          <t>Notes to General: Share Based Payment Arrangements</t>
        </is>
      </c>
    </row>
    <row r="843">
      <c r="C843" s="53" t="inlineStr">
        <is>
          <t>Concept Tag</t>
        </is>
      </c>
      <c r="D843" s="20" t="inlineStr">
        <is>
          <t>FY2017</t>
        </is>
      </c>
      <c r="E843" s="20" t="inlineStr">
        <is>
          <t>FY2018</t>
        </is>
      </c>
      <c r="F843" s="20" t="inlineStr">
        <is>
          <t>FY2019</t>
        </is>
      </c>
      <c r="G843" s="20" t="inlineStr">
        <is>
          <t>FY2020</t>
        </is>
      </c>
      <c r="H843" s="20" t="inlineStr">
        <is>
          <t>FY2021</t>
        </is>
      </c>
      <c r="I843" s="20" t="inlineStr">
        <is>
          <t>FY2022</t>
        </is>
      </c>
    </row>
    <row r="844">
      <c r="B844" s="54" t="inlineStr">
        <is>
          <t>Number of share options outstanding in share-based payment arrangement at end of period</t>
        </is>
      </c>
      <c r="C844" s="55" t="inlineStr">
        <is>
          <t>NumberOfOutstandingShareOptions</t>
        </is>
      </c>
      <c r="D844" s="56" t="n">
        <v>1004586</v>
      </c>
      <c r="E844" s="56" t="n">
        <v>658000</v>
      </c>
      <c r="F844" s="56" t="n">
        <v>0</v>
      </c>
      <c r="G844" s="56" t="n">
        <v>101</v>
      </c>
      <c r="H844" s="56" t="n">
        <v>5200</v>
      </c>
      <c r="I844" s="56" t="n">
        <v>490403</v>
      </c>
    </row>
    <row r="845">
      <c r="B845" s="59" t="inlineStr">
        <is>
          <t>Number of share options outstanding in share based payment arrangement [Abstract]</t>
        </is>
      </c>
    </row>
    <row r="846">
      <c r="B846" s="62" t="inlineStr">
        <is>
          <t>Number of share options granted in share-based payment arrangement</t>
        </is>
      </c>
      <c r="C846" s="55" t="inlineStr">
        <is>
          <t>NumberOfShareOptionsGrantedInSharebasedPaymentArrangement</t>
        </is>
      </c>
      <c r="D846" s="56" t="n">
        <v>258262</v>
      </c>
      <c r="E846" s="56" t="n">
        <v>703000</v>
      </c>
      <c r="F846" s="56" t="n">
        <v>0</v>
      </c>
      <c r="G846" s="56" t="n">
        <v>0</v>
      </c>
      <c r="H846" s="56" t="n">
        <v>154155</v>
      </c>
      <c r="I846" s="56" t="n">
        <v>632369</v>
      </c>
    </row>
    <row r="847">
      <c r="B847" s="62" t="inlineStr">
        <is>
          <t>Number of share options forfeited in share-based payment arrangement</t>
        </is>
      </c>
      <c r="C847" s="55" t="inlineStr">
        <is>
          <t>NumberOfShareOptionsForfeitedInSharebasedPaymentArrangement</t>
        </is>
      </c>
      <c r="D847" s="56" t="n">
        <v>0</v>
      </c>
      <c r="E847" s="56" t="n">
        <v>0</v>
      </c>
      <c r="F847" s="56" t="n">
        <v>0</v>
      </c>
      <c r="G847" s="56" t="n">
        <v>0</v>
      </c>
      <c r="H847" s="56" t="n">
        <v>0</v>
      </c>
      <c r="I847" s="56" t="n">
        <v>-33160</v>
      </c>
    </row>
    <row r="848">
      <c r="B848" s="62" t="inlineStr">
        <is>
          <t>Number of share options exercised in share-based payment arrangement</t>
        </is>
      </c>
      <c r="C848" s="55" t="inlineStr">
        <is>
          <t>NumberOfShareOptionsExercisedInSharebasedPaymentArrangement</t>
        </is>
      </c>
      <c r="D848" s="56" t="n">
        <v>-382400</v>
      </c>
      <c r="E848" s="56" t="n">
        <v>-124765</v>
      </c>
      <c r="F848" s="56" t="n">
        <v>0</v>
      </c>
      <c r="G848" s="56" t="n">
        <v>-64</v>
      </c>
      <c r="H848" s="56" t="n">
        <v>-145700</v>
      </c>
      <c r="I848" s="56" t="n">
        <v>-114006</v>
      </c>
    </row>
    <row r="849">
      <c r="B849" s="62" t="inlineStr">
        <is>
          <t>Number of share options expired in share-based payment arrangement</t>
        </is>
      </c>
      <c r="C849" s="55" t="inlineStr">
        <is>
          <t>NumberOfShareOptionsExpiredInSharebasedPaymentArrangement</t>
        </is>
      </c>
      <c r="D849" s="56" t="n">
        <v>-619672</v>
      </c>
      <c r="E849" s="56" t="n">
        <v>-924821</v>
      </c>
      <c r="F849" s="56" t="n">
        <v>0</v>
      </c>
      <c r="G849" s="56" t="n">
        <v>0</v>
      </c>
      <c r="H849" s="56" t="n">
        <v>-3255</v>
      </c>
      <c r="I849" s="56" t="n">
        <v>0</v>
      </c>
    </row>
    <row r="850">
      <c r="B850" s="67" t="inlineStr">
        <is>
          <t>Total changes of number of share options outstanding in share based payment arrangement</t>
        </is>
      </c>
      <c r="C850" s="55" t="inlineStr">
        <is>
          <t>ChangesOfNumberOfShareOptionsOutstandingInShareBasedPaymentArrangement</t>
        </is>
      </c>
      <c r="D850" s="58" t="n">
        <v>-743810</v>
      </c>
      <c r="E850" s="58" t="n">
        <v>-346586</v>
      </c>
      <c r="F850" s="58" t="n">
        <v>0</v>
      </c>
      <c r="G850" s="58" t="n">
        <v>-64</v>
      </c>
      <c r="H850" s="58" t="n">
        <v>5200</v>
      </c>
      <c r="I850" s="58" t="n">
        <v>485203</v>
      </c>
    </row>
    <row r="851">
      <c r="B851" s="54" t="inlineStr">
        <is>
          <t>Number of share options outstanding in share-based payment arrangement at end of period</t>
        </is>
      </c>
      <c r="C851" s="55" t="inlineStr">
        <is>
          <t>NumberOfOutstandingShareOptions</t>
        </is>
      </c>
      <c r="D851" s="56" t="n">
        <v>1004586</v>
      </c>
      <c r="E851" s="56" t="n">
        <v>658000</v>
      </c>
      <c r="F851" s="56" t="n">
        <v>0</v>
      </c>
      <c r="G851" s="56" t="n">
        <v>101</v>
      </c>
      <c r="H851" s="56" t="n">
        <v>5200</v>
      </c>
      <c r="I851" s="56" t="n">
        <v>490403</v>
      </c>
    </row>
  </sheetData>
  <pageMargins left="0.75" right="0.75" top="1" bottom="1" header="0.5" footer="0.5"/>
</worksheet>
</file>

<file path=xl/worksheets/sheet39.xml><?xml version="1.0" encoding="utf-8"?>
<worksheet xmlns="http://schemas.openxmlformats.org/spreadsheetml/2006/main">
  <sheetPr>
    <tabColor rgb="00B45F06"/>
    <outlinePr summaryBelow="1" summaryRight="1"/>
    <pageSetUpPr/>
  </sheetPr>
  <dimension ref="A1:R143"/>
  <sheetViews>
    <sheetView showGridLines="0" workbookViewId="0">
      <selection activeCell="A1" sqref="A1"/>
    </sheetView>
  </sheetViews>
  <sheetFormatPr baseColWidth="8" defaultRowHeight="14.5"/>
  <cols>
    <col width="3.453125" customWidth="1" style="203" min="1" max="1"/>
    <col width="65" customWidth="1" style="203" min="2" max="2"/>
    <col width="17" customWidth="1" style="203" min="3" max="19"/>
  </cols>
  <sheetData>
    <row r="1" ht="18.5" customHeight="1" s="203">
      <c r="A1" t="inlineStr">
        <is>
          <t>#</t>
        </is>
      </c>
      <c r="B1" s="78" t="inlineStr">
        <is>
          <t>Revenue Schedule</t>
        </is>
      </c>
    </row>
    <row r="4">
      <c r="B4" s="205" t="inlineStr">
        <is>
          <t>Total Revenue from Sale of Products</t>
        </is>
      </c>
      <c r="C4" s="80">
        <f>IFERROR(INDEX(MT_HS_CONSOLIDATED!D:D,MATCH("RevenueFromSaleOfProducts",MT_HS_CONSOLIDATED!$C:$C,0)),0)</f>
        <v/>
      </c>
      <c r="D4" s="80">
        <f>IFERROR(INDEX(MT_HS_CONSOLIDATED!E:E,MATCH("RevenueFromSaleOfProducts",MT_HS_CONSOLIDATED!$C:$C,0)),0)</f>
        <v/>
      </c>
      <c r="E4" s="80">
        <f>IFERROR(INDEX(MT_HS_CONSOLIDATED!F:F,MATCH("RevenueFromSaleOfProducts",MT_HS_CONSOLIDATED!$C:$C,0)),0)</f>
        <v/>
      </c>
      <c r="F4" s="80">
        <f>IFERROR(INDEX(MT_HS_CONSOLIDATED!G:G,MATCH("RevenueFromSaleOfProducts",MT_HS_CONSOLIDATED!$C:$C,0)),0)</f>
        <v/>
      </c>
      <c r="G4" s="80">
        <f>IFERROR(INDEX(MT_HS_CONSOLIDATED!H:H,MATCH("RevenueFromSaleOfProducts",MT_HS_CONSOLIDATED!$C:$C,0)),0)</f>
        <v/>
      </c>
      <c r="H4" s="80">
        <f>IFERROR(INDEX(MT_HS_CONSOLIDATED!I:I,MATCH("RevenueFromSaleOfProducts",MT_HS_CONSOLIDATED!$C:$C,0)),0)</f>
        <v/>
      </c>
      <c r="I4" s="81">
        <f>H4*(1+'MT_Inputs &amp; Assumptions'!C16)</f>
        <v/>
      </c>
      <c r="J4" s="81">
        <f>I4*(1+'MT_Inputs &amp; Assumptions'!D16)</f>
        <v/>
      </c>
      <c r="K4" s="81">
        <f>J4*(1+'MT_Inputs &amp; Assumptions'!E16)</f>
        <v/>
      </c>
      <c r="L4" s="81">
        <f>K4*(1+'MT_Inputs &amp; Assumptions'!F16)</f>
        <v/>
      </c>
      <c r="M4" s="81">
        <f>L4*(1+'MT_Inputs &amp; Assumptions'!G16)</f>
        <v/>
      </c>
      <c r="N4" s="81">
        <f>M4*(1+'MT_Inputs &amp; Assumptions'!H16)</f>
        <v/>
      </c>
      <c r="O4" s="81">
        <f>N4*(1+'MT_Inputs &amp; Assumptions'!I16)</f>
        <v/>
      </c>
      <c r="P4" s="81">
        <f>O4*(1+'MT_Inputs &amp; Assumptions'!J16)</f>
        <v/>
      </c>
      <c r="Q4" s="81">
        <f>P4*(1+'MT_Inputs &amp; Assumptions'!K16)</f>
        <v/>
      </c>
      <c r="R4" s="81">
        <f>Q4*(1+'MT_Inputs &amp; Assumptions'!L16)</f>
        <v/>
      </c>
    </row>
    <row r="5">
      <c r="B5" s="205" t="inlineStr">
        <is>
          <t>Total Revenue from Sale of Services</t>
        </is>
      </c>
      <c r="C5" s="80">
        <f>IFERROR(INDEX(MT_HS_CONSOLIDATED!D:D,MATCH("RevenueFromSaleOfServices",MT_HS_CONSOLIDATED!$C:$C,0)),0)</f>
        <v/>
      </c>
      <c r="D5" s="80">
        <f>IFERROR(INDEX(MT_HS_CONSOLIDATED!E:E,MATCH("RevenueFromSaleOfServices",MT_HS_CONSOLIDATED!$C:$C,0)),0)</f>
        <v/>
      </c>
      <c r="E5" s="80">
        <f>IFERROR(INDEX(MT_HS_CONSOLIDATED!F:F,MATCH("RevenueFromSaleOfServices",MT_HS_CONSOLIDATED!$C:$C,0)),0)</f>
        <v/>
      </c>
      <c r="F5" s="80">
        <f>IFERROR(INDEX(MT_HS_CONSOLIDATED!G:G,MATCH("RevenueFromSaleOfServices",MT_HS_CONSOLIDATED!$C:$C,0)),0)</f>
        <v/>
      </c>
      <c r="G5" s="80">
        <f>IFERROR(INDEX(MT_HS_CONSOLIDATED!H:H,MATCH("RevenueFromSaleOfServices",MT_HS_CONSOLIDATED!$C:$C,0)),0)</f>
        <v/>
      </c>
      <c r="H5" s="80">
        <f>IFERROR(INDEX(MT_HS_CONSOLIDATED!I:I,MATCH("RevenueFromSaleOfServices",MT_HS_CONSOLIDATED!$C:$C,0)),0)</f>
        <v/>
      </c>
      <c r="I5" s="81">
        <f>H5*(1+'MT_Inputs &amp; Assumptions'!C24)</f>
        <v/>
      </c>
      <c r="J5" s="81">
        <f>I5*(1+'MT_Inputs &amp; Assumptions'!D24)</f>
        <v/>
      </c>
      <c r="K5" s="81">
        <f>J5*(1+'MT_Inputs &amp; Assumptions'!E24)</f>
        <v/>
      </c>
      <c r="L5" s="81">
        <f>K5*(1+'MT_Inputs &amp; Assumptions'!F24)</f>
        <v/>
      </c>
      <c r="M5" s="81">
        <f>L5*(1+'MT_Inputs &amp; Assumptions'!G24)</f>
        <v/>
      </c>
      <c r="N5" s="81">
        <f>M5*(1+'MT_Inputs &amp; Assumptions'!H24)</f>
        <v/>
      </c>
      <c r="O5" s="81">
        <f>N5*(1+'MT_Inputs &amp; Assumptions'!I24)</f>
        <v/>
      </c>
      <c r="P5" s="81">
        <f>O5*(1+'MT_Inputs &amp; Assumptions'!J24)</f>
        <v/>
      </c>
      <c r="Q5" s="81">
        <f>P5*(1+'MT_Inputs &amp; Assumptions'!K24)</f>
        <v/>
      </c>
      <c r="R5" s="81">
        <f>Q5*(1+'MT_Inputs &amp; Assumptions'!L24)</f>
        <v/>
      </c>
    </row>
    <row r="6">
      <c r="B6" s="205" t="inlineStr">
        <is>
          <t>Miscellaneous Other Operating Revenue</t>
        </is>
      </c>
      <c r="C6" s="80">
        <f>IFERROR(INDEX(MT_HS_CONSOLIDATED!D:D,MATCH("OtherOperatingRevenues",MT_HS_CONSOLIDATED!$C:$C,0)),0)</f>
        <v/>
      </c>
      <c r="D6" s="80">
        <f>IFERROR(INDEX(MT_HS_CONSOLIDATED!E:E,MATCH("OtherOperatingRevenues",MT_HS_CONSOLIDATED!$C:$C,0)),0)</f>
        <v/>
      </c>
      <c r="E6" s="80">
        <f>IFERROR(INDEX(MT_HS_CONSOLIDATED!F:F,MATCH("OtherOperatingRevenues",MT_HS_CONSOLIDATED!$C:$C,0)),0)</f>
        <v/>
      </c>
      <c r="F6" s="80">
        <f>IFERROR(INDEX(MT_HS_CONSOLIDATED!G:G,MATCH("OtherOperatingRevenues",MT_HS_CONSOLIDATED!$C:$C,0)),0)</f>
        <v/>
      </c>
      <c r="G6" s="80">
        <f>IFERROR(INDEX(MT_HS_CONSOLIDATED!H:H,MATCH("OtherOperatingRevenues",MT_HS_CONSOLIDATED!$C:$C,0)),0)</f>
        <v/>
      </c>
      <c r="H6" s="80">
        <f>IFERROR(INDEX(MT_HS_CONSOLIDATED!I:I,MATCH("OtherOperatingRevenues",MT_HS_CONSOLIDATED!$C:$C,0)),0)</f>
        <v/>
      </c>
      <c r="I6" s="81">
        <f>(I4+I5)*IF('MT_Inputs &amp; Assumptions'!C22="",'MT_Inputs &amp; Assumptions'!C21,'MT_Inputs &amp; Assumptions'!C22)</f>
        <v/>
      </c>
      <c r="J6" s="81">
        <f>(J4+J5)*IF('MT_Inputs &amp; Assumptions'!D22="",'MT_Inputs &amp; Assumptions'!D21,'MT_Inputs &amp; Assumptions'!D22)</f>
        <v/>
      </c>
      <c r="K6" s="81">
        <f>(K4+K5)*IF('MT_Inputs &amp; Assumptions'!E22="",'MT_Inputs &amp; Assumptions'!E21,'MT_Inputs &amp; Assumptions'!E22)</f>
        <v/>
      </c>
      <c r="L6" s="81">
        <f>(L4+L5)*IF('MT_Inputs &amp; Assumptions'!F22="",'MT_Inputs &amp; Assumptions'!F21,'MT_Inputs &amp; Assumptions'!F22)</f>
        <v/>
      </c>
      <c r="M6" s="81">
        <f>(M4+M5)*IF('MT_Inputs &amp; Assumptions'!G22="",'MT_Inputs &amp; Assumptions'!G21,'MT_Inputs &amp; Assumptions'!G22)</f>
        <v/>
      </c>
      <c r="N6" s="81">
        <f>(N4+N5)*IF('MT_Inputs &amp; Assumptions'!H22="",'MT_Inputs &amp; Assumptions'!H21,'MT_Inputs &amp; Assumptions'!H22)</f>
        <v/>
      </c>
      <c r="O6" s="81">
        <f>(O4+O5)*IF('MT_Inputs &amp; Assumptions'!I22="",'MT_Inputs &amp; Assumptions'!I21,'MT_Inputs &amp; Assumptions'!I22)</f>
        <v/>
      </c>
      <c r="P6" s="81">
        <f>(P4+P5)*IF('MT_Inputs &amp; Assumptions'!J22="",'MT_Inputs &amp; Assumptions'!J21,'MT_Inputs &amp; Assumptions'!J22)</f>
        <v/>
      </c>
      <c r="Q6" s="81">
        <f>(Q4+Q5)*IF('MT_Inputs &amp; Assumptions'!K22="",'MT_Inputs &amp; Assumptions'!K21,'MT_Inputs &amp; Assumptions'!K22)</f>
        <v/>
      </c>
      <c r="R6" s="81">
        <f>(R4+R5)*IF('MT_Inputs &amp; Assumptions'!L22="",'MT_Inputs &amp; Assumptions'!L21,'MT_Inputs &amp; Assumptions'!L22)</f>
        <v/>
      </c>
    </row>
    <row r="7">
      <c r="B7" s="82" t="inlineStr">
        <is>
          <t>Total Revenue (= Products + Services + Misc.)</t>
        </is>
      </c>
      <c r="C7" s="83">
        <f>C4+C5+C6</f>
        <v/>
      </c>
      <c r="D7" s="83">
        <f>D4+D5+D6</f>
        <v/>
      </c>
      <c r="E7" s="83">
        <f>E4+E5+E6</f>
        <v/>
      </c>
      <c r="F7" s="83">
        <f>F4+F5+F6</f>
        <v/>
      </c>
      <c r="G7" s="83">
        <f>G4+G5+G6</f>
        <v/>
      </c>
      <c r="H7" s="83">
        <f>H4+H5+H6</f>
        <v/>
      </c>
      <c r="I7" s="83">
        <f>I4+I5+I6</f>
        <v/>
      </c>
      <c r="J7" s="83">
        <f>J4+J5+J6</f>
        <v/>
      </c>
      <c r="K7" s="83">
        <f>K4+K5+K6</f>
        <v/>
      </c>
      <c r="L7" s="83">
        <f>L4+L5+L6</f>
        <v/>
      </c>
      <c r="M7" s="83">
        <f>M4+M5+M6</f>
        <v/>
      </c>
      <c r="N7" s="83">
        <f>N4+N5+N6</f>
        <v/>
      </c>
      <c r="O7" s="83">
        <f>O4+O5+O6</f>
        <v/>
      </c>
      <c r="P7" s="83">
        <f>P4+P5+P6</f>
        <v/>
      </c>
      <c r="Q7" s="83">
        <f>Q4+Q5+Q6</f>
        <v/>
      </c>
      <c r="R7" s="83">
        <f>R4+R5+R6</f>
        <v/>
      </c>
    </row>
    <row r="8">
      <c r="B8" s="202" t="inlineStr">
        <is>
          <t>Tie-check, historical only (Total Revenue - reported Total revenue from operations)</t>
        </is>
      </c>
      <c r="C8" s="85">
        <f>C7-IFERROR(INDEX(MT_HS_CONSOLIDATED!D:D,MATCH("RevenueFromOperations",MT_HS_CONSOLIDATED!$C:$C,0)),0)</f>
        <v/>
      </c>
      <c r="D8" s="85">
        <f>D7-IFERROR(INDEX(MT_HS_CONSOLIDATED!E:E,MATCH("RevenueFromOperations",MT_HS_CONSOLIDATED!$C:$C,0)),0)</f>
        <v/>
      </c>
      <c r="E8" s="85">
        <f>E7-IFERROR(INDEX(MT_HS_CONSOLIDATED!F:F,MATCH("RevenueFromOperations",MT_HS_CONSOLIDATED!$C:$C,0)),0)</f>
        <v/>
      </c>
      <c r="F8" s="85">
        <f>F7-IFERROR(INDEX(MT_HS_CONSOLIDATED!G:G,MATCH("RevenueFromOperations",MT_HS_CONSOLIDATED!$C:$C,0)),0)</f>
        <v/>
      </c>
      <c r="G8" s="85">
        <f>G7-IFERROR(INDEX(MT_HS_CONSOLIDATED!H:H,MATCH("RevenueFromOperations",MT_HS_CONSOLIDATED!$C:$C,0)),0)</f>
        <v/>
      </c>
      <c r="H8" s="85">
        <f>H7-IFERROR(INDEX(MT_HS_CONSOLIDATED!I:I,MATCH("RevenueFromOperations",MT_HS_CONSOLIDATED!$C:$C,0)),0)</f>
        <v/>
      </c>
    </row>
    <row r="11">
      <c r="B11" s="211" t="inlineStr">
        <is>
          <t>Time index (1..6)</t>
        </is>
      </c>
      <c r="C11" s="86" t="n">
        <v>1</v>
      </c>
      <c r="D11" s="86" t="n">
        <v>2</v>
      </c>
      <c r="E11" s="86" t="n">
        <v>3</v>
      </c>
      <c r="F11" s="86" t="n">
        <v>4</v>
      </c>
      <c r="G11" s="86" t="n">
        <v>5</v>
      </c>
      <c r="H11" s="86" t="n">
        <v>6</v>
      </c>
    </row>
    <row r="12">
      <c r="B12" s="211" t="inlineStr">
        <is>
          <t>LN(Products), zero-years excluded (skipped in the SLOPE range)</t>
        </is>
      </c>
      <c r="C12" s="86">
        <f>IFERROR(LN(C4),"")</f>
        <v/>
      </c>
      <c r="D12" s="86">
        <f>IFERROR(LN(D4),"")</f>
        <v/>
      </c>
      <c r="E12" s="86">
        <f>IFERROR(LN(E4),"")</f>
        <v/>
      </c>
      <c r="F12" s="86">
        <f>IFERROR(LN(F4),"")</f>
        <v/>
      </c>
      <c r="G12" s="86">
        <f>IFERROR(LN(G4),"")</f>
        <v/>
      </c>
      <c r="H12" s="86">
        <f>IFERROR(LN(H4),"")</f>
        <v/>
      </c>
    </row>
    <row r="13">
      <c r="B13" s="211" t="inlineStr">
        <is>
          <t>LN(Total Revenue)</t>
        </is>
      </c>
      <c r="C13" s="86">
        <f>IFERROR(LN(C7),"")</f>
        <v/>
      </c>
      <c r="D13" s="86">
        <f>IFERROR(LN(D7),"")</f>
        <v/>
      </c>
      <c r="E13" s="86">
        <f>IFERROR(LN(E7),"")</f>
        <v/>
      </c>
      <c r="F13" s="86">
        <f>IFERROR(LN(F7),"")</f>
        <v/>
      </c>
      <c r="G13" s="86">
        <f>IFERROR(LN(G7),"")</f>
        <v/>
      </c>
      <c r="H13" s="86">
        <f>IFERROR(LN(H7),"")</f>
        <v/>
      </c>
    </row>
    <row r="14">
      <c r="B14" s="211" t="inlineStr">
        <is>
          <t>Total Revenue YoY Growth %, per year</t>
        </is>
      </c>
      <c r="D14" s="87">
        <f>IFERROR(D7/C7-1,"")</f>
        <v/>
      </c>
      <c r="E14" s="87">
        <f>IFERROR(E7/D7-1,"")</f>
        <v/>
      </c>
      <c r="F14" s="87">
        <f>IFERROR(F7/E7-1,"")</f>
        <v/>
      </c>
      <c r="G14" s="87">
        <f>IFERROR(G7/F7-1,"")</f>
        <v/>
      </c>
      <c r="H14" s="87">
        <f>IFERROR(H7/G7-1,"")</f>
        <v/>
      </c>
    </row>
    <row r="15">
      <c r="B15" s="211" t="inlineStr">
        <is>
          <t>IQR Anomaly Fence on YoY Growth (Q1 | Q3 | IQR | Lower Fence | Upper Fence)</t>
        </is>
      </c>
      <c r="C15" s="87">
        <f>QUARTILE(MT_Schedules!D14:H14,1)</f>
        <v/>
      </c>
      <c r="D15" s="87">
        <f>QUARTILE(MT_Schedules!D14:H14,3)</f>
        <v/>
      </c>
      <c r="E15" s="87">
        <f>D15-C15</f>
        <v/>
      </c>
      <c r="F15" s="87">
        <f>C15-1.5*E15</f>
        <v/>
      </c>
      <c r="G15" s="87">
        <f>D15+1.5*E15</f>
        <v/>
      </c>
    </row>
    <row r="16">
      <c r="B16" s="211" t="inlineStr">
        <is>
          <t>Inclusion Flag (1=included in trend, 0=excluded as a statistical anomaly)</t>
        </is>
      </c>
      <c r="C16" s="86" t="n">
        <v>1</v>
      </c>
      <c r="D16" s="86">
        <f>IF(IF('MT_Inputs &amp; Assumptions'!$C$6="",'MT_Inputs &amp; Assumptions'!$C$5,'MT_Inputs &amp; Assumptions'!$C$6)=0,1,IF(AND(D14&lt;&gt;"",D14&gt;=$F$15,D14&lt;=$G$15),1,0))</f>
        <v/>
      </c>
      <c r="E16" s="86">
        <f>IF(IF('MT_Inputs &amp; Assumptions'!$C$6="",'MT_Inputs &amp; Assumptions'!$C$5,'MT_Inputs &amp; Assumptions'!$C$6)=0,1,IF(AND(E14&lt;&gt;"",E14&gt;=$F$15,E14&lt;=$G$15),1,0))</f>
        <v/>
      </c>
      <c r="F16" s="86">
        <f>IF(IF('MT_Inputs &amp; Assumptions'!$C$6="",'MT_Inputs &amp; Assumptions'!$C$5,'MT_Inputs &amp; Assumptions'!$C$6)=0,1,IF(AND(F14&lt;&gt;"",F14&gt;=$F$15,F14&lt;=$G$15),1,0))</f>
        <v/>
      </c>
      <c r="G16" s="86">
        <f>IF(IF('MT_Inputs &amp; Assumptions'!$C$6="",'MT_Inputs &amp; Assumptions'!$C$5,'MT_Inputs &amp; Assumptions'!$C$6)=0,1,IF(AND(G14&lt;&gt;"",G14&gt;=$F$15,G14&lt;=$G$15),1,0))</f>
        <v/>
      </c>
      <c r="H16" s="86">
        <f>IF(IF('MT_Inputs &amp; Assumptions'!$C$6="",'MT_Inputs &amp; Assumptions'!$C$5,'MT_Inputs &amp; Assumptions'!$C$6)=0,1,IF(AND(H14&lt;&gt;"",H14&gt;=$F$15,H14&lt;=$G$15),1,0))</f>
        <v/>
      </c>
    </row>
    <row r="17">
      <c r="B17" s="211" t="inlineStr">
        <is>
          <t>LN(Total Revenue), anomalous years excluded per the Inclusion Flag above</t>
        </is>
      </c>
      <c r="C17" s="86">
        <f>IF(C16=1,IFERROR(LN(C7),""),"")</f>
        <v/>
      </c>
      <c r="D17" s="86">
        <f>IF(D16=1,IFERROR(LN(D7),""),"")</f>
        <v/>
      </c>
      <c r="E17" s="86">
        <f>IF(E16=1,IFERROR(LN(E7),""),"")</f>
        <v/>
      </c>
      <c r="F17" s="86">
        <f>IF(F16=1,IFERROR(LN(F7),""),"")</f>
        <v/>
      </c>
      <c r="G17" s="86">
        <f>IF(G16=1,IFERROR(LN(G7),""),"")</f>
        <v/>
      </c>
      <c r="H17" s="86">
        <f>IF(H16=1,IFERROR(LN(H7),""),"")</f>
        <v/>
      </c>
    </row>
    <row r="19" ht="30" customHeight="1" s="203">
      <c r="B19" s="88">
        <f>IF(IF('MT_Inputs &amp; Assumptions'!$C$6="",'MT_Inputs &amp; Assumptions'!$C$5,'MT_Inputs &amp; Assumptions'!$C$6)=0,"",IF(_xlfn.TEXTJOIN(", ",TRUE,IF(C16=0,"FY2017",""),IF(D16=0,"FY2018",""),IF(E16=0,"FY2019",""),IF(F16=0,"FY2020",""),IF(G16=0,"FY2021",""),IF(H16=0,"FY2022",""))="","","⚠ Years excluded from the Terminal Growth Rate / PP&amp;E Additions Growth trend as statistical anomalies (outside the IQR fence on YoY growth): "&amp;_xlfn.TEXTJOIN(", ",TRUE,IF(C16=0,"FY2017",""),IF(D16=0,"FY2018",""),IF(E16=0,"FY2019",""),IF(F16=0,"FY2020",""),IF(G16=0,"FY2021",""),IF(H16=0,"FY2022",""))))</f>
        <v/>
      </c>
    </row>
    <row r="21" ht="30" customHeight="1" s="203">
      <c r="B21" s="88">
        <f>IF('MT_Inputs &amp; Assumptions'!$C$10&lt;0,"⚠ Terminal Growth Rate is negative even after outlier-filtering ("&amp;TEXT('MT_Inputs &amp; Assumptions'!$C$10,"0.00%")&amp;"). This can be a legitimate result for a company in genuine structural decline (a negative stable growth rate is not automatically an error) -- confirm this is a considered call, not a leftover artifact, before relying on the DCF.","")</f>
        <v/>
      </c>
    </row>
    <row r="23">
      <c r="B23" s="211" t="inlineStr">
        <is>
          <t>Misc. Other Operating Revenue, % of Total Revenue</t>
        </is>
      </c>
      <c r="C23" s="89">
        <f>IFERROR(C6/C7,0)</f>
        <v/>
      </c>
      <c r="D23" s="89">
        <f>IFERROR(D6/D7,0)</f>
        <v/>
      </c>
      <c r="E23" s="89">
        <f>IFERROR(E6/E7,0)</f>
        <v/>
      </c>
      <c r="F23" s="89">
        <f>IFERROR(F6/F7,0)</f>
        <v/>
      </c>
      <c r="G23" s="89">
        <f>IFERROR(G6/G7,0)</f>
        <v/>
      </c>
      <c r="H23" s="89">
        <f>IFERROR(H6/H7,0)</f>
        <v/>
      </c>
    </row>
    <row r="24">
      <c r="B24" s="211" t="inlineStr">
        <is>
          <t>LN(Services), zero-years excluded (skipped in the SLOPE range)</t>
        </is>
      </c>
      <c r="C24" s="86">
        <f>IFERROR(LN(C5),"")</f>
        <v/>
      </c>
      <c r="D24" s="86">
        <f>IFERROR(LN(D5),"")</f>
        <v/>
      </c>
      <c r="E24" s="86">
        <f>IFERROR(LN(E5),"")</f>
        <v/>
      </c>
      <c r="F24" s="86">
        <f>IFERROR(LN(F5),"")</f>
        <v/>
      </c>
      <c r="G24" s="86">
        <f>IFERROR(LN(G5),"")</f>
        <v/>
      </c>
      <c r="H24" s="86">
        <f>IFERROR(LN(H5),"")</f>
        <v/>
      </c>
    </row>
    <row r="27" ht="18.5" customHeight="1" s="203">
      <c r="A27" t="inlineStr">
        <is>
          <t>#</t>
        </is>
      </c>
      <c r="B27" s="78" t="inlineStr">
        <is>
          <t>Working Capital Schedule</t>
        </is>
      </c>
    </row>
    <row r="30">
      <c r="B30" s="205" t="inlineStr">
        <is>
          <t>Revenue (= Total Revenue, Revenue Schedule)</t>
        </is>
      </c>
      <c r="C30" s="80">
        <f>C7</f>
        <v/>
      </c>
      <c r="D30" s="80">
        <f>D7</f>
        <v/>
      </c>
      <c r="E30" s="80">
        <f>E7</f>
        <v/>
      </c>
      <c r="F30" s="80">
        <f>F7</f>
        <v/>
      </c>
      <c r="G30" s="80">
        <f>G7</f>
        <v/>
      </c>
      <c r="H30" s="80">
        <f>H7</f>
        <v/>
      </c>
      <c r="I30" s="81">
        <f>I7</f>
        <v/>
      </c>
      <c r="J30" s="81">
        <f>J7</f>
        <v/>
      </c>
      <c r="K30" s="81">
        <f>K7</f>
        <v/>
      </c>
      <c r="L30" s="81">
        <f>L7</f>
        <v/>
      </c>
      <c r="M30" s="81">
        <f>M7</f>
        <v/>
      </c>
      <c r="N30" s="81">
        <f>N7</f>
        <v/>
      </c>
      <c r="O30" s="81">
        <f>O7</f>
        <v/>
      </c>
      <c r="P30" s="81">
        <f>P7</f>
        <v/>
      </c>
      <c r="Q30" s="81">
        <f>Q7</f>
        <v/>
      </c>
      <c r="R30" s="81">
        <f>R7</f>
        <v/>
      </c>
    </row>
    <row r="31">
      <c r="B31" s="205" t="inlineStr">
        <is>
          <t>COGS (= -(Materials Consumed + Purchases of Stock-in-Trade + Chg. in Inventories))</t>
        </is>
      </c>
      <c r="C31" s="80">
        <f>-((IFERROR(INDEX(MT_HS_CONSOLIDATED!D:D,MATCH("CostOfMaterialsConsumed",MT_HS_CONSOLIDATED!$C:$C,0)),0))+(IFERROR(INDEX(MT_HS_CONSOLIDATED!D:D,MATCH("PurchasesOfStockInTrade",MT_HS_CONSOLIDATED!$C:$C,0)),0))+(IFERROR(INDEX(MT_HS_CONSOLIDATED!D:D,MATCH("ChangesInInventoriesOfFinishedGoodsWorkInProgressAndStockInTrade",MT_HS_CONSOLIDATED!$C:$C,0)),0)))</f>
        <v/>
      </c>
      <c r="D31" s="80">
        <f>-((IFERROR(INDEX(MT_HS_CONSOLIDATED!E:E,MATCH("CostOfMaterialsConsumed",MT_HS_CONSOLIDATED!$C:$C,0)),0))+(IFERROR(INDEX(MT_HS_CONSOLIDATED!E:E,MATCH("PurchasesOfStockInTrade",MT_HS_CONSOLIDATED!$C:$C,0)),0))+(IFERROR(INDEX(MT_HS_CONSOLIDATED!E:E,MATCH("ChangesInInventoriesOfFinishedGoodsWorkInProgressAndStockInTrade",MT_HS_CONSOLIDATED!$C:$C,0)),0)))</f>
        <v/>
      </c>
      <c r="E31" s="80">
        <f>-((IFERROR(INDEX(MT_HS_CONSOLIDATED!F:F,MATCH("CostOfMaterialsConsumed",MT_HS_CONSOLIDATED!$C:$C,0)),0))+(IFERROR(INDEX(MT_HS_CONSOLIDATED!F:F,MATCH("PurchasesOfStockInTrade",MT_HS_CONSOLIDATED!$C:$C,0)),0))+(IFERROR(INDEX(MT_HS_CONSOLIDATED!F:F,MATCH("ChangesInInventoriesOfFinishedGoodsWorkInProgressAndStockInTrade",MT_HS_CONSOLIDATED!$C:$C,0)),0)))</f>
        <v/>
      </c>
      <c r="F31" s="80">
        <f>-((IFERROR(INDEX(MT_HS_CONSOLIDATED!G:G,MATCH("CostOfMaterialsConsumed",MT_HS_CONSOLIDATED!$C:$C,0)),0))+(IFERROR(INDEX(MT_HS_CONSOLIDATED!G:G,MATCH("PurchasesOfStockInTrade",MT_HS_CONSOLIDATED!$C:$C,0)),0))+(IFERROR(INDEX(MT_HS_CONSOLIDATED!G:G,MATCH("ChangesInInventoriesOfFinishedGoodsWorkInProgressAndStockInTrade",MT_HS_CONSOLIDATED!$C:$C,0)),0)))</f>
        <v/>
      </c>
      <c r="G31" s="80">
        <f>-((IFERROR(INDEX(MT_HS_CONSOLIDATED!H:H,MATCH("CostOfMaterialsConsumed",MT_HS_CONSOLIDATED!$C:$C,0)),0))+(IFERROR(INDEX(MT_HS_CONSOLIDATED!H:H,MATCH("PurchasesOfStockInTrade",MT_HS_CONSOLIDATED!$C:$C,0)),0))+(IFERROR(INDEX(MT_HS_CONSOLIDATED!H:H,MATCH("ChangesInInventoriesOfFinishedGoodsWorkInProgressAndStockInTrade",MT_HS_CONSOLIDATED!$C:$C,0)),0)))</f>
        <v/>
      </c>
      <c r="H31" s="80">
        <f>-((IFERROR(INDEX(MT_HS_CONSOLIDATED!I:I,MATCH("CostOfMaterialsConsumed",MT_HS_CONSOLIDATED!$C:$C,0)),0))+(IFERROR(INDEX(MT_HS_CONSOLIDATED!I:I,MATCH("PurchasesOfStockInTrade",MT_HS_CONSOLIDATED!$C:$C,0)),0))+(IFERROR(INDEX(MT_HS_CONSOLIDATED!I:I,MATCH("ChangesInInventoriesOfFinishedGoodsWorkInProgressAndStockInTrade",MT_HS_CONSOLIDATED!$C:$C,0)),0)))</f>
        <v/>
      </c>
      <c r="I31" s="81">
        <f>I30*IF('MT_Inputs &amp; Assumptions'!C30="",'MT_Inputs &amp; Assumptions'!C29,'MT_Inputs &amp; Assumptions'!C30)</f>
        <v/>
      </c>
      <c r="J31" s="81">
        <f>J30*IF('MT_Inputs &amp; Assumptions'!D30="",'MT_Inputs &amp; Assumptions'!D29,'MT_Inputs &amp; Assumptions'!D30)</f>
        <v/>
      </c>
      <c r="K31" s="81">
        <f>K30*IF('MT_Inputs &amp; Assumptions'!E30="",'MT_Inputs &amp; Assumptions'!E29,'MT_Inputs &amp; Assumptions'!E30)</f>
        <v/>
      </c>
      <c r="L31" s="81">
        <f>L30*IF('MT_Inputs &amp; Assumptions'!F30="",'MT_Inputs &amp; Assumptions'!F29,'MT_Inputs &amp; Assumptions'!F30)</f>
        <v/>
      </c>
      <c r="M31" s="81">
        <f>M30*IF('MT_Inputs &amp; Assumptions'!G30="",'MT_Inputs &amp; Assumptions'!G29,'MT_Inputs &amp; Assumptions'!G30)</f>
        <v/>
      </c>
      <c r="N31" s="81">
        <f>N30*IF('MT_Inputs &amp; Assumptions'!H30="",'MT_Inputs &amp; Assumptions'!H29,'MT_Inputs &amp; Assumptions'!H30)</f>
        <v/>
      </c>
      <c r="O31" s="81">
        <f>O30*IF('MT_Inputs &amp; Assumptions'!I30="",'MT_Inputs &amp; Assumptions'!I29,'MT_Inputs &amp; Assumptions'!I30)</f>
        <v/>
      </c>
      <c r="P31" s="81">
        <f>P30*IF('MT_Inputs &amp; Assumptions'!J30="",'MT_Inputs &amp; Assumptions'!J29,'MT_Inputs &amp; Assumptions'!J30)</f>
        <v/>
      </c>
      <c r="Q31" s="81">
        <f>Q30*IF('MT_Inputs &amp; Assumptions'!K30="",'MT_Inputs &amp; Assumptions'!K29,'MT_Inputs &amp; Assumptions'!K30)</f>
        <v/>
      </c>
      <c r="R31" s="81">
        <f>R30*IF('MT_Inputs &amp; Assumptions'!L30="",'MT_Inputs &amp; Assumptions'!L29,'MT_Inputs &amp; Assumptions'!L30)</f>
        <v/>
      </c>
    </row>
    <row r="32">
      <c r="B32" s="211" t="inlineStr">
        <is>
          <t>COGS % of Revenue</t>
        </is>
      </c>
      <c r="C32" s="86">
        <f>IFERROR(C31/C30,"n/m")</f>
        <v/>
      </c>
      <c r="D32" s="86">
        <f>IFERROR(D31/D30,"n/m")</f>
        <v/>
      </c>
      <c r="E32" s="86">
        <f>IFERROR(E31/E30,"n/m")</f>
        <v/>
      </c>
      <c r="F32" s="86">
        <f>IFERROR(F31/F30,"n/m")</f>
        <v/>
      </c>
      <c r="G32" s="86">
        <f>IFERROR(G31/G30,"n/m")</f>
        <v/>
      </c>
      <c r="H32" s="86">
        <f>IFERROR(H31/H30,"n/m")</f>
        <v/>
      </c>
    </row>
    <row r="34">
      <c r="B34" s="205" t="inlineStr">
        <is>
          <t>Trade Receivables (ending balance)</t>
        </is>
      </c>
      <c r="C34" s="80">
        <f>IFERROR(INDEX(MT_HS_CONSOLIDATED!D:D,MATCH("TradeReceivablesCurrent",MT_HS_CONSOLIDATED!$C:$C,0)),0)</f>
        <v/>
      </c>
      <c r="D34" s="80">
        <f>IFERROR(INDEX(MT_HS_CONSOLIDATED!E:E,MATCH("TradeReceivablesCurrent",MT_HS_CONSOLIDATED!$C:$C,0)),0)</f>
        <v/>
      </c>
      <c r="E34" s="80">
        <f>IFERROR(INDEX(MT_HS_CONSOLIDATED!F:F,MATCH("TradeReceivablesCurrent",MT_HS_CONSOLIDATED!$C:$C,0)),0)</f>
        <v/>
      </c>
      <c r="F34" s="80">
        <f>IFERROR(INDEX(MT_HS_CONSOLIDATED!G:G,MATCH("TradeReceivablesCurrent",MT_HS_CONSOLIDATED!$C:$C,0)),0)</f>
        <v/>
      </c>
      <c r="G34" s="80">
        <f>IFERROR(INDEX(MT_HS_CONSOLIDATED!H:H,MATCH("TradeReceivablesCurrent",MT_HS_CONSOLIDATED!$C:$C,0)),0)</f>
        <v/>
      </c>
      <c r="H34" s="80">
        <f>IFERROR(INDEX(MT_HS_CONSOLIDATED!I:I,MATCH("TradeReceivablesCurrent",MT_HS_CONSOLIDATED!$C:$C,0)),0)</f>
        <v/>
      </c>
      <c r="I34" s="81">
        <f>I30/365*IF('MT_Inputs &amp; Assumptions'!C33="",'MT_Inputs &amp; Assumptions'!C32,'MT_Inputs &amp; Assumptions'!C33)</f>
        <v/>
      </c>
      <c r="J34" s="81">
        <f>J30/365*IF('MT_Inputs &amp; Assumptions'!D33="",'MT_Inputs &amp; Assumptions'!D32,'MT_Inputs &amp; Assumptions'!D33)</f>
        <v/>
      </c>
      <c r="K34" s="81">
        <f>K30/365*IF('MT_Inputs &amp; Assumptions'!E33="",'MT_Inputs &amp; Assumptions'!E32,'MT_Inputs &amp; Assumptions'!E33)</f>
        <v/>
      </c>
      <c r="L34" s="81">
        <f>L30/365*IF('MT_Inputs &amp; Assumptions'!F33="",'MT_Inputs &amp; Assumptions'!F32,'MT_Inputs &amp; Assumptions'!F33)</f>
        <v/>
      </c>
      <c r="M34" s="81">
        <f>M30/365*IF('MT_Inputs &amp; Assumptions'!G33="",'MT_Inputs &amp; Assumptions'!G32,'MT_Inputs &amp; Assumptions'!G33)</f>
        <v/>
      </c>
      <c r="N34" s="81">
        <f>N30/365*IF('MT_Inputs &amp; Assumptions'!H33="",'MT_Inputs &amp; Assumptions'!H32,'MT_Inputs &amp; Assumptions'!H33)</f>
        <v/>
      </c>
      <c r="O34" s="81">
        <f>O30/365*IF('MT_Inputs &amp; Assumptions'!I33="",'MT_Inputs &amp; Assumptions'!I32,'MT_Inputs &amp; Assumptions'!I33)</f>
        <v/>
      </c>
      <c r="P34" s="81">
        <f>P30/365*IF('MT_Inputs &amp; Assumptions'!J33="",'MT_Inputs &amp; Assumptions'!J32,'MT_Inputs &amp; Assumptions'!J33)</f>
        <v/>
      </c>
      <c r="Q34" s="81">
        <f>Q30/365*IF('MT_Inputs &amp; Assumptions'!K33="",'MT_Inputs &amp; Assumptions'!K32,'MT_Inputs &amp; Assumptions'!K33)</f>
        <v/>
      </c>
      <c r="R34" s="81">
        <f>R30/365*IF('MT_Inputs &amp; Assumptions'!L33="",'MT_Inputs &amp; Assumptions'!L32,'MT_Inputs &amp; Assumptions'!L33)</f>
        <v/>
      </c>
    </row>
    <row r="35">
      <c r="B35" s="205" t="inlineStr">
        <is>
          <t>Inventories (ending balance)</t>
        </is>
      </c>
      <c r="C35" s="80">
        <f>IFERROR(INDEX(MT_HS_CONSOLIDATED!D:D,MATCH("Inventories",MT_HS_CONSOLIDATED!$C:$C,0)),0)</f>
        <v/>
      </c>
      <c r="D35" s="80">
        <f>IFERROR(INDEX(MT_HS_CONSOLIDATED!E:E,MATCH("Inventories",MT_HS_CONSOLIDATED!$C:$C,0)),0)</f>
        <v/>
      </c>
      <c r="E35" s="80">
        <f>IFERROR(INDEX(MT_HS_CONSOLIDATED!F:F,MATCH("Inventories",MT_HS_CONSOLIDATED!$C:$C,0)),0)</f>
        <v/>
      </c>
      <c r="F35" s="80">
        <f>IFERROR(INDEX(MT_HS_CONSOLIDATED!G:G,MATCH("Inventories",MT_HS_CONSOLIDATED!$C:$C,0)),0)</f>
        <v/>
      </c>
      <c r="G35" s="80">
        <f>IFERROR(INDEX(MT_HS_CONSOLIDATED!H:H,MATCH("Inventories",MT_HS_CONSOLIDATED!$C:$C,0)),0)</f>
        <v/>
      </c>
      <c r="H35" s="80">
        <f>IFERROR(INDEX(MT_HS_CONSOLIDATED!I:I,MATCH("Inventories",MT_HS_CONSOLIDATED!$C:$C,0)),0)</f>
        <v/>
      </c>
      <c r="I35" s="81">
        <f>ABS(I31)/365*IF('MT_Inputs &amp; Assumptions'!C36="",'MT_Inputs &amp; Assumptions'!C35,'MT_Inputs &amp; Assumptions'!C36)</f>
        <v/>
      </c>
      <c r="J35" s="81">
        <f>ABS(J31)/365*IF('MT_Inputs &amp; Assumptions'!D36="",'MT_Inputs &amp; Assumptions'!D35,'MT_Inputs &amp; Assumptions'!D36)</f>
        <v/>
      </c>
      <c r="K35" s="81">
        <f>ABS(K31)/365*IF('MT_Inputs &amp; Assumptions'!E36="",'MT_Inputs &amp; Assumptions'!E35,'MT_Inputs &amp; Assumptions'!E36)</f>
        <v/>
      </c>
      <c r="L35" s="81">
        <f>ABS(L31)/365*IF('MT_Inputs &amp; Assumptions'!F36="",'MT_Inputs &amp; Assumptions'!F35,'MT_Inputs &amp; Assumptions'!F36)</f>
        <v/>
      </c>
      <c r="M35" s="81">
        <f>ABS(M31)/365*IF('MT_Inputs &amp; Assumptions'!G36="",'MT_Inputs &amp; Assumptions'!G35,'MT_Inputs &amp; Assumptions'!G36)</f>
        <v/>
      </c>
      <c r="N35" s="81">
        <f>ABS(N31)/365*IF('MT_Inputs &amp; Assumptions'!H36="",'MT_Inputs &amp; Assumptions'!H35,'MT_Inputs &amp; Assumptions'!H36)</f>
        <v/>
      </c>
      <c r="O35" s="81">
        <f>ABS(O31)/365*IF('MT_Inputs &amp; Assumptions'!I36="",'MT_Inputs &amp; Assumptions'!I35,'MT_Inputs &amp; Assumptions'!I36)</f>
        <v/>
      </c>
      <c r="P35" s="81">
        <f>ABS(P31)/365*IF('MT_Inputs &amp; Assumptions'!J36="",'MT_Inputs &amp; Assumptions'!J35,'MT_Inputs &amp; Assumptions'!J36)</f>
        <v/>
      </c>
      <c r="Q35" s="81">
        <f>ABS(Q31)/365*IF('MT_Inputs &amp; Assumptions'!K36="",'MT_Inputs &amp; Assumptions'!K35,'MT_Inputs &amp; Assumptions'!K36)</f>
        <v/>
      </c>
      <c r="R35" s="81">
        <f>ABS(R31)/365*IF('MT_Inputs &amp; Assumptions'!L36="",'MT_Inputs &amp; Assumptions'!L35,'MT_Inputs &amp; Assumptions'!L36)</f>
        <v/>
      </c>
    </row>
    <row r="36">
      <c r="B36" s="205" t="inlineStr">
        <is>
          <t>Purchases (= COGS + Chg. in Inventories, approximation for DPO)</t>
        </is>
      </c>
      <c r="C36" s="90">
        <f>-C31</f>
        <v/>
      </c>
      <c r="D36" s="90">
        <f>-D31</f>
        <v/>
      </c>
      <c r="E36" s="90">
        <f>-E31</f>
        <v/>
      </c>
      <c r="F36" s="90">
        <f>-F31</f>
        <v/>
      </c>
      <c r="G36" s="90">
        <f>-G31</f>
        <v/>
      </c>
      <c r="H36" s="90">
        <f>-H31</f>
        <v/>
      </c>
      <c r="I36" s="81">
        <f>-I31</f>
        <v/>
      </c>
      <c r="J36" s="81">
        <f>-J31</f>
        <v/>
      </c>
      <c r="K36" s="81">
        <f>-K31</f>
        <v/>
      </c>
      <c r="L36" s="81">
        <f>-L31</f>
        <v/>
      </c>
      <c r="M36" s="81">
        <f>-M31</f>
        <v/>
      </c>
      <c r="N36" s="81">
        <f>-N31</f>
        <v/>
      </c>
      <c r="O36" s="81">
        <f>-O31</f>
        <v/>
      </c>
      <c r="P36" s="81">
        <f>-P31</f>
        <v/>
      </c>
      <c r="Q36" s="81">
        <f>-Q31</f>
        <v/>
      </c>
      <c r="R36" s="81">
        <f>-R31</f>
        <v/>
      </c>
    </row>
    <row r="37">
      <c r="B37" s="205" t="inlineStr">
        <is>
          <t>Trade Payables (ending balance)</t>
        </is>
      </c>
      <c r="C37" s="80">
        <f>IFERROR(INDEX(MT_HS_CONSOLIDATED!D:D,MATCH("TradePayablesCurrent",MT_HS_CONSOLIDATED!$C:$C,0)),0)</f>
        <v/>
      </c>
      <c r="D37" s="80">
        <f>IFERROR(INDEX(MT_HS_CONSOLIDATED!E:E,MATCH("TradePayablesCurrent",MT_HS_CONSOLIDATED!$C:$C,0)),0)</f>
        <v/>
      </c>
      <c r="E37" s="80">
        <f>IFERROR(INDEX(MT_HS_CONSOLIDATED!F:F,MATCH("TradePayablesCurrent",MT_HS_CONSOLIDATED!$C:$C,0)),0)</f>
        <v/>
      </c>
      <c r="F37" s="80">
        <f>IFERROR(INDEX(MT_HS_CONSOLIDATED!G:G,MATCH("TradePayablesCurrent",MT_HS_CONSOLIDATED!$C:$C,0)),0)</f>
        <v/>
      </c>
      <c r="G37" s="80">
        <f>IFERROR(INDEX(MT_HS_CONSOLIDATED!H:H,MATCH("TradePayablesCurrent",MT_HS_CONSOLIDATED!$C:$C,0)),0)</f>
        <v/>
      </c>
      <c r="H37" s="80">
        <f>IFERROR(INDEX(MT_HS_CONSOLIDATED!I:I,MATCH("TradePayablesCurrent",MT_HS_CONSOLIDATED!$C:$C,0)),0)</f>
        <v/>
      </c>
      <c r="I37" s="81">
        <f>IF(I36&gt;0.01*I30,I36/365*IF('Inputs &amp; Assumptions'!C39="",'Inputs &amp; Assumptions'!C38,'Inputs &amp; Assumptions'!C39),ABS('MT_P&amp;L Schedule'!I10)*(H37/ABS('MT_P&amp;L Schedule'!H10)))</f>
        <v/>
      </c>
      <c r="J37" s="81">
        <f>IF(J36&gt;0.01*J30,J36/365*IF('Inputs &amp; Assumptions'!C39="",'Inputs &amp; Assumptions'!C38,'Inputs &amp; Assumptions'!C39),ABS('MT_P&amp;L Schedule'!J10)*(H37/ABS('MT_P&amp;L Schedule'!H10)))</f>
        <v/>
      </c>
      <c r="K37" s="81">
        <f>IF(K36&gt;0.01*K30,K36/365*IF('Inputs &amp; Assumptions'!C39="",'Inputs &amp; Assumptions'!C38,'Inputs &amp; Assumptions'!C39),ABS('MT_P&amp;L Schedule'!K10)*(H37/ABS('MT_P&amp;L Schedule'!H10)))</f>
        <v/>
      </c>
      <c r="L37" s="81">
        <f>IF(L36&gt;0.01*L30,L36/365*IF('Inputs &amp; Assumptions'!C39="",'Inputs &amp; Assumptions'!C38,'Inputs &amp; Assumptions'!C39),ABS('MT_P&amp;L Schedule'!L10)*(H37/ABS('MT_P&amp;L Schedule'!H10)))</f>
        <v/>
      </c>
      <c r="M37" s="81">
        <f>IF(M36&gt;0.01*M30,M36/365*IF('Inputs &amp; Assumptions'!C39="",'Inputs &amp; Assumptions'!C38,'Inputs &amp; Assumptions'!C39),ABS('MT_P&amp;L Schedule'!M10)*(H37/ABS('MT_P&amp;L Schedule'!H10)))</f>
        <v/>
      </c>
      <c r="N37" s="81">
        <f>IF(N36&gt;0.01*N30,N36/365*IF('Inputs &amp; Assumptions'!C39="",'Inputs &amp; Assumptions'!C38,'Inputs &amp; Assumptions'!C39),ABS('MT_P&amp;L Schedule'!N10)*(H37/ABS('MT_P&amp;L Schedule'!H10)))</f>
        <v/>
      </c>
      <c r="O37" s="81">
        <f>IF(O36&gt;0.01*O30,O36/365*IF('Inputs &amp; Assumptions'!C39="",'Inputs &amp; Assumptions'!C38,'Inputs &amp; Assumptions'!C39),ABS('MT_P&amp;L Schedule'!O10)*(H37/ABS('MT_P&amp;L Schedule'!H10)))</f>
        <v/>
      </c>
      <c r="P37" s="81">
        <f>IF(P36&gt;0.01*P30,P36/365*IF('Inputs &amp; Assumptions'!C39="",'Inputs &amp; Assumptions'!C38,'Inputs &amp; Assumptions'!C39),ABS('MT_P&amp;L Schedule'!P10)*(H37/ABS('MT_P&amp;L Schedule'!H10)))</f>
        <v/>
      </c>
      <c r="Q37" s="81">
        <f>IF(Q36&gt;0.01*Q30,Q36/365*IF('Inputs &amp; Assumptions'!C39="",'Inputs &amp; Assumptions'!C38,'Inputs &amp; Assumptions'!C39),ABS('MT_P&amp;L Schedule'!Q10)*(H37/ABS('MT_P&amp;L Schedule'!H10)))</f>
        <v/>
      </c>
      <c r="R37" s="81">
        <f>IF(R36&gt;0.01*R30,R36/365*IF('Inputs &amp; Assumptions'!C39="",'Inputs &amp; Assumptions'!C38,'Inputs &amp; Assumptions'!C39),ABS('MT_P&amp;L Schedule'!R10)*(H37/ABS('MT_P&amp;L Schedule'!H10)))</f>
        <v/>
      </c>
    </row>
    <row r="39">
      <c r="B39" s="211" t="inlineStr">
        <is>
          <t>DSO = Trade Receivables / Revenue x 365</t>
        </is>
      </c>
      <c r="C39" s="86">
        <f>IFERROR(C34/C30*365,0)</f>
        <v/>
      </c>
      <c r="D39" s="86">
        <f>IFERROR(D34/D30*365,0)</f>
        <v/>
      </c>
      <c r="E39" s="86">
        <f>IFERROR(E34/E30*365,0)</f>
        <v/>
      </c>
      <c r="F39" s="86">
        <f>IFERROR(F34/F30*365,0)</f>
        <v/>
      </c>
      <c r="G39" s="86">
        <f>IFERROR(G34/G30*365,0)</f>
        <v/>
      </c>
      <c r="H39" s="86">
        <f>IFERROR(H34/H30*365,0)</f>
        <v/>
      </c>
    </row>
    <row r="40">
      <c r="B40" s="211" t="inlineStr">
        <is>
          <t>DIO = Inventories / |COGS| x 365</t>
        </is>
      </c>
      <c r="C40" s="86">
        <f>IFERROR(C35/ABS(C31)*365,0)</f>
        <v/>
      </c>
      <c r="D40" s="86">
        <f>IFERROR(D35/ABS(D31)*365,0)</f>
        <v/>
      </c>
      <c r="E40" s="86">
        <f>IFERROR(E35/ABS(E31)*365,0)</f>
        <v/>
      </c>
      <c r="F40" s="86">
        <f>IFERROR(F35/ABS(F31)*365,0)</f>
        <v/>
      </c>
      <c r="G40" s="86">
        <f>IFERROR(G35/ABS(G31)*365,0)</f>
        <v/>
      </c>
      <c r="H40" s="86">
        <f>IFERROR(H35/ABS(H31)*365,0)</f>
        <v/>
      </c>
    </row>
    <row r="41">
      <c r="B41" s="211" t="inlineStr">
        <is>
          <t>DPO = Trade Payables / Purchases x 365</t>
        </is>
      </c>
      <c r="C41" s="86">
        <f>IFERROR(C37/C36*365,0)</f>
        <v/>
      </c>
      <c r="D41" s="86">
        <f>IFERROR(D37/D36*365,0)</f>
        <v/>
      </c>
      <c r="E41" s="86">
        <f>IFERROR(E37/E36*365,0)</f>
        <v/>
      </c>
      <c r="F41" s="86">
        <f>IFERROR(F37/F36*365,0)</f>
        <v/>
      </c>
      <c r="G41" s="86">
        <f>IFERROR(G37/G36*365,0)</f>
        <v/>
      </c>
      <c r="H41" s="86">
        <f>IFERROR(H37/H36*365,0)</f>
        <v/>
      </c>
    </row>
    <row r="43">
      <c r="B43" s="82" t="inlineStr">
        <is>
          <t>Net Working Capital = Receivables + Inventories - Payables</t>
        </is>
      </c>
      <c r="C43" s="83">
        <f>C34+C35-C37</f>
        <v/>
      </c>
      <c r="D43" s="83">
        <f>D34+D35-D37</f>
        <v/>
      </c>
      <c r="E43" s="83">
        <f>E34+E35-E37</f>
        <v/>
      </c>
      <c r="F43" s="83">
        <f>F34+F35-F37</f>
        <v/>
      </c>
      <c r="G43" s="83">
        <f>G34+G35-G37</f>
        <v/>
      </c>
      <c r="H43" s="83">
        <f>H34+H35-H37</f>
        <v/>
      </c>
      <c r="I43" s="83">
        <f>I34+I35-I37</f>
        <v/>
      </c>
      <c r="J43" s="83">
        <f>J34+J35-J37</f>
        <v/>
      </c>
      <c r="K43" s="83">
        <f>K34+K35-K37</f>
        <v/>
      </c>
      <c r="L43" s="83">
        <f>L34+L35-L37</f>
        <v/>
      </c>
      <c r="M43" s="83">
        <f>M34+M35-M37</f>
        <v/>
      </c>
      <c r="N43" s="83">
        <f>N34+N35-N37</f>
        <v/>
      </c>
      <c r="O43" s="83">
        <f>O34+O35-O37</f>
        <v/>
      </c>
      <c r="P43" s="83">
        <f>P34+P35-P37</f>
        <v/>
      </c>
      <c r="Q43" s="83">
        <f>Q34+Q35-Q37</f>
        <v/>
      </c>
      <c r="R43" s="83">
        <f>R34+R35-R37</f>
        <v/>
      </c>
    </row>
    <row r="44">
      <c r="B44" s="205" t="inlineStr">
        <is>
          <t>Cash from Working Capital (= prior NWC - current NWC)</t>
        </is>
      </c>
      <c r="D44" s="90">
        <f>C43-D43</f>
        <v/>
      </c>
      <c r="E44" s="90">
        <f>D43-E43</f>
        <v/>
      </c>
      <c r="F44" s="90">
        <f>E43-F43</f>
        <v/>
      </c>
      <c r="G44" s="90">
        <f>F43-G43</f>
        <v/>
      </c>
      <c r="H44" s="90">
        <f>G43-H43</f>
        <v/>
      </c>
      <c r="I44" s="90">
        <f>H43-I43</f>
        <v/>
      </c>
      <c r="J44" s="90">
        <f>I43-J43</f>
        <v/>
      </c>
      <c r="K44" s="90">
        <f>J43-K43</f>
        <v/>
      </c>
      <c r="L44" s="90">
        <f>K43-L43</f>
        <v/>
      </c>
      <c r="M44" s="90">
        <f>L43-M43</f>
        <v/>
      </c>
      <c r="N44" s="90">
        <f>M43-N43</f>
        <v/>
      </c>
      <c r="O44" s="90">
        <f>N43-O43</f>
        <v/>
      </c>
      <c r="P44" s="90">
        <f>O43-P43</f>
        <v/>
      </c>
      <c r="Q44" s="90">
        <f>P43-Q43</f>
        <v/>
      </c>
      <c r="R44" s="90">
        <f>Q43-R43</f>
        <v/>
      </c>
    </row>
    <row r="45">
      <c r="B45" s="202" t="inlineStr">
        <is>
          <t>Tie-check, historical only (always 0 by construction -- Receivables/Inventories/Payables are direct reported lookups, not rebuilt)</t>
        </is>
      </c>
      <c r="C45" s="85" t="n">
        <v>0</v>
      </c>
      <c r="D45" s="85" t="n">
        <v>0</v>
      </c>
      <c r="E45" s="85" t="n">
        <v>0</v>
      </c>
      <c r="F45" s="85" t="n">
        <v>0</v>
      </c>
      <c r="G45" s="85" t="n">
        <v>0</v>
      </c>
      <c r="H45" s="85" t="n">
        <v>0</v>
      </c>
    </row>
    <row r="48" ht="18.5" customHeight="1" s="203">
      <c r="A48" t="inlineStr">
        <is>
          <t>#</t>
        </is>
      </c>
      <c r="B48" s="78" t="inlineStr">
        <is>
          <t>PP&amp;E Schedule</t>
        </is>
      </c>
    </row>
    <row r="51">
      <c r="B51" s="205" t="inlineStr">
        <is>
          <t>Beginning PP&amp;E (= prior year Ending)</t>
        </is>
      </c>
      <c r="C51" s="211" t="inlineStr">
        <is>
          <t>n/a</t>
        </is>
      </c>
      <c r="D51" s="90">
        <f>C63</f>
        <v/>
      </c>
      <c r="E51" s="90">
        <f>D63</f>
        <v/>
      </c>
      <c r="F51" s="90">
        <f>E63</f>
        <v/>
      </c>
      <c r="G51" s="90">
        <f>F63</f>
        <v/>
      </c>
      <c r="H51" s="90">
        <f>G63</f>
        <v/>
      </c>
      <c r="I51" s="81">
        <f>H63</f>
        <v/>
      </c>
      <c r="J51" s="81">
        <f>I63</f>
        <v/>
      </c>
      <c r="K51" s="81">
        <f>J63</f>
        <v/>
      </c>
      <c r="L51" s="81">
        <f>K63</f>
        <v/>
      </c>
      <c r="M51" s="81">
        <f>L63</f>
        <v/>
      </c>
      <c r="N51" s="81">
        <f>M63</f>
        <v/>
      </c>
      <c r="O51" s="81">
        <f>N63</f>
        <v/>
      </c>
      <c r="P51" s="81">
        <f>O63</f>
        <v/>
      </c>
      <c r="Q51" s="81">
        <f>P63</f>
        <v/>
      </c>
      <c r="R51" s="81">
        <f>Q63</f>
        <v/>
      </c>
    </row>
    <row r="52">
      <c r="B52" s="205" t="inlineStr">
        <is>
          <t>(+) Additions other than through business combinations</t>
        </is>
      </c>
      <c r="C52" s="80">
        <f>IFERROR(INDEX(MT_HS_CONSOLIDATED!D:D,MATCH("AdditionsOtherThanThroughBusinessCombinationsPropertyPlantAndEquipment",MT_HS_CONSOLIDATED!$C:$C,0)),0)</f>
        <v/>
      </c>
      <c r="D52" s="80">
        <f>IFERROR(INDEX(MT_HS_CONSOLIDATED!E:E,MATCH("AdditionsOtherThanThroughBusinessCombinationsPropertyPlantAndEquipment",MT_HS_CONSOLIDATED!$C:$C,0)),0)</f>
        <v/>
      </c>
      <c r="E52" s="80">
        <f>IFERROR(INDEX(MT_HS_CONSOLIDATED!F:F,MATCH("AdditionsOtherThanThroughBusinessCombinationsPropertyPlantAndEquipment",MT_HS_CONSOLIDATED!$C:$C,0)),0)</f>
        <v/>
      </c>
      <c r="F52" s="80">
        <f>IFERROR(INDEX(MT_HS_CONSOLIDATED!G:G,MATCH("AdditionsOtherThanThroughBusinessCombinationsPropertyPlantAndEquipment",MT_HS_CONSOLIDATED!$C:$C,0)),0)</f>
        <v/>
      </c>
      <c r="G52" s="80">
        <f>IFERROR(INDEX(MT_HS_CONSOLIDATED!H:H,MATCH("AdditionsOtherThanThroughBusinessCombinationsPropertyPlantAndEquipment",MT_HS_CONSOLIDATED!$C:$C,0)),0)</f>
        <v/>
      </c>
      <c r="H52" s="80">
        <f>IFERROR(INDEX(MT_HS_CONSOLIDATED!I:I,MATCH("AdditionsOtherThanThroughBusinessCombinationsPropertyPlantAndEquipment",MT_HS_CONSOLIDATED!$C:$C,0)),0)</f>
        <v/>
      </c>
      <c r="I52" s="81">
        <f>H52*(1+'MT_Inputs &amp; Assumptions'!C43)</f>
        <v/>
      </c>
      <c r="J52" s="81">
        <f>I52*(1+'MT_Inputs &amp; Assumptions'!D43)</f>
        <v/>
      </c>
      <c r="K52" s="81">
        <f>J52*(1+'MT_Inputs &amp; Assumptions'!E43)</f>
        <v/>
      </c>
      <c r="L52" s="81">
        <f>K52*(1+'MT_Inputs &amp; Assumptions'!F43)</f>
        <v/>
      </c>
      <c r="M52" s="81">
        <f>L52*(1+'MT_Inputs &amp; Assumptions'!G43)</f>
        <v/>
      </c>
      <c r="N52" s="81">
        <f>M52*(1+'MT_Inputs &amp; Assumptions'!H43)</f>
        <v/>
      </c>
      <c r="O52" s="81">
        <f>N52*(1+'MT_Inputs &amp; Assumptions'!I43)</f>
        <v/>
      </c>
      <c r="P52" s="81">
        <f>O52*(1+'MT_Inputs &amp; Assumptions'!J43)</f>
        <v/>
      </c>
      <c r="Q52" s="81">
        <f>P52*(1+'MT_Inputs &amp; Assumptions'!K43)</f>
        <v/>
      </c>
      <c r="R52" s="81">
        <f>Q52*(1+'MT_Inputs &amp; Assumptions'!L43)</f>
        <v/>
      </c>
    </row>
    <row r="53">
      <c r="B53" s="205" t="inlineStr">
        <is>
          <t>(+) Business Combinations (historical only)</t>
        </is>
      </c>
      <c r="C53" s="86" t="n">
        <v>0</v>
      </c>
      <c r="D53" s="86" t="n">
        <v>0</v>
      </c>
      <c r="E53" s="86" t="n">
        <v>0</v>
      </c>
      <c r="F53" s="86" t="n">
        <v>0</v>
      </c>
      <c r="G53" s="86" t="n">
        <v>0</v>
      </c>
      <c r="H53" s="86" t="n">
        <v>0</v>
      </c>
      <c r="I53" s="81" t="n">
        <v>0</v>
      </c>
      <c r="J53" s="81" t="n">
        <v>0</v>
      </c>
      <c r="K53" s="81" t="n">
        <v>0</v>
      </c>
      <c r="L53" s="81" t="n">
        <v>0</v>
      </c>
      <c r="M53" s="81" t="n">
        <v>0</v>
      </c>
      <c r="N53" s="81" t="n">
        <v>0</v>
      </c>
      <c r="O53" s="81" t="n">
        <v>0</v>
      </c>
      <c r="P53" s="81" t="n">
        <v>0</v>
      </c>
      <c r="Q53" s="81" t="n">
        <v>0</v>
      </c>
      <c r="R53" s="81" t="n">
        <v>0</v>
      </c>
    </row>
    <row r="54">
      <c r="B54" s="205" t="inlineStr">
        <is>
          <t>(+/-) FX Translation (historical only)</t>
        </is>
      </c>
      <c r="C54" s="86" t="n">
        <v>0</v>
      </c>
      <c r="D54" s="86" t="n">
        <v>0</v>
      </c>
      <c r="E54" s="86" t="n">
        <v>0</v>
      </c>
      <c r="F54" s="86" t="n">
        <v>0</v>
      </c>
      <c r="G54" s="86" t="n">
        <v>0</v>
      </c>
      <c r="H54" s="86" t="n">
        <v>0</v>
      </c>
      <c r="I54" s="81" t="n">
        <v>0</v>
      </c>
      <c r="J54" s="81" t="n">
        <v>0</v>
      </c>
      <c r="K54" s="81" t="n">
        <v>0</v>
      </c>
      <c r="L54" s="81" t="n">
        <v>0</v>
      </c>
      <c r="M54" s="81" t="n">
        <v>0</v>
      </c>
      <c r="N54" s="81" t="n">
        <v>0</v>
      </c>
      <c r="O54" s="81" t="n">
        <v>0</v>
      </c>
      <c r="P54" s="81" t="n">
        <v>0</v>
      </c>
      <c r="Q54" s="81" t="n">
        <v>0</v>
      </c>
      <c r="R54" s="81" t="n">
        <v>0</v>
      </c>
    </row>
    <row r="55">
      <c r="B55" s="205" t="inlineStr">
        <is>
          <t>(-) Depreciation</t>
        </is>
      </c>
      <c r="C55" s="80">
        <f>-IFERROR(INDEX(MT_HS_CONSOLIDATED!D:D,MATCH("DepreciationPropertyPlantAndEquipment",MT_HS_CONSOLIDATED!$C:$C,0)),0)</f>
        <v/>
      </c>
      <c r="D55" s="80">
        <f>-IFERROR(INDEX(MT_HS_CONSOLIDATED!E:E,MATCH("DepreciationPropertyPlantAndEquipment",MT_HS_CONSOLIDATED!$C:$C,0)),0)</f>
        <v/>
      </c>
      <c r="E55" s="80">
        <f>-IFERROR(INDEX(MT_HS_CONSOLIDATED!F:F,MATCH("DepreciationPropertyPlantAndEquipment",MT_HS_CONSOLIDATED!$C:$C,0)),0)</f>
        <v/>
      </c>
      <c r="F55" s="80">
        <f>-IFERROR(INDEX(MT_HS_CONSOLIDATED!G:G,MATCH("DepreciationPropertyPlantAndEquipment",MT_HS_CONSOLIDATED!$C:$C,0)),0)</f>
        <v/>
      </c>
      <c r="G55" s="80">
        <f>-IFERROR(INDEX(MT_HS_CONSOLIDATED!H:H,MATCH("DepreciationPropertyPlantAndEquipment",MT_HS_CONSOLIDATED!$C:$C,0)),0)</f>
        <v/>
      </c>
      <c r="H55" s="80">
        <f>-IFERROR(INDEX(MT_HS_CONSOLIDATED!I:I,MATCH("DepreciationPropertyPlantAndEquipment",MT_HS_CONSOLIDATED!$C:$C,0)),0)</f>
        <v/>
      </c>
      <c r="I55" s="81">
        <f>-(I81+I82)</f>
        <v/>
      </c>
      <c r="J55" s="81">
        <f>-(J81+J82)</f>
        <v/>
      </c>
      <c r="K55" s="81">
        <f>-(K81+K82)</f>
        <v/>
      </c>
      <c r="L55" s="81">
        <f>-(L81+L82)</f>
        <v/>
      </c>
      <c r="M55" s="81">
        <f>-(M81+M82)</f>
        <v/>
      </c>
      <c r="N55" s="81">
        <f>-(N81+N82)</f>
        <v/>
      </c>
      <c r="O55" s="81">
        <f>-(O81+O82)</f>
        <v/>
      </c>
      <c r="P55" s="81">
        <f>-(P81+P82)</f>
        <v/>
      </c>
      <c r="Q55" s="81">
        <f>-(Q81+Q82)</f>
        <v/>
      </c>
      <c r="R55" s="81">
        <f>-(R81+R82)</f>
        <v/>
      </c>
    </row>
    <row r="56">
      <c r="B56" s="205" t="inlineStr">
        <is>
          <t>(-) Impairment Loss</t>
        </is>
      </c>
      <c r="C56" s="86" t="n">
        <v>0</v>
      </c>
      <c r="D56" s="86" t="n">
        <v>0</v>
      </c>
      <c r="E56" s="86" t="n">
        <v>0</v>
      </c>
      <c r="F56" s="86" t="n">
        <v>0</v>
      </c>
      <c r="G56" s="86" t="n">
        <v>0</v>
      </c>
      <c r="H56" s="86" t="n">
        <v>0</v>
      </c>
      <c r="I56" s="81">
        <f>I51*(-IF('MT_Inputs &amp; Assumptions'!C50="",'MT_Inputs &amp; Assumptions'!C49,'MT_Inputs &amp; Assumptions'!C50))</f>
        <v/>
      </c>
      <c r="J56" s="81">
        <f>J51*(-IF('MT_Inputs &amp; Assumptions'!D50="",'MT_Inputs &amp; Assumptions'!D49,'MT_Inputs &amp; Assumptions'!D50))</f>
        <v/>
      </c>
      <c r="K56" s="81">
        <f>K51*(-IF('MT_Inputs &amp; Assumptions'!E50="",'MT_Inputs &amp; Assumptions'!E49,'MT_Inputs &amp; Assumptions'!E50))</f>
        <v/>
      </c>
      <c r="L56" s="81">
        <f>L51*(-IF('MT_Inputs &amp; Assumptions'!F50="",'MT_Inputs &amp; Assumptions'!F49,'MT_Inputs &amp; Assumptions'!F50))</f>
        <v/>
      </c>
      <c r="M56" s="81">
        <f>M51*(-IF('MT_Inputs &amp; Assumptions'!G50="",'MT_Inputs &amp; Assumptions'!G49,'MT_Inputs &amp; Assumptions'!G50))</f>
        <v/>
      </c>
      <c r="N56" s="81">
        <f>N51*(-IF('MT_Inputs &amp; Assumptions'!H50="",'MT_Inputs &amp; Assumptions'!H49,'MT_Inputs &amp; Assumptions'!H50))</f>
        <v/>
      </c>
      <c r="O56" s="81">
        <f>O51*(-IF('MT_Inputs &amp; Assumptions'!I50="",'MT_Inputs &amp; Assumptions'!I49,'MT_Inputs &amp; Assumptions'!I50))</f>
        <v/>
      </c>
      <c r="P56" s="81">
        <f>P51*(-IF('MT_Inputs &amp; Assumptions'!J50="",'MT_Inputs &amp; Assumptions'!J49,'MT_Inputs &amp; Assumptions'!J50))</f>
        <v/>
      </c>
      <c r="Q56" s="81">
        <f>Q51*(-IF('MT_Inputs &amp; Assumptions'!K50="",'MT_Inputs &amp; Assumptions'!K49,'MT_Inputs &amp; Assumptions'!K50))</f>
        <v/>
      </c>
      <c r="R56" s="81">
        <f>R51*(-IF('MT_Inputs &amp; Assumptions'!L50="",'MT_Inputs &amp; Assumptions'!L49,'MT_Inputs &amp; Assumptions'!L50))</f>
        <v/>
      </c>
    </row>
    <row r="57">
      <c r="B57" s="205" t="inlineStr">
        <is>
          <t>(+) Reversal of Impairment (historical only)</t>
        </is>
      </c>
      <c r="C57" s="86" t="n">
        <v>0</v>
      </c>
      <c r="D57" s="86" t="n">
        <v>0</v>
      </c>
      <c r="E57" s="86" t="n">
        <v>0</v>
      </c>
      <c r="F57" s="86" t="n">
        <v>0</v>
      </c>
      <c r="G57" s="86" t="n">
        <v>0</v>
      </c>
      <c r="H57" s="86" t="n">
        <v>0</v>
      </c>
      <c r="I57" s="81" t="n">
        <v>0</v>
      </c>
      <c r="J57" s="81" t="n">
        <v>0</v>
      </c>
      <c r="K57" s="81" t="n">
        <v>0</v>
      </c>
      <c r="L57" s="81" t="n">
        <v>0</v>
      </c>
      <c r="M57" s="81" t="n">
        <v>0</v>
      </c>
      <c r="N57" s="81" t="n">
        <v>0</v>
      </c>
      <c r="O57" s="81" t="n">
        <v>0</v>
      </c>
      <c r="P57" s="81" t="n">
        <v>0</v>
      </c>
      <c r="Q57" s="81" t="n">
        <v>0</v>
      </c>
      <c r="R57" s="81" t="n">
        <v>0</v>
      </c>
    </row>
    <row r="58">
      <c r="B58" s="205" t="inlineStr">
        <is>
          <t>(+/-) Revaluation (historical only)</t>
        </is>
      </c>
      <c r="C58" s="86" t="n">
        <v>0</v>
      </c>
      <c r="D58" s="86" t="n">
        <v>0</v>
      </c>
      <c r="E58" s="86" t="n">
        <v>0</v>
      </c>
      <c r="F58" s="86" t="n">
        <v>0</v>
      </c>
      <c r="G58" s="86" t="n">
        <v>0</v>
      </c>
      <c r="H58" s="86" t="n">
        <v>0</v>
      </c>
      <c r="I58" s="81" t="n">
        <v>0</v>
      </c>
      <c r="J58" s="81" t="n">
        <v>0</v>
      </c>
      <c r="K58" s="81" t="n">
        <v>0</v>
      </c>
      <c r="L58" s="81" t="n">
        <v>0</v>
      </c>
      <c r="M58" s="81" t="n">
        <v>0</v>
      </c>
      <c r="N58" s="81" t="n">
        <v>0</v>
      </c>
      <c r="O58" s="81" t="n">
        <v>0</v>
      </c>
      <c r="P58" s="81" t="n">
        <v>0</v>
      </c>
      <c r="Q58" s="81" t="n">
        <v>0</v>
      </c>
      <c r="R58" s="81" t="n">
        <v>0</v>
      </c>
    </row>
    <row r="59">
      <c r="B59" s="205" t="inlineStr">
        <is>
          <t>(+/-) Other Changes, incl. transfers</t>
        </is>
      </c>
      <c r="C59" s="86" t="n">
        <v>0</v>
      </c>
      <c r="D59" s="86" t="n">
        <v>0</v>
      </c>
      <c r="E59" s="86" t="n">
        <v>0</v>
      </c>
      <c r="F59" s="86" t="n">
        <v>0</v>
      </c>
      <c r="G59" s="86" t="n">
        <v>0</v>
      </c>
      <c r="H59" s="86" t="n">
        <v>0</v>
      </c>
      <c r="I59" s="81">
        <f>I51*IF('MT_Inputs &amp; Assumptions'!C53="",'MT_Inputs &amp; Assumptions'!C52,'MT_Inputs &amp; Assumptions'!C53)</f>
        <v/>
      </c>
      <c r="J59" s="81">
        <f>J51*IF('MT_Inputs &amp; Assumptions'!D53="",'MT_Inputs &amp; Assumptions'!D52,'MT_Inputs &amp; Assumptions'!D53)</f>
        <v/>
      </c>
      <c r="K59" s="81">
        <f>K51*IF('MT_Inputs &amp; Assumptions'!E53="",'MT_Inputs &amp; Assumptions'!E52,'MT_Inputs &amp; Assumptions'!E53)</f>
        <v/>
      </c>
      <c r="L59" s="81">
        <f>L51*IF('MT_Inputs &amp; Assumptions'!F53="",'MT_Inputs &amp; Assumptions'!F52,'MT_Inputs &amp; Assumptions'!F53)</f>
        <v/>
      </c>
      <c r="M59" s="81">
        <f>M51*IF('MT_Inputs &amp; Assumptions'!G53="",'MT_Inputs &amp; Assumptions'!G52,'MT_Inputs &amp; Assumptions'!G53)</f>
        <v/>
      </c>
      <c r="N59" s="81">
        <f>N51*IF('MT_Inputs &amp; Assumptions'!H53="",'MT_Inputs &amp; Assumptions'!H52,'MT_Inputs &amp; Assumptions'!H53)</f>
        <v/>
      </c>
      <c r="O59" s="81">
        <f>O51*IF('MT_Inputs &amp; Assumptions'!I53="",'MT_Inputs &amp; Assumptions'!I52,'MT_Inputs &amp; Assumptions'!I53)</f>
        <v/>
      </c>
      <c r="P59" s="81">
        <f>P51*IF('MT_Inputs &amp; Assumptions'!J53="",'MT_Inputs &amp; Assumptions'!J52,'MT_Inputs &amp; Assumptions'!J53)</f>
        <v/>
      </c>
      <c r="Q59" s="81">
        <f>Q51*IF('MT_Inputs &amp; Assumptions'!K53="",'MT_Inputs &amp; Assumptions'!K52,'MT_Inputs &amp; Assumptions'!K53)</f>
        <v/>
      </c>
      <c r="R59" s="81">
        <f>R51*IF('MT_Inputs &amp; Assumptions'!L53="",'MT_Inputs &amp; Assumptions'!L52,'MT_Inputs &amp; Assumptions'!L53)</f>
        <v/>
      </c>
    </row>
    <row r="60">
      <c r="B60" s="205" t="inlineStr">
        <is>
          <t>(-) Disposals and Retirements</t>
        </is>
      </c>
      <c r="C60" s="86" t="n">
        <v>0</v>
      </c>
      <c r="D60" s="86" t="n">
        <v>0</v>
      </c>
      <c r="E60" s="86" t="n">
        <v>0</v>
      </c>
      <c r="F60" s="86" t="n">
        <v>0</v>
      </c>
      <c r="G60" s="86" t="n">
        <v>0</v>
      </c>
      <c r="H60" s="86" t="n">
        <v>0</v>
      </c>
      <c r="I60" s="81">
        <f>I51*(-IF('MT_Inputs &amp; Assumptions'!C56="",'MT_Inputs &amp; Assumptions'!C55,'MT_Inputs &amp; Assumptions'!C56))</f>
        <v/>
      </c>
      <c r="J60" s="81">
        <f>J51*(-IF('MT_Inputs &amp; Assumptions'!D56="",'MT_Inputs &amp; Assumptions'!D55,'MT_Inputs &amp; Assumptions'!D56))</f>
        <v/>
      </c>
      <c r="K60" s="81">
        <f>K51*(-IF('MT_Inputs &amp; Assumptions'!E56="",'MT_Inputs &amp; Assumptions'!E55,'MT_Inputs &amp; Assumptions'!E56))</f>
        <v/>
      </c>
      <c r="L60" s="81">
        <f>L51*(-IF('MT_Inputs &amp; Assumptions'!F56="",'MT_Inputs &amp; Assumptions'!F55,'MT_Inputs &amp; Assumptions'!F56))</f>
        <v/>
      </c>
      <c r="M60" s="81">
        <f>M51*(-IF('MT_Inputs &amp; Assumptions'!G56="",'MT_Inputs &amp; Assumptions'!G55,'MT_Inputs &amp; Assumptions'!G56))</f>
        <v/>
      </c>
      <c r="N60" s="81">
        <f>N51*(-IF('MT_Inputs &amp; Assumptions'!H56="",'MT_Inputs &amp; Assumptions'!H55,'MT_Inputs &amp; Assumptions'!H56))</f>
        <v/>
      </c>
      <c r="O60" s="81">
        <f>O51*(-IF('MT_Inputs &amp; Assumptions'!I56="",'MT_Inputs &amp; Assumptions'!I55,'MT_Inputs &amp; Assumptions'!I56))</f>
        <v/>
      </c>
      <c r="P60" s="81">
        <f>P51*(-IF('MT_Inputs &amp; Assumptions'!J56="",'MT_Inputs &amp; Assumptions'!J55,'MT_Inputs &amp; Assumptions'!J56))</f>
        <v/>
      </c>
      <c r="Q60" s="81">
        <f>Q51*(-IF('MT_Inputs &amp; Assumptions'!K56="",'MT_Inputs &amp; Assumptions'!K55,'MT_Inputs &amp; Assumptions'!K56))</f>
        <v/>
      </c>
      <c r="R60" s="81">
        <f>R51*(-IF('MT_Inputs &amp; Assumptions'!L56="",'MT_Inputs &amp; Assumptions'!L55,'MT_Inputs &amp; Assumptions'!L56))</f>
        <v/>
      </c>
    </row>
    <row r="61">
      <c r="B61" s="205" t="inlineStr">
        <is>
          <t>(-) Held-for-Sale Reclassification (historical only)</t>
        </is>
      </c>
      <c r="C61" s="86" t="n">
        <v>0</v>
      </c>
      <c r="D61" s="86" t="n">
        <v>0</v>
      </c>
      <c r="E61" s="86" t="n">
        <v>0</v>
      </c>
      <c r="F61" s="86" t="n">
        <v>0</v>
      </c>
      <c r="G61" s="86" t="n">
        <v>0</v>
      </c>
      <c r="H61" s="86" t="n">
        <v>0</v>
      </c>
      <c r="I61" s="81" t="n">
        <v>0</v>
      </c>
      <c r="J61" s="81" t="n">
        <v>0</v>
      </c>
      <c r="K61" s="81" t="n">
        <v>0</v>
      </c>
      <c r="L61" s="81" t="n">
        <v>0</v>
      </c>
      <c r="M61" s="81" t="n">
        <v>0</v>
      </c>
      <c r="N61" s="81" t="n">
        <v>0</v>
      </c>
      <c r="O61" s="81" t="n">
        <v>0</v>
      </c>
      <c r="P61" s="81" t="n">
        <v>0</v>
      </c>
      <c r="Q61" s="81" t="n">
        <v>0</v>
      </c>
      <c r="R61" s="81" t="n">
        <v>0</v>
      </c>
    </row>
    <row r="62">
      <c r="B62" s="205" t="inlineStr">
        <is>
          <t>(-) Loss of Control (historical only)</t>
        </is>
      </c>
      <c r="C62" s="86" t="n">
        <v>0</v>
      </c>
      <c r="D62" s="86" t="n">
        <v>0</v>
      </c>
      <c r="E62" s="86" t="n">
        <v>0</v>
      </c>
      <c r="F62" s="86" t="n">
        <v>0</v>
      </c>
      <c r="G62" s="86" t="n">
        <v>0</v>
      </c>
      <c r="H62" s="86" t="n">
        <v>0</v>
      </c>
      <c r="I62" s="81" t="n">
        <v>0</v>
      </c>
      <c r="J62" s="81" t="n">
        <v>0</v>
      </c>
      <c r="K62" s="81" t="n">
        <v>0</v>
      </c>
      <c r="L62" s="81" t="n">
        <v>0</v>
      </c>
      <c r="M62" s="81" t="n">
        <v>0</v>
      </c>
      <c r="N62" s="81" t="n">
        <v>0</v>
      </c>
      <c r="O62" s="81" t="n">
        <v>0</v>
      </c>
      <c r="P62" s="81" t="n">
        <v>0</v>
      </c>
      <c r="Q62" s="81" t="n">
        <v>0</v>
      </c>
      <c r="R62" s="81" t="n">
        <v>0</v>
      </c>
    </row>
    <row r="63">
      <c r="B63" s="82" t="inlineStr">
        <is>
          <t>Ending PP&amp;E</t>
        </is>
      </c>
      <c r="C63" s="83">
        <f>IFERROR(INDEX(MT_HS_CONSOLIDATED!D:D,MATCH("PropertyPlantAndEquipment",MT_HS_CONSOLIDATED!$C:$C,0)),0)</f>
        <v/>
      </c>
      <c r="D63" s="83">
        <f>IFERROR(INDEX(MT_HS_CONSOLIDATED!E:E,MATCH("PropertyPlantAndEquipment",MT_HS_CONSOLIDATED!$C:$C,0)),0)</f>
        <v/>
      </c>
      <c r="E63" s="83">
        <f>IFERROR(INDEX(MT_HS_CONSOLIDATED!F:F,MATCH("PropertyPlantAndEquipment",MT_HS_CONSOLIDATED!$C:$C,0)),0)</f>
        <v/>
      </c>
      <c r="F63" s="83">
        <f>IFERROR(INDEX(MT_HS_CONSOLIDATED!G:G,MATCH("PropertyPlantAndEquipment",MT_HS_CONSOLIDATED!$C:$C,0)),0)</f>
        <v/>
      </c>
      <c r="G63" s="83">
        <f>IFERROR(INDEX(MT_HS_CONSOLIDATED!H:H,MATCH("PropertyPlantAndEquipment",MT_HS_CONSOLIDATED!$C:$C,0)),0)</f>
        <v/>
      </c>
      <c r="H63" s="83">
        <f>IFERROR(INDEX(MT_HS_CONSOLIDATED!I:I,MATCH("PropertyPlantAndEquipment",MT_HS_CONSOLIDATED!$C:$C,0)),0)</f>
        <v/>
      </c>
      <c r="I63" s="83">
        <f>I51+I52+I53+I54+I55+I56+I57+I58+I59+I60+I61+I62</f>
        <v/>
      </c>
      <c r="J63" s="83">
        <f>J51+J52+J53+J54+J55+J56+J57+J58+J59+J60+J61+J62</f>
        <v/>
      </c>
      <c r="K63" s="83">
        <f>K51+K52+K53+K54+K55+K56+K57+K58+K59+K60+K61+K62</f>
        <v/>
      </c>
      <c r="L63" s="83">
        <f>L51+L52+L53+L54+L55+L56+L57+L58+L59+L60+L61+L62</f>
        <v/>
      </c>
      <c r="M63" s="83">
        <f>M51+M52+M53+M54+M55+M56+M57+M58+M59+M60+M61+M62</f>
        <v/>
      </c>
      <c r="N63" s="83">
        <f>N51+N52+N53+N54+N55+N56+N57+N58+N59+N60+N61+N62</f>
        <v/>
      </c>
      <c r="O63" s="83">
        <f>O51+O52+O53+O54+O55+O56+O57+O58+O59+O60+O61+O62</f>
        <v/>
      </c>
      <c r="P63" s="83">
        <f>P51+P52+P53+P54+P55+P56+P57+P58+P59+P60+P61+P62</f>
        <v/>
      </c>
      <c r="Q63" s="83">
        <f>Q51+Q52+Q53+Q54+Q55+Q56+Q57+Q58+Q59+Q60+Q61+Q62</f>
        <v/>
      </c>
      <c r="R63" s="83">
        <f>R51+R52+R53+R54+R55+R56+R57+R58+R59+R60+R61+R62</f>
        <v/>
      </c>
    </row>
    <row r="64">
      <c r="B64" s="202" t="inlineStr">
        <is>
          <t>Tie-check, historical only</t>
        </is>
      </c>
      <c r="C64" s="85" t="n">
        <v>0</v>
      </c>
      <c r="D64" s="85" t="n">
        <v>0</v>
      </c>
      <c r="E64" s="85" t="n">
        <v>0</v>
      </c>
      <c r="F64" s="85" t="n">
        <v>0</v>
      </c>
      <c r="G64" s="85" t="n">
        <v>0</v>
      </c>
      <c r="H64" s="85" t="n">
        <v>0</v>
      </c>
    </row>
    <row r="67">
      <c r="B67" s="211" t="inlineStr">
        <is>
          <t>LN(Additions)</t>
        </is>
      </c>
      <c r="C67" s="86">
        <f>LN(C52)</f>
        <v/>
      </c>
      <c r="D67" s="86">
        <f>LN(D52)</f>
        <v/>
      </c>
      <c r="E67" s="86">
        <f>LN(E52)</f>
        <v/>
      </c>
      <c r="F67" s="86">
        <f>LN(F52)</f>
        <v/>
      </c>
      <c r="G67" s="86">
        <f>LN(G52)</f>
        <v/>
      </c>
      <c r="H67" s="86">
        <f>LN(H52)</f>
        <v/>
      </c>
    </row>
    <row r="68">
      <c r="B68" s="211" t="inlineStr">
        <is>
          <t>LN(|Depreciation|)</t>
        </is>
      </c>
      <c r="C68" s="86">
        <f>LN(ABS(C55))</f>
        <v/>
      </c>
      <c r="D68" s="86">
        <f>LN(ABS(D55))</f>
        <v/>
      </c>
      <c r="E68" s="86">
        <f>LN(ABS(E55))</f>
        <v/>
      </c>
      <c r="F68" s="86">
        <f>LN(ABS(F55))</f>
        <v/>
      </c>
      <c r="G68" s="86">
        <f>LN(ABS(G55))</f>
        <v/>
      </c>
      <c r="H68" s="86">
        <f>LN(ABS(H55))</f>
        <v/>
      </c>
    </row>
    <row r="69">
      <c r="B69" s="211" t="inlineStr">
        <is>
          <t>Time index (1..6)</t>
        </is>
      </c>
      <c r="C69" s="86" t="n">
        <v>1</v>
      </c>
      <c r="D69" s="86" t="n">
        <v>2</v>
      </c>
      <c r="E69" s="86" t="n">
        <v>3</v>
      </c>
      <c r="F69" s="86" t="n">
        <v>4</v>
      </c>
      <c r="G69" s="86" t="n">
        <v>5</v>
      </c>
      <c r="H69" s="86" t="n">
        <v>6</v>
      </c>
    </row>
    <row r="70">
      <c r="B70" s="211" t="inlineStr">
        <is>
          <t>Additions YoY Growth %, per year</t>
        </is>
      </c>
      <c r="D70" s="87">
        <f>IFERROR(D52/C52-1,"")</f>
        <v/>
      </c>
      <c r="E70" s="87">
        <f>IFERROR(E52/D52-1,"")</f>
        <v/>
      </c>
      <c r="F70" s="87">
        <f>IFERROR(F52/E52-1,"")</f>
        <v/>
      </c>
      <c r="G70" s="87">
        <f>IFERROR(G52/F52-1,"")</f>
        <v/>
      </c>
      <c r="H70" s="87">
        <f>IFERROR(H52/G52-1,"")</f>
        <v/>
      </c>
    </row>
    <row r="71">
      <c r="B71" s="211" t="inlineStr">
        <is>
          <t>IQR Anomaly Fence on Additions YoY Growth (Q1 | Q3 | IQR | Lower Fence | Upper Fence)</t>
        </is>
      </c>
      <c r="C71" s="87">
        <f>QUARTILE(MT_Schedules!D70:H70,1)</f>
        <v/>
      </c>
      <c r="D71" s="87">
        <f>QUARTILE(MT_Schedules!D70:H70,3)</f>
        <v/>
      </c>
      <c r="E71" s="87">
        <f>D71-C71</f>
        <v/>
      </c>
      <c r="F71" s="87">
        <f>C71-1.5*E71</f>
        <v/>
      </c>
      <c r="G71" s="87">
        <f>D71+1.5*E71</f>
        <v/>
      </c>
    </row>
    <row r="72">
      <c r="B72" s="211" t="inlineStr">
        <is>
          <t>Inclusion Flag (1=included in trend, 0=excluded as a statistical anomaly)</t>
        </is>
      </c>
      <c r="C72" s="86" t="n">
        <v>1</v>
      </c>
      <c r="D72" s="86">
        <f>IF(IF('MT_Inputs &amp; Assumptions'!$C$6="",'MT_Inputs &amp; Assumptions'!$C$5,'MT_Inputs &amp; Assumptions'!$C$6)=0,1,IF(AND(D70&lt;&gt;"",D70&gt;=$F$71,D70&lt;=$G$71),1,0))</f>
        <v/>
      </c>
      <c r="E72" s="86">
        <f>IF(IF('MT_Inputs &amp; Assumptions'!$C$6="",'MT_Inputs &amp; Assumptions'!$C$5,'MT_Inputs &amp; Assumptions'!$C$6)=0,1,IF(AND(E70&lt;&gt;"",E70&gt;=$F$71,E70&lt;=$G$71),1,0))</f>
        <v/>
      </c>
      <c r="F72" s="86">
        <f>IF(IF('MT_Inputs &amp; Assumptions'!$C$6="",'MT_Inputs &amp; Assumptions'!$C$5,'MT_Inputs &amp; Assumptions'!$C$6)=0,1,IF(AND(F70&lt;&gt;"",F70&gt;=$F$71,F70&lt;=$G$71),1,0))</f>
        <v/>
      </c>
      <c r="G72" s="86">
        <f>IF(IF('MT_Inputs &amp; Assumptions'!$C$6="",'MT_Inputs &amp; Assumptions'!$C$5,'MT_Inputs &amp; Assumptions'!$C$6)=0,1,IF(AND(G70&lt;&gt;"",G70&gt;=$F$71,G70&lt;=$G$71),1,0))</f>
        <v/>
      </c>
      <c r="H72" s="86">
        <f>IF(IF('MT_Inputs &amp; Assumptions'!$C$6="",'MT_Inputs &amp; Assumptions'!$C$5,'MT_Inputs &amp; Assumptions'!$C$6)=0,1,IF(AND(H70&lt;&gt;"",H70&gt;=$F$71,H70&lt;=$G$71),1,0))</f>
        <v/>
      </c>
    </row>
    <row r="73">
      <c r="B73" s="211" t="inlineStr">
        <is>
          <t>LN(Additions), anomalous years excluded per the Inclusion Flag above</t>
        </is>
      </c>
      <c r="C73" s="86">
        <f>IF(C72=1,IFERROR(LN(C52),""),"")</f>
        <v/>
      </c>
      <c r="D73" s="86">
        <f>IF(D72=1,IFERROR(LN(D52),""),"")</f>
        <v/>
      </c>
      <c r="E73" s="86">
        <f>IF(E72=1,IFERROR(LN(E52),""),"")</f>
        <v/>
      </c>
      <c r="F73" s="86">
        <f>IF(F72=1,IFERROR(LN(F52),""),"")</f>
        <v/>
      </c>
      <c r="G73" s="86">
        <f>IF(G72=1,IFERROR(LN(G52),""),"")</f>
        <v/>
      </c>
      <c r="H73" s="86">
        <f>IF(H72=1,IFERROR(LN(H52),""),"")</f>
        <v/>
      </c>
    </row>
    <row r="75" ht="30" customHeight="1" s="203">
      <c r="B75" s="88">
        <f>IF(IF('MT_Inputs &amp; Assumptions'!$C$6="",'MT_Inputs &amp; Assumptions'!$C$5,'MT_Inputs &amp; Assumptions'!$C$6)=0,"",IF(_xlfn.TEXTJOIN(", ",TRUE,IF(C72=0,"FY2017",""),IF(D72=0,"FY2018",""),IF(E72=0,"FY2019",""),IF(F72=0,"FY2020",""),IF(G72=0,"FY2021",""),IF(H72=0,"FY2022",""))="","","⚠ Years excluded from PP&amp;E Additions Growth trend as statistical anomalies (outside the IQR fence on YoY growth): "&amp;_xlfn.TEXTJOIN(", ",TRUE,IF(C72=0,"FY2017",""),IF(D72=0,"FY2018",""),IF(E72=0,"FY2019",""),IF(F72=0,"FY2020",""),IF(G72=0,"FY2021",""),IF(H72=0,"FY2022",""))))</f>
        <v/>
      </c>
    </row>
    <row r="76">
      <c r="B76" s="211" t="inlineStr">
        <is>
          <t>Impairment, % of Opening PP&amp;E</t>
        </is>
      </c>
      <c r="D76" s="89">
        <f>IFERROR(D56/C63,0)</f>
        <v/>
      </c>
      <c r="E76" s="89">
        <f>IFERROR(E56/D63,0)</f>
        <v/>
      </c>
      <c r="F76" s="89">
        <f>IFERROR(F56/E63,0)</f>
        <v/>
      </c>
      <c r="G76" s="89">
        <f>IFERROR(G56/F63,0)</f>
        <v/>
      </c>
      <c r="H76" s="89">
        <f>IFERROR(H56/G63,0)</f>
        <v/>
      </c>
    </row>
    <row r="77">
      <c r="B77" s="211" t="inlineStr">
        <is>
          <t>Other Changes, % of Opening PP&amp;E</t>
        </is>
      </c>
      <c r="D77" s="89">
        <f>IFERROR(D59/C63,0)</f>
        <v/>
      </c>
      <c r="E77" s="89">
        <f>IFERROR(E59/D63,0)</f>
        <v/>
      </c>
      <c r="F77" s="89">
        <f>IFERROR(F59/E63,0)</f>
        <v/>
      </c>
      <c r="G77" s="89">
        <f>IFERROR(G59/F63,0)</f>
        <v/>
      </c>
      <c r="H77" s="89">
        <f>IFERROR(H59/G63,0)</f>
        <v/>
      </c>
    </row>
    <row r="78">
      <c r="B78" s="211" t="inlineStr">
        <is>
          <t>Disposals, % of Opening PP&amp;E</t>
        </is>
      </c>
      <c r="D78" s="89">
        <f>IFERROR(D60/C63,0)</f>
        <v/>
      </c>
      <c r="E78" s="89">
        <f>IFERROR(E60/D63,0)</f>
        <v/>
      </c>
      <c r="F78" s="89">
        <f>IFERROR(F60/E63,0)</f>
        <v/>
      </c>
      <c r="G78" s="89">
        <f>IFERROR(G60/F63,0)</f>
        <v/>
      </c>
      <c r="H78" s="89">
        <f>IFERROR(H60/G63,0)</f>
        <v/>
      </c>
    </row>
    <row r="80">
      <c r="B80" s="211" t="inlineStr">
        <is>
          <t>Implied Remaining Useful Life of Existing PP&amp;E Base, years (= New Asset Useful Life / 2 -- pre-aged base is on average part-way through its life)</t>
        </is>
      </c>
      <c r="C80" s="86">
        <f>IF('MT_Inputs &amp; Assumptions'!$C$47="",'MT_Inputs &amp; Assumptions'!$C$46,'MT_Inputs &amp; Assumptions'!$C$47)/2</f>
        <v/>
      </c>
    </row>
    <row r="81">
      <c r="B81" s="205" t="inlineStr">
        <is>
          <t>Existing Asset Depreciation (forecast only)</t>
        </is>
      </c>
      <c r="I81" s="81">
        <f>IF(1&lt;=$C$80,H63/$C$80,0)</f>
        <v/>
      </c>
      <c r="J81" s="81">
        <f>IF(2&lt;=$C$80,H63/$C$80,0)</f>
        <v/>
      </c>
      <c r="K81" s="81">
        <f>IF(3&lt;=$C$80,H63/$C$80,0)</f>
        <v/>
      </c>
      <c r="L81" s="81">
        <f>IF(4&lt;=$C$80,H63/$C$80,0)</f>
        <v/>
      </c>
      <c r="M81" s="81">
        <f>IF(5&lt;=$C$80,H63/$C$80,0)</f>
        <v/>
      </c>
      <c r="N81" s="81">
        <f>IF(6&lt;=$C$80,H63/$C$80,0)</f>
        <v/>
      </c>
      <c r="O81" s="81">
        <f>IF(7&lt;=$C$80,H63/$C$80,0)</f>
        <v/>
      </c>
      <c r="P81" s="81">
        <f>IF(8&lt;=$C$80,H63/$C$80,0)</f>
        <v/>
      </c>
      <c r="Q81" s="81">
        <f>IF(9&lt;=$C$80,H63/$C$80,0)</f>
        <v/>
      </c>
      <c r="R81" s="81">
        <f>IF(10&lt;=$C$80,H63/$C$80,0)</f>
        <v/>
      </c>
    </row>
    <row r="82">
      <c r="B82" s="205" t="inlineStr">
        <is>
          <t>New Capex Vintage Depreciation (forecast only, cumulative)</t>
        </is>
      </c>
      <c r="I82" s="81">
        <f>SUM($I52:I52)/(IF('MT_Inputs &amp; Assumptions'!$C$47="",'MT_Inputs &amp; Assumptions'!$C$46,'MT_Inputs &amp; Assumptions'!$C$47))</f>
        <v/>
      </c>
      <c r="J82" s="81">
        <f>SUM($I52:J52)/(IF('MT_Inputs &amp; Assumptions'!$C$47="",'MT_Inputs &amp; Assumptions'!$C$46,'MT_Inputs &amp; Assumptions'!$C$47))</f>
        <v/>
      </c>
      <c r="K82" s="81">
        <f>SUM($I52:K52)/(IF('MT_Inputs &amp; Assumptions'!$C$47="",'MT_Inputs &amp; Assumptions'!$C$46,'MT_Inputs &amp; Assumptions'!$C$47))</f>
        <v/>
      </c>
      <c r="L82" s="81">
        <f>SUM($I52:L52)/(IF('MT_Inputs &amp; Assumptions'!$C$47="",'MT_Inputs &amp; Assumptions'!$C$46,'MT_Inputs &amp; Assumptions'!$C$47))</f>
        <v/>
      </c>
      <c r="M82" s="81">
        <f>SUM($I52:M52)/(IF('MT_Inputs &amp; Assumptions'!$C$47="",'MT_Inputs &amp; Assumptions'!$C$46,'MT_Inputs &amp; Assumptions'!$C$47))</f>
        <v/>
      </c>
      <c r="N82" s="81">
        <f>SUM($I52:N52)/(IF('MT_Inputs &amp; Assumptions'!$C$47="",'MT_Inputs &amp; Assumptions'!$C$46,'MT_Inputs &amp; Assumptions'!$C$47))</f>
        <v/>
      </c>
      <c r="O82" s="81">
        <f>SUM($I52:O52)/(IF('MT_Inputs &amp; Assumptions'!$C$47="",'MT_Inputs &amp; Assumptions'!$C$46,'MT_Inputs &amp; Assumptions'!$C$47))</f>
        <v/>
      </c>
      <c r="P82" s="81">
        <f>SUM($I52:P52)/(IF('MT_Inputs &amp; Assumptions'!$C$47="",'MT_Inputs &amp; Assumptions'!$C$46,'MT_Inputs &amp; Assumptions'!$C$47))</f>
        <v/>
      </c>
      <c r="Q82" s="81">
        <f>SUM($I52:Q52)/(IF('MT_Inputs &amp; Assumptions'!$C$47="",'MT_Inputs &amp; Assumptions'!$C$46,'MT_Inputs &amp; Assumptions'!$C$47))</f>
        <v/>
      </c>
      <c r="R82" s="81">
        <f>SUM($I52:R52)/(IF('MT_Inputs &amp; Assumptions'!$C$47="",'MT_Inputs &amp; Assumptions'!$C$46,'MT_Inputs &amp; Assumptions'!$C$47))</f>
        <v/>
      </c>
    </row>
    <row r="85" ht="18.5" customHeight="1" s="203">
      <c r="A85" t="inlineStr">
        <is>
          <t>#</t>
        </is>
      </c>
      <c r="B85" s="78" t="inlineStr">
        <is>
          <t>Debt Schedule</t>
        </is>
      </c>
    </row>
    <row r="88">
      <c r="B88" s="205" t="inlineStr">
        <is>
          <t>Beginning Total Debt (= prior year Ending)</t>
        </is>
      </c>
      <c r="C88" s="211" t="inlineStr">
        <is>
          <t>n/a</t>
        </is>
      </c>
      <c r="D88" s="90">
        <f>C92</f>
        <v/>
      </c>
      <c r="E88" s="90">
        <f>D92</f>
        <v/>
      </c>
      <c r="F88" s="90">
        <f>E92</f>
        <v/>
      </c>
      <c r="G88" s="90">
        <f>F92</f>
        <v/>
      </c>
      <c r="H88" s="90">
        <f>G92</f>
        <v/>
      </c>
      <c r="I88" s="90">
        <f>H92</f>
        <v/>
      </c>
      <c r="J88" s="90">
        <f>I92</f>
        <v/>
      </c>
      <c r="K88" s="90">
        <f>J92</f>
        <v/>
      </c>
      <c r="L88" s="90">
        <f>K92</f>
        <v/>
      </c>
      <c r="M88" s="90">
        <f>L92</f>
        <v/>
      </c>
      <c r="N88" s="90">
        <f>M92</f>
        <v/>
      </c>
      <c r="O88" s="90">
        <f>N92</f>
        <v/>
      </c>
      <c r="P88" s="90">
        <f>O92</f>
        <v/>
      </c>
      <c r="Q88" s="90">
        <f>P92</f>
        <v/>
      </c>
      <c r="R88" s="90">
        <f>Q92</f>
        <v/>
      </c>
    </row>
    <row r="89">
      <c r="B89" s="205" t="inlineStr">
        <is>
          <t>(+) New Debt Raised (= Proceeds from Borrowings + Debentures)</t>
        </is>
      </c>
      <c r="C89" s="80">
        <f>(IFERROR(INDEX(MT_HS_CONSOLIDATED!D:D,MATCH("ProceedsFromBorrowingsClassifiedAsFinancingActivities",MT_HS_CONSOLIDATED!$C:$C,0)),0))+(IFERROR(INDEX(MT_HS_CONSOLIDATED!D:D,MATCH("ProceedsFromIssuingDebenturesNotesBondsEtc",MT_HS_CONSOLIDATED!$C:$C,0)),0))</f>
        <v/>
      </c>
      <c r="D89" s="80">
        <f>(IFERROR(INDEX(MT_HS_CONSOLIDATED!E:E,MATCH("ProceedsFromBorrowingsClassifiedAsFinancingActivities",MT_HS_CONSOLIDATED!$C:$C,0)),0))+(IFERROR(INDEX(MT_HS_CONSOLIDATED!E:E,MATCH("ProceedsFromIssuingDebenturesNotesBondsEtc",MT_HS_CONSOLIDATED!$C:$C,0)),0))</f>
        <v/>
      </c>
      <c r="E89" s="80">
        <f>(IFERROR(INDEX(MT_HS_CONSOLIDATED!F:F,MATCH("ProceedsFromBorrowingsClassifiedAsFinancingActivities",MT_HS_CONSOLIDATED!$C:$C,0)),0))+(IFERROR(INDEX(MT_HS_CONSOLIDATED!F:F,MATCH("ProceedsFromIssuingDebenturesNotesBondsEtc",MT_HS_CONSOLIDATED!$C:$C,0)),0))</f>
        <v/>
      </c>
      <c r="F89" s="80">
        <f>(IFERROR(INDEX(MT_HS_CONSOLIDATED!G:G,MATCH("ProceedsFromBorrowingsClassifiedAsFinancingActivities",MT_HS_CONSOLIDATED!$C:$C,0)),0))+(IFERROR(INDEX(MT_HS_CONSOLIDATED!G:G,MATCH("ProceedsFromIssuingDebenturesNotesBondsEtc",MT_HS_CONSOLIDATED!$C:$C,0)),0))</f>
        <v/>
      </c>
      <c r="G89" s="80">
        <f>(IFERROR(INDEX(MT_HS_CONSOLIDATED!H:H,MATCH("ProceedsFromBorrowingsClassifiedAsFinancingActivities",MT_HS_CONSOLIDATED!$C:$C,0)),0))+(IFERROR(INDEX(MT_HS_CONSOLIDATED!H:H,MATCH("ProceedsFromIssuingDebenturesNotesBondsEtc",MT_HS_CONSOLIDATED!$C:$C,0)),0))</f>
        <v/>
      </c>
      <c r="H89" s="80">
        <f>(IFERROR(INDEX(MT_HS_CONSOLIDATED!I:I,MATCH("ProceedsFromBorrowingsClassifiedAsFinancingActivities",MT_HS_CONSOLIDATED!$C:$C,0)),0))+(IFERROR(INDEX(MT_HS_CONSOLIDATED!I:I,MATCH("ProceedsFromIssuingDebenturesNotesBondsEtc",MT_HS_CONSOLIDATED!$C:$C,0)),0))</f>
        <v/>
      </c>
      <c r="I89" s="90">
        <f>MAX((I92-I88),0)</f>
        <v/>
      </c>
      <c r="J89" s="90">
        <f>MAX((J92-J88),0)</f>
        <v/>
      </c>
      <c r="K89" s="90">
        <f>MAX((K92-K88),0)</f>
        <v/>
      </c>
      <c r="L89" s="90">
        <f>MAX((L92-L88),0)</f>
        <v/>
      </c>
      <c r="M89" s="90">
        <f>MAX((M92-M88),0)</f>
        <v/>
      </c>
      <c r="N89" s="90">
        <f>MAX((N92-N88),0)</f>
        <v/>
      </c>
      <c r="O89" s="90">
        <f>MAX((O92-O88),0)</f>
        <v/>
      </c>
      <c r="P89" s="90">
        <f>MAX((P92-P88),0)</f>
        <v/>
      </c>
      <c r="Q89" s="90">
        <f>MAX((Q92-Q88),0)</f>
        <v/>
      </c>
      <c r="R89" s="90">
        <f>MAX((R92-R88),0)</f>
        <v/>
      </c>
    </row>
    <row r="90">
      <c r="B90" s="205" t="inlineStr">
        <is>
          <t>(-) Debt Repaid (= Repayments of Borrowings + Lease Payments)</t>
        </is>
      </c>
      <c r="C90" s="80">
        <f>-((IFERROR(INDEX(MT_HS_CONSOLIDATED!D:D,MATCH("RepaymentsOfBorrowingsClassifiedAsFinancingActivities",MT_HS_CONSOLIDATED!$C:$C,0)),0))+IF(IF('MT_Inputs &amp; Assumptions'!$C$61="",'MT_Inputs &amp; Assumptions'!$C$60,'MT_Inputs &amp; Assumptions'!$C$61)=1,IFERROR(INDEX(MT_HS_CONSOLIDATED!D:D,MATCH("PaymentsOfLeaseLiabilitiesClassifiedAsFinancingActivities",MT_HS_CONSOLIDATED!$C:$C,0)),0),0))</f>
        <v/>
      </c>
      <c r="D90" s="80">
        <f>-((IFERROR(INDEX(MT_HS_CONSOLIDATED!E:E,MATCH("RepaymentsOfBorrowingsClassifiedAsFinancingActivities",MT_HS_CONSOLIDATED!$C:$C,0)),0))+IF(IF('MT_Inputs &amp; Assumptions'!$C$61="",'MT_Inputs &amp; Assumptions'!$C$60,'MT_Inputs &amp; Assumptions'!$C$61)=1,IFERROR(INDEX(MT_HS_CONSOLIDATED!E:E,MATCH("PaymentsOfLeaseLiabilitiesClassifiedAsFinancingActivities",MT_HS_CONSOLIDATED!$C:$C,0)),0),0))</f>
        <v/>
      </c>
      <c r="E90" s="80">
        <f>-((IFERROR(INDEX(MT_HS_CONSOLIDATED!F:F,MATCH("RepaymentsOfBorrowingsClassifiedAsFinancingActivities",MT_HS_CONSOLIDATED!$C:$C,0)),0))+IF(IF('MT_Inputs &amp; Assumptions'!$C$61="",'MT_Inputs &amp; Assumptions'!$C$60,'MT_Inputs &amp; Assumptions'!$C$61)=1,IFERROR(INDEX(MT_HS_CONSOLIDATED!F:F,MATCH("PaymentsOfLeaseLiabilitiesClassifiedAsFinancingActivities",MT_HS_CONSOLIDATED!$C:$C,0)),0),0))</f>
        <v/>
      </c>
      <c r="F90" s="80">
        <f>-((IFERROR(INDEX(MT_HS_CONSOLIDATED!G:G,MATCH("RepaymentsOfBorrowingsClassifiedAsFinancingActivities",MT_HS_CONSOLIDATED!$C:$C,0)),0))+IF(IF('MT_Inputs &amp; Assumptions'!$C$61="",'MT_Inputs &amp; Assumptions'!$C$60,'MT_Inputs &amp; Assumptions'!$C$61)=1,IFERROR(INDEX(MT_HS_CONSOLIDATED!G:G,MATCH("PaymentsOfLeaseLiabilitiesClassifiedAsFinancingActivities",MT_HS_CONSOLIDATED!$C:$C,0)),0),0))</f>
        <v/>
      </c>
      <c r="G90" s="80">
        <f>-((IFERROR(INDEX(MT_HS_CONSOLIDATED!H:H,MATCH("RepaymentsOfBorrowingsClassifiedAsFinancingActivities",MT_HS_CONSOLIDATED!$C:$C,0)),0))+IF(IF('MT_Inputs &amp; Assumptions'!$C$61="",'MT_Inputs &amp; Assumptions'!$C$60,'MT_Inputs &amp; Assumptions'!$C$61)=1,IFERROR(INDEX(MT_HS_CONSOLIDATED!H:H,MATCH("PaymentsOfLeaseLiabilitiesClassifiedAsFinancingActivities",MT_HS_CONSOLIDATED!$C:$C,0)),0),0))</f>
        <v/>
      </c>
      <c r="H90" s="80">
        <f>-((IFERROR(INDEX(MT_HS_CONSOLIDATED!I:I,MATCH("RepaymentsOfBorrowingsClassifiedAsFinancingActivities",MT_HS_CONSOLIDATED!$C:$C,0)),0))+IF(IF('MT_Inputs &amp; Assumptions'!$C$61="",'MT_Inputs &amp; Assumptions'!$C$60,'MT_Inputs &amp; Assumptions'!$C$61)=1,IFERROR(INDEX(MT_HS_CONSOLIDATED!I:I,MATCH("PaymentsOfLeaseLiabilitiesClassifiedAsFinancingActivities",MT_HS_CONSOLIDATED!$C:$C,0)),0),0))</f>
        <v/>
      </c>
      <c r="I90" s="90">
        <f>MIN((I92-I88),0)</f>
        <v/>
      </c>
      <c r="J90" s="90">
        <f>MIN((J92-J88),0)</f>
        <v/>
      </c>
      <c r="K90" s="90">
        <f>MIN((K92-K88),0)</f>
        <v/>
      </c>
      <c r="L90" s="90">
        <f>MIN((L92-L88),0)</f>
        <v/>
      </c>
      <c r="M90" s="90">
        <f>MIN((M92-M88),0)</f>
        <v/>
      </c>
      <c r="N90" s="90">
        <f>MIN((N92-N88),0)</f>
        <v/>
      </c>
      <c r="O90" s="90">
        <f>MIN((O92-O88),0)</f>
        <v/>
      </c>
      <c r="P90" s="90">
        <f>MIN((P92-P88),0)</f>
        <v/>
      </c>
      <c r="Q90" s="90">
        <f>MIN((Q92-Q88),0)</f>
        <v/>
      </c>
      <c r="R90" s="90">
        <f>MIN((R92-R88),0)</f>
        <v/>
      </c>
    </row>
    <row r="91">
      <c r="B91" s="205" t="inlineStr">
        <is>
          <t>(+/-) Other Non-Cash Debt Movements -- residual: reported Ending - Beginning - New Debt - Repaid</t>
        </is>
      </c>
      <c r="C91" s="211" t="inlineStr">
        <is>
          <t>n/a</t>
        </is>
      </c>
      <c r="D91" s="90">
        <f>((IFERROR(INDEX(MT_HS_CONSOLIDATED!E:E,MATCH("BorrowingsNoncurrent",MT_HS_CONSOLIDATED!$C:$C,0)),0)+IFERROR(INDEX(MT_HS_CONSOLIDATED!E:E,MATCH("BorrowingsCurrent",MT_HS_CONSOLIDATED!$C:$C,0)),0))+IF(IF('MT_Inputs &amp; Assumptions'!$C$61="",'MT_Inputs &amp; Assumptions'!$C$60,'MT_Inputs &amp; Assumptions'!$C$61)=1,((IFERROR(INDEX(MT_HS_CONSOLIDATED!E:E,MATCH("NoncurrentLeaseLiabilities",MT_HS_CONSOLIDATED!$C:$C,0)),0)+IFERROR(INDEX(MT_HS_CONSOLIDATED!E:E,MATCH("LeaseLiabilitiesNonCurrent",MT_HS_CONSOLIDATED!$C:$C,0)),0))+(IFERROR(INDEX(MT_HS_CONSOLIDATED!E:E,MATCH("CurrentLeaseLiabilities",MT_HS_CONSOLIDATED!$C:$C,0)),0)+IFERROR(INDEX(MT_HS_CONSOLIDATED!E:E,MATCH("LeaseLiabilitiesCurrent",MT_HS_CONSOLIDATED!$C:$C,0)),0))),0))-D88-D89-D90</f>
        <v/>
      </c>
      <c r="E91" s="90">
        <f>((IFERROR(INDEX(MT_HS_CONSOLIDATED!F:F,MATCH("BorrowingsNoncurrent",MT_HS_CONSOLIDATED!$C:$C,0)),0)+IFERROR(INDEX(MT_HS_CONSOLIDATED!F:F,MATCH("BorrowingsCurrent",MT_HS_CONSOLIDATED!$C:$C,0)),0))+IF(IF('MT_Inputs &amp; Assumptions'!$C$61="",'MT_Inputs &amp; Assumptions'!$C$60,'MT_Inputs &amp; Assumptions'!$C$61)=1,((IFERROR(INDEX(MT_HS_CONSOLIDATED!F:F,MATCH("NoncurrentLeaseLiabilities",MT_HS_CONSOLIDATED!$C:$C,0)),0)+IFERROR(INDEX(MT_HS_CONSOLIDATED!F:F,MATCH("LeaseLiabilitiesNonCurrent",MT_HS_CONSOLIDATED!$C:$C,0)),0))+(IFERROR(INDEX(MT_HS_CONSOLIDATED!F:F,MATCH("CurrentLeaseLiabilities",MT_HS_CONSOLIDATED!$C:$C,0)),0)+IFERROR(INDEX(MT_HS_CONSOLIDATED!F:F,MATCH("LeaseLiabilitiesCurrent",MT_HS_CONSOLIDATED!$C:$C,0)),0))),0))-E88-E89-E90</f>
        <v/>
      </c>
      <c r="F91" s="90">
        <f>((IFERROR(INDEX(MT_HS_CONSOLIDATED!G:G,MATCH("BorrowingsNoncurrent",MT_HS_CONSOLIDATED!$C:$C,0)),0)+IFERROR(INDEX(MT_HS_CONSOLIDATED!G:G,MATCH("BorrowingsCurrent",MT_HS_CONSOLIDATED!$C:$C,0)),0))+IF(IF('MT_Inputs &amp; Assumptions'!$C$61="",'MT_Inputs &amp; Assumptions'!$C$60,'MT_Inputs &amp; Assumptions'!$C$61)=1,((IFERROR(INDEX(MT_HS_CONSOLIDATED!G:G,MATCH("NoncurrentLeaseLiabilities",MT_HS_CONSOLIDATED!$C:$C,0)),0)+IFERROR(INDEX(MT_HS_CONSOLIDATED!G:G,MATCH("LeaseLiabilitiesNonCurrent",MT_HS_CONSOLIDATED!$C:$C,0)),0))+(IFERROR(INDEX(MT_HS_CONSOLIDATED!G:G,MATCH("CurrentLeaseLiabilities",MT_HS_CONSOLIDATED!$C:$C,0)),0)+IFERROR(INDEX(MT_HS_CONSOLIDATED!G:G,MATCH("LeaseLiabilitiesCurrent",MT_HS_CONSOLIDATED!$C:$C,0)),0))),0))-F88-F89-F90</f>
        <v/>
      </c>
      <c r="G91" s="90">
        <f>((IFERROR(INDEX(MT_HS_CONSOLIDATED!H:H,MATCH("BorrowingsNoncurrent",MT_HS_CONSOLIDATED!$C:$C,0)),0)+IFERROR(INDEX(MT_HS_CONSOLIDATED!H:H,MATCH("BorrowingsCurrent",MT_HS_CONSOLIDATED!$C:$C,0)),0))+IF(IF('MT_Inputs &amp; Assumptions'!$C$61="",'MT_Inputs &amp; Assumptions'!$C$60,'MT_Inputs &amp; Assumptions'!$C$61)=1,((IFERROR(INDEX(MT_HS_CONSOLIDATED!H:H,MATCH("NoncurrentLeaseLiabilities",MT_HS_CONSOLIDATED!$C:$C,0)),0)+IFERROR(INDEX(MT_HS_CONSOLIDATED!H:H,MATCH("LeaseLiabilitiesNonCurrent",MT_HS_CONSOLIDATED!$C:$C,0)),0))+(IFERROR(INDEX(MT_HS_CONSOLIDATED!H:H,MATCH("CurrentLeaseLiabilities",MT_HS_CONSOLIDATED!$C:$C,0)),0)+IFERROR(INDEX(MT_HS_CONSOLIDATED!H:H,MATCH("LeaseLiabilitiesCurrent",MT_HS_CONSOLIDATED!$C:$C,0)),0))),0))-G88-G89-G90</f>
        <v/>
      </c>
      <c r="H91" s="90">
        <f>((IFERROR(INDEX(MT_HS_CONSOLIDATED!I:I,MATCH("BorrowingsNoncurrent",MT_HS_CONSOLIDATED!$C:$C,0)),0)+IFERROR(INDEX(MT_HS_CONSOLIDATED!I:I,MATCH("BorrowingsCurrent",MT_HS_CONSOLIDATED!$C:$C,0)),0))+IF(IF('MT_Inputs &amp; Assumptions'!$C$61="",'MT_Inputs &amp; Assumptions'!$C$60,'MT_Inputs &amp; Assumptions'!$C$61)=1,((IFERROR(INDEX(MT_HS_CONSOLIDATED!I:I,MATCH("NoncurrentLeaseLiabilities",MT_HS_CONSOLIDATED!$C:$C,0)),0)+IFERROR(INDEX(MT_HS_CONSOLIDATED!I:I,MATCH("LeaseLiabilitiesNonCurrent",MT_HS_CONSOLIDATED!$C:$C,0)),0))+(IFERROR(INDEX(MT_HS_CONSOLIDATED!I:I,MATCH("CurrentLeaseLiabilities",MT_HS_CONSOLIDATED!$C:$C,0)),0)+IFERROR(INDEX(MT_HS_CONSOLIDATED!I:I,MATCH("LeaseLiabilitiesCurrent",MT_HS_CONSOLIDATED!$C:$C,0)),0))),0))-H88-H89-H90</f>
        <v/>
      </c>
      <c r="I91" s="90" t="n">
        <v>0</v>
      </c>
      <c r="J91" s="90" t="n">
        <v>0</v>
      </c>
      <c r="K91" s="90" t="n">
        <v>0</v>
      </c>
      <c r="L91" s="90" t="n">
        <v>0</v>
      </c>
      <c r="M91" s="90" t="n">
        <v>0</v>
      </c>
      <c r="N91" s="90" t="n">
        <v>0</v>
      </c>
      <c r="O91" s="90" t="n">
        <v>0</v>
      </c>
      <c r="P91" s="90" t="n">
        <v>0</v>
      </c>
      <c r="Q91" s="90" t="n">
        <v>0</v>
      </c>
      <c r="R91" s="90" t="n">
        <v>0</v>
      </c>
    </row>
    <row r="92">
      <c r="B92" s="82" t="inlineStr">
        <is>
          <t>Ending Total Debt</t>
        </is>
      </c>
      <c r="C92" s="83">
        <f>((IFERROR(INDEX(MT_HS_CONSOLIDATED!D:D,MATCH("BorrowingsNoncurrent",MT_HS_CONSOLIDATED!$C:$C,0)),0)+IFERROR(INDEX(MT_HS_CONSOLIDATED!D:D,MATCH("BorrowingsCurrent",MT_HS_CONSOLIDATED!$C:$C,0)),0))+IF(IF('MT_Inputs &amp; Assumptions'!$C$61="",'MT_Inputs &amp; Assumptions'!$C$60,'MT_Inputs &amp; Assumptions'!$C$61)=1,((IFERROR(INDEX(MT_HS_CONSOLIDATED!D:D,MATCH("NoncurrentLeaseLiabilities",MT_HS_CONSOLIDATED!$C:$C,0)),0)+IFERROR(INDEX(MT_HS_CONSOLIDATED!D:D,MATCH("LeaseLiabilitiesNonCurrent",MT_HS_CONSOLIDATED!$C:$C,0)),0))+(IFERROR(INDEX(MT_HS_CONSOLIDATED!D:D,MATCH("CurrentLeaseLiabilities",MT_HS_CONSOLIDATED!$C:$C,0)),0)+IFERROR(INDEX(MT_HS_CONSOLIDATED!D:D,MATCH("LeaseLiabilitiesCurrent",MT_HS_CONSOLIDATED!$C:$C,0)),0))),0))</f>
        <v/>
      </c>
      <c r="D92" s="83">
        <f>((IFERROR(INDEX(MT_HS_CONSOLIDATED!E:E,MATCH("BorrowingsNoncurrent",MT_HS_CONSOLIDATED!$C:$C,0)),0)+IFERROR(INDEX(MT_HS_CONSOLIDATED!E:E,MATCH("BorrowingsCurrent",MT_HS_CONSOLIDATED!$C:$C,0)),0))+IF(IF('MT_Inputs &amp; Assumptions'!$C$61="",'MT_Inputs &amp; Assumptions'!$C$60,'MT_Inputs &amp; Assumptions'!$C$61)=1,((IFERROR(INDEX(MT_HS_CONSOLIDATED!E:E,MATCH("NoncurrentLeaseLiabilities",MT_HS_CONSOLIDATED!$C:$C,0)),0)+IFERROR(INDEX(MT_HS_CONSOLIDATED!E:E,MATCH("LeaseLiabilitiesNonCurrent",MT_HS_CONSOLIDATED!$C:$C,0)),0))+(IFERROR(INDEX(MT_HS_CONSOLIDATED!E:E,MATCH("CurrentLeaseLiabilities",MT_HS_CONSOLIDATED!$C:$C,0)),0)+IFERROR(INDEX(MT_HS_CONSOLIDATED!E:E,MATCH("LeaseLiabilitiesCurrent",MT_HS_CONSOLIDATED!$C:$C,0)),0))),0))</f>
        <v/>
      </c>
      <c r="E92" s="83">
        <f>((IFERROR(INDEX(MT_HS_CONSOLIDATED!F:F,MATCH("BorrowingsNoncurrent",MT_HS_CONSOLIDATED!$C:$C,0)),0)+IFERROR(INDEX(MT_HS_CONSOLIDATED!F:F,MATCH("BorrowingsCurrent",MT_HS_CONSOLIDATED!$C:$C,0)),0))+IF(IF('MT_Inputs &amp; Assumptions'!$C$61="",'MT_Inputs &amp; Assumptions'!$C$60,'MT_Inputs &amp; Assumptions'!$C$61)=1,((IFERROR(INDEX(MT_HS_CONSOLIDATED!F:F,MATCH("NoncurrentLeaseLiabilities",MT_HS_CONSOLIDATED!$C:$C,0)),0)+IFERROR(INDEX(MT_HS_CONSOLIDATED!F:F,MATCH("LeaseLiabilitiesNonCurrent",MT_HS_CONSOLIDATED!$C:$C,0)),0))+(IFERROR(INDEX(MT_HS_CONSOLIDATED!F:F,MATCH("CurrentLeaseLiabilities",MT_HS_CONSOLIDATED!$C:$C,0)),0)+IFERROR(INDEX(MT_HS_CONSOLIDATED!F:F,MATCH("LeaseLiabilitiesCurrent",MT_HS_CONSOLIDATED!$C:$C,0)),0))),0))</f>
        <v/>
      </c>
      <c r="F92" s="83">
        <f>((IFERROR(INDEX(MT_HS_CONSOLIDATED!G:G,MATCH("BorrowingsNoncurrent",MT_HS_CONSOLIDATED!$C:$C,0)),0)+IFERROR(INDEX(MT_HS_CONSOLIDATED!G:G,MATCH("BorrowingsCurrent",MT_HS_CONSOLIDATED!$C:$C,0)),0))+IF(IF('MT_Inputs &amp; Assumptions'!$C$61="",'MT_Inputs &amp; Assumptions'!$C$60,'MT_Inputs &amp; Assumptions'!$C$61)=1,((IFERROR(INDEX(MT_HS_CONSOLIDATED!G:G,MATCH("NoncurrentLeaseLiabilities",MT_HS_CONSOLIDATED!$C:$C,0)),0)+IFERROR(INDEX(MT_HS_CONSOLIDATED!G:G,MATCH("LeaseLiabilitiesNonCurrent",MT_HS_CONSOLIDATED!$C:$C,0)),0))+(IFERROR(INDEX(MT_HS_CONSOLIDATED!G:G,MATCH("CurrentLeaseLiabilities",MT_HS_CONSOLIDATED!$C:$C,0)),0)+IFERROR(INDEX(MT_HS_CONSOLIDATED!G:G,MATCH("LeaseLiabilitiesCurrent",MT_HS_CONSOLIDATED!$C:$C,0)),0))),0))</f>
        <v/>
      </c>
      <c r="G92" s="83">
        <f>((IFERROR(INDEX(MT_HS_CONSOLIDATED!H:H,MATCH("BorrowingsNoncurrent",MT_HS_CONSOLIDATED!$C:$C,0)),0)+IFERROR(INDEX(MT_HS_CONSOLIDATED!H:H,MATCH("BorrowingsCurrent",MT_HS_CONSOLIDATED!$C:$C,0)),0))+IF(IF('MT_Inputs &amp; Assumptions'!$C$61="",'MT_Inputs &amp; Assumptions'!$C$60,'MT_Inputs &amp; Assumptions'!$C$61)=1,((IFERROR(INDEX(MT_HS_CONSOLIDATED!H:H,MATCH("NoncurrentLeaseLiabilities",MT_HS_CONSOLIDATED!$C:$C,0)),0)+IFERROR(INDEX(MT_HS_CONSOLIDATED!H:H,MATCH("LeaseLiabilitiesNonCurrent",MT_HS_CONSOLIDATED!$C:$C,0)),0))+(IFERROR(INDEX(MT_HS_CONSOLIDATED!H:H,MATCH("CurrentLeaseLiabilities",MT_HS_CONSOLIDATED!$C:$C,0)),0)+IFERROR(INDEX(MT_HS_CONSOLIDATED!H:H,MATCH("LeaseLiabilitiesCurrent",MT_HS_CONSOLIDATED!$C:$C,0)),0))),0))</f>
        <v/>
      </c>
      <c r="H92" s="83">
        <f>((IFERROR(INDEX(MT_HS_CONSOLIDATED!I:I,MATCH("BorrowingsNoncurrent",MT_HS_CONSOLIDATED!$C:$C,0)),0)+IFERROR(INDEX(MT_HS_CONSOLIDATED!I:I,MATCH("BorrowingsCurrent",MT_HS_CONSOLIDATED!$C:$C,0)),0))+IF(IF('MT_Inputs &amp; Assumptions'!$C$61="",'MT_Inputs &amp; Assumptions'!$C$60,'MT_Inputs &amp; Assumptions'!$C$61)=1,((IFERROR(INDEX(MT_HS_CONSOLIDATED!I:I,MATCH("NoncurrentLeaseLiabilities",MT_HS_CONSOLIDATED!$C:$C,0)),0)+IFERROR(INDEX(MT_HS_CONSOLIDATED!I:I,MATCH("LeaseLiabilitiesNonCurrent",MT_HS_CONSOLIDATED!$C:$C,0)),0))+(IFERROR(INDEX(MT_HS_CONSOLIDATED!I:I,MATCH("CurrentLeaseLiabilities",MT_HS_CONSOLIDATED!$C:$C,0)),0)+IFERROR(INDEX(MT_HS_CONSOLIDATED!I:I,MATCH("LeaseLiabilitiesCurrent",MT_HS_CONSOLIDATED!$C:$C,0)),0))),0))</f>
        <v/>
      </c>
      <c r="I92" s="83">
        <f>(IF('MT_Inputs &amp; Assumptions'!C67="",'MT_Inputs &amp; Assumptions'!C66,'MT_Inputs &amp; Assumptions'!C67))*(H131+H139)/(1-(IF('MT_Inputs &amp; Assumptions'!C67="",'MT_Inputs &amp; Assumptions'!C66,'MT_Inputs &amp; Assumptions'!C67)))</f>
        <v/>
      </c>
      <c r="J92" s="83">
        <f>(IF('MT_Inputs &amp; Assumptions'!D67="",'MT_Inputs &amp; Assumptions'!D66,'MT_Inputs &amp; Assumptions'!D67))*(I131+I139)/(1-(IF('MT_Inputs &amp; Assumptions'!D67="",'MT_Inputs &amp; Assumptions'!D66,'MT_Inputs &amp; Assumptions'!D67)))</f>
        <v/>
      </c>
      <c r="K92" s="83">
        <f>(IF('MT_Inputs &amp; Assumptions'!E67="",'MT_Inputs &amp; Assumptions'!E66,'MT_Inputs &amp; Assumptions'!E67))*(J131+J139)/(1-(IF('MT_Inputs &amp; Assumptions'!E67="",'MT_Inputs &amp; Assumptions'!E66,'MT_Inputs &amp; Assumptions'!E67)))</f>
        <v/>
      </c>
      <c r="L92" s="83">
        <f>(IF('MT_Inputs &amp; Assumptions'!F67="",'MT_Inputs &amp; Assumptions'!F66,'MT_Inputs &amp; Assumptions'!F67))*(K131+K139)/(1-(IF('MT_Inputs &amp; Assumptions'!F67="",'MT_Inputs &amp; Assumptions'!F66,'MT_Inputs &amp; Assumptions'!F67)))</f>
        <v/>
      </c>
      <c r="M92" s="83">
        <f>(IF('MT_Inputs &amp; Assumptions'!G67="",'MT_Inputs &amp; Assumptions'!G66,'MT_Inputs &amp; Assumptions'!G67))*(L131+L139)/(1-(IF('MT_Inputs &amp; Assumptions'!G67="",'MT_Inputs &amp; Assumptions'!G66,'MT_Inputs &amp; Assumptions'!G67)))</f>
        <v/>
      </c>
      <c r="N92" s="83">
        <f>(IF('MT_Inputs &amp; Assumptions'!H67="",'MT_Inputs &amp; Assumptions'!H66,'MT_Inputs &amp; Assumptions'!H67))*(M131+M139)/(1-(IF('MT_Inputs &amp; Assumptions'!H67="",'MT_Inputs &amp; Assumptions'!H66,'MT_Inputs &amp; Assumptions'!H67)))</f>
        <v/>
      </c>
      <c r="O92" s="83">
        <f>(IF('MT_Inputs &amp; Assumptions'!I67="",'MT_Inputs &amp; Assumptions'!I66,'MT_Inputs &amp; Assumptions'!I67))*(N131+N139)/(1-(IF('MT_Inputs &amp; Assumptions'!I67="",'MT_Inputs &amp; Assumptions'!I66,'MT_Inputs &amp; Assumptions'!I67)))</f>
        <v/>
      </c>
      <c r="P92" s="83">
        <f>(IF('MT_Inputs &amp; Assumptions'!J67="",'MT_Inputs &amp; Assumptions'!J66,'MT_Inputs &amp; Assumptions'!J67))*(O131+O139)/(1-(IF('MT_Inputs &amp; Assumptions'!J67="",'MT_Inputs &amp; Assumptions'!J66,'MT_Inputs &amp; Assumptions'!J67)))</f>
        <v/>
      </c>
      <c r="Q92" s="83">
        <f>(IF('MT_Inputs &amp; Assumptions'!K67="",'MT_Inputs &amp; Assumptions'!K66,'MT_Inputs &amp; Assumptions'!K67))*(P131+P139)/(1-(IF('MT_Inputs &amp; Assumptions'!K67="",'MT_Inputs &amp; Assumptions'!K66,'MT_Inputs &amp; Assumptions'!K67)))</f>
        <v/>
      </c>
      <c r="R92" s="83">
        <f>(IF('MT_Inputs &amp; Assumptions'!L67="",'MT_Inputs &amp; Assumptions'!L66,'MT_Inputs &amp; Assumptions'!L67))*(Q131+Q139)/(1-(IF('MT_Inputs &amp; Assumptions'!L67="",'MT_Inputs &amp; Assumptions'!L66,'MT_Inputs &amp; Assumptions'!L67)))</f>
        <v/>
      </c>
    </row>
    <row r="93">
      <c r="B93" s="202" t="inlineStr">
        <is>
          <t>Tie-check, historical only</t>
        </is>
      </c>
      <c r="C93" s="211" t="inlineStr">
        <is>
          <t>n/a</t>
        </is>
      </c>
      <c r="D93" s="85">
        <f>D92-((IFERROR(INDEX(MT_HS_CONSOLIDATED!E:E,MATCH("BorrowingsNoncurrent",MT_HS_CONSOLIDATED!$C:$C,0)),0)+IFERROR(INDEX(MT_HS_CONSOLIDATED!E:E,MATCH("BorrowingsCurrent",MT_HS_CONSOLIDATED!$C:$C,0)),0))+IF(IF('MT_Inputs &amp; Assumptions'!$C$61="",'MT_Inputs &amp; Assumptions'!$C$60,'MT_Inputs &amp; Assumptions'!$C$61)=1,((IFERROR(INDEX(MT_HS_CONSOLIDATED!E:E,MATCH("NoncurrentLeaseLiabilities",MT_HS_CONSOLIDATED!$C:$C,0)),0)+IFERROR(INDEX(MT_HS_CONSOLIDATED!E:E,MATCH("LeaseLiabilitiesNonCurrent",MT_HS_CONSOLIDATED!$C:$C,0)),0))+(IFERROR(INDEX(MT_HS_CONSOLIDATED!E:E,MATCH("CurrentLeaseLiabilities",MT_HS_CONSOLIDATED!$C:$C,0)),0)+IFERROR(INDEX(MT_HS_CONSOLIDATED!E:E,MATCH("LeaseLiabilitiesCurrent",MT_HS_CONSOLIDATED!$C:$C,0)),0))),0))</f>
        <v/>
      </c>
      <c r="E93" s="85">
        <f>E92-((IFERROR(INDEX(MT_HS_CONSOLIDATED!F:F,MATCH("BorrowingsNoncurrent",MT_HS_CONSOLIDATED!$C:$C,0)),0)+IFERROR(INDEX(MT_HS_CONSOLIDATED!F:F,MATCH("BorrowingsCurrent",MT_HS_CONSOLIDATED!$C:$C,0)),0))+IF(IF('MT_Inputs &amp; Assumptions'!$C$61="",'MT_Inputs &amp; Assumptions'!$C$60,'MT_Inputs &amp; Assumptions'!$C$61)=1,((IFERROR(INDEX(MT_HS_CONSOLIDATED!F:F,MATCH("NoncurrentLeaseLiabilities",MT_HS_CONSOLIDATED!$C:$C,0)),0)+IFERROR(INDEX(MT_HS_CONSOLIDATED!F:F,MATCH("LeaseLiabilitiesNonCurrent",MT_HS_CONSOLIDATED!$C:$C,0)),0))+(IFERROR(INDEX(MT_HS_CONSOLIDATED!F:F,MATCH("CurrentLeaseLiabilities",MT_HS_CONSOLIDATED!$C:$C,0)),0)+IFERROR(INDEX(MT_HS_CONSOLIDATED!F:F,MATCH("LeaseLiabilitiesCurrent",MT_HS_CONSOLIDATED!$C:$C,0)),0))),0))</f>
        <v/>
      </c>
      <c r="F93" s="85">
        <f>F92-((IFERROR(INDEX(MT_HS_CONSOLIDATED!G:G,MATCH("BorrowingsNoncurrent",MT_HS_CONSOLIDATED!$C:$C,0)),0)+IFERROR(INDEX(MT_HS_CONSOLIDATED!G:G,MATCH("BorrowingsCurrent",MT_HS_CONSOLIDATED!$C:$C,0)),0))+IF(IF('MT_Inputs &amp; Assumptions'!$C$61="",'MT_Inputs &amp; Assumptions'!$C$60,'MT_Inputs &amp; Assumptions'!$C$61)=1,((IFERROR(INDEX(MT_HS_CONSOLIDATED!G:G,MATCH("NoncurrentLeaseLiabilities",MT_HS_CONSOLIDATED!$C:$C,0)),0)+IFERROR(INDEX(MT_HS_CONSOLIDATED!G:G,MATCH("LeaseLiabilitiesNonCurrent",MT_HS_CONSOLIDATED!$C:$C,0)),0))+(IFERROR(INDEX(MT_HS_CONSOLIDATED!G:G,MATCH("CurrentLeaseLiabilities",MT_HS_CONSOLIDATED!$C:$C,0)),0)+IFERROR(INDEX(MT_HS_CONSOLIDATED!G:G,MATCH("LeaseLiabilitiesCurrent",MT_HS_CONSOLIDATED!$C:$C,0)),0))),0))</f>
        <v/>
      </c>
      <c r="G93" s="85">
        <f>G92-((IFERROR(INDEX(MT_HS_CONSOLIDATED!H:H,MATCH("BorrowingsNoncurrent",MT_HS_CONSOLIDATED!$C:$C,0)),0)+IFERROR(INDEX(MT_HS_CONSOLIDATED!H:H,MATCH("BorrowingsCurrent",MT_HS_CONSOLIDATED!$C:$C,0)),0))+IF(IF('MT_Inputs &amp; Assumptions'!$C$61="",'MT_Inputs &amp; Assumptions'!$C$60,'MT_Inputs &amp; Assumptions'!$C$61)=1,((IFERROR(INDEX(MT_HS_CONSOLIDATED!H:H,MATCH("NoncurrentLeaseLiabilities",MT_HS_CONSOLIDATED!$C:$C,0)),0)+IFERROR(INDEX(MT_HS_CONSOLIDATED!H:H,MATCH("LeaseLiabilitiesNonCurrent",MT_HS_CONSOLIDATED!$C:$C,0)),0))+(IFERROR(INDEX(MT_HS_CONSOLIDATED!H:H,MATCH("CurrentLeaseLiabilities",MT_HS_CONSOLIDATED!$C:$C,0)),0)+IFERROR(INDEX(MT_HS_CONSOLIDATED!H:H,MATCH("LeaseLiabilitiesCurrent",MT_HS_CONSOLIDATED!$C:$C,0)),0))),0))</f>
        <v/>
      </c>
      <c r="H93" s="85">
        <f>H92-((IFERROR(INDEX(MT_HS_CONSOLIDATED!I:I,MATCH("BorrowingsNoncurrent",MT_HS_CONSOLIDATED!$C:$C,0)),0)+IFERROR(INDEX(MT_HS_CONSOLIDATED!I:I,MATCH("BorrowingsCurrent",MT_HS_CONSOLIDATED!$C:$C,0)),0))+IF(IF('MT_Inputs &amp; Assumptions'!$C$61="",'MT_Inputs &amp; Assumptions'!$C$60,'MT_Inputs &amp; Assumptions'!$C$61)=1,((IFERROR(INDEX(MT_HS_CONSOLIDATED!I:I,MATCH("NoncurrentLeaseLiabilities",MT_HS_CONSOLIDATED!$C:$C,0)),0)+IFERROR(INDEX(MT_HS_CONSOLIDATED!I:I,MATCH("LeaseLiabilitiesNonCurrent",MT_HS_CONSOLIDATED!$C:$C,0)),0))+(IFERROR(INDEX(MT_HS_CONSOLIDATED!I:I,MATCH("CurrentLeaseLiabilities",MT_HS_CONSOLIDATED!$C:$C,0)),0)+IFERROR(INDEX(MT_HS_CONSOLIDATED!I:I,MATCH("LeaseLiabilitiesCurrent",MT_HS_CONSOLIDATED!$C:$C,0)),0))),0))</f>
        <v/>
      </c>
    </row>
    <row r="95">
      <c r="B95" s="211" t="inlineStr">
        <is>
          <t>Average Total Debt</t>
        </is>
      </c>
      <c r="C95" s="86">
        <f>AVERAGE(C92,C92)</f>
        <v/>
      </c>
      <c r="D95" s="86">
        <f>AVERAGE(D88,D92)</f>
        <v/>
      </c>
      <c r="E95" s="86">
        <f>AVERAGE(E88,E92)</f>
        <v/>
      </c>
      <c r="F95" s="86">
        <f>AVERAGE(F88,F92)</f>
        <v/>
      </c>
      <c r="G95" s="86">
        <f>AVERAGE(G88,G92)</f>
        <v/>
      </c>
      <c r="H95" s="86">
        <f>AVERAGE(H88,H92)</f>
        <v/>
      </c>
      <c r="I95" s="86">
        <f>AVERAGE(I88,I92)</f>
        <v/>
      </c>
      <c r="J95" s="86">
        <f>AVERAGE(J88,J92)</f>
        <v/>
      </c>
      <c r="K95" s="86">
        <f>AVERAGE(K88,K92)</f>
        <v/>
      </c>
      <c r="L95" s="86">
        <f>AVERAGE(L88,L92)</f>
        <v/>
      </c>
      <c r="M95" s="86">
        <f>AVERAGE(M88,M92)</f>
        <v/>
      </c>
      <c r="N95" s="86">
        <f>AVERAGE(N88,N92)</f>
        <v/>
      </c>
      <c r="O95" s="86">
        <f>AVERAGE(O88,O92)</f>
        <v/>
      </c>
      <c r="P95" s="86">
        <f>AVERAGE(P88,P92)</f>
        <v/>
      </c>
      <c r="Q95" s="86">
        <f>AVERAGE(Q88,Q92)</f>
        <v/>
      </c>
      <c r="R95" s="86">
        <f>AVERAGE(R88,R92)</f>
        <v/>
      </c>
    </row>
    <row r="96">
      <c r="B96" s="211" t="inlineStr">
        <is>
          <t>Effective Interest Rate %</t>
        </is>
      </c>
      <c r="C96" s="89">
        <f>IFERROR((IF(AND(IF('MT_Inputs &amp; Assumptions'!$C$61="",'MT_Inputs &amp; Assumptions'!$C$60,'MT_Inputs &amp; Assumptions'!$C$61)=1,((IFERROR(INDEX(MT_HS_CONSOLIDATED!D:D,MATCH("NoncurrentLeaseLiabilities",MT_HS_CONSOLIDATED!$C:$C,0)),0)+IFERROR(INDEX(MT_HS_CONSOLIDATED!D:D,MATCH("LeaseLiabilitiesNonCurrent",MT_HS_CONSOLIDATED!$C:$C,0)),0))+(IFERROR(INDEX(MT_HS_CONSOLIDATED!D:D,MATCH("CurrentLeaseLiabilities",MT_HS_CONSOLIDATED!$C:$C,0)),0)+IFERROR(INDEX(MT_HS_CONSOLIDATED!D:D,MATCH("LeaseLiabilitiesCurrent",MT_HS_CONSOLIDATED!$C:$C,0)),0)))&gt;0),IFERROR(INDEX(MT_HS_CONSOLIDATED!D:D,MATCH("InterestExpense",MT_HS_CONSOLIDATED!$C:$C,0)),0),(IFERROR(INDEX(MT_HS_CONSOLIDATED!D:D,MATCH("InterestExpense",MT_HS_CONSOLIDATED!$C:$C,0)),0))-(IFERROR(INDEX(MT_HS_CONSOLIDATED!D:D,MATCH("InterestExpenseOnLeaseLiabilities",MT_HS_CONSOLIDATED!$C:$C,0)),0))))/C95,0)</f>
        <v/>
      </c>
      <c r="D96" s="89">
        <f>IFERROR((IF(AND(IF('MT_Inputs &amp; Assumptions'!$C$61="",'MT_Inputs &amp; Assumptions'!$C$60,'MT_Inputs &amp; Assumptions'!$C$61)=1,((IFERROR(INDEX(MT_HS_CONSOLIDATED!E:E,MATCH("NoncurrentLeaseLiabilities",MT_HS_CONSOLIDATED!$C:$C,0)),0)+IFERROR(INDEX(MT_HS_CONSOLIDATED!E:E,MATCH("LeaseLiabilitiesNonCurrent",MT_HS_CONSOLIDATED!$C:$C,0)),0))+(IFERROR(INDEX(MT_HS_CONSOLIDATED!E:E,MATCH("CurrentLeaseLiabilities",MT_HS_CONSOLIDATED!$C:$C,0)),0)+IFERROR(INDEX(MT_HS_CONSOLIDATED!E:E,MATCH("LeaseLiabilitiesCurrent",MT_HS_CONSOLIDATED!$C:$C,0)),0)))&gt;0),IFERROR(INDEX(MT_HS_CONSOLIDATED!E:E,MATCH("InterestExpense",MT_HS_CONSOLIDATED!$C:$C,0)),0),(IFERROR(INDEX(MT_HS_CONSOLIDATED!E:E,MATCH("InterestExpense",MT_HS_CONSOLIDATED!$C:$C,0)),0))-(IFERROR(INDEX(MT_HS_CONSOLIDATED!E:E,MATCH("InterestExpenseOnLeaseLiabilities",MT_HS_CONSOLIDATED!$C:$C,0)),0))))/D95,0)</f>
        <v/>
      </c>
      <c r="E96" s="89">
        <f>IFERROR((IF(AND(IF('MT_Inputs &amp; Assumptions'!$C$61="",'MT_Inputs &amp; Assumptions'!$C$60,'MT_Inputs &amp; Assumptions'!$C$61)=1,((IFERROR(INDEX(MT_HS_CONSOLIDATED!F:F,MATCH("NoncurrentLeaseLiabilities",MT_HS_CONSOLIDATED!$C:$C,0)),0)+IFERROR(INDEX(MT_HS_CONSOLIDATED!F:F,MATCH("LeaseLiabilitiesNonCurrent",MT_HS_CONSOLIDATED!$C:$C,0)),0))+(IFERROR(INDEX(MT_HS_CONSOLIDATED!F:F,MATCH("CurrentLeaseLiabilities",MT_HS_CONSOLIDATED!$C:$C,0)),0)+IFERROR(INDEX(MT_HS_CONSOLIDATED!F:F,MATCH("LeaseLiabilitiesCurrent",MT_HS_CONSOLIDATED!$C:$C,0)),0)))&gt;0),IFERROR(INDEX(MT_HS_CONSOLIDATED!F:F,MATCH("InterestExpense",MT_HS_CONSOLIDATED!$C:$C,0)),0),(IFERROR(INDEX(MT_HS_CONSOLIDATED!F:F,MATCH("InterestExpense",MT_HS_CONSOLIDATED!$C:$C,0)),0))-(IFERROR(INDEX(MT_HS_CONSOLIDATED!F:F,MATCH("InterestExpenseOnLeaseLiabilities",MT_HS_CONSOLIDATED!$C:$C,0)),0))))/E95,0)</f>
        <v/>
      </c>
      <c r="F96" s="89">
        <f>IFERROR((IF(AND(IF('MT_Inputs &amp; Assumptions'!$C$61="",'MT_Inputs &amp; Assumptions'!$C$60,'MT_Inputs &amp; Assumptions'!$C$61)=1,((IFERROR(INDEX(MT_HS_CONSOLIDATED!G:G,MATCH("NoncurrentLeaseLiabilities",MT_HS_CONSOLIDATED!$C:$C,0)),0)+IFERROR(INDEX(MT_HS_CONSOLIDATED!G:G,MATCH("LeaseLiabilitiesNonCurrent",MT_HS_CONSOLIDATED!$C:$C,0)),0))+(IFERROR(INDEX(MT_HS_CONSOLIDATED!G:G,MATCH("CurrentLeaseLiabilities",MT_HS_CONSOLIDATED!$C:$C,0)),0)+IFERROR(INDEX(MT_HS_CONSOLIDATED!G:G,MATCH("LeaseLiabilitiesCurrent",MT_HS_CONSOLIDATED!$C:$C,0)),0)))&gt;0),IFERROR(INDEX(MT_HS_CONSOLIDATED!G:G,MATCH("InterestExpense",MT_HS_CONSOLIDATED!$C:$C,0)),0),(IFERROR(INDEX(MT_HS_CONSOLIDATED!G:G,MATCH("InterestExpense",MT_HS_CONSOLIDATED!$C:$C,0)),0))-(IFERROR(INDEX(MT_HS_CONSOLIDATED!G:G,MATCH("InterestExpenseOnLeaseLiabilities",MT_HS_CONSOLIDATED!$C:$C,0)),0))))/F95,0)</f>
        <v/>
      </c>
      <c r="G96" s="89">
        <f>IFERROR((IF(AND(IF('MT_Inputs &amp; Assumptions'!$C$61="",'MT_Inputs &amp; Assumptions'!$C$60,'MT_Inputs &amp; Assumptions'!$C$61)=1,((IFERROR(INDEX(MT_HS_CONSOLIDATED!H:H,MATCH("NoncurrentLeaseLiabilities",MT_HS_CONSOLIDATED!$C:$C,0)),0)+IFERROR(INDEX(MT_HS_CONSOLIDATED!H:H,MATCH("LeaseLiabilitiesNonCurrent",MT_HS_CONSOLIDATED!$C:$C,0)),0))+(IFERROR(INDEX(MT_HS_CONSOLIDATED!H:H,MATCH("CurrentLeaseLiabilities",MT_HS_CONSOLIDATED!$C:$C,0)),0)+IFERROR(INDEX(MT_HS_CONSOLIDATED!H:H,MATCH("LeaseLiabilitiesCurrent",MT_HS_CONSOLIDATED!$C:$C,0)),0)))&gt;0),IFERROR(INDEX(MT_HS_CONSOLIDATED!H:H,MATCH("InterestExpense",MT_HS_CONSOLIDATED!$C:$C,0)),0),(IFERROR(INDEX(MT_HS_CONSOLIDATED!H:H,MATCH("InterestExpense",MT_HS_CONSOLIDATED!$C:$C,0)),0))-(IFERROR(INDEX(MT_HS_CONSOLIDATED!H:H,MATCH("InterestExpenseOnLeaseLiabilities",MT_HS_CONSOLIDATED!$C:$C,0)),0))))/G95,0)</f>
        <v/>
      </c>
      <c r="H96" s="89">
        <f>IFERROR((IF(AND(IF('MT_Inputs &amp; Assumptions'!$C$61="",'MT_Inputs &amp; Assumptions'!$C$60,'MT_Inputs &amp; Assumptions'!$C$61)=1,((IFERROR(INDEX(MT_HS_CONSOLIDATED!I:I,MATCH("NoncurrentLeaseLiabilities",MT_HS_CONSOLIDATED!$C:$C,0)),0)+IFERROR(INDEX(MT_HS_CONSOLIDATED!I:I,MATCH("LeaseLiabilitiesNonCurrent",MT_HS_CONSOLIDATED!$C:$C,0)),0))+(IFERROR(INDEX(MT_HS_CONSOLIDATED!I:I,MATCH("CurrentLeaseLiabilities",MT_HS_CONSOLIDATED!$C:$C,0)),0)+IFERROR(INDEX(MT_HS_CONSOLIDATED!I:I,MATCH("LeaseLiabilitiesCurrent",MT_HS_CONSOLIDATED!$C:$C,0)),0)))&gt;0),IFERROR(INDEX(MT_HS_CONSOLIDATED!I:I,MATCH("InterestExpense",MT_HS_CONSOLIDATED!$C:$C,0)),0),(IFERROR(INDEX(MT_HS_CONSOLIDATED!I:I,MATCH("InterestExpense",MT_HS_CONSOLIDATED!$C:$C,0)),0))-(IFERROR(INDEX(MT_HS_CONSOLIDATED!I:I,MATCH("InterestExpenseOnLeaseLiabilities",MT_HS_CONSOLIDATED!$C:$C,0)),0))))/H95,0)</f>
        <v/>
      </c>
    </row>
    <row r="97">
      <c r="B97" s="82" t="inlineStr">
        <is>
          <t>Interest Expense</t>
        </is>
      </c>
      <c r="C97" s="90">
        <f>C95*C96</f>
        <v/>
      </c>
      <c r="D97" s="90">
        <f>D95*D96</f>
        <v/>
      </c>
      <c r="E97" s="90">
        <f>E95*E96</f>
        <v/>
      </c>
      <c r="F97" s="90">
        <f>F95*F96</f>
        <v/>
      </c>
      <c r="G97" s="90">
        <f>G95*G96</f>
        <v/>
      </c>
      <c r="H97" s="90">
        <f>H95*H96</f>
        <v/>
      </c>
      <c r="I97" s="90">
        <f>I95*(IF('MT_Inputs &amp; Assumptions'!C64="",'MT_Inputs &amp; Assumptions'!C63,'MT_Inputs &amp; Assumptions'!C64))</f>
        <v/>
      </c>
      <c r="J97" s="90">
        <f>J95*(IF('MT_Inputs &amp; Assumptions'!D64="",'MT_Inputs &amp; Assumptions'!D63,'MT_Inputs &amp; Assumptions'!D64))</f>
        <v/>
      </c>
      <c r="K97" s="90">
        <f>K95*(IF('MT_Inputs &amp; Assumptions'!E64="",'MT_Inputs &amp; Assumptions'!E63,'MT_Inputs &amp; Assumptions'!E64))</f>
        <v/>
      </c>
      <c r="L97" s="90">
        <f>L95*(IF('MT_Inputs &amp; Assumptions'!F64="",'MT_Inputs &amp; Assumptions'!F63,'MT_Inputs &amp; Assumptions'!F64))</f>
        <v/>
      </c>
      <c r="M97" s="90">
        <f>M95*(IF('MT_Inputs &amp; Assumptions'!G64="",'MT_Inputs &amp; Assumptions'!G63,'MT_Inputs &amp; Assumptions'!G64))</f>
        <v/>
      </c>
      <c r="N97" s="90">
        <f>N95*(IF('MT_Inputs &amp; Assumptions'!H64="",'MT_Inputs &amp; Assumptions'!H63,'MT_Inputs &amp; Assumptions'!H64))</f>
        <v/>
      </c>
      <c r="O97" s="90">
        <f>O95*(IF('MT_Inputs &amp; Assumptions'!I64="",'MT_Inputs &amp; Assumptions'!I63,'MT_Inputs &amp; Assumptions'!I64))</f>
        <v/>
      </c>
      <c r="P97" s="90">
        <f>P95*(IF('MT_Inputs &amp; Assumptions'!J64="",'MT_Inputs &amp; Assumptions'!J63,'MT_Inputs &amp; Assumptions'!J64))</f>
        <v/>
      </c>
      <c r="Q97" s="90">
        <f>Q95*(IF('MT_Inputs &amp; Assumptions'!K64="",'MT_Inputs &amp; Assumptions'!K63,'MT_Inputs &amp; Assumptions'!K64))</f>
        <v/>
      </c>
      <c r="R97" s="90">
        <f>R95*(IF('MT_Inputs &amp; Assumptions'!L64="",'MT_Inputs &amp; Assumptions'!L63,'MT_Inputs &amp; Assumptions'!L64))</f>
        <v/>
      </c>
    </row>
    <row r="99" ht="40" customHeight="1" s="203">
      <c r="B99" s="88">
        <f>IF(AND(IF('MT_Inputs &amp; Assumptions'!$C$61="",'MT_Inputs &amp; Assumptions'!$C$60,'MT_Inputs &amp; Assumptions'!$C$61)=1,((IFERROR(INDEX('MT_HS_CONSOLIDATED'!I:I,MATCH("NoncurrentLeaseLiabilities",'MT_HS_CONSOLIDATED'!$C:$C,0)),0)+IFERROR(INDEX('MT_HS_CONSOLIDATED'!I:I,MATCH("LeaseLiabilitiesNonCurrent",'MT_HS_CONSOLIDATED'!$C:$C,0)),0)+IFERROR(INDEX('MT_HS_CONSOLIDATED'!I:I,MATCH("CurrentLeaseLiabilities",'MT_HS_CONSOLIDATED'!$C:$C,0)),0)+IFERROR(INDEX('MT_HS_CONSOLIDATED'!I:I,MATCH("LeaseLiabilitiesCurrent",'MT_HS_CONSOLIDATED'!$C:$C,0)),0)))&lt;=0),"⚠ Include Lease Liabilities as Quasi-Debt is ON, but this company's filing does not separately tag a lease liability balance (only lease interest/payments) -- Total Debt still excludes leases, and the interest treatment has fallen back to excluding lease interest too, to avoid mismatching a bigger interest numerator against an unchanged debt base.","")</f>
        <v/>
      </c>
    </row>
    <row r="102" ht="18.5" customHeight="1" s="203">
      <c r="A102" t="inlineStr">
        <is>
          <t>#</t>
        </is>
      </c>
      <c r="B102" s="78" t="inlineStr">
        <is>
          <t>Tax Schedule</t>
        </is>
      </c>
    </row>
    <row r="105">
      <c r="B105" s="205" t="inlineStr">
        <is>
          <t>Profit Before Tax (from Income Statement)</t>
        </is>
      </c>
      <c r="C105" s="80">
        <f>IFERROR(INDEX(MT_HS_CONSOLIDATED!D:D,MATCH("ProfitBeforeTax",MT_HS_CONSOLIDATED!$C:$C,0)),0)</f>
        <v/>
      </c>
      <c r="D105" s="80">
        <f>IFERROR(INDEX(MT_HS_CONSOLIDATED!E:E,MATCH("ProfitBeforeTax",MT_HS_CONSOLIDATED!$C:$C,0)),0)</f>
        <v/>
      </c>
      <c r="E105" s="80">
        <f>IFERROR(INDEX(MT_HS_CONSOLIDATED!F:F,MATCH("ProfitBeforeTax",MT_HS_CONSOLIDATED!$C:$C,0)),0)</f>
        <v/>
      </c>
      <c r="F105" s="80">
        <f>IFERROR(INDEX(MT_HS_CONSOLIDATED!G:G,MATCH("ProfitBeforeTax",MT_HS_CONSOLIDATED!$C:$C,0)),0)</f>
        <v/>
      </c>
      <c r="G105" s="80">
        <f>IFERROR(INDEX(MT_HS_CONSOLIDATED!H:H,MATCH("ProfitBeforeTax",MT_HS_CONSOLIDATED!$C:$C,0)),0)</f>
        <v/>
      </c>
      <c r="H105" s="80">
        <f>IFERROR(INDEX(MT_HS_CONSOLIDATED!I:I,MATCH("ProfitBeforeTax",MT_HS_CONSOLIDATED!$C:$C,0)),0)</f>
        <v/>
      </c>
      <c r="I105" s="81">
        <f>'MT_P&amp;L Schedule'!I19</f>
        <v/>
      </c>
      <c r="J105" s="81">
        <f>'MT_P&amp;L Schedule'!J19</f>
        <v/>
      </c>
      <c r="K105" s="81">
        <f>'MT_P&amp;L Schedule'!K19</f>
        <v/>
      </c>
      <c r="L105" s="81">
        <f>'MT_P&amp;L Schedule'!L19</f>
        <v/>
      </c>
      <c r="M105" s="81">
        <f>'MT_P&amp;L Schedule'!M19</f>
        <v/>
      </c>
      <c r="N105" s="81">
        <f>'MT_P&amp;L Schedule'!N19</f>
        <v/>
      </c>
      <c r="O105" s="81">
        <f>'MT_P&amp;L Schedule'!O19</f>
        <v/>
      </c>
      <c r="P105" s="81">
        <f>'MT_P&amp;L Schedule'!P19</f>
        <v/>
      </c>
      <c r="Q105" s="81">
        <f>'MT_P&amp;L Schedule'!Q19</f>
        <v/>
      </c>
      <c r="R105" s="81">
        <f>'MT_P&amp;L Schedule'!R19</f>
        <v/>
      </c>
    </row>
    <row r="106">
      <c r="B106" s="82" t="inlineStr">
        <is>
          <t>Total Tax Expense (= Current + Deferred)</t>
        </is>
      </c>
      <c r="C106" s="91">
        <f>IFERROR(INDEX(MT_HS_CONSOLIDATED!D:D,MATCH("IncomeTaxExpenseContinuingOperations",MT_HS_CONSOLIDATED!$C:$C,0)),0)</f>
        <v/>
      </c>
      <c r="D106" s="91">
        <f>IFERROR(INDEX(MT_HS_CONSOLIDATED!E:E,MATCH("IncomeTaxExpenseContinuingOperations",MT_HS_CONSOLIDATED!$C:$C,0)),0)</f>
        <v/>
      </c>
      <c r="E106" s="91">
        <f>IFERROR(INDEX(MT_HS_CONSOLIDATED!F:F,MATCH("IncomeTaxExpenseContinuingOperations",MT_HS_CONSOLIDATED!$C:$C,0)),0)</f>
        <v/>
      </c>
      <c r="F106" s="91">
        <f>IFERROR(INDEX(MT_HS_CONSOLIDATED!G:G,MATCH("IncomeTaxExpenseContinuingOperations",MT_HS_CONSOLIDATED!$C:$C,0)),0)</f>
        <v/>
      </c>
      <c r="G106" s="91">
        <f>IFERROR(INDEX(MT_HS_CONSOLIDATED!H:H,MATCH("IncomeTaxExpenseContinuingOperations",MT_HS_CONSOLIDATED!$C:$C,0)),0)</f>
        <v/>
      </c>
      <c r="H106" s="91">
        <f>IFERROR(INDEX(MT_HS_CONSOLIDATED!I:I,MATCH("IncomeTaxExpenseContinuingOperations",MT_HS_CONSOLIDATED!$C:$C,0)),0)</f>
        <v/>
      </c>
      <c r="I106" s="83">
        <f>I108+I109</f>
        <v/>
      </c>
      <c r="J106" s="83">
        <f>J108+J109</f>
        <v/>
      </c>
      <c r="K106" s="83">
        <f>K108+K109</f>
        <v/>
      </c>
      <c r="L106" s="83">
        <f>L108+L109</f>
        <v/>
      </c>
      <c r="M106" s="83">
        <f>M108+M109</f>
        <v/>
      </c>
      <c r="N106" s="83">
        <f>N108+N109</f>
        <v/>
      </c>
      <c r="O106" s="83">
        <f>O108+O109</f>
        <v/>
      </c>
      <c r="P106" s="83">
        <f>P108+P109</f>
        <v/>
      </c>
      <c r="Q106" s="83">
        <f>Q108+Q109</f>
        <v/>
      </c>
      <c r="R106" s="83">
        <f>R108+R109</f>
        <v/>
      </c>
    </row>
    <row r="108">
      <c r="B108" s="205" t="inlineStr">
        <is>
          <t>Current Tax Expense</t>
        </is>
      </c>
      <c r="C108" s="80">
        <f>IFERROR(INDEX(MT_HS_CONSOLIDATED!D:D,MATCH("CurrentTaxExpenseIncomeAndAdjustmentsForCurrentTaxOfPriorPeriods",MT_HS_CONSOLIDATED!$C:$C,0)),0)</f>
        <v/>
      </c>
      <c r="D108" s="80">
        <f>IFERROR(INDEX(MT_HS_CONSOLIDATED!E:E,MATCH("CurrentTaxExpenseIncomeAndAdjustmentsForCurrentTaxOfPriorPeriods",MT_HS_CONSOLIDATED!$C:$C,0)),0)</f>
        <v/>
      </c>
      <c r="E108" s="80">
        <f>IFERROR(INDEX(MT_HS_CONSOLIDATED!F:F,MATCH("CurrentTaxExpenseIncomeAndAdjustmentsForCurrentTaxOfPriorPeriods",MT_HS_CONSOLIDATED!$C:$C,0)),0)</f>
        <v/>
      </c>
      <c r="F108" s="80">
        <f>IFERROR(INDEX(MT_HS_CONSOLIDATED!G:G,MATCH("CurrentTaxExpenseIncomeAndAdjustmentsForCurrentTaxOfPriorPeriods",MT_HS_CONSOLIDATED!$C:$C,0)),0)</f>
        <v/>
      </c>
      <c r="G108" s="80">
        <f>IFERROR(INDEX(MT_HS_CONSOLIDATED!H:H,MATCH("CurrentTaxExpenseIncomeAndAdjustmentsForCurrentTaxOfPriorPeriods",MT_HS_CONSOLIDATED!$C:$C,0)),0)</f>
        <v/>
      </c>
      <c r="H108" s="80">
        <f>IFERROR(INDEX(MT_HS_CONSOLIDATED!I:I,MATCH("CurrentTaxExpenseIncomeAndAdjustmentsForCurrentTaxOfPriorPeriods",MT_HS_CONSOLIDATED!$C:$C,0)),0)</f>
        <v/>
      </c>
      <c r="I108" s="90">
        <f>MAX(I125*(IF('MT_Inputs &amp; Assumptions'!$C$72="",'MT_Inputs &amp; Assumptions'!$C$71,'MT_Inputs &amp; Assumptions'!$C$72)),MAX(I105,0)*(IF('MT_Inputs &amp; Assumptions'!C75="",'MT_Inputs &amp; Assumptions'!C74,'MT_Inputs &amp; Assumptions'!C75)))</f>
        <v/>
      </c>
      <c r="J108" s="90">
        <f>MAX(J125*(IF('MT_Inputs &amp; Assumptions'!$C$72="",'MT_Inputs &amp; Assumptions'!$C$71,'MT_Inputs &amp; Assumptions'!$C$72)),MAX(J105,0)*(IF('MT_Inputs &amp; Assumptions'!D75="",'MT_Inputs &amp; Assumptions'!D74,'MT_Inputs &amp; Assumptions'!D75)))</f>
        <v/>
      </c>
      <c r="K108" s="90">
        <f>MAX(K125*(IF('MT_Inputs &amp; Assumptions'!$C$72="",'MT_Inputs &amp; Assumptions'!$C$71,'MT_Inputs &amp; Assumptions'!$C$72)),MAX(K105,0)*(IF('MT_Inputs &amp; Assumptions'!E75="",'MT_Inputs &amp; Assumptions'!E74,'MT_Inputs &amp; Assumptions'!E75)))</f>
        <v/>
      </c>
      <c r="L108" s="90">
        <f>MAX(L125*(IF('MT_Inputs &amp; Assumptions'!$C$72="",'MT_Inputs &amp; Assumptions'!$C$71,'MT_Inputs &amp; Assumptions'!$C$72)),MAX(L105,0)*(IF('MT_Inputs &amp; Assumptions'!F75="",'MT_Inputs &amp; Assumptions'!F74,'MT_Inputs &amp; Assumptions'!F75)))</f>
        <v/>
      </c>
      <c r="M108" s="90">
        <f>MAX(M125*(IF('MT_Inputs &amp; Assumptions'!$C$72="",'MT_Inputs &amp; Assumptions'!$C$71,'MT_Inputs &amp; Assumptions'!$C$72)),MAX(M105,0)*(IF('MT_Inputs &amp; Assumptions'!G75="",'MT_Inputs &amp; Assumptions'!G74,'MT_Inputs &amp; Assumptions'!G75)))</f>
        <v/>
      </c>
      <c r="N108" s="90">
        <f>MAX(N125*(IF('MT_Inputs &amp; Assumptions'!$C$72="",'MT_Inputs &amp; Assumptions'!$C$71,'MT_Inputs &amp; Assumptions'!$C$72)),MAX(N105,0)*(IF('MT_Inputs &amp; Assumptions'!H75="",'MT_Inputs &amp; Assumptions'!H74,'MT_Inputs &amp; Assumptions'!H75)))</f>
        <v/>
      </c>
      <c r="O108" s="90">
        <f>MAX(O125*(IF('MT_Inputs &amp; Assumptions'!$C$72="",'MT_Inputs &amp; Assumptions'!$C$71,'MT_Inputs &amp; Assumptions'!$C$72)),MAX(O105,0)*(IF('MT_Inputs &amp; Assumptions'!I75="",'MT_Inputs &amp; Assumptions'!I74,'MT_Inputs &amp; Assumptions'!I75)))</f>
        <v/>
      </c>
      <c r="P108" s="90">
        <f>MAX(P125*(IF('MT_Inputs &amp; Assumptions'!$C$72="",'MT_Inputs &amp; Assumptions'!$C$71,'MT_Inputs &amp; Assumptions'!$C$72)),MAX(P105,0)*(IF('MT_Inputs &amp; Assumptions'!J75="",'MT_Inputs &amp; Assumptions'!J74,'MT_Inputs &amp; Assumptions'!J75)))</f>
        <v/>
      </c>
      <c r="Q108" s="90">
        <f>MAX(Q125*(IF('MT_Inputs &amp; Assumptions'!$C$72="",'MT_Inputs &amp; Assumptions'!$C$71,'MT_Inputs &amp; Assumptions'!$C$72)),MAX(Q105,0)*(IF('MT_Inputs &amp; Assumptions'!K75="",'MT_Inputs &amp; Assumptions'!K74,'MT_Inputs &amp; Assumptions'!K75)))</f>
        <v/>
      </c>
      <c r="R108" s="90">
        <f>MAX(R125*(IF('MT_Inputs &amp; Assumptions'!$C$72="",'MT_Inputs &amp; Assumptions'!$C$71,'MT_Inputs &amp; Assumptions'!$C$72)),MAX(R105,0)*(IF('MT_Inputs &amp; Assumptions'!L75="",'MT_Inputs &amp; Assumptions'!L74,'MT_Inputs &amp; Assumptions'!L75)))</f>
        <v/>
      </c>
    </row>
    <row r="109">
      <c r="B109" s="205" t="inlineStr">
        <is>
          <t>Deferred Tax Expense</t>
        </is>
      </c>
      <c r="C109" s="80">
        <f>C106-C108</f>
        <v/>
      </c>
      <c r="D109" s="80">
        <f>D106-D108</f>
        <v/>
      </c>
      <c r="E109" s="80">
        <f>E106-E108</f>
        <v/>
      </c>
      <c r="F109" s="80">
        <f>F106-F108</f>
        <v/>
      </c>
      <c r="G109" s="80">
        <f>G106-G108</f>
        <v/>
      </c>
      <c r="H109" s="80">
        <f>H106-H108</f>
        <v/>
      </c>
      <c r="I109" s="90">
        <f>I113</f>
        <v/>
      </c>
      <c r="J109" s="90">
        <f>J113</f>
        <v/>
      </c>
      <c r="K109" s="90">
        <f>K113</f>
        <v/>
      </c>
      <c r="L109" s="90">
        <f>L113</f>
        <v/>
      </c>
      <c r="M109" s="90">
        <f>M113</f>
        <v/>
      </c>
      <c r="N109" s="90">
        <f>N113</f>
        <v/>
      </c>
      <c r="O109" s="90">
        <f>O113</f>
        <v/>
      </c>
      <c r="P109" s="90">
        <f>P113</f>
        <v/>
      </c>
      <c r="Q109" s="90">
        <f>Q113</f>
        <v/>
      </c>
      <c r="R109" s="90">
        <f>R113</f>
        <v/>
      </c>
    </row>
    <row r="110">
      <c r="B110" s="202" t="inlineStr">
        <is>
          <t>Tie-check, historical only</t>
        </is>
      </c>
      <c r="C110" s="85" t="n">
        <v>0</v>
      </c>
      <c r="D110" s="85" t="n">
        <v>0</v>
      </c>
      <c r="E110" s="85" t="n">
        <v>0</v>
      </c>
      <c r="F110" s="85" t="n">
        <v>0</v>
      </c>
      <c r="G110" s="85" t="n">
        <v>0</v>
      </c>
      <c r="H110" s="85" t="n">
        <v>0</v>
      </c>
    </row>
    <row r="112">
      <c r="B112" s="205" t="inlineStr">
        <is>
          <t>Beginning Deferred Tax Liability (Asset)</t>
        </is>
      </c>
      <c r="C112" s="211" t="inlineStr">
        <is>
          <t>n/a</t>
        </is>
      </c>
      <c r="D112" s="90">
        <f>C115</f>
        <v/>
      </c>
      <c r="E112" s="90">
        <f>D115</f>
        <v/>
      </c>
      <c r="F112" s="90">
        <f>E115</f>
        <v/>
      </c>
      <c r="G112" s="90">
        <f>F115</f>
        <v/>
      </c>
      <c r="H112" s="90">
        <f>G115</f>
        <v/>
      </c>
      <c r="I112" s="90">
        <f>-I121*(IF('MT_Inputs &amp; Assumptions'!$C$72="",'MT_Inputs &amp; Assumptions'!$C$71,'MT_Inputs &amp; Assumptions'!$C$72))</f>
        <v/>
      </c>
      <c r="J112" s="90">
        <f>-J121*(IF('MT_Inputs &amp; Assumptions'!$C$72="",'MT_Inputs &amp; Assumptions'!$C$71,'MT_Inputs &amp; Assumptions'!$C$72))</f>
        <v/>
      </c>
      <c r="K112" s="90">
        <f>-K121*(IF('MT_Inputs &amp; Assumptions'!$C$72="",'MT_Inputs &amp; Assumptions'!$C$71,'MT_Inputs &amp; Assumptions'!$C$72))</f>
        <v/>
      </c>
      <c r="L112" s="90">
        <f>-L121*(IF('MT_Inputs &amp; Assumptions'!$C$72="",'MT_Inputs &amp; Assumptions'!$C$71,'MT_Inputs &amp; Assumptions'!$C$72))</f>
        <v/>
      </c>
      <c r="M112" s="90">
        <f>-M121*(IF('MT_Inputs &amp; Assumptions'!$C$72="",'MT_Inputs &amp; Assumptions'!$C$71,'MT_Inputs &amp; Assumptions'!$C$72))</f>
        <v/>
      </c>
      <c r="N112" s="90">
        <f>-N121*(IF('MT_Inputs &amp; Assumptions'!$C$72="",'MT_Inputs &amp; Assumptions'!$C$71,'MT_Inputs &amp; Assumptions'!$C$72))</f>
        <v/>
      </c>
      <c r="O112" s="90">
        <f>-O121*(IF('MT_Inputs &amp; Assumptions'!$C$72="",'MT_Inputs &amp; Assumptions'!$C$71,'MT_Inputs &amp; Assumptions'!$C$72))</f>
        <v/>
      </c>
      <c r="P112" s="90">
        <f>-P121*(IF('MT_Inputs &amp; Assumptions'!$C$72="",'MT_Inputs &amp; Assumptions'!$C$71,'MT_Inputs &amp; Assumptions'!$C$72))</f>
        <v/>
      </c>
      <c r="Q112" s="90">
        <f>-Q121*(IF('MT_Inputs &amp; Assumptions'!$C$72="",'MT_Inputs &amp; Assumptions'!$C$71,'MT_Inputs &amp; Assumptions'!$C$72))</f>
        <v/>
      </c>
      <c r="R112" s="90">
        <f>-R121*(IF('MT_Inputs &amp; Assumptions'!$C$72="",'MT_Inputs &amp; Assumptions'!$C$71,'MT_Inputs &amp; Assumptions'!$C$72))</f>
        <v/>
      </c>
    </row>
    <row r="113">
      <c r="B113" s="205" t="inlineStr">
        <is>
          <t>(+) Deferred Tax Expense recognised in P&amp;L</t>
        </is>
      </c>
      <c r="C113" s="80">
        <f>IFERROR(INDEX(MT_HS_CONSOLIDATED!D:D,MATCH("DeferredTaxExpenseIncomeRecognisedInProfitOrLoss",MT_HS_CONSOLIDATED!$C:$C,0)),0)</f>
        <v/>
      </c>
      <c r="D113" s="80">
        <f>IFERROR(INDEX(MT_HS_CONSOLIDATED!E:E,MATCH("DeferredTaxExpenseIncomeRecognisedInProfitOrLoss",MT_HS_CONSOLIDATED!$C:$C,0)),0)</f>
        <v/>
      </c>
      <c r="E113" s="80">
        <f>IFERROR(INDEX(MT_HS_CONSOLIDATED!F:F,MATCH("DeferredTaxExpenseIncomeRecognisedInProfitOrLoss",MT_HS_CONSOLIDATED!$C:$C,0)),0)</f>
        <v/>
      </c>
      <c r="F113" s="80">
        <f>IFERROR(INDEX(MT_HS_CONSOLIDATED!G:G,MATCH("DeferredTaxExpenseIncomeRecognisedInProfitOrLoss",MT_HS_CONSOLIDATED!$C:$C,0)),0)</f>
        <v/>
      </c>
      <c r="G113" s="80">
        <f>IFERROR(INDEX(MT_HS_CONSOLIDATED!H:H,MATCH("DeferredTaxExpenseIncomeRecognisedInProfitOrLoss",MT_HS_CONSOLIDATED!$C:$C,0)),0)</f>
        <v/>
      </c>
      <c r="H113" s="80">
        <f>IFERROR(INDEX(MT_HS_CONSOLIDATED!I:I,MATCH("DeferredTaxExpenseIncomeRecognisedInProfitOrLoss",MT_HS_CONSOLIDATED!$C:$C,0)),0)</f>
        <v/>
      </c>
      <c r="I113" s="90">
        <f>I115-I112-I114</f>
        <v/>
      </c>
      <c r="J113" s="90">
        <f>J115-J112-J114</f>
        <v/>
      </c>
      <c r="K113" s="90">
        <f>K115-K112-K114</f>
        <v/>
      </c>
      <c r="L113" s="90">
        <f>L115-L112-L114</f>
        <v/>
      </c>
      <c r="M113" s="90">
        <f>M115-M112-M114</f>
        <v/>
      </c>
      <c r="N113" s="90">
        <f>N115-N112-N114</f>
        <v/>
      </c>
      <c r="O113" s="90">
        <f>O115-O112-O114</f>
        <v/>
      </c>
      <c r="P113" s="90">
        <f>P115-P112-P114</f>
        <v/>
      </c>
      <c r="Q113" s="90">
        <f>Q115-Q112-Q114</f>
        <v/>
      </c>
      <c r="R113" s="90">
        <f>R115-R112-R114</f>
        <v/>
      </c>
    </row>
    <row r="114">
      <c r="B114" s="205" t="inlineStr">
        <is>
          <t>(+) Increase through Business Combinations</t>
        </is>
      </c>
      <c r="C114" s="80">
        <f>IFERROR(INDEX(MT_HS_CONSOLIDATED!D:D,MATCH("IncreaseDecreaseThroughBusinessCombinationsDeferredTaxLiabilityAssets",MT_HS_CONSOLIDATED!$C:$C,0)),0)</f>
        <v/>
      </c>
      <c r="D114" s="80">
        <f>IFERROR(INDEX(MT_HS_CONSOLIDATED!E:E,MATCH("IncreaseDecreaseThroughBusinessCombinationsDeferredTaxLiabilityAssets",MT_HS_CONSOLIDATED!$C:$C,0)),0)</f>
        <v/>
      </c>
      <c r="E114" s="80">
        <f>IFERROR(INDEX(MT_HS_CONSOLIDATED!F:F,MATCH("IncreaseDecreaseThroughBusinessCombinationsDeferredTaxLiabilityAssets",MT_HS_CONSOLIDATED!$C:$C,0)),0)</f>
        <v/>
      </c>
      <c r="F114" s="80">
        <f>IFERROR(INDEX(MT_HS_CONSOLIDATED!G:G,MATCH("IncreaseDecreaseThroughBusinessCombinationsDeferredTaxLiabilityAssets",MT_HS_CONSOLIDATED!$C:$C,0)),0)</f>
        <v/>
      </c>
      <c r="G114" s="80">
        <f>IFERROR(INDEX(MT_HS_CONSOLIDATED!H:H,MATCH("IncreaseDecreaseThroughBusinessCombinationsDeferredTaxLiabilityAssets",MT_HS_CONSOLIDATED!$C:$C,0)),0)</f>
        <v/>
      </c>
      <c r="H114" s="80">
        <f>IFERROR(INDEX(MT_HS_CONSOLIDATED!I:I,MATCH("IncreaseDecreaseThroughBusinessCombinationsDeferredTaxLiabilityAssets",MT_HS_CONSOLIDATED!$C:$C,0)),0)</f>
        <v/>
      </c>
      <c r="I114" s="90" t="n">
        <v>0</v>
      </c>
      <c r="J114" s="90" t="n">
        <v>0</v>
      </c>
      <c r="K114" s="90" t="n">
        <v>0</v>
      </c>
      <c r="L114" s="90" t="n">
        <v>0</v>
      </c>
      <c r="M114" s="90" t="n">
        <v>0</v>
      </c>
      <c r="N114" s="90" t="n">
        <v>0</v>
      </c>
      <c r="O114" s="90" t="n">
        <v>0</v>
      </c>
      <c r="P114" s="90" t="n">
        <v>0</v>
      </c>
      <c r="Q114" s="90" t="n">
        <v>0</v>
      </c>
      <c r="R114" s="90" t="n">
        <v>0</v>
      </c>
    </row>
    <row r="115">
      <c r="B115" s="82" t="inlineStr">
        <is>
          <t>Ending Deferred Tax Liability (Asset)</t>
        </is>
      </c>
      <c r="C115" s="83">
        <f>IFERROR(INDEX(MT_HS_CONSOLIDATED!D:D,MATCH("DeferredTaxLiabilityAssets",MT_HS_CONSOLIDATED!$C:$C,0)),0)</f>
        <v/>
      </c>
      <c r="D115" s="83">
        <f>IFERROR(INDEX(MT_HS_CONSOLIDATED!E:E,MATCH("DeferredTaxLiabilityAssets",MT_HS_CONSOLIDATED!$C:$C,0)),0)</f>
        <v/>
      </c>
      <c r="E115" s="83">
        <f>IFERROR(INDEX(MT_HS_CONSOLIDATED!F:F,MATCH("DeferredTaxLiabilityAssets",MT_HS_CONSOLIDATED!$C:$C,0)),0)</f>
        <v/>
      </c>
      <c r="F115" s="83">
        <f>IFERROR(INDEX(MT_HS_CONSOLIDATED!G:G,MATCH("DeferredTaxLiabilityAssets",MT_HS_CONSOLIDATED!$C:$C,0)),0)</f>
        <v/>
      </c>
      <c r="G115" s="83">
        <f>IFERROR(INDEX(MT_HS_CONSOLIDATED!H:H,MATCH("DeferredTaxLiabilityAssets",MT_HS_CONSOLIDATED!$C:$C,0)),0)</f>
        <v/>
      </c>
      <c r="H115" s="83">
        <f>IFERROR(INDEX(MT_HS_CONSOLIDATED!I:I,MATCH("DeferredTaxLiabilityAssets",MT_HS_CONSOLIDATED!$C:$C,0)),0)</f>
        <v/>
      </c>
      <c r="I115" s="83">
        <f>-I124*(IF('MT_Inputs &amp; Assumptions'!$C$72="",'MT_Inputs &amp; Assumptions'!$C$71,'MT_Inputs &amp; Assumptions'!$C$72))</f>
        <v/>
      </c>
      <c r="J115" s="83">
        <f>-J124*(IF('MT_Inputs &amp; Assumptions'!$C$72="",'MT_Inputs &amp; Assumptions'!$C$71,'MT_Inputs &amp; Assumptions'!$C$72))</f>
        <v/>
      </c>
      <c r="K115" s="83">
        <f>-K124*(IF('MT_Inputs &amp; Assumptions'!$C$72="",'MT_Inputs &amp; Assumptions'!$C$71,'MT_Inputs &amp; Assumptions'!$C$72))</f>
        <v/>
      </c>
      <c r="L115" s="83">
        <f>-L124*(IF('MT_Inputs &amp; Assumptions'!$C$72="",'MT_Inputs &amp; Assumptions'!$C$71,'MT_Inputs &amp; Assumptions'!$C$72))</f>
        <v/>
      </c>
      <c r="M115" s="83">
        <f>-M124*(IF('MT_Inputs &amp; Assumptions'!$C$72="",'MT_Inputs &amp; Assumptions'!$C$71,'MT_Inputs &amp; Assumptions'!$C$72))</f>
        <v/>
      </c>
      <c r="N115" s="83">
        <f>-N124*(IF('MT_Inputs &amp; Assumptions'!$C$72="",'MT_Inputs &amp; Assumptions'!$C$71,'MT_Inputs &amp; Assumptions'!$C$72))</f>
        <v/>
      </c>
      <c r="O115" s="83">
        <f>-O124*(IF('MT_Inputs &amp; Assumptions'!$C$72="",'MT_Inputs &amp; Assumptions'!$C$71,'MT_Inputs &amp; Assumptions'!$C$72))</f>
        <v/>
      </c>
      <c r="P115" s="83">
        <f>-P124*(IF('MT_Inputs &amp; Assumptions'!$C$72="",'MT_Inputs &amp; Assumptions'!$C$71,'MT_Inputs &amp; Assumptions'!$C$72))</f>
        <v/>
      </c>
      <c r="Q115" s="83">
        <f>-Q124*(IF('MT_Inputs &amp; Assumptions'!$C$72="",'MT_Inputs &amp; Assumptions'!$C$71,'MT_Inputs &amp; Assumptions'!$C$72))</f>
        <v/>
      </c>
      <c r="R115" s="83">
        <f>-R124*(IF('MT_Inputs &amp; Assumptions'!$C$72="",'MT_Inputs &amp; Assumptions'!$C$71,'MT_Inputs &amp; Assumptions'!$C$72))</f>
        <v/>
      </c>
    </row>
    <row r="116">
      <c r="B116" s="202" t="inlineStr">
        <is>
          <t>Tie-check, historical only</t>
        </is>
      </c>
      <c r="C116" s="211" t="inlineStr">
        <is>
          <t>n/a</t>
        </is>
      </c>
      <c r="D116" s="85">
        <f>D115-IFERROR(INDEX(MT_HS_CONSOLIDATED!E:E,MATCH("DeferredTaxLiabilityAssets",MT_HS_CONSOLIDATED!$C:$C,0)),0)</f>
        <v/>
      </c>
      <c r="E116" s="85">
        <f>E115-IFERROR(INDEX(MT_HS_CONSOLIDATED!F:F,MATCH("DeferredTaxLiabilityAssets",MT_HS_CONSOLIDATED!$C:$C,0)),0)</f>
        <v/>
      </c>
      <c r="F116" s="85">
        <f>F115-IFERROR(INDEX(MT_HS_CONSOLIDATED!G:G,MATCH("DeferredTaxLiabilityAssets",MT_HS_CONSOLIDATED!$C:$C,0)),0)</f>
        <v/>
      </c>
      <c r="G116" s="85">
        <f>G115-IFERROR(INDEX(MT_HS_CONSOLIDATED!H:H,MATCH("DeferredTaxLiabilityAssets",MT_HS_CONSOLIDATED!$C:$C,0)),0)</f>
        <v/>
      </c>
      <c r="H116" s="85">
        <f>H115-IFERROR(INDEX(MT_HS_CONSOLIDATED!I:I,MATCH("DeferredTaxLiabilityAssets",MT_HS_CONSOLIDATED!$C:$C,0)),0)</f>
        <v/>
      </c>
    </row>
    <row r="118">
      <c r="B118" s="211" t="inlineStr">
        <is>
          <t>Current Tax Rate -- Inclusion Flag (materially profitable &amp; plausible rate)</t>
        </is>
      </c>
      <c r="C118" s="86">
        <f>IF(AND(ABS(C105)&gt;0,C119&gt;=0,C119&lt;=0.5),1,0)</f>
        <v/>
      </c>
      <c r="D118" s="86">
        <f>IF(AND(ABS(D105)&gt;0,D119&gt;=0,D119&lt;=0.5),1,0)</f>
        <v/>
      </c>
      <c r="E118" s="86">
        <f>IF(AND(ABS(E105)&gt;0,E119&gt;=0,E119&lt;=0.5),1,0)</f>
        <v/>
      </c>
      <c r="F118" s="86">
        <f>IF(AND(ABS(F105)&gt;0,F119&gt;=0,F119&lt;=0.5),1,0)</f>
        <v/>
      </c>
      <c r="G118" s="86">
        <f>IF(AND(ABS(G105)&gt;0,G119&gt;=0,G119&lt;=0.5),1,0)</f>
        <v/>
      </c>
      <c r="H118" s="86">
        <f>IF(AND(ABS(H105)&gt;0,H119&gt;=0,H119&lt;=0.5),1,0)</f>
        <v/>
      </c>
    </row>
    <row r="119">
      <c r="B119" s="211" t="inlineStr">
        <is>
          <t>Current Tax Rate (Current Tax / PBT), per year</t>
        </is>
      </c>
      <c r="C119" s="89">
        <f>IFERROR(C108/C105,0)</f>
        <v/>
      </c>
      <c r="D119" s="89">
        <f>IFERROR(D108/D105,0)</f>
        <v/>
      </c>
      <c r="E119" s="89">
        <f>IFERROR(E108/E105,0)</f>
        <v/>
      </c>
      <c r="F119" s="89">
        <f>IFERROR(F108/F105,0)</f>
        <v/>
      </c>
      <c r="G119" s="89">
        <f>IFERROR(G108/G105,0)</f>
        <v/>
      </c>
      <c r="H119" s="89">
        <f>IFERROR(H108/H105,0)</f>
        <v/>
      </c>
    </row>
    <row r="121">
      <c r="B121" s="205" t="inlineStr">
        <is>
          <t>Beginning NOL Pool (= prior year Ending; FY-end start = |Ending DTA| / Statutory Rate)</t>
        </is>
      </c>
      <c r="I121" s="90">
        <f>ABS(H115)/(IF('MT_Inputs &amp; Assumptions'!$C$72="",'MT_Inputs &amp; Assumptions'!$C$71,'MT_Inputs &amp; Assumptions'!$C$72))</f>
        <v/>
      </c>
      <c r="J121" s="90">
        <f>I124</f>
        <v/>
      </c>
      <c r="K121" s="90">
        <f>J124</f>
        <v/>
      </c>
      <c r="L121" s="90">
        <f>K124</f>
        <v/>
      </c>
      <c r="M121" s="90">
        <f>L124</f>
        <v/>
      </c>
      <c r="N121" s="90">
        <f>M124</f>
        <v/>
      </c>
      <c r="O121" s="90">
        <f>N124</f>
        <v/>
      </c>
      <c r="P121" s="90">
        <f>O124</f>
        <v/>
      </c>
      <c r="Q121" s="90">
        <f>P124</f>
        <v/>
      </c>
      <c r="R121" s="90">
        <f>Q124</f>
        <v/>
      </c>
    </row>
    <row r="122">
      <c r="B122" s="205" t="inlineStr">
        <is>
          <t>(-) NOL Utilised against positive Taxable Income</t>
        </is>
      </c>
      <c r="I122" s="90">
        <f>-MIN(I121,MAX(I105,0))</f>
        <v/>
      </c>
      <c r="J122" s="90">
        <f>-MIN(J121,MAX(J105,0))</f>
        <v/>
      </c>
      <c r="K122" s="90">
        <f>-MIN(K121,MAX(K105,0))</f>
        <v/>
      </c>
      <c r="L122" s="90">
        <f>-MIN(L121,MAX(L105,0))</f>
        <v/>
      </c>
      <c r="M122" s="90">
        <f>-MIN(M121,MAX(M105,0))</f>
        <v/>
      </c>
      <c r="N122" s="90">
        <f>-MIN(N121,MAX(N105,0))</f>
        <v/>
      </c>
      <c r="O122" s="90">
        <f>-MIN(O121,MAX(O105,0))</f>
        <v/>
      </c>
      <c r="P122" s="90">
        <f>-MIN(P121,MAX(P105,0))</f>
        <v/>
      </c>
      <c r="Q122" s="90">
        <f>-MIN(Q121,MAX(Q105,0))</f>
        <v/>
      </c>
      <c r="R122" s="90">
        <f>-MIN(R121,MAX(R105,0))</f>
        <v/>
      </c>
    </row>
    <row r="123">
      <c r="B123" s="205" t="inlineStr">
        <is>
          <t>(+) New Losses Added (if PBT negative)</t>
        </is>
      </c>
      <c r="I123" s="90">
        <f>MAX(-I105,0)</f>
        <v/>
      </c>
      <c r="J123" s="90">
        <f>MAX(-J105,0)</f>
        <v/>
      </c>
      <c r="K123" s="90">
        <f>MAX(-K105,0)</f>
        <v/>
      </c>
      <c r="L123" s="90">
        <f>MAX(-L105,0)</f>
        <v/>
      </c>
      <c r="M123" s="90">
        <f>MAX(-M105,0)</f>
        <v/>
      </c>
      <c r="N123" s="90">
        <f>MAX(-N105,0)</f>
        <v/>
      </c>
      <c r="O123" s="90">
        <f>MAX(-O105,0)</f>
        <v/>
      </c>
      <c r="P123" s="90">
        <f>MAX(-P105,0)</f>
        <v/>
      </c>
      <c r="Q123" s="90">
        <f>MAX(-Q105,0)</f>
        <v/>
      </c>
      <c r="R123" s="90">
        <f>MAX(-R105,0)</f>
        <v/>
      </c>
    </row>
    <row r="124">
      <c r="B124" s="82" t="inlineStr">
        <is>
          <t>Ending NOL Pool</t>
        </is>
      </c>
      <c r="I124" s="83">
        <f>I121+I122+I123</f>
        <v/>
      </c>
      <c r="J124" s="83">
        <f>J121+J122+J123</f>
        <v/>
      </c>
      <c r="K124" s="83">
        <f>K121+K122+K123</f>
        <v/>
      </c>
      <c r="L124" s="83">
        <f>L121+L122+L123</f>
        <v/>
      </c>
      <c r="M124" s="83">
        <f>M121+M122+M123</f>
        <v/>
      </c>
      <c r="N124" s="83">
        <f>N121+N122+N123</f>
        <v/>
      </c>
      <c r="O124" s="83">
        <f>O121+O122+O123</f>
        <v/>
      </c>
      <c r="P124" s="83">
        <f>P121+P122+P123</f>
        <v/>
      </c>
      <c r="Q124" s="83">
        <f>Q121+Q122+Q123</f>
        <v/>
      </c>
      <c r="R124" s="83">
        <f>R121+R122+R123</f>
        <v/>
      </c>
    </row>
    <row r="125">
      <c r="B125" s="205" t="inlineStr">
        <is>
          <t>Taxable Income = MAX(PBT - Beginning NOL, 0)</t>
        </is>
      </c>
      <c r="I125" s="90">
        <f>MAX(I105-I121,0)</f>
        <v/>
      </c>
      <c r="J125" s="90">
        <f>MAX(J105-J121,0)</f>
        <v/>
      </c>
      <c r="K125" s="90">
        <f>MAX(K105-K121,0)</f>
        <v/>
      </c>
      <c r="L125" s="90">
        <f>MAX(L105-L121,0)</f>
        <v/>
      </c>
      <c r="M125" s="90">
        <f>MAX(M105-M121,0)</f>
        <v/>
      </c>
      <c r="N125" s="90">
        <f>MAX(N105-N121,0)</f>
        <v/>
      </c>
      <c r="O125" s="90">
        <f>MAX(O105-O121,0)</f>
        <v/>
      </c>
      <c r="P125" s="90">
        <f>MAX(P105-P121,0)</f>
        <v/>
      </c>
      <c r="Q125" s="90">
        <f>MAX(Q105-Q121,0)</f>
        <v/>
      </c>
      <c r="R125" s="90">
        <f>MAX(R105-R121,0)</f>
        <v/>
      </c>
    </row>
    <row r="128" ht="18.5" customHeight="1" s="203">
      <c r="A128" t="inlineStr">
        <is>
          <t>#</t>
        </is>
      </c>
      <c r="B128" s="78" t="inlineStr">
        <is>
          <t>Equity Schedule</t>
        </is>
      </c>
    </row>
    <row r="131">
      <c r="B131" s="205" t="inlineStr">
        <is>
          <t>Equity Share Capital (held flat -- no new issuance assumed)</t>
        </is>
      </c>
      <c r="C131" s="80">
        <f>IFERROR(INDEX(MT_HS_CONSOLIDATED!D:D,MATCH("EquityShareCapital",MT_HS_CONSOLIDATED!$C:$C,0)),0)</f>
        <v/>
      </c>
      <c r="D131" s="80">
        <f>IFERROR(INDEX(MT_HS_CONSOLIDATED!E:E,MATCH("EquityShareCapital",MT_HS_CONSOLIDATED!$C:$C,0)),0)</f>
        <v/>
      </c>
      <c r="E131" s="80">
        <f>IFERROR(INDEX(MT_HS_CONSOLIDATED!F:F,MATCH("EquityShareCapital",MT_HS_CONSOLIDATED!$C:$C,0)),0)</f>
        <v/>
      </c>
      <c r="F131" s="80">
        <f>IFERROR(INDEX(MT_HS_CONSOLIDATED!G:G,MATCH("EquityShareCapital",MT_HS_CONSOLIDATED!$C:$C,0)),0)</f>
        <v/>
      </c>
      <c r="G131" s="80">
        <f>IFERROR(INDEX(MT_HS_CONSOLIDATED!H:H,MATCH("EquityShareCapital",MT_HS_CONSOLIDATED!$C:$C,0)),0)</f>
        <v/>
      </c>
      <c r="H131" s="80">
        <f>IFERROR(INDEX(MT_HS_CONSOLIDATED!I:I,MATCH("EquityShareCapital",MT_HS_CONSOLIDATED!$C:$C,0)),0)</f>
        <v/>
      </c>
      <c r="I131" s="90">
        <f>H131</f>
        <v/>
      </c>
      <c r="J131" s="90">
        <f>H131</f>
        <v/>
      </c>
      <c r="K131" s="90">
        <f>H131</f>
        <v/>
      </c>
      <c r="L131" s="90">
        <f>H131</f>
        <v/>
      </c>
      <c r="M131" s="90">
        <f>H131</f>
        <v/>
      </c>
      <c r="N131" s="90">
        <f>H131</f>
        <v/>
      </c>
      <c r="O131" s="90">
        <f>H131</f>
        <v/>
      </c>
      <c r="P131" s="90">
        <f>H131</f>
        <v/>
      </c>
      <c r="Q131" s="90">
        <f>H131</f>
        <v/>
      </c>
      <c r="R131" s="90">
        <f>H131</f>
        <v/>
      </c>
    </row>
    <row r="132">
      <c r="B132" s="202" t="inlineStr">
        <is>
          <t>Tie-check, historical only</t>
        </is>
      </c>
      <c r="C132" s="85">
        <f>C131-IFERROR(INDEX(MT_HS_CONSOLIDATED!D:D,MATCH("EquityShareCapital",MT_HS_CONSOLIDATED!$C:$C,0)),0)</f>
        <v/>
      </c>
      <c r="D132" s="85">
        <f>D131-IFERROR(INDEX(MT_HS_CONSOLIDATED!E:E,MATCH("EquityShareCapital",MT_HS_CONSOLIDATED!$C:$C,0)),0)</f>
        <v/>
      </c>
      <c r="E132" s="85">
        <f>E131-IFERROR(INDEX(MT_HS_CONSOLIDATED!F:F,MATCH("EquityShareCapital",MT_HS_CONSOLIDATED!$C:$C,0)),0)</f>
        <v/>
      </c>
      <c r="F132" s="85">
        <f>F131-IFERROR(INDEX(MT_HS_CONSOLIDATED!G:G,MATCH("EquityShareCapital",MT_HS_CONSOLIDATED!$C:$C,0)),0)</f>
        <v/>
      </c>
      <c r="G132" s="85">
        <f>G131-IFERROR(INDEX(MT_HS_CONSOLIDATED!H:H,MATCH("EquityShareCapital",MT_HS_CONSOLIDATED!$C:$C,0)),0)</f>
        <v/>
      </c>
      <c r="H132" s="85">
        <f>H131-IFERROR(INDEX(MT_HS_CONSOLIDATED!I:I,MATCH("EquityShareCapital",MT_HS_CONSOLIDATED!$C:$C,0)),0)</f>
        <v/>
      </c>
    </row>
    <row r="134">
      <c r="B134" s="205" t="inlineStr">
        <is>
          <t>Beginning Other Equity / Reserves</t>
        </is>
      </c>
      <c r="C134" s="211" t="inlineStr">
        <is>
          <t>n/a</t>
        </is>
      </c>
      <c r="D134" s="90">
        <f>C139</f>
        <v/>
      </c>
      <c r="E134" s="90">
        <f>D139</f>
        <v/>
      </c>
      <c r="F134" s="90">
        <f>E139</f>
        <v/>
      </c>
      <c r="G134" s="90">
        <f>F139</f>
        <v/>
      </c>
      <c r="H134" s="90">
        <f>G139</f>
        <v/>
      </c>
      <c r="I134" s="90">
        <f>H139</f>
        <v/>
      </c>
      <c r="J134" s="90">
        <f>I139</f>
        <v/>
      </c>
      <c r="K134" s="90">
        <f>J139</f>
        <v/>
      </c>
      <c r="L134" s="90">
        <f>K139</f>
        <v/>
      </c>
      <c r="M134" s="90">
        <f>L139</f>
        <v/>
      </c>
      <c r="N134" s="90">
        <f>M139</f>
        <v/>
      </c>
      <c r="O134" s="90">
        <f>N139</f>
        <v/>
      </c>
      <c r="P134" s="90">
        <f>O139</f>
        <v/>
      </c>
      <c r="Q134" s="90">
        <f>P139</f>
        <v/>
      </c>
      <c r="R134" s="90">
        <f>Q139</f>
        <v/>
      </c>
    </row>
    <row r="135">
      <c r="B135" s="205" t="inlineStr">
        <is>
          <t>(+) Profit for the year (= P&amp;L Schedule Net Income)</t>
        </is>
      </c>
      <c r="C135" s="81">
        <f>'MT_P&amp;L Schedule'!C22</f>
        <v/>
      </c>
      <c r="D135" s="81">
        <f>'MT_P&amp;L Schedule'!D22</f>
        <v/>
      </c>
      <c r="E135" s="81">
        <f>'MT_P&amp;L Schedule'!E22</f>
        <v/>
      </c>
      <c r="F135" s="81">
        <f>'MT_P&amp;L Schedule'!F22</f>
        <v/>
      </c>
      <c r="G135" s="81">
        <f>'MT_P&amp;L Schedule'!G22</f>
        <v/>
      </c>
      <c r="H135" s="81">
        <f>'MT_P&amp;L Schedule'!H22</f>
        <v/>
      </c>
      <c r="I135" s="90">
        <f>'MT_P&amp;L Schedule'!I22</f>
        <v/>
      </c>
      <c r="J135" s="90">
        <f>'MT_P&amp;L Schedule'!J22</f>
        <v/>
      </c>
      <c r="K135" s="90">
        <f>'MT_P&amp;L Schedule'!K22</f>
        <v/>
      </c>
      <c r="L135" s="90">
        <f>'MT_P&amp;L Schedule'!L22</f>
        <v/>
      </c>
      <c r="M135" s="90">
        <f>'MT_P&amp;L Schedule'!M22</f>
        <v/>
      </c>
      <c r="N135" s="90">
        <f>'MT_P&amp;L Schedule'!N22</f>
        <v/>
      </c>
      <c r="O135" s="90">
        <f>'MT_P&amp;L Schedule'!O22</f>
        <v/>
      </c>
      <c r="P135" s="90">
        <f>'MT_P&amp;L Schedule'!P22</f>
        <v/>
      </c>
      <c r="Q135" s="90">
        <f>'MT_P&amp;L Schedule'!Q22</f>
        <v/>
      </c>
      <c r="R135" s="90">
        <f>'MT_P&amp;L Schedule'!R22</f>
        <v/>
      </c>
    </row>
    <row r="136">
      <c r="B136" s="205" t="inlineStr">
        <is>
          <t>(+/-) Other Comprehensive Income, net of tax</t>
        </is>
      </c>
      <c r="C136" s="80">
        <f>(IFERROR(INDEX(MT_HS_CONSOLIDATED!D:D,MATCH("OtherComprehensiveIncomeThatWillNotBeReclassifiedToProfitOrLossNetOfTax",MT_HS_CONSOLIDATED!$C:$C,0)),0))+(IFERROR(INDEX(MT_HS_CONSOLIDATED!D:D,MATCH("OtherComprehensiveIncomeThatWillBeReclassifiedToProfitOrLossNetOfTax",MT_HS_CONSOLIDATED!$C:$C,0)),0))</f>
        <v/>
      </c>
      <c r="D136" s="80">
        <f>(IFERROR(INDEX(MT_HS_CONSOLIDATED!E:E,MATCH("OtherComprehensiveIncomeThatWillNotBeReclassifiedToProfitOrLossNetOfTax",MT_HS_CONSOLIDATED!$C:$C,0)),0))+(IFERROR(INDEX(MT_HS_CONSOLIDATED!E:E,MATCH("OtherComprehensiveIncomeThatWillBeReclassifiedToProfitOrLossNetOfTax",MT_HS_CONSOLIDATED!$C:$C,0)),0))</f>
        <v/>
      </c>
      <c r="E136" s="80">
        <f>(IFERROR(INDEX(MT_HS_CONSOLIDATED!F:F,MATCH("OtherComprehensiveIncomeThatWillNotBeReclassifiedToProfitOrLossNetOfTax",MT_HS_CONSOLIDATED!$C:$C,0)),0))+(IFERROR(INDEX(MT_HS_CONSOLIDATED!F:F,MATCH("OtherComprehensiveIncomeThatWillBeReclassifiedToProfitOrLossNetOfTax",MT_HS_CONSOLIDATED!$C:$C,0)),0))</f>
        <v/>
      </c>
      <c r="F136" s="80">
        <f>(IFERROR(INDEX(MT_HS_CONSOLIDATED!G:G,MATCH("OtherComprehensiveIncomeThatWillNotBeReclassifiedToProfitOrLossNetOfTax",MT_HS_CONSOLIDATED!$C:$C,0)),0))+(IFERROR(INDEX(MT_HS_CONSOLIDATED!G:G,MATCH("OtherComprehensiveIncomeThatWillBeReclassifiedToProfitOrLossNetOfTax",MT_HS_CONSOLIDATED!$C:$C,0)),0))</f>
        <v/>
      </c>
      <c r="G136" s="80">
        <f>(IFERROR(INDEX(MT_HS_CONSOLIDATED!H:H,MATCH("OtherComprehensiveIncomeThatWillNotBeReclassifiedToProfitOrLossNetOfTax",MT_HS_CONSOLIDATED!$C:$C,0)),0))+(IFERROR(INDEX(MT_HS_CONSOLIDATED!H:H,MATCH("OtherComprehensiveIncomeThatWillBeReclassifiedToProfitOrLossNetOfTax",MT_HS_CONSOLIDATED!$C:$C,0)),0))</f>
        <v/>
      </c>
      <c r="H136" s="80">
        <f>(IFERROR(INDEX(MT_HS_CONSOLIDATED!I:I,MATCH("OtherComprehensiveIncomeThatWillNotBeReclassifiedToProfitOrLossNetOfTax",MT_HS_CONSOLIDATED!$C:$C,0)),0))+(IFERROR(INDEX(MT_HS_CONSOLIDATED!I:I,MATCH("OtherComprehensiveIncomeThatWillBeReclassifiedToProfitOrLossNetOfTax",MT_HS_CONSOLIDATED!$C:$C,0)),0))</f>
        <v/>
      </c>
      <c r="I136" s="90" t="n">
        <v>0</v>
      </c>
      <c r="J136" s="90" t="n">
        <v>0</v>
      </c>
      <c r="K136" s="90" t="n">
        <v>0</v>
      </c>
      <c r="L136" s="90" t="n">
        <v>0</v>
      </c>
      <c r="M136" s="90" t="n">
        <v>0</v>
      </c>
      <c r="N136" s="90" t="n">
        <v>0</v>
      </c>
      <c r="O136" s="90" t="n">
        <v>0</v>
      </c>
      <c r="P136" s="90" t="n">
        <v>0</v>
      </c>
      <c r="Q136" s="90" t="n">
        <v>0</v>
      </c>
      <c r="R136" s="90" t="n">
        <v>0</v>
      </c>
    </row>
    <row r="137">
      <c r="B137" s="205" t="inlineStr">
        <is>
          <t>(-) Dividends Paid</t>
        </is>
      </c>
      <c r="C137" s="80">
        <f>-IFERROR(INDEX(MT_HS_CONSOLIDATED!D:D,MATCH("DividendsPaidClassifiedAsFinancingActivities",MT_HS_CONSOLIDATED!$C:$C,0)),0)</f>
        <v/>
      </c>
      <c r="D137" s="80">
        <f>-IFERROR(INDEX(MT_HS_CONSOLIDATED!E:E,MATCH("DividendsPaidClassifiedAsFinancingActivities",MT_HS_CONSOLIDATED!$C:$C,0)),0)</f>
        <v/>
      </c>
      <c r="E137" s="80">
        <f>-IFERROR(INDEX(MT_HS_CONSOLIDATED!F:F,MATCH("DividendsPaidClassifiedAsFinancingActivities",MT_HS_CONSOLIDATED!$C:$C,0)),0)</f>
        <v/>
      </c>
      <c r="F137" s="80">
        <f>-IFERROR(INDEX(MT_HS_CONSOLIDATED!G:G,MATCH("DividendsPaidClassifiedAsFinancingActivities",MT_HS_CONSOLIDATED!$C:$C,0)),0)</f>
        <v/>
      </c>
      <c r="G137" s="80">
        <f>-IFERROR(INDEX(MT_HS_CONSOLIDATED!H:H,MATCH("DividendsPaidClassifiedAsFinancingActivities",MT_HS_CONSOLIDATED!$C:$C,0)),0)</f>
        <v/>
      </c>
      <c r="H137" s="80">
        <f>-IFERROR(INDEX(MT_HS_CONSOLIDATED!I:I,MATCH("DividendsPaidClassifiedAsFinancingActivities",MT_HS_CONSOLIDATED!$C:$C,0)),0)</f>
        <v/>
      </c>
      <c r="I137" s="90">
        <f>-I135*(IF('MT_Inputs &amp; Assumptions'!C80="",'MT_Inputs &amp; Assumptions'!C79,'MT_Inputs &amp; Assumptions'!C80))</f>
        <v/>
      </c>
      <c r="J137" s="90">
        <f>-J135*(IF('MT_Inputs &amp; Assumptions'!D80="",'MT_Inputs &amp; Assumptions'!D79,'MT_Inputs &amp; Assumptions'!D80))</f>
        <v/>
      </c>
      <c r="K137" s="90">
        <f>-K135*(IF('MT_Inputs &amp; Assumptions'!E80="",'MT_Inputs &amp; Assumptions'!E79,'MT_Inputs &amp; Assumptions'!E80))</f>
        <v/>
      </c>
      <c r="L137" s="90">
        <f>-L135*(IF('MT_Inputs &amp; Assumptions'!F80="",'MT_Inputs &amp; Assumptions'!F79,'MT_Inputs &amp; Assumptions'!F80))</f>
        <v/>
      </c>
      <c r="M137" s="90">
        <f>-M135*(IF('MT_Inputs &amp; Assumptions'!G80="",'MT_Inputs &amp; Assumptions'!G79,'MT_Inputs &amp; Assumptions'!G80))</f>
        <v/>
      </c>
      <c r="N137" s="90">
        <f>-N135*(IF('MT_Inputs &amp; Assumptions'!H80="",'MT_Inputs &amp; Assumptions'!H79,'MT_Inputs &amp; Assumptions'!H80))</f>
        <v/>
      </c>
      <c r="O137" s="90">
        <f>-O135*(IF('MT_Inputs &amp; Assumptions'!I80="",'MT_Inputs &amp; Assumptions'!I79,'MT_Inputs &amp; Assumptions'!I80))</f>
        <v/>
      </c>
      <c r="P137" s="90">
        <f>-P135*(IF('MT_Inputs &amp; Assumptions'!J80="",'MT_Inputs &amp; Assumptions'!J79,'MT_Inputs &amp; Assumptions'!J80))</f>
        <v/>
      </c>
      <c r="Q137" s="90">
        <f>-Q135*(IF('MT_Inputs &amp; Assumptions'!K80="",'MT_Inputs &amp; Assumptions'!K79,'MT_Inputs &amp; Assumptions'!K80))</f>
        <v/>
      </c>
      <c r="R137" s="90">
        <f>-R135*(IF('MT_Inputs &amp; Assumptions'!L80="",'MT_Inputs &amp; Assumptions'!L79,'MT_Inputs &amp; Assumptions'!L80))</f>
        <v/>
      </c>
    </row>
    <row r="138">
      <c r="B138" s="205" t="inlineStr">
        <is>
          <t>(+/-) Other Non-Cash Equity Movements -- residual</t>
        </is>
      </c>
      <c r="C138" s="211" t="inlineStr">
        <is>
          <t>n/a</t>
        </is>
      </c>
      <c r="D138" s="90">
        <f>IFERROR(INDEX(MT_HS_CONSOLIDATED!E:E,MATCH("OtherEquity",MT_HS_CONSOLIDATED!$C:$C,0)),0)-D134-D135-D136-D137</f>
        <v/>
      </c>
      <c r="E138" s="90">
        <f>IFERROR(INDEX(MT_HS_CONSOLIDATED!F:F,MATCH("OtherEquity",MT_HS_CONSOLIDATED!$C:$C,0)),0)-E134-E135-E136-E137</f>
        <v/>
      </c>
      <c r="F138" s="90">
        <f>IFERROR(INDEX(MT_HS_CONSOLIDATED!G:G,MATCH("OtherEquity",MT_HS_CONSOLIDATED!$C:$C,0)),0)-F134-F135-F136-F137</f>
        <v/>
      </c>
      <c r="G138" s="90">
        <f>IFERROR(INDEX(MT_HS_CONSOLIDATED!H:H,MATCH("OtherEquity",MT_HS_CONSOLIDATED!$C:$C,0)),0)-G134-G135-G136-G137</f>
        <v/>
      </c>
      <c r="H138" s="90">
        <f>IFERROR(INDEX(MT_HS_CONSOLIDATED!I:I,MATCH("OtherEquity",MT_HS_CONSOLIDATED!$C:$C,0)),0)-H134-H135-H136-H137</f>
        <v/>
      </c>
      <c r="I138" s="90" t="n">
        <v>0</v>
      </c>
      <c r="J138" s="90" t="n">
        <v>0</v>
      </c>
      <c r="K138" s="90" t="n">
        <v>0</v>
      </c>
      <c r="L138" s="90" t="n">
        <v>0</v>
      </c>
      <c r="M138" s="90" t="n">
        <v>0</v>
      </c>
      <c r="N138" s="90" t="n">
        <v>0</v>
      </c>
      <c r="O138" s="90" t="n">
        <v>0</v>
      </c>
      <c r="P138" s="90" t="n">
        <v>0</v>
      </c>
      <c r="Q138" s="90" t="n">
        <v>0</v>
      </c>
      <c r="R138" s="90" t="n">
        <v>0</v>
      </c>
    </row>
    <row r="139">
      <c r="B139" s="82" t="inlineStr">
        <is>
          <t>Ending Other Equity / Reserves</t>
        </is>
      </c>
      <c r="C139" s="83">
        <f>IFERROR(INDEX(MT_HS_CONSOLIDATED!D:D,MATCH("OtherEquity",MT_HS_CONSOLIDATED!$C:$C,0)),0)</f>
        <v/>
      </c>
      <c r="D139" s="83">
        <f>IFERROR(INDEX(MT_HS_CONSOLIDATED!E:E,MATCH("OtherEquity",MT_HS_CONSOLIDATED!$C:$C,0)),0)</f>
        <v/>
      </c>
      <c r="E139" s="83">
        <f>IFERROR(INDEX(MT_HS_CONSOLIDATED!F:F,MATCH("OtherEquity",MT_HS_CONSOLIDATED!$C:$C,0)),0)</f>
        <v/>
      </c>
      <c r="F139" s="83">
        <f>IFERROR(INDEX(MT_HS_CONSOLIDATED!G:G,MATCH("OtherEquity",MT_HS_CONSOLIDATED!$C:$C,0)),0)</f>
        <v/>
      </c>
      <c r="G139" s="83">
        <f>IFERROR(INDEX(MT_HS_CONSOLIDATED!H:H,MATCH("OtherEquity",MT_HS_CONSOLIDATED!$C:$C,0)),0)</f>
        <v/>
      </c>
      <c r="H139" s="83">
        <f>IFERROR(INDEX(MT_HS_CONSOLIDATED!I:I,MATCH("OtherEquity",MT_HS_CONSOLIDATED!$C:$C,0)),0)</f>
        <v/>
      </c>
      <c r="I139" s="83">
        <f>I134+I135+I136+I137+I138</f>
        <v/>
      </c>
      <c r="J139" s="83">
        <f>J134+J135+J136+J137+J138</f>
        <v/>
      </c>
      <c r="K139" s="83">
        <f>K134+K135+K136+K137+K138</f>
        <v/>
      </c>
      <c r="L139" s="83">
        <f>L134+L135+L136+L137+L138</f>
        <v/>
      </c>
      <c r="M139" s="83">
        <f>M134+M135+M136+M137+M138</f>
        <v/>
      </c>
      <c r="N139" s="83">
        <f>N134+N135+N136+N137+N138</f>
        <v/>
      </c>
      <c r="O139" s="83">
        <f>O134+O135+O136+O137+O138</f>
        <v/>
      </c>
      <c r="P139" s="83">
        <f>P134+P135+P136+P137+P138</f>
        <v/>
      </c>
      <c r="Q139" s="83">
        <f>Q134+Q135+Q136+Q137+Q138</f>
        <v/>
      </c>
      <c r="R139" s="83">
        <f>R134+R135+R136+R137+R138</f>
        <v/>
      </c>
    </row>
    <row r="140">
      <c r="B140" s="202" t="inlineStr">
        <is>
          <t>Tie-check, historical only</t>
        </is>
      </c>
      <c r="C140" s="211" t="inlineStr">
        <is>
          <t>n/a</t>
        </is>
      </c>
      <c r="D140" s="85">
        <f>D139-IFERROR(INDEX(MT_HS_CONSOLIDATED!E:E,MATCH("OtherEquity",MT_HS_CONSOLIDATED!$C:$C,0)),0)</f>
        <v/>
      </c>
      <c r="E140" s="85">
        <f>E139-IFERROR(INDEX(MT_HS_CONSOLIDATED!F:F,MATCH("OtherEquity",MT_HS_CONSOLIDATED!$C:$C,0)),0)</f>
        <v/>
      </c>
      <c r="F140" s="85">
        <f>F139-IFERROR(INDEX(MT_HS_CONSOLIDATED!G:G,MATCH("OtherEquity",MT_HS_CONSOLIDATED!$C:$C,0)),0)</f>
        <v/>
      </c>
      <c r="G140" s="85">
        <f>G139-IFERROR(INDEX(MT_HS_CONSOLIDATED!H:H,MATCH("OtherEquity",MT_HS_CONSOLIDATED!$C:$C,0)),0)</f>
        <v/>
      </c>
      <c r="H140" s="85">
        <f>H139-IFERROR(INDEX(MT_HS_CONSOLIDATED!I:I,MATCH("OtherEquity",MT_HS_CONSOLIDATED!$C:$C,0)),0)</f>
        <v/>
      </c>
    </row>
    <row r="141">
      <c r="B141" s="211" t="inlineStr">
        <is>
          <t>Dividend Payout %, of Profit for the year</t>
        </is>
      </c>
      <c r="C141" s="87">
        <f>IFERROR(-C137/C135,0)</f>
        <v/>
      </c>
      <c r="D141" s="87">
        <f>IFERROR(-D137/D135,0)</f>
        <v/>
      </c>
      <c r="E141" s="87">
        <f>IFERROR(-E137/E135,0)</f>
        <v/>
      </c>
      <c r="F141" s="87">
        <f>IFERROR(-F137/F135,0)</f>
        <v/>
      </c>
      <c r="G141" s="87">
        <f>IFERROR(-G137/G135,0)</f>
        <v/>
      </c>
      <c r="H141" s="87">
        <f>IFERROR(-H137/H135,0)</f>
        <v/>
      </c>
    </row>
    <row r="143" ht="45" customHeight="1" s="203">
      <c r="B143" s="88">
        <f>IF(OR((MT_Schedules!H92/(MT_Schedules!H92+(MT_Schedules!H131+MT_Schedules!H139)))&lt;0,(MT_Schedules!H92/(MT_Schedules!H92+(MT_Schedules!H131+MT_Schedules!H139)))&gt;0.95),"⚠ Raw Target Debt/Capitalization Ratio ("&amp;TEXT((MT_Schedules!H92/(MT_Schedules!H92+(MT_Schedules!H131+MT_Schedules!H139))),"0.0%")&amp;") is outside a sane [0%,95%] range, driven by negative or near-zero Equity in the last actual year -- clamped to "&amp;TEXT('MT_Inputs &amp; Assumptions'!$C$66,"0.0%")&amp;" for the forecast. A distressed snapshot is not a sustainable target capital structure; if you have a better-informed view of this company's intended target leverage, override it directly in the INPUT cell below.","")</f>
        <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97"/>
  <sheetViews>
    <sheetView showGridLines="0" workbookViewId="0">
      <selection activeCell="A1" sqref="A1"/>
    </sheetView>
  </sheetViews>
  <sheetFormatPr baseColWidth="8" defaultRowHeight="15"/>
  <cols>
    <col width="3.5" customWidth="1" style="203" min="1" max="1"/>
    <col width="65" customWidth="1" style="203" min="2" max="2"/>
    <col width="17" customWidth="1" style="203" min="3" max="3"/>
    <col width="17" customWidth="1" style="203" min="4" max="4"/>
    <col width="17" customWidth="1" style="203" min="5" max="5"/>
    <col width="17" customWidth="1" style="203" min="6" max="6"/>
    <col width="17" customWidth="1" style="203" min="7" max="7"/>
    <col width="17" customWidth="1" style="203" min="8" max="8"/>
    <col width="17" customWidth="1" style="203" min="9" max="9"/>
    <col width="17" customWidth="1" style="203" min="10" max="10"/>
    <col width="17" customWidth="1" style="203" min="11" max="11"/>
    <col width="17" customWidth="1" style="203" min="12" max="12"/>
    <col width="17" customWidth="1" style="203" min="13" max="13"/>
    <col width="17" customWidth="1" style="203" min="14" max="14"/>
    <col width="17" customWidth="1" style="203" min="15" max="15"/>
    <col width="17" customWidth="1" style="203" min="16" max="16"/>
    <col width="17" customWidth="1" style="203" min="17" max="17"/>
    <col width="17" customWidth="1" style="203" min="18" max="18"/>
    <col width="17" customWidth="1" style="203" min="19" max="19"/>
  </cols>
  <sheetData>
    <row r="1">
      <c r="A1" t="inlineStr">
        <is>
          <t>#</t>
        </is>
      </c>
      <c r="B1" t="inlineStr">
        <is>
          <t>Inputs &amp; Assumptions -- forecast years only</t>
        </is>
      </c>
    </row>
    <row r="3">
      <c r="A3" t="inlineStr">
        <is>
          <t>#</t>
        </is>
      </c>
      <c r="B3" s="340" t="inlineStr">
        <is>
          <t>Outlier Filter -- excludes statistically anomalous years (IQR fence on YoY growth) from the Terminal Growth Rate and PP&amp;E Additions Growth trend regressions</t>
        </is>
      </c>
    </row>
    <row r="5">
      <c r="B5" t="inlineStr">
        <is>
          <t>Suggested: Outlier Filter Enabled (1=on, 0=off) -- default 1 (&gt;=5yr history, enough points for a meaningful IQR fence)</t>
        </is>
      </c>
      <c r="C5" s="341" t="n">
        <v>1</v>
      </c>
    </row>
    <row r="6">
      <c r="B6" t="inlineStr">
        <is>
          <t>INPUT: Outlier Filter Enabled (1=on, 0=off)</t>
        </is>
      </c>
    </row>
    <row r="8">
      <c r="A8" t="inlineStr">
        <is>
          <t>#</t>
        </is>
      </c>
      <c r="B8" s="340" t="inlineStr">
        <is>
          <t>Terminal / Fade-Target Growth Rate (computed from this company's own full history)</t>
        </is>
      </c>
    </row>
    <row r="10">
      <c r="B10" t="inlineStr">
        <is>
          <t>Suggested: Terminal Growth Rate -- MIN(this company's own full-history log-linear trend on Total Revenue, with statistically anomalous years excluded per the Outlier Filter above, the Risk-Free Rate). No company grows faster than the risk-free rate forever -- caps a fast-growing company's own historical trend (seen on AdaniPorts: ~16.5%/yr, which broke the Value-Driver TV formula outright) without hardcoding an external macro number; slow-growth companies (e.g. Suzlon, ~0.75%/yr) are unaffected since their own trend already sits below the cap.</t>
        </is>
      </c>
      <c r="C10" s="342">
        <f>MIN(SLOPE('MT_Schedules'!C17:H17,'MT_Schedules'!C11:H11),'MT_WACC Schedule'!$C$21)</f>
        <v/>
      </c>
      <c r="D10" s="342">
        <f>$C$10</f>
        <v/>
      </c>
      <c r="E10" s="342">
        <f>$C$10</f>
        <v/>
      </c>
      <c r="F10" s="342">
        <f>$C$10</f>
        <v/>
      </c>
      <c r="G10" s="342">
        <f>$C$10</f>
        <v/>
      </c>
      <c r="H10" s="342">
        <f>$C$10</f>
        <v/>
      </c>
      <c r="I10" s="342">
        <f>$C$10</f>
        <v/>
      </c>
      <c r="J10" s="342">
        <f>$C$10</f>
        <v/>
      </c>
      <c r="K10" s="342">
        <f>$C$10</f>
        <v/>
      </c>
      <c r="L10" s="342">
        <f>$C$10</f>
        <v/>
      </c>
    </row>
    <row r="11">
      <c r="B11" t="inlineStr">
        <is>
          <t>INPUT: Terminal Growth Rate (used by the fade)</t>
        </is>
      </c>
    </row>
    <row r="13">
      <c r="B13" t="inlineStr">
        <is>
          <t>Suggested: Growth Fade Half-Life, years -- default 6yr</t>
        </is>
      </c>
      <c r="C13" s="341" t="n">
        <v>6</v>
      </c>
    </row>
    <row r="14">
      <c r="B14" t="inlineStr">
        <is>
          <t>INPUT: Growth Fade Half-Life, years</t>
        </is>
      </c>
    </row>
    <row r="16">
      <c r="B16" t="inlineStr">
        <is>
          <t>Suggested: Products Revenue Growth % -- log-linear, last 3yr, half-life decay to terminal</t>
        </is>
      </c>
      <c r="C16" s="342">
        <f>IFERROR(IF('MT_Inputs &amp; Assumptions'!$C$11="",'MT_Inputs &amp; Assumptions'!$C$10,'MT_Inputs &amp; Assumptions'!$C$11)+(IF('MT_Inputs &amp; Assumptions'!$C$17="",SLOPE('MT_Schedules'!F12:H12,'MT_Schedules'!F11:H11),'MT_Inputs &amp; Assumptions'!$C$17)-(IF('MT_Inputs &amp; Assumptions'!$C$11="",'MT_Inputs &amp; Assumptions'!$C$10,'MT_Inputs &amp; Assumptions'!$C$11)))*0.5^(1/(IF('MT_Inputs &amp; Assumptions'!$C$14="",'MT_Inputs &amp; Assumptions'!$C$13,'MT_Inputs &amp; Assumptions'!$C$14))),IF('MT_Inputs &amp; Assumptions'!$C$11="",'MT_Inputs &amp; Assumptions'!$C$10,'MT_Inputs &amp; Assumptions'!$C$11))</f>
        <v/>
      </c>
      <c r="D16" s="342">
        <f>IFERROR(IF('MT_Inputs &amp; Assumptions'!$C$11="",'MT_Inputs &amp; Assumptions'!$C$10,'MT_Inputs &amp; Assumptions'!$C$11)+(IF('MT_Inputs &amp; Assumptions'!$C$17="",SLOPE('MT_Schedules'!F12:H12,'MT_Schedules'!F11:H11),'MT_Inputs &amp; Assumptions'!$C$17)-(IF('MT_Inputs &amp; Assumptions'!$C$11="",'MT_Inputs &amp; Assumptions'!$C$10,'MT_Inputs &amp; Assumptions'!$C$11)))*0.5^(2/(IF('MT_Inputs &amp; Assumptions'!$C$14="",'MT_Inputs &amp; Assumptions'!$C$13,'MT_Inputs &amp; Assumptions'!$C$14))),IF('MT_Inputs &amp; Assumptions'!$C$11="",'MT_Inputs &amp; Assumptions'!$C$10,'MT_Inputs &amp; Assumptions'!$C$11))</f>
        <v/>
      </c>
      <c r="E16" s="342">
        <f>IFERROR(IF('MT_Inputs &amp; Assumptions'!$C$11="",'MT_Inputs &amp; Assumptions'!$C$10,'MT_Inputs &amp; Assumptions'!$C$11)+(IF('MT_Inputs &amp; Assumptions'!$C$17="",SLOPE('MT_Schedules'!F12:H12,'MT_Schedules'!F11:H11),'MT_Inputs &amp; Assumptions'!$C$17)-(IF('MT_Inputs &amp; Assumptions'!$C$11="",'MT_Inputs &amp; Assumptions'!$C$10,'MT_Inputs &amp; Assumptions'!$C$11)))*0.5^(3/(IF('MT_Inputs &amp; Assumptions'!$C$14="",'MT_Inputs &amp; Assumptions'!$C$13,'MT_Inputs &amp; Assumptions'!$C$14))),IF('MT_Inputs &amp; Assumptions'!$C$11="",'MT_Inputs &amp; Assumptions'!$C$10,'MT_Inputs &amp; Assumptions'!$C$11))</f>
        <v/>
      </c>
      <c r="F16" s="342">
        <f>IFERROR(IF('MT_Inputs &amp; Assumptions'!$C$11="",'MT_Inputs &amp; Assumptions'!$C$10,'MT_Inputs &amp; Assumptions'!$C$11)+(IF('MT_Inputs &amp; Assumptions'!$C$17="",SLOPE('MT_Schedules'!F12:H12,'MT_Schedules'!F11:H11),'MT_Inputs &amp; Assumptions'!$C$17)-(IF('MT_Inputs &amp; Assumptions'!$C$11="",'MT_Inputs &amp; Assumptions'!$C$10,'MT_Inputs &amp; Assumptions'!$C$11)))*0.5^(4/(IF('MT_Inputs &amp; Assumptions'!$C$14="",'MT_Inputs &amp; Assumptions'!$C$13,'MT_Inputs &amp; Assumptions'!$C$14))),IF('MT_Inputs &amp; Assumptions'!$C$11="",'MT_Inputs &amp; Assumptions'!$C$10,'MT_Inputs &amp; Assumptions'!$C$11))</f>
        <v/>
      </c>
      <c r="G16" s="342">
        <f>IFERROR(IF('MT_Inputs &amp; Assumptions'!$C$11="",'MT_Inputs &amp; Assumptions'!$C$10,'MT_Inputs &amp; Assumptions'!$C$11)+(IF('MT_Inputs &amp; Assumptions'!$C$17="",SLOPE('MT_Schedules'!F12:H12,'MT_Schedules'!F11:H11),'MT_Inputs &amp; Assumptions'!$C$17)-(IF('MT_Inputs &amp; Assumptions'!$C$11="",'MT_Inputs &amp; Assumptions'!$C$10,'MT_Inputs &amp; Assumptions'!$C$11)))*0.5^(5/(IF('MT_Inputs &amp; Assumptions'!$C$14="",'MT_Inputs &amp; Assumptions'!$C$13,'MT_Inputs &amp; Assumptions'!$C$14))),IF('MT_Inputs &amp; Assumptions'!$C$11="",'MT_Inputs &amp; Assumptions'!$C$10,'MT_Inputs &amp; Assumptions'!$C$11))</f>
        <v/>
      </c>
      <c r="H16" s="342">
        <f>IFERROR(IF('MT_Inputs &amp; Assumptions'!$C$11="",'MT_Inputs &amp; Assumptions'!$C$10,'MT_Inputs &amp; Assumptions'!$C$11)+(IF('MT_Inputs &amp; Assumptions'!$C$17="",SLOPE('MT_Schedules'!F12:H12,'MT_Schedules'!F11:H11),'MT_Inputs &amp; Assumptions'!$C$17)-(IF('MT_Inputs &amp; Assumptions'!$C$11="",'MT_Inputs &amp; Assumptions'!$C$10,'MT_Inputs &amp; Assumptions'!$C$11)))*0.5^(6/(IF('MT_Inputs &amp; Assumptions'!$C$14="",'MT_Inputs &amp; Assumptions'!$C$13,'MT_Inputs &amp; Assumptions'!$C$14))),IF('MT_Inputs &amp; Assumptions'!$C$11="",'MT_Inputs &amp; Assumptions'!$C$10,'MT_Inputs &amp; Assumptions'!$C$11))</f>
        <v/>
      </c>
      <c r="I16" s="342">
        <f>IFERROR(IF('MT_Inputs &amp; Assumptions'!$C$11="",'MT_Inputs &amp; Assumptions'!$C$10,'MT_Inputs &amp; Assumptions'!$C$11)+(IF('MT_Inputs &amp; Assumptions'!$C$17="",SLOPE('MT_Schedules'!F12:H12,'MT_Schedules'!F11:H11),'MT_Inputs &amp; Assumptions'!$C$17)-(IF('MT_Inputs &amp; Assumptions'!$C$11="",'MT_Inputs &amp; Assumptions'!$C$10,'MT_Inputs &amp; Assumptions'!$C$11)))*0.5^(7/(IF('MT_Inputs &amp; Assumptions'!$C$14="",'MT_Inputs &amp; Assumptions'!$C$13,'MT_Inputs &amp; Assumptions'!$C$14))),IF('MT_Inputs &amp; Assumptions'!$C$11="",'MT_Inputs &amp; Assumptions'!$C$10,'MT_Inputs &amp; Assumptions'!$C$11))</f>
        <v/>
      </c>
      <c r="J16" s="342">
        <f>IFERROR(IF('MT_Inputs &amp; Assumptions'!$C$11="",'MT_Inputs &amp; Assumptions'!$C$10,'MT_Inputs &amp; Assumptions'!$C$11)+(IF('MT_Inputs &amp; Assumptions'!$C$17="",SLOPE('MT_Schedules'!F12:H12,'MT_Schedules'!F11:H11),'MT_Inputs &amp; Assumptions'!$C$17)-(IF('MT_Inputs &amp; Assumptions'!$C$11="",'MT_Inputs &amp; Assumptions'!$C$10,'MT_Inputs &amp; Assumptions'!$C$11)))*0.5^(8/(IF('MT_Inputs &amp; Assumptions'!$C$14="",'MT_Inputs &amp; Assumptions'!$C$13,'MT_Inputs &amp; Assumptions'!$C$14))),IF('MT_Inputs &amp; Assumptions'!$C$11="",'MT_Inputs &amp; Assumptions'!$C$10,'MT_Inputs &amp; Assumptions'!$C$11))</f>
        <v/>
      </c>
      <c r="K16" s="342">
        <f>IFERROR(IF('MT_Inputs &amp; Assumptions'!$C$11="",'MT_Inputs &amp; Assumptions'!$C$10,'MT_Inputs &amp; Assumptions'!$C$11)+(IF('MT_Inputs &amp; Assumptions'!$C$17="",SLOPE('MT_Schedules'!F12:H12,'MT_Schedules'!F11:H11),'MT_Inputs &amp; Assumptions'!$C$17)-(IF('MT_Inputs &amp; Assumptions'!$C$11="",'MT_Inputs &amp; Assumptions'!$C$10,'MT_Inputs &amp; Assumptions'!$C$11)))*0.5^(9/(IF('MT_Inputs &amp; Assumptions'!$C$14="",'MT_Inputs &amp; Assumptions'!$C$13,'MT_Inputs &amp; Assumptions'!$C$14))),IF('MT_Inputs &amp; Assumptions'!$C$11="",'MT_Inputs &amp; Assumptions'!$C$10,'MT_Inputs &amp; Assumptions'!$C$11))</f>
        <v/>
      </c>
      <c r="L16" s="342">
        <f>IFERROR(IF('MT_Inputs &amp; Assumptions'!$C$11="",'MT_Inputs &amp; Assumptions'!$C$10,'MT_Inputs &amp; Assumptions'!$C$11)+(IF('MT_Inputs &amp; Assumptions'!$C$17="",SLOPE('MT_Schedules'!F12:H12,'MT_Schedules'!F11:H11),'MT_Inputs &amp; Assumptions'!$C$17)-(IF('MT_Inputs &amp; Assumptions'!$C$11="",'MT_Inputs &amp; Assumptions'!$C$10,'MT_Inputs &amp; Assumptions'!$C$11)))*0.5^(10/(IF('MT_Inputs &amp; Assumptions'!$C$14="",'MT_Inputs &amp; Assumptions'!$C$13,'MT_Inputs &amp; Assumptions'!$C$14))),IF('MT_Inputs &amp; Assumptions'!$C$11="",'MT_Inputs &amp; Assumptions'!$C$10,'MT_Inputs &amp; Assumptions'!$C$11))</f>
        <v/>
      </c>
    </row>
    <row r="17">
      <c r="B17" t="inlineStr">
        <is>
          <t>INPUT: Products Revenue Growth % (overrides the trend/fade)</t>
        </is>
      </c>
    </row>
    <row r="19">
      <c r="A19" t="inlineStr">
        <is>
          <t>#</t>
        </is>
      </c>
      <c r="B19" s="340" t="inlineStr">
        <is>
          <t>Misc. Revenue / WC Schedule Drivers</t>
        </is>
      </c>
    </row>
    <row r="21">
      <c r="B21" t="inlineStr">
        <is>
          <t>Suggested: Misc. Other Operating Revenue % of Total Revenue, last 3yr avg</t>
        </is>
      </c>
      <c r="C21" s="326">
        <f>AVERAGE('MT_Schedules'!F23:H23)</f>
        <v/>
      </c>
      <c r="D21" s="326">
        <f>$C$21</f>
        <v/>
      </c>
      <c r="E21" s="326">
        <f>$C$21</f>
        <v/>
      </c>
      <c r="F21" s="326">
        <f>$C$21</f>
        <v/>
      </c>
      <c r="G21" s="326">
        <f>$C$21</f>
        <v/>
      </c>
      <c r="H21" s="326">
        <f>$C$21</f>
        <v/>
      </c>
      <c r="I21" s="326">
        <f>$C$21</f>
        <v/>
      </c>
      <c r="J21" s="326">
        <f>$C$21</f>
        <v/>
      </c>
      <c r="K21" s="326">
        <f>$C$21</f>
        <v/>
      </c>
      <c r="L21" s="326">
        <f>$C$21</f>
        <v/>
      </c>
    </row>
    <row r="22">
      <c r="B22" t="inlineStr">
        <is>
          <t>INPUT: Misc. Other Operating Revenue % of Total Revenue</t>
        </is>
      </c>
    </row>
    <row r="24">
      <c r="B24" t="inlineStr">
        <is>
          <t>Suggested: Services Revenue Growth % -- log-linear, last 3yr, half-life decay to terminal (simplified vs. an installed-base driver)</t>
        </is>
      </c>
      <c r="C24" s="342">
        <f>IFERROR(IF('MT_Inputs &amp; Assumptions'!$C$11="",'MT_Inputs &amp; Assumptions'!$C$10,'MT_Inputs &amp; Assumptions'!$C$11)+(IF('MT_Inputs &amp; Assumptions'!$C$25="",SLOPE('MT_Schedules'!F24:H24,'MT_Schedules'!F11:H11),'MT_Inputs &amp; Assumptions'!$C$25)-(IF('MT_Inputs &amp; Assumptions'!$C$11="",'MT_Inputs &amp; Assumptions'!$C$10,'MT_Inputs &amp; Assumptions'!$C$11)))*0.5^(1/(IF('MT_Inputs &amp; Assumptions'!$C$14="",'MT_Inputs &amp; Assumptions'!$C$13,'MT_Inputs &amp; Assumptions'!$C$14))),IF('MT_Inputs &amp; Assumptions'!$C$11="",'MT_Inputs &amp; Assumptions'!$C$10,'MT_Inputs &amp; Assumptions'!$C$11))</f>
        <v/>
      </c>
      <c r="D24" s="342">
        <f>IFERROR(IF('MT_Inputs &amp; Assumptions'!$C$11="",'MT_Inputs &amp; Assumptions'!$C$10,'MT_Inputs &amp; Assumptions'!$C$11)+(IF('MT_Inputs &amp; Assumptions'!$C$25="",SLOPE('MT_Schedules'!F24:H24,'MT_Schedules'!F11:H11),'MT_Inputs &amp; Assumptions'!$C$25)-(IF('MT_Inputs &amp; Assumptions'!$C$11="",'MT_Inputs &amp; Assumptions'!$C$10,'MT_Inputs &amp; Assumptions'!$C$11)))*0.5^(2/(IF('MT_Inputs &amp; Assumptions'!$C$14="",'MT_Inputs &amp; Assumptions'!$C$13,'MT_Inputs &amp; Assumptions'!$C$14))),IF('MT_Inputs &amp; Assumptions'!$C$11="",'MT_Inputs &amp; Assumptions'!$C$10,'MT_Inputs &amp; Assumptions'!$C$11))</f>
        <v/>
      </c>
      <c r="E24" s="342">
        <f>IFERROR(IF('MT_Inputs &amp; Assumptions'!$C$11="",'MT_Inputs &amp; Assumptions'!$C$10,'MT_Inputs &amp; Assumptions'!$C$11)+(IF('MT_Inputs &amp; Assumptions'!$C$25="",SLOPE('MT_Schedules'!F24:H24,'MT_Schedules'!F11:H11),'MT_Inputs &amp; Assumptions'!$C$25)-(IF('MT_Inputs &amp; Assumptions'!$C$11="",'MT_Inputs &amp; Assumptions'!$C$10,'MT_Inputs &amp; Assumptions'!$C$11)))*0.5^(3/(IF('MT_Inputs &amp; Assumptions'!$C$14="",'MT_Inputs &amp; Assumptions'!$C$13,'MT_Inputs &amp; Assumptions'!$C$14))),IF('MT_Inputs &amp; Assumptions'!$C$11="",'MT_Inputs &amp; Assumptions'!$C$10,'MT_Inputs &amp; Assumptions'!$C$11))</f>
        <v/>
      </c>
      <c r="F24" s="342">
        <f>IFERROR(IF('MT_Inputs &amp; Assumptions'!$C$11="",'MT_Inputs &amp; Assumptions'!$C$10,'MT_Inputs &amp; Assumptions'!$C$11)+(IF('MT_Inputs &amp; Assumptions'!$C$25="",SLOPE('MT_Schedules'!F24:H24,'MT_Schedules'!F11:H11),'MT_Inputs &amp; Assumptions'!$C$25)-(IF('MT_Inputs &amp; Assumptions'!$C$11="",'MT_Inputs &amp; Assumptions'!$C$10,'MT_Inputs &amp; Assumptions'!$C$11)))*0.5^(4/(IF('MT_Inputs &amp; Assumptions'!$C$14="",'MT_Inputs &amp; Assumptions'!$C$13,'MT_Inputs &amp; Assumptions'!$C$14))),IF('MT_Inputs &amp; Assumptions'!$C$11="",'MT_Inputs &amp; Assumptions'!$C$10,'MT_Inputs &amp; Assumptions'!$C$11))</f>
        <v/>
      </c>
      <c r="G24" s="342">
        <f>IFERROR(IF('MT_Inputs &amp; Assumptions'!$C$11="",'MT_Inputs &amp; Assumptions'!$C$10,'MT_Inputs &amp; Assumptions'!$C$11)+(IF('MT_Inputs &amp; Assumptions'!$C$25="",SLOPE('MT_Schedules'!F24:H24,'MT_Schedules'!F11:H11),'MT_Inputs &amp; Assumptions'!$C$25)-(IF('MT_Inputs &amp; Assumptions'!$C$11="",'MT_Inputs &amp; Assumptions'!$C$10,'MT_Inputs &amp; Assumptions'!$C$11)))*0.5^(5/(IF('MT_Inputs &amp; Assumptions'!$C$14="",'MT_Inputs &amp; Assumptions'!$C$13,'MT_Inputs &amp; Assumptions'!$C$14))),IF('MT_Inputs &amp; Assumptions'!$C$11="",'MT_Inputs &amp; Assumptions'!$C$10,'MT_Inputs &amp; Assumptions'!$C$11))</f>
        <v/>
      </c>
      <c r="H24" s="342">
        <f>IFERROR(IF('MT_Inputs &amp; Assumptions'!$C$11="",'MT_Inputs &amp; Assumptions'!$C$10,'MT_Inputs &amp; Assumptions'!$C$11)+(IF('MT_Inputs &amp; Assumptions'!$C$25="",SLOPE('MT_Schedules'!F24:H24,'MT_Schedules'!F11:H11),'MT_Inputs &amp; Assumptions'!$C$25)-(IF('MT_Inputs &amp; Assumptions'!$C$11="",'MT_Inputs &amp; Assumptions'!$C$10,'MT_Inputs &amp; Assumptions'!$C$11)))*0.5^(6/(IF('MT_Inputs &amp; Assumptions'!$C$14="",'MT_Inputs &amp; Assumptions'!$C$13,'MT_Inputs &amp; Assumptions'!$C$14))),IF('MT_Inputs &amp; Assumptions'!$C$11="",'MT_Inputs &amp; Assumptions'!$C$10,'MT_Inputs &amp; Assumptions'!$C$11))</f>
        <v/>
      </c>
      <c r="I24" s="342">
        <f>IFERROR(IF('MT_Inputs &amp; Assumptions'!$C$11="",'MT_Inputs &amp; Assumptions'!$C$10,'MT_Inputs &amp; Assumptions'!$C$11)+(IF('MT_Inputs &amp; Assumptions'!$C$25="",SLOPE('MT_Schedules'!F24:H24,'MT_Schedules'!F11:H11),'MT_Inputs &amp; Assumptions'!$C$25)-(IF('MT_Inputs &amp; Assumptions'!$C$11="",'MT_Inputs &amp; Assumptions'!$C$10,'MT_Inputs &amp; Assumptions'!$C$11)))*0.5^(7/(IF('MT_Inputs &amp; Assumptions'!$C$14="",'MT_Inputs &amp; Assumptions'!$C$13,'MT_Inputs &amp; Assumptions'!$C$14))),IF('MT_Inputs &amp; Assumptions'!$C$11="",'MT_Inputs &amp; Assumptions'!$C$10,'MT_Inputs &amp; Assumptions'!$C$11))</f>
        <v/>
      </c>
      <c r="J24" s="342">
        <f>IFERROR(IF('MT_Inputs &amp; Assumptions'!$C$11="",'MT_Inputs &amp; Assumptions'!$C$10,'MT_Inputs &amp; Assumptions'!$C$11)+(IF('MT_Inputs &amp; Assumptions'!$C$25="",SLOPE('MT_Schedules'!F24:H24,'MT_Schedules'!F11:H11),'MT_Inputs &amp; Assumptions'!$C$25)-(IF('MT_Inputs &amp; Assumptions'!$C$11="",'MT_Inputs &amp; Assumptions'!$C$10,'MT_Inputs &amp; Assumptions'!$C$11)))*0.5^(8/(IF('MT_Inputs &amp; Assumptions'!$C$14="",'MT_Inputs &amp; Assumptions'!$C$13,'MT_Inputs &amp; Assumptions'!$C$14))),IF('MT_Inputs &amp; Assumptions'!$C$11="",'MT_Inputs &amp; Assumptions'!$C$10,'MT_Inputs &amp; Assumptions'!$C$11))</f>
        <v/>
      </c>
      <c r="K24" s="342">
        <f>IFERROR(IF('MT_Inputs &amp; Assumptions'!$C$11="",'MT_Inputs &amp; Assumptions'!$C$10,'MT_Inputs &amp; Assumptions'!$C$11)+(IF('MT_Inputs &amp; Assumptions'!$C$25="",SLOPE('MT_Schedules'!F24:H24,'MT_Schedules'!F11:H11),'MT_Inputs &amp; Assumptions'!$C$25)-(IF('MT_Inputs &amp; Assumptions'!$C$11="",'MT_Inputs &amp; Assumptions'!$C$10,'MT_Inputs &amp; Assumptions'!$C$11)))*0.5^(9/(IF('MT_Inputs &amp; Assumptions'!$C$14="",'MT_Inputs &amp; Assumptions'!$C$13,'MT_Inputs &amp; Assumptions'!$C$14))),IF('MT_Inputs &amp; Assumptions'!$C$11="",'MT_Inputs &amp; Assumptions'!$C$10,'MT_Inputs &amp; Assumptions'!$C$11))</f>
        <v/>
      </c>
      <c r="L24" s="342">
        <f>IFERROR(IF('MT_Inputs &amp; Assumptions'!$C$11="",'MT_Inputs &amp; Assumptions'!$C$10,'MT_Inputs &amp; Assumptions'!$C$11)+(IF('MT_Inputs &amp; Assumptions'!$C$25="",SLOPE('MT_Schedules'!F24:H24,'MT_Schedules'!F11:H11),'MT_Inputs &amp; Assumptions'!$C$25)-(IF('MT_Inputs &amp; Assumptions'!$C$11="",'MT_Inputs &amp; Assumptions'!$C$10,'MT_Inputs &amp; Assumptions'!$C$11)))*0.5^(10/(IF('MT_Inputs &amp; Assumptions'!$C$14="",'MT_Inputs &amp; Assumptions'!$C$13,'MT_Inputs &amp; Assumptions'!$C$14))),IF('MT_Inputs &amp; Assumptions'!$C$11="",'MT_Inputs &amp; Assumptions'!$C$10,'MT_Inputs &amp; Assumptions'!$C$11))</f>
        <v/>
      </c>
    </row>
    <row r="25">
      <c r="B25" t="inlineStr">
        <is>
          <t>INPUT: Services Revenue Growth % (overrides the trend/fade)</t>
        </is>
      </c>
      <c r="C25" s="323" t="n">
        <v>0.2476</v>
      </c>
    </row>
    <row r="27">
      <c r="A27" t="inlineStr">
        <is>
          <t>#</t>
        </is>
      </c>
      <c r="B27" s="340" t="inlineStr">
        <is>
          <t>Working Capital Schedule Drivers</t>
        </is>
      </c>
    </row>
    <row r="29">
      <c r="B29" t="inlineStr">
        <is>
          <t>Suggested: COGS % of Revenue, last 3yr avg</t>
        </is>
      </c>
      <c r="C29" s="326">
        <f>AVERAGE('MT_Schedules'!F32:H32)</f>
        <v/>
      </c>
      <c r="D29" s="326">
        <f>$C$29</f>
        <v/>
      </c>
      <c r="E29" s="326">
        <f>$C$29</f>
        <v/>
      </c>
      <c r="F29" s="326">
        <f>$C$29</f>
        <v/>
      </c>
      <c r="G29" s="326">
        <f>$C$29</f>
        <v/>
      </c>
      <c r="H29" s="326">
        <f>$C$29</f>
        <v/>
      </c>
      <c r="I29" s="326">
        <f>$C$29</f>
        <v/>
      </c>
      <c r="J29" s="326">
        <f>$C$29</f>
        <v/>
      </c>
      <c r="K29" s="326">
        <f>$C$29</f>
        <v/>
      </c>
      <c r="L29" s="326">
        <f>$C$29</f>
        <v/>
      </c>
    </row>
    <row r="30">
      <c r="B30" t="inlineStr">
        <is>
          <t>INPUT: COGS % of Revenue</t>
        </is>
      </c>
    </row>
    <row r="32">
      <c r="B32" t="inlineStr">
        <is>
          <t>Suggested: Days Sales Outstanding, last 3yr avg</t>
        </is>
      </c>
      <c r="C32" s="343">
        <f>AVERAGE('MT_Schedules'!F39:H39)</f>
        <v/>
      </c>
      <c r="D32" s="343">
        <f>$C$32</f>
        <v/>
      </c>
      <c r="E32" s="343">
        <f>$C$32</f>
        <v/>
      </c>
      <c r="F32" s="343">
        <f>$C$32</f>
        <v/>
      </c>
      <c r="G32" s="343">
        <f>$C$32</f>
        <v/>
      </c>
      <c r="H32" s="343">
        <f>$C$32</f>
        <v/>
      </c>
      <c r="I32" s="343">
        <f>$C$32</f>
        <v/>
      </c>
      <c r="J32" s="343">
        <f>$C$32</f>
        <v/>
      </c>
      <c r="K32" s="343">
        <f>$C$32</f>
        <v/>
      </c>
      <c r="L32" s="343">
        <f>$C$32</f>
        <v/>
      </c>
    </row>
    <row r="33">
      <c r="B33" t="inlineStr">
        <is>
          <t>INPUT: Days Sales Outstanding</t>
        </is>
      </c>
    </row>
    <row r="35">
      <c r="B35" t="inlineStr">
        <is>
          <t>Suggested: Days Inventory Outstanding, last 3yr avg</t>
        </is>
      </c>
      <c r="C35" s="343">
        <f>AVERAGE('MT_Schedules'!F40:H40)</f>
        <v/>
      </c>
      <c r="D35" s="343">
        <f>$C$35</f>
        <v/>
      </c>
      <c r="E35" s="343">
        <f>$C$35</f>
        <v/>
      </c>
      <c r="F35" s="343">
        <f>$C$35</f>
        <v/>
      </c>
      <c r="G35" s="343">
        <f>$C$35</f>
        <v/>
      </c>
      <c r="H35" s="343">
        <f>$C$35</f>
        <v/>
      </c>
      <c r="I35" s="343">
        <f>$C$35</f>
        <v/>
      </c>
      <c r="J35" s="343">
        <f>$C$35</f>
        <v/>
      </c>
      <c r="K35" s="343">
        <f>$C$35</f>
        <v/>
      </c>
      <c r="L35" s="343">
        <f>$C$35</f>
        <v/>
      </c>
    </row>
    <row r="36">
      <c r="B36" t="inlineStr">
        <is>
          <t>INPUT: Days Inventory Outstanding</t>
        </is>
      </c>
    </row>
    <row r="38">
      <c r="B38" t="inlineStr">
        <is>
          <t>Suggested: Days Payable Outstanding, last 3yr avg</t>
        </is>
      </c>
      <c r="C38" s="343">
        <f>AVERAGE('MT_Schedules'!F41:H41)</f>
        <v/>
      </c>
      <c r="D38" s="343">
        <f>$C$38</f>
        <v/>
      </c>
      <c r="E38" s="343">
        <f>$C$38</f>
        <v/>
      </c>
      <c r="F38" s="343">
        <f>$C$38</f>
        <v/>
      </c>
      <c r="G38" s="343">
        <f>$C$38</f>
        <v/>
      </c>
      <c r="H38" s="343">
        <f>$C$38</f>
        <v/>
      </c>
      <c r="I38" s="343">
        <f>$C$38</f>
        <v/>
      </c>
      <c r="J38" s="343">
        <f>$C$38</f>
        <v/>
      </c>
      <c r="K38" s="343">
        <f>$C$38</f>
        <v/>
      </c>
      <c r="L38" s="343">
        <f>$C$38</f>
        <v/>
      </c>
    </row>
    <row r="39">
      <c r="B39" t="inlineStr">
        <is>
          <t>INPUT: Days Payable Outstanding</t>
        </is>
      </c>
    </row>
    <row r="41">
      <c r="A41" t="inlineStr">
        <is>
          <t>#</t>
        </is>
      </c>
      <c r="B41" s="340" t="inlineStr">
        <is>
          <t>PP&amp;E Schedule Drivers</t>
        </is>
      </c>
    </row>
    <row r="43">
      <c r="B43" t="inlineStr">
        <is>
          <t>Suggested: Additions Growth % -- log-linear, last 3yr, half-life decay to terminal</t>
        </is>
      </c>
      <c r="C43" s="342">
        <f>(IF('MT_Inputs &amp; Assumptions'!$C$11="",'MT_Inputs &amp; Assumptions'!$C$10,'MT_Inputs &amp; Assumptions'!$C$11)+(IF('MT_Inputs &amp; Assumptions'!$C$44="",MIN(SLOPE('MT_Schedules'!F73:H73,'MT_Schedules'!F69:H69),'MT_WACC Schedule'!$C$21),'MT_Inputs &amp; Assumptions'!$C$44)-(IF('MT_Inputs &amp; Assumptions'!$C$11="",'MT_Inputs &amp; Assumptions'!$C$10,'MT_Inputs &amp; Assumptions'!$C$11)))*0.5^(1/(IF('MT_Inputs &amp; Assumptions'!$C$14="",'MT_Inputs &amp; Assumptions'!$C$13,'MT_Inputs &amp; Assumptions'!$C$14))))</f>
        <v/>
      </c>
      <c r="D43" s="342">
        <f>(IF('MT_Inputs &amp; Assumptions'!$C$11="",'MT_Inputs &amp; Assumptions'!$C$10,'MT_Inputs &amp; Assumptions'!$C$11)+(IF('MT_Inputs &amp; Assumptions'!$C$44="",MIN(SLOPE('MT_Schedules'!F73:H73,'MT_Schedules'!F69:H69),'MT_WACC Schedule'!$C$21),'MT_Inputs &amp; Assumptions'!$C$44)-(IF('MT_Inputs &amp; Assumptions'!$C$11="",'MT_Inputs &amp; Assumptions'!$C$10,'MT_Inputs &amp; Assumptions'!$C$11)))*0.5^(2/(IF('MT_Inputs &amp; Assumptions'!$C$14="",'MT_Inputs &amp; Assumptions'!$C$13,'MT_Inputs &amp; Assumptions'!$C$14))))</f>
        <v/>
      </c>
      <c r="E43" s="342">
        <f>(IF('MT_Inputs &amp; Assumptions'!$C$11="",'MT_Inputs &amp; Assumptions'!$C$10,'MT_Inputs &amp; Assumptions'!$C$11)+(IF('MT_Inputs &amp; Assumptions'!$C$44="",MIN(SLOPE('MT_Schedules'!F73:H73,'MT_Schedules'!F69:H69),'MT_WACC Schedule'!$C$21),'MT_Inputs &amp; Assumptions'!$C$44)-(IF('MT_Inputs &amp; Assumptions'!$C$11="",'MT_Inputs &amp; Assumptions'!$C$10,'MT_Inputs &amp; Assumptions'!$C$11)))*0.5^(3/(IF('MT_Inputs &amp; Assumptions'!$C$14="",'MT_Inputs &amp; Assumptions'!$C$13,'MT_Inputs &amp; Assumptions'!$C$14))))</f>
        <v/>
      </c>
      <c r="F43" s="342">
        <f>(IF('MT_Inputs &amp; Assumptions'!$C$11="",'MT_Inputs &amp; Assumptions'!$C$10,'MT_Inputs &amp; Assumptions'!$C$11)+(IF('MT_Inputs &amp; Assumptions'!$C$44="",MIN(SLOPE('MT_Schedules'!F73:H73,'MT_Schedules'!F69:H69),'MT_WACC Schedule'!$C$21),'MT_Inputs &amp; Assumptions'!$C$44)-(IF('MT_Inputs &amp; Assumptions'!$C$11="",'MT_Inputs &amp; Assumptions'!$C$10,'MT_Inputs &amp; Assumptions'!$C$11)))*0.5^(4/(IF('MT_Inputs &amp; Assumptions'!$C$14="",'MT_Inputs &amp; Assumptions'!$C$13,'MT_Inputs &amp; Assumptions'!$C$14))))</f>
        <v/>
      </c>
      <c r="G43" s="342">
        <f>(IF('MT_Inputs &amp; Assumptions'!$C$11="",'MT_Inputs &amp; Assumptions'!$C$10,'MT_Inputs &amp; Assumptions'!$C$11)+(IF('MT_Inputs &amp; Assumptions'!$C$44="",MIN(SLOPE('MT_Schedules'!F73:H73,'MT_Schedules'!F69:H69),'MT_WACC Schedule'!$C$21),'MT_Inputs &amp; Assumptions'!$C$44)-(IF('MT_Inputs &amp; Assumptions'!$C$11="",'MT_Inputs &amp; Assumptions'!$C$10,'MT_Inputs &amp; Assumptions'!$C$11)))*0.5^(5/(IF('MT_Inputs &amp; Assumptions'!$C$14="",'MT_Inputs &amp; Assumptions'!$C$13,'MT_Inputs &amp; Assumptions'!$C$14))))</f>
        <v/>
      </c>
      <c r="H43" s="342">
        <f>(IF('MT_Inputs &amp; Assumptions'!$C$11="",'MT_Inputs &amp; Assumptions'!$C$10,'MT_Inputs &amp; Assumptions'!$C$11)+(IF('MT_Inputs &amp; Assumptions'!$C$44="",MIN(SLOPE('MT_Schedules'!F73:H73,'MT_Schedules'!F69:H69),'MT_WACC Schedule'!$C$21),'MT_Inputs &amp; Assumptions'!$C$44)-(IF('MT_Inputs &amp; Assumptions'!$C$11="",'MT_Inputs &amp; Assumptions'!$C$10,'MT_Inputs &amp; Assumptions'!$C$11)))*0.5^(6/(IF('MT_Inputs &amp; Assumptions'!$C$14="",'MT_Inputs &amp; Assumptions'!$C$13,'MT_Inputs &amp; Assumptions'!$C$14))))</f>
        <v/>
      </c>
      <c r="I43" s="342">
        <f>(IF('MT_Inputs &amp; Assumptions'!$C$11="",'MT_Inputs &amp; Assumptions'!$C$10,'MT_Inputs &amp; Assumptions'!$C$11)+(IF('MT_Inputs &amp; Assumptions'!$C$44="",MIN(SLOPE('MT_Schedules'!F73:H73,'MT_Schedules'!F69:H69),'MT_WACC Schedule'!$C$21),'MT_Inputs &amp; Assumptions'!$C$44)-(IF('MT_Inputs &amp; Assumptions'!$C$11="",'MT_Inputs &amp; Assumptions'!$C$10,'MT_Inputs &amp; Assumptions'!$C$11)))*0.5^(7/(IF('MT_Inputs &amp; Assumptions'!$C$14="",'MT_Inputs &amp; Assumptions'!$C$13,'MT_Inputs &amp; Assumptions'!$C$14))))</f>
        <v/>
      </c>
      <c r="J43" s="342">
        <f>(IF('MT_Inputs &amp; Assumptions'!$C$11="",'MT_Inputs &amp; Assumptions'!$C$10,'MT_Inputs &amp; Assumptions'!$C$11)+(IF('MT_Inputs &amp; Assumptions'!$C$44="",MIN(SLOPE('MT_Schedules'!F73:H73,'MT_Schedules'!F69:H69),'MT_WACC Schedule'!$C$21),'MT_Inputs &amp; Assumptions'!$C$44)-(IF('MT_Inputs &amp; Assumptions'!$C$11="",'MT_Inputs &amp; Assumptions'!$C$10,'MT_Inputs &amp; Assumptions'!$C$11)))*0.5^(8/(IF('MT_Inputs &amp; Assumptions'!$C$14="",'MT_Inputs &amp; Assumptions'!$C$13,'MT_Inputs &amp; Assumptions'!$C$14))))</f>
        <v/>
      </c>
      <c r="K43" s="342">
        <f>(IF('MT_Inputs &amp; Assumptions'!$C$11="",'MT_Inputs &amp; Assumptions'!$C$10,'MT_Inputs &amp; Assumptions'!$C$11)+(IF('MT_Inputs &amp; Assumptions'!$C$44="",MIN(SLOPE('MT_Schedules'!F73:H73,'MT_Schedules'!F69:H69),'MT_WACC Schedule'!$C$21),'MT_Inputs &amp; Assumptions'!$C$44)-(IF('MT_Inputs &amp; Assumptions'!$C$11="",'MT_Inputs &amp; Assumptions'!$C$10,'MT_Inputs &amp; Assumptions'!$C$11)))*0.5^(9/(IF('MT_Inputs &amp; Assumptions'!$C$14="",'MT_Inputs &amp; Assumptions'!$C$13,'MT_Inputs &amp; Assumptions'!$C$14))))</f>
        <v/>
      </c>
      <c r="L43" s="342">
        <f>(IF('MT_Inputs &amp; Assumptions'!$C$11="",'MT_Inputs &amp; Assumptions'!$C$10,'MT_Inputs &amp; Assumptions'!$C$11)+(IF('MT_Inputs &amp; Assumptions'!$C$44="",MIN(SLOPE('MT_Schedules'!F73:H73,'MT_Schedules'!F69:H69),'MT_WACC Schedule'!$C$21),'MT_Inputs &amp; Assumptions'!$C$44)-(IF('MT_Inputs &amp; Assumptions'!$C$11="",'MT_Inputs &amp; Assumptions'!$C$10,'MT_Inputs &amp; Assumptions'!$C$11)))*0.5^(10/(IF('MT_Inputs &amp; Assumptions'!$C$14="",'MT_Inputs &amp; Assumptions'!$C$13,'MT_Inputs &amp; Assumptions'!$C$14))))</f>
        <v/>
      </c>
    </row>
    <row r="44">
      <c r="B44" t="inlineStr">
        <is>
          <t>INPUT: Additions Growth % (overrides the trend/fade)</t>
        </is>
      </c>
    </row>
    <row r="46">
      <c r="B46" t="inlineStr">
        <is>
          <t>Suggested: New Asset Useful Life, years -- Ind AS Schedule II general Plant &amp; Machinery default (15yr, generic regulatory constant)</t>
        </is>
      </c>
      <c r="C46" s="341" t="n">
        <v>15</v>
      </c>
    </row>
    <row r="47">
      <c r="B47" t="inlineStr">
        <is>
          <t>INPUT: New Asset Useful Life, years</t>
        </is>
      </c>
    </row>
    <row r="49">
      <c r="B49" t="inlineStr">
        <is>
          <t>Suggested: Impairment, % of Opening PP&amp;E, last 3yr avg</t>
        </is>
      </c>
      <c r="C49" s="326">
        <f>AVERAGE('MT_Schedules'!F76:H76)</f>
        <v/>
      </c>
      <c r="D49" s="326">
        <f>$C$49</f>
        <v/>
      </c>
      <c r="E49" s="326">
        <f>$C$49</f>
        <v/>
      </c>
      <c r="F49" s="326">
        <f>$C$49</f>
        <v/>
      </c>
      <c r="G49" s="326">
        <f>$C$49</f>
        <v/>
      </c>
      <c r="H49" s="326">
        <f>$C$49</f>
        <v/>
      </c>
      <c r="I49" s="326">
        <f>$C$49</f>
        <v/>
      </c>
      <c r="J49" s="326">
        <f>$C$49</f>
        <v/>
      </c>
      <c r="K49" s="326">
        <f>$C$49</f>
        <v/>
      </c>
      <c r="L49" s="326">
        <f>$C$49</f>
        <v/>
      </c>
    </row>
    <row r="50">
      <c r="B50" t="inlineStr">
        <is>
          <t>INPUT: Impairment % of Opening PP&amp;E</t>
        </is>
      </c>
    </row>
    <row r="52">
      <c r="B52" t="inlineStr">
        <is>
          <t>Suggested: Other Changes, % of Opening PP&amp;E, last 3yr avg</t>
        </is>
      </c>
      <c r="C52" s="326">
        <f>AVERAGE('MT_Schedules'!F77:H77)</f>
        <v/>
      </c>
      <c r="D52" s="326">
        <f>$C$52</f>
        <v/>
      </c>
      <c r="E52" s="326">
        <f>$C$52</f>
        <v/>
      </c>
      <c r="F52" s="326">
        <f>$C$52</f>
        <v/>
      </c>
      <c r="G52" s="326">
        <f>$C$52</f>
        <v/>
      </c>
      <c r="H52" s="326">
        <f>$C$52</f>
        <v/>
      </c>
      <c r="I52" s="326">
        <f>$C$52</f>
        <v/>
      </c>
      <c r="J52" s="326">
        <f>$C$52</f>
        <v/>
      </c>
      <c r="K52" s="326">
        <f>$C$52</f>
        <v/>
      </c>
      <c r="L52" s="326">
        <f>$C$52</f>
        <v/>
      </c>
    </row>
    <row r="53">
      <c r="B53" t="inlineStr">
        <is>
          <t>INPUT: Other Changes % of Opening PP&amp;E</t>
        </is>
      </c>
    </row>
    <row r="55">
      <c r="B55" t="inlineStr">
        <is>
          <t>Suggested: Disposals, % of Opening PP&amp;E, last 3yr avg</t>
        </is>
      </c>
      <c r="C55" s="326">
        <f>AVERAGE('MT_Schedules'!F78:H78)</f>
        <v/>
      </c>
      <c r="D55" s="326">
        <f>$C$55</f>
        <v/>
      </c>
      <c r="E55" s="326">
        <f>$C$55</f>
        <v/>
      </c>
      <c r="F55" s="326">
        <f>$C$55</f>
        <v/>
      </c>
      <c r="G55" s="326">
        <f>$C$55</f>
        <v/>
      </c>
      <c r="H55" s="326">
        <f>$C$55</f>
        <v/>
      </c>
      <c r="I55" s="326">
        <f>$C$55</f>
        <v/>
      </c>
      <c r="J55" s="326">
        <f>$C$55</f>
        <v/>
      </c>
      <c r="K55" s="326">
        <f>$C$55</f>
        <v/>
      </c>
      <c r="L55" s="326">
        <f>$C$55</f>
        <v/>
      </c>
    </row>
    <row r="56">
      <c r="B56" t="inlineStr">
        <is>
          <t>INPUT: Disposals % of Opening PP&amp;E</t>
        </is>
      </c>
    </row>
    <row r="58">
      <c r="A58" t="inlineStr">
        <is>
          <t>#</t>
        </is>
      </c>
      <c r="B58" s="340" t="inlineStr">
        <is>
          <t>Debt Schedule Drivers</t>
        </is>
      </c>
    </row>
    <row r="60">
      <c r="B60" t="inlineStr">
        <is>
          <t>Suggested: Include Lease Liabilities as Quasi-Debt (1=yes, 0=no) -- default 0 (Borrowings only)</t>
        </is>
      </c>
      <c r="C60" s="341" t="n">
        <v>0</v>
      </c>
    </row>
    <row r="61">
      <c r="B61" t="inlineStr">
        <is>
          <t>INPUT: Include Lease Liabilities as Quasi-Debt (1=yes, 0=no)</t>
        </is>
      </c>
    </row>
    <row r="63">
      <c r="B63" t="inlineStr">
        <is>
          <t>Suggested: Effective Interest Rate % -- weighted avg (SUM Interest/SUM Avg Debt), last 3yr</t>
        </is>
      </c>
      <c r="C63" s="326">
        <f>SUM('MT_Schedules'!F97:H97)/SUM('MT_Schedules'!F95:H95)</f>
        <v/>
      </c>
      <c r="D63" s="326">
        <f>$C$63</f>
        <v/>
      </c>
      <c r="E63" s="326">
        <f>$C$63</f>
        <v/>
      </c>
      <c r="F63" s="326">
        <f>$C$63</f>
        <v/>
      </c>
      <c r="G63" s="326">
        <f>$C$63</f>
        <v/>
      </c>
      <c r="H63" s="326">
        <f>$C$63</f>
        <v/>
      </c>
      <c r="I63" s="326">
        <f>$C$63</f>
        <v/>
      </c>
      <c r="J63" s="326">
        <f>$C$63</f>
        <v/>
      </c>
      <c r="K63" s="326">
        <f>$C$63</f>
        <v/>
      </c>
      <c r="L63" s="326">
        <f>$C$63</f>
        <v/>
      </c>
    </row>
    <row r="64">
      <c r="B64" t="inlineStr">
        <is>
          <t>INPUT: Effective Interest Rate %</t>
        </is>
      </c>
    </row>
    <row r="66">
      <c r="B66" t="inlineStr">
        <is>
          <t>Suggested: Target Debt/Capitalization Ratio -- last actual year (no fade by default, generic)</t>
        </is>
      </c>
      <c r="C66" s="326">
        <f>MAX(0,MIN(0.95,('MT_Schedules'!H92/('MT_Schedules'!H92+('MT_Schedules'!H131+'MT_Schedules'!H139)))))</f>
        <v/>
      </c>
      <c r="D66" s="326">
        <f>$C$66</f>
        <v/>
      </c>
      <c r="E66" s="326">
        <f>$C$66</f>
        <v/>
      </c>
      <c r="F66" s="326">
        <f>$C$66</f>
        <v/>
      </c>
      <c r="G66" s="326">
        <f>$C$66</f>
        <v/>
      </c>
      <c r="H66" s="326">
        <f>$C$66</f>
        <v/>
      </c>
      <c r="I66" s="326">
        <f>$C$66</f>
        <v/>
      </c>
      <c r="J66" s="326">
        <f>$C$66</f>
        <v/>
      </c>
      <c r="K66" s="326">
        <f>$C$66</f>
        <v/>
      </c>
      <c r="L66" s="326">
        <f>$C$66</f>
        <v/>
      </c>
    </row>
    <row r="67">
      <c r="B67" t="inlineStr">
        <is>
          <t>INPUT: Target Debt/Capitalization Ratio</t>
        </is>
      </c>
    </row>
    <row r="69">
      <c r="A69" t="inlineStr">
        <is>
          <t>#</t>
        </is>
      </c>
      <c r="B69" s="340" t="inlineStr">
        <is>
          <t>Tax Schedule Drivers</t>
        </is>
      </c>
    </row>
    <row r="71">
      <c r="B71" t="inlineStr">
        <is>
          <t>Suggested: Statutory Corporate Tax Rate -- 25.17% (India Section 115BAA default; override for a different jurisdiction)</t>
        </is>
      </c>
      <c r="C71" s="326" t="n">
        <v>0.2517</v>
      </c>
    </row>
    <row r="72">
      <c r="B72" t="inlineStr">
        <is>
          <t>INPUT: Statutory Corporate Tax Rate</t>
        </is>
      </c>
    </row>
    <row r="74">
      <c r="B74" t="inlineStr">
        <is>
          <t>Suggested: Current Tax (MAT-floor) Rate -- materiality/plausibility-filtered avg, last 3yr, widening to full history if none qualify</t>
        </is>
      </c>
      <c r="C74" s="326">
        <f>IFERROR(AVERAGEIFS('MT_Schedules'!F119:H119,'MT_Schedules'!F118:H118,1),IFERROR(AVERAGEIFS('MT_Schedules'!C119:H119,'MT_Schedules'!C118:H118,1),0))</f>
        <v/>
      </c>
      <c r="D74" s="326">
        <f>$C$74</f>
        <v/>
      </c>
      <c r="E74" s="326">
        <f>$C$74</f>
        <v/>
      </c>
      <c r="F74" s="326">
        <f>$C$74</f>
        <v/>
      </c>
      <c r="G74" s="326">
        <f>$C$74</f>
        <v/>
      </c>
      <c r="H74" s="326">
        <f>$C$74</f>
        <v/>
      </c>
      <c r="I74" s="326">
        <f>$C$74</f>
        <v/>
      </c>
      <c r="J74" s="326">
        <f>$C$74</f>
        <v/>
      </c>
      <c r="K74" s="326">
        <f>$C$74</f>
        <v/>
      </c>
      <c r="L74" s="326">
        <f>$C$74</f>
        <v/>
      </c>
    </row>
    <row r="75">
      <c r="B75" t="inlineStr">
        <is>
          <t>INPUT: Current Tax (MAT-floor) Rate</t>
        </is>
      </c>
    </row>
    <row r="77">
      <c r="A77" t="inlineStr">
        <is>
          <t>#</t>
        </is>
      </c>
      <c r="B77" s="340" t="inlineStr">
        <is>
          <t>Equity Schedule Drivers</t>
        </is>
      </c>
    </row>
    <row r="79">
      <c r="B79" t="inlineStr">
        <is>
          <t>Suggested: Dividend Payout %, last 3yr avg</t>
        </is>
      </c>
      <c r="C79" s="344">
        <f>AVERAGE('MT_Schedules'!F141:H141)</f>
        <v/>
      </c>
      <c r="D79" s="344">
        <f>$C$79</f>
        <v/>
      </c>
      <c r="E79" s="344">
        <f>$C$79</f>
        <v/>
      </c>
      <c r="F79" s="344">
        <f>$C$79</f>
        <v/>
      </c>
      <c r="G79" s="344">
        <f>$C$79</f>
        <v/>
      </c>
      <c r="H79" s="344">
        <f>$C$79</f>
        <v/>
      </c>
      <c r="I79" s="344">
        <f>$C$79</f>
        <v/>
      </c>
      <c r="J79" s="344">
        <f>$C$79</f>
        <v/>
      </c>
      <c r="K79" s="344">
        <f>$C$79</f>
        <v/>
      </c>
      <c r="L79" s="344">
        <f>$C$79</f>
        <v/>
      </c>
    </row>
    <row r="80">
      <c r="B80" t="inlineStr">
        <is>
          <t>INPUT: Dividend Payout %</t>
        </is>
      </c>
    </row>
    <row r="82">
      <c r="A82" t="inlineStr">
        <is>
          <t>#</t>
        </is>
      </c>
      <c r="B82" s="340" t="inlineStr">
        <is>
          <t>P&amp;L Schedule Drivers</t>
        </is>
      </c>
    </row>
    <row r="84">
      <c r="B84" t="inlineStr">
        <is>
          <t>Suggested: Employee Benefit Expense, % of Revenue, last 3yr avg</t>
        </is>
      </c>
      <c r="C84" s="326">
        <f>-AVERAGE('MT_P&amp;L Schedule'!F9:H9)/AVERAGE('MT_P&amp;L Schedule'!F7:H7)</f>
        <v/>
      </c>
      <c r="D84" s="326">
        <f>$C$84</f>
        <v/>
      </c>
      <c r="E84" s="326">
        <f>$C$84</f>
        <v/>
      </c>
      <c r="F84" s="326">
        <f>$C$84</f>
        <v/>
      </c>
      <c r="G84" s="326">
        <f>$C$84</f>
        <v/>
      </c>
      <c r="H84" s="326">
        <f>$C$84</f>
        <v/>
      </c>
      <c r="I84" s="326">
        <f>$C$84</f>
        <v/>
      </c>
      <c r="J84" s="326">
        <f>$C$84</f>
        <v/>
      </c>
      <c r="K84" s="326">
        <f>$C$84</f>
        <v/>
      </c>
      <c r="L84" s="326">
        <f>$C$84</f>
        <v/>
      </c>
    </row>
    <row r="85">
      <c r="B85" t="inlineStr">
        <is>
          <t>INPUT: Employee Benefit Expense, % of Revenue</t>
        </is>
      </c>
    </row>
    <row r="86" ht="60" customHeight="1" s="203">
      <c r="B86" s="339" t="inlineStr">
        <is>
          <t>Sensitivity test run 25-Aug-2026 (audit gap #4, Task 26): the 3yr-average 'Suggested' value above understates the documented post-merger labor-cost-pressure trend (Task 21: actual combined Employee Benefit % rose 56.0% -&gt; 62.9%, FY22-&gt;FY23; Porter's Force 2: attrition 14.8%-&gt;24.0%, wage hikes up to 13%). Testing this input at 62.9% (combined with the WACC risk premium test on the WACC Schedule sheet) shifted this company's DCF value materially - see build_log.md Task 27 for the full before/after figures. Reverted to blank (uses the 3yr-average Suggested value again) - this was a documented test, not a committed change, per Sasi's explicit instruction.</t>
        </is>
      </c>
    </row>
    <row r="87">
      <c r="B87" t="inlineStr">
        <is>
          <t>Suggested: Other Expenses, % of Revenue, last 3yr avg</t>
        </is>
      </c>
      <c r="C87" s="326">
        <f>-AVERAGE('MT_P&amp;L Schedule'!F10:H10)/AVERAGE('MT_P&amp;L Schedule'!F7:H7)</f>
        <v/>
      </c>
      <c r="D87" s="326">
        <f>$C$87</f>
        <v/>
      </c>
      <c r="E87" s="326">
        <f>$C$87</f>
        <v/>
      </c>
      <c r="F87" s="326">
        <f>$C$87</f>
        <v/>
      </c>
      <c r="G87" s="326">
        <f>$C$87</f>
        <v/>
      </c>
      <c r="H87" s="326">
        <f>$C$87</f>
        <v/>
      </c>
      <c r="I87" s="326">
        <f>$C$87</f>
        <v/>
      </c>
      <c r="J87" s="326">
        <f>$C$87</f>
        <v/>
      </c>
      <c r="K87" s="326">
        <f>$C$87</f>
        <v/>
      </c>
      <c r="L87" s="326">
        <f>$C$87</f>
        <v/>
      </c>
    </row>
    <row r="88">
      <c r="B88" t="inlineStr">
        <is>
          <t>INPUT: Other Expenses, % of Revenue</t>
        </is>
      </c>
    </row>
    <row r="90">
      <c r="B90" t="inlineStr">
        <is>
          <t>Suggested: Other Income, % of Revenue, last 3yr avg</t>
        </is>
      </c>
      <c r="C90" s="326">
        <f>AVERAGE('MT_P&amp;L Schedule'!F16:H16)/AVERAGE('MT_P&amp;L Schedule'!F7:H7)</f>
        <v/>
      </c>
      <c r="D90" s="326">
        <f>$C$90</f>
        <v/>
      </c>
      <c r="E90" s="326">
        <f>$C$90</f>
        <v/>
      </c>
      <c r="F90" s="326">
        <f>$C$90</f>
        <v/>
      </c>
      <c r="G90" s="326">
        <f>$C$90</f>
        <v/>
      </c>
      <c r="H90" s="326">
        <f>$C$90</f>
        <v/>
      </c>
      <c r="I90" s="326">
        <f>$C$90</f>
        <v/>
      </c>
      <c r="J90" s="326">
        <f>$C$90</f>
        <v/>
      </c>
      <c r="K90" s="326">
        <f>$C$90</f>
        <v/>
      </c>
      <c r="L90" s="326">
        <f>$C$90</f>
        <v/>
      </c>
    </row>
    <row r="91">
      <c r="B91" t="inlineStr">
        <is>
          <t>INPUT: Other Income, % of Revenue</t>
        </is>
      </c>
    </row>
    <row r="93">
      <c r="B93" t="inlineStr">
        <is>
          <t>Suggested: D&amp;A Uplift Ratio, last 3yr avg</t>
        </is>
      </c>
      <c r="C93" s="345">
        <f>AVERAGE('MT_P&amp;L Schedule'!F26:H26)</f>
        <v/>
      </c>
      <c r="D93" s="345">
        <f>$C$93</f>
        <v/>
      </c>
      <c r="E93" s="345">
        <f>$C$93</f>
        <v/>
      </c>
      <c r="F93" s="345">
        <f>$C$93</f>
        <v/>
      </c>
      <c r="G93" s="345">
        <f>$C$93</f>
        <v/>
      </c>
      <c r="H93" s="345">
        <f>$C$93</f>
        <v/>
      </c>
      <c r="I93" s="345">
        <f>$C$93</f>
        <v/>
      </c>
      <c r="J93" s="345">
        <f>$C$93</f>
        <v/>
      </c>
      <c r="K93" s="345">
        <f>$C$93</f>
        <v/>
      </c>
      <c r="L93" s="345">
        <f>$C$93</f>
        <v/>
      </c>
    </row>
    <row r="94">
      <c r="B94" t="inlineStr">
        <is>
          <t>INPUT: D&amp;A Uplift Ratio</t>
        </is>
      </c>
    </row>
    <row r="96">
      <c r="B96" t="inlineStr">
        <is>
          <t>Suggested: Finance Cost Uplift Ratio, last 3yr avg</t>
        </is>
      </c>
      <c r="C96" s="345">
        <f>AVERAGE('MT_P&amp;L Schedule'!F28:H28)</f>
        <v/>
      </c>
      <c r="D96" s="345">
        <f>$C$96</f>
        <v/>
      </c>
      <c r="E96" s="345">
        <f>$C$96</f>
        <v/>
      </c>
      <c r="F96" s="345">
        <f>$C$96</f>
        <v/>
      </c>
      <c r="G96" s="345">
        <f>$C$96</f>
        <v/>
      </c>
      <c r="H96" s="345">
        <f>$C$96</f>
        <v/>
      </c>
      <c r="I96" s="345">
        <f>$C$96</f>
        <v/>
      </c>
      <c r="J96" s="345">
        <f>$C$96</f>
        <v/>
      </c>
      <c r="K96" s="345">
        <f>$C$96</f>
        <v/>
      </c>
      <c r="L96" s="345">
        <f>$C$96</f>
        <v/>
      </c>
    </row>
    <row r="97">
      <c r="B97" t="inlineStr">
        <is>
          <t>INPUT: Finance Cost Uplift Ratio</t>
        </is>
      </c>
    </row>
  </sheetData>
  <mergeCells count="1">
    <mergeCell ref="B86:F86"/>
  </mergeCells>
  <pageMargins left="0.75" right="0.75" top="1" bottom="1" header="0.5" footer="0.5"/>
</worksheet>
</file>

<file path=xl/worksheets/sheet41.xml><?xml version="1.0" encoding="utf-8"?>
<worksheet xmlns="http://schemas.openxmlformats.org/spreadsheetml/2006/main">
  <sheetPr>
    <tabColor rgb="00B45F06"/>
    <outlinePr summaryBelow="1" summaryRight="1"/>
    <pageSetUpPr/>
  </sheetPr>
  <dimension ref="A1:R28"/>
  <sheetViews>
    <sheetView showGridLines="0" workbookViewId="0">
      <selection activeCell="A1" sqref="A1"/>
    </sheetView>
  </sheetViews>
  <sheetFormatPr baseColWidth="8" defaultRowHeight="14.5"/>
  <cols>
    <col width="3.453125" customWidth="1" style="203" min="1" max="1"/>
    <col width="65" customWidth="1" style="203" min="2" max="2"/>
    <col width="17" customWidth="1" style="203" min="3" max="19"/>
  </cols>
  <sheetData>
    <row r="1" ht="21" customHeight="1" s="203">
      <c r="A1" t="inlineStr">
        <is>
          <t>#</t>
        </is>
      </c>
      <c r="B1" s="99" t="inlineStr">
        <is>
          <t>Forecast Income Statement</t>
        </is>
      </c>
    </row>
    <row r="5">
      <c r="B5" s="100" t="inlineStr">
        <is>
          <t>Line item</t>
        </is>
      </c>
      <c r="C5" s="100" t="inlineStr">
        <is>
          <t>FY2017</t>
        </is>
      </c>
      <c r="D5" s="100" t="inlineStr">
        <is>
          <t>FY2018</t>
        </is>
      </c>
      <c r="E5" s="100" t="inlineStr">
        <is>
          <t>FY2019</t>
        </is>
      </c>
      <c r="F5" s="100" t="inlineStr">
        <is>
          <t>FY2020</t>
        </is>
      </c>
      <c r="G5" s="100" t="inlineStr">
        <is>
          <t>FY2021</t>
        </is>
      </c>
      <c r="H5" s="100" t="inlineStr">
        <is>
          <t>FY2022</t>
        </is>
      </c>
      <c r="I5" s="100" t="inlineStr">
        <is>
          <t>FY2023E</t>
        </is>
      </c>
      <c r="J5" s="100" t="inlineStr">
        <is>
          <t>FY2024E</t>
        </is>
      </c>
      <c r="K5" s="100" t="inlineStr">
        <is>
          <t>FY2025E</t>
        </is>
      </c>
      <c r="L5" s="100" t="inlineStr">
        <is>
          <t>FY2026E</t>
        </is>
      </c>
      <c r="M5" s="100" t="inlineStr">
        <is>
          <t>FY2027E</t>
        </is>
      </c>
      <c r="N5" s="100" t="inlineStr">
        <is>
          <t>FY2028E</t>
        </is>
      </c>
      <c r="O5" s="100" t="inlineStr">
        <is>
          <t>FY2029E</t>
        </is>
      </c>
      <c r="P5" s="100" t="inlineStr">
        <is>
          <t>FY2030E</t>
        </is>
      </c>
      <c r="Q5" s="100" t="inlineStr">
        <is>
          <t>FY2031E</t>
        </is>
      </c>
      <c r="R5" s="100" t="inlineStr">
        <is>
          <t>FY2032E</t>
        </is>
      </c>
    </row>
    <row r="7">
      <c r="B7" s="205" t="inlineStr">
        <is>
          <t>Revenue</t>
        </is>
      </c>
      <c r="C7" s="80">
        <f>MT_Schedules!C7</f>
        <v/>
      </c>
      <c r="D7" s="80">
        <f>MT_Schedules!D7</f>
        <v/>
      </c>
      <c r="E7" s="80">
        <f>MT_Schedules!E7</f>
        <v/>
      </c>
      <c r="F7" s="80">
        <f>MT_Schedules!F7</f>
        <v/>
      </c>
      <c r="G7" s="80">
        <f>MT_Schedules!G7</f>
        <v/>
      </c>
      <c r="H7" s="80">
        <f>MT_Schedules!H7</f>
        <v/>
      </c>
      <c r="I7" s="90">
        <f>MT_Schedules!I7</f>
        <v/>
      </c>
      <c r="J7" s="90">
        <f>MT_Schedules!J7</f>
        <v/>
      </c>
      <c r="K7" s="90">
        <f>MT_Schedules!K7</f>
        <v/>
      </c>
      <c r="L7" s="90">
        <f>MT_Schedules!L7</f>
        <v/>
      </c>
      <c r="M7" s="90">
        <f>MT_Schedules!M7</f>
        <v/>
      </c>
      <c r="N7" s="90">
        <f>MT_Schedules!N7</f>
        <v/>
      </c>
      <c r="O7" s="90">
        <f>MT_Schedules!O7</f>
        <v/>
      </c>
      <c r="P7" s="90">
        <f>MT_Schedules!P7</f>
        <v/>
      </c>
      <c r="Q7" s="90">
        <f>MT_Schedules!Q7</f>
        <v/>
      </c>
      <c r="R7" s="90">
        <f>MT_Schedules!R7</f>
        <v/>
      </c>
    </row>
    <row r="8">
      <c r="B8" s="205" t="inlineStr">
        <is>
          <t>(-) COGS</t>
        </is>
      </c>
      <c r="C8" s="80">
        <f>MT_Schedules!C31</f>
        <v/>
      </c>
      <c r="D8" s="80">
        <f>MT_Schedules!D31</f>
        <v/>
      </c>
      <c r="E8" s="80">
        <f>MT_Schedules!E31</f>
        <v/>
      </c>
      <c r="F8" s="80">
        <f>MT_Schedules!F31</f>
        <v/>
      </c>
      <c r="G8" s="80">
        <f>MT_Schedules!G31</f>
        <v/>
      </c>
      <c r="H8" s="80">
        <f>MT_Schedules!H31</f>
        <v/>
      </c>
      <c r="I8" s="90">
        <f>MT_Schedules!I31</f>
        <v/>
      </c>
      <c r="J8" s="90">
        <f>MT_Schedules!J31</f>
        <v/>
      </c>
      <c r="K8" s="90">
        <f>MT_Schedules!K31</f>
        <v/>
      </c>
      <c r="L8" s="90">
        <f>MT_Schedules!L31</f>
        <v/>
      </c>
      <c r="M8" s="90">
        <f>MT_Schedules!M31</f>
        <v/>
      </c>
      <c r="N8" s="90">
        <f>MT_Schedules!N31</f>
        <v/>
      </c>
      <c r="O8" s="90">
        <f>MT_Schedules!O31</f>
        <v/>
      </c>
      <c r="P8" s="90">
        <f>MT_Schedules!P31</f>
        <v/>
      </c>
      <c r="Q8" s="90">
        <f>MT_Schedules!Q31</f>
        <v/>
      </c>
      <c r="R8" s="90">
        <f>MT_Schedules!R31</f>
        <v/>
      </c>
    </row>
    <row r="9">
      <c r="B9" s="205" t="inlineStr">
        <is>
          <t>(-) Employee Benefit Expense</t>
        </is>
      </c>
      <c r="C9" s="80">
        <f>-IFERROR(INDEX(MT_HS_CONSOLIDATED!D:D,MATCH("EmployeeBenefitExpense",MT_HS_CONSOLIDATED!$C:$C,0)),0)</f>
        <v/>
      </c>
      <c r="D9" s="80">
        <f>-IFERROR(INDEX(MT_HS_CONSOLIDATED!E:E,MATCH("EmployeeBenefitExpense",MT_HS_CONSOLIDATED!$C:$C,0)),0)</f>
        <v/>
      </c>
      <c r="E9" s="80">
        <f>-IFERROR(INDEX(MT_HS_CONSOLIDATED!F:F,MATCH("EmployeeBenefitExpense",MT_HS_CONSOLIDATED!$C:$C,0)),0)</f>
        <v/>
      </c>
      <c r="F9" s="80">
        <f>-IFERROR(INDEX(MT_HS_CONSOLIDATED!G:G,MATCH("EmployeeBenefitExpense",MT_HS_CONSOLIDATED!$C:$C,0)),0)</f>
        <v/>
      </c>
      <c r="G9" s="80">
        <f>-IFERROR(INDEX(MT_HS_CONSOLIDATED!H:H,MATCH("EmployeeBenefitExpense",MT_HS_CONSOLIDATED!$C:$C,0)),0)</f>
        <v/>
      </c>
      <c r="H9" s="80">
        <f>-IFERROR(INDEX(MT_HS_CONSOLIDATED!I:I,MATCH("EmployeeBenefitExpense",MT_HS_CONSOLIDATED!$C:$C,0)),0)</f>
        <v/>
      </c>
      <c r="I9" s="90">
        <f>-I7*IF('MT_Inputs &amp; Assumptions'!C85="",'MT_Inputs &amp; Assumptions'!C84,'MT_Inputs &amp; Assumptions'!C85)</f>
        <v/>
      </c>
      <c r="J9" s="90">
        <f>-J7*IF('MT_Inputs &amp; Assumptions'!D85="",'MT_Inputs &amp; Assumptions'!D84,'MT_Inputs &amp; Assumptions'!D85)</f>
        <v/>
      </c>
      <c r="K9" s="90">
        <f>-K7*IF('MT_Inputs &amp; Assumptions'!E85="",'MT_Inputs &amp; Assumptions'!E84,'MT_Inputs &amp; Assumptions'!E85)</f>
        <v/>
      </c>
      <c r="L9" s="90">
        <f>-L7*IF('MT_Inputs &amp; Assumptions'!F85="",'MT_Inputs &amp; Assumptions'!F84,'MT_Inputs &amp; Assumptions'!F85)</f>
        <v/>
      </c>
      <c r="M9" s="90">
        <f>-M7*IF('MT_Inputs &amp; Assumptions'!G85="",'MT_Inputs &amp; Assumptions'!G84,'MT_Inputs &amp; Assumptions'!G85)</f>
        <v/>
      </c>
      <c r="N9" s="90">
        <f>-N7*IF('MT_Inputs &amp; Assumptions'!H85="",'MT_Inputs &amp; Assumptions'!H84,'MT_Inputs &amp; Assumptions'!H85)</f>
        <v/>
      </c>
      <c r="O9" s="90">
        <f>-O7*IF('MT_Inputs &amp; Assumptions'!I85="",'MT_Inputs &amp; Assumptions'!I84,'MT_Inputs &amp; Assumptions'!I85)</f>
        <v/>
      </c>
      <c r="P9" s="90">
        <f>-P7*IF('MT_Inputs &amp; Assumptions'!J85="",'MT_Inputs &amp; Assumptions'!J84,'MT_Inputs &amp; Assumptions'!J85)</f>
        <v/>
      </c>
      <c r="Q9" s="90">
        <f>-Q7*IF('MT_Inputs &amp; Assumptions'!K85="",'MT_Inputs &amp; Assumptions'!K84,'MT_Inputs &amp; Assumptions'!K85)</f>
        <v/>
      </c>
      <c r="R9" s="90">
        <f>-R7*IF('MT_Inputs &amp; Assumptions'!L85="",'MT_Inputs &amp; Assumptions'!L84,'MT_Inputs &amp; Assumptions'!L85)</f>
        <v/>
      </c>
    </row>
    <row r="10">
      <c r="B10" s="205" t="inlineStr">
        <is>
          <t>(-) Other Expenses</t>
        </is>
      </c>
      <c r="C10" s="80">
        <f>-IFERROR(INDEX(MT_HS_CONSOLIDATED!D:D,MATCH("OtherExpenses",MT_HS_CONSOLIDATED!$C:$C,0)),0)</f>
        <v/>
      </c>
      <c r="D10" s="80">
        <f>-IFERROR(INDEX(MT_HS_CONSOLIDATED!E:E,MATCH("OtherExpenses",MT_HS_CONSOLIDATED!$C:$C,0)),0)</f>
        <v/>
      </c>
      <c r="E10" s="80">
        <f>-IFERROR(INDEX(MT_HS_CONSOLIDATED!F:F,MATCH("OtherExpenses",MT_HS_CONSOLIDATED!$C:$C,0)),0)</f>
        <v/>
      </c>
      <c r="F10" s="80">
        <f>-IFERROR(INDEX(MT_HS_CONSOLIDATED!G:G,MATCH("OtherExpenses",MT_HS_CONSOLIDATED!$C:$C,0)),0)</f>
        <v/>
      </c>
      <c r="G10" s="80">
        <f>-IFERROR(INDEX(MT_HS_CONSOLIDATED!H:H,MATCH("OtherExpenses",MT_HS_CONSOLIDATED!$C:$C,0)),0)</f>
        <v/>
      </c>
      <c r="H10" s="80">
        <f>-IFERROR(INDEX(MT_HS_CONSOLIDATED!I:I,MATCH("OtherExpenses",MT_HS_CONSOLIDATED!$C:$C,0)),0)</f>
        <v/>
      </c>
      <c r="I10" s="90">
        <f>-I7*IF('MT_Inputs &amp; Assumptions'!C88="",'MT_Inputs &amp; Assumptions'!C87,'MT_Inputs &amp; Assumptions'!C88)</f>
        <v/>
      </c>
      <c r="J10" s="90">
        <f>-J7*IF('MT_Inputs &amp; Assumptions'!D88="",'MT_Inputs &amp; Assumptions'!D87,'MT_Inputs &amp; Assumptions'!D88)</f>
        <v/>
      </c>
      <c r="K10" s="90">
        <f>-K7*IF('MT_Inputs &amp; Assumptions'!E88="",'MT_Inputs &amp; Assumptions'!E87,'MT_Inputs &amp; Assumptions'!E88)</f>
        <v/>
      </c>
      <c r="L10" s="90">
        <f>-L7*IF('MT_Inputs &amp; Assumptions'!F88="",'MT_Inputs &amp; Assumptions'!F87,'MT_Inputs &amp; Assumptions'!F88)</f>
        <v/>
      </c>
      <c r="M10" s="90">
        <f>-M7*IF('MT_Inputs &amp; Assumptions'!G88="",'MT_Inputs &amp; Assumptions'!G87,'MT_Inputs &amp; Assumptions'!G88)</f>
        <v/>
      </c>
      <c r="N10" s="90">
        <f>-N7*IF('MT_Inputs &amp; Assumptions'!H88="",'MT_Inputs &amp; Assumptions'!H87,'MT_Inputs &amp; Assumptions'!H88)</f>
        <v/>
      </c>
      <c r="O10" s="90">
        <f>-O7*IF('MT_Inputs &amp; Assumptions'!I88="",'MT_Inputs &amp; Assumptions'!I87,'MT_Inputs &amp; Assumptions'!I88)</f>
        <v/>
      </c>
      <c r="P10" s="90">
        <f>-P7*IF('MT_Inputs &amp; Assumptions'!J88="",'MT_Inputs &amp; Assumptions'!J87,'MT_Inputs &amp; Assumptions'!J88)</f>
        <v/>
      </c>
      <c r="Q10" s="90">
        <f>-Q7*IF('MT_Inputs &amp; Assumptions'!K88="",'MT_Inputs &amp; Assumptions'!K87,'MT_Inputs &amp; Assumptions'!K88)</f>
        <v/>
      </c>
      <c r="R10" s="90">
        <f>-R7*IF('MT_Inputs &amp; Assumptions'!L88="",'MT_Inputs &amp; Assumptions'!L87,'MT_Inputs &amp; Assumptions'!L88)</f>
        <v/>
      </c>
    </row>
    <row r="11">
      <c r="B11" s="101" t="inlineStr">
        <is>
          <t>EBITDA</t>
        </is>
      </c>
      <c r="C11" s="83">
        <f>C7+C8+C9+C10</f>
        <v/>
      </c>
      <c r="D11" s="83">
        <f>D7+D8+D9+D10</f>
        <v/>
      </c>
      <c r="E11" s="83">
        <f>E7+E8+E9+E10</f>
        <v/>
      </c>
      <c r="F11" s="83">
        <f>F7+F8+F9+F10</f>
        <v/>
      </c>
      <c r="G11" s="83">
        <f>G7+G8+G9+G10</f>
        <v/>
      </c>
      <c r="H11" s="83">
        <f>H7+H8+H9+H10</f>
        <v/>
      </c>
      <c r="I11" s="83">
        <f>I7+I8+I9+I10</f>
        <v/>
      </c>
      <c r="J11" s="83">
        <f>J7+J8+J9+J10</f>
        <v/>
      </c>
      <c r="K11" s="83">
        <f>K7+K8+K9+K10</f>
        <v/>
      </c>
      <c r="L11" s="83">
        <f>L7+L8+L9+L10</f>
        <v/>
      </c>
      <c r="M11" s="83">
        <f>M7+M8+M9+M10</f>
        <v/>
      </c>
      <c r="N11" s="83">
        <f>N7+N8+N9+N10</f>
        <v/>
      </c>
      <c r="O11" s="83">
        <f>O7+O8+O9+O10</f>
        <v/>
      </c>
      <c r="P11" s="83">
        <f>P7+P8+P9+P10</f>
        <v/>
      </c>
      <c r="Q11" s="83">
        <f>Q7+Q8+Q9+Q10</f>
        <v/>
      </c>
      <c r="R11" s="83">
        <f>R7+R8+R9+R10</f>
        <v/>
      </c>
    </row>
    <row r="13">
      <c r="B13" s="205" t="inlineStr">
        <is>
          <t>(-) Depreciation &amp; Amortisation</t>
        </is>
      </c>
      <c r="C13" s="80">
        <f>-IFERROR(INDEX(MT_HS_CONSOLIDATED!D:D,MATCH("DepreciationDepletionAndAmortisationExpense",MT_HS_CONSOLIDATED!$C:$C,0)),0)</f>
        <v/>
      </c>
      <c r="D13" s="80">
        <f>-IFERROR(INDEX(MT_HS_CONSOLIDATED!E:E,MATCH("DepreciationDepletionAndAmortisationExpense",MT_HS_CONSOLIDATED!$C:$C,0)),0)</f>
        <v/>
      </c>
      <c r="E13" s="80">
        <f>-IFERROR(INDEX(MT_HS_CONSOLIDATED!F:F,MATCH("DepreciationDepletionAndAmortisationExpense",MT_HS_CONSOLIDATED!$C:$C,0)),0)</f>
        <v/>
      </c>
      <c r="F13" s="80">
        <f>-IFERROR(INDEX(MT_HS_CONSOLIDATED!G:G,MATCH("DepreciationDepletionAndAmortisationExpense",MT_HS_CONSOLIDATED!$C:$C,0)),0)</f>
        <v/>
      </c>
      <c r="G13" s="80">
        <f>-IFERROR(INDEX(MT_HS_CONSOLIDATED!H:H,MATCH("DepreciationDepletionAndAmortisationExpense",MT_HS_CONSOLIDATED!$C:$C,0)),0)</f>
        <v/>
      </c>
      <c r="H13" s="80">
        <f>-IFERROR(INDEX(MT_HS_CONSOLIDATED!I:I,MATCH("DepreciationDepletionAndAmortisationExpense",MT_HS_CONSOLIDATED!$C:$C,0)),0)</f>
        <v/>
      </c>
      <c r="I13" s="90">
        <f>MT_Schedules!I55*IF('MT_Inputs &amp; Assumptions'!C94="",'MT_Inputs &amp; Assumptions'!C93,'MT_Inputs &amp; Assumptions'!C94)</f>
        <v/>
      </c>
      <c r="J13" s="90">
        <f>MT_Schedules!J55*IF('MT_Inputs &amp; Assumptions'!D94="",'MT_Inputs &amp; Assumptions'!D93,'MT_Inputs &amp; Assumptions'!D94)</f>
        <v/>
      </c>
      <c r="K13" s="90">
        <f>MT_Schedules!K55*IF('MT_Inputs &amp; Assumptions'!E94="",'MT_Inputs &amp; Assumptions'!E93,'MT_Inputs &amp; Assumptions'!E94)</f>
        <v/>
      </c>
      <c r="L13" s="90">
        <f>MT_Schedules!L55*IF('MT_Inputs &amp; Assumptions'!F94="",'MT_Inputs &amp; Assumptions'!F93,'MT_Inputs &amp; Assumptions'!F94)</f>
        <v/>
      </c>
      <c r="M13" s="90">
        <f>MT_Schedules!M55*IF('MT_Inputs &amp; Assumptions'!G94="",'MT_Inputs &amp; Assumptions'!G93,'MT_Inputs &amp; Assumptions'!G94)</f>
        <v/>
      </c>
      <c r="N13" s="90">
        <f>MT_Schedules!N55*IF('MT_Inputs &amp; Assumptions'!H94="",'MT_Inputs &amp; Assumptions'!H93,'MT_Inputs &amp; Assumptions'!H94)</f>
        <v/>
      </c>
      <c r="O13" s="90">
        <f>MT_Schedules!O55*IF('MT_Inputs &amp; Assumptions'!I94="",'MT_Inputs &amp; Assumptions'!I93,'MT_Inputs &amp; Assumptions'!I94)</f>
        <v/>
      </c>
      <c r="P13" s="90">
        <f>MT_Schedules!P55*IF('MT_Inputs &amp; Assumptions'!J94="",'MT_Inputs &amp; Assumptions'!J93,'MT_Inputs &amp; Assumptions'!J94)</f>
        <v/>
      </c>
      <c r="Q13" s="90">
        <f>MT_Schedules!Q55*IF('MT_Inputs &amp; Assumptions'!K94="",'MT_Inputs &amp; Assumptions'!K93,'MT_Inputs &amp; Assumptions'!K94)</f>
        <v/>
      </c>
      <c r="R13" s="90">
        <f>MT_Schedules!R55*IF('MT_Inputs &amp; Assumptions'!L94="",'MT_Inputs &amp; Assumptions'!L93,'MT_Inputs &amp; Assumptions'!L94)</f>
        <v/>
      </c>
    </row>
    <row r="14">
      <c r="B14" s="101" t="inlineStr">
        <is>
          <t>EBIT</t>
        </is>
      </c>
      <c r="C14" s="83">
        <f>C11+C13</f>
        <v/>
      </c>
      <c r="D14" s="83">
        <f>D11+D13</f>
        <v/>
      </c>
      <c r="E14" s="83">
        <f>E11+E13</f>
        <v/>
      </c>
      <c r="F14" s="83">
        <f>F11+F13</f>
        <v/>
      </c>
      <c r="G14" s="83">
        <f>G11+G13</f>
        <v/>
      </c>
      <c r="H14" s="83">
        <f>H11+H13</f>
        <v/>
      </c>
      <c r="I14" s="83">
        <f>I11+I13</f>
        <v/>
      </c>
      <c r="J14" s="83">
        <f>J11+J13</f>
        <v/>
      </c>
      <c r="K14" s="83">
        <f>K11+K13</f>
        <v/>
      </c>
      <c r="L14" s="83">
        <f>L11+L13</f>
        <v/>
      </c>
      <c r="M14" s="83">
        <f>M11+M13</f>
        <v/>
      </c>
      <c r="N14" s="83">
        <f>N11+N13</f>
        <v/>
      </c>
      <c r="O14" s="83">
        <f>O11+O13</f>
        <v/>
      </c>
      <c r="P14" s="83">
        <f>P11+P13</f>
        <v/>
      </c>
      <c r="Q14" s="83">
        <f>Q11+Q13</f>
        <v/>
      </c>
      <c r="R14" s="83">
        <f>R11+R13</f>
        <v/>
      </c>
    </row>
    <row r="16">
      <c r="B16" s="205" t="inlineStr">
        <is>
          <t>(+) Other Income</t>
        </is>
      </c>
      <c r="C16" s="80">
        <f>IFERROR(INDEX(MT_HS_CONSOLIDATED!D:D,MATCH("OtherIncome",MT_HS_CONSOLIDATED!$C:$C,0)),0)</f>
        <v/>
      </c>
      <c r="D16" s="80">
        <f>IFERROR(INDEX(MT_HS_CONSOLIDATED!E:E,MATCH("OtherIncome",MT_HS_CONSOLIDATED!$C:$C,0)),0)</f>
        <v/>
      </c>
      <c r="E16" s="80">
        <f>IFERROR(INDEX(MT_HS_CONSOLIDATED!F:F,MATCH("OtherIncome",MT_HS_CONSOLIDATED!$C:$C,0)),0)</f>
        <v/>
      </c>
      <c r="F16" s="80">
        <f>IFERROR(INDEX(MT_HS_CONSOLIDATED!G:G,MATCH("OtherIncome",MT_HS_CONSOLIDATED!$C:$C,0)),0)</f>
        <v/>
      </c>
      <c r="G16" s="80">
        <f>IFERROR(INDEX(MT_HS_CONSOLIDATED!H:H,MATCH("OtherIncome",MT_HS_CONSOLIDATED!$C:$C,0)),0)</f>
        <v/>
      </c>
      <c r="H16" s="80">
        <f>IFERROR(INDEX(MT_HS_CONSOLIDATED!I:I,MATCH("OtherIncome",MT_HS_CONSOLIDATED!$C:$C,0)),0)</f>
        <v/>
      </c>
      <c r="I16" s="90">
        <f>I7*IF('MT_Inputs &amp; Assumptions'!C91="",'MT_Inputs &amp; Assumptions'!C90,'MT_Inputs &amp; Assumptions'!C91)</f>
        <v/>
      </c>
      <c r="J16" s="90">
        <f>J7*IF('MT_Inputs &amp; Assumptions'!D91="",'MT_Inputs &amp; Assumptions'!D90,'MT_Inputs &amp; Assumptions'!D91)</f>
        <v/>
      </c>
      <c r="K16" s="90">
        <f>K7*IF('MT_Inputs &amp; Assumptions'!E91="",'MT_Inputs &amp; Assumptions'!E90,'MT_Inputs &amp; Assumptions'!E91)</f>
        <v/>
      </c>
      <c r="L16" s="90">
        <f>L7*IF('MT_Inputs &amp; Assumptions'!F91="",'MT_Inputs &amp; Assumptions'!F90,'MT_Inputs &amp; Assumptions'!F91)</f>
        <v/>
      </c>
      <c r="M16" s="90">
        <f>M7*IF('MT_Inputs &amp; Assumptions'!G91="",'MT_Inputs &amp; Assumptions'!G90,'MT_Inputs &amp; Assumptions'!G91)</f>
        <v/>
      </c>
      <c r="N16" s="90">
        <f>N7*IF('MT_Inputs &amp; Assumptions'!H91="",'MT_Inputs &amp; Assumptions'!H90,'MT_Inputs &amp; Assumptions'!H91)</f>
        <v/>
      </c>
      <c r="O16" s="90">
        <f>O7*IF('MT_Inputs &amp; Assumptions'!I91="",'MT_Inputs &amp; Assumptions'!I90,'MT_Inputs &amp; Assumptions'!I91)</f>
        <v/>
      </c>
      <c r="P16" s="90">
        <f>P7*IF('MT_Inputs &amp; Assumptions'!J91="",'MT_Inputs &amp; Assumptions'!J90,'MT_Inputs &amp; Assumptions'!J91)</f>
        <v/>
      </c>
      <c r="Q16" s="90">
        <f>Q7*IF('MT_Inputs &amp; Assumptions'!K91="",'MT_Inputs &amp; Assumptions'!K90,'MT_Inputs &amp; Assumptions'!K91)</f>
        <v/>
      </c>
      <c r="R16" s="90">
        <f>R7*IF('MT_Inputs &amp; Assumptions'!L91="",'MT_Inputs &amp; Assumptions'!L90,'MT_Inputs &amp; Assumptions'!L91)</f>
        <v/>
      </c>
    </row>
    <row r="17">
      <c r="B17" s="205" t="inlineStr">
        <is>
          <t>(-) Interest Expense</t>
        </is>
      </c>
      <c r="C17" s="80">
        <f>-IFERROR(INDEX(MT_HS_CONSOLIDATED!D:D,MATCH("FinanceCosts",MT_HS_CONSOLIDATED!$C:$C,0)),0)</f>
        <v/>
      </c>
      <c r="D17" s="80">
        <f>-IFERROR(INDEX(MT_HS_CONSOLIDATED!E:E,MATCH("FinanceCosts",MT_HS_CONSOLIDATED!$C:$C,0)),0)</f>
        <v/>
      </c>
      <c r="E17" s="80">
        <f>-IFERROR(INDEX(MT_HS_CONSOLIDATED!F:F,MATCH("FinanceCosts",MT_HS_CONSOLIDATED!$C:$C,0)),0)</f>
        <v/>
      </c>
      <c r="F17" s="80">
        <f>-IFERROR(INDEX(MT_HS_CONSOLIDATED!G:G,MATCH("FinanceCosts",MT_HS_CONSOLIDATED!$C:$C,0)),0)</f>
        <v/>
      </c>
      <c r="G17" s="80">
        <f>-IFERROR(INDEX(MT_HS_CONSOLIDATED!H:H,MATCH("FinanceCosts",MT_HS_CONSOLIDATED!$C:$C,0)),0)</f>
        <v/>
      </c>
      <c r="H17" s="80">
        <f>-IFERROR(INDEX(MT_HS_CONSOLIDATED!I:I,MATCH("FinanceCosts",MT_HS_CONSOLIDATED!$C:$C,0)),0)</f>
        <v/>
      </c>
      <c r="I17" s="90">
        <f>-MT_Schedules!I97*IF('MT_Inputs &amp; Assumptions'!C97="",'MT_Inputs &amp; Assumptions'!C96,'MT_Inputs &amp; Assumptions'!C97)</f>
        <v/>
      </c>
      <c r="J17" s="90">
        <f>-MT_Schedules!J97*IF('MT_Inputs &amp; Assumptions'!D97="",'MT_Inputs &amp; Assumptions'!D96,'MT_Inputs &amp; Assumptions'!D97)</f>
        <v/>
      </c>
      <c r="K17" s="90">
        <f>-MT_Schedules!K97*IF('MT_Inputs &amp; Assumptions'!E97="",'MT_Inputs &amp; Assumptions'!E96,'MT_Inputs &amp; Assumptions'!E97)</f>
        <v/>
      </c>
      <c r="L17" s="90">
        <f>-MT_Schedules!L97*IF('MT_Inputs &amp; Assumptions'!F97="",'MT_Inputs &amp; Assumptions'!F96,'MT_Inputs &amp; Assumptions'!F97)</f>
        <v/>
      </c>
      <c r="M17" s="90">
        <f>-MT_Schedules!M97*IF('MT_Inputs &amp; Assumptions'!G97="",'MT_Inputs &amp; Assumptions'!G96,'MT_Inputs &amp; Assumptions'!G97)</f>
        <v/>
      </c>
      <c r="N17" s="90">
        <f>-MT_Schedules!N97*IF('MT_Inputs &amp; Assumptions'!H97="",'MT_Inputs &amp; Assumptions'!H96,'MT_Inputs &amp; Assumptions'!H97)</f>
        <v/>
      </c>
      <c r="O17" s="90">
        <f>-MT_Schedules!O97*IF('MT_Inputs &amp; Assumptions'!I97="",'MT_Inputs &amp; Assumptions'!I96,'MT_Inputs &amp; Assumptions'!I97)</f>
        <v/>
      </c>
      <c r="P17" s="90">
        <f>-MT_Schedules!P97*IF('MT_Inputs &amp; Assumptions'!J97="",'MT_Inputs &amp; Assumptions'!J96,'MT_Inputs &amp; Assumptions'!J97)</f>
        <v/>
      </c>
      <c r="Q17" s="90">
        <f>-MT_Schedules!Q97*IF('MT_Inputs &amp; Assumptions'!K97="",'MT_Inputs &amp; Assumptions'!K96,'MT_Inputs &amp; Assumptions'!K97)</f>
        <v/>
      </c>
      <c r="R17" s="90">
        <f>-MT_Schedules!R97*IF('MT_Inputs &amp; Assumptions'!L97="",'MT_Inputs &amp; Assumptions'!L96,'MT_Inputs &amp; Assumptions'!L97)</f>
        <v/>
      </c>
    </row>
    <row r="18">
      <c r="B18" s="205" t="inlineStr">
        <is>
          <t>(-) Exceptional Items (historical only)</t>
        </is>
      </c>
      <c r="C18" s="80">
        <f>IFERROR(INDEX(MT_HS_CONSOLIDATED!D:D,MATCH("ExceptionalItemsBeforeTax",MT_HS_CONSOLIDATED!$C:$C,0)),0)</f>
        <v/>
      </c>
      <c r="D18" s="80">
        <f>IFERROR(INDEX(MT_HS_CONSOLIDATED!E:E,MATCH("ExceptionalItemsBeforeTax",MT_HS_CONSOLIDATED!$C:$C,0)),0)</f>
        <v/>
      </c>
      <c r="E18" s="80">
        <f>IFERROR(INDEX(MT_HS_CONSOLIDATED!F:F,MATCH("ExceptionalItemsBeforeTax",MT_HS_CONSOLIDATED!$C:$C,0)),0)</f>
        <v/>
      </c>
      <c r="F18" s="80">
        <f>IFERROR(INDEX(MT_HS_CONSOLIDATED!G:G,MATCH("ExceptionalItemsBeforeTax",MT_HS_CONSOLIDATED!$C:$C,0)),0)</f>
        <v/>
      </c>
      <c r="G18" s="80">
        <f>IFERROR(INDEX(MT_HS_CONSOLIDATED!H:H,MATCH("ExceptionalItemsBeforeTax",MT_HS_CONSOLIDATED!$C:$C,0)),0)</f>
        <v/>
      </c>
      <c r="H18" s="80">
        <f>IFERROR(INDEX(MT_HS_CONSOLIDATED!I:I,MATCH("ExceptionalItemsBeforeTax",MT_HS_CONSOLIDATED!$C:$C,0)),0)</f>
        <v/>
      </c>
      <c r="I18" s="90" t="n">
        <v>0</v>
      </c>
      <c r="J18" s="90" t="n">
        <v>0</v>
      </c>
      <c r="K18" s="90" t="n">
        <v>0</v>
      </c>
      <c r="L18" s="90" t="n">
        <v>0</v>
      </c>
      <c r="M18" s="90" t="n">
        <v>0</v>
      </c>
      <c r="N18" s="90" t="n">
        <v>0</v>
      </c>
      <c r="O18" s="90" t="n">
        <v>0</v>
      </c>
      <c r="P18" s="90" t="n">
        <v>0</v>
      </c>
      <c r="Q18" s="90" t="n">
        <v>0</v>
      </c>
      <c r="R18" s="90" t="n">
        <v>0</v>
      </c>
    </row>
    <row r="19">
      <c r="B19" s="101" t="inlineStr">
        <is>
          <t>Profit Before Tax</t>
        </is>
      </c>
      <c r="C19" s="83">
        <f>C14+C16+C17+C18</f>
        <v/>
      </c>
      <c r="D19" s="83">
        <f>D14+D16+D17+D18</f>
        <v/>
      </c>
      <c r="E19" s="83">
        <f>E14+E16+E17+E18</f>
        <v/>
      </c>
      <c r="F19" s="83">
        <f>F14+F16+F17+F18</f>
        <v/>
      </c>
      <c r="G19" s="83">
        <f>G14+G16+G17+G18</f>
        <v/>
      </c>
      <c r="H19" s="83">
        <f>H14+H16+H17+H18</f>
        <v/>
      </c>
      <c r="I19" s="83">
        <f>I14+I16+I17+I18</f>
        <v/>
      </c>
      <c r="J19" s="83">
        <f>J14+J16+J17+J18</f>
        <v/>
      </c>
      <c r="K19" s="83">
        <f>K14+K16+K17+K18</f>
        <v/>
      </c>
      <c r="L19" s="83">
        <f>L14+L16+L17+L18</f>
        <v/>
      </c>
      <c r="M19" s="83">
        <f>M14+M16+M17+M18</f>
        <v/>
      </c>
      <c r="N19" s="83">
        <f>N14+N16+N17+N18</f>
        <v/>
      </c>
      <c r="O19" s="83">
        <f>O14+O16+O17+O18</f>
        <v/>
      </c>
      <c r="P19" s="83">
        <f>P14+P16+P17+P18</f>
        <v/>
      </c>
      <c r="Q19" s="83">
        <f>Q14+Q16+Q17+Q18</f>
        <v/>
      </c>
      <c r="R19" s="83">
        <f>R14+R16+R17+R18</f>
        <v/>
      </c>
    </row>
    <row r="21">
      <c r="B21" s="205" t="inlineStr">
        <is>
          <t>(-) Total Tax Expense</t>
        </is>
      </c>
      <c r="C21" s="80">
        <f>-MT_Schedules!C106</f>
        <v/>
      </c>
      <c r="D21" s="80">
        <f>-MT_Schedules!D106</f>
        <v/>
      </c>
      <c r="E21" s="80">
        <f>-MT_Schedules!E106</f>
        <v/>
      </c>
      <c r="F21" s="80">
        <f>-MT_Schedules!F106</f>
        <v/>
      </c>
      <c r="G21" s="80">
        <f>-MT_Schedules!G106</f>
        <v/>
      </c>
      <c r="H21" s="80">
        <f>-MT_Schedules!H106</f>
        <v/>
      </c>
      <c r="I21" s="90">
        <f>-MT_Schedules!I106</f>
        <v/>
      </c>
      <c r="J21" s="90">
        <f>-MT_Schedules!J106</f>
        <v/>
      </c>
      <c r="K21" s="90">
        <f>-MT_Schedules!K106</f>
        <v/>
      </c>
      <c r="L21" s="90">
        <f>-MT_Schedules!L106</f>
        <v/>
      </c>
      <c r="M21" s="90">
        <f>-MT_Schedules!M106</f>
        <v/>
      </c>
      <c r="N21" s="90">
        <f>-MT_Schedules!N106</f>
        <v/>
      </c>
      <c r="O21" s="90">
        <f>-MT_Schedules!O106</f>
        <v/>
      </c>
      <c r="P21" s="90">
        <f>-MT_Schedules!P106</f>
        <v/>
      </c>
      <c r="Q21" s="90">
        <f>-MT_Schedules!Q106</f>
        <v/>
      </c>
      <c r="R21" s="90">
        <f>-MT_Schedules!R106</f>
        <v/>
      </c>
    </row>
    <row r="22" ht="15.5" customHeight="1" s="203">
      <c r="B22" s="102" t="inlineStr">
        <is>
          <t>Net Income</t>
        </is>
      </c>
      <c r="C22" s="103">
        <f>C19+C21</f>
        <v/>
      </c>
      <c r="D22" s="103">
        <f>D19+D21</f>
        <v/>
      </c>
      <c r="E22" s="103">
        <f>E19+E21</f>
        <v/>
      </c>
      <c r="F22" s="103">
        <f>F19+F21</f>
        <v/>
      </c>
      <c r="G22" s="103">
        <f>G19+G21</f>
        <v/>
      </c>
      <c r="H22" s="103">
        <f>H19+H21</f>
        <v/>
      </c>
      <c r="I22" s="103">
        <f>I19+I21</f>
        <v/>
      </c>
      <c r="J22" s="103">
        <f>J19+J21</f>
        <v/>
      </c>
      <c r="K22" s="103">
        <f>K19+K21</f>
        <v/>
      </c>
      <c r="L22" s="103">
        <f>L19+L21</f>
        <v/>
      </c>
      <c r="M22" s="103">
        <f>M19+M21</f>
        <v/>
      </c>
      <c r="N22" s="103">
        <f>N19+N21</f>
        <v/>
      </c>
      <c r="O22" s="103">
        <f>O19+O21</f>
        <v/>
      </c>
      <c r="P22" s="103">
        <f>P19+P21</f>
        <v/>
      </c>
      <c r="Q22" s="103">
        <f>Q19+Q21</f>
        <v/>
      </c>
      <c r="R22" s="103">
        <f>R19+R21</f>
        <v/>
      </c>
    </row>
    <row r="23">
      <c r="B23" s="202" t="inlineStr">
        <is>
          <t>Tie-check, historical only</t>
        </is>
      </c>
      <c r="C23" s="85">
        <f>C19-IFERROR(INDEX(MT_HS_CONSOLIDATED!D:D,MATCH("ProfitBeforeTax",MT_HS_CONSOLIDATED!$C:$C,0)),0)</f>
        <v/>
      </c>
      <c r="D23" s="85">
        <f>D19-IFERROR(INDEX(MT_HS_CONSOLIDATED!E:E,MATCH("ProfitBeforeTax",MT_HS_CONSOLIDATED!$C:$C,0)),0)</f>
        <v/>
      </c>
      <c r="E23" s="85">
        <f>E19-IFERROR(INDEX(MT_HS_CONSOLIDATED!F:F,MATCH("ProfitBeforeTax",MT_HS_CONSOLIDATED!$C:$C,0)),0)</f>
        <v/>
      </c>
      <c r="F23" s="85">
        <f>F19-IFERROR(INDEX(MT_HS_CONSOLIDATED!G:G,MATCH("ProfitBeforeTax",MT_HS_CONSOLIDATED!$C:$C,0)),0)</f>
        <v/>
      </c>
      <c r="G23" s="85">
        <f>G19-IFERROR(INDEX(MT_HS_CONSOLIDATED!H:H,MATCH("ProfitBeforeTax",MT_HS_CONSOLIDATED!$C:$C,0)),0)</f>
        <v/>
      </c>
      <c r="H23" s="85">
        <f>H19-IFERROR(INDEX(MT_HS_CONSOLIDATED!I:I,MATCH("ProfitBeforeTax",MT_HS_CONSOLIDATED!$C:$C,0)),0)</f>
        <v/>
      </c>
    </row>
    <row r="26">
      <c r="B26" s="211" t="inlineStr">
        <is>
          <t>D&amp;A Uplift Ratio, per year (|Total D&amp;A| / |PP&amp;E Schedule Depreciation|)</t>
        </is>
      </c>
      <c r="C26" s="86">
        <f>IFERROR(ABS(C13)/ABS(MT_Schedules!C55),1)</f>
        <v/>
      </c>
      <c r="D26" s="86">
        <f>IFERROR(ABS(D13)/ABS(MT_Schedules!D55),1)</f>
        <v/>
      </c>
      <c r="E26" s="86">
        <f>IFERROR(ABS(E13)/ABS(MT_Schedules!E55),1)</f>
        <v/>
      </c>
      <c r="F26" s="86">
        <f>IFERROR(ABS(F13)/ABS(MT_Schedules!F55),1)</f>
        <v/>
      </c>
      <c r="G26" s="86">
        <f>IFERROR(ABS(G13)/ABS(MT_Schedules!G55),1)</f>
        <v/>
      </c>
      <c r="H26" s="86">
        <f>IFERROR(ABS(H13)/ABS(MT_Schedules!H55),1)</f>
        <v/>
      </c>
    </row>
    <row r="28">
      <c r="B28" s="211" t="inlineStr">
        <is>
          <t>Finance Cost Uplift Ratio, per year (|Total Finance Costs| / |Debt Schedule Interest|)</t>
        </is>
      </c>
      <c r="C28" s="86">
        <f>IFERROR(ABS(C17)/ABS(MT_Schedules!C97),1)</f>
        <v/>
      </c>
      <c r="D28" s="86">
        <f>IFERROR(ABS(D17)/ABS(MT_Schedules!D97),1)</f>
        <v/>
      </c>
      <c r="E28" s="86">
        <f>IFERROR(ABS(E17)/ABS(MT_Schedules!E97),1)</f>
        <v/>
      </c>
      <c r="F28" s="86">
        <f>IFERROR(ABS(F17)/ABS(MT_Schedules!F97),1)</f>
        <v/>
      </c>
      <c r="G28" s="86">
        <f>IFERROR(ABS(G17)/ABS(MT_Schedules!G97),1)</f>
        <v/>
      </c>
      <c r="H28" s="86">
        <f>IFERROR(ABS(H17)/ABS(MT_Schedules!H97),1)</f>
        <v/>
      </c>
    </row>
  </sheetData>
  <pageMargins left="0.75" right="0.75" top="1" bottom="1" header="0.5" footer="0.5"/>
</worksheet>
</file>

<file path=xl/worksheets/sheet42.xml><?xml version="1.0" encoding="utf-8"?>
<worksheet xmlns="http://schemas.openxmlformats.org/spreadsheetml/2006/main">
  <sheetPr>
    <tabColor rgb="00B45F06"/>
    <outlinePr summaryBelow="1" summaryRight="1"/>
    <pageSetUpPr/>
  </sheetPr>
  <dimension ref="A1:H506"/>
  <sheetViews>
    <sheetView showGridLines="0" workbookViewId="0">
      <selection activeCell="A1" sqref="A1"/>
    </sheetView>
  </sheetViews>
  <sheetFormatPr baseColWidth="8" defaultRowHeight="14.5"/>
  <cols>
    <col width="30" customWidth="1" style="203" min="1" max="1"/>
    <col width="16" customWidth="1" style="203" min="2" max="8"/>
  </cols>
  <sheetData>
    <row r="1" ht="18.5" customHeight="1" s="203">
      <c r="A1" s="78" t="inlineStr">
        <is>
          <t>Damodaran Data -- downloaded live each run</t>
        </is>
      </c>
    </row>
    <row r="5" ht="15.5" customHeight="1" s="203">
      <c r="A5" s="102" t="inlineStr">
        <is>
          <t>1. Country ERP/CRP/Default Spread</t>
        </is>
      </c>
    </row>
    <row r="7">
      <c r="A7" s="100" t="inlineStr">
        <is>
          <t>Country</t>
        </is>
      </c>
      <c r="B7" s="100" t="inlineStr">
        <is>
          <t>Region</t>
        </is>
      </c>
      <c r="C7" s="100" t="inlineStr">
        <is>
          <t>Rating</t>
        </is>
      </c>
      <c r="D7" s="100" t="inlineStr">
        <is>
          <t>Default Spread</t>
        </is>
      </c>
      <c r="E7" s="100" t="inlineStr">
        <is>
          <t>Total ERP</t>
        </is>
      </c>
      <c r="F7" s="100" t="inlineStr">
        <is>
          <t>Country Risk Premium</t>
        </is>
      </c>
    </row>
    <row r="8">
      <c r="A8" t="inlineStr">
        <is>
          <t>Abu Dhabi</t>
        </is>
      </c>
      <c r="B8" t="inlineStr">
        <is>
          <t>Middle East</t>
        </is>
      </c>
      <c r="C8" t="inlineStr">
        <is>
          <t>Aa2</t>
        </is>
      </c>
      <c r="D8" t="n">
        <v>0.004195048511608233</v>
      </c>
      <c r="E8" t="n">
        <v>0.0486906451636496</v>
      </c>
      <c r="F8" t="n">
        <v>0.006390645163649599</v>
      </c>
    </row>
    <row r="9">
      <c r="A9" t="inlineStr">
        <is>
          <t>Albania</t>
        </is>
      </c>
      <c r="B9" t="inlineStr">
        <is>
          <t>Eastern Europe &amp; Russia</t>
        </is>
      </c>
      <c r="C9" t="inlineStr">
        <is>
          <t>Ba3</t>
        </is>
      </c>
      <c r="D9" t="n">
        <v>0.03056392487028855</v>
      </c>
      <c r="E9" t="n">
        <v>0.08886041476373278</v>
      </c>
      <c r="F9" t="n">
        <v>0.04656041476373279</v>
      </c>
    </row>
    <row r="10">
      <c r="A10" t="inlineStr">
        <is>
          <t>Andorra (Principality of)</t>
        </is>
      </c>
      <c r="B10" t="inlineStr">
        <is>
          <t>Western Europe</t>
        </is>
      </c>
      <c r="C10" t="inlineStr">
        <is>
          <t>Baa1</t>
        </is>
      </c>
      <c r="D10" t="n">
        <v>0.01358396660901713</v>
      </c>
      <c r="E10" t="n">
        <v>0.06299351767277012</v>
      </c>
      <c r="F10" t="n">
        <v>0.02069351767277013</v>
      </c>
    </row>
    <row r="11">
      <c r="A11" t="inlineStr">
        <is>
          <t>Angola</t>
        </is>
      </c>
      <c r="B11" t="inlineStr">
        <is>
          <t>Africa</t>
        </is>
      </c>
      <c r="C11" t="inlineStr">
        <is>
          <t>B3</t>
        </is>
      </c>
      <c r="D11" t="n">
        <v>0.05523480540284173</v>
      </c>
      <c r="E11" t="n">
        <v>0.1264434946547197</v>
      </c>
      <c r="F11" t="n">
        <v>0.08414349465471971</v>
      </c>
    </row>
    <row r="12">
      <c r="A12" t="inlineStr">
        <is>
          <t>Argentina</t>
        </is>
      </c>
      <c r="B12" t="inlineStr">
        <is>
          <t>Central and South America</t>
        </is>
      </c>
      <c r="C12" t="inlineStr">
        <is>
          <t>Caa1</t>
        </is>
      </c>
      <c r="D12" t="n">
        <v>0.06372478453347744</v>
      </c>
      <c r="E12" t="n">
        <v>0.139376943200201</v>
      </c>
      <c r="F12" t="n">
        <v>0.09707694320020104</v>
      </c>
    </row>
    <row r="13">
      <c r="A13" t="inlineStr">
        <is>
          <t>Armenia</t>
        </is>
      </c>
      <c r="B13" t="inlineStr">
        <is>
          <t>Eastern Europe &amp; Russia</t>
        </is>
      </c>
      <c r="C13" t="inlineStr">
        <is>
          <t>Ba3</t>
        </is>
      </c>
      <c r="D13" t="n">
        <v>0.03056392487028855</v>
      </c>
      <c r="E13" t="n">
        <v>0.08886041476373278</v>
      </c>
      <c r="F13" t="n">
        <v>0.04656041476373279</v>
      </c>
    </row>
    <row r="14">
      <c r="A14" t="inlineStr">
        <is>
          <t>Aruba</t>
        </is>
      </c>
      <c r="B14" t="inlineStr">
        <is>
          <t>Caribbean</t>
        </is>
      </c>
      <c r="C14" t="inlineStr">
        <is>
          <t>Baa3</t>
        </is>
      </c>
      <c r="D14" t="n">
        <v>0.01867795408739856</v>
      </c>
      <c r="E14" t="n">
        <v>0.07075358680005893</v>
      </c>
      <c r="F14" t="n">
        <v>0.02845358680005893</v>
      </c>
    </row>
    <row r="15">
      <c r="A15" t="inlineStr">
        <is>
          <t>Australia</t>
        </is>
      </c>
      <c r="B15" t="inlineStr">
        <is>
          <t>Australia &amp; New Zealand</t>
        </is>
      </c>
      <c r="C15" t="inlineStr">
        <is>
          <t>Aaa</t>
        </is>
      </c>
      <c r="D15" t="n">
        <v>0</v>
      </c>
      <c r="E15" t="n">
        <v>0.0423</v>
      </c>
      <c r="F15" t="n">
        <v>0</v>
      </c>
    </row>
    <row r="16">
      <c r="A16" t="inlineStr">
        <is>
          <t>Austria</t>
        </is>
      </c>
      <c r="B16" t="inlineStr">
        <is>
          <t>Western Europe</t>
        </is>
      </c>
      <c r="C16" t="inlineStr">
        <is>
          <t>Aa1</t>
        </is>
      </c>
      <c r="D16" t="n">
        <v>0.002333679169992019</v>
      </c>
      <c r="E16" t="n">
        <v>0.04585507581377215</v>
      </c>
      <c r="F16" t="n">
        <v>0.003555075813772155</v>
      </c>
    </row>
    <row r="17">
      <c r="A17" t="inlineStr">
        <is>
          <t>Azerbaijan</t>
        </is>
      </c>
      <c r="B17" t="inlineStr">
        <is>
          <t>Eastern Europe &amp; Russia</t>
        </is>
      </c>
      <c r="C17" t="inlineStr">
        <is>
          <t>Baa3</t>
        </is>
      </c>
      <c r="D17" t="n">
        <v>0.01867795408739856</v>
      </c>
      <c r="E17" t="n">
        <v>0.07075358680005893</v>
      </c>
      <c r="F17" t="n">
        <v>0.02845358680005893</v>
      </c>
    </row>
    <row r="18">
      <c r="A18" t="inlineStr">
        <is>
          <t>Bahamas</t>
        </is>
      </c>
      <c r="B18" t="inlineStr">
        <is>
          <t>Caribbean</t>
        </is>
      </c>
      <c r="C18" t="inlineStr">
        <is>
          <t>B1</t>
        </is>
      </c>
      <c r="D18" t="n">
        <v>0.03825484714157031</v>
      </c>
      <c r="E18" t="n">
        <v>0.100576597563757</v>
      </c>
      <c r="F18" t="n">
        <v>0.05827659756375704</v>
      </c>
    </row>
    <row r="19">
      <c r="A19" t="inlineStr">
        <is>
          <t>Bahrain</t>
        </is>
      </c>
      <c r="B19" t="inlineStr">
        <is>
          <t>Middle East</t>
        </is>
      </c>
      <c r="C19" t="inlineStr">
        <is>
          <t>B2</t>
        </is>
      </c>
      <c r="D19" t="n">
        <v>0.04674482627220602</v>
      </c>
      <c r="E19" t="n">
        <v>0.1135100461092384</v>
      </c>
      <c r="F19" t="n">
        <v>0.07121004610923838</v>
      </c>
    </row>
    <row r="20">
      <c r="A20" t="inlineStr">
        <is>
          <t>Bangladesh</t>
        </is>
      </c>
      <c r="B20" t="inlineStr">
        <is>
          <t>Asia</t>
        </is>
      </c>
      <c r="C20" t="inlineStr">
        <is>
          <t>B2</t>
        </is>
      </c>
      <c r="D20" t="n">
        <v>0.04674482627220602</v>
      </c>
      <c r="E20" t="n">
        <v>0.1135100461092384</v>
      </c>
      <c r="F20" t="n">
        <v>0.07121004610923838</v>
      </c>
    </row>
    <row r="21">
      <c r="A21" t="inlineStr">
        <is>
          <t>Barbados</t>
        </is>
      </c>
      <c r="B21" t="inlineStr">
        <is>
          <t>Caribbean</t>
        </is>
      </c>
      <c r="C21" t="inlineStr">
        <is>
          <t>B2</t>
        </is>
      </c>
      <c r="D21" t="n">
        <v>0.04674482627220602</v>
      </c>
      <c r="E21" t="n">
        <v>0.1135100461092384</v>
      </c>
      <c r="F21" t="n">
        <v>0.07121004610923838</v>
      </c>
    </row>
    <row r="22">
      <c r="A22" t="inlineStr">
        <is>
          <t>Belarus</t>
        </is>
      </c>
      <c r="B22" t="inlineStr">
        <is>
          <t>Eastern Europe &amp; Russia</t>
        </is>
      </c>
      <c r="C22" t="inlineStr">
        <is>
          <t>C</t>
        </is>
      </c>
      <c r="D22" t="n">
        <v>0.175</v>
      </c>
      <c r="E22" t="n">
        <v>0.3088911730326901</v>
      </c>
      <c r="F22" t="n">
        <v>0.2665911730326901</v>
      </c>
    </row>
    <row r="23">
      <c r="A23" t="inlineStr">
        <is>
          <t>Belgium</t>
        </is>
      </c>
      <c r="B23" t="inlineStr">
        <is>
          <t>Western Europe</t>
        </is>
      </c>
      <c r="C23" t="inlineStr">
        <is>
          <t>Aa3</t>
        </is>
      </c>
      <c r="D23" t="n">
        <v>0.005093987478381426</v>
      </c>
      <c r="E23" t="n">
        <v>0.0500600691272888</v>
      </c>
      <c r="F23" t="n">
        <v>0.007760069127288798</v>
      </c>
    </row>
    <row r="24">
      <c r="A24" t="inlineStr">
        <is>
          <t>Belize</t>
        </is>
      </c>
      <c r="B24" t="inlineStr">
        <is>
          <t>Central and South America</t>
        </is>
      </c>
      <c r="C24" t="inlineStr">
        <is>
          <t>Caa1</t>
        </is>
      </c>
      <c r="D24" t="n">
        <v>0.06372478453347744</v>
      </c>
      <c r="E24" t="n">
        <v>0.139376943200201</v>
      </c>
      <c r="F24" t="n">
        <v>0.09707694320020104</v>
      </c>
    </row>
    <row r="25">
      <c r="A25" t="inlineStr">
        <is>
          <t>Benin</t>
        </is>
      </c>
      <c r="B25" t="inlineStr">
        <is>
          <t>Africa</t>
        </is>
      </c>
      <c r="C25" t="inlineStr">
        <is>
          <t>B1</t>
        </is>
      </c>
      <c r="D25" t="n">
        <v>0.03825484714157031</v>
      </c>
      <c r="E25" t="n">
        <v>0.100576597563757</v>
      </c>
      <c r="F25" t="n">
        <v>0.05827659756375704</v>
      </c>
    </row>
    <row r="26">
      <c r="A26" t="inlineStr">
        <is>
          <t>Bermuda</t>
        </is>
      </c>
      <c r="B26" t="inlineStr">
        <is>
          <t>Caribbean</t>
        </is>
      </c>
      <c r="C26" t="inlineStr">
        <is>
          <t>A2</t>
        </is>
      </c>
      <c r="D26" t="n">
        <v>0.007191511734185542</v>
      </c>
      <c r="E26" t="n">
        <v>0.05325539170911359</v>
      </c>
      <c r="F26" t="n">
        <v>0.0109553917091136</v>
      </c>
    </row>
    <row r="27">
      <c r="A27" t="inlineStr">
        <is>
          <t>Bolivia</t>
        </is>
      </c>
      <c r="B27" t="inlineStr">
        <is>
          <t>Central and South America</t>
        </is>
      </c>
      <c r="C27" t="inlineStr">
        <is>
          <t>Ca</t>
        </is>
      </c>
      <c r="D27" t="n">
        <v>0.1019796316750478</v>
      </c>
      <c r="E27" t="n">
        <v>0.1976535407639581</v>
      </c>
      <c r="F27" t="n">
        <v>0.1553535407639581</v>
      </c>
    </row>
    <row r="28">
      <c r="A28" t="inlineStr">
        <is>
          <t>Bosnia and Herzegovina</t>
        </is>
      </c>
      <c r="B28" t="inlineStr">
        <is>
          <t>Eastern Europe &amp; Russia</t>
        </is>
      </c>
      <c r="C28" t="inlineStr">
        <is>
          <t>B3</t>
        </is>
      </c>
      <c r="D28" t="n">
        <v>0.05523480540284173</v>
      </c>
      <c r="E28" t="n">
        <v>0.1264434946547197</v>
      </c>
      <c r="F28" t="n">
        <v>0.08414349465471971</v>
      </c>
    </row>
    <row r="29">
      <c r="A29" t="inlineStr">
        <is>
          <t>Botswana</t>
        </is>
      </c>
      <c r="B29" t="inlineStr">
        <is>
          <t>Africa</t>
        </is>
      </c>
      <c r="C29" t="inlineStr">
        <is>
          <t>Baa1</t>
        </is>
      </c>
      <c r="D29" t="n">
        <v>0.01358396660901713</v>
      </c>
      <c r="E29" t="n">
        <v>0.06299351767277012</v>
      </c>
      <c r="F29" t="n">
        <v>0.02069351767277013</v>
      </c>
    </row>
    <row r="30">
      <c r="A30" t="inlineStr">
        <is>
          <t>Brazil</t>
        </is>
      </c>
      <c r="B30" t="inlineStr">
        <is>
          <t>Central and South America</t>
        </is>
      </c>
      <c r="C30" t="inlineStr">
        <is>
          <t>Ba1</t>
        </is>
      </c>
      <c r="D30" t="n">
        <v>0.0212748888802989</v>
      </c>
      <c r="E30" t="n">
        <v>0.07470970047279439</v>
      </c>
      <c r="F30" t="n">
        <v>0.03240970047279439</v>
      </c>
    </row>
    <row r="31">
      <c r="A31" t="inlineStr">
        <is>
          <t>Bulgaria</t>
        </is>
      </c>
      <c r="B31" t="inlineStr">
        <is>
          <t>Eastern Europe &amp; Russia</t>
        </is>
      </c>
      <c r="C31" t="inlineStr">
        <is>
          <t>Baa1</t>
        </is>
      </c>
      <c r="D31" t="n">
        <v>0.01358396660901713</v>
      </c>
      <c r="E31" t="n">
        <v>0.06299351767277012</v>
      </c>
      <c r="F31" t="n">
        <v>0.02069351767277013</v>
      </c>
    </row>
    <row r="32">
      <c r="A32" t="inlineStr">
        <is>
          <t>Burkina Faso</t>
        </is>
      </c>
      <c r="B32" t="inlineStr">
        <is>
          <t>Africa</t>
        </is>
      </c>
      <c r="C32" t="inlineStr">
        <is>
          <t>Caa1</t>
        </is>
      </c>
      <c r="D32" t="n">
        <v>0.06372478453347744</v>
      </c>
      <c r="E32" t="n">
        <v>0.139376943200201</v>
      </c>
      <c r="F32" t="n">
        <v>0.09707694320020104</v>
      </c>
    </row>
    <row r="33">
      <c r="A33" t="inlineStr">
        <is>
          <t>Cambodia</t>
        </is>
      </c>
      <c r="B33" t="inlineStr">
        <is>
          <t>Asia</t>
        </is>
      </c>
      <c r="C33" t="inlineStr">
        <is>
          <t>B2</t>
        </is>
      </c>
      <c r="D33" t="n">
        <v>0.04674482627220602</v>
      </c>
      <c r="E33" t="n">
        <v>0.1135100461092384</v>
      </c>
      <c r="F33" t="n">
        <v>0.07121004610923838</v>
      </c>
    </row>
    <row r="34">
      <c r="A34" t="inlineStr">
        <is>
          <t>Cameroon</t>
        </is>
      </c>
      <c r="B34" t="inlineStr">
        <is>
          <t>Africa</t>
        </is>
      </c>
      <c r="C34" t="inlineStr">
        <is>
          <t>Caa1</t>
        </is>
      </c>
      <c r="D34" t="n">
        <v>0.06372478453347744</v>
      </c>
      <c r="E34" t="n">
        <v>0.139376943200201</v>
      </c>
      <c r="F34" t="n">
        <v>0.09707694320020104</v>
      </c>
    </row>
    <row r="35">
      <c r="A35" t="inlineStr">
        <is>
          <t>Canada</t>
        </is>
      </c>
      <c r="B35" t="inlineStr">
        <is>
          <t>North America</t>
        </is>
      </c>
      <c r="C35" t="inlineStr">
        <is>
          <t>Aaa</t>
        </is>
      </c>
      <c r="D35" t="n">
        <v>0</v>
      </c>
      <c r="E35" t="n">
        <v>0.0423</v>
      </c>
      <c r="F35" t="n">
        <v>0</v>
      </c>
    </row>
    <row r="36">
      <c r="A36" t="inlineStr">
        <is>
          <t>Cape Verde</t>
        </is>
      </c>
      <c r="B36" t="inlineStr">
        <is>
          <t>Africa</t>
        </is>
      </c>
      <c r="C36" t="inlineStr">
        <is>
          <t>B2</t>
        </is>
      </c>
      <c r="D36" t="n">
        <v>0.04674482627220602</v>
      </c>
      <c r="E36" t="n">
        <v>0.1135100461092384</v>
      </c>
      <c r="F36" t="n">
        <v>0.07121004610923838</v>
      </c>
    </row>
    <row r="37">
      <c r="A37" t="inlineStr">
        <is>
          <t>Cayman Islands</t>
        </is>
      </c>
      <c r="B37" t="inlineStr">
        <is>
          <t>Caribbean</t>
        </is>
      </c>
      <c r="C37" t="inlineStr">
        <is>
          <t>Aa3</t>
        </is>
      </c>
      <c r="D37" t="n">
        <v>0.005093987478381426</v>
      </c>
      <c r="E37" t="n">
        <v>0.0500600691272888</v>
      </c>
      <c r="F37" t="n">
        <v>0.007760069127288798</v>
      </c>
    </row>
    <row r="38">
      <c r="A38" t="inlineStr">
        <is>
          <t>Chile</t>
        </is>
      </c>
      <c r="B38" t="inlineStr">
        <is>
          <t>Central and South America</t>
        </is>
      </c>
      <c r="C38" t="inlineStr">
        <is>
          <t>A2</t>
        </is>
      </c>
      <c r="D38" t="n">
        <v>0.007191511734185542</v>
      </c>
      <c r="E38" t="n">
        <v>0.05325539170911359</v>
      </c>
      <c r="F38" t="n">
        <v>0.0109553917091136</v>
      </c>
    </row>
    <row r="39">
      <c r="A39" t="inlineStr">
        <is>
          <t>China</t>
        </is>
      </c>
      <c r="B39" t="inlineStr">
        <is>
          <t>Asia</t>
        </is>
      </c>
      <c r="C39" t="inlineStr">
        <is>
          <t>A1</t>
        </is>
      </c>
      <c r="D39" t="n">
        <v>0.005992926445154621</v>
      </c>
      <c r="E39" t="n">
        <v>0.05142949309092799</v>
      </c>
      <c r="F39" t="n">
        <v>0.009129493090928</v>
      </c>
    </row>
    <row r="40">
      <c r="A40" t="inlineStr">
        <is>
          <t>Colombia</t>
        </is>
      </c>
      <c r="B40" t="inlineStr">
        <is>
          <t>Central and South America</t>
        </is>
      </c>
      <c r="C40" t="inlineStr">
        <is>
          <t>Baa3</t>
        </is>
      </c>
      <c r="D40" t="n">
        <v>0.01867795408739856</v>
      </c>
      <c r="E40" t="n">
        <v>0.07075358680005893</v>
      </c>
      <c r="F40" t="n">
        <v>0.02845358680005893</v>
      </c>
    </row>
    <row r="41">
      <c r="A41" t="inlineStr">
        <is>
          <t>Congo (Democratic Republic of)</t>
        </is>
      </c>
      <c r="B41" t="inlineStr">
        <is>
          <t>Africa</t>
        </is>
      </c>
      <c r="C41" t="inlineStr">
        <is>
          <t>B3</t>
        </is>
      </c>
      <c r="D41" t="n">
        <v>0.05523480540284173</v>
      </c>
      <c r="E41" t="n">
        <v>0.1264434946547197</v>
      </c>
      <c r="F41" t="n">
        <v>0.08414349465471971</v>
      </c>
    </row>
    <row r="42">
      <c r="A42" t="inlineStr">
        <is>
          <t>Congo (Republic of)</t>
        </is>
      </c>
      <c r="B42" t="inlineStr">
        <is>
          <t>Africa</t>
        </is>
      </c>
      <c r="C42" t="inlineStr">
        <is>
          <t>Caa2</t>
        </is>
      </c>
      <c r="D42" t="n">
        <v>0.07650969428314061</v>
      </c>
      <c r="E42" t="n">
        <v>0.1588531951275141</v>
      </c>
      <c r="F42" t="n">
        <v>0.1165531951275141</v>
      </c>
    </row>
    <row r="43">
      <c r="A43" t="inlineStr">
        <is>
          <t>Cook Islands</t>
        </is>
      </c>
      <c r="B43" t="inlineStr">
        <is>
          <t>Australia &amp; New Zealand</t>
        </is>
      </c>
      <c r="C43" t="inlineStr">
        <is>
          <t>B1</t>
        </is>
      </c>
      <c r="D43" t="n">
        <v>0.03825484714157031</v>
      </c>
      <c r="E43" t="n">
        <v>0.100576597563757</v>
      </c>
      <c r="F43" t="n">
        <v>0.05827659756375704</v>
      </c>
    </row>
    <row r="44">
      <c r="A44" t="inlineStr">
        <is>
          <t>Costa Rica</t>
        </is>
      </c>
      <c r="B44" t="inlineStr">
        <is>
          <t>Central and South America</t>
        </is>
      </c>
      <c r="C44" t="inlineStr">
        <is>
          <t>Ba2</t>
        </is>
      </c>
      <c r="D44" t="n">
        <v>0.02556981949932637</v>
      </c>
      <c r="E44" t="n">
        <v>0.08125250385462612</v>
      </c>
      <c r="F44" t="n">
        <v>0.03895250385462613</v>
      </c>
    </row>
    <row r="45">
      <c r="A45" t="inlineStr">
        <is>
          <t>Côte d'Ivoire</t>
        </is>
      </c>
      <c r="B45" t="inlineStr">
        <is>
          <t>Africa</t>
        </is>
      </c>
      <c r="C45" t="inlineStr">
        <is>
          <t>Ba2</t>
        </is>
      </c>
      <c r="D45" t="n">
        <v>0.02556981949932637</v>
      </c>
      <c r="E45" t="n">
        <v>0.08125250385462612</v>
      </c>
      <c r="F45" t="n">
        <v>0.03895250385462613</v>
      </c>
    </row>
    <row r="46">
      <c r="A46" t="inlineStr">
        <is>
          <t>Croatia</t>
        </is>
      </c>
      <c r="B46" t="inlineStr">
        <is>
          <t>Eastern Europe &amp; Russia</t>
        </is>
      </c>
      <c r="C46" t="inlineStr">
        <is>
          <t>A3</t>
        </is>
      </c>
      <c r="D46" t="n">
        <v>0.01018797495676285</v>
      </c>
      <c r="E46" t="n">
        <v>0.0578201382545776</v>
      </c>
      <c r="F46" t="n">
        <v>0.0155201382545776</v>
      </c>
    </row>
    <row r="47">
      <c r="A47" t="inlineStr">
        <is>
          <t>Cuba</t>
        </is>
      </c>
      <c r="B47" t="inlineStr">
        <is>
          <t>Caribbean</t>
        </is>
      </c>
      <c r="C47" t="inlineStr">
        <is>
          <t>Ca</t>
        </is>
      </c>
      <c r="D47" t="n">
        <v>0.1019796316750478</v>
      </c>
      <c r="E47" t="n">
        <v>0.1976535407639581</v>
      </c>
      <c r="F47" t="n">
        <v>0.1553535407639581</v>
      </c>
    </row>
    <row r="48">
      <c r="A48" t="inlineStr">
        <is>
          <t>Curacao</t>
        </is>
      </c>
      <c r="B48" t="inlineStr">
        <is>
          <t>Caribbean</t>
        </is>
      </c>
      <c r="C48" t="inlineStr">
        <is>
          <t>Baa3</t>
        </is>
      </c>
      <c r="D48" t="n">
        <v>0.01867795408739856</v>
      </c>
      <c r="E48" t="n">
        <v>0.07075358680005893</v>
      </c>
      <c r="F48" t="n">
        <v>0.02845358680005893</v>
      </c>
    </row>
    <row r="49">
      <c r="A49" t="inlineStr">
        <is>
          <t>Cyprus</t>
        </is>
      </c>
      <c r="B49" t="inlineStr">
        <is>
          <t>Western Europe</t>
        </is>
      </c>
      <c r="C49" t="inlineStr">
        <is>
          <t>A3</t>
        </is>
      </c>
      <c r="D49" t="n">
        <v>0.01018797495676285</v>
      </c>
      <c r="E49" t="n">
        <v>0.0578201382545776</v>
      </c>
      <c r="F49" t="n">
        <v>0.0155201382545776</v>
      </c>
    </row>
    <row r="50">
      <c r="A50" t="inlineStr">
        <is>
          <t>Czech Republic</t>
        </is>
      </c>
      <c r="B50" t="inlineStr">
        <is>
          <t>Eastern Europe &amp; Russia</t>
        </is>
      </c>
      <c r="C50" t="inlineStr">
        <is>
          <t>Aa3</t>
        </is>
      </c>
      <c r="D50" t="n">
        <v>0.005093987478381426</v>
      </c>
      <c r="E50" t="n">
        <v>0.0500600691272888</v>
      </c>
      <c r="F50" t="n">
        <v>0.007760069127288798</v>
      </c>
    </row>
    <row r="51">
      <c r="A51" t="inlineStr">
        <is>
          <t>Denmark</t>
        </is>
      </c>
      <c r="B51" t="inlineStr">
        <is>
          <t>Western Europe</t>
        </is>
      </c>
      <c r="C51" t="inlineStr">
        <is>
          <t>Aaa</t>
        </is>
      </c>
      <c r="D51" t="n">
        <v>0</v>
      </c>
      <c r="E51" t="n">
        <v>0.0423</v>
      </c>
      <c r="F51" t="n">
        <v>0</v>
      </c>
    </row>
    <row r="52">
      <c r="A52" t="inlineStr">
        <is>
          <t>Dominican Republic</t>
        </is>
      </c>
      <c r="B52" t="inlineStr">
        <is>
          <t>Caribbean</t>
        </is>
      </c>
      <c r="C52" t="inlineStr">
        <is>
          <t>Ba2</t>
        </is>
      </c>
      <c r="D52" t="n">
        <v>0.02556981949932637</v>
      </c>
      <c r="E52" t="n">
        <v>0.08125250385462612</v>
      </c>
      <c r="F52" t="n">
        <v>0.03895250385462613</v>
      </c>
    </row>
    <row r="53">
      <c r="A53" t="inlineStr">
        <is>
          <t>Ecuador</t>
        </is>
      </c>
      <c r="B53" t="inlineStr">
        <is>
          <t>Central and South America</t>
        </is>
      </c>
      <c r="C53" t="inlineStr">
        <is>
          <t>Caa3</t>
        </is>
      </c>
      <c r="D53" t="n">
        <v>0.08499967341377634</v>
      </c>
      <c r="E53" t="n">
        <v>0.1717866436729955</v>
      </c>
      <c r="F53" t="n">
        <v>0.1294866436729954</v>
      </c>
    </row>
    <row r="54">
      <c r="A54" t="inlineStr">
        <is>
          <t>Egypt</t>
        </is>
      </c>
      <c r="B54" t="inlineStr">
        <is>
          <t>Africa</t>
        </is>
      </c>
      <c r="C54" t="inlineStr">
        <is>
          <t>Caa1</t>
        </is>
      </c>
      <c r="D54" t="n">
        <v>0.06372478453347744</v>
      </c>
      <c r="E54" t="n">
        <v>0.139376943200201</v>
      </c>
      <c r="F54" t="n">
        <v>0.09707694320020104</v>
      </c>
    </row>
    <row r="55">
      <c r="A55" t="inlineStr">
        <is>
          <t>El Salvador</t>
        </is>
      </c>
      <c r="B55" t="inlineStr">
        <is>
          <t>Central and South America</t>
        </is>
      </c>
      <c r="C55" t="inlineStr">
        <is>
          <t>B3</t>
        </is>
      </c>
      <c r="D55" t="n">
        <v>0.05523480540284173</v>
      </c>
      <c r="E55" t="n">
        <v>0.1264434946547197</v>
      </c>
      <c r="F55" t="n">
        <v>0.08414349465471971</v>
      </c>
    </row>
    <row r="56">
      <c r="A56" t="inlineStr">
        <is>
          <t>Estonia</t>
        </is>
      </c>
      <c r="B56" t="inlineStr">
        <is>
          <t>Eastern Europe &amp; Russia</t>
        </is>
      </c>
      <c r="C56" t="inlineStr">
        <is>
          <t>A1</t>
        </is>
      </c>
      <c r="D56" t="n">
        <v>0.005992926445154621</v>
      </c>
      <c r="E56" t="n">
        <v>0.05142949309092799</v>
      </c>
      <c r="F56" t="n">
        <v>0.009129493090928</v>
      </c>
    </row>
    <row r="57">
      <c r="A57" t="inlineStr">
        <is>
          <t>Ethiopia</t>
        </is>
      </c>
      <c r="B57" t="inlineStr">
        <is>
          <t>Africa</t>
        </is>
      </c>
      <c r="C57" t="inlineStr">
        <is>
          <t>Caa2</t>
        </is>
      </c>
      <c r="D57" t="n">
        <v>0.07650969428314061</v>
      </c>
      <c r="E57" t="n">
        <v>0.1588531951275141</v>
      </c>
      <c r="F57" t="n">
        <v>0.1165531951275141</v>
      </c>
    </row>
    <row r="58">
      <c r="A58" t="inlineStr">
        <is>
          <t>Fiji</t>
        </is>
      </c>
      <c r="B58" t="inlineStr">
        <is>
          <t>Asia</t>
        </is>
      </c>
      <c r="C58" t="inlineStr">
        <is>
          <t>B1</t>
        </is>
      </c>
      <c r="D58" t="n">
        <v>0.03825484714157031</v>
      </c>
      <c r="E58" t="n">
        <v>0.100576597563757</v>
      </c>
      <c r="F58" t="n">
        <v>0.05827659756375704</v>
      </c>
    </row>
    <row r="59">
      <c r="A59" t="inlineStr">
        <is>
          <t>Finland</t>
        </is>
      </c>
      <c r="B59" t="inlineStr">
        <is>
          <t>Western Europe</t>
        </is>
      </c>
      <c r="C59" t="inlineStr">
        <is>
          <t>Aa1</t>
        </is>
      </c>
      <c r="D59" t="n">
        <v>0.002333679169992019</v>
      </c>
      <c r="E59" t="n">
        <v>0.04585507581377215</v>
      </c>
      <c r="F59" t="n">
        <v>0.003555075813772155</v>
      </c>
    </row>
    <row r="60">
      <c r="A60" t="inlineStr">
        <is>
          <t>France</t>
        </is>
      </c>
      <c r="B60" t="inlineStr">
        <is>
          <t>Western Europe</t>
        </is>
      </c>
      <c r="C60" t="inlineStr">
        <is>
          <t>Aa3</t>
        </is>
      </c>
      <c r="D60" t="n">
        <v>0.005093987478381426</v>
      </c>
      <c r="E60" t="n">
        <v>0.0500600691272888</v>
      </c>
      <c r="F60" t="n">
        <v>0.007760069127288798</v>
      </c>
    </row>
    <row r="61">
      <c r="A61" t="inlineStr">
        <is>
          <t>Gabon</t>
        </is>
      </c>
      <c r="B61" t="inlineStr">
        <is>
          <t>Africa</t>
        </is>
      </c>
      <c r="C61" t="inlineStr">
        <is>
          <t>Caa2</t>
        </is>
      </c>
      <c r="D61" t="n">
        <v>0.07650969428314061</v>
      </c>
      <c r="E61" t="n">
        <v>0.1588531951275141</v>
      </c>
      <c r="F61" t="n">
        <v>0.1165531951275141</v>
      </c>
    </row>
    <row r="62">
      <c r="A62" t="inlineStr">
        <is>
          <t>Georgia</t>
        </is>
      </c>
      <c r="B62" t="inlineStr">
        <is>
          <t>Eastern Europe &amp; Russia</t>
        </is>
      </c>
      <c r="C62" t="inlineStr">
        <is>
          <t>Ba2</t>
        </is>
      </c>
      <c r="D62" t="n">
        <v>0.02556981949932637</v>
      </c>
      <c r="E62" t="n">
        <v>0.08125250385462612</v>
      </c>
      <c r="F62" t="n">
        <v>0.03895250385462613</v>
      </c>
    </row>
    <row r="63">
      <c r="A63" t="inlineStr">
        <is>
          <t>Germany</t>
        </is>
      </c>
      <c r="B63" t="inlineStr">
        <is>
          <t>Western Europe</t>
        </is>
      </c>
      <c r="C63" t="inlineStr">
        <is>
          <t>Aaa</t>
        </is>
      </c>
      <c r="D63" t="n">
        <v>0</v>
      </c>
      <c r="E63" t="n">
        <v>0.0423</v>
      </c>
      <c r="F63" t="n">
        <v>0</v>
      </c>
    </row>
    <row r="64">
      <c r="A64" t="inlineStr">
        <is>
          <t>Ghana</t>
        </is>
      </c>
      <c r="B64" t="inlineStr">
        <is>
          <t>Africa</t>
        </is>
      </c>
      <c r="C64" t="inlineStr">
        <is>
          <t>Caa1</t>
        </is>
      </c>
      <c r="D64" t="n">
        <v>0.06372478453347744</v>
      </c>
      <c r="E64" t="n">
        <v>0.139376943200201</v>
      </c>
      <c r="F64" t="n">
        <v>0.09707694320020104</v>
      </c>
    </row>
    <row r="65">
      <c r="A65" t="inlineStr">
        <is>
          <t>Greece</t>
        </is>
      </c>
      <c r="B65" t="inlineStr">
        <is>
          <t>Western Europe</t>
        </is>
      </c>
      <c r="C65" t="inlineStr">
        <is>
          <t>Baa3</t>
        </is>
      </c>
      <c r="D65" t="n">
        <v>0.01867795408739856</v>
      </c>
      <c r="E65" t="n">
        <v>0.07075358680005893</v>
      </c>
      <c r="F65" t="n">
        <v>0.02845358680005893</v>
      </c>
    </row>
    <row r="66">
      <c r="A66" t="inlineStr">
        <is>
          <t>Guatemala</t>
        </is>
      </c>
      <c r="B66" t="inlineStr">
        <is>
          <t>Central and South America</t>
        </is>
      </c>
      <c r="C66" t="inlineStr">
        <is>
          <t>Ba1</t>
        </is>
      </c>
      <c r="D66" t="n">
        <v>0.0212748888802989</v>
      </c>
      <c r="E66" t="n">
        <v>0.07470970047279439</v>
      </c>
      <c r="F66" t="n">
        <v>0.03240970047279439</v>
      </c>
    </row>
    <row r="67">
      <c r="A67" t="inlineStr">
        <is>
          <t>Guernsey (States of)</t>
        </is>
      </c>
      <c r="B67" t="inlineStr">
        <is>
          <t>Western Europe</t>
        </is>
      </c>
      <c r="C67" t="inlineStr">
        <is>
          <t>A1</t>
        </is>
      </c>
      <c r="D67" t="n">
        <v>0.005992926445154621</v>
      </c>
      <c r="E67" t="n">
        <v>0.05142949309092799</v>
      </c>
      <c r="F67" t="n">
        <v>0.009129493090928</v>
      </c>
    </row>
    <row r="68">
      <c r="A68" t="inlineStr">
        <is>
          <t>Honduras</t>
        </is>
      </c>
      <c r="B68" t="inlineStr">
        <is>
          <t>Central and South America</t>
        </is>
      </c>
      <c r="C68" t="inlineStr">
        <is>
          <t>B1</t>
        </is>
      </c>
      <c r="D68" t="n">
        <v>0.03825484714157031</v>
      </c>
      <c r="E68" t="n">
        <v>0.100576597563757</v>
      </c>
      <c r="F68" t="n">
        <v>0.05827659756375704</v>
      </c>
    </row>
    <row r="69">
      <c r="A69" t="inlineStr">
        <is>
          <t>Hong Kong</t>
        </is>
      </c>
      <c r="B69" t="inlineStr">
        <is>
          <t>Asia</t>
        </is>
      </c>
      <c r="C69" t="inlineStr">
        <is>
          <t>Aa3</t>
        </is>
      </c>
      <c r="D69" t="n">
        <v>0.005093987478381426</v>
      </c>
      <c r="E69" t="n">
        <v>0.0500600691272888</v>
      </c>
      <c r="F69" t="n">
        <v>0.007760069127288798</v>
      </c>
    </row>
    <row r="70">
      <c r="A70" t="inlineStr">
        <is>
          <t>Hungary</t>
        </is>
      </c>
      <c r="B70" t="inlineStr">
        <is>
          <t>Eastern Europe &amp; Russia</t>
        </is>
      </c>
      <c r="C70" t="inlineStr">
        <is>
          <t>Baa2</t>
        </is>
      </c>
      <c r="D70" t="n">
        <v>0.01618090140191747</v>
      </c>
      <c r="E70" t="n">
        <v>0.06694963134550559</v>
      </c>
      <c r="F70" t="n">
        <v>0.0246496313455056</v>
      </c>
    </row>
    <row r="71">
      <c r="A71" t="inlineStr">
        <is>
          <t>Iceland</t>
        </is>
      </c>
      <c r="B71" t="inlineStr">
        <is>
          <t>Western Europe</t>
        </is>
      </c>
      <c r="C71" t="inlineStr">
        <is>
          <t>A1</t>
        </is>
      </c>
      <c r="D71" t="n">
        <v>0.005992926445154621</v>
      </c>
      <c r="E71" t="n">
        <v>0.05142949309092799</v>
      </c>
      <c r="F71" t="n">
        <v>0.009129493090928</v>
      </c>
    </row>
    <row r="72">
      <c r="A72" t="inlineStr">
        <is>
          <t>India</t>
        </is>
      </c>
      <c r="B72" t="inlineStr">
        <is>
          <t>Asia</t>
        </is>
      </c>
      <c r="C72" t="inlineStr">
        <is>
          <t>Baa3</t>
        </is>
      </c>
      <c r="D72" t="n">
        <v>0.01867795408739856</v>
      </c>
      <c r="E72" t="n">
        <v>0.07075358680005893</v>
      </c>
      <c r="F72" t="n">
        <v>0.02845358680005893</v>
      </c>
    </row>
    <row r="73">
      <c r="A73" t="inlineStr">
        <is>
          <t>Indonesia</t>
        </is>
      </c>
      <c r="B73" t="inlineStr">
        <is>
          <t>Asia</t>
        </is>
      </c>
      <c r="C73" t="inlineStr">
        <is>
          <t>Baa2</t>
        </is>
      </c>
      <c r="D73" t="n">
        <v>0.01618090140191747</v>
      </c>
      <c r="E73" t="n">
        <v>0.06694963134550559</v>
      </c>
      <c r="F73" t="n">
        <v>0.0246496313455056</v>
      </c>
    </row>
    <row r="74">
      <c r="A74" t="inlineStr">
        <is>
          <t>Iraq</t>
        </is>
      </c>
      <c r="B74" t="inlineStr">
        <is>
          <t>Middle East</t>
        </is>
      </c>
      <c r="C74" t="inlineStr">
        <is>
          <t>Caa1</t>
        </is>
      </c>
      <c r="D74" t="n">
        <v>0.06372478453347744</v>
      </c>
      <c r="E74" t="n">
        <v>0.139376943200201</v>
      </c>
      <c r="F74" t="n">
        <v>0.09707694320020104</v>
      </c>
    </row>
    <row r="75">
      <c r="A75" t="inlineStr">
        <is>
          <t>Ireland</t>
        </is>
      </c>
      <c r="B75" t="inlineStr">
        <is>
          <t>Western Europe</t>
        </is>
      </c>
      <c r="C75" t="inlineStr">
        <is>
          <t>Aa3</t>
        </is>
      </c>
      <c r="D75" t="n">
        <v>0.005093987478381426</v>
      </c>
      <c r="E75" t="n">
        <v>0.0500600691272888</v>
      </c>
      <c r="F75" t="n">
        <v>0.007760069127288798</v>
      </c>
    </row>
    <row r="76">
      <c r="A76" t="inlineStr">
        <is>
          <t>Isle of Man</t>
        </is>
      </c>
      <c r="B76" t="inlineStr">
        <is>
          <t>Western Europe</t>
        </is>
      </c>
      <c r="C76" t="inlineStr">
        <is>
          <t>Aa3</t>
        </is>
      </c>
      <c r="D76" t="n">
        <v>0.005093987478381426</v>
      </c>
      <c r="E76" t="n">
        <v>0.0500600691272888</v>
      </c>
      <c r="F76" t="n">
        <v>0.007760069127288798</v>
      </c>
    </row>
    <row r="77">
      <c r="A77" t="inlineStr">
        <is>
          <t>Israel</t>
        </is>
      </c>
      <c r="B77" t="inlineStr">
        <is>
          <t>Middle East</t>
        </is>
      </c>
      <c r="C77" t="inlineStr">
        <is>
          <t>Baa1</t>
        </is>
      </c>
      <c r="D77" t="n">
        <v>0.01358396660901713</v>
      </c>
      <c r="E77" t="n">
        <v>0.06299351767277012</v>
      </c>
      <c r="F77" t="n">
        <v>0.02069351767277013</v>
      </c>
    </row>
    <row r="78">
      <c r="A78" t="inlineStr">
        <is>
          <t>Italy</t>
        </is>
      </c>
      <c r="B78" t="inlineStr">
        <is>
          <t>Western Europe</t>
        </is>
      </c>
      <c r="C78" t="inlineStr">
        <is>
          <t>Baa2</t>
        </is>
      </c>
      <c r="D78" t="n">
        <v>0.01618090140191747</v>
      </c>
      <c r="E78" t="n">
        <v>0.06694963134550559</v>
      </c>
      <c r="F78" t="n">
        <v>0.0246496313455056</v>
      </c>
    </row>
    <row r="79">
      <c r="A79" t="inlineStr">
        <is>
          <t>Jamaica</t>
        </is>
      </c>
      <c r="B79" t="inlineStr">
        <is>
          <t>Caribbean</t>
        </is>
      </c>
      <c r="C79" t="inlineStr">
        <is>
          <t>Ba3</t>
        </is>
      </c>
      <c r="D79" t="n">
        <v>0.03056392487028855</v>
      </c>
      <c r="E79" t="n">
        <v>0.08886041476373278</v>
      </c>
      <c r="F79" t="n">
        <v>0.04656041476373279</v>
      </c>
    </row>
    <row r="80">
      <c r="A80" t="inlineStr">
        <is>
          <t>Japan</t>
        </is>
      </c>
      <c r="B80" t="inlineStr">
        <is>
          <t>Asia</t>
        </is>
      </c>
      <c r="C80" t="inlineStr">
        <is>
          <t>A1</t>
        </is>
      </c>
      <c r="D80" t="n">
        <v>0.005992926445154621</v>
      </c>
      <c r="E80" t="n">
        <v>0.05142949309092799</v>
      </c>
      <c r="F80" t="n">
        <v>0.009129493090928</v>
      </c>
    </row>
    <row r="81">
      <c r="A81" t="inlineStr">
        <is>
          <t>Jersey (States of)</t>
        </is>
      </c>
      <c r="B81" t="inlineStr">
        <is>
          <t>Western Europe</t>
        </is>
      </c>
      <c r="C81" t="inlineStr">
        <is>
          <t>Aa3</t>
        </is>
      </c>
      <c r="D81" t="n">
        <v>0.005093987478381426</v>
      </c>
      <c r="E81" t="n">
        <v>0.0500600691272888</v>
      </c>
      <c r="F81" t="n">
        <v>0.007760069127288798</v>
      </c>
    </row>
    <row r="82">
      <c r="A82" t="inlineStr">
        <is>
          <t>Jordan</t>
        </is>
      </c>
      <c r="B82" t="inlineStr">
        <is>
          <t>Middle East</t>
        </is>
      </c>
      <c r="C82" t="inlineStr">
        <is>
          <t>Ba3</t>
        </is>
      </c>
      <c r="D82" t="n">
        <v>0.03056392487028855</v>
      </c>
      <c r="E82" t="n">
        <v>0.08886041476373278</v>
      </c>
      <c r="F82" t="n">
        <v>0.04656041476373279</v>
      </c>
    </row>
    <row r="83">
      <c r="A83" t="inlineStr">
        <is>
          <t>Kazakhstan</t>
        </is>
      </c>
      <c r="B83" t="inlineStr">
        <is>
          <t>Eastern Europe &amp; Russia</t>
        </is>
      </c>
      <c r="C83" t="inlineStr">
        <is>
          <t>Baa1</t>
        </is>
      </c>
      <c r="D83" t="n">
        <v>0.01358396660901713</v>
      </c>
      <c r="E83" t="n">
        <v>0.06299351767277012</v>
      </c>
      <c r="F83" t="n">
        <v>0.02069351767277013</v>
      </c>
    </row>
    <row r="84">
      <c r="A84" t="inlineStr">
        <is>
          <t>Kenya</t>
        </is>
      </c>
      <c r="B84" t="inlineStr">
        <is>
          <t>Africa</t>
        </is>
      </c>
      <c r="C84" t="inlineStr">
        <is>
          <t>B3</t>
        </is>
      </c>
      <c r="D84" t="n">
        <v>0.05523480540284173</v>
      </c>
      <c r="E84" t="n">
        <v>0.1264434946547197</v>
      </c>
      <c r="F84" t="n">
        <v>0.08414349465471971</v>
      </c>
    </row>
    <row r="85">
      <c r="A85" t="inlineStr">
        <is>
          <t>Korea</t>
        </is>
      </c>
      <c r="B85" t="inlineStr">
        <is>
          <t>Asia</t>
        </is>
      </c>
      <c r="C85" t="inlineStr">
        <is>
          <t>Aa2</t>
        </is>
      </c>
      <c r="D85" t="n">
        <v>0.004195048511608233</v>
      </c>
      <c r="E85" t="n">
        <v>0.0486906451636496</v>
      </c>
      <c r="F85" t="n">
        <v>0.006390645163649599</v>
      </c>
    </row>
    <row r="86">
      <c r="A86" t="inlineStr">
        <is>
          <t>Kuwait</t>
        </is>
      </c>
      <c r="B86" t="inlineStr">
        <is>
          <t>Middle East</t>
        </is>
      </c>
      <c r="C86" t="inlineStr">
        <is>
          <t>A1</t>
        </is>
      </c>
      <c r="D86" t="n">
        <v>0.005992926445154621</v>
      </c>
      <c r="E86" t="n">
        <v>0.05142949309092799</v>
      </c>
      <c r="F86" t="n">
        <v>0.009129493090928</v>
      </c>
    </row>
    <row r="87">
      <c r="A87" t="inlineStr">
        <is>
          <t>Kyrgyzstan</t>
        </is>
      </c>
      <c r="B87" t="inlineStr">
        <is>
          <t>Eastern Europe &amp; Russia</t>
        </is>
      </c>
      <c r="C87" t="inlineStr">
        <is>
          <t>B3</t>
        </is>
      </c>
      <c r="D87" t="n">
        <v>0.05523480540284173</v>
      </c>
      <c r="E87" t="n">
        <v>0.1264434946547197</v>
      </c>
      <c r="F87" t="n">
        <v>0.08414349465471971</v>
      </c>
    </row>
    <row r="88">
      <c r="A88" t="inlineStr">
        <is>
          <t>Laos</t>
        </is>
      </c>
      <c r="B88" t="inlineStr">
        <is>
          <t>Asia</t>
        </is>
      </c>
      <c r="C88" t="inlineStr">
        <is>
          <t>Caa2</t>
        </is>
      </c>
      <c r="D88" t="n">
        <v>0.07650969428314061</v>
      </c>
      <c r="E88" t="n">
        <v>0.1588531951275141</v>
      </c>
      <c r="F88" t="n">
        <v>0.1165531951275141</v>
      </c>
    </row>
    <row r="89">
      <c r="A89" t="inlineStr">
        <is>
          <t>Latvia</t>
        </is>
      </c>
      <c r="B89" t="inlineStr">
        <is>
          <t>Eastern Europe &amp; Russia</t>
        </is>
      </c>
      <c r="C89" t="inlineStr">
        <is>
          <t>A3</t>
        </is>
      </c>
      <c r="D89" t="n">
        <v>0.01018797495676285</v>
      </c>
      <c r="E89" t="n">
        <v>0.0578201382545776</v>
      </c>
      <c r="F89" t="n">
        <v>0.0155201382545776</v>
      </c>
    </row>
    <row r="90">
      <c r="A90" t="inlineStr">
        <is>
          <t>Lebanon</t>
        </is>
      </c>
      <c r="B90" t="inlineStr">
        <is>
          <t>Middle East</t>
        </is>
      </c>
      <c r="C90" t="inlineStr">
        <is>
          <t>C</t>
        </is>
      </c>
      <c r="D90" t="n">
        <v>0.175</v>
      </c>
      <c r="E90" t="n">
        <v>0.3088911730326901</v>
      </c>
      <c r="F90" t="n">
        <v>0.2665911730326901</v>
      </c>
    </row>
    <row r="91">
      <c r="A91" t="inlineStr">
        <is>
          <t>Liechtenstein</t>
        </is>
      </c>
      <c r="B91" t="inlineStr">
        <is>
          <t>Western Europe</t>
        </is>
      </c>
      <c r="C91" t="inlineStr">
        <is>
          <t>Aaa</t>
        </is>
      </c>
      <c r="D91" t="n">
        <v>0</v>
      </c>
      <c r="E91" t="n">
        <v>0.0423</v>
      </c>
      <c r="F91" t="n">
        <v>0</v>
      </c>
    </row>
    <row r="92">
      <c r="A92" t="inlineStr">
        <is>
          <t>Lithuania</t>
        </is>
      </c>
      <c r="B92" t="inlineStr">
        <is>
          <t>Eastern Europe &amp; Russia</t>
        </is>
      </c>
      <c r="C92" t="inlineStr">
        <is>
          <t>A2</t>
        </is>
      </c>
      <c r="D92" t="n">
        <v>0.007191511734185542</v>
      </c>
      <c r="E92" t="n">
        <v>0.05325539170911359</v>
      </c>
      <c r="F92" t="n">
        <v>0.0109553917091136</v>
      </c>
    </row>
    <row r="93">
      <c r="A93" t="inlineStr">
        <is>
          <t>Luxembourg</t>
        </is>
      </c>
      <c r="B93" t="inlineStr">
        <is>
          <t>Western Europe</t>
        </is>
      </c>
      <c r="C93" t="inlineStr">
        <is>
          <t>Aaa</t>
        </is>
      </c>
      <c r="D93" t="n">
        <v>0</v>
      </c>
      <c r="E93" t="n">
        <v>0.0423</v>
      </c>
      <c r="F93" t="n">
        <v>0</v>
      </c>
    </row>
    <row r="94">
      <c r="A94" t="inlineStr">
        <is>
          <t>Macao</t>
        </is>
      </c>
      <c r="B94" t="inlineStr">
        <is>
          <t>Asia</t>
        </is>
      </c>
      <c r="C94" t="inlineStr">
        <is>
          <t>Aa3</t>
        </is>
      </c>
      <c r="D94" t="n">
        <v>0.005093987478381426</v>
      </c>
      <c r="E94" t="n">
        <v>0.0500600691272888</v>
      </c>
      <c r="F94" t="n">
        <v>0.007760069127288798</v>
      </c>
    </row>
    <row r="95">
      <c r="A95" t="inlineStr">
        <is>
          <t>Macedonia</t>
        </is>
      </c>
      <c r="B95" t="inlineStr">
        <is>
          <t>Eastern Europe &amp; Russia</t>
        </is>
      </c>
      <c r="C95" t="inlineStr">
        <is>
          <t>Ba3</t>
        </is>
      </c>
      <c r="D95" t="n">
        <v>0.03056392487028855</v>
      </c>
      <c r="E95" t="n">
        <v>0.08886041476373278</v>
      </c>
      <c r="F95" t="n">
        <v>0.04656041476373279</v>
      </c>
    </row>
    <row r="96">
      <c r="A96" t="inlineStr">
        <is>
          <t>Malaysia</t>
        </is>
      </c>
      <c r="B96" t="inlineStr">
        <is>
          <t>Asia</t>
        </is>
      </c>
      <c r="C96" t="inlineStr">
        <is>
          <t>A3</t>
        </is>
      </c>
      <c r="D96" t="n">
        <v>0.01018797495676285</v>
      </c>
      <c r="E96" t="n">
        <v>0.0578201382545776</v>
      </c>
      <c r="F96" t="n">
        <v>0.0155201382545776</v>
      </c>
    </row>
    <row r="97">
      <c r="A97" t="inlineStr">
        <is>
          <t>Maldives</t>
        </is>
      </c>
      <c r="B97" t="inlineStr">
        <is>
          <t>Asia</t>
        </is>
      </c>
      <c r="C97" t="inlineStr">
        <is>
          <t>Caa2</t>
        </is>
      </c>
      <c r="D97" t="n">
        <v>0.07650969428314061</v>
      </c>
      <c r="E97" t="n">
        <v>0.1588531951275141</v>
      </c>
      <c r="F97" t="n">
        <v>0.1165531951275141</v>
      </c>
    </row>
    <row r="98">
      <c r="A98" t="inlineStr">
        <is>
          <t>Mali</t>
        </is>
      </c>
      <c r="B98" t="inlineStr">
        <is>
          <t>Africa</t>
        </is>
      </c>
      <c r="C98" t="inlineStr">
        <is>
          <t>Caa2</t>
        </is>
      </c>
      <c r="D98" t="n">
        <v>0.07650969428314061</v>
      </c>
      <c r="E98" t="n">
        <v>0.1588531951275141</v>
      </c>
      <c r="F98" t="n">
        <v>0.1165531951275141</v>
      </c>
    </row>
    <row r="99">
      <c r="A99" t="inlineStr">
        <is>
          <t>Malta</t>
        </is>
      </c>
      <c r="B99" t="inlineStr">
        <is>
          <t>Western Europe</t>
        </is>
      </c>
      <c r="C99" t="inlineStr">
        <is>
          <t>A2</t>
        </is>
      </c>
      <c r="D99" t="n">
        <v>0.007191511734185542</v>
      </c>
      <c r="E99" t="n">
        <v>0.05325539170911359</v>
      </c>
      <c r="F99" t="n">
        <v>0.0109553917091136</v>
      </c>
    </row>
    <row r="100">
      <c r="A100" t="inlineStr">
        <is>
          <t>Mauritius</t>
        </is>
      </c>
      <c r="B100" t="inlineStr">
        <is>
          <t>Africa</t>
        </is>
      </c>
      <c r="C100" t="inlineStr">
        <is>
          <t>Baa3</t>
        </is>
      </c>
      <c r="D100" t="n">
        <v>0.01867795408739856</v>
      </c>
      <c r="E100" t="n">
        <v>0.07075358680005893</v>
      </c>
      <c r="F100" t="n">
        <v>0.02845358680005893</v>
      </c>
    </row>
    <row r="101">
      <c r="A101" t="inlineStr">
        <is>
          <t>Mexico</t>
        </is>
      </c>
      <c r="B101" t="inlineStr">
        <is>
          <t>Central and South America</t>
        </is>
      </c>
      <c r="C101" t="inlineStr">
        <is>
          <t>Baa2</t>
        </is>
      </c>
      <c r="D101" t="n">
        <v>0.01618090140191747</v>
      </c>
      <c r="E101" t="n">
        <v>0.06694963134550559</v>
      </c>
      <c r="F101" t="n">
        <v>0.0246496313455056</v>
      </c>
    </row>
    <row r="102">
      <c r="A102" t="inlineStr">
        <is>
          <t>Moldova</t>
        </is>
      </c>
      <c r="B102" t="inlineStr">
        <is>
          <t>Eastern Europe &amp; Russia</t>
        </is>
      </c>
      <c r="C102" t="inlineStr">
        <is>
          <t>B3</t>
        </is>
      </c>
      <c r="D102" t="n">
        <v>0.05523480540284173</v>
      </c>
      <c r="E102" t="n">
        <v>0.1264434946547197</v>
      </c>
      <c r="F102" t="n">
        <v>0.08414349465471971</v>
      </c>
    </row>
    <row r="103">
      <c r="A103" t="inlineStr">
        <is>
          <t>Mongolia</t>
        </is>
      </c>
      <c r="B103" t="inlineStr">
        <is>
          <t>Asia</t>
        </is>
      </c>
      <c r="C103" t="inlineStr">
        <is>
          <t>B1</t>
        </is>
      </c>
      <c r="D103" t="n">
        <v>0.03825484714157031</v>
      </c>
      <c r="E103" t="n">
        <v>0.100576597563757</v>
      </c>
      <c r="F103" t="n">
        <v>0.05827659756375704</v>
      </c>
    </row>
    <row r="104">
      <c r="A104" t="inlineStr">
        <is>
          <t>Montenegro</t>
        </is>
      </c>
      <c r="B104" t="inlineStr">
        <is>
          <t>Eastern Europe &amp; Russia</t>
        </is>
      </c>
      <c r="C104" t="inlineStr">
        <is>
          <t>B1</t>
        </is>
      </c>
      <c r="D104" t="n">
        <v>0.03825484714157031</v>
      </c>
      <c r="E104" t="n">
        <v>0.100576597563757</v>
      </c>
      <c r="F104" t="n">
        <v>0.05827659756375704</v>
      </c>
    </row>
    <row r="105">
      <c r="A105" t="inlineStr">
        <is>
          <t>Montserrat</t>
        </is>
      </c>
      <c r="B105" t="inlineStr">
        <is>
          <t>Caribbean</t>
        </is>
      </c>
      <c r="C105" t="inlineStr">
        <is>
          <t>Baa3</t>
        </is>
      </c>
      <c r="D105" t="n">
        <v>0.01867795408739856</v>
      </c>
      <c r="E105" t="n">
        <v>0.07075358680005893</v>
      </c>
      <c r="F105" t="n">
        <v>0.02845358680005893</v>
      </c>
    </row>
    <row r="106">
      <c r="A106" t="inlineStr">
        <is>
          <t>Morocco</t>
        </is>
      </c>
      <c r="B106" t="inlineStr">
        <is>
          <t>Africa</t>
        </is>
      </c>
      <c r="C106" t="inlineStr">
        <is>
          <t>Ba1</t>
        </is>
      </c>
      <c r="D106" t="n">
        <v>0.0212748888802989</v>
      </c>
      <c r="E106" t="n">
        <v>0.07470970047279439</v>
      </c>
      <c r="F106" t="n">
        <v>0.03240970047279439</v>
      </c>
    </row>
    <row r="107">
      <c r="A107" t="inlineStr">
        <is>
          <t>Mozambique</t>
        </is>
      </c>
      <c r="B107" t="inlineStr">
        <is>
          <t>Africa</t>
        </is>
      </c>
      <c r="C107" t="inlineStr">
        <is>
          <t>Caa3</t>
        </is>
      </c>
      <c r="D107" t="n">
        <v>0.08499967341377634</v>
      </c>
      <c r="E107" t="n">
        <v>0.1717866436729955</v>
      </c>
      <c r="F107" t="n">
        <v>0.1294866436729954</v>
      </c>
    </row>
    <row r="108">
      <c r="A108" t="inlineStr">
        <is>
          <t>Namibia</t>
        </is>
      </c>
      <c r="B108" t="inlineStr">
        <is>
          <t>Africa</t>
        </is>
      </c>
      <c r="C108" t="inlineStr">
        <is>
          <t>B1</t>
        </is>
      </c>
      <c r="D108" t="n">
        <v>0.03825484714157031</v>
      </c>
      <c r="E108" t="n">
        <v>0.100576597563757</v>
      </c>
      <c r="F108" t="n">
        <v>0.05827659756375704</v>
      </c>
    </row>
    <row r="109">
      <c r="A109" t="inlineStr">
        <is>
          <t>Nepal</t>
        </is>
      </c>
      <c r="B109" t="inlineStr">
        <is>
          <t>Asia</t>
        </is>
      </c>
      <c r="C109" t="inlineStr">
        <is>
          <t>Ba3</t>
        </is>
      </c>
      <c r="D109" t="n">
        <v>0.03056392487028855</v>
      </c>
      <c r="E109" t="n">
        <v>0.08886041476373278</v>
      </c>
      <c r="F109" t="n">
        <v>0.04656041476373279</v>
      </c>
    </row>
    <row r="110">
      <c r="A110" t="inlineStr">
        <is>
          <t>Netherlands</t>
        </is>
      </c>
      <c r="B110" t="inlineStr">
        <is>
          <t>Western Europe</t>
        </is>
      </c>
      <c r="C110" t="inlineStr">
        <is>
          <t>Aaa</t>
        </is>
      </c>
      <c r="D110" t="n">
        <v>0</v>
      </c>
      <c r="E110" t="n">
        <v>0.0423</v>
      </c>
      <c r="F110" t="n">
        <v>0</v>
      </c>
    </row>
    <row r="111">
      <c r="A111" t="inlineStr">
        <is>
          <t>New Zealand</t>
        </is>
      </c>
      <c r="B111" t="inlineStr">
        <is>
          <t>Australia &amp; New Zealand</t>
        </is>
      </c>
      <c r="C111" t="inlineStr">
        <is>
          <t>Aaa</t>
        </is>
      </c>
      <c r="D111" t="n">
        <v>0</v>
      </c>
      <c r="E111" t="n">
        <v>0.0423</v>
      </c>
      <c r="F111" t="n">
        <v>0</v>
      </c>
    </row>
    <row r="112">
      <c r="A112" t="inlineStr">
        <is>
          <t>Nicaragua</t>
        </is>
      </c>
      <c r="B112" t="inlineStr">
        <is>
          <t>Central and South America</t>
        </is>
      </c>
      <c r="C112" t="inlineStr">
        <is>
          <t>B2</t>
        </is>
      </c>
      <c r="D112" t="n">
        <v>0.04674482627220602</v>
      </c>
      <c r="E112" t="n">
        <v>0.1135100461092384</v>
      </c>
      <c r="F112" t="n">
        <v>0.07121004610923838</v>
      </c>
    </row>
    <row r="113">
      <c r="A113" t="inlineStr">
        <is>
          <t>Niger</t>
        </is>
      </c>
      <c r="B113" t="inlineStr">
        <is>
          <t>Africa</t>
        </is>
      </c>
      <c r="C113" t="inlineStr">
        <is>
          <t>Caa3</t>
        </is>
      </c>
      <c r="D113" t="n">
        <v>0.08499967341377634</v>
      </c>
      <c r="E113" t="n">
        <v>0.1717866436729955</v>
      </c>
      <c r="F113" t="n">
        <v>0.1294866436729954</v>
      </c>
    </row>
    <row r="114">
      <c r="A114" t="inlineStr">
        <is>
          <t>Nigeria</t>
        </is>
      </c>
      <c r="B114" t="inlineStr">
        <is>
          <t>Africa</t>
        </is>
      </c>
      <c r="C114" t="inlineStr">
        <is>
          <t>B3</t>
        </is>
      </c>
      <c r="D114" t="n">
        <v>0.05523480540284173</v>
      </c>
      <c r="E114" t="n">
        <v>0.1264434946547197</v>
      </c>
      <c r="F114" t="n">
        <v>0.08414349465471971</v>
      </c>
    </row>
    <row r="115">
      <c r="A115" t="inlineStr">
        <is>
          <t>Norway</t>
        </is>
      </c>
      <c r="B115" t="inlineStr">
        <is>
          <t>Western Europe</t>
        </is>
      </c>
      <c r="C115" t="inlineStr">
        <is>
          <t>Aaa</t>
        </is>
      </c>
      <c r="D115" t="n">
        <v>0</v>
      </c>
      <c r="E115" t="n">
        <v>0.0423</v>
      </c>
      <c r="F115" t="n">
        <v>0</v>
      </c>
    </row>
    <row r="116">
      <c r="A116" t="inlineStr">
        <is>
          <t>Oman</t>
        </is>
      </c>
      <c r="B116" t="inlineStr">
        <is>
          <t>Middle East</t>
        </is>
      </c>
      <c r="C116" t="inlineStr">
        <is>
          <t>Baa3</t>
        </is>
      </c>
      <c r="D116" t="n">
        <v>0.01867795408739856</v>
      </c>
      <c r="E116" t="n">
        <v>0.07075358680005893</v>
      </c>
      <c r="F116" t="n">
        <v>0.02845358680005893</v>
      </c>
    </row>
    <row r="117">
      <c r="A117" t="inlineStr">
        <is>
          <t>Pakistan</t>
        </is>
      </c>
      <c r="B117" t="inlineStr">
        <is>
          <t>Asia</t>
        </is>
      </c>
      <c r="C117" t="inlineStr">
        <is>
          <t>Caa1</t>
        </is>
      </c>
      <c r="D117" t="n">
        <v>0.06372478453347744</v>
      </c>
      <c r="E117" t="n">
        <v>0.139376943200201</v>
      </c>
      <c r="F117" t="n">
        <v>0.09707694320020104</v>
      </c>
    </row>
    <row r="118">
      <c r="A118" t="inlineStr">
        <is>
          <t>Panama</t>
        </is>
      </c>
      <c r="B118" t="inlineStr">
        <is>
          <t>Central and South America</t>
        </is>
      </c>
      <c r="C118" t="inlineStr">
        <is>
          <t>Baa3</t>
        </is>
      </c>
      <c r="D118" t="n">
        <v>0.01867795408739856</v>
      </c>
      <c r="E118" t="n">
        <v>0.07075358680005893</v>
      </c>
      <c r="F118" t="n">
        <v>0.02845358680005893</v>
      </c>
    </row>
    <row r="119">
      <c r="A119" t="inlineStr">
        <is>
          <t>Papua New Guinea</t>
        </is>
      </c>
      <c r="B119" t="inlineStr">
        <is>
          <t>Asia</t>
        </is>
      </c>
      <c r="C119" t="inlineStr">
        <is>
          <t>B2</t>
        </is>
      </c>
      <c r="D119" t="n">
        <v>0.04674482627220602</v>
      </c>
      <c r="E119" t="n">
        <v>0.1135100461092384</v>
      </c>
      <c r="F119" t="n">
        <v>0.07121004610923838</v>
      </c>
    </row>
    <row r="120">
      <c r="A120" t="inlineStr">
        <is>
          <t>Paraguay</t>
        </is>
      </c>
      <c r="B120" t="inlineStr">
        <is>
          <t>Central and South America</t>
        </is>
      </c>
      <c r="C120" t="inlineStr">
        <is>
          <t>Baa3</t>
        </is>
      </c>
      <c r="D120" t="n">
        <v>0.01867795408739856</v>
      </c>
      <c r="E120" t="n">
        <v>0.07075358680005893</v>
      </c>
      <c r="F120" t="n">
        <v>0.02845358680005893</v>
      </c>
    </row>
    <row r="121">
      <c r="A121" t="inlineStr">
        <is>
          <t>Peru</t>
        </is>
      </c>
      <c r="B121" t="inlineStr">
        <is>
          <t>Central and South America</t>
        </is>
      </c>
      <c r="C121" t="inlineStr">
        <is>
          <t>Baa1</t>
        </is>
      </c>
      <c r="D121" t="n">
        <v>0.01358396660901713</v>
      </c>
      <c r="E121" t="n">
        <v>0.06299351767277012</v>
      </c>
      <c r="F121" t="n">
        <v>0.02069351767277013</v>
      </c>
    </row>
    <row r="122">
      <c r="A122" t="inlineStr">
        <is>
          <t>Philippines</t>
        </is>
      </c>
      <c r="B122" t="inlineStr">
        <is>
          <t>Asia</t>
        </is>
      </c>
      <c r="C122" t="inlineStr">
        <is>
          <t>Baa2</t>
        </is>
      </c>
      <c r="D122" t="n">
        <v>0.01618090140191747</v>
      </c>
      <c r="E122" t="n">
        <v>0.06694963134550559</v>
      </c>
      <c r="F122" t="n">
        <v>0.0246496313455056</v>
      </c>
    </row>
    <row r="123">
      <c r="A123" t="inlineStr">
        <is>
          <t>Poland</t>
        </is>
      </c>
      <c r="B123" t="inlineStr">
        <is>
          <t>Eastern Europe &amp; Russia</t>
        </is>
      </c>
      <c r="C123" t="inlineStr">
        <is>
          <t>A2</t>
        </is>
      </c>
      <c r="D123" t="n">
        <v>0.007191511734185542</v>
      </c>
      <c r="E123" t="n">
        <v>0.05325539170911359</v>
      </c>
      <c r="F123" t="n">
        <v>0.0109553917091136</v>
      </c>
    </row>
    <row r="124">
      <c r="A124" t="inlineStr">
        <is>
          <t>Portugal</t>
        </is>
      </c>
      <c r="B124" t="inlineStr">
        <is>
          <t>Western Europe</t>
        </is>
      </c>
      <c r="C124" t="inlineStr">
        <is>
          <t>A3</t>
        </is>
      </c>
      <c r="D124" t="n">
        <v>0.01018797495676285</v>
      </c>
      <c r="E124" t="n">
        <v>0.0578201382545776</v>
      </c>
      <c r="F124" t="n">
        <v>0.0155201382545776</v>
      </c>
    </row>
    <row r="125">
      <c r="A125" t="inlineStr">
        <is>
          <t>Qatar</t>
        </is>
      </c>
      <c r="B125" t="inlineStr">
        <is>
          <t>Middle East</t>
        </is>
      </c>
      <c r="C125" t="inlineStr">
        <is>
          <t>Aa2</t>
        </is>
      </c>
      <c r="D125" t="n">
        <v>0.004195048511608233</v>
      </c>
      <c r="E125" t="n">
        <v>0.0486906451636496</v>
      </c>
      <c r="F125" t="n">
        <v>0.006390645163649599</v>
      </c>
    </row>
    <row r="126">
      <c r="A126" t="inlineStr">
        <is>
          <t>Ras Al Khaimah (Emirate of)</t>
        </is>
      </c>
      <c r="B126" t="inlineStr">
        <is>
          <t>Middle East</t>
        </is>
      </c>
      <c r="C126" t="inlineStr">
        <is>
          <t>A3</t>
        </is>
      </c>
      <c r="D126" t="n">
        <v>0.01018797495676285</v>
      </c>
      <c r="E126" t="n">
        <v>0.0578201382545776</v>
      </c>
      <c r="F126" t="n">
        <v>0.0155201382545776</v>
      </c>
    </row>
    <row r="127">
      <c r="A127" t="inlineStr">
        <is>
          <t>Romania</t>
        </is>
      </c>
      <c r="B127" t="inlineStr">
        <is>
          <t>Eastern Europe &amp; Russia</t>
        </is>
      </c>
      <c r="C127" t="inlineStr">
        <is>
          <t>Baa3</t>
        </is>
      </c>
      <c r="D127" t="n">
        <v>0.01867795408739856</v>
      </c>
      <c r="E127" t="n">
        <v>0.07075358680005893</v>
      </c>
      <c r="F127" t="n">
        <v>0.02845358680005893</v>
      </c>
    </row>
    <row r="128">
      <c r="A128" t="inlineStr">
        <is>
          <t>Rwanda</t>
        </is>
      </c>
      <c r="B128" t="inlineStr">
        <is>
          <t>Africa</t>
        </is>
      </c>
      <c r="C128" t="inlineStr">
        <is>
          <t>B2</t>
        </is>
      </c>
      <c r="D128" t="n">
        <v>0.04674482627220602</v>
      </c>
      <c r="E128" t="n">
        <v>0.1135100461092384</v>
      </c>
      <c r="F128" t="n">
        <v>0.07121004610923838</v>
      </c>
    </row>
    <row r="129">
      <c r="A129" t="inlineStr">
        <is>
          <t>Saudi Arabia</t>
        </is>
      </c>
      <c r="B129" t="inlineStr">
        <is>
          <t>Middle East</t>
        </is>
      </c>
      <c r="C129" t="inlineStr">
        <is>
          <t>Aa3</t>
        </is>
      </c>
      <c r="D129" t="n">
        <v>0.005093987478381426</v>
      </c>
      <c r="E129" t="n">
        <v>0.0500600691272888</v>
      </c>
      <c r="F129" t="n">
        <v>0.007760069127288798</v>
      </c>
    </row>
    <row r="130">
      <c r="A130" t="inlineStr">
        <is>
          <t>Senegal</t>
        </is>
      </c>
      <c r="B130" t="inlineStr">
        <is>
          <t>Africa</t>
        </is>
      </c>
      <c r="C130" t="inlineStr">
        <is>
          <t>Caa1</t>
        </is>
      </c>
      <c r="D130" t="n">
        <v>0.06372478453347744</v>
      </c>
      <c r="E130" t="n">
        <v>0.139376943200201</v>
      </c>
      <c r="F130" t="n">
        <v>0.09707694320020104</v>
      </c>
    </row>
    <row r="131">
      <c r="A131" t="inlineStr">
        <is>
          <t>Serbia</t>
        </is>
      </c>
      <c r="B131" t="inlineStr">
        <is>
          <t>Eastern Europe &amp; Russia</t>
        </is>
      </c>
      <c r="C131" t="inlineStr">
        <is>
          <t>Ba2</t>
        </is>
      </c>
      <c r="D131" t="n">
        <v>0.02556981949932637</v>
      </c>
      <c r="E131" t="n">
        <v>0.08125250385462612</v>
      </c>
      <c r="F131" t="n">
        <v>0.03895250385462613</v>
      </c>
    </row>
    <row r="132">
      <c r="A132" t="inlineStr">
        <is>
          <t>Sharjah</t>
        </is>
      </c>
      <c r="B132" t="inlineStr">
        <is>
          <t>Middle East</t>
        </is>
      </c>
      <c r="C132" t="inlineStr">
        <is>
          <t>Ba1</t>
        </is>
      </c>
      <c r="D132" t="n">
        <v>0.0212748888802989</v>
      </c>
      <c r="E132" t="n">
        <v>0.07470970047279439</v>
      </c>
      <c r="F132" t="n">
        <v>0.03240970047279439</v>
      </c>
    </row>
    <row r="133">
      <c r="A133" t="inlineStr">
        <is>
          <t>Singapore</t>
        </is>
      </c>
      <c r="B133" t="inlineStr">
        <is>
          <t>Asia</t>
        </is>
      </c>
      <c r="C133" t="inlineStr">
        <is>
          <t>Aaa</t>
        </is>
      </c>
      <c r="D133" t="n">
        <v>0</v>
      </c>
      <c r="E133" t="n">
        <v>0.0423</v>
      </c>
      <c r="F133" t="n">
        <v>0</v>
      </c>
    </row>
    <row r="134">
      <c r="A134" t="inlineStr">
        <is>
          <t>Slovakia</t>
        </is>
      </c>
      <c r="B134" t="inlineStr">
        <is>
          <t>Eastern Europe &amp; Russia</t>
        </is>
      </c>
      <c r="C134" t="inlineStr">
        <is>
          <t>A3</t>
        </is>
      </c>
      <c r="D134" t="n">
        <v>0.01018797495676285</v>
      </c>
      <c r="E134" t="n">
        <v>0.0578201382545776</v>
      </c>
      <c r="F134" t="n">
        <v>0.0155201382545776</v>
      </c>
    </row>
    <row r="135">
      <c r="A135" t="inlineStr">
        <is>
          <t>Slovenia</t>
        </is>
      </c>
      <c r="B135" t="inlineStr">
        <is>
          <t>Eastern Europe &amp; Russia</t>
        </is>
      </c>
      <c r="C135" t="inlineStr">
        <is>
          <t>A3</t>
        </is>
      </c>
      <c r="D135" t="n">
        <v>0.01018797495676285</v>
      </c>
      <c r="E135" t="n">
        <v>0.0578201382545776</v>
      </c>
      <c r="F135" t="n">
        <v>0.0155201382545776</v>
      </c>
    </row>
    <row r="136">
      <c r="A136" t="inlineStr">
        <is>
          <t>Solomon Islands</t>
        </is>
      </c>
      <c r="B136" t="inlineStr">
        <is>
          <t>Asia</t>
        </is>
      </c>
      <c r="C136" t="inlineStr">
        <is>
          <t>Caa1</t>
        </is>
      </c>
      <c r="D136" t="n">
        <v>0.06372478453347744</v>
      </c>
      <c r="E136" t="n">
        <v>0.139376943200201</v>
      </c>
      <c r="F136" t="n">
        <v>0.09707694320020104</v>
      </c>
    </row>
    <row r="137">
      <c r="A137" t="inlineStr">
        <is>
          <t>South Africa</t>
        </is>
      </c>
      <c r="B137" t="inlineStr">
        <is>
          <t>Africa</t>
        </is>
      </c>
      <c r="C137" t="inlineStr">
        <is>
          <t>Ba2</t>
        </is>
      </c>
      <c r="D137" t="n">
        <v>0.02556981949932637</v>
      </c>
      <c r="E137" t="n">
        <v>0.08125250385462612</v>
      </c>
      <c r="F137" t="n">
        <v>0.03895250385462613</v>
      </c>
    </row>
    <row r="138">
      <c r="A138" t="inlineStr">
        <is>
          <t>Spain</t>
        </is>
      </c>
      <c r="B138" t="inlineStr">
        <is>
          <t>Western Europe</t>
        </is>
      </c>
      <c r="C138" t="inlineStr">
        <is>
          <t>A3</t>
        </is>
      </c>
      <c r="D138" t="n">
        <v>0.01018797495676285</v>
      </c>
      <c r="E138" t="n">
        <v>0.0578201382545776</v>
      </c>
      <c r="F138" t="n">
        <v>0.0155201382545776</v>
      </c>
    </row>
    <row r="139">
      <c r="A139" t="inlineStr">
        <is>
          <t>Sri Lanka</t>
        </is>
      </c>
      <c r="B139" t="inlineStr">
        <is>
          <t>Asia</t>
        </is>
      </c>
      <c r="C139" t="inlineStr">
        <is>
          <t>Ca</t>
        </is>
      </c>
      <c r="D139" t="n">
        <v>0.1019796316750478</v>
      </c>
      <c r="E139" t="n">
        <v>0.1976535407639581</v>
      </c>
      <c r="F139" t="n">
        <v>0.1553535407639581</v>
      </c>
    </row>
    <row r="140">
      <c r="A140" t="inlineStr">
        <is>
          <t>St. Maarten</t>
        </is>
      </c>
      <c r="B140" t="inlineStr">
        <is>
          <t>Caribbean</t>
        </is>
      </c>
      <c r="C140" t="inlineStr">
        <is>
          <t>Ba2</t>
        </is>
      </c>
      <c r="D140" t="n">
        <v>0.02556981949932637</v>
      </c>
      <c r="E140" t="n">
        <v>0.08125250385462612</v>
      </c>
      <c r="F140" t="n">
        <v>0.03895250385462613</v>
      </c>
    </row>
    <row r="141">
      <c r="A141" t="inlineStr">
        <is>
          <t>St. Vincent &amp; the Grenadines</t>
        </is>
      </c>
      <c r="B141" t="inlineStr">
        <is>
          <t>Caribbean</t>
        </is>
      </c>
      <c r="C141" t="inlineStr">
        <is>
          <t>B3</t>
        </is>
      </c>
      <c r="D141" t="n">
        <v>0.05523480540284173</v>
      </c>
      <c r="E141" t="n">
        <v>0.1264434946547197</v>
      </c>
      <c r="F141" t="n">
        <v>0.08414349465471971</v>
      </c>
    </row>
    <row r="142">
      <c r="A142" t="inlineStr">
        <is>
          <t>Suriname</t>
        </is>
      </c>
      <c r="B142" t="inlineStr">
        <is>
          <t>Central and South America</t>
        </is>
      </c>
      <c r="C142" t="inlineStr">
        <is>
          <t>Caa1</t>
        </is>
      </c>
      <c r="D142" t="n">
        <v>0.06372478453347744</v>
      </c>
      <c r="E142" t="n">
        <v>0.139376943200201</v>
      </c>
      <c r="F142" t="n">
        <v>0.09707694320020104</v>
      </c>
    </row>
    <row r="143">
      <c r="A143" t="inlineStr">
        <is>
          <t>Swaziland</t>
        </is>
      </c>
      <c r="B143" t="inlineStr">
        <is>
          <t>Africa</t>
        </is>
      </c>
      <c r="C143" t="inlineStr">
        <is>
          <t>B2</t>
        </is>
      </c>
      <c r="D143" t="n">
        <v>0.04674482627220602</v>
      </c>
      <c r="E143" t="n">
        <v>0.1135100461092384</v>
      </c>
      <c r="F143" t="n">
        <v>0.07121004610923838</v>
      </c>
    </row>
    <row r="144">
      <c r="A144" t="inlineStr">
        <is>
          <t>Sweden</t>
        </is>
      </c>
      <c r="B144" t="inlineStr">
        <is>
          <t>Western Europe</t>
        </is>
      </c>
      <c r="C144" t="inlineStr">
        <is>
          <t>Aaa</t>
        </is>
      </c>
      <c r="D144" t="n">
        <v>0</v>
      </c>
      <c r="E144" t="n">
        <v>0.0423</v>
      </c>
      <c r="F144" t="n">
        <v>0</v>
      </c>
    </row>
    <row r="145">
      <c r="A145" t="inlineStr">
        <is>
          <t>Switzerland</t>
        </is>
      </c>
      <c r="B145" t="inlineStr">
        <is>
          <t>Western Europe</t>
        </is>
      </c>
      <c r="C145" t="inlineStr">
        <is>
          <t>Aaa</t>
        </is>
      </c>
      <c r="D145" t="n">
        <v>0</v>
      </c>
      <c r="E145" t="n">
        <v>0.0423</v>
      </c>
      <c r="F145" t="n">
        <v>0</v>
      </c>
    </row>
    <row r="146">
      <c r="A146" t="inlineStr">
        <is>
          <t>Taiwan</t>
        </is>
      </c>
      <c r="B146" t="inlineStr">
        <is>
          <t>Asia</t>
        </is>
      </c>
      <c r="C146" t="inlineStr">
        <is>
          <t>Aa3</t>
        </is>
      </c>
      <c r="D146" t="n">
        <v>0.005093987478381426</v>
      </c>
      <c r="E146" t="n">
        <v>0.0500600691272888</v>
      </c>
      <c r="F146" t="n">
        <v>0.007760069127288798</v>
      </c>
    </row>
    <row r="147">
      <c r="A147" t="inlineStr">
        <is>
          <t>Tajikistan</t>
        </is>
      </c>
      <c r="B147" t="inlineStr">
        <is>
          <t>Eastern Europe &amp; Russia</t>
        </is>
      </c>
      <c r="C147" t="inlineStr">
        <is>
          <t>B3</t>
        </is>
      </c>
      <c r="D147" t="n">
        <v>0.05523480540284173</v>
      </c>
      <c r="E147" t="n">
        <v>0.1264434946547197</v>
      </c>
      <c r="F147" t="n">
        <v>0.08414349465471971</v>
      </c>
    </row>
    <row r="148">
      <c r="A148" t="inlineStr">
        <is>
          <t>Tanzania</t>
        </is>
      </c>
      <c r="B148" t="inlineStr">
        <is>
          <t>Africa</t>
        </is>
      </c>
      <c r="C148" t="inlineStr">
        <is>
          <t>B1</t>
        </is>
      </c>
      <c r="D148" t="n">
        <v>0.03825484714157031</v>
      </c>
      <c r="E148" t="n">
        <v>0.100576597563757</v>
      </c>
      <c r="F148" t="n">
        <v>0.05827659756375704</v>
      </c>
    </row>
    <row r="149">
      <c r="A149" t="inlineStr">
        <is>
          <t>Thailand</t>
        </is>
      </c>
      <c r="B149" t="inlineStr">
        <is>
          <t>Asia</t>
        </is>
      </c>
      <c r="C149" t="inlineStr">
        <is>
          <t>Baa1</t>
        </is>
      </c>
      <c r="D149" t="n">
        <v>0.01358396660901713</v>
      </c>
      <c r="E149" t="n">
        <v>0.06299351767277012</v>
      </c>
      <c r="F149" t="n">
        <v>0.02069351767277013</v>
      </c>
    </row>
    <row r="150">
      <c r="A150" t="inlineStr">
        <is>
          <t>Togo</t>
        </is>
      </c>
      <c r="B150" t="inlineStr">
        <is>
          <t>Africa</t>
        </is>
      </c>
      <c r="C150" t="inlineStr">
        <is>
          <t>B3</t>
        </is>
      </c>
      <c r="D150" t="n">
        <v>0.05523480540284173</v>
      </c>
      <c r="E150" t="n">
        <v>0.1264434946547197</v>
      </c>
      <c r="F150" t="n">
        <v>0.08414349465471971</v>
      </c>
    </row>
    <row r="151">
      <c r="A151" t="inlineStr">
        <is>
          <t>Trinidad and Tobago</t>
        </is>
      </c>
      <c r="B151" t="inlineStr">
        <is>
          <t>Caribbean</t>
        </is>
      </c>
      <c r="C151" t="inlineStr">
        <is>
          <t>Ba2</t>
        </is>
      </c>
      <c r="D151" t="n">
        <v>0.02556981949932637</v>
      </c>
      <c r="E151" t="n">
        <v>0.08125250385462612</v>
      </c>
      <c r="F151" t="n">
        <v>0.03895250385462613</v>
      </c>
    </row>
    <row r="152">
      <c r="A152" t="inlineStr">
        <is>
          <t>Tunisia</t>
        </is>
      </c>
      <c r="B152" t="inlineStr">
        <is>
          <t>Africa</t>
        </is>
      </c>
      <c r="C152" t="inlineStr">
        <is>
          <t>Caa1</t>
        </is>
      </c>
      <c r="D152" t="n">
        <v>0.06372478453347744</v>
      </c>
      <c r="E152" t="n">
        <v>0.139376943200201</v>
      </c>
      <c r="F152" t="n">
        <v>0.09707694320020104</v>
      </c>
    </row>
    <row r="153">
      <c r="A153" t="inlineStr">
        <is>
          <t>Turkey</t>
        </is>
      </c>
      <c r="B153" t="inlineStr">
        <is>
          <t>Western Europe</t>
        </is>
      </c>
      <c r="C153" t="inlineStr">
        <is>
          <t>Ba3</t>
        </is>
      </c>
      <c r="D153" t="n">
        <v>0.03056392487028855</v>
      </c>
      <c r="E153" t="n">
        <v>0.08886041476373278</v>
      </c>
      <c r="F153" t="n">
        <v>0.04656041476373279</v>
      </c>
    </row>
    <row r="154">
      <c r="A154" t="inlineStr">
        <is>
          <t>Turks and Caicos Islands</t>
        </is>
      </c>
      <c r="B154" t="inlineStr">
        <is>
          <t>Caribbean</t>
        </is>
      </c>
      <c r="C154" t="inlineStr">
        <is>
          <t>Baa1</t>
        </is>
      </c>
      <c r="D154" t="n">
        <v>0.01358396660901713</v>
      </c>
      <c r="E154" t="n">
        <v>0.06299351767277012</v>
      </c>
      <c r="F154" t="n">
        <v>0.02069351767277013</v>
      </c>
    </row>
    <row r="155">
      <c r="A155" t="inlineStr">
        <is>
          <t>Uganda</t>
        </is>
      </c>
      <c r="B155" t="inlineStr">
        <is>
          <t>Africa</t>
        </is>
      </c>
      <c r="C155" t="inlineStr">
        <is>
          <t>B3</t>
        </is>
      </c>
      <c r="D155" t="n">
        <v>0.05523480540284173</v>
      </c>
      <c r="E155" t="n">
        <v>0.1264434946547197</v>
      </c>
      <c r="F155" t="n">
        <v>0.08414349465471971</v>
      </c>
    </row>
    <row r="156">
      <c r="A156" t="inlineStr">
        <is>
          <t>Ukraine</t>
        </is>
      </c>
      <c r="B156" t="inlineStr">
        <is>
          <t>Eastern Europe &amp; Russia</t>
        </is>
      </c>
      <c r="C156" t="inlineStr">
        <is>
          <t>Ca</t>
        </is>
      </c>
      <c r="D156" t="n">
        <v>0.1019796316750478</v>
      </c>
      <c r="E156" t="n">
        <v>0.1976535407639581</v>
      </c>
      <c r="F156" t="n">
        <v>0.1553535407639581</v>
      </c>
    </row>
    <row r="157">
      <c r="A157" t="inlineStr">
        <is>
          <t>United Arab Emirates</t>
        </is>
      </c>
      <c r="B157" t="inlineStr">
        <is>
          <t>Middle East</t>
        </is>
      </c>
      <c r="C157" t="inlineStr">
        <is>
          <t>Aa2</t>
        </is>
      </c>
      <c r="D157" t="n">
        <v>0.004195048511608233</v>
      </c>
      <c r="E157" t="n">
        <v>0.0486906451636496</v>
      </c>
      <c r="F157" t="n">
        <v>0.006390645163649599</v>
      </c>
    </row>
    <row r="158">
      <c r="A158" t="inlineStr">
        <is>
          <t>United Kingdom</t>
        </is>
      </c>
      <c r="B158" t="inlineStr">
        <is>
          <t>Western Europe</t>
        </is>
      </c>
      <c r="C158" t="inlineStr">
        <is>
          <t>Aa3</t>
        </is>
      </c>
      <c r="D158" t="n">
        <v>0.005093987478381426</v>
      </c>
      <c r="E158" t="n">
        <v>0.0500600691272888</v>
      </c>
      <c r="F158" t="n">
        <v>0.007760069127288798</v>
      </c>
    </row>
    <row r="159">
      <c r="A159" t="inlineStr">
        <is>
          <t>United States</t>
        </is>
      </c>
      <c r="B159" t="inlineStr">
        <is>
          <t>North America</t>
        </is>
      </c>
      <c r="C159" t="inlineStr">
        <is>
          <t>Aa1</t>
        </is>
      </c>
      <c r="D159" t="n">
        <v>0.002333679169992019</v>
      </c>
      <c r="E159" t="n">
        <v>0.0446</v>
      </c>
      <c r="F159" t="n">
        <v>0.002333679169992019</v>
      </c>
    </row>
    <row r="160">
      <c r="A160" t="inlineStr">
        <is>
          <t>Uruguay</t>
        </is>
      </c>
      <c r="B160" t="inlineStr">
        <is>
          <t>Central and South America</t>
        </is>
      </c>
      <c r="C160" t="inlineStr">
        <is>
          <t>Baa1</t>
        </is>
      </c>
      <c r="D160" t="n">
        <v>0.01358396660901713</v>
      </c>
      <c r="E160" t="n">
        <v>0.06299351767277012</v>
      </c>
      <c r="F160" t="n">
        <v>0.02069351767277013</v>
      </c>
    </row>
    <row r="161">
      <c r="A161" t="inlineStr">
        <is>
          <t>Uzbekistan</t>
        </is>
      </c>
      <c r="B161" t="inlineStr">
        <is>
          <t>Eastern Europe &amp; Russia</t>
        </is>
      </c>
      <c r="C161" t="inlineStr">
        <is>
          <t>Ba3</t>
        </is>
      </c>
      <c r="D161" t="n">
        <v>0.03056392487028855</v>
      </c>
      <c r="E161" t="n">
        <v>0.08886041476373278</v>
      </c>
      <c r="F161" t="n">
        <v>0.04656041476373279</v>
      </c>
    </row>
    <row r="162">
      <c r="A162" t="inlineStr">
        <is>
          <t>Venezuela</t>
        </is>
      </c>
      <c r="B162" t="inlineStr">
        <is>
          <t>Central and South America</t>
        </is>
      </c>
      <c r="C162" t="inlineStr">
        <is>
          <t>C</t>
        </is>
      </c>
      <c r="D162" t="n">
        <v>0.175</v>
      </c>
      <c r="E162" t="n">
        <v>0.3088911730326901</v>
      </c>
      <c r="F162" t="n">
        <v>0.2665911730326901</v>
      </c>
    </row>
    <row r="163">
      <c r="A163" t="inlineStr">
        <is>
          <t>Vietnam</t>
        </is>
      </c>
      <c r="B163" t="inlineStr">
        <is>
          <t>Asia</t>
        </is>
      </c>
      <c r="C163" t="inlineStr">
        <is>
          <t>Ba2</t>
        </is>
      </c>
      <c r="D163" t="n">
        <v>0.02556981949932637</v>
      </c>
      <c r="E163" t="n">
        <v>0.08125250385462612</v>
      </c>
      <c r="F163" t="n">
        <v>0.03895250385462613</v>
      </c>
    </row>
    <row r="164">
      <c r="A164" t="inlineStr">
        <is>
          <t>Zambia</t>
        </is>
      </c>
      <c r="B164" t="inlineStr">
        <is>
          <t>Africa</t>
        </is>
      </c>
      <c r="C164" t="inlineStr">
        <is>
          <t>Caa2</t>
        </is>
      </c>
      <c r="D164" t="n">
        <v>0.07650969428314061</v>
      </c>
      <c r="E164" t="n">
        <v>0.1588531951275141</v>
      </c>
      <c r="F164" t="n">
        <v>0.1165531951275141</v>
      </c>
    </row>
    <row r="165">
      <c r="A165" t="inlineStr">
        <is>
          <t>Frontier Markets (no sovereign ratings)</t>
        </is>
      </c>
    </row>
    <row r="166">
      <c r="A166" t="inlineStr">
        <is>
          <t>Country</t>
        </is>
      </c>
      <c r="B166" t="inlineStr">
        <is>
          <t>PRS Composite Risk Score</t>
        </is>
      </c>
      <c r="C166" t="inlineStr">
        <is>
          <t>ERP</t>
        </is>
      </c>
      <c r="D166" t="inlineStr">
        <is>
          <t>CRP</t>
        </is>
      </c>
      <c r="E166" t="inlineStr">
        <is>
          <t>Default Spread</t>
        </is>
      </c>
    </row>
    <row r="167">
      <c r="A167" t="inlineStr">
        <is>
          <t>Algeria</t>
        </is>
      </c>
      <c r="B167" t="n">
        <v>67</v>
      </c>
      <c r="C167" t="n">
        <v>0.100576597563757</v>
      </c>
      <c r="D167" t="n">
        <v>0.05827659756375703</v>
      </c>
      <c r="E167" t="n">
        <v>0.03825484714157031</v>
      </c>
    </row>
    <row r="168">
      <c r="A168" t="inlineStr">
        <is>
          <t>Brunei</t>
        </is>
      </c>
      <c r="B168" t="n">
        <v>80.75</v>
      </c>
      <c r="C168" t="n">
        <v>0.0500600691272888</v>
      </c>
      <c r="D168" t="n">
        <v>0.007760069127288799</v>
      </c>
      <c r="E168" t="n">
        <v>0.005093987478381427</v>
      </c>
    </row>
    <row r="169">
      <c r="A169" t="inlineStr">
        <is>
          <t>Gambia</t>
        </is>
      </c>
      <c r="B169" t="n">
        <v>65.5</v>
      </c>
      <c r="C169" t="n">
        <v>0.1135100461092384</v>
      </c>
      <c r="D169" t="n">
        <v>0.07121004610923837</v>
      </c>
      <c r="E169" t="n">
        <v>0.04674482627220602</v>
      </c>
    </row>
    <row r="170">
      <c r="A170" t="inlineStr">
        <is>
          <t>Guinea</t>
        </is>
      </c>
      <c r="B170" t="n">
        <v>59.5</v>
      </c>
      <c r="C170" t="n">
        <v>0.1588531951275141</v>
      </c>
      <c r="D170" t="n">
        <v>0.1165531951275141</v>
      </c>
      <c r="E170" t="n">
        <v>0.07650969428314061</v>
      </c>
    </row>
    <row r="171">
      <c r="A171" t="inlineStr">
        <is>
          <t>Guinea-Bissau</t>
        </is>
      </c>
      <c r="B171" t="n">
        <v>60.75</v>
      </c>
      <c r="C171" t="n">
        <v>0.139376943200201</v>
      </c>
      <c r="D171" t="n">
        <v>0.09707694320020102</v>
      </c>
      <c r="E171" t="n">
        <v>0.06372478453347744</v>
      </c>
    </row>
    <row r="172">
      <c r="A172" t="inlineStr">
        <is>
          <t>Guyana</t>
        </is>
      </c>
      <c r="B172" t="n">
        <v>75.5</v>
      </c>
      <c r="C172" t="n">
        <v>0.06299351767277012</v>
      </c>
      <c r="D172" t="n">
        <v>0.02069351767277012</v>
      </c>
      <c r="E172" t="n">
        <v>0.01358396660901713</v>
      </c>
    </row>
    <row r="173">
      <c r="A173" t="inlineStr">
        <is>
          <t>Haiti</t>
        </is>
      </c>
      <c r="B173" t="n">
        <v>56.75</v>
      </c>
      <c r="C173" t="n">
        <v>0.1717866436729955</v>
      </c>
      <c r="D173" t="n">
        <v>0.1294866436729954</v>
      </c>
      <c r="E173" t="n">
        <v>0.08499967341377634</v>
      </c>
    </row>
    <row r="174">
      <c r="A174" t="inlineStr">
        <is>
          <t>Iran</t>
        </is>
      </c>
      <c r="B174" t="n">
        <v>61.25</v>
      </c>
      <c r="C174" t="n">
        <v>0.139376943200201</v>
      </c>
      <c r="D174" t="n">
        <v>0.09707694320020102</v>
      </c>
      <c r="E174" t="n">
        <v>0.06372478453347744</v>
      </c>
    </row>
    <row r="175">
      <c r="A175" t="inlineStr">
        <is>
          <t>Korea, D.P.R.</t>
        </is>
      </c>
      <c r="B175" t="n">
        <v>51</v>
      </c>
      <c r="C175" t="n">
        <v>0.1976535407639581</v>
      </c>
      <c r="D175" t="n">
        <v>0.1553535407639581</v>
      </c>
      <c r="E175" t="n">
        <v>0.1019796316750478</v>
      </c>
    </row>
    <row r="176">
      <c r="A176" t="inlineStr">
        <is>
          <t>Liberia</t>
        </is>
      </c>
      <c r="B176" t="n">
        <v>57.75</v>
      </c>
      <c r="C176" t="n">
        <v>0.1588531951275141</v>
      </c>
      <c r="D176" t="n">
        <v>0.1165531951275141</v>
      </c>
      <c r="E176" t="n">
        <v>0.07650969428314061</v>
      </c>
    </row>
    <row r="177">
      <c r="A177" t="inlineStr">
        <is>
          <t>Libya</t>
        </is>
      </c>
      <c r="B177" t="n">
        <v>71.5</v>
      </c>
      <c r="C177" t="n">
        <v>0.08125250385462612</v>
      </c>
      <c r="D177" t="n">
        <v>0.03895250385462613</v>
      </c>
      <c r="E177" t="n">
        <v>0.02556981949932638</v>
      </c>
    </row>
    <row r="178">
      <c r="A178" t="inlineStr">
        <is>
          <t>Madagascar</t>
        </is>
      </c>
      <c r="B178" t="n">
        <v>62.5</v>
      </c>
      <c r="C178" t="n">
        <v>0.1264434946547197</v>
      </c>
      <c r="D178" t="n">
        <v>0.08414349465471971</v>
      </c>
      <c r="E178" t="n">
        <v>0.05523480540284173</v>
      </c>
    </row>
    <row r="179">
      <c r="A179" t="inlineStr">
        <is>
          <t>Malawi</t>
        </is>
      </c>
      <c r="B179" t="n">
        <v>56</v>
      </c>
      <c r="C179" t="n">
        <v>0.1717866436729955</v>
      </c>
      <c r="D179" t="n">
        <v>0.1294866436729954</v>
      </c>
      <c r="E179" t="n">
        <v>0.08499967341377634</v>
      </c>
    </row>
    <row r="180">
      <c r="A180" t="inlineStr">
        <is>
          <t>Myanmar</t>
        </is>
      </c>
      <c r="B180" t="n">
        <v>54.75</v>
      </c>
      <c r="C180" t="n">
        <v>0.1976535407639581</v>
      </c>
      <c r="D180" t="n">
        <v>0.1553535407639581</v>
      </c>
      <c r="E180" t="n">
        <v>0.1019796316750478</v>
      </c>
    </row>
    <row r="181">
      <c r="A181" t="inlineStr">
        <is>
          <t>Russia</t>
        </is>
      </c>
      <c r="B181" t="n">
        <v>70.25</v>
      </c>
      <c r="C181" t="n">
        <v>0.08125250385462612</v>
      </c>
      <c r="D181" t="n">
        <v>0.03895250385462613</v>
      </c>
      <c r="E181" t="n">
        <v>0.02556981949932638</v>
      </c>
    </row>
    <row r="182">
      <c r="A182" t="inlineStr">
        <is>
          <t>Sierra Leone</t>
        </is>
      </c>
      <c r="B182" t="n">
        <v>62.75</v>
      </c>
      <c r="C182" t="n">
        <v>0.1264434946547197</v>
      </c>
      <c r="D182" t="n">
        <v>0.08414349465471971</v>
      </c>
      <c r="E182" t="n">
        <v>0.05523480540284173</v>
      </c>
    </row>
    <row r="183">
      <c r="A183" t="inlineStr">
        <is>
          <t>Somalia</t>
        </is>
      </c>
      <c r="B183" t="n">
        <v>55.5</v>
      </c>
      <c r="C183" t="n">
        <v>0.1717866436729955</v>
      </c>
      <c r="D183" t="n">
        <v>0.1294866436729954</v>
      </c>
      <c r="E183" t="n">
        <v>0.08499967341377634</v>
      </c>
    </row>
    <row r="184">
      <c r="A184" t="inlineStr">
        <is>
          <t>Sudan</t>
        </is>
      </c>
      <c r="B184" t="n">
        <v>47.75</v>
      </c>
      <c r="C184" t="n">
        <v>0.3088911730326901</v>
      </c>
      <c r="D184" t="n">
        <v>0.2665911730326901</v>
      </c>
      <c r="E184" t="n">
        <v>0.175</v>
      </c>
    </row>
    <row r="185">
      <c r="A185" t="inlineStr">
        <is>
          <t>Syria</t>
        </is>
      </c>
      <c r="B185" t="n">
        <v>51.5</v>
      </c>
      <c r="C185" t="n">
        <v>0.1976535407639581</v>
      </c>
      <c r="D185" t="n">
        <v>0.1553535407639581</v>
      </c>
      <c r="E185" t="n">
        <v>0.1019796316750478</v>
      </c>
    </row>
    <row r="186">
      <c r="A186" t="inlineStr">
        <is>
          <t>Yemen, Republic</t>
        </is>
      </c>
      <c r="B186" t="n">
        <v>51.75</v>
      </c>
      <c r="C186" t="n">
        <v>0.1976535407639581</v>
      </c>
      <c r="D186" t="n">
        <v>0.1553535407639581</v>
      </c>
      <c r="E186" t="n">
        <v>0.1019796316750478</v>
      </c>
    </row>
    <row r="187">
      <c r="A187" t="inlineStr">
        <is>
          <t>Zimbabwe</t>
        </is>
      </c>
      <c r="B187" t="n">
        <v>58.5</v>
      </c>
      <c r="C187" t="n">
        <v>0.1588531951275141</v>
      </c>
      <c r="D187" t="n">
        <v>0.1165531951275141</v>
      </c>
      <c r="E187" t="n">
        <v>0.07650969428314061</v>
      </c>
    </row>
    <row r="190" ht="15.5" customHeight="1" s="203">
      <c r="A190" s="102" t="inlineStr">
        <is>
          <t>2. Industry Beta -- one block per Beta Source</t>
        </is>
      </c>
    </row>
    <row r="192">
      <c r="A192" s="104" t="inlineStr">
        <is>
          <t>Beta Source: Global</t>
        </is>
      </c>
    </row>
    <row r="193">
      <c r="A193" s="100" t="inlineStr">
        <is>
          <t>Industry</t>
        </is>
      </c>
      <c r="B193" s="100" t="inlineStr">
        <is>
          <t>N Firms</t>
        </is>
      </c>
      <c r="C193" s="100" t="inlineStr">
        <is>
          <t>Levered Beta</t>
        </is>
      </c>
      <c r="D193" s="100" t="inlineStr">
        <is>
          <t>D/E</t>
        </is>
      </c>
      <c r="E193" s="100" t="inlineStr">
        <is>
          <t>Eff. Tax</t>
        </is>
      </c>
      <c r="F193" s="100" t="inlineStr">
        <is>
          <t>Unlevered Beta</t>
        </is>
      </c>
      <c r="G193" s="100" t="inlineStr">
        <is>
          <t>Cash/Firm Value</t>
        </is>
      </c>
      <c r="H193" s="100" t="inlineStr">
        <is>
          <t>Unlevered Beta (cash-adj)</t>
        </is>
      </c>
    </row>
    <row r="194">
      <c r="A194" t="inlineStr">
        <is>
          <t>Advertising</t>
        </is>
      </c>
      <c r="B194" t="n">
        <v>419</v>
      </c>
      <c r="C194" t="n">
        <v>1.272831803339158</v>
      </c>
      <c r="D194" t="n">
        <v>0.4055491701033854</v>
      </c>
      <c r="E194" t="n">
        <v>0.13471057671207</v>
      </c>
      <c r="F194" t="n">
        <v>0.9771010766469344</v>
      </c>
      <c r="G194" t="n">
        <v>0.1003714574506041</v>
      </c>
      <c r="H194" t="n">
        <v>1.086116136197718</v>
      </c>
    </row>
    <row r="195">
      <c r="A195" t="inlineStr">
        <is>
          <t>Aerospace/Defense</t>
        </is>
      </c>
      <c r="B195" t="n">
        <v>319</v>
      </c>
      <c r="C195" t="n">
        <v>1.230944636330449</v>
      </c>
      <c r="D195" t="n">
        <v>0.1300043535764734</v>
      </c>
      <c r="E195" t="n">
        <v>0.1092581112415271</v>
      </c>
      <c r="F195" t="n">
        <v>1.122078095835665</v>
      </c>
      <c r="G195" t="n">
        <v>0.03823331094223267</v>
      </c>
      <c r="H195" t="n">
        <v>1.166684299427081</v>
      </c>
    </row>
    <row r="196">
      <c r="A196" t="inlineStr">
        <is>
          <t>Air Transport</t>
        </is>
      </c>
      <c r="B196" t="n">
        <v>150</v>
      </c>
      <c r="C196" t="n">
        <v>0.990625140921233</v>
      </c>
      <c r="D196" t="n">
        <v>0.7888537626128624</v>
      </c>
      <c r="E196" t="n">
        <v>0.1461896109369087</v>
      </c>
      <c r="F196" t="n">
        <v>0.6235360329766932</v>
      </c>
      <c r="G196" t="n">
        <v>0.08848044255172303</v>
      </c>
      <c r="H196" t="n">
        <v>0.6840621552018372</v>
      </c>
    </row>
    <row r="197">
      <c r="A197" t="inlineStr">
        <is>
          <t>Apparel</t>
        </is>
      </c>
      <c r="B197" t="n">
        <v>1207</v>
      </c>
      <c r="C197" t="n">
        <v>0.7624174150098879</v>
      </c>
      <c r="D197" t="n">
        <v>0.1870465875936281</v>
      </c>
      <c r="E197" t="n">
        <v>0.1524329632900584</v>
      </c>
      <c r="F197" t="n">
        <v>0.6690261374951384</v>
      </c>
      <c r="G197" t="n">
        <v>0.05138555916291056</v>
      </c>
      <c r="H197" t="n">
        <v>0.7052666591336804</v>
      </c>
    </row>
    <row r="198">
      <c r="A198" t="inlineStr">
        <is>
          <t>Auto &amp; Truck</t>
        </is>
      </c>
      <c r="B198" t="n">
        <v>165</v>
      </c>
      <c r="C198" t="n">
        <v>1.405957835982734</v>
      </c>
      <c r="D198" t="n">
        <v>0.4781070991865961</v>
      </c>
      <c r="E198" t="n">
        <v>0.1156742737157233</v>
      </c>
      <c r="F198" t="n">
        <v>1.036222064808206</v>
      </c>
      <c r="G198" t="n">
        <v>0.09530469653670426</v>
      </c>
      <c r="H198" t="n">
        <v>1.145382385474323</v>
      </c>
    </row>
    <row r="199">
      <c r="A199" t="inlineStr">
        <is>
          <t>Auto Parts</t>
        </is>
      </c>
      <c r="B199" t="n">
        <v>797</v>
      </c>
      <c r="C199" t="n">
        <v>1.449821287328946</v>
      </c>
      <c r="D199" t="n">
        <v>0.2779991897643115</v>
      </c>
      <c r="E199" t="n">
        <v>0.172831128509092</v>
      </c>
      <c r="F199" t="n">
        <v>1.20070919557387</v>
      </c>
      <c r="G199" t="n">
        <v>0.112867275917486</v>
      </c>
      <c r="H199" t="n">
        <v>1.35347187966227</v>
      </c>
    </row>
    <row r="200">
      <c r="A200" t="inlineStr">
        <is>
          <t>Bank (Money Center)</t>
        </is>
      </c>
      <c r="B200" t="n">
        <v>604</v>
      </c>
      <c r="C200" t="n">
        <v>0.6974939226520271</v>
      </c>
      <c r="D200" t="n">
        <v>2.117205683954108</v>
      </c>
      <c r="E200" t="n">
        <v>0.2158957088203008</v>
      </c>
      <c r="F200" t="n">
        <v>0.2703390837944257</v>
      </c>
      <c r="G200" t="n">
        <v>0.2547818951398583</v>
      </c>
      <c r="H200" t="n">
        <v>0.3627650509714354</v>
      </c>
    </row>
    <row r="201">
      <c r="A201" t="inlineStr">
        <is>
          <t>Banks (Regional)</t>
        </is>
      </c>
      <c r="B201" t="n">
        <v>825</v>
      </c>
      <c r="C201" t="n">
        <v>0.5134872216822973</v>
      </c>
      <c r="D201" t="n">
        <v>2.022754998452419</v>
      </c>
      <c r="E201" t="n">
        <v>0.1836263180691012</v>
      </c>
      <c r="F201" t="n">
        <v>0.2046106524345937</v>
      </c>
      <c r="G201" t="n">
        <v>0.318789625353476</v>
      </c>
      <c r="H201" t="n">
        <v>0.300363382663931</v>
      </c>
    </row>
    <row r="202">
      <c r="A202" t="inlineStr">
        <is>
          <t>Beverage (Alcoholic)</t>
        </is>
      </c>
      <c r="B202" t="n">
        <v>217</v>
      </c>
      <c r="C202" t="n">
        <v>0.7926708486212135</v>
      </c>
      <c r="D202" t="n">
        <v>0.2029343073804749</v>
      </c>
      <c r="E202" t="n">
        <v>0.1761972881877432</v>
      </c>
      <c r="F202" t="n">
        <v>0.6884110778911088</v>
      </c>
      <c r="G202" t="n">
        <v>0.05052555254308583</v>
      </c>
      <c r="H202" t="n">
        <v>0.7250443439894131</v>
      </c>
    </row>
    <row r="203">
      <c r="A203" t="inlineStr">
        <is>
          <t>Beverage (Soft)</t>
        </is>
      </c>
      <c r="B203" t="n">
        <v>94</v>
      </c>
      <c r="C203" t="n">
        <v>0.5928484661583204</v>
      </c>
      <c r="D203" t="n">
        <v>0.1872019345608891</v>
      </c>
      <c r="E203" t="n">
        <v>0.1330461940018373</v>
      </c>
      <c r="F203" t="n">
        <v>0.5201753853273826</v>
      </c>
      <c r="G203" t="n">
        <v>0.04030693517924273</v>
      </c>
      <c r="H203" t="n">
        <v>0.5420226574467705</v>
      </c>
    </row>
    <row r="204">
      <c r="A204" t="inlineStr">
        <is>
          <t>Broadcasting</t>
        </is>
      </c>
      <c r="B204" t="n">
        <v>127</v>
      </c>
      <c r="C204" t="n">
        <v>0.832172827138835</v>
      </c>
      <c r="D204" t="n">
        <v>0.5677225300728672</v>
      </c>
      <c r="E204" t="n">
        <v>0.1519882221308051</v>
      </c>
      <c r="F204" t="n">
        <v>0.5845177342850763</v>
      </c>
      <c r="G204" t="n">
        <v>0.1086553906426504</v>
      </c>
      <c r="H204" t="n">
        <v>0.6557707626756251</v>
      </c>
    </row>
    <row r="205">
      <c r="A205" t="inlineStr">
        <is>
          <t>Brokerage &amp; Investment Banking</t>
        </is>
      </c>
      <c r="B205" t="n">
        <v>623</v>
      </c>
      <c r="C205" t="n">
        <v>0.9846136258120903</v>
      </c>
      <c r="D205" t="n">
        <v>1.791363344583766</v>
      </c>
      <c r="E205" t="n">
        <v>0.1536801641703711</v>
      </c>
      <c r="F205" t="n">
        <v>0.4213342283760074</v>
      </c>
      <c r="G205" t="n">
        <v>0.1393856014940655</v>
      </c>
      <c r="H205" t="n">
        <v>0.4895737616143335</v>
      </c>
    </row>
    <row r="206">
      <c r="A206" t="inlineStr">
        <is>
          <t>Building Materials</t>
        </is>
      </c>
      <c r="B206" t="n">
        <v>469</v>
      </c>
      <c r="C206" t="n">
        <v>1.004830306752776</v>
      </c>
      <c r="D206" t="n">
        <v>0.2277946549291506</v>
      </c>
      <c r="E206" t="n">
        <v>0.1671675684230229</v>
      </c>
      <c r="F206" t="n">
        <v>0.8588270090696772</v>
      </c>
      <c r="G206" t="n">
        <v>0.04862366564916687</v>
      </c>
      <c r="H206" t="n">
        <v>0.9027205933766406</v>
      </c>
    </row>
    <row r="207">
      <c r="A207" t="inlineStr">
        <is>
          <t>Business &amp; Consumer Services</t>
        </is>
      </c>
      <c r="B207" t="n">
        <v>994</v>
      </c>
      <c r="C207" t="n">
        <v>0.9921459759086856</v>
      </c>
      <c r="D207" t="n">
        <v>0.2060692530791814</v>
      </c>
      <c r="E207" t="n">
        <v>0.158173661255646</v>
      </c>
      <c r="F207" t="n">
        <v>0.8599020792218192</v>
      </c>
      <c r="G207" t="n">
        <v>0.05331573512611337</v>
      </c>
      <c r="H207" t="n">
        <v>0.9083303812347316</v>
      </c>
    </row>
    <row r="208">
      <c r="A208" t="inlineStr">
        <is>
          <t>Cable TV</t>
        </is>
      </c>
      <c r="B208" t="n">
        <v>42</v>
      </c>
      <c r="C208" t="n">
        <v>1.096995264367076</v>
      </c>
      <c r="D208" t="n">
        <v>1.24165921182802</v>
      </c>
      <c r="E208" t="n">
        <v>0.100169244792237</v>
      </c>
      <c r="F208" t="n">
        <v>0.5693795503883593</v>
      </c>
      <c r="G208" t="n">
        <v>0.03630502124655822</v>
      </c>
      <c r="H208" t="n">
        <v>0.5908296327587623</v>
      </c>
    </row>
    <row r="209">
      <c r="A209" t="inlineStr">
        <is>
          <t>Chemical (Basic)</t>
        </is>
      </c>
      <c r="B209" t="n">
        <v>909</v>
      </c>
      <c r="C209" t="n">
        <v>1.256025755860968</v>
      </c>
      <c r="D209" t="n">
        <v>0.5047972115839878</v>
      </c>
      <c r="E209" t="n">
        <v>0.1471814097886014</v>
      </c>
      <c r="F209" t="n">
        <v>0.9123253003832014</v>
      </c>
      <c r="G209" t="n">
        <v>0.08962950298463233</v>
      </c>
      <c r="H209" t="n">
        <v>1.002147261333976</v>
      </c>
    </row>
    <row r="210">
      <c r="A210" t="inlineStr">
        <is>
          <t>Chemical (Diversified)</t>
        </is>
      </c>
      <c r="B210" t="n">
        <v>63</v>
      </c>
      <c r="C210" t="n">
        <v>1.169202539534707</v>
      </c>
      <c r="D210" t="n">
        <v>0.5251915023392947</v>
      </c>
      <c r="E210" t="n">
        <v>0.2112929557491781</v>
      </c>
      <c r="F210" t="n">
        <v>0.8399742722518635</v>
      </c>
      <c r="G210" t="n">
        <v>0.07700929186787749</v>
      </c>
      <c r="H210" t="n">
        <v>0.9100571271749189</v>
      </c>
    </row>
    <row r="211">
      <c r="A211" t="inlineStr">
        <is>
          <t>Chemical (Specialty)</t>
        </is>
      </c>
      <c r="B211" t="n">
        <v>952</v>
      </c>
      <c r="C211" t="n">
        <v>1.153626570549779</v>
      </c>
      <c r="D211" t="n">
        <v>0.2351513687756194</v>
      </c>
      <c r="E211" t="n">
        <v>0.1572604229256801</v>
      </c>
      <c r="F211" t="n">
        <v>0.9813976882132293</v>
      </c>
      <c r="G211" t="n">
        <v>0.05888836115464469</v>
      </c>
      <c r="H211" t="n">
        <v>1.042806876150528</v>
      </c>
    </row>
    <row r="212">
      <c r="A212" t="inlineStr">
        <is>
          <t>Coal &amp; Related Energy</t>
        </is>
      </c>
      <c r="B212" t="n">
        <v>212</v>
      </c>
      <c r="C212" t="n">
        <v>1.142939745797756</v>
      </c>
      <c r="D212" t="n">
        <v>0.1990312795335694</v>
      </c>
      <c r="E212" t="n">
        <v>0.1066062390222547</v>
      </c>
      <c r="F212" t="n">
        <v>0.9951265845992541</v>
      </c>
      <c r="G212" t="n">
        <v>0.1216925845887359</v>
      </c>
      <c r="H212" t="n">
        <v>1.133004876354471</v>
      </c>
    </row>
    <row r="213">
      <c r="A213" t="inlineStr">
        <is>
          <t>Computer Services</t>
        </is>
      </c>
      <c r="B213" t="n">
        <v>1225</v>
      </c>
      <c r="C213" t="n">
        <v>1.116690482307339</v>
      </c>
      <c r="D213" t="n">
        <v>0.1501341301665899</v>
      </c>
      <c r="E213" t="n">
        <v>0.1658085826817919</v>
      </c>
      <c r="F213" t="n">
        <v>1.004177331439527</v>
      </c>
      <c r="G213" t="n">
        <v>0.0628976107389634</v>
      </c>
      <c r="H213" t="n">
        <v>1.071576962077093</v>
      </c>
    </row>
    <row r="214">
      <c r="A214" t="inlineStr">
        <is>
          <t>Computers/Peripherals</t>
        </is>
      </c>
      <c r="B214" t="n">
        <v>343</v>
      </c>
      <c r="C214" t="n">
        <v>1.486104698951083</v>
      </c>
      <c r="D214" t="n">
        <v>0.06190260779843423</v>
      </c>
      <c r="E214" t="n">
        <v>0.1293411098040572</v>
      </c>
      <c r="F214" t="n">
        <v>1.420481417463488</v>
      </c>
      <c r="G214" t="n">
        <v>0.03250026905642021</v>
      </c>
      <c r="H214" t="n">
        <v>1.468198255805328</v>
      </c>
    </row>
    <row r="215">
      <c r="A215" t="inlineStr">
        <is>
          <t>Construction Supplies</t>
        </is>
      </c>
      <c r="B215" t="n">
        <v>804</v>
      </c>
      <c r="C215" t="n">
        <v>1.034395575517056</v>
      </c>
      <c r="D215" t="n">
        <v>0.3027187253876971</v>
      </c>
      <c r="E215" t="n">
        <v>0.1672304363808076</v>
      </c>
      <c r="F215" t="n">
        <v>0.8437715610727968</v>
      </c>
      <c r="G215" t="n">
        <v>0.07953157026778944</v>
      </c>
      <c r="H215" t="n">
        <v>0.916676263756567</v>
      </c>
    </row>
    <row r="216">
      <c r="A216" t="inlineStr">
        <is>
          <t>Diversified</t>
        </is>
      </c>
      <c r="B216" t="n">
        <v>329</v>
      </c>
      <c r="C216" t="n">
        <v>0.7973881744550738</v>
      </c>
      <c r="D216" t="n">
        <v>0.4850302644904126</v>
      </c>
      <c r="E216" t="n">
        <v>0.151815592881826</v>
      </c>
      <c r="F216" t="n">
        <v>0.5854632922685766</v>
      </c>
      <c r="G216" t="n">
        <v>0.1028405432287318</v>
      </c>
      <c r="H216" t="n">
        <v>0.6525743978395595</v>
      </c>
    </row>
    <row r="217">
      <c r="A217" t="inlineStr">
        <is>
          <t>Drugs (Biotechnology)</t>
        </is>
      </c>
      <c r="B217" t="n">
        <v>1193</v>
      </c>
      <c r="C217" t="n">
        <v>1.23079009870406</v>
      </c>
      <c r="D217" t="n">
        <v>0.1234988485906331</v>
      </c>
      <c r="E217" t="n">
        <v>0.02081166417619476</v>
      </c>
      <c r="F217" t="n">
        <v>1.126924622146559</v>
      </c>
      <c r="G217" t="n">
        <v>0.04563362376582616</v>
      </c>
      <c r="H217" t="n">
        <v>1.180809226110082</v>
      </c>
    </row>
    <row r="218">
      <c r="A218" t="inlineStr">
        <is>
          <t>Drugs (Pharmaceutical)</t>
        </is>
      </c>
      <c r="B218" t="n">
        <v>1260</v>
      </c>
      <c r="C218" t="n">
        <v>1.062590304522225</v>
      </c>
      <c r="D218" t="n">
        <v>0.1493973751589695</v>
      </c>
      <c r="E218" t="n">
        <v>0.1035076012030151</v>
      </c>
      <c r="F218" t="n">
        <v>0.956000751176083</v>
      </c>
      <c r="G218" t="n">
        <v>0.04280687674612704</v>
      </c>
      <c r="H218" t="n">
        <v>0.9987543035477139</v>
      </c>
    </row>
    <row r="219">
      <c r="A219" t="inlineStr">
        <is>
          <t>Education</t>
        </is>
      </c>
      <c r="B219" t="n">
        <v>281</v>
      </c>
      <c r="C219" t="n">
        <v>0.8117409279101255</v>
      </c>
      <c r="D219" t="n">
        <v>0.2860777113490164</v>
      </c>
      <c r="E219" t="n">
        <v>0.1454958526582427</v>
      </c>
      <c r="F219" t="n">
        <v>0.6689254753889199</v>
      </c>
      <c r="G219" t="n">
        <v>0.1016036348350432</v>
      </c>
      <c r="H219" t="n">
        <v>0.7445772281882472</v>
      </c>
    </row>
    <row r="220">
      <c r="A220" t="inlineStr">
        <is>
          <t>Electrical Equipment</t>
        </is>
      </c>
      <c r="B220" t="n">
        <v>1158</v>
      </c>
      <c r="C220" t="n">
        <v>1.37347459397753</v>
      </c>
      <c r="D220" t="n">
        <v>0.1373802587553477</v>
      </c>
      <c r="E220" t="n">
        <v>0.1219777674380809</v>
      </c>
      <c r="F220" t="n">
        <v>1.245751564008433</v>
      </c>
      <c r="G220" t="n">
        <v>0.07077917376682916</v>
      </c>
      <c r="H220" t="n">
        <v>1.340641028310137</v>
      </c>
    </row>
    <row r="221">
      <c r="A221" t="inlineStr">
        <is>
          <t>Electronics (Consumer &amp; Office)</t>
        </is>
      </c>
      <c r="B221" t="n">
        <v>122</v>
      </c>
      <c r="C221" t="n">
        <v>1.197057726576267</v>
      </c>
      <c r="D221" t="n">
        <v>0.1633423180243271</v>
      </c>
      <c r="E221" t="n">
        <v>0.1327745891106304</v>
      </c>
      <c r="F221" t="n">
        <v>1.066989210928085</v>
      </c>
      <c r="G221" t="n">
        <v>0.1053156061617144</v>
      </c>
      <c r="H221" t="n">
        <v>1.192587261247057</v>
      </c>
    </row>
    <row r="222">
      <c r="A222" t="inlineStr">
        <is>
          <t>Electronics (General)</t>
        </is>
      </c>
      <c r="B222" t="n">
        <v>1481</v>
      </c>
      <c r="C222" t="n">
        <v>1.598188009962662</v>
      </c>
      <c r="D222" t="n">
        <v>0.1416847160789399</v>
      </c>
      <c r="E222" t="n">
        <v>0.118861693644047</v>
      </c>
      <c r="F222" t="n">
        <v>1.445356970440807</v>
      </c>
      <c r="G222" t="n">
        <v>0.07851288075679309</v>
      </c>
      <c r="H222" t="n">
        <v>1.568504800835242</v>
      </c>
    </row>
    <row r="223">
      <c r="A223" t="inlineStr">
        <is>
          <t>Engineering/Construction</t>
        </is>
      </c>
      <c r="B223" t="n">
        <v>1390</v>
      </c>
      <c r="C223" t="n">
        <v>1.001049199678247</v>
      </c>
      <c r="D223" t="n">
        <v>0.7655187434771671</v>
      </c>
      <c r="E223" t="n">
        <v>0.1765790480575051</v>
      </c>
      <c r="F223" t="n">
        <v>0.6370807424250895</v>
      </c>
      <c r="G223" t="n">
        <v>0.1609822889823409</v>
      </c>
      <c r="H223" t="n">
        <v>0.7593173946857013</v>
      </c>
    </row>
    <row r="224">
      <c r="A224" t="inlineStr">
        <is>
          <t>Entertainment</t>
        </is>
      </c>
      <c r="B224" t="n">
        <v>733</v>
      </c>
      <c r="C224" t="n">
        <v>1.01273062606517</v>
      </c>
      <c r="D224" t="n">
        <v>0.1273317053637792</v>
      </c>
      <c r="E224" t="n">
        <v>0.0802914183132733</v>
      </c>
      <c r="F224" t="n">
        <v>0.9248447968240087</v>
      </c>
      <c r="G224" t="n">
        <v>0.0582770037353487</v>
      </c>
      <c r="H224" t="n">
        <v>0.9820773204991382</v>
      </c>
    </row>
    <row r="225">
      <c r="A225" t="inlineStr">
        <is>
          <t>Environmental &amp; Waste Services</t>
        </is>
      </c>
      <c r="B225" t="n">
        <v>397</v>
      </c>
      <c r="C225" t="n">
        <v>1.101814896754947</v>
      </c>
      <c r="D225" t="n">
        <v>0.356988550754999</v>
      </c>
      <c r="E225" t="n">
        <v>0.128003871059393</v>
      </c>
      <c r="F225" t="n">
        <v>0.8700229098715009</v>
      </c>
      <c r="G225" t="n">
        <v>0.04182209384301552</v>
      </c>
      <c r="H225" t="n">
        <v>0.9079972563351502</v>
      </c>
    </row>
    <row r="226">
      <c r="A226" t="inlineStr">
        <is>
          <t>Farming/Agriculture</t>
        </is>
      </c>
      <c r="B226" t="n">
        <v>428</v>
      </c>
      <c r="C226" t="n">
        <v>0.6698983445718822</v>
      </c>
      <c r="D226" t="n">
        <v>0.5904066711724765</v>
      </c>
      <c r="E226" t="n">
        <v>0.1562795744907282</v>
      </c>
      <c r="F226" t="n">
        <v>0.4650068114248285</v>
      </c>
      <c r="G226" t="n">
        <v>0.05615239456794762</v>
      </c>
      <c r="H226" t="n">
        <v>0.4926714956404097</v>
      </c>
    </row>
    <row r="227">
      <c r="A227" t="inlineStr">
        <is>
          <t>Financial Svcs. (Non-bank &amp; Insurance)</t>
        </is>
      </c>
      <c r="B227" t="n">
        <v>1138</v>
      </c>
      <c r="C227" t="n">
        <v>0.8234879512698963</v>
      </c>
      <c r="D227" t="n">
        <v>2.648144776092079</v>
      </c>
      <c r="E227" t="n">
        <v>0.1590552459398816</v>
      </c>
      <c r="F227" t="n">
        <v>0.2766807986265793</v>
      </c>
      <c r="G227" t="n">
        <v>0.06246393074550221</v>
      </c>
      <c r="H227" t="n">
        <v>0.2951148309916098</v>
      </c>
    </row>
    <row r="228">
      <c r="A228" t="inlineStr">
        <is>
          <t>Food Processing</t>
        </is>
      </c>
      <c r="B228" t="n">
        <v>1450</v>
      </c>
      <c r="C228" t="n">
        <v>0.6737244514596056</v>
      </c>
      <c r="D228" t="n">
        <v>0.3710259541480742</v>
      </c>
      <c r="E228" t="n">
        <v>0.1635157035911877</v>
      </c>
      <c r="F228" t="n">
        <v>0.527626445827316</v>
      </c>
      <c r="G228" t="n">
        <v>0.05818890669386814</v>
      </c>
      <c r="H228" t="n">
        <v>0.5602253462264254</v>
      </c>
    </row>
    <row r="229">
      <c r="A229" t="inlineStr">
        <is>
          <t>Food Wholesalers</t>
        </is>
      </c>
      <c r="B229" t="n">
        <v>183</v>
      </c>
      <c r="C229" t="n">
        <v>0.6848175876595803</v>
      </c>
      <c r="D229" t="n">
        <v>0.5824351024210169</v>
      </c>
      <c r="E229" t="n">
        <v>0.1743834801387952</v>
      </c>
      <c r="F229" t="n">
        <v>0.4773341319193221</v>
      </c>
      <c r="G229" t="n">
        <v>0.04318353389130633</v>
      </c>
      <c r="H229" t="n">
        <v>0.498877421978958</v>
      </c>
    </row>
    <row r="230">
      <c r="A230" t="inlineStr">
        <is>
          <t>Furn/Home Furnishings</t>
        </is>
      </c>
      <c r="B230" t="n">
        <v>383</v>
      </c>
      <c r="C230" t="n">
        <v>0.9675096670659729</v>
      </c>
      <c r="D230" t="n">
        <v>0.2572754619927642</v>
      </c>
      <c r="E230" t="n">
        <v>0.1539139645844338</v>
      </c>
      <c r="F230" t="n">
        <v>0.8116659988864169</v>
      </c>
      <c r="G230" t="n">
        <v>0.1350389291343517</v>
      </c>
      <c r="H230" t="n">
        <v>0.9383844270287286</v>
      </c>
    </row>
    <row r="231">
      <c r="A231" t="inlineStr">
        <is>
          <t>Green &amp; Renewable Energy</t>
        </is>
      </c>
      <c r="B231" t="n">
        <v>258</v>
      </c>
      <c r="C231" t="n">
        <v>0.8366528343155816</v>
      </c>
      <c r="D231" t="n">
        <v>0.7142960228465005</v>
      </c>
      <c r="E231" t="n">
        <v>0.1100334750756013</v>
      </c>
      <c r="F231" t="n">
        <v>0.5457336300462998</v>
      </c>
      <c r="G231" t="n">
        <v>0.03716756430709534</v>
      </c>
      <c r="H231" t="n">
        <v>0.5668002134281666</v>
      </c>
    </row>
    <row r="232">
      <c r="A232" t="inlineStr">
        <is>
          <t>Healthcare Products</t>
        </is>
      </c>
      <c r="B232" t="n">
        <v>842</v>
      </c>
      <c r="C232" t="n">
        <v>1.181953930030054</v>
      </c>
      <c r="D232" t="n">
        <v>0.1386142368674534</v>
      </c>
      <c r="E232" t="n">
        <v>0.08451238620550149</v>
      </c>
      <c r="F232" t="n">
        <v>1.07114620619297</v>
      </c>
      <c r="G232" t="n">
        <v>0.04063025010259086</v>
      </c>
      <c r="H232" t="n">
        <v>1.116510298878523</v>
      </c>
    </row>
    <row r="233">
      <c r="A233" t="inlineStr">
        <is>
          <t>Healthcare Support Services</t>
        </is>
      </c>
      <c r="B233" t="n">
        <v>478</v>
      </c>
      <c r="C233" t="n">
        <v>0.916558867242304</v>
      </c>
      <c r="D233" t="n">
        <v>0.3812624076537349</v>
      </c>
      <c r="E233" t="n">
        <v>0.1462247057835288</v>
      </c>
      <c r="F233" t="n">
        <v>0.7135329574533067</v>
      </c>
      <c r="G233" t="n">
        <v>0.08365351691898103</v>
      </c>
      <c r="H233" t="n">
        <v>0.7786715730650319</v>
      </c>
    </row>
    <row r="234">
      <c r="A234" t="inlineStr">
        <is>
          <t>Heathcare Information and Technology</t>
        </is>
      </c>
      <c r="B234" t="n">
        <v>430</v>
      </c>
      <c r="C234" t="n">
        <v>1.289920212997853</v>
      </c>
      <c r="D234" t="n">
        <v>0.1395843915670682</v>
      </c>
      <c r="E234" t="n">
        <v>0.07858084006691447</v>
      </c>
      <c r="F234" t="n">
        <v>1.168224162476032</v>
      </c>
      <c r="G234" t="n">
        <v>0.03232577801813594</v>
      </c>
      <c r="H234" t="n">
        <v>1.207249439882182</v>
      </c>
    </row>
    <row r="235">
      <c r="A235" t="inlineStr">
        <is>
          <t>Homebuilding</t>
        </is>
      </c>
      <c r="B235" t="n">
        <v>160</v>
      </c>
      <c r="C235" t="n">
        <v>0.9602309512811922</v>
      </c>
      <c r="D235" t="n">
        <v>0.3990085226621078</v>
      </c>
      <c r="E235" t="n">
        <v>0.1972754713566421</v>
      </c>
      <c r="F235" t="n">
        <v>0.7399026850041263</v>
      </c>
      <c r="G235" t="n">
        <v>0.1003124483378525</v>
      </c>
      <c r="H235" t="n">
        <v>0.8223996026589195</v>
      </c>
    </row>
    <row r="236">
      <c r="A236" t="inlineStr">
        <is>
          <t>Hospitals/Healthcare Facilities</t>
        </is>
      </c>
      <c r="B236" t="n">
        <v>249</v>
      </c>
      <c r="C236" t="n">
        <v>0.7601799253122585</v>
      </c>
      <c r="D236" t="n">
        <v>0.4658336467806488</v>
      </c>
      <c r="E236" t="n">
        <v>0.1846022536868153</v>
      </c>
      <c r="F236" t="n">
        <v>0.5640774639188845</v>
      </c>
      <c r="G236" t="n">
        <v>0.03386823927678347</v>
      </c>
      <c r="H236" t="n">
        <v>0.5838514857400334</v>
      </c>
    </row>
    <row r="237">
      <c r="A237" t="inlineStr">
        <is>
          <t>Hotel/Gaming</t>
        </is>
      </c>
      <c r="B237" t="n">
        <v>656</v>
      </c>
      <c r="C237" t="n">
        <v>0.7984302381267229</v>
      </c>
      <c r="D237" t="n">
        <v>0.4024019145325064</v>
      </c>
      <c r="E237" t="n">
        <v>0.1506476666348678</v>
      </c>
      <c r="F237" t="n">
        <v>0.6140294799538569</v>
      </c>
      <c r="G237" t="n">
        <v>0.06429959879629275</v>
      </c>
      <c r="H237" t="n">
        <v>0.6562244487273435</v>
      </c>
    </row>
    <row r="238">
      <c r="A238" t="inlineStr">
        <is>
          <t>Household Products</t>
        </is>
      </c>
      <c r="B238" t="n">
        <v>588</v>
      </c>
      <c r="C238" t="n">
        <v>0.8301058978401478</v>
      </c>
      <c r="D238" t="n">
        <v>0.1567416901207325</v>
      </c>
      <c r="E238" t="n">
        <v>0.1311479960442065</v>
      </c>
      <c r="F238" t="n">
        <v>0.743172330958731</v>
      </c>
      <c r="G238" t="n">
        <v>0.04000815879683719</v>
      </c>
      <c r="H238" t="n">
        <v>0.7741444240060512</v>
      </c>
    </row>
    <row r="239">
      <c r="A239" t="inlineStr">
        <is>
          <t>Information Services</t>
        </is>
      </c>
      <c r="B239" t="n">
        <v>86</v>
      </c>
      <c r="C239" t="n">
        <v>1.023720593319527</v>
      </c>
      <c r="D239" t="n">
        <v>0.3198027502093926</v>
      </c>
      <c r="E239" t="n">
        <v>0.1981794702603416</v>
      </c>
      <c r="F239" t="n">
        <v>0.8264683824550356</v>
      </c>
      <c r="G239" t="n">
        <v>0.05409822499908355</v>
      </c>
      <c r="H239" t="n">
        <v>0.8737359462659163</v>
      </c>
    </row>
    <row r="240">
      <c r="A240" t="inlineStr">
        <is>
          <t>Insurance (General)</t>
        </is>
      </c>
      <c r="B240" t="n">
        <v>204</v>
      </c>
      <c r="C240" t="n">
        <v>0.5102355818446773</v>
      </c>
      <c r="D240" t="n">
        <v>0.3006146781521701</v>
      </c>
      <c r="E240" t="n">
        <v>0.1538150969937597</v>
      </c>
      <c r="F240" t="n">
        <v>0.4167404004663154</v>
      </c>
      <c r="G240" t="n">
        <v>0.119087746591681</v>
      </c>
      <c r="H240" t="n">
        <v>0.4730782196000951</v>
      </c>
    </row>
    <row r="241">
      <c r="A241" t="inlineStr">
        <is>
          <t>Insurance (Life)</t>
        </is>
      </c>
      <c r="B241" t="n">
        <v>143</v>
      </c>
      <c r="C241" t="n">
        <v>0.8037813390844742</v>
      </c>
      <c r="D241" t="n">
        <v>0.7513489195239539</v>
      </c>
      <c r="E241" t="n">
        <v>0.1724952752453146</v>
      </c>
      <c r="F241" t="n">
        <v>0.5150028924154638</v>
      </c>
      <c r="G241" t="n">
        <v>0.3520740929098605</v>
      </c>
      <c r="H241" t="n">
        <v>0.7948484337173086</v>
      </c>
    </row>
    <row r="242">
      <c r="A242" t="inlineStr">
        <is>
          <t>Insurance (Prop/Cas.)</t>
        </is>
      </c>
      <c r="B242" t="n">
        <v>248</v>
      </c>
      <c r="C242" t="n">
        <v>0.4318265479631265</v>
      </c>
      <c r="D242" t="n">
        <v>0.1633675814005323</v>
      </c>
      <c r="E242" t="n">
        <v>0.1937687179701888</v>
      </c>
      <c r="F242" t="n">
        <v>0.3848991693499056</v>
      </c>
      <c r="G242" t="n">
        <v>0.06662017505035266</v>
      </c>
      <c r="H242" t="n">
        <v>0.4123714259312061</v>
      </c>
    </row>
    <row r="243">
      <c r="A243" t="inlineStr">
        <is>
          <t>Investments &amp; Asset Management</t>
        </is>
      </c>
      <c r="B243" t="n">
        <v>1315</v>
      </c>
      <c r="C243" t="n">
        <v>0.7483402046417704</v>
      </c>
      <c r="D243" t="n">
        <v>0.6033886561927545</v>
      </c>
      <c r="E243" t="n">
        <v>0.07283248080092801</v>
      </c>
      <c r="F243" t="n">
        <v>0.5159867506282935</v>
      </c>
      <c r="G243" t="n">
        <v>0.08790022276459948</v>
      </c>
      <c r="H243" t="n">
        <v>0.5657130541049615</v>
      </c>
    </row>
    <row r="244">
      <c r="A244" t="inlineStr">
        <is>
          <t>Machinery</t>
        </is>
      </c>
      <c r="B244" t="n">
        <v>1553</v>
      </c>
      <c r="C244" t="n">
        <v>1.369473758004885</v>
      </c>
      <c r="D244" t="n">
        <v>0.1355569335409548</v>
      </c>
      <c r="E244" t="n">
        <v>0.1599210560192924</v>
      </c>
      <c r="F244" t="n">
        <v>1.243657708749295</v>
      </c>
      <c r="G244" t="n">
        <v>0.06465298085328587</v>
      </c>
      <c r="H244" t="n">
        <v>1.329621716102589</v>
      </c>
    </row>
    <row r="245">
      <c r="A245" t="inlineStr">
        <is>
          <t>Metals &amp; Mining</t>
        </is>
      </c>
      <c r="B245" t="n">
        <v>1874</v>
      </c>
      <c r="C245" t="n">
        <v>1.236271241649942</v>
      </c>
      <c r="D245" t="n">
        <v>0.2304232157144556</v>
      </c>
      <c r="E245" t="n">
        <v>0.04372311543056163</v>
      </c>
      <c r="F245" t="n">
        <v>1.054870584205566</v>
      </c>
      <c r="G245" t="n">
        <v>0.06284574145488793</v>
      </c>
      <c r="H245" t="n">
        <v>1.125610404676817</v>
      </c>
    </row>
    <row r="246">
      <c r="A246" t="inlineStr">
        <is>
          <t>Office Equipment &amp; Services</t>
        </is>
      </c>
      <c r="B246" t="n">
        <v>139</v>
      </c>
      <c r="C246" t="n">
        <v>0.758696340294383</v>
      </c>
      <c r="D246" t="n">
        <v>0.285689718412683</v>
      </c>
      <c r="E246" t="n">
        <v>0.1619254575758645</v>
      </c>
      <c r="F246" t="n">
        <v>0.6253626265661992</v>
      </c>
      <c r="G246" t="n">
        <v>0.1208190616858758</v>
      </c>
      <c r="H246" t="n">
        <v>0.7113013935053746</v>
      </c>
    </row>
    <row r="247">
      <c r="A247" t="inlineStr">
        <is>
          <t>Oil/Gas (Integrated)</t>
        </is>
      </c>
      <c r="B247" t="n">
        <v>34</v>
      </c>
      <c r="C247" t="n">
        <v>0.6887330580062661</v>
      </c>
      <c r="D247" t="n">
        <v>0.2160177663824132</v>
      </c>
      <c r="E247" t="n">
        <v>0.2826819447184662</v>
      </c>
      <c r="F247" t="n">
        <v>0.593114639491203</v>
      </c>
      <c r="G247" t="n">
        <v>0.06222133464727558</v>
      </c>
      <c r="H247" t="n">
        <v>0.6324676188577144</v>
      </c>
    </row>
    <row r="248">
      <c r="A248" t="inlineStr">
        <is>
          <t>Oil/Gas (Production and Exploration)</t>
        </is>
      </c>
      <c r="B248" t="n">
        <v>539</v>
      </c>
      <c r="C248" t="n">
        <v>0.8855554675584711</v>
      </c>
      <c r="D248" t="n">
        <v>0.3581608929824404</v>
      </c>
      <c r="E248" t="n">
        <v>0.08958282196877995</v>
      </c>
      <c r="F248" t="n">
        <v>0.6987758462207245</v>
      </c>
      <c r="G248" t="n">
        <v>0.0637868977150341</v>
      </c>
      <c r="H248" t="n">
        <v>0.7463854591601625</v>
      </c>
    </row>
    <row r="249">
      <c r="A249" t="inlineStr">
        <is>
          <t>Oil/Gas Distribution</t>
        </is>
      </c>
      <c r="B249" t="n">
        <v>186</v>
      </c>
      <c r="C249" t="n">
        <v>0.6534778887963208</v>
      </c>
      <c r="D249" t="n">
        <v>0.6154001929641649</v>
      </c>
      <c r="E249" t="n">
        <v>0.1214413920533999</v>
      </c>
      <c r="F249" t="n">
        <v>0.4478105298674708</v>
      </c>
      <c r="G249" t="n">
        <v>0.0289354869188094</v>
      </c>
      <c r="H249" t="n">
        <v>0.4611542527144429</v>
      </c>
    </row>
    <row r="250">
      <c r="A250" t="inlineStr">
        <is>
          <t>Oilfield Svcs/Equip.</t>
        </is>
      </c>
      <c r="B250" t="n">
        <v>431</v>
      </c>
      <c r="C250" t="n">
        <v>0.9482360006929875</v>
      </c>
      <c r="D250" t="n">
        <v>0.3966307373470815</v>
      </c>
      <c r="E250" t="n">
        <v>0.1372803033016991</v>
      </c>
      <c r="F250" t="n">
        <v>0.7316604648552939</v>
      </c>
      <c r="G250" t="n">
        <v>0.08502511180768001</v>
      </c>
      <c r="H250" t="n">
        <v>0.7996508694362168</v>
      </c>
    </row>
    <row r="251">
      <c r="A251" t="inlineStr">
        <is>
          <t>Packaging &amp; Container</t>
        </is>
      </c>
      <c r="B251" t="n">
        <v>438</v>
      </c>
      <c r="C251" t="n">
        <v>0.7591351325704163</v>
      </c>
      <c r="D251" t="n">
        <v>0.5264689021137591</v>
      </c>
      <c r="E251" t="n">
        <v>0.1666520970549143</v>
      </c>
      <c r="F251" t="n">
        <v>0.5450018618461938</v>
      </c>
      <c r="G251" t="n">
        <v>0.05308044894663993</v>
      </c>
      <c r="H251" t="n">
        <v>0.5755524439641465</v>
      </c>
    </row>
    <row r="252">
      <c r="A252" t="inlineStr">
        <is>
          <t>Paper/Forest Products</t>
        </is>
      </c>
      <c r="B252" t="n">
        <v>271</v>
      </c>
      <c r="C252" t="n">
        <v>0.8886903362780022</v>
      </c>
      <c r="D252" t="n">
        <v>0.7808078248889015</v>
      </c>
      <c r="E252" t="n">
        <v>0.1250668142375533</v>
      </c>
      <c r="F252" t="n">
        <v>0.561496719765989</v>
      </c>
      <c r="G252" t="n">
        <v>0.0804994160077349</v>
      </c>
      <c r="H252" t="n">
        <v>0.6106540110372702</v>
      </c>
    </row>
    <row r="253">
      <c r="A253" t="inlineStr">
        <is>
          <t>Power</t>
        </is>
      </c>
      <c r="B253" t="n">
        <v>486</v>
      </c>
      <c r="C253" t="n">
        <v>0.713095834385215</v>
      </c>
      <c r="D253" t="n">
        <v>0.858657624884019</v>
      </c>
      <c r="E253" t="n">
        <v>0.1786063384060824</v>
      </c>
      <c r="F253" t="n">
        <v>0.4345982448906888</v>
      </c>
      <c r="G253" t="n">
        <v>0.04545334789229938</v>
      </c>
      <c r="H253" t="n">
        <v>0.45529282820391</v>
      </c>
    </row>
    <row r="254">
      <c r="A254" t="inlineStr">
        <is>
          <t>Precious Metals</t>
        </is>
      </c>
      <c r="B254" t="n">
        <v>777</v>
      </c>
      <c r="C254" t="n">
        <v>1.397502721670588</v>
      </c>
      <c r="D254" t="n">
        <v>0.09055723216993652</v>
      </c>
      <c r="E254" t="n">
        <v>0.05111634044564177</v>
      </c>
      <c r="F254" t="n">
        <v>1.309034428081994</v>
      </c>
      <c r="G254" t="n">
        <v>0.04723921603551472</v>
      </c>
      <c r="H254" t="n">
        <v>1.373938191111347</v>
      </c>
    </row>
    <row r="255">
      <c r="A255" t="inlineStr">
        <is>
          <t>Publishing &amp; Newspapers</t>
        </is>
      </c>
      <c r="B255" t="n">
        <v>307</v>
      </c>
      <c r="C255" t="n">
        <v>0.8166280629364139</v>
      </c>
      <c r="D255" t="n">
        <v>0.2798890840324695</v>
      </c>
      <c r="E255" t="n">
        <v>0.150337447698557</v>
      </c>
      <c r="F255" t="n">
        <v>0.6755238208023111</v>
      </c>
      <c r="G255" t="n">
        <v>0.1325970797315459</v>
      </c>
      <c r="H255" t="n">
        <v>0.7787889630268272</v>
      </c>
    </row>
    <row r="256">
      <c r="A256" t="inlineStr">
        <is>
          <t>R.E.I.T.</t>
        </is>
      </c>
      <c r="B256" t="n">
        <v>643</v>
      </c>
      <c r="C256" t="n">
        <v>0.5649158041768807</v>
      </c>
      <c r="D256" t="n">
        <v>0.8007445430582508</v>
      </c>
      <c r="E256" t="n">
        <v>0.03972064845574495</v>
      </c>
      <c r="F256" t="n">
        <v>0.353603744037734</v>
      </c>
      <c r="G256" t="n">
        <v>0.02241303414208161</v>
      </c>
      <c r="H256" t="n">
        <v>0.3617107801017127</v>
      </c>
    </row>
    <row r="257">
      <c r="A257" t="inlineStr">
        <is>
          <t>Real Estate (Development)</t>
        </is>
      </c>
      <c r="B257" t="n">
        <v>895</v>
      </c>
      <c r="C257" t="n">
        <v>0.9255963509212772</v>
      </c>
      <c r="D257" t="n">
        <v>1.911843342843763</v>
      </c>
      <c r="E257" t="n">
        <v>0.1452046070237328</v>
      </c>
      <c r="F257" t="n">
        <v>0.3814047460640123</v>
      </c>
      <c r="G257" t="n">
        <v>0.1447231193594272</v>
      </c>
      <c r="H257" t="n">
        <v>0.4459430094478332</v>
      </c>
    </row>
    <row r="258">
      <c r="A258" t="inlineStr">
        <is>
          <t>Real Estate (General/Diversified)</t>
        </is>
      </c>
      <c r="B258" t="n">
        <v>312</v>
      </c>
      <c r="C258" t="n">
        <v>0.9278510967823941</v>
      </c>
      <c r="D258" t="n">
        <v>0.8855910470521566</v>
      </c>
      <c r="E258" t="n">
        <v>0.1428570535355463</v>
      </c>
      <c r="F258" t="n">
        <v>0.5586379819840572</v>
      </c>
      <c r="G258" t="n">
        <v>0.0652624893639039</v>
      </c>
      <c r="H258" t="n">
        <v>0.5976415577929464</v>
      </c>
    </row>
    <row r="259">
      <c r="A259" t="inlineStr">
        <is>
          <t>Real Estate (Operations &amp; Services)</t>
        </is>
      </c>
      <c r="B259" t="n">
        <v>752</v>
      </c>
      <c r="C259" t="n">
        <v>0.7817615978661525</v>
      </c>
      <c r="D259" t="n">
        <v>0.8250235343665596</v>
      </c>
      <c r="E259" t="n">
        <v>0.142715382357555</v>
      </c>
      <c r="F259" t="n">
        <v>0.4838486781679157</v>
      </c>
      <c r="G259" t="n">
        <v>0.05888789747767325</v>
      </c>
      <c r="H259" t="n">
        <v>0.5141243820700275</v>
      </c>
    </row>
    <row r="260">
      <c r="A260" t="inlineStr">
        <is>
          <t>Recreation</t>
        </is>
      </c>
      <c r="B260" t="n">
        <v>332</v>
      </c>
      <c r="C260" t="n">
        <v>1.006379861589296</v>
      </c>
      <c r="D260" t="n">
        <v>0.3336766048658676</v>
      </c>
      <c r="E260" t="n">
        <v>0.147663142389578</v>
      </c>
      <c r="F260" t="n">
        <v>0.8057337473201284</v>
      </c>
      <c r="G260" t="n">
        <v>0.09465124078352319</v>
      </c>
      <c r="H260" t="n">
        <v>0.8899705656165486</v>
      </c>
    </row>
    <row r="261">
      <c r="A261" t="inlineStr">
        <is>
          <t>Reinsurance</t>
        </is>
      </c>
      <c r="B261" t="n">
        <v>32</v>
      </c>
      <c r="C261" t="n">
        <v>0.9894656018903776</v>
      </c>
      <c r="D261" t="n">
        <v>0.2027957244084444</v>
      </c>
      <c r="E261" t="n">
        <v>0.1774437521312097</v>
      </c>
      <c r="F261" t="n">
        <v>0.8593986654855044</v>
      </c>
      <c r="G261" t="n">
        <v>0.09790305143198366</v>
      </c>
      <c r="H261" t="n">
        <v>0.9526677446916421</v>
      </c>
    </row>
    <row r="262">
      <c r="A262" t="inlineStr">
        <is>
          <t>Restaurant/Dining</t>
        </is>
      </c>
      <c r="B262" t="n">
        <v>410</v>
      </c>
      <c r="C262" t="n">
        <v>0.7547042188005285</v>
      </c>
      <c r="D262" t="n">
        <v>0.2601403000064184</v>
      </c>
      <c r="E262" t="n">
        <v>0.1521225770596238</v>
      </c>
      <c r="F262" t="n">
        <v>0.6320050485381618</v>
      </c>
      <c r="G262" t="n">
        <v>0.04332450205361598</v>
      </c>
      <c r="H262" t="n">
        <v>0.6606263564759781</v>
      </c>
    </row>
    <row r="263">
      <c r="A263" t="inlineStr">
        <is>
          <t>Retail (Automotive)</t>
        </is>
      </c>
      <c r="B263" t="n">
        <v>212</v>
      </c>
      <c r="C263" t="n">
        <v>0.8345533783845093</v>
      </c>
      <c r="D263" t="n">
        <v>0.527485319407323</v>
      </c>
      <c r="E263" t="n">
        <v>0.1693167304161292</v>
      </c>
      <c r="F263" t="n">
        <v>0.5988203756771432</v>
      </c>
      <c r="G263" t="n">
        <v>0.04919812898283576</v>
      </c>
      <c r="H263" t="n">
        <v>0.6298056345182907</v>
      </c>
    </row>
    <row r="264">
      <c r="A264" t="inlineStr">
        <is>
          <t>Retail (Building Supply)</t>
        </is>
      </c>
      <c r="B264" t="n">
        <v>121</v>
      </c>
      <c r="C264" t="n">
        <v>0.9448886263181572</v>
      </c>
      <c r="D264" t="n">
        <v>0.2595179795427864</v>
      </c>
      <c r="E264" t="n">
        <v>0.1843887301146109</v>
      </c>
      <c r="F264" t="n">
        <v>0.7915773048262033</v>
      </c>
      <c r="G264" t="n">
        <v>0.01625148109362718</v>
      </c>
      <c r="H264" t="n">
        <v>0.8046541261441439</v>
      </c>
    </row>
    <row r="265">
      <c r="A265" t="inlineStr">
        <is>
          <t>Retail (Distributors)</t>
        </is>
      </c>
      <c r="B265" t="n">
        <v>1079</v>
      </c>
      <c r="C265" t="n">
        <v>0.8135943038880372</v>
      </c>
      <c r="D265" t="n">
        <v>0.4833561690752768</v>
      </c>
      <c r="E265" t="n">
        <v>0.1748253846722432</v>
      </c>
      <c r="F265" t="n">
        <v>0.5979107360036378</v>
      </c>
      <c r="G265" t="n">
        <v>0.06981519065862023</v>
      </c>
      <c r="H265" t="n">
        <v>0.6427870354354531</v>
      </c>
    </row>
    <row r="266">
      <c r="A266" t="inlineStr">
        <is>
          <t>Retail (General)</t>
        </is>
      </c>
      <c r="B266" t="n">
        <v>252</v>
      </c>
      <c r="C266" t="n">
        <v>0.9825458040668552</v>
      </c>
      <c r="D266" t="n">
        <v>0.130445470606331</v>
      </c>
      <c r="E266" t="n">
        <v>0.1767388230084012</v>
      </c>
      <c r="F266" t="n">
        <v>0.8953793243235615</v>
      </c>
      <c r="G266" t="n">
        <v>0.0447024544030705</v>
      </c>
      <c r="H266" t="n">
        <v>0.9372779491064982</v>
      </c>
    </row>
    <row r="267">
      <c r="A267" t="inlineStr">
        <is>
          <t>Retail (Grocery and Food)</t>
        </is>
      </c>
      <c r="B267" t="n">
        <v>215</v>
      </c>
      <c r="C267" t="n">
        <v>0.8735269236418004</v>
      </c>
      <c r="D267" t="n">
        <v>0.4596116425636215</v>
      </c>
      <c r="E267" t="n">
        <v>0.2080925358647144</v>
      </c>
      <c r="F267" t="n">
        <v>0.6504256220517943</v>
      </c>
      <c r="G267" t="n">
        <v>0.05805976401814359</v>
      </c>
      <c r="H267" t="n">
        <v>0.6905168684866784</v>
      </c>
    </row>
    <row r="268">
      <c r="A268" t="inlineStr">
        <is>
          <t>Retail (REITs)</t>
        </is>
      </c>
      <c r="B268" t="n">
        <v>113</v>
      </c>
      <c r="C268" t="n">
        <v>0.6078154093364273</v>
      </c>
      <c r="D268" t="n">
        <v>0.7113264128682715</v>
      </c>
      <c r="E268" t="n">
        <v>0.0682137936717401</v>
      </c>
      <c r="F268" t="n">
        <v>0.397041046962914</v>
      </c>
      <c r="G268" t="n">
        <v>0.02521212340039027</v>
      </c>
      <c r="H268" t="n">
        <v>0.4073102020389581</v>
      </c>
    </row>
    <row r="269">
      <c r="A269" t="inlineStr">
        <is>
          <t>Retail (Special Lines)</t>
        </is>
      </c>
      <c r="B269" t="n">
        <v>649</v>
      </c>
      <c r="C269" t="n">
        <v>0.9604159304469734</v>
      </c>
      <c r="D269" t="n">
        <v>0.1836495038779235</v>
      </c>
      <c r="E269" t="n">
        <v>0.1692124554941876</v>
      </c>
      <c r="F269" t="n">
        <v>0.8446501826704906</v>
      </c>
      <c r="G269" t="n">
        <v>0.0652788116557214</v>
      </c>
      <c r="H269" t="n">
        <v>0.9036386392039154</v>
      </c>
    </row>
    <row r="270">
      <c r="A270" t="inlineStr">
        <is>
          <t>Rubber&amp; Tires</t>
        </is>
      </c>
      <c r="B270" t="n">
        <v>91</v>
      </c>
      <c r="C270" t="n">
        <v>0.9407597331040694</v>
      </c>
      <c r="D270" t="n">
        <v>0.4412067746146189</v>
      </c>
      <c r="E270" t="n">
        <v>0.1803651854912596</v>
      </c>
      <c r="F270" t="n">
        <v>0.7077252038858357</v>
      </c>
      <c r="G270" t="n">
        <v>0.09352781604763093</v>
      </c>
      <c r="H270" t="n">
        <v>0.7807467415051133</v>
      </c>
    </row>
    <row r="271">
      <c r="A271" t="inlineStr">
        <is>
          <t>Semiconductor</t>
        </is>
      </c>
      <c r="B271" t="n">
        <v>675</v>
      </c>
      <c r="C271" t="n">
        <v>1.876765888655153</v>
      </c>
      <c r="D271" t="n">
        <v>0.04125298692135482</v>
      </c>
      <c r="E271" t="n">
        <v>0.08455188140183831</v>
      </c>
      <c r="F271" t="n">
        <v>1.820711455467853</v>
      </c>
      <c r="G271" t="n">
        <v>0.02578289544873887</v>
      </c>
      <c r="H271" t="n">
        <v>1.86889703225494</v>
      </c>
    </row>
    <row r="272">
      <c r="A272" t="inlineStr">
        <is>
          <t>Semiconductor Equip</t>
        </is>
      </c>
      <c r="B272" t="n">
        <v>391</v>
      </c>
      <c r="C272" t="n">
        <v>2.125766710261747</v>
      </c>
      <c r="D272" t="n">
        <v>0.05609079090864195</v>
      </c>
      <c r="E272" t="n">
        <v>0.1218586972637093</v>
      </c>
      <c r="F272" t="n">
        <v>2.04035626021037</v>
      </c>
      <c r="G272" t="n">
        <v>0.03631845495712649</v>
      </c>
      <c r="H272" t="n">
        <v>2.117251565837131</v>
      </c>
    </row>
    <row r="273">
      <c r="A273" t="inlineStr">
        <is>
          <t>Shipbuilding &amp; Marine</t>
        </is>
      </c>
      <c r="B273" t="n">
        <v>359</v>
      </c>
      <c r="C273" t="n">
        <v>0.8743989647644601</v>
      </c>
      <c r="D273" t="n">
        <v>0.4169437731135859</v>
      </c>
      <c r="E273" t="n">
        <v>0.1506234132703901</v>
      </c>
      <c r="F273" t="n">
        <v>0.6668869843365539</v>
      </c>
      <c r="G273" t="n">
        <v>0.1527557323777331</v>
      </c>
      <c r="H273" t="n">
        <v>0.7871248113700747</v>
      </c>
    </row>
    <row r="274">
      <c r="A274" t="inlineStr">
        <is>
          <t>Shoe</t>
        </is>
      </c>
      <c r="B274" t="n">
        <v>84</v>
      </c>
      <c r="C274" t="n">
        <v>0.9183732849112812</v>
      </c>
      <c r="D274" t="n">
        <v>0.1429401795839217</v>
      </c>
      <c r="E274" t="n">
        <v>0.1507081994654365</v>
      </c>
      <c r="F274" t="n">
        <v>0.82984818722974</v>
      </c>
      <c r="G274" t="n">
        <v>0.07156990271418091</v>
      </c>
      <c r="H274" t="n">
        <v>0.8938187049899886</v>
      </c>
    </row>
    <row r="275">
      <c r="A275" t="inlineStr">
        <is>
          <t>Software (Entertainment)</t>
        </is>
      </c>
      <c r="B275" t="n">
        <v>298</v>
      </c>
      <c r="C275" t="n">
        <v>1.246407316079466</v>
      </c>
      <c r="D275" t="n">
        <v>0.03136994094591206</v>
      </c>
      <c r="E275" t="n">
        <v>0.1087313519445311</v>
      </c>
      <c r="F275" t="n">
        <v>1.217894711745312</v>
      </c>
      <c r="G275" t="n">
        <v>0.01355737715850175</v>
      </c>
      <c r="H275" t="n">
        <v>1.23463309831149</v>
      </c>
    </row>
    <row r="276">
      <c r="A276" t="inlineStr">
        <is>
          <t>Software (Internet)</t>
        </is>
      </c>
      <c r="B276" t="n">
        <v>150</v>
      </c>
      <c r="C276" t="n">
        <v>1.392131688617691</v>
      </c>
      <c r="D276" t="n">
        <v>0.1001249524054494</v>
      </c>
      <c r="E276" t="n">
        <v>0.1132491780018262</v>
      </c>
      <c r="F276" t="n">
        <v>1.295339694244705</v>
      </c>
      <c r="G276" t="n">
        <v>0.03118852981188183</v>
      </c>
      <c r="H276" t="n">
        <v>1.337040006342187</v>
      </c>
    </row>
    <row r="277">
      <c r="A277" t="inlineStr">
        <is>
          <t>Software (System &amp; Application)</t>
        </is>
      </c>
      <c r="B277" t="n">
        <v>1532</v>
      </c>
      <c r="C277" t="n">
        <v>1.353955269445132</v>
      </c>
      <c r="D277" t="n">
        <v>0.05835609504461194</v>
      </c>
      <c r="E277" t="n">
        <v>0.09035165721298412</v>
      </c>
      <c r="F277" t="n">
        <v>1.297449832337703</v>
      </c>
      <c r="G277" t="n">
        <v>0.02517030405852957</v>
      </c>
      <c r="H277" t="n">
        <v>1.330950254941355</v>
      </c>
    </row>
    <row r="278">
      <c r="A278" t="inlineStr">
        <is>
          <t>Steel</t>
        </is>
      </c>
      <c r="B278" t="n">
        <v>719</v>
      </c>
      <c r="C278" t="n">
        <v>1.128858237850021</v>
      </c>
      <c r="D278" t="n">
        <v>0.4733555833912187</v>
      </c>
      <c r="E278" t="n">
        <v>0.1454820371476613</v>
      </c>
      <c r="F278" t="n">
        <v>0.8341736548649583</v>
      </c>
      <c r="G278" t="n">
        <v>0.1024096235248743</v>
      </c>
      <c r="H278" t="n">
        <v>0.929347814691143</v>
      </c>
    </row>
    <row r="279">
      <c r="A279" t="inlineStr">
        <is>
          <t>Telecom (Wireless)</t>
        </is>
      </c>
      <c r="B279" t="n">
        <v>101</v>
      </c>
      <c r="C279" t="n">
        <v>0.7824176683719886</v>
      </c>
      <c r="D279" t="n">
        <v>0.499675198127862</v>
      </c>
      <c r="E279" t="n">
        <v>0.1766993253918939</v>
      </c>
      <c r="F279" t="n">
        <v>0.5698982714970884</v>
      </c>
      <c r="G279" t="n">
        <v>0.05464749677784661</v>
      </c>
      <c r="H279" t="n">
        <v>0.6028420822440717</v>
      </c>
    </row>
    <row r="280">
      <c r="A280" t="inlineStr">
        <is>
          <t>Telecom. Equipment</t>
        </is>
      </c>
      <c r="B280" t="n">
        <v>437</v>
      </c>
      <c r="C280" t="n">
        <v>1.327918509598088</v>
      </c>
      <c r="D280" t="n">
        <v>0.09624938101189369</v>
      </c>
      <c r="E280" t="n">
        <v>0.08268900800414042</v>
      </c>
      <c r="F280" t="n">
        <v>1.238925369133445</v>
      </c>
      <c r="G280" t="n">
        <v>0.04546213178697672</v>
      </c>
      <c r="H280" t="n">
        <v>1.29793213071035</v>
      </c>
    </row>
    <row r="281">
      <c r="A281" t="inlineStr">
        <is>
          <t>Telecom. Services</t>
        </is>
      </c>
      <c r="B281" t="n">
        <v>283</v>
      </c>
      <c r="C281" t="n">
        <v>0.7289777763741335</v>
      </c>
      <c r="D281" t="n">
        <v>0.7318091840259973</v>
      </c>
      <c r="E281" t="n">
        <v>0.1539609628420266</v>
      </c>
      <c r="F281" t="n">
        <v>0.4714795824263344</v>
      </c>
      <c r="G281" t="n">
        <v>0.04992614403089267</v>
      </c>
      <c r="H281" t="n">
        <v>0.4962557168204669</v>
      </c>
    </row>
    <row r="282">
      <c r="A282" t="inlineStr">
        <is>
          <t>Tobacco</t>
        </is>
      </c>
      <c r="B282" t="n">
        <v>48</v>
      </c>
      <c r="C282" t="n">
        <v>0.4272798643267071</v>
      </c>
      <c r="D282" t="n">
        <v>0.2366201258396629</v>
      </c>
      <c r="E282" t="n">
        <v>0.2013011288695667</v>
      </c>
      <c r="F282" t="n">
        <v>0.3631511483340386</v>
      </c>
      <c r="G282" t="n">
        <v>0.02982206851242859</v>
      </c>
      <c r="H282" t="n">
        <v>0.3743139650447623</v>
      </c>
    </row>
    <row r="283">
      <c r="A283" t="inlineStr">
        <is>
          <t>Transportation</t>
        </is>
      </c>
      <c r="B283" t="n">
        <v>451</v>
      </c>
      <c r="C283" t="n">
        <v>0.9638627393739637</v>
      </c>
      <c r="D283" t="n">
        <v>0.5346982882783899</v>
      </c>
      <c r="E283" t="n">
        <v>0.1758750666766586</v>
      </c>
      <c r="F283" t="n">
        <v>0.6889431792910944</v>
      </c>
      <c r="G283" t="n">
        <v>0.07829138017326806</v>
      </c>
      <c r="H283" t="n">
        <v>0.7474630967654462</v>
      </c>
    </row>
    <row r="284">
      <c r="A284" t="inlineStr">
        <is>
          <t>Transportation (Railroads)</t>
        </is>
      </c>
      <c r="B284" t="n">
        <v>54</v>
      </c>
      <c r="C284" t="n">
        <v>0.7199789317393676</v>
      </c>
      <c r="D284" t="n">
        <v>0.4744128747096817</v>
      </c>
      <c r="E284" t="n">
        <v>0.2419039902769412</v>
      </c>
      <c r="F284" t="n">
        <v>0.5317208598212859</v>
      </c>
      <c r="G284" t="n">
        <v>0.04083863115371039</v>
      </c>
      <c r="H284" t="n">
        <v>0.5543601703442842</v>
      </c>
    </row>
    <row r="285">
      <c r="A285" t="inlineStr">
        <is>
          <t>Trucking</t>
        </is>
      </c>
      <c r="B285" t="n">
        <v>130</v>
      </c>
      <c r="C285" t="n">
        <v>0.8497807821021479</v>
      </c>
      <c r="D285" t="n">
        <v>0.3987451650244613</v>
      </c>
      <c r="E285" t="n">
        <v>0.2002882256674042</v>
      </c>
      <c r="F285" t="n">
        <v>0.6548948651035325</v>
      </c>
      <c r="G285" t="n">
        <v>0.03300351993326162</v>
      </c>
      <c r="H285" t="n">
        <v>0.6772463794887177</v>
      </c>
    </row>
    <row r="286">
      <c r="A286" t="inlineStr">
        <is>
          <t>Utility (General)</t>
        </is>
      </c>
      <c r="B286" t="n">
        <v>52</v>
      </c>
      <c r="C286" t="n">
        <v>0.5038591187475229</v>
      </c>
      <c r="D286" t="n">
        <v>0.7622819820690094</v>
      </c>
      <c r="E286" t="n">
        <v>0.1853773565541158</v>
      </c>
      <c r="F286" t="n">
        <v>0.3211562210936009</v>
      </c>
      <c r="G286" t="n">
        <v>0.03954893521531418</v>
      </c>
      <c r="H286" t="n">
        <v>0.3343806185124047</v>
      </c>
    </row>
    <row r="287">
      <c r="A287" t="inlineStr">
        <is>
          <t>Utility (Water)</t>
        </is>
      </c>
      <c r="B287" t="n">
        <v>106</v>
      </c>
      <c r="C287" t="n">
        <v>0.7045959106451266</v>
      </c>
      <c r="D287" t="n">
        <v>0.9127189532318376</v>
      </c>
      <c r="E287" t="n">
        <v>0.1609000357899883</v>
      </c>
      <c r="F287" t="n">
        <v>0.4191124030687212</v>
      </c>
      <c r="G287" t="n">
        <v>0.05889031741833998</v>
      </c>
      <c r="H287" t="n">
        <v>0.4453385304877626</v>
      </c>
    </row>
    <row r="288">
      <c r="A288" t="inlineStr">
        <is>
          <t>Total Market</t>
        </is>
      </c>
      <c r="B288" t="n">
        <v>48156</v>
      </c>
      <c r="C288" t="n">
        <v>1.040286407651103</v>
      </c>
      <c r="D288" t="n">
        <v>0.5147865905250966</v>
      </c>
      <c r="E288" t="n">
        <v>0.1331046097658632</v>
      </c>
      <c r="F288" t="n">
        <v>0.7515514421184449</v>
      </c>
      <c r="G288" t="n">
        <v>0.09703640238992461</v>
      </c>
      <c r="H288" t="n">
        <v>0.8323164345801076</v>
      </c>
    </row>
    <row r="289">
      <c r="A289" t="inlineStr">
        <is>
          <t>Total Market (without financials)</t>
        </is>
      </c>
      <c r="B289" t="n">
        <v>43056</v>
      </c>
      <c r="C289" t="n">
        <v>1.077443010011765</v>
      </c>
      <c r="D289" t="n">
        <v>0.2594926780702931</v>
      </c>
      <c r="E289" t="n">
        <v>0.1312539668509866</v>
      </c>
      <c r="F289" t="n">
        <v>0.9026385776128193</v>
      </c>
      <c r="G289" t="n">
        <v>0.05518851257789983</v>
      </c>
      <c r="H289" t="n">
        <v>0.9553636779709899</v>
      </c>
    </row>
    <row r="291">
      <c r="A291" s="104" t="inlineStr">
        <is>
          <t>Beta Source: India</t>
        </is>
      </c>
    </row>
    <row r="292">
      <c r="A292" s="100" t="inlineStr">
        <is>
          <t>Industry</t>
        </is>
      </c>
      <c r="B292" s="100" t="inlineStr">
        <is>
          <t>N Firms</t>
        </is>
      </c>
      <c r="C292" s="100" t="inlineStr">
        <is>
          <t>Levered Beta</t>
        </is>
      </c>
      <c r="D292" s="100" t="inlineStr">
        <is>
          <t>D/E</t>
        </is>
      </c>
      <c r="E292" s="100" t="inlineStr">
        <is>
          <t>Eff. Tax</t>
        </is>
      </c>
      <c r="F292" s="100" t="inlineStr">
        <is>
          <t>Unlevered Beta</t>
        </is>
      </c>
      <c r="G292" s="100" t="inlineStr">
        <is>
          <t>Cash/Firm Value</t>
        </is>
      </c>
      <c r="H292" s="100" t="inlineStr">
        <is>
          <t>Unlevered Beta (cash-adj)</t>
        </is>
      </c>
    </row>
    <row r="293">
      <c r="A293" t="inlineStr">
        <is>
          <t>Advertising</t>
        </is>
      </c>
      <c r="B293" t="n">
        <v>24</v>
      </c>
      <c r="C293" t="n">
        <v>1.402911987812592</v>
      </c>
      <c r="D293" t="n">
        <v>0.04878971143616855</v>
      </c>
      <c r="E293" t="n">
        <v>0.2214864220209927</v>
      </c>
      <c r="F293" t="n">
        <v>1.356580952561884</v>
      </c>
      <c r="G293" t="n">
        <v>0.06490140298074008</v>
      </c>
      <c r="H293" t="n">
        <v>1.450735737264659</v>
      </c>
    </row>
    <row r="294">
      <c r="A294" t="inlineStr">
        <is>
          <t>Aerospace/Defense</t>
        </is>
      </c>
      <c r="B294" t="n">
        <v>23</v>
      </c>
      <c r="C294" t="n">
        <v>1.403673107092587</v>
      </c>
      <c r="D294" t="n">
        <v>0.03931777457805865</v>
      </c>
      <c r="E294" t="n">
        <v>0.2271372620009181</v>
      </c>
      <c r="F294" t="n">
        <v>1.366075376495798</v>
      </c>
      <c r="G294" t="n">
        <v>0.08733540524839141</v>
      </c>
      <c r="H294" t="n">
        <v>1.49679891643829</v>
      </c>
    </row>
    <row r="295">
      <c r="A295" t="inlineStr">
        <is>
          <t>Air Transport</t>
        </is>
      </c>
      <c r="B295" t="n">
        <v>5</v>
      </c>
      <c r="C295" t="n">
        <v>1.001009571447322</v>
      </c>
      <c r="D295" t="n">
        <v>0.3913453190304912</v>
      </c>
      <c r="E295" t="n">
        <v>0.2188880473737279</v>
      </c>
      <c r="F295" t="n">
        <v>0.7857577416002598</v>
      </c>
      <c r="G295" t="n">
        <v>0.05260290455253045</v>
      </c>
      <c r="H295" t="n">
        <v>0.8293858460998711</v>
      </c>
    </row>
    <row r="296">
      <c r="A296" t="inlineStr">
        <is>
          <t>Apparel</t>
        </is>
      </c>
      <c r="B296" t="n">
        <v>386</v>
      </c>
      <c r="C296" t="n">
        <v>0.5501231372330071</v>
      </c>
      <c r="D296" t="n">
        <v>0.1693050054255403</v>
      </c>
      <c r="E296" t="n">
        <v>0.1675807244483278</v>
      </c>
      <c r="F296" t="n">
        <v>0.4918341489531248</v>
      </c>
      <c r="G296" t="n">
        <v>0.01909810958987834</v>
      </c>
      <c r="H296" t="n">
        <v>0.5014101346542269</v>
      </c>
    </row>
    <row r="297">
      <c r="A297" t="inlineStr">
        <is>
          <t>Auto &amp; Truck</t>
        </is>
      </c>
      <c r="B297" t="n">
        <v>19</v>
      </c>
      <c r="C297" t="n">
        <v>1.349400559915886</v>
      </c>
      <c r="D297" t="n">
        <v>0.3568654286529024</v>
      </c>
      <c r="E297" t="n">
        <v>0.2100528115211527</v>
      </c>
      <c r="F297" t="n">
        <v>1.079688188240373</v>
      </c>
      <c r="G297" t="n">
        <v>0.02469071124022907</v>
      </c>
      <c r="H297" t="n">
        <v>1.107021332292788</v>
      </c>
    </row>
    <row r="298">
      <c r="A298" t="inlineStr">
        <is>
          <t>Auto Parts</t>
        </is>
      </c>
      <c r="B298" t="n">
        <v>120</v>
      </c>
      <c r="C298" t="n">
        <v>0.9533319047981746</v>
      </c>
      <c r="D298" t="n">
        <v>0.117601210506367</v>
      </c>
      <c r="E298" t="n">
        <v>0.2395053007247523</v>
      </c>
      <c r="F298" t="n">
        <v>0.8808218996505767</v>
      </c>
      <c r="G298" t="n">
        <v>0.02201390057327538</v>
      </c>
      <c r="H298" t="n">
        <v>0.9006486903718738</v>
      </c>
    </row>
    <row r="299">
      <c r="A299" t="inlineStr">
        <is>
          <t>Bank (Money Center)</t>
        </is>
      </c>
      <c r="B299" t="n">
        <v>35</v>
      </c>
      <c r="C299" t="n">
        <v>1.207461747212826</v>
      </c>
      <c r="D299" t="n">
        <v>0.4938990151873397</v>
      </c>
      <c r="E299" t="n">
        <v>0.1585451459496698</v>
      </c>
      <c r="F299" t="n">
        <v>0.8972545501342579</v>
      </c>
      <c r="G299" t="n">
        <v>0.2292923005049907</v>
      </c>
      <c r="H299" t="n">
        <v>1.164195648651448</v>
      </c>
    </row>
    <row r="300">
      <c r="A300" t="inlineStr">
        <is>
          <t>Banks (Regional)</t>
        </is>
      </c>
      <c r="B300" t="n">
        <v>6</v>
      </c>
      <c r="C300" t="n">
        <v>0.7407233327157169</v>
      </c>
      <c r="D300" t="n">
        <v>0.3674561235480979</v>
      </c>
      <c r="E300" t="n">
        <v>0.1190528034367678</v>
      </c>
      <c r="F300" t="n">
        <v>0.5891759223543689</v>
      </c>
      <c r="G300" t="n">
        <v>0.1244355915034626</v>
      </c>
      <c r="H300" t="n">
        <v>0.6729098586431393</v>
      </c>
    </row>
    <row r="301">
      <c r="A301" t="inlineStr">
        <is>
          <t>Beverage (Alcoholic)</t>
        </is>
      </c>
      <c r="B301" t="n">
        <v>22</v>
      </c>
      <c r="C301" t="n">
        <v>0.9495077590048095</v>
      </c>
      <c r="D301" t="n">
        <v>0.03865431650512597</v>
      </c>
      <c r="E301" t="n">
        <v>0.1928006688686044</v>
      </c>
      <c r="F301" t="n">
        <v>0.9244928125565178</v>
      </c>
      <c r="G301" t="n">
        <v>0.01355865053905285</v>
      </c>
      <c r="H301" t="n">
        <v>0.9371999795646423</v>
      </c>
    </row>
    <row r="302">
      <c r="A302" t="inlineStr">
        <is>
          <t>Beverage (Soft)</t>
        </is>
      </c>
      <c r="B302" t="n">
        <v>5</v>
      </c>
      <c r="C302" t="n">
        <v>0.5853386355247261</v>
      </c>
      <c r="D302" t="n">
        <v>0.0143082283129422</v>
      </c>
      <c r="E302" t="n">
        <v>0.1540515452423511</v>
      </c>
      <c r="F302" t="n">
        <v>0.5795341605655612</v>
      </c>
      <c r="G302" t="n">
        <v>4.201631384693477e-05</v>
      </c>
      <c r="H302" t="n">
        <v>0.5795585114778721</v>
      </c>
    </row>
    <row r="303">
      <c r="A303" t="inlineStr">
        <is>
          <t>Broadcasting</t>
        </is>
      </c>
      <c r="B303" t="n">
        <v>19</v>
      </c>
      <c r="C303" t="n">
        <v>0.9616412925620239</v>
      </c>
      <c r="D303" t="n">
        <v>0.1161218090469949</v>
      </c>
      <c r="E303" t="n">
        <v>0.1221134078199693</v>
      </c>
      <c r="F303" t="n">
        <v>0.8893502228356105</v>
      </c>
      <c r="G303" t="n">
        <v>0.03097021460150704</v>
      </c>
      <c r="H303" t="n">
        <v>0.9177738767543498</v>
      </c>
    </row>
    <row r="304">
      <c r="A304" t="inlineStr">
        <is>
          <t>Brokerage &amp; Investment Banking</t>
        </is>
      </c>
      <c r="B304" t="n">
        <v>186</v>
      </c>
      <c r="C304" t="n">
        <v>0.6038390125746357</v>
      </c>
      <c r="D304" t="n">
        <v>0.2133430566338891</v>
      </c>
      <c r="E304" t="n">
        <v>0.1425516474123018</v>
      </c>
      <c r="F304" t="n">
        <v>0.5253788602230637</v>
      </c>
      <c r="G304" t="n">
        <v>0.1822166444848274</v>
      </c>
      <c r="H304" t="n">
        <v>0.6424425939704957</v>
      </c>
    </row>
    <row r="305">
      <c r="A305" t="inlineStr">
        <is>
          <t>Building Materials</t>
        </is>
      </c>
      <c r="B305" t="n">
        <v>67</v>
      </c>
      <c r="C305" t="n">
        <v>0.8223837199770335</v>
      </c>
      <c r="D305" t="n">
        <v>0.1016367855352705</v>
      </c>
      <c r="E305" t="n">
        <v>0.1897177014177354</v>
      </c>
      <c r="F305" t="n">
        <v>0.767760801994726</v>
      </c>
      <c r="G305" t="n">
        <v>0.0186282206587265</v>
      </c>
      <c r="H305" t="n">
        <v>0.7823342979253696</v>
      </c>
    </row>
    <row r="306">
      <c r="A306" t="inlineStr">
        <is>
          <t>Business &amp; Consumer Services</t>
        </is>
      </c>
      <c r="B306" t="n">
        <v>75</v>
      </c>
      <c r="C306" t="n">
        <v>0.7101461229120972</v>
      </c>
      <c r="D306" t="n">
        <v>0.1452138637395021</v>
      </c>
      <c r="E306" t="n">
        <v>0.149402638485643</v>
      </c>
      <c r="F306" t="n">
        <v>0.6446206266252003</v>
      </c>
      <c r="G306" t="n">
        <v>0.04588579714679934</v>
      </c>
      <c r="H306" t="n">
        <v>0.6756220845445072</v>
      </c>
    </row>
    <row r="307">
      <c r="A307" t="inlineStr">
        <is>
          <t>Cable TV</t>
        </is>
      </c>
      <c r="B307" t="n">
        <v>8</v>
      </c>
      <c r="C307" t="n">
        <v>0.5945488585213772</v>
      </c>
      <c r="D307" t="n">
        <v>0.2119396055360574</v>
      </c>
      <c r="E307" t="n">
        <v>0.1564052730160328</v>
      </c>
      <c r="F307" t="n">
        <v>0.5177383720771405</v>
      </c>
      <c r="G307" t="n">
        <v>0.2972759762681279</v>
      </c>
      <c r="H307" t="n">
        <v>0.7367591751419703</v>
      </c>
    </row>
    <row r="308">
      <c r="A308" t="inlineStr">
        <is>
          <t>Chemical (Basic)</t>
        </is>
      </c>
      <c r="B308" t="n">
        <v>152</v>
      </c>
      <c r="C308" t="n">
        <v>0.7702928535722655</v>
      </c>
      <c r="D308" t="n">
        <v>0.1098672675361068</v>
      </c>
      <c r="E308" t="n">
        <v>0.199905241578652</v>
      </c>
      <c r="F308" t="n">
        <v>0.715282555639237</v>
      </c>
      <c r="G308" t="n">
        <v>0.02044327881713345</v>
      </c>
      <c r="H308" t="n">
        <v>0.7302104514943204</v>
      </c>
    </row>
    <row r="309">
      <c r="A309" t="inlineStr">
        <is>
          <t>Chemical (Diversified)</t>
        </is>
      </c>
      <c r="B309" t="n">
        <v>8</v>
      </c>
      <c r="C309" t="n">
        <v>0.7400026998733038</v>
      </c>
      <c r="D309" t="n">
        <v>0.03379607257391381</v>
      </c>
      <c r="E309" t="n">
        <v>0.2888202967082276</v>
      </c>
      <c r="F309" t="n">
        <v>0.7229008530870323</v>
      </c>
      <c r="G309" t="n">
        <v>0.009780429452284731</v>
      </c>
      <c r="H309" t="n">
        <v>0.7300409672646418</v>
      </c>
    </row>
    <row r="310">
      <c r="A310" t="inlineStr">
        <is>
          <t>Chemical (Specialty)</t>
        </is>
      </c>
      <c r="B310" t="n">
        <v>202</v>
      </c>
      <c r="C310" t="n">
        <v>0.6786282381859908</v>
      </c>
      <c r="D310" t="n">
        <v>0.1005361118130748</v>
      </c>
      <c r="E310" t="n">
        <v>0.2145632897966341</v>
      </c>
      <c r="F310" t="n">
        <v>0.6340096337831763</v>
      </c>
      <c r="G310" t="n">
        <v>0.02265996173237898</v>
      </c>
      <c r="H310" t="n">
        <v>0.6487093631270717</v>
      </c>
    </row>
    <row r="311">
      <c r="A311" t="inlineStr">
        <is>
          <t>Coal &amp; Related Energy</t>
        </is>
      </c>
      <c r="B311" t="n">
        <v>5</v>
      </c>
      <c r="C311" t="n">
        <v>1.032339555111121</v>
      </c>
      <c r="D311" t="n">
        <v>0.05026382439881515</v>
      </c>
      <c r="E311" t="n">
        <v>0.2057304691715288</v>
      </c>
      <c r="F311" t="n">
        <v>0.9972515802918589</v>
      </c>
      <c r="G311" t="n">
        <v>0.1128806643629252</v>
      </c>
      <c r="H311" t="n">
        <v>1.124145918401941</v>
      </c>
    </row>
    <row r="312">
      <c r="A312" t="inlineStr">
        <is>
          <t>Computer Services</t>
        </is>
      </c>
      <c r="B312" t="n">
        <v>196</v>
      </c>
      <c r="C312" t="n">
        <v>0.7307708131964623</v>
      </c>
      <c r="D312" t="n">
        <v>0.02727032407674334</v>
      </c>
      <c r="E312" t="n">
        <v>0.179498107648433</v>
      </c>
      <c r="F312" t="n">
        <v>0.7170822671265044</v>
      </c>
      <c r="G312" t="n">
        <v>0.02541791632198275</v>
      </c>
      <c r="H312" t="n">
        <v>0.7357843727439322</v>
      </c>
    </row>
    <row r="313">
      <c r="A313" t="inlineStr">
        <is>
          <t>Computers/Peripherals</t>
        </is>
      </c>
      <c r="B313" t="n">
        <v>12</v>
      </c>
      <c r="C313" t="n">
        <v>1.003530101284582</v>
      </c>
      <c r="D313" t="n">
        <v>0.02604606112388848</v>
      </c>
      <c r="E313" t="n">
        <v>0.1657718665554274</v>
      </c>
      <c r="F313" t="n">
        <v>0.9855611118128588</v>
      </c>
      <c r="G313" t="n">
        <v>0.03968768440231038</v>
      </c>
      <c r="H313" t="n">
        <v>1.026292275757658</v>
      </c>
    </row>
    <row r="314">
      <c r="A314" t="inlineStr">
        <is>
          <t>Construction Supplies</t>
        </is>
      </c>
      <c r="B314" t="n">
        <v>109</v>
      </c>
      <c r="C314" t="n">
        <v>0.9124091639849948</v>
      </c>
      <c r="D314" t="n">
        <v>0.2431378952188814</v>
      </c>
      <c r="E314" t="n">
        <v>0.1767546838564487</v>
      </c>
      <c r="F314" t="n">
        <v>0.7797059239224554</v>
      </c>
      <c r="G314" t="n">
        <v>0.01555725198291494</v>
      </c>
      <c r="H314" t="n">
        <v>0.7920276984039741</v>
      </c>
    </row>
    <row r="315">
      <c r="A315" t="inlineStr">
        <is>
          <t>Diversified</t>
        </is>
      </c>
      <c r="B315" t="n">
        <v>13</v>
      </c>
      <c r="C315" t="n">
        <v>0.8981694470076711</v>
      </c>
      <c r="D315" t="n">
        <v>0.1867628411374098</v>
      </c>
      <c r="E315" t="n">
        <v>0.2020978118719629</v>
      </c>
      <c r="F315" t="n">
        <v>0.7943242671637465</v>
      </c>
      <c r="G315" t="n">
        <v>0.04284361267007866</v>
      </c>
      <c r="H315" t="n">
        <v>0.8298792942076993</v>
      </c>
    </row>
    <row r="316">
      <c r="A316" t="inlineStr">
        <is>
          <t>Drugs (Biotechnology)</t>
        </is>
      </c>
      <c r="B316" t="n">
        <v>9</v>
      </c>
      <c r="C316" t="n">
        <v>0.6276755011232337</v>
      </c>
      <c r="D316" t="n">
        <v>0.2991147168298118</v>
      </c>
      <c r="E316" t="n">
        <v>0.09670277398087566</v>
      </c>
      <c r="F316" t="n">
        <v>0.5190058910327484</v>
      </c>
      <c r="G316" t="n">
        <v>0.06478213431857872</v>
      </c>
      <c r="H316" t="n">
        <v>0.5549572031053842</v>
      </c>
    </row>
    <row r="317">
      <c r="A317" t="inlineStr">
        <is>
          <t>Drugs (Pharmaceutical)</t>
        </is>
      </c>
      <c r="B317" t="n">
        <v>188</v>
      </c>
      <c r="C317" t="n">
        <v>0.7668135212056132</v>
      </c>
      <c r="D317" t="n">
        <v>0.04837709619265333</v>
      </c>
      <c r="E317" t="n">
        <v>0.1923467956827768</v>
      </c>
      <c r="F317" t="n">
        <v>0.7416967274547162</v>
      </c>
      <c r="G317" t="n">
        <v>0.02610753389253566</v>
      </c>
      <c r="H317" t="n">
        <v>0.7615796951579185</v>
      </c>
    </row>
    <row r="318">
      <c r="A318" t="inlineStr">
        <is>
          <t>Education</t>
        </is>
      </c>
      <c r="B318" t="n">
        <v>40</v>
      </c>
      <c r="C318" t="n">
        <v>0.6102978896416136</v>
      </c>
      <c r="D318" t="n">
        <v>0.09247361130434743</v>
      </c>
      <c r="E318" t="n">
        <v>0.1393760510261719</v>
      </c>
      <c r="F318" t="n">
        <v>0.5731941561248262</v>
      </c>
      <c r="G318" t="n">
        <v>0.02163001941596775</v>
      </c>
      <c r="H318" t="n">
        <v>0.5858664590083409</v>
      </c>
    </row>
    <row r="319">
      <c r="A319" t="inlineStr">
        <is>
          <t>Electrical Equipment</t>
        </is>
      </c>
      <c r="B319" t="n">
        <v>139</v>
      </c>
      <c r="C319" t="n">
        <v>0.9736831320810101</v>
      </c>
      <c r="D319" t="n">
        <v>0.03089255403869191</v>
      </c>
      <c r="E319" t="n">
        <v>0.211987452901004</v>
      </c>
      <c r="F319" t="n">
        <v>0.9530731279063399</v>
      </c>
      <c r="G319" t="n">
        <v>0.02325914586961713</v>
      </c>
      <c r="H319" t="n">
        <v>0.9757686738258584</v>
      </c>
    </row>
    <row r="320">
      <c r="A320" t="inlineStr">
        <is>
          <t>Electronics (Consumer &amp; Office)</t>
        </is>
      </c>
      <c r="B320" t="n">
        <v>9</v>
      </c>
      <c r="C320" t="n">
        <v>0.5294553263102685</v>
      </c>
      <c r="D320" t="n">
        <v>0.02592972393557626</v>
      </c>
      <c r="E320" t="n">
        <v>0.166464542582112</v>
      </c>
      <c r="F320" t="n">
        <v>0.520016605396378</v>
      </c>
      <c r="G320" t="n">
        <v>0.00886793550574932</v>
      </c>
      <c r="H320" t="n">
        <v>0.5246693392587688</v>
      </c>
    </row>
    <row r="321">
      <c r="A321" t="inlineStr">
        <is>
          <t>Electronics (General)</t>
        </is>
      </c>
      <c r="B321" t="n">
        <v>37</v>
      </c>
      <c r="C321" t="n">
        <v>0.5496354559761163</v>
      </c>
      <c r="D321" t="n">
        <v>0.05010680171821944</v>
      </c>
      <c r="E321" t="n">
        <v>0.1787697419988951</v>
      </c>
      <c r="F321" t="n">
        <v>0.5310103932371433</v>
      </c>
      <c r="G321" t="n">
        <v>0.05087025868365587</v>
      </c>
      <c r="H321" t="n">
        <v>0.5594708185002054</v>
      </c>
    </row>
    <row r="322">
      <c r="A322" t="inlineStr">
        <is>
          <t>Engineering/Construction</t>
        </is>
      </c>
      <c r="B322" t="n">
        <v>219</v>
      </c>
      <c r="C322" t="n">
        <v>1.040927393322846</v>
      </c>
      <c r="D322" t="n">
        <v>0.2371918275658211</v>
      </c>
      <c r="E322" t="n">
        <v>0.1998513898381846</v>
      </c>
      <c r="F322" t="n">
        <v>0.8927073687329714</v>
      </c>
      <c r="G322" t="n">
        <v>0.04149418867185848</v>
      </c>
      <c r="H322" t="n">
        <v>0.9313531104167253</v>
      </c>
    </row>
    <row r="323">
      <c r="A323" t="inlineStr">
        <is>
          <t>Entertainment</t>
        </is>
      </c>
      <c r="B323" t="n">
        <v>66</v>
      </c>
      <c r="C323" t="n">
        <v>0.4828096314095803</v>
      </c>
      <c r="D323" t="n">
        <v>0.2218609374024934</v>
      </c>
      <c r="E323" t="n">
        <v>0.1057888288877825</v>
      </c>
      <c r="F323" t="n">
        <v>0.4179074884197509</v>
      </c>
      <c r="G323" t="n">
        <v>0.02134757745208044</v>
      </c>
      <c r="H323" t="n">
        <v>0.4270234036019955</v>
      </c>
    </row>
    <row r="324">
      <c r="A324" t="inlineStr">
        <is>
          <t>Environmental &amp; Waste Services</t>
        </is>
      </c>
      <c r="B324" t="n">
        <v>20</v>
      </c>
      <c r="C324" t="n">
        <v>1.062025795416626</v>
      </c>
      <c r="D324" t="n">
        <v>0.1418682756187901</v>
      </c>
      <c r="E324" t="n">
        <v>0.2102952252538689</v>
      </c>
      <c r="F324" t="n">
        <v>0.9660859335700224</v>
      </c>
      <c r="G324" t="n">
        <v>0.063305021422186</v>
      </c>
      <c r="H324" t="n">
        <v>1.031377295346275</v>
      </c>
    </row>
    <row r="325">
      <c r="A325" t="inlineStr">
        <is>
          <t>Farming/Agriculture</t>
        </is>
      </c>
      <c r="B325" t="n">
        <v>75</v>
      </c>
      <c r="C325" t="n">
        <v>0.6646785711136719</v>
      </c>
      <c r="D325" t="n">
        <v>0.1005427278984116</v>
      </c>
      <c r="E325" t="n">
        <v>0.1682840221626205</v>
      </c>
      <c r="F325" t="n">
        <v>0.6209744457986139</v>
      </c>
      <c r="G325" t="n">
        <v>0.02834421504360113</v>
      </c>
      <c r="H325" t="n">
        <v>0.639088919566798</v>
      </c>
    </row>
    <row r="326">
      <c r="A326" t="inlineStr">
        <is>
          <t>Financial Svcs. (Non-bank &amp; Insurance)</t>
        </is>
      </c>
      <c r="B326" t="n">
        <v>291</v>
      </c>
      <c r="C326" t="n">
        <v>0.6035256692949578</v>
      </c>
      <c r="D326" t="n">
        <v>1.465096352374807</v>
      </c>
      <c r="E326" t="n">
        <v>0.16752019371862</v>
      </c>
      <c r="F326" t="n">
        <v>0.2979538747472562</v>
      </c>
      <c r="G326" t="n">
        <v>0.02412143184297785</v>
      </c>
      <c r="H326" t="n">
        <v>0.3053185964622132</v>
      </c>
    </row>
    <row r="327">
      <c r="A327" t="inlineStr">
        <is>
          <t>Food Processing</t>
        </is>
      </c>
      <c r="B327" t="n">
        <v>220</v>
      </c>
      <c r="C327" t="n">
        <v>0.8040315259374237</v>
      </c>
      <c r="D327" t="n">
        <v>0.07284172957594263</v>
      </c>
      <c r="E327" t="n">
        <v>0.157367673962433</v>
      </c>
      <c r="F327" t="n">
        <v>0.7650235775488978</v>
      </c>
      <c r="G327" t="n">
        <v>0.01514844784905311</v>
      </c>
      <c r="H327" t="n">
        <v>0.7767907517412773</v>
      </c>
    </row>
    <row r="328">
      <c r="A328" t="inlineStr">
        <is>
          <t>Food Wholesalers</t>
        </is>
      </c>
      <c r="B328" t="n">
        <v>41</v>
      </c>
      <c r="C328" t="n">
        <v>0.5309243467675671</v>
      </c>
      <c r="D328" t="n">
        <v>0.1613252909899107</v>
      </c>
      <c r="E328" t="n">
        <v>0.1367309699614528</v>
      </c>
      <c r="F328" t="n">
        <v>0.4770519639378586</v>
      </c>
      <c r="G328" t="n">
        <v>0.03439235522644904</v>
      </c>
      <c r="H328" t="n">
        <v>0.4940432757755706</v>
      </c>
    </row>
    <row r="329">
      <c r="A329" t="inlineStr">
        <is>
          <t>Furn/Home Furnishings</t>
        </is>
      </c>
      <c r="B329" t="n">
        <v>52</v>
      </c>
      <c r="C329" t="n">
        <v>0.6877096082678248</v>
      </c>
      <c r="D329" t="n">
        <v>0.05595928348231128</v>
      </c>
      <c r="E329" t="n">
        <v>0.214563583911055</v>
      </c>
      <c r="F329" t="n">
        <v>0.6617864417007088</v>
      </c>
      <c r="G329" t="n">
        <v>0.03894790858668402</v>
      </c>
      <c r="H329" t="n">
        <v>0.6886062135586123</v>
      </c>
    </row>
    <row r="330">
      <c r="A330" t="inlineStr">
        <is>
          <t>Green &amp; Renewable Energy</t>
        </is>
      </c>
      <c r="B330" t="n">
        <v>18</v>
      </c>
      <c r="C330" t="n">
        <v>1.275540772225443</v>
      </c>
      <c r="D330" t="n">
        <v>0.4986536277505467</v>
      </c>
      <c r="E330" t="n">
        <v>0.1203172960662237</v>
      </c>
      <c r="F330" t="n">
        <v>0.9455050914794534</v>
      </c>
      <c r="G330" t="n">
        <v>0.02230926005772345</v>
      </c>
      <c r="H330" t="n">
        <v>0.9670799291146776</v>
      </c>
    </row>
    <row r="331">
      <c r="A331" t="inlineStr">
        <is>
          <t>Healthcare Products</t>
        </is>
      </c>
      <c r="B331" t="n">
        <v>19</v>
      </c>
      <c r="C331" t="n">
        <v>2.001729204646493</v>
      </c>
      <c r="D331" t="n">
        <v>0.01638335230464522</v>
      </c>
      <c r="E331" t="n">
        <v>0.1812560331679657</v>
      </c>
      <c r="F331" t="n">
        <v>1.979032968603496</v>
      </c>
      <c r="G331" t="n">
        <v>0.0145674227414264</v>
      </c>
      <c r="H331" t="n">
        <v>2.008288557000085</v>
      </c>
    </row>
    <row r="332">
      <c r="A332" t="inlineStr">
        <is>
          <t>Healthcare Support Services</t>
        </is>
      </c>
      <c r="B332" t="n">
        <v>45</v>
      </c>
      <c r="C332" t="n">
        <v>0.5002976697526326</v>
      </c>
      <c r="D332" t="n">
        <v>0.08113575762977487</v>
      </c>
      <c r="E332" t="n">
        <v>0.1947749618754851</v>
      </c>
      <c r="F332" t="n">
        <v>0.4734103164653171</v>
      </c>
      <c r="G332" t="n">
        <v>0.02075667225138622</v>
      </c>
      <c r="H332" t="n">
        <v>0.4834450264304976</v>
      </c>
    </row>
    <row r="333">
      <c r="A333" t="inlineStr">
        <is>
          <t>Heathcare Information and Technology</t>
        </is>
      </c>
      <c r="B333" t="n">
        <v>25</v>
      </c>
      <c r="C333" t="n">
        <v>1.182581009750978</v>
      </c>
      <c r="D333" t="n">
        <v>0.01265365115896761</v>
      </c>
      <c r="E333" t="n">
        <v>0.1527195809780027</v>
      </c>
      <c r="F333" t="n">
        <v>1.172198198783375</v>
      </c>
      <c r="G333" t="n">
        <v>0.02361657426711487</v>
      </c>
      <c r="H333" t="n">
        <v>1.200551103070506</v>
      </c>
    </row>
    <row r="334">
      <c r="A334" t="inlineStr">
        <is>
          <t>Homebuilding</t>
        </is>
      </c>
      <c r="B334" t="n">
        <v>1</v>
      </c>
      <c r="C334" t="n">
        <v>-1.874969689417661</v>
      </c>
      <c r="D334" t="n">
        <v>0</v>
      </c>
      <c r="E334" t="n">
        <v>0.3333333333333334</v>
      </c>
      <c r="F334" t="n">
        <v>-1.874969689417661</v>
      </c>
      <c r="G334" t="n">
        <v>0.1217277486910995</v>
      </c>
      <c r="H334" t="n">
        <v>-2.134838811795965</v>
      </c>
    </row>
    <row r="335">
      <c r="A335" t="inlineStr">
        <is>
          <t>Hospitals/Healthcare Facilities</t>
        </is>
      </c>
      <c r="B335" t="n">
        <v>42</v>
      </c>
      <c r="C335" t="n">
        <v>0.5281021650608396</v>
      </c>
      <c r="D335" t="n">
        <v>0.06146799353931728</v>
      </c>
      <c r="E335" t="n">
        <v>0.2195704727219952</v>
      </c>
      <c r="F335" t="n">
        <v>0.5063165800700242</v>
      </c>
      <c r="G335" t="n">
        <v>0.0148428087115342</v>
      </c>
      <c r="H335" t="n">
        <v>0.5139449669020065</v>
      </c>
    </row>
    <row r="336">
      <c r="A336" t="inlineStr">
        <is>
          <t>Hotel/Gaming</t>
        </is>
      </c>
      <c r="B336" t="n">
        <v>80</v>
      </c>
      <c r="C336" t="n">
        <v>0.7829938511914565</v>
      </c>
      <c r="D336" t="n">
        <v>0.09747216052115698</v>
      </c>
      <c r="E336" t="n">
        <v>0.1852746596502212</v>
      </c>
      <c r="F336" t="n">
        <v>0.7329821065100388</v>
      </c>
      <c r="G336" t="n">
        <v>0.03379918156970325</v>
      </c>
      <c r="H336" t="n">
        <v>0.7586229410370938</v>
      </c>
    </row>
    <row r="337">
      <c r="A337" t="inlineStr">
        <is>
          <t>Household Products</t>
        </is>
      </c>
      <c r="B337" t="n">
        <v>43</v>
      </c>
      <c r="C337" t="n">
        <v>0.509036243791432</v>
      </c>
      <c r="D337" t="n">
        <v>0.01885870886023815</v>
      </c>
      <c r="E337" t="n">
        <v>0.2045217043089756</v>
      </c>
      <c r="F337" t="n">
        <v>0.502403960772919</v>
      </c>
      <c r="G337" t="n">
        <v>0.009662951749646577</v>
      </c>
      <c r="H337" t="n">
        <v>0.5073060345066615</v>
      </c>
    </row>
    <row r="338">
      <c r="A338" t="inlineStr">
        <is>
          <t>Information Services</t>
        </is>
      </c>
      <c r="B338" t="n">
        <v>26</v>
      </c>
      <c r="C338" t="n">
        <v>1.057593363999085</v>
      </c>
      <c r="D338" t="n">
        <v>0.1062340437306739</v>
      </c>
      <c r="E338" t="n">
        <v>0.2261584043762248</v>
      </c>
      <c r="F338" t="n">
        <v>0.9843903283649802</v>
      </c>
      <c r="G338" t="n">
        <v>0.0373005319279891</v>
      </c>
      <c r="H338" t="n">
        <v>1.022531289371552</v>
      </c>
    </row>
    <row r="339">
      <c r="A339" t="inlineStr">
        <is>
          <t>Insurance (General)</t>
        </is>
      </c>
      <c r="B339" t="n">
        <v>2</v>
      </c>
      <c r="C339" t="n">
        <v>0.7001696451657812</v>
      </c>
      <c r="D339" t="n">
        <v>0.004470764427944651</v>
      </c>
      <c r="E339" t="n">
        <v>0.1941986626855629</v>
      </c>
      <c r="F339" t="n">
        <v>0.697985275746356</v>
      </c>
      <c r="G339" t="n">
        <v>0.004574448314204446</v>
      </c>
      <c r="H339" t="n">
        <v>0.7011928461794941</v>
      </c>
    </row>
    <row r="340">
      <c r="A340" t="inlineStr">
        <is>
          <t>Insurance (Life)</t>
        </is>
      </c>
      <c r="B340" t="n">
        <v>9</v>
      </c>
      <c r="C340" t="n">
        <v>0.8626956453139668</v>
      </c>
      <c r="D340" t="n">
        <v>0.007748892092078801</v>
      </c>
      <c r="E340" t="n">
        <v>0.1921199846780502</v>
      </c>
      <c r="F340" t="n">
        <v>0.8580414359654867</v>
      </c>
      <c r="G340" t="n">
        <v>0.05391686143713891</v>
      </c>
      <c r="H340" t="n">
        <v>0.9069408395427981</v>
      </c>
    </row>
    <row r="341">
      <c r="A341" t="inlineStr">
        <is>
          <t>Insurance (Prop/Cas.)</t>
        </is>
      </c>
      <c r="B341" t="n">
        <v>3</v>
      </c>
      <c r="C341" t="n">
        <v>1.304458446341286</v>
      </c>
      <c r="D341" t="n">
        <v>0.00546844220767468</v>
      </c>
      <c r="E341" t="n">
        <v>0.1070308313903813</v>
      </c>
      <c r="F341" t="n">
        <v>1.299484138603067</v>
      </c>
      <c r="G341" t="n">
        <v>0.1033234172852824</v>
      </c>
      <c r="H341" t="n">
        <v>1.449222789635965</v>
      </c>
    </row>
    <row r="342">
      <c r="A342" t="inlineStr">
        <is>
          <t>Investments &amp; Asset Management</t>
        </is>
      </c>
      <c r="B342" t="n">
        <v>115</v>
      </c>
      <c r="C342" t="n">
        <v>0.5119756349382035</v>
      </c>
      <c r="D342" t="n">
        <v>0.08318926590715382</v>
      </c>
      <c r="E342" t="n">
        <v>0.1290639959003046</v>
      </c>
      <c r="F342" t="n">
        <v>0.4838026063706444</v>
      </c>
      <c r="G342" t="n">
        <v>0.0136191554870218</v>
      </c>
      <c r="H342" t="n">
        <v>0.4904825646827318</v>
      </c>
    </row>
    <row r="343">
      <c r="A343" t="inlineStr">
        <is>
          <t>Machinery</t>
        </is>
      </c>
      <c r="B343" t="n">
        <v>187</v>
      </c>
      <c r="C343" t="n">
        <v>0.8270585522395903</v>
      </c>
      <c r="D343" t="n">
        <v>0.09100787401821954</v>
      </c>
      <c r="E343" t="n">
        <v>0.2151741258884686</v>
      </c>
      <c r="F343" t="n">
        <v>0.7775258688188308</v>
      </c>
      <c r="G343" t="n">
        <v>0.02825613603454687</v>
      </c>
      <c r="H343" t="n">
        <v>0.8001345803676441</v>
      </c>
    </row>
    <row r="344">
      <c r="A344" t="inlineStr">
        <is>
          <t>Metals &amp; Mining</t>
        </is>
      </c>
      <c r="B344" t="n">
        <v>51</v>
      </c>
      <c r="C344" t="n">
        <v>1.480926065199198</v>
      </c>
      <c r="D344" t="n">
        <v>0.2364603676758908</v>
      </c>
      <c r="E344" t="n">
        <v>0.2217177778642758</v>
      </c>
      <c r="F344" t="n">
        <v>1.27061156990424</v>
      </c>
      <c r="G344" t="n">
        <v>0.03294604512123109</v>
      </c>
      <c r="H344" t="n">
        <v>1.313899357418507</v>
      </c>
    </row>
    <row r="345">
      <c r="A345" t="inlineStr">
        <is>
          <t>Office Equipment &amp; Services</t>
        </is>
      </c>
      <c r="B345" t="n">
        <v>20</v>
      </c>
      <c r="C345" t="n">
        <v>0.6947257447936592</v>
      </c>
      <c r="D345" t="n">
        <v>0.02282731766268942</v>
      </c>
      <c r="E345" t="n">
        <v>0.2202524007404117</v>
      </c>
      <c r="F345" t="n">
        <v>0.6837992331744359</v>
      </c>
      <c r="G345" t="n">
        <v>0.01805970877867415</v>
      </c>
      <c r="H345" t="n">
        <v>0.696375573227507</v>
      </c>
    </row>
    <row r="346">
      <c r="A346" t="inlineStr">
        <is>
          <t>Oil/Gas (Integrated)</t>
        </is>
      </c>
      <c r="B346" t="n">
        <v>1</v>
      </c>
      <c r="C346" t="n">
        <v>0.7628200965713868</v>
      </c>
      <c r="D346" t="n">
        <v>0.5887634974119437</v>
      </c>
      <c r="E346" t="n">
        <v>0.2782338252665261</v>
      </c>
      <c r="F346" t="n">
        <v>0.5401894256952766</v>
      </c>
      <c r="G346" t="n">
        <v>0.09901401180492696</v>
      </c>
      <c r="H346" t="n">
        <v>0.5995536365414817</v>
      </c>
    </row>
    <row r="347">
      <c r="A347" t="inlineStr">
        <is>
          <t>Oil/Gas (Production and Exploration)</t>
        </is>
      </c>
      <c r="B347" t="n">
        <v>7</v>
      </c>
      <c r="C347" t="n">
        <v>0.6550142163398917</v>
      </c>
      <c r="D347" t="n">
        <v>0.6786180161123803</v>
      </c>
      <c r="E347" t="n">
        <v>0.06449369869394461</v>
      </c>
      <c r="F347" t="n">
        <v>0.4440676167641321</v>
      </c>
      <c r="G347" t="n">
        <v>0.07413911815449784</v>
      </c>
      <c r="H347" t="n">
        <v>0.4796267187344387</v>
      </c>
    </row>
    <row r="348">
      <c r="A348" t="inlineStr">
        <is>
          <t>Oil/Gas Distribution</t>
        </is>
      </c>
      <c r="B348" t="n">
        <v>12</v>
      </c>
      <c r="C348" t="n">
        <v>1.101368053230925</v>
      </c>
      <c r="D348" t="n">
        <v>0.1411082060318252</v>
      </c>
      <c r="E348" t="n">
        <v>0.1559423813841462</v>
      </c>
      <c r="F348" t="n">
        <v>1.002359270326342</v>
      </c>
      <c r="G348" t="n">
        <v>0.1477011938734279</v>
      </c>
      <c r="H348" t="n">
        <v>1.176065557197888</v>
      </c>
    </row>
    <row r="349">
      <c r="A349" t="inlineStr">
        <is>
          <t>Oilfield Svcs/Equip.</t>
        </is>
      </c>
      <c r="B349" t="n">
        <v>30</v>
      </c>
      <c r="C349" t="n">
        <v>0.9732462082118339</v>
      </c>
      <c r="D349" t="n">
        <v>0.2461784331933114</v>
      </c>
      <c r="E349" t="n">
        <v>0.1932010849070938</v>
      </c>
      <c r="F349" t="n">
        <v>0.8301847086297685</v>
      </c>
      <c r="G349" t="n">
        <v>0.0393340827912722</v>
      </c>
      <c r="H349" t="n">
        <v>0.8641762903819047</v>
      </c>
    </row>
    <row r="350">
      <c r="A350" t="inlineStr">
        <is>
          <t>Packaging &amp; Container</t>
        </is>
      </c>
      <c r="B350" t="n">
        <v>101</v>
      </c>
      <c r="C350" t="n">
        <v>0.5633593131348688</v>
      </c>
      <c r="D350" t="n">
        <v>0.3885337288129759</v>
      </c>
      <c r="E350" t="n">
        <v>0.172717218389364</v>
      </c>
      <c r="F350" t="n">
        <v>0.4429017305319578</v>
      </c>
      <c r="G350" t="n">
        <v>0.0374112308668938</v>
      </c>
      <c r="H350" t="n">
        <v>0.4601152067573246</v>
      </c>
    </row>
    <row r="351">
      <c r="A351" t="inlineStr">
        <is>
          <t>Paper/Forest Products</t>
        </is>
      </c>
      <c r="B351" t="n">
        <v>55</v>
      </c>
      <c r="C351" t="n">
        <v>0.5728420339690721</v>
      </c>
      <c r="D351" t="n">
        <v>0.2515853112677793</v>
      </c>
      <c r="E351" t="n">
        <v>0.1656165707961309</v>
      </c>
      <c r="F351" t="n">
        <v>0.4870651311325134</v>
      </c>
      <c r="G351" t="n">
        <v>0.02126465980183437</v>
      </c>
      <c r="H351" t="n">
        <v>0.4976474345290289</v>
      </c>
    </row>
    <row r="352">
      <c r="A352" t="inlineStr">
        <is>
          <t>Power</t>
        </is>
      </c>
      <c r="B352" t="n">
        <v>33</v>
      </c>
      <c r="C352" t="n">
        <v>1.190734752997699</v>
      </c>
      <c r="D352" t="n">
        <v>0.4862600838726512</v>
      </c>
      <c r="E352" t="n">
        <v>0.1695728212597256</v>
      </c>
      <c r="F352" t="n">
        <v>0.8883547383071635</v>
      </c>
      <c r="G352" t="n">
        <v>0.03127218556025244</v>
      </c>
      <c r="H352" t="n">
        <v>0.9170323439313376</v>
      </c>
    </row>
    <row r="353">
      <c r="A353" t="inlineStr">
        <is>
          <t>Precious Metals</t>
        </is>
      </c>
      <c r="B353" t="n">
        <v>1</v>
      </c>
      <c r="C353" t="n">
        <v>1.336963249874173</v>
      </c>
      <c r="D353" t="n">
        <v>0.1607254534083802</v>
      </c>
      <c r="E353" t="n">
        <v>0</v>
      </c>
      <c r="F353" t="n">
        <v>1.20175627441048</v>
      </c>
      <c r="G353" t="n">
        <v>0.003265086206896552</v>
      </c>
      <c r="H353" t="n">
        <v>1.205692965883137</v>
      </c>
    </row>
    <row r="354">
      <c r="A354" t="inlineStr">
        <is>
          <t>Publishing &amp; Newspapers</t>
        </is>
      </c>
      <c r="B354" t="n">
        <v>25</v>
      </c>
      <c r="C354" t="n">
        <v>0.5994099948665204</v>
      </c>
      <c r="D354" t="n">
        <v>0.1446440981123593</v>
      </c>
      <c r="E354" t="n">
        <v>0.1296860017555733</v>
      </c>
      <c r="F354" t="n">
        <v>0.5442992254668814</v>
      </c>
      <c r="G354" t="n">
        <v>0.08071797298619489</v>
      </c>
      <c r="H354" t="n">
        <v>0.59209166444272</v>
      </c>
    </row>
    <row r="355">
      <c r="A355" t="inlineStr">
        <is>
          <t>R.E.I.T.</t>
        </is>
      </c>
      <c r="B355" t="n">
        <v>5</v>
      </c>
      <c r="C355" t="n">
        <v>0.2796313151449938</v>
      </c>
      <c r="D355" t="n">
        <v>0.1698057226005206</v>
      </c>
      <c r="E355" t="n">
        <v>0.2778925888800317</v>
      </c>
      <c r="F355" t="n">
        <v>0.2499243104526942</v>
      </c>
      <c r="G355" t="n">
        <v>0.03376438108028527</v>
      </c>
      <c r="H355" t="n">
        <v>0.2586577285694749</v>
      </c>
    </row>
    <row r="356">
      <c r="A356" t="inlineStr">
        <is>
          <t>Real Estate (Development)</t>
        </is>
      </c>
      <c r="B356" t="n">
        <v>156</v>
      </c>
      <c r="C356" t="n">
        <v>0.7553042627845126</v>
      </c>
      <c r="D356" t="n">
        <v>0.2126776639375235</v>
      </c>
      <c r="E356" t="n">
        <v>0.1325926204363046</v>
      </c>
      <c r="F356" t="n">
        <v>0.6574298164836764</v>
      </c>
      <c r="G356" t="n">
        <v>0.04432381966376315</v>
      </c>
      <c r="H356" t="n">
        <v>0.6879211075998274</v>
      </c>
    </row>
    <row r="357">
      <c r="A357" t="inlineStr">
        <is>
          <t>Real Estate (General/Diversified)</t>
        </is>
      </c>
      <c r="B357" t="n">
        <v>16</v>
      </c>
      <c r="C357" t="n">
        <v>1.173949558723969</v>
      </c>
      <c r="D357" t="n">
        <v>0.06554242499150495</v>
      </c>
      <c r="E357" t="n">
        <v>0.1728982231292486</v>
      </c>
      <c r="F357" t="n">
        <v>1.122451809263315</v>
      </c>
      <c r="G357" t="n">
        <v>0.02237932520979121</v>
      </c>
      <c r="H357" t="n">
        <v>1.148146554392568</v>
      </c>
    </row>
    <row r="358">
      <c r="A358" t="inlineStr">
        <is>
          <t>Real Estate (Operations &amp; Services)</t>
        </is>
      </c>
      <c r="B358" t="n">
        <v>42</v>
      </c>
      <c r="C358" t="n">
        <v>0.3393979135251153</v>
      </c>
      <c r="D358" t="n">
        <v>0.6808835612418569</v>
      </c>
      <c r="E358" t="n">
        <v>0.1370478839404288</v>
      </c>
      <c r="F358" t="n">
        <v>0.2298480719048915</v>
      </c>
      <c r="G358" t="n">
        <v>0.02356185237202815</v>
      </c>
      <c r="H358" t="n">
        <v>0.2353944000070599</v>
      </c>
    </row>
    <row r="359">
      <c r="A359" t="inlineStr">
        <is>
          <t>Recreation</t>
        </is>
      </c>
      <c r="B359" t="n">
        <v>15</v>
      </c>
      <c r="C359" t="n">
        <v>0.09960242348159977</v>
      </c>
      <c r="D359" t="n">
        <v>0.05249390248429976</v>
      </c>
      <c r="E359" t="n">
        <v>0.1011967138246756</v>
      </c>
      <c r="F359" t="n">
        <v>0.09607218089485577</v>
      </c>
      <c r="G359" t="n">
        <v>0.03824697306663717</v>
      </c>
      <c r="H359" t="n">
        <v>0.09989277725612226</v>
      </c>
    </row>
    <row r="360">
      <c r="A360" t="inlineStr">
        <is>
          <t>Reinsurance</t>
        </is>
      </c>
      <c r="B360" t="n">
        <v>1</v>
      </c>
      <c r="C360" t="n">
        <v>0.9366522015346528</v>
      </c>
      <c r="D360" t="n">
        <v>0</v>
      </c>
      <c r="E360" t="n">
        <v>0.2035450516986706</v>
      </c>
      <c r="F360" t="n">
        <v>0.9366522015346528</v>
      </c>
      <c r="G360" t="n">
        <v>0.3832279757901816</v>
      </c>
      <c r="H360" t="n">
        <v>1.518636002880726</v>
      </c>
    </row>
    <row r="361">
      <c r="A361" t="inlineStr">
        <is>
          <t>Restaurant/Dining</t>
        </is>
      </c>
      <c r="B361" t="n">
        <v>19</v>
      </c>
      <c r="C361" t="n">
        <v>0.5884395044378293</v>
      </c>
      <c r="D361" t="n">
        <v>0.06793284307336843</v>
      </c>
      <c r="E361" t="n">
        <v>0.1674203725252069</v>
      </c>
      <c r="F361" t="n">
        <v>0.5617276738934299</v>
      </c>
      <c r="G361" t="n">
        <v>0.006969913623656565</v>
      </c>
      <c r="H361" t="n">
        <v>0.5656703473539507</v>
      </c>
    </row>
    <row r="362">
      <c r="A362" t="inlineStr">
        <is>
          <t>Retail (Automotive)</t>
        </is>
      </c>
      <c r="B362" t="n">
        <v>10</v>
      </c>
      <c r="C362" t="n">
        <v>0.7879712070548727</v>
      </c>
      <c r="D362" t="n">
        <v>0.1676594370441976</v>
      </c>
      <c r="E362" t="n">
        <v>0.1537105588622089</v>
      </c>
      <c r="F362" t="n">
        <v>0.7052069830145706</v>
      </c>
      <c r="G362" t="n">
        <v>0.01230483088514408</v>
      </c>
      <c r="H362" t="n">
        <v>0.7139925404784119</v>
      </c>
    </row>
    <row r="363">
      <c r="A363" t="inlineStr">
        <is>
          <t>Retail (Building Supply)</t>
        </is>
      </c>
      <c r="B363" t="n">
        <v>3</v>
      </c>
      <c r="C363" t="n">
        <v>1.188483147080861</v>
      </c>
      <c r="D363" t="n">
        <v>0.2113309695319195</v>
      </c>
      <c r="E363" t="n">
        <v>0.08333333333333333</v>
      </c>
      <c r="F363" t="n">
        <v>1.035325681102745</v>
      </c>
      <c r="G363" t="n">
        <v>0.14257096308331</v>
      </c>
      <c r="H363" t="n">
        <v>1.20747681327165</v>
      </c>
    </row>
    <row r="364">
      <c r="A364" t="inlineStr">
        <is>
          <t>Retail (Distributors)</t>
        </is>
      </c>
      <c r="B364" t="n">
        <v>276</v>
      </c>
      <c r="C364" t="n">
        <v>0.5598017072707557</v>
      </c>
      <c r="D364" t="n">
        <v>0.3224832868132056</v>
      </c>
      <c r="E364" t="n">
        <v>0.1490785710652718</v>
      </c>
      <c r="F364" t="n">
        <v>0.4567057314921444</v>
      </c>
      <c r="G364" t="n">
        <v>0.0321288099909435</v>
      </c>
      <c r="H364" t="n">
        <v>0.4718662320012552</v>
      </c>
    </row>
    <row r="365">
      <c r="A365" t="inlineStr">
        <is>
          <t>Retail (General)</t>
        </is>
      </c>
      <c r="B365" t="n">
        <v>11</v>
      </c>
      <c r="C365" t="n">
        <v>1.098425254355333</v>
      </c>
      <c r="D365" t="n">
        <v>0.05555686985965096</v>
      </c>
      <c r="E365" t="n">
        <v>0.1033749897497021</v>
      </c>
      <c r="F365" t="n">
        <v>1.057306795141742</v>
      </c>
      <c r="G365" t="n">
        <v>0.005431960009297142</v>
      </c>
      <c r="H365" t="n">
        <v>1.063081410852118</v>
      </c>
    </row>
    <row r="366">
      <c r="A366" t="inlineStr">
        <is>
          <t>Retail (Grocery and Food)</t>
        </is>
      </c>
      <c r="B366" t="n">
        <v>13</v>
      </c>
      <c r="C366" t="n">
        <v>0.9880405592643846</v>
      </c>
      <c r="D366" t="n">
        <v>0.007867997759355507</v>
      </c>
      <c r="E366" t="n">
        <v>0.2092255035525968</v>
      </c>
      <c r="F366" t="n">
        <v>0.9826286353336261</v>
      </c>
      <c r="G366" t="n">
        <v>0.001360224128329873</v>
      </c>
      <c r="H366" t="n">
        <v>0.9839670510579568</v>
      </c>
    </row>
    <row r="367">
      <c r="A367" t="inlineStr">
        <is>
          <t>Retail (REITs)</t>
        </is>
      </c>
      <c r="B367" t="n">
        <v>1</v>
      </c>
      <c r="C367" t="n">
        <v>0.5139311569072718</v>
      </c>
      <c r="D367" t="n">
        <v>0.2519350141773316</v>
      </c>
      <c r="E367" t="n">
        <v>0.3325183374083129</v>
      </c>
      <c r="F367" t="n">
        <v>0.4368845892726821</v>
      </c>
      <c r="G367" t="n">
        <v>0.0005662167538946531</v>
      </c>
      <c r="H367" t="n">
        <v>0.4371321007918156</v>
      </c>
    </row>
    <row r="368">
      <c r="A368" t="inlineStr">
        <is>
          <t>Retail (Special Lines)</t>
        </is>
      </c>
      <c r="B368" t="n">
        <v>61</v>
      </c>
      <c r="C368" t="n">
        <v>0.6400962701338794</v>
      </c>
      <c r="D368" t="n">
        <v>0.08075191338918304</v>
      </c>
      <c r="E368" t="n">
        <v>0.2170786138579232</v>
      </c>
      <c r="F368" t="n">
        <v>0.6058497987982899</v>
      </c>
      <c r="G368" t="n">
        <v>0.01591456453982217</v>
      </c>
      <c r="H368" t="n">
        <v>0.6156475616519846</v>
      </c>
    </row>
    <row r="369">
      <c r="A369" t="inlineStr">
        <is>
          <t>Rubber&amp; Tires</t>
        </is>
      </c>
      <c r="B369" t="n">
        <v>18</v>
      </c>
      <c r="C369" t="n">
        <v>0.719485645150865</v>
      </c>
      <c r="D369" t="n">
        <v>0.1205465513226189</v>
      </c>
      <c r="E369" t="n">
        <v>0.2397683441930293</v>
      </c>
      <c r="F369" t="n">
        <v>0.6634979706323636</v>
      </c>
      <c r="G369" t="n">
        <v>0.01218761646848107</v>
      </c>
      <c r="H369" t="n">
        <v>0.6716842000505179</v>
      </c>
    </row>
    <row r="370">
      <c r="A370" t="inlineStr">
        <is>
          <t>Semiconductor</t>
        </is>
      </c>
      <c r="B370" t="n">
        <v>18</v>
      </c>
      <c r="C370" t="n">
        <v>1.91728065056186</v>
      </c>
      <c r="D370" t="n">
        <v>0.04578508420995792</v>
      </c>
      <c r="E370" t="n">
        <v>0.2289526714736909</v>
      </c>
      <c r="F370" t="n">
        <v>1.857740874884067</v>
      </c>
      <c r="G370" t="n">
        <v>0.06478848051249458</v>
      </c>
      <c r="H370" t="n">
        <v>1.986439255904489</v>
      </c>
    </row>
    <row r="371">
      <c r="A371" t="inlineStr">
        <is>
          <t>Semiconductor Equip</t>
        </is>
      </c>
      <c r="B371" t="n">
        <v>2</v>
      </c>
      <c r="C371" t="n">
        <v>1.321416612322032</v>
      </c>
      <c r="D371" t="n">
        <v>0.02595014164305949</v>
      </c>
      <c r="E371" t="n">
        <v>0.1239583333333333</v>
      </c>
      <c r="F371" t="n">
        <v>1.297841198274242</v>
      </c>
      <c r="G371" t="n">
        <v>0.00851998175394107</v>
      </c>
      <c r="H371" t="n">
        <v>1.308993801579723</v>
      </c>
    </row>
    <row r="372">
      <c r="A372" t="inlineStr">
        <is>
          <t>Shipbuilding &amp; Marine</t>
        </is>
      </c>
      <c r="B372" t="n">
        <v>28</v>
      </c>
      <c r="C372" t="n">
        <v>1.164401736767606</v>
      </c>
      <c r="D372" t="n">
        <v>0.1764725619716452</v>
      </c>
      <c r="E372" t="n">
        <v>0.1719280380732822</v>
      </c>
      <c r="F372" t="n">
        <v>1.03637723472135</v>
      </c>
      <c r="G372" t="n">
        <v>0.03040652840803671</v>
      </c>
      <c r="H372" t="n">
        <v>1.068878107254307</v>
      </c>
    </row>
    <row r="373">
      <c r="A373" t="inlineStr">
        <is>
          <t>Shoe</t>
        </is>
      </c>
      <c r="B373" t="n">
        <v>13</v>
      </c>
      <c r="C373" t="n">
        <v>0.2774972615031248</v>
      </c>
      <c r="D373" t="n">
        <v>0.07640596523103137</v>
      </c>
      <c r="E373" t="n">
        <v>0.1914191137801803</v>
      </c>
      <c r="F373" t="n">
        <v>0.263409045825317</v>
      </c>
      <c r="G373" t="n">
        <v>0.01877566596529191</v>
      </c>
      <c r="H373" t="n">
        <v>0.268449361362862</v>
      </c>
    </row>
    <row r="374">
      <c r="A374" t="inlineStr">
        <is>
          <t>Software (Entertainment)</t>
        </is>
      </c>
      <c r="B374" t="n">
        <v>4</v>
      </c>
      <c r="C374" t="n">
        <v>0.6079900983330981</v>
      </c>
      <c r="D374" t="n">
        <v>0.005724595373232898</v>
      </c>
      <c r="E374" t="n">
        <v>0.2190969949443717</v>
      </c>
      <c r="F374" t="n">
        <v>0.6055634742291583</v>
      </c>
      <c r="G374" t="n">
        <v>0.005236916511780398</v>
      </c>
      <c r="H374" t="n">
        <v>0.6087514547742359</v>
      </c>
    </row>
    <row r="375">
      <c r="A375" t="inlineStr">
        <is>
          <t>Software (Internet)</t>
        </is>
      </c>
      <c r="B375" t="n">
        <v>6</v>
      </c>
      <c r="C375" t="n">
        <v>0.4634610856496328</v>
      </c>
      <c r="D375" t="n">
        <v>0.1186200609390487</v>
      </c>
      <c r="E375" t="n">
        <v>0.159483879082638</v>
      </c>
      <c r="F375" t="n">
        <v>0.4279284559813871</v>
      </c>
      <c r="G375" t="n">
        <v>0.07673406096937312</v>
      </c>
      <c r="H375" t="n">
        <v>0.4634942521877131</v>
      </c>
    </row>
    <row r="376">
      <c r="A376" t="inlineStr">
        <is>
          <t>Software (System &amp; Application)</t>
        </is>
      </c>
      <c r="B376" t="n">
        <v>82</v>
      </c>
      <c r="C376" t="n">
        <v>0.8643981814885346</v>
      </c>
      <c r="D376" t="n">
        <v>0.01556056209728855</v>
      </c>
      <c r="E376" t="n">
        <v>0.1740720883531169</v>
      </c>
      <c r="F376" t="n">
        <v>0.8550842672017891</v>
      </c>
      <c r="G376" t="n">
        <v>0.06046175163803328</v>
      </c>
      <c r="H376" t="n">
        <v>0.9101111835442373</v>
      </c>
    </row>
    <row r="377">
      <c r="A377" t="inlineStr">
        <is>
          <t>Steel</t>
        </is>
      </c>
      <c r="B377" t="n">
        <v>185</v>
      </c>
      <c r="C377" t="n">
        <v>1.060177306054625</v>
      </c>
      <c r="D377" t="n">
        <v>0.2625521861546137</v>
      </c>
      <c r="E377" t="n">
        <v>0.1851456735047935</v>
      </c>
      <c r="F377" t="n">
        <v>0.8955814911820124</v>
      </c>
      <c r="G377" t="n">
        <v>0.03050657849104326</v>
      </c>
      <c r="H377" t="n">
        <v>0.9237623188696783</v>
      </c>
    </row>
    <row r="378">
      <c r="A378" t="inlineStr">
        <is>
          <t>Telecom (Wireless)</t>
        </is>
      </c>
      <c r="B378" t="n">
        <v>4</v>
      </c>
      <c r="C378" t="n">
        <v>0.9637785266591039</v>
      </c>
      <c r="D378" t="n">
        <v>0.3397016057116352</v>
      </c>
      <c r="E378" t="n">
        <v>0.07906563461620252</v>
      </c>
      <c r="F378" t="n">
        <v>0.7786277571178872</v>
      </c>
      <c r="G378" t="n">
        <v>0.01160791104555326</v>
      </c>
      <c r="H378" t="n">
        <v>0.7877721461141448</v>
      </c>
    </row>
    <row r="379">
      <c r="A379" t="inlineStr">
        <is>
          <t>Telecom. Equipment</t>
        </is>
      </c>
      <c r="B379" t="n">
        <v>22</v>
      </c>
      <c r="C379" t="n">
        <v>0.9368345900394728</v>
      </c>
      <c r="D379" t="n">
        <v>0.2634544498456961</v>
      </c>
      <c r="E379" t="n">
        <v>0.1509182649660353</v>
      </c>
      <c r="F379" t="n">
        <v>0.790966110920135</v>
      </c>
      <c r="G379" t="n">
        <v>0.0144345573712056</v>
      </c>
      <c r="H379" t="n">
        <v>0.8025505732124643</v>
      </c>
    </row>
    <row r="380">
      <c r="A380" t="inlineStr">
        <is>
          <t>Telecom. Services</t>
        </is>
      </c>
      <c r="B380" t="n">
        <v>11</v>
      </c>
      <c r="C380" t="n">
        <v>0.8608167913982094</v>
      </c>
      <c r="D380" t="n">
        <v>0.4894195782073655</v>
      </c>
      <c r="E380" t="n">
        <v>0.1400837962184348</v>
      </c>
      <c r="F380" t="n">
        <v>0.6411595617913352</v>
      </c>
      <c r="G380" t="n">
        <v>0.01119190473776656</v>
      </c>
      <c r="H380" t="n">
        <v>0.648416578366805</v>
      </c>
    </row>
    <row r="381">
      <c r="A381" t="inlineStr">
        <is>
          <t>Tobacco</t>
        </is>
      </c>
      <c r="B381" t="n">
        <v>7</v>
      </c>
      <c r="C381" t="n">
        <v>0.1580866526123928</v>
      </c>
      <c r="D381" t="n">
        <v>0.01465164579067161</v>
      </c>
      <c r="E381" t="n">
        <v>0.1293642563775049</v>
      </c>
      <c r="F381" t="n">
        <v>0.1564817519705891</v>
      </c>
      <c r="G381" t="n">
        <v>0.007377456827617197</v>
      </c>
      <c r="H381" t="n">
        <v>0.1576447694513158</v>
      </c>
    </row>
    <row r="382">
      <c r="A382" t="inlineStr">
        <is>
          <t>Transportation</t>
        </is>
      </c>
      <c r="B382" t="n">
        <v>59</v>
      </c>
      <c r="C382" t="n">
        <v>1.129276008108128</v>
      </c>
      <c r="D382" t="n">
        <v>0.2128924577202274</v>
      </c>
      <c r="E382" t="n">
        <v>0.169439645237244</v>
      </c>
      <c r="F382" t="n">
        <v>0.9828126306202662</v>
      </c>
      <c r="G382" t="n">
        <v>0.03153496301540224</v>
      </c>
      <c r="H382" t="n">
        <v>1.014814777083064</v>
      </c>
    </row>
    <row r="383">
      <c r="A383" t="inlineStr">
        <is>
          <t>Transportation (Railroads)</t>
        </is>
      </c>
      <c r="B383" t="n">
        <v>3</v>
      </c>
      <c r="C383" t="n">
        <v>1.339235176249429</v>
      </c>
      <c r="D383" t="n">
        <v>0.02292057760115412</v>
      </c>
      <c r="E383" t="n">
        <v>0.2509887795585228</v>
      </c>
      <c r="F383" t="n">
        <v>1.318087251456951</v>
      </c>
      <c r="G383" t="n">
        <v>0.09885230855548816</v>
      </c>
      <c r="H383" t="n">
        <v>1.462676167259662</v>
      </c>
    </row>
    <row r="384">
      <c r="A384" t="inlineStr">
        <is>
          <t>Trucking</t>
        </is>
      </c>
      <c r="B384" t="n">
        <v>24</v>
      </c>
      <c r="C384" t="n">
        <v>0.3372011563253062</v>
      </c>
      <c r="D384" t="n">
        <v>0.2833678469908806</v>
      </c>
      <c r="E384" t="n">
        <v>0.2507819249194936</v>
      </c>
      <c r="F384" t="n">
        <v>0.2813861125122877</v>
      </c>
      <c r="G384" t="n">
        <v>0.01698270159754656</v>
      </c>
      <c r="H384" t="n">
        <v>0.2862473661140869</v>
      </c>
    </row>
    <row r="385">
      <c r="A385" t="inlineStr">
        <is>
          <t>Utility (General)</t>
        </is>
      </c>
      <c r="B385" t="n">
        <v>0</v>
      </c>
      <c r="C385" t="n">
        <v>0</v>
      </c>
      <c r="D385" t="n">
        <v>7</v>
      </c>
      <c r="E385" t="n">
        <v>0</v>
      </c>
      <c r="F385" t="inlineStr">
        <is>
          <t>NA</t>
        </is>
      </c>
      <c r="G385" t="n">
        <v>7</v>
      </c>
      <c r="H385" t="inlineStr">
        <is>
          <t>NA</t>
        </is>
      </c>
    </row>
    <row r="386">
      <c r="A386" t="inlineStr">
        <is>
          <t>Utility (Water)</t>
        </is>
      </c>
      <c r="B386" t="n">
        <v>1</v>
      </c>
      <c r="C386" t="n">
        <v>1.3711491996254</v>
      </c>
      <c r="D386" t="n">
        <v>0.02999114652501107</v>
      </c>
      <c r="E386" t="n">
        <v>0.2372881355932203</v>
      </c>
      <c r="F386" t="n">
        <v>1.342955457885593</v>
      </c>
      <c r="G386" t="n">
        <v>0.0964865155259482</v>
      </c>
      <c r="H386" t="n">
        <v>1.486370132779309</v>
      </c>
    </row>
    <row r="387">
      <c r="A387" t="inlineStr">
        <is>
          <t>Total Market</t>
        </is>
      </c>
      <c r="B387" t="n">
        <v>5170</v>
      </c>
      <c r="C387" t="n">
        <v>0.7655218011357747</v>
      </c>
      <c r="D387" t="n">
        <v>0.3027444163948531</v>
      </c>
      <c r="E387" t="n">
        <v>0.1775469137245779</v>
      </c>
      <c r="F387" t="n">
        <v>0.6316597726698477</v>
      </c>
      <c r="G387" t="n">
        <v>0.05745549373408934</v>
      </c>
      <c r="H387" t="n">
        <v>0.6701643991033394</v>
      </c>
    </row>
    <row r="388">
      <c r="A388" t="inlineStr">
        <is>
          <t>Total Market (without financials)</t>
        </is>
      </c>
      <c r="B388" t="n">
        <v>4523</v>
      </c>
      <c r="C388" t="n">
        <v>0.7851308890480704</v>
      </c>
      <c r="D388" t="n">
        <v>0.1729757068191648</v>
      </c>
      <c r="E388" t="n">
        <v>0.1810988801738277</v>
      </c>
      <c r="F388" t="n">
        <v>0.700332529088763</v>
      </c>
      <c r="G388" t="n">
        <v>0.02978721543664717</v>
      </c>
      <c r="H388" t="n">
        <v>0.721833952542637</v>
      </c>
    </row>
    <row r="390">
      <c r="A390" s="104" t="inlineStr">
        <is>
          <t>Beta Source: Emerging Markets</t>
        </is>
      </c>
    </row>
    <row r="391">
      <c r="A391" s="100" t="inlineStr">
        <is>
          <t>Industry</t>
        </is>
      </c>
      <c r="B391" s="100" t="inlineStr">
        <is>
          <t>N Firms</t>
        </is>
      </c>
      <c r="C391" s="100" t="inlineStr">
        <is>
          <t>Levered Beta</t>
        </is>
      </c>
      <c r="D391" s="100" t="inlineStr">
        <is>
          <t>D/E</t>
        </is>
      </c>
      <c r="E391" s="100" t="inlineStr">
        <is>
          <t>Eff. Tax</t>
        </is>
      </c>
      <c r="F391" s="100" t="inlineStr">
        <is>
          <t>Unlevered Beta</t>
        </is>
      </c>
      <c r="G391" s="100" t="inlineStr">
        <is>
          <t>Cash/Firm Value</t>
        </is>
      </c>
      <c r="H391" s="100" t="inlineStr">
        <is>
          <t>Unlevered Beta (cash-adj)</t>
        </is>
      </c>
    </row>
    <row r="392">
      <c r="A392" t="inlineStr">
        <is>
          <t>Advertising</t>
        </is>
      </c>
      <c r="B392" t="n">
        <v>184</v>
      </c>
      <c r="C392" t="n">
        <v>1.439915980520334</v>
      </c>
      <c r="D392" t="n">
        <v>0.3158500452291263</v>
      </c>
      <c r="E392" t="n">
        <v>0.1028054729138268</v>
      </c>
      <c r="F392" t="n">
        <v>1.163283171862054</v>
      </c>
      <c r="G392" t="n">
        <v>0.09188410723512229</v>
      </c>
      <c r="H392" t="n">
        <v>1.280985368861111</v>
      </c>
    </row>
    <row r="393">
      <c r="A393" t="inlineStr">
        <is>
          <t>Aerospace/Defense</t>
        </is>
      </c>
      <c r="B393" t="n">
        <v>151</v>
      </c>
      <c r="C393" t="n">
        <v>1.282566043518644</v>
      </c>
      <c r="D393" t="n">
        <v>0.1203011179767004</v>
      </c>
      <c r="E393" t="n">
        <v>0.1074434135253777</v>
      </c>
      <c r="F393" t="n">
        <v>1.176046014757088</v>
      </c>
      <c r="G393" t="n">
        <v>0.06385832398002231</v>
      </c>
      <c r="H393" t="n">
        <v>1.256269264452649</v>
      </c>
    </row>
    <row r="394">
      <c r="A394" t="inlineStr">
        <is>
          <t>Air Transport</t>
        </is>
      </c>
      <c r="B394" t="n">
        <v>79</v>
      </c>
      <c r="C394" t="n">
        <v>0.8725264691967543</v>
      </c>
      <c r="D394" t="n">
        <v>0.8001972141639346</v>
      </c>
      <c r="E394" t="n">
        <v>0.1373716340744387</v>
      </c>
      <c r="F394" t="n">
        <v>0.5444890047457032</v>
      </c>
      <c r="G394" t="n">
        <v>0.07994547039546288</v>
      </c>
      <c r="H394" t="n">
        <v>0.5918007979154652</v>
      </c>
    </row>
    <row r="395">
      <c r="A395" t="inlineStr">
        <is>
          <t>Apparel</t>
        </is>
      </c>
      <c r="B395" t="n">
        <v>993</v>
      </c>
      <c r="C395" t="n">
        <v>0.7324387030598308</v>
      </c>
      <c r="D395" t="n">
        <v>0.2597807911140349</v>
      </c>
      <c r="E395" t="n">
        <v>0.1450155280246053</v>
      </c>
      <c r="F395" t="n">
        <v>0.6126174872941978</v>
      </c>
      <c r="G395" t="n">
        <v>0.08041120003106456</v>
      </c>
      <c r="H395" t="n">
        <v>0.6661863294930219</v>
      </c>
    </row>
    <row r="396">
      <c r="A396" t="inlineStr">
        <is>
          <t>Auto &amp; Truck</t>
        </is>
      </c>
      <c r="B396" t="n">
        <v>89</v>
      </c>
      <c r="C396" t="n">
        <v>1.350538916415219</v>
      </c>
      <c r="D396" t="n">
        <v>0.4021626021950477</v>
      </c>
      <c r="E396" t="n">
        <v>0.139095305533551</v>
      </c>
      <c r="F396" t="n">
        <v>1.036652690262695</v>
      </c>
      <c r="G396" t="n">
        <v>0.1483002440638085</v>
      </c>
      <c r="H396" t="n">
        <v>1.217157434926352</v>
      </c>
    </row>
    <row r="397">
      <c r="A397" t="inlineStr">
        <is>
          <t>Auto Parts</t>
        </is>
      </c>
      <c r="B397" t="n">
        <v>592</v>
      </c>
      <c r="C397" t="n">
        <v>1.524830621431327</v>
      </c>
      <c r="D397" t="n">
        <v>0.1844752050536944</v>
      </c>
      <c r="E397" t="n">
        <v>0.1618776203480402</v>
      </c>
      <c r="F397" t="n">
        <v>1.338872736843131</v>
      </c>
      <c r="G397" t="n">
        <v>0.08727324042953315</v>
      </c>
      <c r="H397" t="n">
        <v>1.466893265486387</v>
      </c>
    </row>
    <row r="398">
      <c r="A398" t="inlineStr">
        <is>
          <t>Bank (Money Center)</t>
        </is>
      </c>
      <c r="B398" t="n">
        <v>455</v>
      </c>
      <c r="C398" t="n">
        <v>0.5856977191575352</v>
      </c>
      <c r="D398" t="n">
        <v>1.789918979940586</v>
      </c>
      <c r="E398" t="n">
        <v>0.215455026357326</v>
      </c>
      <c r="F398" t="n">
        <v>0.2494846799360278</v>
      </c>
      <c r="G398" t="n">
        <v>0.1800725605209288</v>
      </c>
      <c r="H398" t="n">
        <v>0.3042765346340089</v>
      </c>
    </row>
    <row r="399">
      <c r="A399" t="inlineStr">
        <is>
          <t>Banks (Regional)</t>
        </is>
      </c>
      <c r="B399" t="n">
        <v>104</v>
      </c>
      <c r="C399" t="n">
        <v>0.6040309212598437</v>
      </c>
      <c r="D399" t="n">
        <v>5.401252648141996</v>
      </c>
      <c r="E399" t="n">
        <v>0.1529717858406711</v>
      </c>
      <c r="F399" t="n">
        <v>0.1192181244708509</v>
      </c>
      <c r="G399" t="n">
        <v>0.1278879479800823</v>
      </c>
      <c r="H399" t="n">
        <v>0.1367004666369731</v>
      </c>
    </row>
    <row r="400">
      <c r="A400" t="inlineStr">
        <is>
          <t>Beverage (Alcoholic)</t>
        </is>
      </c>
      <c r="B400" t="n">
        <v>132</v>
      </c>
      <c r="C400" t="n">
        <v>0.9057099640294072</v>
      </c>
      <c r="D400" t="n">
        <v>0.02593069824815781</v>
      </c>
      <c r="E400" t="n">
        <v>0.1923418527997469</v>
      </c>
      <c r="F400" t="n">
        <v>0.8883661929946163</v>
      </c>
      <c r="G400" t="n">
        <v>0.06779654388871395</v>
      </c>
      <c r="H400" t="n">
        <v>0.9529745756365909</v>
      </c>
    </row>
    <row r="401">
      <c r="A401" t="inlineStr">
        <is>
          <t>Beverage (Soft)</t>
        </is>
      </c>
      <c r="B401" t="n">
        <v>40</v>
      </c>
      <c r="C401" t="n">
        <v>0.570851010291039</v>
      </c>
      <c r="D401" t="n">
        <v>0.05010321856128182</v>
      </c>
      <c r="E401" t="n">
        <v>0.1658905924979863</v>
      </c>
      <c r="F401" t="n">
        <v>0.550099754972675</v>
      </c>
      <c r="G401" t="n">
        <v>0.05077460320685437</v>
      </c>
      <c r="H401" t="n">
        <v>0.5795249019159485</v>
      </c>
    </row>
    <row r="402">
      <c r="A402" t="inlineStr">
        <is>
          <t>Broadcasting</t>
        </is>
      </c>
      <c r="B402" t="n">
        <v>63</v>
      </c>
      <c r="C402" t="n">
        <v>0.9032628137533893</v>
      </c>
      <c r="D402" t="n">
        <v>0.3304295254960128</v>
      </c>
      <c r="E402" t="n">
        <v>0.1238041540842583</v>
      </c>
      <c r="F402" t="n">
        <v>0.7233159818734415</v>
      </c>
      <c r="G402" t="n">
        <v>0.1552264902572237</v>
      </c>
      <c r="H402" t="n">
        <v>0.8562247437111076</v>
      </c>
    </row>
    <row r="403">
      <c r="A403" t="inlineStr">
        <is>
          <t>Brokerage &amp; Investment Banking</t>
        </is>
      </c>
      <c r="B403" t="n">
        <v>468</v>
      </c>
      <c r="C403" t="n">
        <v>0.9674978077764113</v>
      </c>
      <c r="D403" t="n">
        <v>2.063838536424714</v>
      </c>
      <c r="E403" t="n">
        <v>0.1425919458417571</v>
      </c>
      <c r="F403" t="n">
        <v>0.378836850696772</v>
      </c>
      <c r="G403" t="n">
        <v>0.1068522450190361</v>
      </c>
      <c r="H403" t="n">
        <v>0.4241592150728145</v>
      </c>
    </row>
    <row r="404">
      <c r="A404" t="inlineStr">
        <is>
          <t>Building Materials</t>
        </is>
      </c>
      <c r="B404" t="n">
        <v>281</v>
      </c>
      <c r="C404" t="n">
        <v>1.005170562699042</v>
      </c>
      <c r="D404" t="n">
        <v>0.2881995389807001</v>
      </c>
      <c r="E404" t="n">
        <v>0.1479493437625396</v>
      </c>
      <c r="F404" t="n">
        <v>0.8259511868642218</v>
      </c>
      <c r="G404" t="n">
        <v>0.07267630493479899</v>
      </c>
      <c r="H404" t="n">
        <v>0.8906827154957453</v>
      </c>
    </row>
    <row r="405">
      <c r="A405" t="inlineStr">
        <is>
          <t>Business &amp; Consumer Services</t>
        </is>
      </c>
      <c r="B405" t="n">
        <v>379</v>
      </c>
      <c r="C405" t="n">
        <v>1.097230680162762</v>
      </c>
      <c r="D405" t="n">
        <v>0.1529132181158824</v>
      </c>
      <c r="E405" t="n">
        <v>0.1216014447255067</v>
      </c>
      <c r="F405" t="n">
        <v>0.983950115190435</v>
      </c>
      <c r="G405" t="n">
        <v>0.1142035725818388</v>
      </c>
      <c r="H405" t="n">
        <v>1.110808403301381</v>
      </c>
    </row>
    <row r="406">
      <c r="A406" t="inlineStr">
        <is>
          <t>Cable TV</t>
        </is>
      </c>
      <c r="B406" t="n">
        <v>29</v>
      </c>
      <c r="C406" t="n">
        <v>1.103695188360488</v>
      </c>
      <c r="D406" t="n">
        <v>0.2336502193761894</v>
      </c>
      <c r="E406" t="n">
        <v>0.09165195408919299</v>
      </c>
      <c r="F406" t="n">
        <v>0.9385839567966258</v>
      </c>
      <c r="G406" t="n">
        <v>0.08675279304666751</v>
      </c>
      <c r="H406" t="n">
        <v>1.027743583172642</v>
      </c>
    </row>
    <row r="407">
      <c r="A407" t="inlineStr">
        <is>
          <t>Chemical (Basic)</t>
        </is>
      </c>
      <c r="B407" t="n">
        <v>741</v>
      </c>
      <c r="C407" t="n">
        <v>1.306326312636334</v>
      </c>
      <c r="D407" t="n">
        <v>0.4623011023544075</v>
      </c>
      <c r="E407" t="n">
        <v>0.1455514955122085</v>
      </c>
      <c r="F407" t="n">
        <v>0.96903699681918</v>
      </c>
      <c r="G407" t="n">
        <v>0.08625606935467355</v>
      </c>
      <c r="H407" t="n">
        <v>1.060512649462747</v>
      </c>
    </row>
    <row r="408">
      <c r="A408" t="inlineStr">
        <is>
          <t>Chemical (Diversified)</t>
        </is>
      </c>
      <c r="B408" t="n">
        <v>29</v>
      </c>
      <c r="C408" t="n">
        <v>0.9832736565837665</v>
      </c>
      <c r="D408" t="n">
        <v>0.3193476045897463</v>
      </c>
      <c r="E408" t="n">
        <v>0.2135787881271695</v>
      </c>
      <c r="F408" t="n">
        <v>0.7926833898118627</v>
      </c>
      <c r="G408" t="n">
        <v>0.07764542875793352</v>
      </c>
      <c r="H408" t="n">
        <v>0.8594128706321852</v>
      </c>
    </row>
    <row r="409">
      <c r="A409" t="inlineStr">
        <is>
          <t>Chemical (Specialty)</t>
        </is>
      </c>
      <c r="B409" t="n">
        <v>687</v>
      </c>
      <c r="C409" t="n">
        <v>1.182250775088484</v>
      </c>
      <c r="D409" t="n">
        <v>0.2005629252968154</v>
      </c>
      <c r="E409" t="n">
        <v>0.1601022750330642</v>
      </c>
      <c r="F409" t="n">
        <v>1.027147562774594</v>
      </c>
      <c r="G409" t="n">
        <v>0.07141968485248609</v>
      </c>
      <c r="H409" t="n">
        <v>1.106148327742034</v>
      </c>
    </row>
    <row r="410">
      <c r="A410" t="inlineStr">
        <is>
          <t>Coal &amp; Related Energy</t>
        </is>
      </c>
      <c r="B410" t="n">
        <v>96</v>
      </c>
      <c r="C410" t="n">
        <v>0.9880559600328697</v>
      </c>
      <c r="D410" t="n">
        <v>0.2303014482249752</v>
      </c>
      <c r="E410" t="n">
        <v>0.2021672555188101</v>
      </c>
      <c r="F410" t="n">
        <v>0.8420496384032041</v>
      </c>
      <c r="G410" t="n">
        <v>0.1296144073526779</v>
      </c>
      <c r="H410" t="n">
        <v>0.9674443666307335</v>
      </c>
    </row>
    <row r="411">
      <c r="A411" t="inlineStr">
        <is>
          <t>Computer Services</t>
        </is>
      </c>
      <c r="B411" t="n">
        <v>693</v>
      </c>
      <c r="C411" t="n">
        <v>1.101243225379237</v>
      </c>
      <c r="D411" t="n">
        <v>0.1018818673373844</v>
      </c>
      <c r="E411" t="n">
        <v>0.1377830720927192</v>
      </c>
      <c r="F411" t="n">
        <v>1.022788345110347</v>
      </c>
      <c r="G411" t="n">
        <v>0.05493737891285173</v>
      </c>
      <c r="H411" t="n">
        <v>1.082243993454939</v>
      </c>
    </row>
    <row r="412">
      <c r="A412" t="inlineStr">
        <is>
          <t>Computers/Peripherals</t>
        </is>
      </c>
      <c r="B412" t="n">
        <v>244</v>
      </c>
      <c r="C412" t="n">
        <v>1.590448069557944</v>
      </c>
      <c r="D412" t="n">
        <v>0.1051500528423654</v>
      </c>
      <c r="E412" t="n">
        <v>0.133903610640047</v>
      </c>
      <c r="F412" t="n">
        <v>1.473773169335723</v>
      </c>
      <c r="G412" t="n">
        <v>0.08901265868886668</v>
      </c>
      <c r="H412" t="n">
        <v>1.61777568414354</v>
      </c>
    </row>
    <row r="413">
      <c r="A413" t="inlineStr">
        <is>
          <t>Construction Supplies</t>
        </is>
      </c>
      <c r="B413" t="n">
        <v>580</v>
      </c>
      <c r="C413" t="n">
        <v>0.9973400371271698</v>
      </c>
      <c r="D413" t="n">
        <v>0.3264751773337438</v>
      </c>
      <c r="E413" t="n">
        <v>0.1529399911217126</v>
      </c>
      <c r="F413" t="n">
        <v>0.8005598864550489</v>
      </c>
      <c r="G413" t="n">
        <v>0.1165849007488396</v>
      </c>
      <c r="H413" t="n">
        <v>0.9062103275500444</v>
      </c>
    </row>
    <row r="414">
      <c r="A414" t="inlineStr">
        <is>
          <t>Diversified</t>
        </is>
      </c>
      <c r="B414" t="n">
        <v>215</v>
      </c>
      <c r="C414" t="n">
        <v>0.6979138911702634</v>
      </c>
      <c r="D414" t="n">
        <v>1.222829525149484</v>
      </c>
      <c r="E414" t="n">
        <v>0.1502244464065926</v>
      </c>
      <c r="F414" t="n">
        <v>0.3633703295820864</v>
      </c>
      <c r="G414" t="n">
        <v>0.1557055519251317</v>
      </c>
      <c r="H414" t="n">
        <v>0.4303834170775743</v>
      </c>
    </row>
    <row r="415">
      <c r="A415" t="inlineStr">
        <is>
          <t>Drugs (Biotechnology)</t>
        </is>
      </c>
      <c r="B415" t="n">
        <v>382</v>
      </c>
      <c r="C415" t="n">
        <v>1.423715612685613</v>
      </c>
      <c r="D415" t="n">
        <v>0.0844749992833545</v>
      </c>
      <c r="E415" t="n">
        <v>0.03273948797653944</v>
      </c>
      <c r="F415" t="n">
        <v>1.338580265419881</v>
      </c>
      <c r="G415" t="n">
        <v>0.05295206612394963</v>
      </c>
      <c r="H415" t="n">
        <v>1.41342398577586</v>
      </c>
    </row>
    <row r="416">
      <c r="A416" t="inlineStr">
        <is>
          <t>Drugs (Pharmaceutical)</t>
        </is>
      </c>
      <c r="B416" t="n">
        <v>753</v>
      </c>
      <c r="C416" t="n">
        <v>1.050896875780674</v>
      </c>
      <c r="D416" t="n">
        <v>0.1058894542705116</v>
      </c>
      <c r="E416" t="n">
        <v>0.139462978306192</v>
      </c>
      <c r="F416" t="n">
        <v>0.9733012419862904</v>
      </c>
      <c r="G416" t="n">
        <v>0.07333270096902407</v>
      </c>
      <c r="H416" t="n">
        <v>1.050324364530916</v>
      </c>
    </row>
    <row r="417">
      <c r="A417" t="inlineStr">
        <is>
          <t>Education</t>
        </is>
      </c>
      <c r="B417" t="n">
        <v>182</v>
      </c>
      <c r="C417" t="n">
        <v>0.8473308822893773</v>
      </c>
      <c r="D417" t="n">
        <v>0.3394631792631491</v>
      </c>
      <c r="E417" t="n">
        <v>0.1194367957432647</v>
      </c>
      <c r="F417" t="n">
        <v>0.6748511834259766</v>
      </c>
      <c r="G417" t="n">
        <v>0.1237988550193329</v>
      </c>
      <c r="H417" t="n">
        <v>0.7702012115504218</v>
      </c>
    </row>
    <row r="418">
      <c r="A418" t="inlineStr">
        <is>
          <t>Electrical Equipment</t>
        </is>
      </c>
      <c r="B418" t="n">
        <v>810</v>
      </c>
      <c r="C418" t="n">
        <v>1.475099665042089</v>
      </c>
      <c r="D418" t="n">
        <v>0.1605882636657565</v>
      </c>
      <c r="E418" t="n">
        <v>0.1295766980475969</v>
      </c>
      <c r="F418" t="n">
        <v>1.315987670478769</v>
      </c>
      <c r="G418" t="n">
        <v>0.09267950247101667</v>
      </c>
      <c r="H418" t="n">
        <v>1.450411044457564</v>
      </c>
    </row>
    <row r="419">
      <c r="A419" t="inlineStr">
        <is>
          <t>Electronics (Consumer &amp; Office)</t>
        </is>
      </c>
      <c r="B419" t="n">
        <v>81</v>
      </c>
      <c r="C419" t="n">
        <v>1.21272516432425</v>
      </c>
      <c r="D419" t="n">
        <v>0.2815941573368771</v>
      </c>
      <c r="E419" t="n">
        <v>0.1357096829482956</v>
      </c>
      <c r="F419" t="n">
        <v>1.000588214575038</v>
      </c>
      <c r="G419" t="n">
        <v>0.1705252981928508</v>
      </c>
      <c r="H419" t="n">
        <v>1.206291418406239</v>
      </c>
    </row>
    <row r="420">
      <c r="A420" t="inlineStr">
        <is>
          <t>Electronics (General)</t>
        </is>
      </c>
      <c r="B420" t="n">
        <v>1050</v>
      </c>
      <c r="C420" t="n">
        <v>1.765296948905287</v>
      </c>
      <c r="D420" t="n">
        <v>0.1602160914664816</v>
      </c>
      <c r="E420" t="n">
        <v>0.1117496237405109</v>
      </c>
      <c r="F420" t="n">
        <v>1.57527654513679</v>
      </c>
      <c r="G420" t="n">
        <v>0.08602208199508594</v>
      </c>
      <c r="H420" t="n">
        <v>1.723538954393339</v>
      </c>
    </row>
    <row r="421">
      <c r="A421" t="inlineStr">
        <is>
          <t>Engineering/Construction</t>
        </is>
      </c>
      <c r="B421" t="n">
        <v>999</v>
      </c>
      <c r="C421" t="n">
        <v>1.02013786757261</v>
      </c>
      <c r="D421" t="n">
        <v>1.444944063456838</v>
      </c>
      <c r="E421" t="n">
        <v>0.1591598884614167</v>
      </c>
      <c r="F421" t="n">
        <v>0.4885955536521852</v>
      </c>
      <c r="G421" t="n">
        <v>0.2028776896416235</v>
      </c>
      <c r="H421" t="n">
        <v>0.6129492893412035</v>
      </c>
    </row>
    <row r="422">
      <c r="A422" t="inlineStr">
        <is>
          <t>Entertainment</t>
        </is>
      </c>
      <c r="B422" t="n">
        <v>343</v>
      </c>
      <c r="C422" t="n">
        <v>1.187443027971161</v>
      </c>
      <c r="D422" t="n">
        <v>0.08157896017399456</v>
      </c>
      <c r="E422" t="n">
        <v>0.07968092664070184</v>
      </c>
      <c r="F422" t="n">
        <v>1.11872975257432</v>
      </c>
      <c r="G422" t="n">
        <v>0.07982735976838215</v>
      </c>
      <c r="H422" t="n">
        <v>1.215782456097285</v>
      </c>
    </row>
    <row r="423">
      <c r="A423" t="inlineStr">
        <is>
          <t>Environmental &amp; Waste Services</t>
        </is>
      </c>
      <c r="B423" t="n">
        <v>223</v>
      </c>
      <c r="C423" t="n">
        <v>1.242502585150676</v>
      </c>
      <c r="D423" t="n">
        <v>0.6755421551077743</v>
      </c>
      <c r="E423" t="n">
        <v>0.1262884700404943</v>
      </c>
      <c r="F423" t="n">
        <v>0.8236044438326535</v>
      </c>
      <c r="G423" t="n">
        <v>0.07498859590834667</v>
      </c>
      <c r="H423" t="n">
        <v>0.8903722053474792</v>
      </c>
    </row>
    <row r="424">
      <c r="A424" t="inlineStr">
        <is>
          <t>Farming/Agriculture</t>
        </is>
      </c>
      <c r="B424" t="n">
        <v>312</v>
      </c>
      <c r="C424" t="n">
        <v>0.6610476378895598</v>
      </c>
      <c r="D424" t="n">
        <v>0.5780333635546242</v>
      </c>
      <c r="E424" t="n">
        <v>0.1618101675265132</v>
      </c>
      <c r="F424" t="n">
        <v>0.4605957568075383</v>
      </c>
      <c r="G424" t="n">
        <v>0.07511026397261421</v>
      </c>
      <c r="H424" t="n">
        <v>0.4980007225357512</v>
      </c>
    </row>
    <row r="425">
      <c r="A425" t="inlineStr">
        <is>
          <t>Financial Svcs. (Non-bank &amp; Insurance)</t>
        </is>
      </c>
      <c r="B425" t="n">
        <v>697</v>
      </c>
      <c r="C425" t="n">
        <v>0.698907800341391</v>
      </c>
      <c r="D425" t="n">
        <v>1.166350899483573</v>
      </c>
      <c r="E425" t="n">
        <v>0.1708418267503516</v>
      </c>
      <c r="F425" t="n">
        <v>0.3721265290806503</v>
      </c>
      <c r="G425" t="n">
        <v>0.07922115713483291</v>
      </c>
      <c r="H425" t="n">
        <v>0.4041432228424281</v>
      </c>
    </row>
    <row r="426">
      <c r="A426" t="inlineStr">
        <is>
          <t>Food Processing</t>
        </is>
      </c>
      <c r="B426" t="n">
        <v>1030</v>
      </c>
      <c r="C426" t="n">
        <v>0.7204485712618069</v>
      </c>
      <c r="D426" t="n">
        <v>0.3800447922196758</v>
      </c>
      <c r="E426" t="n">
        <v>0.1636050401218475</v>
      </c>
      <c r="F426" t="n">
        <v>0.5601652747707737</v>
      </c>
      <c r="G426" t="n">
        <v>0.07917086555785956</v>
      </c>
      <c r="H426" t="n">
        <v>0.6083270541935392</v>
      </c>
    </row>
    <row r="427">
      <c r="A427" t="inlineStr">
        <is>
          <t>Food Wholesalers</t>
        </is>
      </c>
      <c r="B427" t="n">
        <v>121</v>
      </c>
      <c r="C427" t="n">
        <v>0.6415331231484579</v>
      </c>
      <c r="D427" t="n">
        <v>0.8008908009447548</v>
      </c>
      <c r="E427" t="n">
        <v>0.1516864991798565</v>
      </c>
      <c r="F427" t="n">
        <v>0.4002101381744081</v>
      </c>
      <c r="G427" t="n">
        <v>0.07566075437291973</v>
      </c>
      <c r="H427" t="n">
        <v>0.4329688910946347</v>
      </c>
    </row>
    <row r="428">
      <c r="A428" t="inlineStr">
        <is>
          <t>Furn/Home Furnishings</t>
        </is>
      </c>
      <c r="B428" t="n">
        <v>278</v>
      </c>
      <c r="C428" t="n">
        <v>1.058682276500289</v>
      </c>
      <c r="D428" t="n">
        <v>0.1722203781190045</v>
      </c>
      <c r="E428" t="n">
        <v>0.1448535447161569</v>
      </c>
      <c r="F428" t="n">
        <v>0.9371650324560481</v>
      </c>
      <c r="G428" t="n">
        <v>0.1525944749443243</v>
      </c>
      <c r="H428" t="n">
        <v>1.105922730907938</v>
      </c>
    </row>
    <row r="429">
      <c r="A429" t="inlineStr">
        <is>
          <t>Green &amp; Renewable Energy</t>
        </is>
      </c>
      <c r="B429" t="n">
        <v>154</v>
      </c>
      <c r="C429" t="n">
        <v>0.8550872257340345</v>
      </c>
      <c r="D429" t="n">
        <v>0.6622375403485513</v>
      </c>
      <c r="E429" t="n">
        <v>0.1317644886601787</v>
      </c>
      <c r="F429" t="n">
        <v>0.5705912180584869</v>
      </c>
      <c r="G429" t="n">
        <v>0.03380041913000213</v>
      </c>
      <c r="H429" t="n">
        <v>0.5905521274856151</v>
      </c>
    </row>
    <row r="430">
      <c r="A430" t="inlineStr">
        <is>
          <t>Healthcare Products</t>
        </is>
      </c>
      <c r="B430" t="n">
        <v>380</v>
      </c>
      <c r="C430" t="n">
        <v>1.381341703669531</v>
      </c>
      <c r="D430" t="n">
        <v>0.09221044790684403</v>
      </c>
      <c r="E430" t="n">
        <v>0.08749210829554217</v>
      </c>
      <c r="F430" t="n">
        <v>1.291667377911947</v>
      </c>
      <c r="G430" t="n">
        <v>0.09922026412190965</v>
      </c>
      <c r="H430" t="n">
        <v>1.433943645116322</v>
      </c>
    </row>
    <row r="431">
      <c r="A431" t="inlineStr">
        <is>
          <t>Healthcare Support Services</t>
        </is>
      </c>
      <c r="B431" t="n">
        <v>256</v>
      </c>
      <c r="C431" t="n">
        <v>0.9684710656907174</v>
      </c>
      <c r="D431" t="n">
        <v>0.616250825824043</v>
      </c>
      <c r="E431" t="n">
        <v>0.1425811224228185</v>
      </c>
      <c r="F431" t="n">
        <v>0.6615351371767781</v>
      </c>
      <c r="G431" t="n">
        <v>0.1501905829517317</v>
      </c>
      <c r="H431" t="n">
        <v>0.7784511725870926</v>
      </c>
    </row>
    <row r="432">
      <c r="A432" t="inlineStr">
        <is>
          <t>Heathcare Information and Technology</t>
        </is>
      </c>
      <c r="B432" t="n">
        <v>146</v>
      </c>
      <c r="C432" t="n">
        <v>1.559137175156177</v>
      </c>
      <c r="D432" t="n">
        <v>0.06586637610838725</v>
      </c>
      <c r="E432" t="n">
        <v>0.08196068166789691</v>
      </c>
      <c r="F432" t="n">
        <v>1.485471464897852</v>
      </c>
      <c r="G432" t="n">
        <v>0.04916212679448007</v>
      </c>
      <c r="H432" t="n">
        <v>1.562276289952508</v>
      </c>
    </row>
    <row r="433">
      <c r="A433" t="inlineStr">
        <is>
          <t>Homebuilding</t>
        </is>
      </c>
      <c r="B433" t="n">
        <v>46</v>
      </c>
      <c r="C433" t="n">
        <v>0.7115842201630759</v>
      </c>
      <c r="D433" t="n">
        <v>0.7041073255891518</v>
      </c>
      <c r="E433" t="n">
        <v>0.1093181041697855</v>
      </c>
      <c r="F433" t="n">
        <v>0.4650505199028703</v>
      </c>
      <c r="G433" t="n">
        <v>0.08068671567443866</v>
      </c>
      <c r="H433" t="n">
        <v>0.5058672901088846</v>
      </c>
    </row>
    <row r="434">
      <c r="A434" t="inlineStr">
        <is>
          <t>Hospitals/Healthcare Facilities</t>
        </is>
      </c>
      <c r="B434" t="n">
        <v>164</v>
      </c>
      <c r="C434" t="n">
        <v>0.7168840449448689</v>
      </c>
      <c r="D434" t="n">
        <v>0.2079567731114573</v>
      </c>
      <c r="E434" t="n">
        <v>0.1845343398848152</v>
      </c>
      <c r="F434" t="n">
        <v>0.6198359280262915</v>
      </c>
      <c r="G434" t="n">
        <v>0.04060117638319823</v>
      </c>
      <c r="H434" t="n">
        <v>0.6460670085977334</v>
      </c>
    </row>
    <row r="435">
      <c r="A435" t="inlineStr">
        <is>
          <t>Hotel/Gaming</t>
        </is>
      </c>
      <c r="B435" t="n">
        <v>427</v>
      </c>
      <c r="C435" t="n">
        <v>0.7043981942324246</v>
      </c>
      <c r="D435" t="n">
        <v>0.4537094352919057</v>
      </c>
      <c r="E435" t="n">
        <v>0.1562909884885809</v>
      </c>
      <c r="F435" t="n">
        <v>0.5250442244833053</v>
      </c>
      <c r="G435" t="n">
        <v>0.09444223704523656</v>
      </c>
      <c r="H435" t="n">
        <v>0.5798020247434328</v>
      </c>
    </row>
    <row r="436">
      <c r="A436" t="inlineStr">
        <is>
          <t>Household Products</t>
        </is>
      </c>
      <c r="B436" t="n">
        <v>339</v>
      </c>
      <c r="C436" t="n">
        <v>0.8471859587008457</v>
      </c>
      <c r="D436" t="n">
        <v>0.1341406757692066</v>
      </c>
      <c r="E436" t="n">
        <v>0.1401154315073192</v>
      </c>
      <c r="F436" t="n">
        <v>0.7694733691430097</v>
      </c>
      <c r="G436" t="n">
        <v>0.06277665235781273</v>
      </c>
      <c r="H436" t="n">
        <v>0.8210138715374586</v>
      </c>
    </row>
    <row r="437">
      <c r="A437" t="inlineStr">
        <is>
          <t>Information Services</t>
        </is>
      </c>
      <c r="B437" t="n">
        <v>49</v>
      </c>
      <c r="C437" t="n">
        <v>1.065801645978198</v>
      </c>
      <c r="D437" t="n">
        <v>0.1412300648475752</v>
      </c>
      <c r="E437" t="n">
        <v>0.1798267181697626</v>
      </c>
      <c r="F437" t="n">
        <v>0.9633650065239558</v>
      </c>
      <c r="G437" t="n">
        <v>0.06390370885264356</v>
      </c>
      <c r="H437" t="n">
        <v>1.029130246145059</v>
      </c>
    </row>
    <row r="438">
      <c r="A438" t="inlineStr">
        <is>
          <t>Insurance (General)</t>
        </is>
      </c>
      <c r="B438" t="n">
        <v>140</v>
      </c>
      <c r="C438" t="n">
        <v>0.3741700786373461</v>
      </c>
      <c r="D438" t="n">
        <v>0.3088258604692389</v>
      </c>
      <c r="E438" t="n">
        <v>0.143771402158095</v>
      </c>
      <c r="F438" t="n">
        <v>0.3035825783602963</v>
      </c>
      <c r="G438" t="n">
        <v>0.1656127811305629</v>
      </c>
      <c r="H438" t="n">
        <v>0.3638389604908368</v>
      </c>
    </row>
    <row r="439">
      <c r="A439" t="inlineStr">
        <is>
          <t>Insurance (Life)</t>
        </is>
      </c>
      <c r="B439" t="n">
        <v>92</v>
      </c>
      <c r="C439" t="n">
        <v>0.8230807539316263</v>
      </c>
      <c r="D439" t="n">
        <v>0.5906409826996044</v>
      </c>
      <c r="E439" t="n">
        <v>0.1619757580389056</v>
      </c>
      <c r="F439" t="n">
        <v>0.5697268654626947</v>
      </c>
      <c r="G439" t="n">
        <v>0.1910737333049334</v>
      </c>
      <c r="H439" t="n">
        <v>0.7043001184648876</v>
      </c>
    </row>
    <row r="440">
      <c r="A440" t="inlineStr">
        <is>
          <t>Insurance (Prop/Cas.)</t>
        </is>
      </c>
      <c r="B440" t="n">
        <v>158</v>
      </c>
      <c r="C440" t="n">
        <v>0.3593800628299575</v>
      </c>
      <c r="D440" t="n">
        <v>0.2102164974164099</v>
      </c>
      <c r="E440" t="n">
        <v>0.1903882176731861</v>
      </c>
      <c r="F440" t="n">
        <v>0.3102725979296903</v>
      </c>
      <c r="G440" t="n">
        <v>0.06405283637856896</v>
      </c>
      <c r="H440" t="n">
        <v>0.3315065315537282</v>
      </c>
    </row>
    <row r="441">
      <c r="A441" t="inlineStr">
        <is>
          <t>Investments &amp; Asset Management</t>
        </is>
      </c>
      <c r="B441" t="n">
        <v>486</v>
      </c>
      <c r="C441" t="n">
        <v>0.6687136956861367</v>
      </c>
      <c r="D441" t="n">
        <v>0.8943941680475486</v>
      </c>
      <c r="E441" t="n">
        <v>0.08883564375578094</v>
      </c>
      <c r="F441" t="n">
        <v>0.399616316456343</v>
      </c>
      <c r="G441" t="n">
        <v>0.03614485326880589</v>
      </c>
      <c r="H441" t="n">
        <v>0.4146020465954834</v>
      </c>
    </row>
    <row r="442">
      <c r="A442" t="inlineStr">
        <is>
          <t>Machinery</t>
        </is>
      </c>
      <c r="B442" t="n">
        <v>987</v>
      </c>
      <c r="C442" t="n">
        <v>1.511373977735429</v>
      </c>
      <c r="D442" t="n">
        <v>0.1219778504459821</v>
      </c>
      <c r="E442" t="n">
        <v>0.14078976337626</v>
      </c>
      <c r="F442" t="n">
        <v>1.384248570657732</v>
      </c>
      <c r="G442" t="n">
        <v>0.0744335230034029</v>
      </c>
      <c r="H442" t="n">
        <v>1.495569043457071</v>
      </c>
    </row>
    <row r="443">
      <c r="A443" t="inlineStr">
        <is>
          <t>Metals &amp; Mining</t>
        </is>
      </c>
      <c r="B443" t="n">
        <v>358</v>
      </c>
      <c r="C443" t="n">
        <v>1.546768151898949</v>
      </c>
      <c r="D443" t="n">
        <v>0.2505560048450671</v>
      </c>
      <c r="E443" t="n">
        <v>0.1513817271767529</v>
      </c>
      <c r="F443" t="n">
        <v>1.301288402188904</v>
      </c>
      <c r="G443" t="n">
        <v>0.07169064794515773</v>
      </c>
      <c r="H443" t="n">
        <v>1.401783144065565</v>
      </c>
    </row>
    <row r="444">
      <c r="A444" t="inlineStr">
        <is>
          <t>Office Equipment &amp; Services</t>
        </is>
      </c>
      <c r="B444" t="n">
        <v>78</v>
      </c>
      <c r="C444" t="n">
        <v>0.7490908072291393</v>
      </c>
      <c r="D444" t="n">
        <v>0.1774692994637674</v>
      </c>
      <c r="E444" t="n">
        <v>0.1415732092492547</v>
      </c>
      <c r="F444" t="n">
        <v>0.6607972957762298</v>
      </c>
      <c r="G444" t="n">
        <v>0.1519050192792772</v>
      </c>
      <c r="H444" t="n">
        <v>0.7791548243979408</v>
      </c>
    </row>
    <row r="445">
      <c r="A445" t="inlineStr">
        <is>
          <t>Oil/Gas (Integrated)</t>
        </is>
      </c>
      <c r="B445" t="n">
        <v>15</v>
      </c>
      <c r="C445" t="n">
        <v>0.7885400477249773</v>
      </c>
      <c r="D445" t="n">
        <v>0.1588689396530378</v>
      </c>
      <c r="E445" t="n">
        <v>0.2349815529379119</v>
      </c>
      <c r="F445" t="n">
        <v>0.7042973357151493</v>
      </c>
      <c r="G445" t="n">
        <v>0.05159685433999563</v>
      </c>
      <c r="H445" t="n">
        <v>0.742613875689985</v>
      </c>
    </row>
    <row r="446">
      <c r="A446" t="inlineStr">
        <is>
          <t>Oil/Gas (Production and Exploration)</t>
        </is>
      </c>
      <c r="B446" t="n">
        <v>105</v>
      </c>
      <c r="C446" t="n">
        <v>0.8749102082877708</v>
      </c>
      <c r="D446" t="n">
        <v>0.3154161197341466</v>
      </c>
      <c r="E446" t="n">
        <v>0.1413254887700449</v>
      </c>
      <c r="F446" t="n">
        <v>0.7070114047620836</v>
      </c>
      <c r="G446" t="n">
        <v>0.1308355054865817</v>
      </c>
      <c r="H446" t="n">
        <v>0.8134379731628218</v>
      </c>
    </row>
    <row r="447">
      <c r="A447" t="inlineStr">
        <is>
          <t>Oil/Gas Distribution</t>
        </is>
      </c>
      <c r="B447" t="n">
        <v>120</v>
      </c>
      <c r="C447" t="n">
        <v>0.6271214926430645</v>
      </c>
      <c r="D447" t="n">
        <v>0.5389325746927932</v>
      </c>
      <c r="E447" t="n">
        <v>0.1288169833383369</v>
      </c>
      <c r="F447" t="n">
        <v>0.446107764315769</v>
      </c>
      <c r="G447" t="n">
        <v>0.08923764342088053</v>
      </c>
      <c r="H447" t="n">
        <v>0.4898179652388992</v>
      </c>
    </row>
    <row r="448">
      <c r="A448" t="inlineStr">
        <is>
          <t>Oilfield Svcs/Equip.</t>
        </is>
      </c>
      <c r="B448" t="n">
        <v>228</v>
      </c>
      <c r="C448" t="n">
        <v>0.9228367633685076</v>
      </c>
      <c r="D448" t="n">
        <v>0.3770499903790666</v>
      </c>
      <c r="E448" t="n">
        <v>0.1558149682519182</v>
      </c>
      <c r="F448" t="n">
        <v>0.7187868720764548</v>
      </c>
      <c r="G448" t="n">
        <v>0.08831008682584138</v>
      </c>
      <c r="H448" t="n">
        <v>0.7884115659170906</v>
      </c>
    </row>
    <row r="449">
      <c r="A449" t="inlineStr">
        <is>
          <t>Packaging &amp; Container</t>
        </is>
      </c>
      <c r="B449" t="n">
        <v>341</v>
      </c>
      <c r="C449" t="n">
        <v>0.7396732812616924</v>
      </c>
      <c r="D449" t="n">
        <v>0.4205403147561813</v>
      </c>
      <c r="E449" t="n">
        <v>0.1607571386362981</v>
      </c>
      <c r="F449" t="n">
        <v>0.5617950380302598</v>
      </c>
      <c r="G449" t="n">
        <v>0.08263223150170045</v>
      </c>
      <c r="H449" t="n">
        <v>0.6123989280219638</v>
      </c>
    </row>
    <row r="450">
      <c r="A450" t="inlineStr">
        <is>
          <t>Paper/Forest Products</t>
        </is>
      </c>
      <c r="B450" t="n">
        <v>197</v>
      </c>
      <c r="C450" t="n">
        <v>0.9017645790781355</v>
      </c>
      <c r="D450" t="n">
        <v>1.011486691818188</v>
      </c>
      <c r="E450" t="n">
        <v>0.1241016787139017</v>
      </c>
      <c r="F450" t="n">
        <v>0.5119158887567746</v>
      </c>
      <c r="G450" t="n">
        <v>0.09011214692933969</v>
      </c>
      <c r="H450" t="n">
        <v>0.5626142683729399</v>
      </c>
    </row>
    <row r="451">
      <c r="A451" t="inlineStr">
        <is>
          <t>Power</t>
        </is>
      </c>
      <c r="B451" t="n">
        <v>328</v>
      </c>
      <c r="C451" t="n">
        <v>0.7737062226709736</v>
      </c>
      <c r="D451" t="n">
        <v>1.044283859872563</v>
      </c>
      <c r="E451" t="n">
        <v>0.1735531069719269</v>
      </c>
      <c r="F451" t="n">
        <v>0.4331476463072736</v>
      </c>
      <c r="G451" t="n">
        <v>0.06040097650541848</v>
      </c>
      <c r="H451" t="n">
        <v>0.4609920141214062</v>
      </c>
    </row>
    <row r="452">
      <c r="A452" t="inlineStr">
        <is>
          <t>Precious Metals</t>
        </is>
      </c>
      <c r="B452" t="n">
        <v>64</v>
      </c>
      <c r="C452" t="n">
        <v>1.576971182342801</v>
      </c>
      <c r="D452" t="n">
        <v>0.149351905991459</v>
      </c>
      <c r="E452" t="n">
        <v>0.1592667382946683</v>
      </c>
      <c r="F452" t="n">
        <v>1.417569656293371</v>
      </c>
      <c r="G452" t="n">
        <v>0.05426494091624557</v>
      </c>
      <c r="H452" t="n">
        <v>1.49890779947054</v>
      </c>
    </row>
    <row r="453">
      <c r="A453" t="inlineStr">
        <is>
          <t>Publishing &amp; Newspapers</t>
        </is>
      </c>
      <c r="B453" t="n">
        <v>171</v>
      </c>
      <c r="C453" t="n">
        <v>0.8979448832998133</v>
      </c>
      <c r="D453" t="n">
        <v>0.1069183654391282</v>
      </c>
      <c r="E453" t="n">
        <v>0.1161638566322803</v>
      </c>
      <c r="F453" t="n">
        <v>0.8310465983574113</v>
      </c>
      <c r="G453" t="n">
        <v>0.1752270352957334</v>
      </c>
      <c r="H453" t="n">
        <v>1.007606497692846</v>
      </c>
    </row>
    <row r="454">
      <c r="A454" t="inlineStr">
        <is>
          <t>R.E.I.T.</t>
        </is>
      </c>
      <c r="B454" t="n">
        <v>208</v>
      </c>
      <c r="C454" t="n">
        <v>0.4476749137119347</v>
      </c>
      <c r="D454" t="n">
        <v>0.5726795415599727</v>
      </c>
      <c r="E454" t="n">
        <v>0.02472442138562907</v>
      </c>
      <c r="F454" t="n">
        <v>0.3128033568302804</v>
      </c>
      <c r="G454" t="n">
        <v>0.02716218165350749</v>
      </c>
      <c r="H454" t="n">
        <v>0.3215370033228604</v>
      </c>
    </row>
    <row r="455">
      <c r="A455" t="inlineStr">
        <is>
          <t>Real Estate (Development)</t>
        </is>
      </c>
      <c r="B455" t="n">
        <v>786</v>
      </c>
      <c r="C455" t="n">
        <v>0.9590087728972034</v>
      </c>
      <c r="D455" t="n">
        <v>1.967436212130997</v>
      </c>
      <c r="E455" t="n">
        <v>0.1419649103132068</v>
      </c>
      <c r="F455" t="n">
        <v>0.3864971788895444</v>
      </c>
      <c r="G455" t="n">
        <v>0.1453252679996612</v>
      </c>
      <c r="H455" t="n">
        <v>0.452215520616785</v>
      </c>
    </row>
    <row r="456">
      <c r="A456" t="inlineStr">
        <is>
          <t>Real Estate (General/Diversified)</t>
        </is>
      </c>
      <c r="B456" t="n">
        <v>205</v>
      </c>
      <c r="C456" t="n">
        <v>1.013490761126807</v>
      </c>
      <c r="D456" t="n">
        <v>0.7139461954182472</v>
      </c>
      <c r="E456" t="n">
        <v>0.1188578245870151</v>
      </c>
      <c r="F456" t="n">
        <v>0.6591680822176205</v>
      </c>
      <c r="G456" t="n">
        <v>0.08360037145383782</v>
      </c>
      <c r="H456" t="n">
        <v>0.7193019962954033</v>
      </c>
    </row>
    <row r="457">
      <c r="A457" t="inlineStr">
        <is>
          <t>Real Estate (Operations &amp; Services)</t>
        </is>
      </c>
      <c r="B457" t="n">
        <v>406</v>
      </c>
      <c r="C457" t="n">
        <v>0.7917191083145428</v>
      </c>
      <c r="D457" t="n">
        <v>0.6132226316104563</v>
      </c>
      <c r="E457" t="n">
        <v>0.1409304871353461</v>
      </c>
      <c r="F457" t="n">
        <v>0.5416444164795521</v>
      </c>
      <c r="G457" t="n">
        <v>0.08166310850901036</v>
      </c>
      <c r="H457" t="n">
        <v>0.5898101464704868</v>
      </c>
    </row>
    <row r="458">
      <c r="A458" t="inlineStr">
        <is>
          <t>Recreation</t>
        </is>
      </c>
      <c r="B458" t="n">
        <v>158</v>
      </c>
      <c r="C458" t="n">
        <v>1.039327835277307</v>
      </c>
      <c r="D458" t="n">
        <v>0.235527631073895</v>
      </c>
      <c r="E458" t="n">
        <v>0.1182583641382887</v>
      </c>
      <c r="F458" t="n">
        <v>0.8827847211277812</v>
      </c>
      <c r="G458" t="n">
        <v>0.1127047305119633</v>
      </c>
      <c r="H458" t="n">
        <v>0.9949165193195968</v>
      </c>
    </row>
    <row r="459">
      <c r="A459" t="inlineStr">
        <is>
          <t>Reinsurance</t>
        </is>
      </c>
      <c r="B459" t="n">
        <v>27</v>
      </c>
      <c r="C459" t="n">
        <v>0.9767453428600437</v>
      </c>
      <c r="D459" t="n">
        <v>0.3214958634123989</v>
      </c>
      <c r="E459" t="n">
        <v>0.163855181133209</v>
      </c>
      <c r="F459" t="n">
        <v>0.7863950823509327</v>
      </c>
      <c r="G459" t="n">
        <v>0.1303445331932814</v>
      </c>
      <c r="H459" t="n">
        <v>0.904260494375423</v>
      </c>
    </row>
    <row r="460">
      <c r="A460" t="inlineStr">
        <is>
          <t>Restaurant/Dining</t>
        </is>
      </c>
      <c r="B460" t="n">
        <v>184</v>
      </c>
      <c r="C460" t="n">
        <v>0.819396339397763</v>
      </c>
      <c r="D460" t="n">
        <v>0.1342755272944145</v>
      </c>
      <c r="E460" t="n">
        <v>0.1230843432409557</v>
      </c>
      <c r="F460" t="n">
        <v>0.7441642747612189</v>
      </c>
      <c r="G460" t="n">
        <v>0.09023053917371623</v>
      </c>
      <c r="H460" t="n">
        <v>0.8179701636559041</v>
      </c>
    </row>
    <row r="461">
      <c r="A461" t="inlineStr">
        <is>
          <t>Retail (Automotive)</t>
        </is>
      </c>
      <c r="B461" t="n">
        <v>122</v>
      </c>
      <c r="C461" t="n">
        <v>0.817941499519877</v>
      </c>
      <c r="D461" t="n">
        <v>0.7448646331304316</v>
      </c>
      <c r="E461" t="n">
        <v>0.1657943644462227</v>
      </c>
      <c r="F461" t="n">
        <v>0.5240498474982747</v>
      </c>
      <c r="G461" t="n">
        <v>0.1007468823785402</v>
      </c>
      <c r="H461" t="n">
        <v>0.5827612239859625</v>
      </c>
    </row>
    <row r="462">
      <c r="A462" t="inlineStr">
        <is>
          <t>Retail (Building Supply)</t>
        </is>
      </c>
      <c r="B462" t="n">
        <v>55</v>
      </c>
      <c r="C462" t="n">
        <v>0.784624718247505</v>
      </c>
      <c r="D462" t="n">
        <v>0.3461377470941163</v>
      </c>
      <c r="E462" t="n">
        <v>0.1447434934750621</v>
      </c>
      <c r="F462" t="n">
        <v>0.6224181286586432</v>
      </c>
      <c r="G462" t="n">
        <v>0.06261879306726917</v>
      </c>
      <c r="H462" t="n">
        <v>0.6639968073344463</v>
      </c>
    </row>
    <row r="463">
      <c r="A463" t="inlineStr">
        <is>
          <t>Retail (Distributors)</t>
        </is>
      </c>
      <c r="B463" t="n">
        <v>731</v>
      </c>
      <c r="C463" t="n">
        <v>0.7577479326145385</v>
      </c>
      <c r="D463" t="n">
        <v>0.8789732270600019</v>
      </c>
      <c r="E463" t="n">
        <v>0.1544501017019826</v>
      </c>
      <c r="F463" t="n">
        <v>0.4559859998012677</v>
      </c>
      <c r="G463" t="n">
        <v>0.1440211322406154</v>
      </c>
      <c r="H463" t="n">
        <v>0.5327070760460003</v>
      </c>
    </row>
    <row r="464">
      <c r="A464" t="inlineStr">
        <is>
          <t>Retail (General)</t>
        </is>
      </c>
      <c r="B464" t="n">
        <v>147</v>
      </c>
      <c r="C464" t="n">
        <v>1.034360895540623</v>
      </c>
      <c r="D464" t="n">
        <v>0.3664822644432515</v>
      </c>
      <c r="E464" t="n">
        <v>0.1601073174673642</v>
      </c>
      <c r="F464" t="n">
        <v>0.8106756301444683</v>
      </c>
      <c r="G464" t="n">
        <v>0.08930096148142211</v>
      </c>
      <c r="H464" t="n">
        <v>0.8901685363181931</v>
      </c>
    </row>
    <row r="465">
      <c r="A465" t="inlineStr">
        <is>
          <t>Retail (Grocery and Food)</t>
        </is>
      </c>
      <c r="B465" t="n">
        <v>97</v>
      </c>
      <c r="C465" t="n">
        <v>1.013993374682919</v>
      </c>
      <c r="D465" t="n">
        <v>0.3779395172743017</v>
      </c>
      <c r="E465" t="n">
        <v>0.1752956230846009</v>
      </c>
      <c r="F465" t="n">
        <v>0.7893759306195169</v>
      </c>
      <c r="G465" t="n">
        <v>0.07806381165966672</v>
      </c>
      <c r="H465" t="n">
        <v>0.8562153656648939</v>
      </c>
    </row>
    <row r="466">
      <c r="A466" t="inlineStr">
        <is>
          <t>Retail (REITs)</t>
        </is>
      </c>
      <c r="B466" t="n">
        <v>39</v>
      </c>
      <c r="C466" t="n">
        <v>0.6076404508046936</v>
      </c>
      <c r="D466" t="n">
        <v>0.6073351993739499</v>
      </c>
      <c r="E466" t="n">
        <v>0.05696677692732207</v>
      </c>
      <c r="F466" t="n">
        <v>0.4169738665809163</v>
      </c>
      <c r="G466" t="n">
        <v>0.02518952579409341</v>
      </c>
      <c r="H466" t="n">
        <v>0.4277486522911941</v>
      </c>
    </row>
    <row r="467">
      <c r="A467" t="inlineStr">
        <is>
          <t>Retail (Special Lines)</t>
        </is>
      </c>
      <c r="B467" t="n">
        <v>282</v>
      </c>
      <c r="C467" t="n">
        <v>0.8962978561436582</v>
      </c>
      <c r="D467" t="n">
        <v>0.194502730824498</v>
      </c>
      <c r="E467" t="n">
        <v>0.1611515027730663</v>
      </c>
      <c r="F467" t="n">
        <v>0.781808896613424</v>
      </c>
      <c r="G467" t="n">
        <v>0.08376482827575608</v>
      </c>
      <c r="H467" t="n">
        <v>0.8532840920548314</v>
      </c>
    </row>
    <row r="468">
      <c r="A468" t="inlineStr">
        <is>
          <t>Rubber&amp; Tires</t>
        </is>
      </c>
      <c r="B468" t="n">
        <v>72</v>
      </c>
      <c r="C468" t="n">
        <v>0.9241722708845875</v>
      </c>
      <c r="D468" t="n">
        <v>0.3803839010368815</v>
      </c>
      <c r="E468" t="n">
        <v>0.1781975238037871</v>
      </c>
      <c r="F468" t="n">
        <v>0.7184225035785946</v>
      </c>
      <c r="G468" t="n">
        <v>0.0905158711583159</v>
      </c>
      <c r="H468" t="n">
        <v>0.7899230792444669</v>
      </c>
    </row>
    <row r="469">
      <c r="A469" t="inlineStr">
        <is>
          <t>Semiconductor</t>
        </is>
      </c>
      <c r="B469" t="n">
        <v>546</v>
      </c>
      <c r="C469" t="n">
        <v>1.944099307880918</v>
      </c>
      <c r="D469" t="n">
        <v>0.06576582736327577</v>
      </c>
      <c r="E469" t="n">
        <v>0.08645253427932258</v>
      </c>
      <c r="F469" t="n">
        <v>1.852378611580694</v>
      </c>
      <c r="G469" t="n">
        <v>0.06251564568344627</v>
      </c>
      <c r="H469" t="n">
        <v>1.975903494337372</v>
      </c>
    </row>
    <row r="470">
      <c r="A470" t="inlineStr">
        <is>
          <t>Semiconductor Equip</t>
        </is>
      </c>
      <c r="B470" t="n">
        <v>300</v>
      </c>
      <c r="C470" t="n">
        <v>2.179576569307808</v>
      </c>
      <c r="D470" t="n">
        <v>0.1423131716429305</v>
      </c>
      <c r="E470" t="n">
        <v>0.1072714053113322</v>
      </c>
      <c r="F470" t="n">
        <v>1.968641394370565</v>
      </c>
      <c r="G470" t="n">
        <v>0.05652931950526408</v>
      </c>
      <c r="H470" t="n">
        <v>2.086595201175994</v>
      </c>
    </row>
    <row r="471">
      <c r="A471" t="inlineStr">
        <is>
          <t>Shipbuilding &amp; Marine</t>
        </is>
      </c>
      <c r="B471" t="n">
        <v>252</v>
      </c>
      <c r="C471" t="n">
        <v>0.8804494869778248</v>
      </c>
      <c r="D471" t="n">
        <v>0.3694102880214563</v>
      </c>
      <c r="E471" t="n">
        <v>0.1584580751455054</v>
      </c>
      <c r="F471" t="n">
        <v>0.6888580753171801</v>
      </c>
      <c r="G471" t="n">
        <v>0.182607475018722</v>
      </c>
      <c r="H471" t="n">
        <v>0.8427506421507318</v>
      </c>
    </row>
    <row r="472">
      <c r="A472" t="inlineStr">
        <is>
          <t>Shoe</t>
        </is>
      </c>
      <c r="B472" t="n">
        <v>60</v>
      </c>
      <c r="C472" t="n">
        <v>0.8140970747596379</v>
      </c>
      <c r="D472" t="n">
        <v>0.2058620535718887</v>
      </c>
      <c r="E472" t="n">
        <v>0.1661322105956063</v>
      </c>
      <c r="F472" t="n">
        <v>0.7048498943682353</v>
      </c>
      <c r="G472" t="n">
        <v>0.1064700448840738</v>
      </c>
      <c r="H472" t="n">
        <v>0.7888374534424963</v>
      </c>
    </row>
    <row r="473">
      <c r="A473" t="inlineStr">
        <is>
          <t>Software (Entertainment)</t>
        </is>
      </c>
      <c r="B473" t="n">
        <v>67</v>
      </c>
      <c r="C473" t="n">
        <v>1.538532379360275</v>
      </c>
      <c r="D473" t="n">
        <v>0.08493370438760092</v>
      </c>
      <c r="E473" t="n">
        <v>0.1062300870557068</v>
      </c>
      <c r="F473" t="n">
        <v>1.446061672227539</v>
      </c>
      <c r="G473" t="n">
        <v>0.04018876097156273</v>
      </c>
      <c r="H473" t="n">
        <v>1.506610480714214</v>
      </c>
    </row>
    <row r="474">
      <c r="A474" t="inlineStr">
        <is>
          <t>Software (Internet)</t>
        </is>
      </c>
      <c r="B474" t="n">
        <v>49</v>
      </c>
      <c r="C474" t="n">
        <v>1.41784263934302</v>
      </c>
      <c r="D474" t="n">
        <v>0.1583529892164807</v>
      </c>
      <c r="E474" t="n">
        <v>0.1225580019321263</v>
      </c>
      <c r="F474" t="n">
        <v>1.266808684360947</v>
      </c>
      <c r="G474" t="n">
        <v>0.04693243676756509</v>
      </c>
      <c r="H474" t="n">
        <v>1.329190849874718</v>
      </c>
    </row>
    <row r="475">
      <c r="A475" t="inlineStr">
        <is>
          <t>Software (System &amp; Application)</t>
        </is>
      </c>
      <c r="B475" t="n">
        <v>548</v>
      </c>
      <c r="C475" t="n">
        <v>1.584698312769968</v>
      </c>
      <c r="D475" t="n">
        <v>0.05271732836959483</v>
      </c>
      <c r="E475" t="n">
        <v>0.08205549974551207</v>
      </c>
      <c r="F475" t="n">
        <v>1.524201422310984</v>
      </c>
      <c r="G475" t="n">
        <v>0.07041622870102547</v>
      </c>
      <c r="H475" t="n">
        <v>1.639660103124549</v>
      </c>
    </row>
    <row r="476">
      <c r="A476" t="inlineStr">
        <is>
          <t>Steel</t>
        </is>
      </c>
      <c r="B476" t="n">
        <v>555</v>
      </c>
      <c r="C476" t="n">
        <v>1.157908860282777</v>
      </c>
      <c r="D476" t="n">
        <v>0.508993067228213</v>
      </c>
      <c r="E476" t="n">
        <v>0.1433183122766153</v>
      </c>
      <c r="F476" t="n">
        <v>0.8371105994424751</v>
      </c>
      <c r="G476" t="n">
        <v>0.1000128782935213</v>
      </c>
      <c r="H476" t="n">
        <v>0.9301361977882723</v>
      </c>
    </row>
    <row r="477">
      <c r="A477" t="inlineStr">
        <is>
          <t>Telecom (Wireless)</t>
        </is>
      </c>
      <c r="B477" t="n">
        <v>68</v>
      </c>
      <c r="C477" t="n">
        <v>0.7842438973074944</v>
      </c>
      <c r="D477" t="n">
        <v>0.3003654513582292</v>
      </c>
      <c r="E477" t="n">
        <v>0.1955039147059292</v>
      </c>
      <c r="F477" t="n">
        <v>0.639601191080156</v>
      </c>
      <c r="G477" t="n">
        <v>0.04314847002582016</v>
      </c>
      <c r="H477" t="n">
        <v>0.6684435056475432</v>
      </c>
    </row>
    <row r="478">
      <c r="A478" t="inlineStr">
        <is>
          <t>Telecom. Equipment</t>
        </is>
      </c>
      <c r="B478" t="n">
        <v>296</v>
      </c>
      <c r="C478" t="n">
        <v>1.526192133081761</v>
      </c>
      <c r="D478" t="n">
        <v>0.09397246709990772</v>
      </c>
      <c r="E478" t="n">
        <v>0.08395715037819061</v>
      </c>
      <c r="F478" t="n">
        <v>1.425346221807932</v>
      </c>
      <c r="G478" t="n">
        <v>0.05910139037188269</v>
      </c>
      <c r="H478" t="n">
        <v>1.514877593847534</v>
      </c>
    </row>
    <row r="479">
      <c r="A479" t="inlineStr">
        <is>
          <t>Telecom. Services</t>
        </is>
      </c>
      <c r="B479" t="n">
        <v>142</v>
      </c>
      <c r="C479" t="n">
        <v>0.7143580227656771</v>
      </c>
      <c r="D479" t="n">
        <v>0.3263610211273725</v>
      </c>
      <c r="E479" t="n">
        <v>0.1584544115276233</v>
      </c>
      <c r="F479" t="n">
        <v>0.5734511937553748</v>
      </c>
      <c r="G479" t="n">
        <v>0.06623079954446821</v>
      </c>
      <c r="H479" t="n">
        <v>0.6141251965428087</v>
      </c>
    </row>
    <row r="480">
      <c r="A480" t="inlineStr">
        <is>
          <t>Tobacco</t>
        </is>
      </c>
      <c r="B480" t="n">
        <v>30</v>
      </c>
      <c r="C480" t="n">
        <v>0.2334160505074012</v>
      </c>
      <c r="D480" t="n">
        <v>0.04582821776407702</v>
      </c>
      <c r="E480" t="n">
        <v>0.2287716400718702</v>
      </c>
      <c r="F480" t="n">
        <v>0.2256308683258047</v>
      </c>
      <c r="G480" t="n">
        <v>0.02127423999660414</v>
      </c>
      <c r="H480" t="n">
        <v>0.2305353323131311</v>
      </c>
    </row>
    <row r="481">
      <c r="A481" t="inlineStr">
        <is>
          <t>Transportation</t>
        </is>
      </c>
      <c r="B481" t="n">
        <v>330</v>
      </c>
      <c r="C481" t="n">
        <v>1.027493380601033</v>
      </c>
      <c r="D481" t="n">
        <v>0.5880705462473591</v>
      </c>
      <c r="E481" t="n">
        <v>0.1718494052269166</v>
      </c>
      <c r="F481" t="n">
        <v>0.7121729054953866</v>
      </c>
      <c r="G481" t="n">
        <v>0.1028297974137855</v>
      </c>
      <c r="H481" t="n">
        <v>0.7937991068388717</v>
      </c>
    </row>
    <row r="482">
      <c r="A482" t="inlineStr">
        <is>
          <t>Transportation (Railroads)</t>
        </is>
      </c>
      <c r="B482" t="n">
        <v>18</v>
      </c>
      <c r="C482" t="n">
        <v>0.9586521735367419</v>
      </c>
      <c r="D482" t="n">
        <v>0.3763634399225725</v>
      </c>
      <c r="E482" t="n">
        <v>0.2573475934694324</v>
      </c>
      <c r="F482" t="n">
        <v>0.746983823919609</v>
      </c>
      <c r="G482" t="n">
        <v>0.158117109000096</v>
      </c>
      <c r="H482" t="n">
        <v>0.8872775915809581</v>
      </c>
    </row>
    <row r="483">
      <c r="A483" t="inlineStr">
        <is>
          <t>Trucking</t>
        </is>
      </c>
      <c r="B483" t="n">
        <v>76</v>
      </c>
      <c r="C483" t="n">
        <v>0.8076102574868994</v>
      </c>
      <c r="D483" t="n">
        <v>1.751651383132671</v>
      </c>
      <c r="E483" t="n">
        <v>0.1916802969524588</v>
      </c>
      <c r="F483" t="n">
        <v>0.3482852659502882</v>
      </c>
      <c r="G483" t="n">
        <v>0.05197760672375347</v>
      </c>
      <c r="H483" t="n">
        <v>0.3673808429215031</v>
      </c>
    </row>
    <row r="484">
      <c r="A484" t="inlineStr">
        <is>
          <t>Utility (General)</t>
        </is>
      </c>
      <c r="B484" t="n">
        <v>14</v>
      </c>
      <c r="C484" t="n">
        <v>0.6988646044356418</v>
      </c>
      <c r="D484" t="n">
        <v>0.3657269916162388</v>
      </c>
      <c r="E484" t="n">
        <v>0.1656926149888799</v>
      </c>
      <c r="F484" t="n">
        <v>0.5479761615915577</v>
      </c>
      <c r="G484" t="n">
        <v>0.04279351829204829</v>
      </c>
      <c r="H484" t="n">
        <v>0.5724743533012847</v>
      </c>
    </row>
    <row r="485">
      <c r="A485" t="inlineStr">
        <is>
          <t>Utility (Water)</t>
        </is>
      </c>
      <c r="B485" t="n">
        <v>76</v>
      </c>
      <c r="C485" t="n">
        <v>0.7438685035323099</v>
      </c>
      <c r="D485" t="n">
        <v>0.9324381996694178</v>
      </c>
      <c r="E485" t="n">
        <v>0.1711068771038909</v>
      </c>
      <c r="F485" t="n">
        <v>0.437047122866235</v>
      </c>
      <c r="G485" t="n">
        <v>0.07571997630762232</v>
      </c>
      <c r="H485" t="n">
        <v>0.4728514212827937</v>
      </c>
    </row>
    <row r="486">
      <c r="A486" t="inlineStr">
        <is>
          <t>Total Market</t>
        </is>
      </c>
      <c r="B486" t="n">
        <v>27360</v>
      </c>
      <c r="C486" t="n">
        <v>1.081352840966182</v>
      </c>
      <c r="D486" t="n">
        <v>0.5755508402510654</v>
      </c>
      <c r="E486" t="n">
        <v>0.1390950338875734</v>
      </c>
      <c r="F486" t="n">
        <v>0.7544327966154362</v>
      </c>
      <c r="G486" t="n">
        <v>0.1102342844615956</v>
      </c>
      <c r="H486" t="n">
        <v>0.8479005017168175</v>
      </c>
    </row>
    <row r="487">
      <c r="A487" t="inlineStr">
        <is>
          <t>Total Market (without financials)</t>
        </is>
      </c>
      <c r="B487" t="n">
        <v>24760</v>
      </c>
      <c r="C487" t="n">
        <v>1.123048876959943</v>
      </c>
      <c r="D487" t="n">
        <v>0.3277527286759824</v>
      </c>
      <c r="E487" t="n">
        <v>0.1372214868031369</v>
      </c>
      <c r="F487" t="n">
        <v>0.9007702738360067</v>
      </c>
      <c r="G487" t="n">
        <v>0.08810406744075058</v>
      </c>
      <c r="H487" t="n">
        <v>0.9877994206071099</v>
      </c>
    </row>
    <row r="489" ht="15.5" customHeight="1" s="203">
      <c r="A489" s="102" t="inlineStr">
        <is>
          <t>3. Interest Coverage -&gt; Rating -&gt; Spread (large firms)</t>
        </is>
      </c>
    </row>
    <row r="491">
      <c r="A491" s="100" t="inlineStr">
        <is>
          <t>IC Greater Than</t>
        </is>
      </c>
      <c r="B491" s="100" t="inlineStr">
        <is>
          <t>IC Less Than</t>
        </is>
      </c>
      <c r="C491" s="100" t="inlineStr">
        <is>
          <t>Rating</t>
        </is>
      </c>
      <c r="D491" s="100" t="inlineStr">
        <is>
          <t>Spread</t>
        </is>
      </c>
    </row>
    <row r="492">
      <c r="A492" t="n">
        <v>-100000</v>
      </c>
      <c r="B492" t="n">
        <v>0.199999</v>
      </c>
      <c r="C492" t="inlineStr">
        <is>
          <t>D2/D</t>
        </is>
      </c>
      <c r="D492" t="n">
        <v>0.19</v>
      </c>
    </row>
    <row r="493">
      <c r="A493" t="n">
        <v>0.2</v>
      </c>
      <c r="B493" t="n">
        <v>0.649999</v>
      </c>
      <c r="C493" t="inlineStr">
        <is>
          <t>C2/C</t>
        </is>
      </c>
      <c r="D493" t="n">
        <v>0.16</v>
      </c>
    </row>
    <row r="494">
      <c r="A494" t="n">
        <v>0.65</v>
      </c>
      <c r="B494" t="n">
        <v>0.799999</v>
      </c>
      <c r="C494" t="inlineStr">
        <is>
          <t>Ca2/CC</t>
        </is>
      </c>
      <c r="D494" t="n">
        <v>0.1261</v>
      </c>
    </row>
    <row r="495">
      <c r="A495" t="n">
        <v>0.8</v>
      </c>
      <c r="B495" t="n">
        <v>1.249999</v>
      </c>
      <c r="C495" t="inlineStr">
        <is>
          <t>Caa/CCC</t>
        </is>
      </c>
      <c r="D495" t="n">
        <v>0.0885</v>
      </c>
    </row>
    <row r="496">
      <c r="A496" t="n">
        <v>1.25</v>
      </c>
      <c r="B496" t="n">
        <v>1.499999</v>
      </c>
      <c r="C496" t="inlineStr">
        <is>
          <t>B3/B-</t>
        </is>
      </c>
      <c r="D496" t="n">
        <v>0.0509</v>
      </c>
    </row>
    <row r="497">
      <c r="A497" t="n">
        <v>1.5</v>
      </c>
      <c r="B497" t="n">
        <v>1.749999</v>
      </c>
      <c r="C497" t="inlineStr">
        <is>
          <t>B2/B</t>
        </is>
      </c>
      <c r="D497" t="n">
        <v>0.0321</v>
      </c>
    </row>
    <row r="498">
      <c r="A498" t="n">
        <v>1.75</v>
      </c>
      <c r="B498" t="n">
        <v>1.999999</v>
      </c>
      <c r="C498" t="inlineStr">
        <is>
          <t>B1/B+</t>
        </is>
      </c>
      <c r="D498" t="n">
        <v>0.0275</v>
      </c>
    </row>
    <row r="499">
      <c r="A499" t="n">
        <v>2</v>
      </c>
      <c r="B499" t="n">
        <v>2.2499999</v>
      </c>
      <c r="C499" t="inlineStr">
        <is>
          <t>Ba2/BB</t>
        </is>
      </c>
      <c r="D499" t="n">
        <v>0.0184</v>
      </c>
    </row>
    <row r="500">
      <c r="A500" t="n">
        <v>2.25</v>
      </c>
      <c r="B500" t="n">
        <v>2.49999</v>
      </c>
      <c r="C500" t="inlineStr">
        <is>
          <t>Ba1/BB+</t>
        </is>
      </c>
      <c r="D500" t="n">
        <v>0.0138</v>
      </c>
    </row>
    <row r="501">
      <c r="A501" t="n">
        <v>2.5</v>
      </c>
      <c r="B501" t="n">
        <v>2.999999</v>
      </c>
      <c r="C501" t="inlineStr">
        <is>
          <t>Baa2/BBB</t>
        </is>
      </c>
      <c r="D501" t="n">
        <v>0.0111</v>
      </c>
    </row>
    <row r="502">
      <c r="A502" t="n">
        <v>3</v>
      </c>
      <c r="B502" t="n">
        <v>4.249999</v>
      </c>
      <c r="C502" t="inlineStr">
        <is>
          <t>A3/A-</t>
        </is>
      </c>
      <c r="D502" t="n">
        <v>0.0089</v>
      </c>
    </row>
    <row r="503">
      <c r="A503" t="n">
        <v>4.25</v>
      </c>
      <c r="B503" t="n">
        <v>5.499999</v>
      </c>
      <c r="C503" t="inlineStr">
        <is>
          <t>A2/A</t>
        </is>
      </c>
      <c r="D503" t="n">
        <v>0.0078</v>
      </c>
    </row>
    <row r="504">
      <c r="A504" t="n">
        <v>5.5</v>
      </c>
      <c r="B504" t="n">
        <v>6.499999</v>
      </c>
      <c r="C504" t="inlineStr">
        <is>
          <t>A1/A+</t>
        </is>
      </c>
      <c r="D504" t="n">
        <v>0.007</v>
      </c>
    </row>
    <row r="505">
      <c r="A505" t="n">
        <v>6.5</v>
      </c>
      <c r="B505" t="n">
        <v>8.499999000000001</v>
      </c>
      <c r="C505" t="inlineStr">
        <is>
          <t>Aa2/AA</t>
        </is>
      </c>
      <c r="D505" t="n">
        <v>0.0055</v>
      </c>
    </row>
    <row r="506">
      <c r="A506" t="n">
        <v>8.5</v>
      </c>
      <c r="B506" t="n">
        <v>100000</v>
      </c>
      <c r="C506" t="inlineStr">
        <is>
          <t>Aaa/AAA</t>
        </is>
      </c>
      <c r="D506" t="n">
        <v>0.004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3.5" customWidth="1" style="203" min="1" max="1"/>
    <col width="65" customWidth="1" style="203" min="2" max="2"/>
    <col width="17" customWidth="1" style="203" min="3" max="3"/>
    <col width="17" customWidth="1" style="203" min="4" max="4"/>
    <col width="17" customWidth="1" style="203" min="5" max="5"/>
    <col width="17" customWidth="1" style="203" min="6" max="6"/>
    <col width="17" customWidth="1" style="203" min="7" max="7"/>
    <col width="17" customWidth="1" style="203" min="8" max="8"/>
    <col width="17" customWidth="1" style="203" min="9" max="9"/>
    <col width="17" customWidth="1" style="203" min="10" max="10"/>
    <col width="17" customWidth="1" style="203" min="11" max="11"/>
    <col width="17" customWidth="1" style="203" min="12" max="12"/>
    <col width="17" customWidth="1" style="203" min="13" max="13"/>
    <col width="17" customWidth="1" style="203" min="14" max="14"/>
    <col width="17" customWidth="1" style="203" min="15" max="15"/>
    <col width="17" customWidth="1" style="203" min="16" max="16"/>
    <col width="17" customWidth="1" style="203" min="17" max="17"/>
    <col width="17" customWidth="1" style="203" min="18" max="18"/>
    <col width="17" customWidth="1" style="203" min="19" max="19"/>
  </cols>
  <sheetData>
    <row r="1">
      <c r="A1" t="inlineStr">
        <is>
          <t>#</t>
        </is>
      </c>
      <c r="B1" s="283" t="inlineStr">
        <is>
          <t>WACC Schedule</t>
        </is>
      </c>
    </row>
    <row r="4">
      <c r="B4" s="322" t="inlineStr">
        <is>
          <t>Country</t>
        </is>
      </c>
      <c r="C4" s="323" t="inlineStr">
        <is>
          <t>India</t>
        </is>
      </c>
    </row>
    <row r="6">
      <c r="B6" t="inlineStr">
        <is>
          <t>Share Price (live NSE snapshot)</t>
        </is>
      </c>
      <c r="C6" s="323" t="n">
        <v>3374.65</v>
      </c>
    </row>
    <row r="7">
      <c r="B7" t="inlineStr">
        <is>
          <t>Shares Outstanding (live NSE snapshot)</t>
        </is>
      </c>
      <c r="C7" s="323" t="n">
        <v>164833772</v>
      </c>
    </row>
    <row r="8">
      <c r="B8" s="292" t="inlineStr">
        <is>
          <t>Market Value of Equity</t>
        </is>
      </c>
      <c r="C8" s="293">
        <f>IF(OR(C6="",C7="",C6&lt;=0,C7&lt;=0),NA(),C6*C7)</f>
        <v/>
      </c>
    </row>
    <row r="9" ht="30" customHeight="1" s="203">
      <c r="B9" s="336" t="inlineStr">
        <is>
          <t>⚠ LIVE DATA FETCH FAILED -- NSE quote for 'MINDTREE' returned no usable price/shares data (price=0, shares=164955625) -- likely a delisted, merged, or otherwise inactive symbol. Enter Share Price and Shares Outstanding manually in C6/C7 above before trusting this WACC.</t>
        </is>
      </c>
    </row>
    <row r="11">
      <c r="B11" s="322" t="inlineStr">
        <is>
          <t>Industry Sector</t>
        </is>
      </c>
      <c r="C11" s="323" t="inlineStr">
        <is>
          <t>Computer Services</t>
        </is>
      </c>
    </row>
    <row r="12">
      <c r="B12" s="322" t="inlineStr">
        <is>
          <t>Beta Source (options: Global, India, Emerging Markets)</t>
        </is>
      </c>
      <c r="C12" s="323" t="inlineStr">
        <is>
          <t>India</t>
        </is>
      </c>
    </row>
    <row r="13">
      <c r="B13" t="inlineStr">
        <is>
          <t>Sector Unlevered Beta</t>
        </is>
      </c>
      <c r="C13" s="325">
        <f>IF($C$12="Global",INDEX('MT_Damodaran Data'!$F$194:$F$289,MATCH($C$11,'MT_Damodaran Data'!$A$194:$A$289,0)),IF($C$12="India",INDEX('MT_Damodaran Data'!$F$293:$F$388,MATCH($C$11,'MT_Damodaran Data'!$A$293:$A$388,0)),INDEX('MT_Damodaran Data'!$F$392:$F$487,MATCH($C$11,'MT_Damodaran Data'!$A$392:$A$487,0))))</f>
        <v/>
      </c>
    </row>
    <row r="14">
      <c r="B14" t="inlineStr">
        <is>
          <t>This company's D/E (= Debt Schedule Target Debt/Cap)</t>
        </is>
      </c>
      <c r="C14" s="326">
        <f>'MT_Inputs &amp; Assumptions'!C66/(1-'MT_Inputs &amp; Assumptions'!C66)</f>
        <v/>
      </c>
    </row>
    <row r="15">
      <c r="B15" t="inlineStr">
        <is>
          <t>Marginal Tax Rate</t>
        </is>
      </c>
      <c r="C15" s="327" t="n">
        <v>0.3</v>
      </c>
    </row>
    <row r="16">
      <c r="B16" s="292" t="inlineStr">
        <is>
          <t>Relevered Beta</t>
        </is>
      </c>
      <c r="C16" s="328">
        <f>C13*(1+(1-C15)*C14)</f>
        <v/>
      </c>
    </row>
    <row r="17">
      <c r="B17" s="329" t="inlineStr">
        <is>
          <t>INPUT: Company-Specific Risk Premium (Porter's Five Forces-informed, default 0%)</t>
        </is>
      </c>
      <c r="C17" s="330" t="n">
        <v>0</v>
      </c>
    </row>
    <row r="18" ht="60" customHeight="1" s="203">
      <c r="B18" s="339" t="inlineStr">
        <is>
          <t>Sensitivity test run 25-Aug-2026 (audit gap #4, Task 26): with this premium set to 1.0% (grounded via notebook consult - single-client concentration &gt;10% would typically justify a CSRP, offset toward the low end by 95-97% repeat revenue), combined with the Employee Benefit % test below, LTI's WACC rose to 11.04% and value/share fell to Rs.3,382 (73.6% of market, was 83.9%). Reverted to 0% (this line) - see build_log.md Task 27 for the full test-and-revert record and Mindtree's parallel result.</t>
        </is>
      </c>
    </row>
    <row r="19">
      <c r="B19" t="inlineStr">
        <is>
          <t>India 10-Year G-Sec Yield (or local equivalent)</t>
        </is>
      </c>
      <c r="C19" s="327" t="n">
        <v>0.0688</v>
      </c>
    </row>
    <row r="20">
      <c r="B20" t="inlineStr">
        <is>
          <t>Sovereign Default Spread (looked up by Country)</t>
        </is>
      </c>
      <c r="C20" s="326">
        <f>INDEX('MT_Damodaran Data'!$D$8:$D$187,MATCH(C4,'MT_Damodaran Data'!$A$8:$A$187,0))</f>
        <v/>
      </c>
    </row>
    <row r="21">
      <c r="B21" s="292" t="inlineStr">
        <is>
          <t>Risk-Free Rate</t>
        </is>
      </c>
      <c r="C21" s="331">
        <f>C19-C20</f>
        <v/>
      </c>
    </row>
    <row r="22">
      <c r="B22" t="inlineStr">
        <is>
          <t>Total Equity Risk Premium (looked up by Country)</t>
        </is>
      </c>
      <c r="C22" s="326">
        <f>INDEX('MT_Damodaran Data'!$E$8:$E$187,MATCH(C4,'MT_Damodaran Data'!$A$8:$A$187,0))</f>
        <v/>
      </c>
    </row>
    <row r="23">
      <c r="B23" s="332" t="inlineStr">
        <is>
          <t>Cost of Equity = Rf + Beta x ERP</t>
        </is>
      </c>
      <c r="C23" s="333">
        <f>C21+C16*C22+C17</f>
        <v/>
      </c>
    </row>
    <row r="26">
      <c r="B26" t="inlineStr">
        <is>
          <t>EBIT (last actual)</t>
        </is>
      </c>
      <c r="C26" s="334">
        <f>'MT_P&amp;L Schedule'!H14</f>
        <v/>
      </c>
    </row>
    <row r="27">
      <c r="B27" t="inlineStr">
        <is>
          <t>Interest Expense (last actual)</t>
        </is>
      </c>
      <c r="C27" s="334">
        <f>ABS('MT_P&amp;L Schedule'!H17)</f>
        <v/>
      </c>
    </row>
    <row r="28">
      <c r="B28" s="292" t="inlineStr">
        <is>
          <t>Interest Coverage Ratio</t>
        </is>
      </c>
      <c r="C28" s="335">
        <f>IFERROR(C26/C27,999)</f>
        <v/>
      </c>
    </row>
    <row r="29">
      <c r="B29" t="inlineStr">
        <is>
          <t>Company Default Spread (looked up by Interest Coverage)</t>
        </is>
      </c>
      <c r="C29" s="326">
        <f>IFERROR(INDEX('MT_Damodaran Data'!$D$492:$D$506,MATCH(C28,'MT_Damodaran Data'!$A$492:$A$506,1)),0)</f>
        <v/>
      </c>
    </row>
    <row r="30">
      <c r="B30" s="292" t="inlineStr">
        <is>
          <t>Pre-tax Cost of Debt</t>
        </is>
      </c>
      <c r="C30" s="331">
        <f>C21+C20+C29</f>
        <v/>
      </c>
    </row>
    <row r="31">
      <c r="B31" s="332" t="inlineStr">
        <is>
          <t>After-Tax Cost of Debt</t>
        </is>
      </c>
      <c r="C31" s="333">
        <f>C30*(1-C15)</f>
        <v/>
      </c>
    </row>
    <row r="32" ht="45" customHeight="1" s="203">
      <c r="B32" s="336">
        <f>IF(C27&lt;=0,"⚠ Interest Expense is zero or negative (company appears debt-free on Borrowings). Interest Coverage defaulted to 999x -&gt; near-riskless Cost of Debt. Verify Total Debt below is really ~0 -- Lease Liabilities are NOT included in Book Value of Debt by this pipeline, so a lease-heavy but Borrowings-free company would show debt-free here even if it is not.","")</f>
        <v/>
      </c>
    </row>
    <row r="34">
      <c r="B34" t="inlineStr">
        <is>
          <t>Book Value of Debt (last actual)</t>
        </is>
      </c>
      <c r="C34" s="334" t="n">
        <v>5557000000</v>
      </c>
    </row>
    <row r="35">
      <c r="B35" t="inlineStr">
        <is>
          <t>Total Capital</t>
        </is>
      </c>
      <c r="C35" s="287">
        <f>C8+C34</f>
        <v/>
      </c>
    </row>
    <row r="36">
      <c r="B36" t="inlineStr">
        <is>
          <t>Weight of Equity</t>
        </is>
      </c>
      <c r="C36" s="326">
        <f>C8/C35</f>
        <v/>
      </c>
    </row>
    <row r="37">
      <c r="B37" t="inlineStr">
        <is>
          <t>Weight of Debt</t>
        </is>
      </c>
      <c r="C37" s="326">
        <f>C34/C35</f>
        <v/>
      </c>
    </row>
    <row r="39">
      <c r="B39" s="337" t="inlineStr">
        <is>
          <t>WACC</t>
        </is>
      </c>
      <c r="C39" s="338">
        <f>C36*C23+C37*C31</f>
        <v/>
      </c>
    </row>
  </sheetData>
  <mergeCells count="1">
    <mergeCell ref="B18:F18"/>
  </mergeCells>
  <pageMargins left="0.75" right="0.75" top="1" bottom="1" header="0.5" footer="0.5"/>
</worksheet>
</file>

<file path=xl/worksheets/sheet44.xml><?xml version="1.0" encoding="utf-8"?>
<worksheet xmlns="http://schemas.openxmlformats.org/spreadsheetml/2006/main">
  <sheetPr>
    <tabColor rgb="00B45F06"/>
    <outlinePr summaryBelow="1" summaryRight="1"/>
    <pageSetUpPr/>
  </sheetPr>
  <dimension ref="A1:R45"/>
  <sheetViews>
    <sheetView showGridLines="0" workbookViewId="0">
      <selection activeCell="A1" sqref="A1"/>
    </sheetView>
  </sheetViews>
  <sheetFormatPr baseColWidth="8" defaultRowHeight="14.5"/>
  <cols>
    <col width="3.453125" customWidth="1" style="203" min="1" max="1"/>
    <col width="65" customWidth="1" style="203" min="2" max="2"/>
    <col width="17" customWidth="1" style="203" min="3" max="19"/>
  </cols>
  <sheetData>
    <row r="1" ht="21" customHeight="1" s="203">
      <c r="A1" t="inlineStr">
        <is>
          <t>#</t>
        </is>
      </c>
      <c r="B1" s="99" t="inlineStr">
        <is>
          <t>DCF Valuation -- Unlevered FCFF</t>
        </is>
      </c>
    </row>
    <row r="5">
      <c r="B5" s="100" t="inlineStr">
        <is>
          <t>Line item</t>
        </is>
      </c>
      <c r="C5" s="100" t="inlineStr">
        <is>
          <t>FY2023E</t>
        </is>
      </c>
      <c r="D5" s="100" t="inlineStr">
        <is>
          <t>FY2024E</t>
        </is>
      </c>
      <c r="E5" s="100" t="inlineStr">
        <is>
          <t>FY2025E</t>
        </is>
      </c>
      <c r="F5" s="100" t="inlineStr">
        <is>
          <t>FY2026E</t>
        </is>
      </c>
      <c r="G5" s="100" t="inlineStr">
        <is>
          <t>FY2027E</t>
        </is>
      </c>
      <c r="H5" s="100" t="inlineStr">
        <is>
          <t>FY2028E</t>
        </is>
      </c>
      <c r="I5" s="100" t="inlineStr">
        <is>
          <t>FY2029E</t>
        </is>
      </c>
      <c r="J5" s="100" t="inlineStr">
        <is>
          <t>FY2030E</t>
        </is>
      </c>
      <c r="K5" s="100" t="inlineStr">
        <is>
          <t>FY2031E</t>
        </is>
      </c>
      <c r="L5" s="100" t="inlineStr">
        <is>
          <t>FY2032E</t>
        </is>
      </c>
    </row>
    <row r="7">
      <c r="B7" t="inlineStr">
        <is>
          <t>EBIT</t>
        </is>
      </c>
      <c r="C7" s="80">
        <f>'MT_P&amp;L Schedule'!I14</f>
        <v/>
      </c>
      <c r="D7" s="80">
        <f>'MT_P&amp;L Schedule'!J14</f>
        <v/>
      </c>
      <c r="E7" s="80">
        <f>'MT_P&amp;L Schedule'!K14</f>
        <v/>
      </c>
      <c r="F7" s="80">
        <f>'MT_P&amp;L Schedule'!L14</f>
        <v/>
      </c>
      <c r="G7" s="80">
        <f>'MT_P&amp;L Schedule'!M14</f>
        <v/>
      </c>
      <c r="H7" s="80">
        <f>'MT_P&amp;L Schedule'!N14</f>
        <v/>
      </c>
      <c r="I7" s="80">
        <f>'MT_P&amp;L Schedule'!O14</f>
        <v/>
      </c>
      <c r="J7" s="80">
        <f>'MT_P&amp;L Schedule'!P14</f>
        <v/>
      </c>
      <c r="K7" s="80">
        <f>'MT_P&amp;L Schedule'!Q14</f>
        <v/>
      </c>
      <c r="L7" s="80">
        <f>'MT_P&amp;L Schedule'!R14</f>
        <v/>
      </c>
    </row>
    <row r="8">
      <c r="B8" s="119" t="inlineStr">
        <is>
          <t>Effective Tax Rate (Tax Schedule)</t>
        </is>
      </c>
      <c r="C8" s="85">
        <f>IFERROR(MT_Schedules!I106/MT_Schedules!I105,0)</f>
        <v/>
      </c>
      <c r="D8" s="85">
        <f>IFERROR(MT_Schedules!J106/MT_Schedules!J105,0)</f>
        <v/>
      </c>
      <c r="E8" s="85">
        <f>IFERROR(MT_Schedules!K106/MT_Schedules!K105,0)</f>
        <v/>
      </c>
      <c r="F8" s="85">
        <f>IFERROR(MT_Schedules!L106/MT_Schedules!L105,0)</f>
        <v/>
      </c>
      <c r="G8" s="85">
        <f>IFERROR(MT_Schedules!M106/MT_Schedules!M105,0)</f>
        <v/>
      </c>
      <c r="H8" s="85">
        <f>IFERROR(MT_Schedules!N106/MT_Schedules!N105,0)</f>
        <v/>
      </c>
      <c r="I8" s="85">
        <f>IFERROR(MT_Schedules!O106/MT_Schedules!O105,0)</f>
        <v/>
      </c>
      <c r="J8" s="85">
        <f>IFERROR(MT_Schedules!P106/MT_Schedules!P105,0)</f>
        <v/>
      </c>
      <c r="K8" s="85">
        <f>IFERROR(MT_Schedules!Q106/MT_Schedules!Q105,0)</f>
        <v/>
      </c>
      <c r="L8" s="85">
        <f>IFERROR(MT_Schedules!R106/MT_Schedules!R105,0)</f>
        <v/>
      </c>
    </row>
    <row r="9">
      <c r="B9" s="20" t="inlineStr">
        <is>
          <t>NOPAT</t>
        </is>
      </c>
      <c r="C9" s="83">
        <f>C7*(1-C8)</f>
        <v/>
      </c>
      <c r="D9" s="83">
        <f>D7*(1-D8)</f>
        <v/>
      </c>
      <c r="E9" s="83">
        <f>E7*(1-E8)</f>
        <v/>
      </c>
      <c r="F9" s="83">
        <f>F7*(1-F8)</f>
        <v/>
      </c>
      <c r="G9" s="83">
        <f>G7*(1-G8)</f>
        <v/>
      </c>
      <c r="H9" s="83">
        <f>H7*(1-H8)</f>
        <v/>
      </c>
      <c r="I9" s="83">
        <f>I7*(1-I8)</f>
        <v/>
      </c>
      <c r="J9" s="83">
        <f>J7*(1-J8)</f>
        <v/>
      </c>
      <c r="K9" s="83">
        <f>K7*(1-K8)</f>
        <v/>
      </c>
      <c r="L9" s="83">
        <f>L7*(1-L8)</f>
        <v/>
      </c>
    </row>
    <row r="10">
      <c r="B10" t="inlineStr">
        <is>
          <t>(+) D&amp;A</t>
        </is>
      </c>
      <c r="C10" s="80">
        <f>-'MT_P&amp;L Schedule'!I13</f>
        <v/>
      </c>
      <c r="D10" s="80">
        <f>-'MT_P&amp;L Schedule'!J13</f>
        <v/>
      </c>
      <c r="E10" s="80">
        <f>-'MT_P&amp;L Schedule'!K13</f>
        <v/>
      </c>
      <c r="F10" s="80">
        <f>-'MT_P&amp;L Schedule'!L13</f>
        <v/>
      </c>
      <c r="G10" s="80">
        <f>-'MT_P&amp;L Schedule'!M13</f>
        <v/>
      </c>
      <c r="H10" s="80">
        <f>-'MT_P&amp;L Schedule'!N13</f>
        <v/>
      </c>
      <c r="I10" s="80">
        <f>-'MT_P&amp;L Schedule'!O13</f>
        <v/>
      </c>
      <c r="J10" s="80">
        <f>-'MT_P&amp;L Schedule'!P13</f>
        <v/>
      </c>
      <c r="K10" s="80">
        <f>-'MT_P&amp;L Schedule'!Q13</f>
        <v/>
      </c>
      <c r="L10" s="80">
        <f>-'MT_P&amp;L Schedule'!R13</f>
        <v/>
      </c>
    </row>
    <row r="11">
      <c r="B11" t="inlineStr">
        <is>
          <t>(-) Capex</t>
        </is>
      </c>
      <c r="C11" s="80">
        <f>-MT_Schedules!I52</f>
        <v/>
      </c>
      <c r="D11" s="80">
        <f>-MT_Schedules!J52</f>
        <v/>
      </c>
      <c r="E11" s="80">
        <f>-MT_Schedules!K52</f>
        <v/>
      </c>
      <c r="F11" s="80">
        <f>-MT_Schedules!L52</f>
        <v/>
      </c>
      <c r="G11" s="80">
        <f>-MT_Schedules!M52</f>
        <v/>
      </c>
      <c r="H11" s="80">
        <f>-MT_Schedules!N52</f>
        <v/>
      </c>
      <c r="I11" s="80">
        <f>-MT_Schedules!O52</f>
        <v/>
      </c>
      <c r="J11" s="80">
        <f>-MT_Schedules!P52</f>
        <v/>
      </c>
      <c r="K11" s="80">
        <f>-MT_Schedules!Q52</f>
        <v/>
      </c>
      <c r="L11" s="80">
        <f>-MT_Schedules!R52</f>
        <v/>
      </c>
    </row>
    <row r="12">
      <c r="B12" t="inlineStr">
        <is>
          <t>(+/-) Cash from Working Capital</t>
        </is>
      </c>
      <c r="C12" s="80">
        <f>MT_Schedules!I44</f>
        <v/>
      </c>
      <c r="D12" s="80">
        <f>MT_Schedules!J44</f>
        <v/>
      </c>
      <c r="E12" s="80">
        <f>MT_Schedules!K44</f>
        <v/>
      </c>
      <c r="F12" s="80">
        <f>MT_Schedules!L44</f>
        <v/>
      </c>
      <c r="G12" s="80">
        <f>MT_Schedules!M44</f>
        <v/>
      </c>
      <c r="H12" s="80">
        <f>MT_Schedules!N44</f>
        <v/>
      </c>
      <c r="I12" s="80">
        <f>MT_Schedules!O44</f>
        <v/>
      </c>
      <c r="J12" s="80">
        <f>MT_Schedules!P44</f>
        <v/>
      </c>
      <c r="K12" s="80">
        <f>MT_Schedules!Q44</f>
        <v/>
      </c>
      <c r="L12" s="80">
        <f>MT_Schedules!R44</f>
        <v/>
      </c>
    </row>
    <row r="13">
      <c r="B13" s="112" t="inlineStr">
        <is>
          <t>Unlevered FCFF</t>
        </is>
      </c>
      <c r="C13" s="103">
        <f>C9+C10+C11+C12</f>
        <v/>
      </c>
      <c r="D13" s="103">
        <f>D9+D10+D11+D12</f>
        <v/>
      </c>
      <c r="E13" s="103">
        <f>E9+E10+E11+E12</f>
        <v/>
      </c>
      <c r="F13" s="103">
        <f>F9+F10+F11+F12</f>
        <v/>
      </c>
      <c r="G13" s="103">
        <f>G9+G10+G11+G12</f>
        <v/>
      </c>
      <c r="H13" s="103">
        <f>H9+H10+H11+H12</f>
        <v/>
      </c>
      <c r="I13" s="103">
        <f>I9+I10+I11+I12</f>
        <v/>
      </c>
      <c r="J13" s="103">
        <f>J9+J10+J11+J12</f>
        <v/>
      </c>
      <c r="K13" s="103">
        <f>K9+K10+K11+K12</f>
        <v/>
      </c>
      <c r="L13" s="103">
        <f>L9+L10+L11+L12</f>
        <v/>
      </c>
    </row>
    <row r="15">
      <c r="B15" s="119" t="inlineStr">
        <is>
          <t>Discount Factor</t>
        </is>
      </c>
      <c r="C15" s="120">
        <f>1/(1+'MT_WACC Schedule'!$C39)^1</f>
        <v/>
      </c>
      <c r="D15" s="120">
        <f>1/(1+'MT_WACC Schedule'!$C39)^2</f>
        <v/>
      </c>
      <c r="E15" s="120">
        <f>1/(1+'MT_WACC Schedule'!$C39)^3</f>
        <v/>
      </c>
      <c r="F15" s="120">
        <f>1/(1+'MT_WACC Schedule'!$C39)^4</f>
        <v/>
      </c>
      <c r="G15" s="120">
        <f>1/(1+'MT_WACC Schedule'!$C39)^5</f>
        <v/>
      </c>
      <c r="H15" s="120">
        <f>1/(1+'MT_WACC Schedule'!$C39)^6</f>
        <v/>
      </c>
      <c r="I15" s="120">
        <f>1/(1+'MT_WACC Schedule'!$C39)^7</f>
        <v/>
      </c>
      <c r="J15" s="120">
        <f>1/(1+'MT_WACC Schedule'!$C39)^8</f>
        <v/>
      </c>
      <c r="K15" s="120">
        <f>1/(1+'MT_WACC Schedule'!$C39)^9</f>
        <v/>
      </c>
      <c r="L15" s="120">
        <f>1/(1+'MT_WACC Schedule'!$C39)^10</f>
        <v/>
      </c>
    </row>
    <row r="16">
      <c r="B16" s="20" t="inlineStr">
        <is>
          <t>PV of FCFF</t>
        </is>
      </c>
      <c r="C16" s="83">
        <f>C13*C15</f>
        <v/>
      </c>
      <c r="D16" s="83">
        <f>D13*D15</f>
        <v/>
      </c>
      <c r="E16" s="83">
        <f>E13*E15</f>
        <v/>
      </c>
      <c r="F16" s="83">
        <f>F13*F15</f>
        <v/>
      </c>
      <c r="G16" s="83">
        <f>G13*G15</f>
        <v/>
      </c>
      <c r="H16" s="83">
        <f>H13*H15</f>
        <v/>
      </c>
      <c r="I16" s="83">
        <f>I13*I15</f>
        <v/>
      </c>
      <c r="J16" s="83">
        <f>J13*J15</f>
        <v/>
      </c>
      <c r="K16" s="83">
        <f>K13*K15</f>
        <v/>
      </c>
      <c r="L16" s="83">
        <f>L13*L15</f>
        <v/>
      </c>
    </row>
    <row r="18">
      <c r="B18" s="112" t="inlineStr">
        <is>
          <t>Sum of PV of Explicit FCFF</t>
        </is>
      </c>
      <c r="C18" s="121">
        <f>SUM(C16:L16)</f>
        <v/>
      </c>
    </row>
    <row r="20" ht="17" customHeight="1" s="203">
      <c r="A20" t="inlineStr">
        <is>
          <t>#</t>
        </is>
      </c>
      <c r="B20" s="117" t="inlineStr">
        <is>
          <t>Terminal Value (Value Driver Formula)</t>
        </is>
      </c>
    </row>
    <row r="22">
      <c r="B22" t="inlineStr">
        <is>
          <t>Terminal Growth Rate</t>
        </is>
      </c>
      <c r="C22" s="122">
        <f>IF('MT_Inputs &amp; Assumptions'!C11="",'MT_Inputs &amp; Assumptions'!C10,'MT_Inputs &amp; Assumptions'!C11)</f>
        <v/>
      </c>
    </row>
    <row r="23">
      <c r="B23" t="inlineStr">
        <is>
          <t>Terminal Effective Tax Rate (= Statutory Rate)</t>
        </is>
      </c>
      <c r="C23" s="122">
        <f>'MT_Inputs &amp; Assumptions'!C71</f>
        <v/>
      </c>
    </row>
    <row r="24">
      <c r="B24" t="inlineStr">
        <is>
          <t>Terminal NOPAT</t>
        </is>
      </c>
      <c r="C24" s="116">
        <f>L7*(1+C22)*(1-C23)</f>
        <v/>
      </c>
    </row>
    <row r="25">
      <c r="B25" s="119" t="inlineStr">
        <is>
          <t>Terminal Reinvestment Rate = g/WACC</t>
        </is>
      </c>
      <c r="C25" s="123">
        <f>C22/'MT_WACC Schedule'!$C39</f>
        <v/>
      </c>
    </row>
    <row r="26">
      <c r="B26" s="112" t="inlineStr">
        <is>
          <t>Terminal Value</t>
        </is>
      </c>
      <c r="C26" s="124">
        <f>C24*(1-C25)/('MT_WACC Schedule'!$C39-C22)</f>
        <v/>
      </c>
    </row>
    <row r="27">
      <c r="B27" t="inlineStr">
        <is>
          <t>PV of Terminal Value</t>
        </is>
      </c>
      <c r="C27" s="116">
        <f>C26*L15</f>
        <v/>
      </c>
    </row>
    <row r="29" ht="15.5" customHeight="1" s="203">
      <c r="B29" s="102" t="inlineStr">
        <is>
          <t>Enterprise Value</t>
        </is>
      </c>
      <c r="C29" s="125">
        <f>C18+C27</f>
        <v/>
      </c>
    </row>
    <row r="30">
      <c r="B30" t="inlineStr">
        <is>
          <t>(-) Total Debt</t>
        </is>
      </c>
      <c r="C30" s="114">
        <f>-MT_Schedules!$H$92</f>
        <v/>
      </c>
    </row>
    <row r="31">
      <c r="B31" t="inlineStr">
        <is>
          <t>(+) Cash &amp; Equivalents</t>
        </is>
      </c>
      <c r="C31" s="114">
        <f>IFERROR(INDEX(MT_HS_CONSOLIDATED!I:I,MATCH("CashAndCashEquivalents",MT_HS_CONSOLIDATED!$C:$C,0)),0)</f>
        <v/>
      </c>
    </row>
    <row r="32" ht="15.5" customHeight="1" s="203">
      <c r="B32" s="102" t="inlineStr">
        <is>
          <t>Equity Value</t>
        </is>
      </c>
      <c r="C32" s="125">
        <f>C29+C30+C31</f>
        <v/>
      </c>
    </row>
    <row r="33" ht="17" customHeight="1" s="203">
      <c r="B33" s="117" t="inlineStr">
        <is>
          <t>Implied Value Per Share</t>
        </is>
      </c>
      <c r="C33" s="126">
        <f>C32/'MT_WACC Schedule'!$C7</f>
        <v/>
      </c>
    </row>
    <row r="36" ht="17" customHeight="1" s="203">
      <c r="A36" t="inlineStr">
        <is>
          <t>#</t>
        </is>
      </c>
      <c r="B36" s="117" t="inlineStr">
        <is>
          <t>Implied ROIC Check (diagnostic only -- does not feed the valuation above)</t>
        </is>
      </c>
    </row>
    <row r="38">
      <c r="B38" s="100" t="inlineStr">
        <is>
          <t>Line item</t>
        </is>
      </c>
      <c r="C38" s="100" t="inlineStr">
        <is>
          <t>FY2017</t>
        </is>
      </c>
      <c r="D38" s="100" t="inlineStr">
        <is>
          <t>FY2018</t>
        </is>
      </c>
      <c r="E38" s="100" t="inlineStr">
        <is>
          <t>FY2019</t>
        </is>
      </c>
      <c r="F38" s="100" t="inlineStr">
        <is>
          <t>FY2020</t>
        </is>
      </c>
      <c r="G38" s="100" t="inlineStr">
        <is>
          <t>FY2021</t>
        </is>
      </c>
      <c r="H38" s="100" t="inlineStr">
        <is>
          <t>FY2022</t>
        </is>
      </c>
      <c r="I38" s="100" t="inlineStr">
        <is>
          <t>FY2023E</t>
        </is>
      </c>
      <c r="J38" s="100" t="inlineStr">
        <is>
          <t>FY2024E</t>
        </is>
      </c>
      <c r="K38" s="100" t="inlineStr">
        <is>
          <t>FY2025E</t>
        </is>
      </c>
      <c r="L38" s="100" t="inlineStr">
        <is>
          <t>FY2026E</t>
        </is>
      </c>
      <c r="M38" s="100" t="inlineStr">
        <is>
          <t>FY2027E</t>
        </is>
      </c>
      <c r="N38" s="100" t="inlineStr">
        <is>
          <t>FY2028E</t>
        </is>
      </c>
      <c r="O38" s="100" t="inlineStr">
        <is>
          <t>FY2029E</t>
        </is>
      </c>
      <c r="P38" s="100" t="inlineStr">
        <is>
          <t>FY2030E</t>
        </is>
      </c>
      <c r="Q38" s="100" t="inlineStr">
        <is>
          <t>FY2031E</t>
        </is>
      </c>
      <c r="R38" s="100" t="inlineStr">
        <is>
          <t>FY2032E</t>
        </is>
      </c>
    </row>
    <row r="39">
      <c r="B39" s="211" t="inlineStr">
        <is>
          <t>Invested Capital, Beginning of Year (= prior year Net PP&amp;E + NWC)</t>
        </is>
      </c>
      <c r="C39" s="211" t="inlineStr">
        <is>
          <t>n/a</t>
        </is>
      </c>
      <c r="D39" s="86">
        <f>MT_Schedules!C63+MT_Schedules!C43</f>
        <v/>
      </c>
      <c r="E39" s="86">
        <f>MT_Schedules!D63+MT_Schedules!D43</f>
        <v/>
      </c>
      <c r="F39" s="86">
        <f>MT_Schedules!E63+MT_Schedules!E43</f>
        <v/>
      </c>
      <c r="G39" s="86">
        <f>MT_Schedules!F63+MT_Schedules!F43</f>
        <v/>
      </c>
      <c r="H39" s="86">
        <f>MT_Schedules!G63+MT_Schedules!G43</f>
        <v/>
      </c>
      <c r="I39" s="86">
        <f>MT_Schedules!H63+MT_Schedules!H43</f>
        <v/>
      </c>
      <c r="J39" s="86">
        <f>MT_Schedules!I63+MT_Schedules!I43</f>
        <v/>
      </c>
      <c r="K39" s="86">
        <f>MT_Schedules!J63+MT_Schedules!J43</f>
        <v/>
      </c>
      <c r="L39" s="86">
        <f>MT_Schedules!K63+MT_Schedules!K43</f>
        <v/>
      </c>
      <c r="M39" s="86">
        <f>MT_Schedules!L63+MT_Schedules!L43</f>
        <v/>
      </c>
      <c r="N39" s="86">
        <f>MT_Schedules!M63+MT_Schedules!M43</f>
        <v/>
      </c>
      <c r="O39" s="86">
        <f>MT_Schedules!N63+MT_Schedules!N43</f>
        <v/>
      </c>
      <c r="P39" s="86">
        <f>MT_Schedules!O63+MT_Schedules!O43</f>
        <v/>
      </c>
      <c r="Q39" s="86">
        <f>MT_Schedules!P63+MT_Schedules!P43</f>
        <v/>
      </c>
      <c r="R39" s="86">
        <f>MT_Schedules!Q63+MT_Schedules!Q43</f>
        <v/>
      </c>
    </row>
    <row r="40">
      <c r="B40" s="211" t="inlineStr">
        <is>
          <t>NOPAT (EBIT x (1 - Effective Tax Rate))</t>
        </is>
      </c>
      <c r="C40" s="86">
        <f>'MT_P&amp;L Schedule'!C14*(1-(IF(AND(ABS(MT_Schedules!C105)&gt;0,IFERROR(MT_Schedules!C106/MT_Schedules!C105,-1)&gt;=0,IFERROR(MT_Schedules!C106/MT_Schedules!C105,2)&lt;=0.6),MT_Schedules!C106/MT_Schedules!C105,'MT_Inputs &amp; Assumptions'!$C$71)))</f>
        <v/>
      </c>
      <c r="D40" s="86">
        <f>'MT_P&amp;L Schedule'!D14*(1-(IF(AND(ABS(MT_Schedules!D105)&gt;0,IFERROR(MT_Schedules!D106/MT_Schedules!D105,-1)&gt;=0,IFERROR(MT_Schedules!D106/MT_Schedules!D105,2)&lt;=0.6),MT_Schedules!D106/MT_Schedules!D105,'MT_Inputs &amp; Assumptions'!$C$71)))</f>
        <v/>
      </c>
      <c r="E40" s="86">
        <f>'MT_P&amp;L Schedule'!E14*(1-(IF(AND(ABS(MT_Schedules!E105)&gt;0,IFERROR(MT_Schedules!E106/MT_Schedules!E105,-1)&gt;=0,IFERROR(MT_Schedules!E106/MT_Schedules!E105,2)&lt;=0.6),MT_Schedules!E106/MT_Schedules!E105,'MT_Inputs &amp; Assumptions'!$C$71)))</f>
        <v/>
      </c>
      <c r="F40" s="86">
        <f>'MT_P&amp;L Schedule'!F14*(1-(IF(AND(ABS(MT_Schedules!F105)&gt;0,IFERROR(MT_Schedules!F106/MT_Schedules!F105,-1)&gt;=0,IFERROR(MT_Schedules!F106/MT_Schedules!F105,2)&lt;=0.6),MT_Schedules!F106/MT_Schedules!F105,'MT_Inputs &amp; Assumptions'!$C$71)))</f>
        <v/>
      </c>
      <c r="G40" s="86">
        <f>'MT_P&amp;L Schedule'!G14*(1-(IF(AND(ABS(MT_Schedules!G105)&gt;0,IFERROR(MT_Schedules!G106/MT_Schedules!G105,-1)&gt;=0,IFERROR(MT_Schedules!G106/MT_Schedules!G105,2)&lt;=0.6),MT_Schedules!G106/MT_Schedules!G105,'MT_Inputs &amp; Assumptions'!$C$71)))</f>
        <v/>
      </c>
      <c r="H40" s="86">
        <f>'MT_P&amp;L Schedule'!H14*(1-(IF(AND(ABS(MT_Schedules!H105)&gt;0,IFERROR(MT_Schedules!H106/MT_Schedules!H105,-1)&gt;=0,IFERROR(MT_Schedules!H106/MT_Schedules!H105,2)&lt;=0.6),MT_Schedules!H106/MT_Schedules!H105,'MT_Inputs &amp; Assumptions'!$C$71)))</f>
        <v/>
      </c>
      <c r="I40" s="86">
        <f>C7*(1-(C8))</f>
        <v/>
      </c>
      <c r="J40" s="86">
        <f>D7*(1-(D8))</f>
        <v/>
      </c>
      <c r="K40" s="86">
        <f>E7*(1-(E8))</f>
        <v/>
      </c>
      <c r="L40" s="86">
        <f>F7*(1-(F8))</f>
        <v/>
      </c>
      <c r="M40" s="86">
        <f>G7*(1-(G8))</f>
        <v/>
      </c>
      <c r="N40" s="86">
        <f>H7*(1-(H8))</f>
        <v/>
      </c>
      <c r="O40" s="86">
        <f>I7*(1-(I8))</f>
        <v/>
      </c>
      <c r="P40" s="86">
        <f>J7*(1-(J8))</f>
        <v/>
      </c>
      <c r="Q40" s="86">
        <f>K7*(1-(K8))</f>
        <v/>
      </c>
      <c r="R40" s="86">
        <f>L7*(1-(L8))</f>
        <v/>
      </c>
    </row>
    <row r="41">
      <c r="B41" s="20" t="inlineStr">
        <is>
          <t>Implied ROIC = NOPAT / Beginning Invested Capital</t>
        </is>
      </c>
      <c r="C41" s="211" t="inlineStr">
        <is>
          <t>n/a</t>
        </is>
      </c>
      <c r="D41" s="127">
        <f>IFERROR(D40/D39,"")</f>
        <v/>
      </c>
      <c r="E41" s="127">
        <f>IFERROR(E40/E39,"")</f>
        <v/>
      </c>
      <c r="F41" s="127">
        <f>IFERROR(F40/F39,"")</f>
        <v/>
      </c>
      <c r="G41" s="127">
        <f>IFERROR(G40/G39,"")</f>
        <v/>
      </c>
      <c r="H41" s="127">
        <f>IFERROR(H40/H39,"")</f>
        <v/>
      </c>
      <c r="I41" s="127">
        <f>IFERROR(I40/I39,"")</f>
        <v/>
      </c>
      <c r="J41" s="127">
        <f>IFERROR(J40/J39,"")</f>
        <v/>
      </c>
      <c r="K41" s="127">
        <f>IFERROR(K40/K39,"")</f>
        <v/>
      </c>
      <c r="L41" s="127">
        <f>IFERROR(L40/L39,"")</f>
        <v/>
      </c>
      <c r="M41" s="127">
        <f>IFERROR(M40/M39,"")</f>
        <v/>
      </c>
      <c r="N41" s="127">
        <f>IFERROR(N40/N39,"")</f>
        <v/>
      </c>
      <c r="O41" s="127">
        <f>IFERROR(O40/O39,"")</f>
        <v/>
      </c>
      <c r="P41" s="127">
        <f>IFERROR(P40/P39,"")</f>
        <v/>
      </c>
      <c r="Q41" s="127">
        <f>IFERROR(Q40/Q39,"")</f>
        <v/>
      </c>
      <c r="R41" s="127">
        <f>IFERROR(R40/R39,"")</f>
        <v/>
      </c>
    </row>
    <row r="44">
      <c r="B44" t="inlineStr">
        <is>
          <t>Average Historical ROIC (last 3yr, for context)</t>
        </is>
      </c>
      <c r="C44" s="97">
        <f>AVERAGE(F41:H41)</f>
        <v/>
      </c>
    </row>
    <row r="45" ht="40" customHeight="1" s="203">
      <c r="B45" s="88">
        <f>IF(ABS(I41-C44)&gt;0.15,"⚠ Implied ROIC in the first forecast year ("&amp;TEXT(I41,"0.0%")&amp;") differs from the last 3yr average historical ROIC ("&amp;TEXT(C44,"0.0%")&amp;") by more than 15 percentage points. The assumed growth and reinvestment levels imply a return on capital very different from what this company has actually earned -- confirm this is deliberate (e.g. a genuine margin/efficiency inflection) before relying on the DCF.","")</f>
        <v/>
      </c>
    </row>
  </sheetData>
  <pageMargins left="0.75" right="0.75" top="1" bottom="1" header="0.5" footer="0.5"/>
</worksheet>
</file>

<file path=xl/worksheets/sheet45.xml><?xml version="1.0" encoding="utf-8"?>
<worksheet xmlns="http://schemas.openxmlformats.org/spreadsheetml/2006/main">
  <sheetPr>
    <tabColor rgb="00B45F06"/>
    <outlinePr summaryBelow="1" summaryRight="1"/>
    <pageSetUpPr/>
  </sheetPr>
  <dimension ref="A1:G31"/>
  <sheetViews>
    <sheetView showGridLines="0" workbookViewId="0">
      <selection activeCell="A1" sqref="A1"/>
    </sheetView>
  </sheetViews>
  <sheetFormatPr baseColWidth="8" defaultRowHeight="14.5"/>
  <cols>
    <col width="3.453125" customWidth="1" style="203" min="1" max="1"/>
    <col width="65" customWidth="1" style="203" min="2" max="2"/>
    <col width="17" customWidth="1" style="203" min="3" max="19"/>
  </cols>
  <sheetData>
    <row r="1" ht="21" customHeight="1" s="203">
      <c r="A1" t="inlineStr">
        <is>
          <t>#</t>
        </is>
      </c>
      <c r="B1" s="99" t="inlineStr">
        <is>
          <t>Sensitivity Tables</t>
        </is>
      </c>
    </row>
    <row r="4" ht="17" customHeight="1" s="203">
      <c r="A4" t="inlineStr">
        <is>
          <t>#</t>
        </is>
      </c>
      <c r="B4" s="117" t="inlineStr">
        <is>
          <t>Table 1: WACC (rows) x Terminal Growth Rate (cols) -&gt; Implied Value/Share</t>
        </is>
      </c>
    </row>
    <row r="6">
      <c r="B6" s="128" t="inlineStr">
        <is>
          <t>Terminal Growth Rate</t>
        </is>
      </c>
    </row>
    <row r="7">
      <c r="B7" s="128" t="inlineStr">
        <is>
          <t>WACC</t>
        </is>
      </c>
      <c r="C7" s="129">
        <f>(IF('MT_Inputs &amp; Assumptions'!$C$11="",'MT_Inputs &amp; Assumptions'!$C$10,'MT_Inputs &amp; Assumptions'!$C$11))+(-0.02)</f>
        <v/>
      </c>
      <c r="D7" s="129">
        <f>(IF('MT_Inputs &amp; Assumptions'!$C$11="",'MT_Inputs &amp; Assumptions'!$C$10,'MT_Inputs &amp; Assumptions'!$C$11))+(-0.01)</f>
        <v/>
      </c>
      <c r="E7" s="129">
        <f>(IF('MT_Inputs &amp; Assumptions'!$C$11="",'MT_Inputs &amp; Assumptions'!$C$10,'MT_Inputs &amp; Assumptions'!$C$11))+(0)</f>
        <v/>
      </c>
      <c r="F7" s="129">
        <f>(IF('MT_Inputs &amp; Assumptions'!$C$11="",'MT_Inputs &amp; Assumptions'!$C$10,'MT_Inputs &amp; Assumptions'!$C$11))+(0.01)</f>
        <v/>
      </c>
      <c r="G7" s="129">
        <f>(IF('MT_Inputs &amp; Assumptions'!$C$11="",'MT_Inputs &amp; Assumptions'!$C$10,'MT_Inputs &amp; Assumptions'!$C$11))+(0.02)</f>
        <v/>
      </c>
    </row>
    <row r="8">
      <c r="B8" s="111">
        <f>'MT_WACC Schedule'!$C39+(-0.02)</f>
        <v/>
      </c>
      <c r="C8" s="130">
        <f>(((((((('MT_P&amp;L Schedule'!I14)*(1-(IFERROR(MT_Schedules!I106/MT_Schedules!I105,0))))+((-'MT_P&amp;L Schedule'!I13))+((-MT_Schedules!I52))+((MT_Schedules!I44*(1)))))*(1/(1+$B8)^1)+(((('MT_P&amp;L Schedule'!J14)*(1-(IFERROR(MT_Schedules!J106/MT_Schedules!J105,0))))+((-'MT_P&amp;L Schedule'!J13))+((-MT_Schedules!J52))+((MT_Schedules!J44*(1)))))*(1/(1+$B8)^2)+(((('MT_P&amp;L Schedule'!K14)*(1-(IFERROR(MT_Schedules!K106/MT_Schedules!K105,0))))+((-'MT_P&amp;L Schedule'!K13))+((-MT_Schedules!K52))+((MT_Schedules!K44*(1)))))*(1/(1+$B8)^3)+(((('MT_P&amp;L Schedule'!L14)*(1-(IFERROR(MT_Schedules!L106/MT_Schedules!L105,0))))+((-'MT_P&amp;L Schedule'!L13))+((-MT_Schedules!L52))+((MT_Schedules!L44*(1)))))*(1/(1+$B8)^4)+(((('MT_P&amp;L Schedule'!M14)*(1-(IFERROR(MT_Schedules!M106/MT_Schedules!M105,0))))+((-'MT_P&amp;L Schedule'!M13))+((-MT_Schedules!M52))+((MT_Schedules!M44*(1)))))*(1/(1+$B8)^5)+(((('MT_P&amp;L Schedule'!N14)*(1-(IFERROR(MT_Schedules!N106/MT_Schedules!N105,0))))+((-'MT_P&amp;L Schedule'!N13))+((-MT_Schedules!N52))+((MT_Schedules!N44*(1)))))*(1/(1+$B8)^6)+(((('MT_P&amp;L Schedule'!O14)*(1-(IFERROR(MT_Schedules!O106/MT_Schedules!O105,0))))+((-'MT_P&amp;L Schedule'!O13))+((-MT_Schedules!O52))+((MT_Schedules!O44*(1)))))*(1/(1+$B8)^7)+(((('MT_P&amp;L Schedule'!P14)*(1-(IFERROR(MT_Schedules!P106/MT_Schedules!P105,0))))+((-'MT_P&amp;L Schedule'!P13))+((-MT_Schedules!P52))+((MT_Schedules!P44*(1)))))*(1/(1+$B8)^8)+(((('MT_P&amp;L Schedule'!Q14)*(1-(IFERROR(MT_Schedules!Q106/MT_Schedules!Q105,0))))+((-'MT_P&amp;L Schedule'!Q13))+((-MT_Schedules!Q52))+((MT_Schedules!Q44*(1)))))*(1/(1+$B8)^9)+(((('MT_P&amp;L Schedule'!R14)*(1-(IFERROR(MT_Schedules!R106/MT_Schedules!R105,0))))+((-'MT_P&amp;L Schedule'!R13))+((-MT_Schedules!R52))+((MT_Schedules!R44*(1)))))*(1/(1+$B8)^10))+((((('MT_P&amp;L Schedule'!R14)*(1+(C$7))*(1-('MT_Inputs &amp; Assumptions'!$C$71)))*(1-(((C$7)/($B8))))/(($B8)-(C$7))))*(1/(1+$B8)^10))))-(MT_Schedules!$H$92)+(IFERROR(INDEX(MT_HS_CONSOLIDATED!I:I,MATCH("CashAndCashEquivalents",MT_HS_CONSOLIDATED!$C:$C,0)),0)))/'MT_WACC Schedule'!$C7</f>
        <v/>
      </c>
      <c r="D8" s="130">
        <f>(((((((('MT_P&amp;L Schedule'!I14)*(1-(IFERROR(MT_Schedules!I106/MT_Schedules!I105,0))))+((-'MT_P&amp;L Schedule'!I13))+((-MT_Schedules!I52))+((MT_Schedules!I44*(1)))))*(1/(1+$B8)^1)+(((('MT_P&amp;L Schedule'!J14)*(1-(IFERROR(MT_Schedules!J106/MT_Schedules!J105,0))))+((-'MT_P&amp;L Schedule'!J13))+((-MT_Schedules!J52))+((MT_Schedules!J44*(1)))))*(1/(1+$B8)^2)+(((('MT_P&amp;L Schedule'!K14)*(1-(IFERROR(MT_Schedules!K106/MT_Schedules!K105,0))))+((-'MT_P&amp;L Schedule'!K13))+((-MT_Schedules!K52))+((MT_Schedules!K44*(1)))))*(1/(1+$B8)^3)+(((('MT_P&amp;L Schedule'!L14)*(1-(IFERROR(MT_Schedules!L106/MT_Schedules!L105,0))))+((-'MT_P&amp;L Schedule'!L13))+((-MT_Schedules!L52))+((MT_Schedules!L44*(1)))))*(1/(1+$B8)^4)+(((('MT_P&amp;L Schedule'!M14)*(1-(IFERROR(MT_Schedules!M106/MT_Schedules!M105,0))))+((-'MT_P&amp;L Schedule'!M13))+((-MT_Schedules!M52))+((MT_Schedules!M44*(1)))))*(1/(1+$B8)^5)+(((('MT_P&amp;L Schedule'!N14)*(1-(IFERROR(MT_Schedules!N106/MT_Schedules!N105,0))))+((-'MT_P&amp;L Schedule'!N13))+((-MT_Schedules!N52))+((MT_Schedules!N44*(1)))))*(1/(1+$B8)^6)+(((('MT_P&amp;L Schedule'!O14)*(1-(IFERROR(MT_Schedules!O106/MT_Schedules!O105,0))))+((-'MT_P&amp;L Schedule'!O13))+((-MT_Schedules!O52))+((MT_Schedules!O44*(1)))))*(1/(1+$B8)^7)+(((('MT_P&amp;L Schedule'!P14)*(1-(IFERROR(MT_Schedules!P106/MT_Schedules!P105,0))))+((-'MT_P&amp;L Schedule'!P13))+((-MT_Schedules!P52))+((MT_Schedules!P44*(1)))))*(1/(1+$B8)^8)+(((('MT_P&amp;L Schedule'!Q14)*(1-(IFERROR(MT_Schedules!Q106/MT_Schedules!Q105,0))))+((-'MT_P&amp;L Schedule'!Q13))+((-MT_Schedules!Q52))+((MT_Schedules!Q44*(1)))))*(1/(1+$B8)^9)+(((('MT_P&amp;L Schedule'!R14)*(1-(IFERROR(MT_Schedules!R106/MT_Schedules!R105,0))))+((-'MT_P&amp;L Schedule'!R13))+((-MT_Schedules!R52))+((MT_Schedules!R44*(1)))))*(1/(1+$B8)^10))+((((('MT_P&amp;L Schedule'!R14)*(1+(D$7))*(1-('MT_Inputs &amp; Assumptions'!$C$71)))*(1-(((D$7)/($B8))))/(($B8)-(D$7))))*(1/(1+$B8)^10))))-(MT_Schedules!$H$92)+(IFERROR(INDEX(MT_HS_CONSOLIDATED!I:I,MATCH("CashAndCashEquivalents",MT_HS_CONSOLIDATED!$C:$C,0)),0)))/'MT_WACC Schedule'!$C7</f>
        <v/>
      </c>
      <c r="E8" s="130">
        <f>(((((((('MT_P&amp;L Schedule'!I14)*(1-(IFERROR(MT_Schedules!I106/MT_Schedules!I105,0))))+((-'MT_P&amp;L Schedule'!I13))+((-MT_Schedules!I52))+((MT_Schedules!I44*(1)))))*(1/(1+$B8)^1)+(((('MT_P&amp;L Schedule'!J14)*(1-(IFERROR(MT_Schedules!J106/MT_Schedules!J105,0))))+((-'MT_P&amp;L Schedule'!J13))+((-MT_Schedules!J52))+((MT_Schedules!J44*(1)))))*(1/(1+$B8)^2)+(((('MT_P&amp;L Schedule'!K14)*(1-(IFERROR(MT_Schedules!K106/MT_Schedules!K105,0))))+((-'MT_P&amp;L Schedule'!K13))+((-MT_Schedules!K52))+((MT_Schedules!K44*(1)))))*(1/(1+$B8)^3)+(((('MT_P&amp;L Schedule'!L14)*(1-(IFERROR(MT_Schedules!L106/MT_Schedules!L105,0))))+((-'MT_P&amp;L Schedule'!L13))+((-MT_Schedules!L52))+((MT_Schedules!L44*(1)))))*(1/(1+$B8)^4)+(((('MT_P&amp;L Schedule'!M14)*(1-(IFERROR(MT_Schedules!M106/MT_Schedules!M105,0))))+((-'MT_P&amp;L Schedule'!M13))+((-MT_Schedules!M52))+((MT_Schedules!M44*(1)))))*(1/(1+$B8)^5)+(((('MT_P&amp;L Schedule'!N14)*(1-(IFERROR(MT_Schedules!N106/MT_Schedules!N105,0))))+((-'MT_P&amp;L Schedule'!N13))+((-MT_Schedules!N52))+((MT_Schedules!N44*(1)))))*(1/(1+$B8)^6)+(((('MT_P&amp;L Schedule'!O14)*(1-(IFERROR(MT_Schedules!O106/MT_Schedules!O105,0))))+((-'MT_P&amp;L Schedule'!O13))+((-MT_Schedules!O52))+((MT_Schedules!O44*(1)))))*(1/(1+$B8)^7)+(((('MT_P&amp;L Schedule'!P14)*(1-(IFERROR(MT_Schedules!P106/MT_Schedules!P105,0))))+((-'MT_P&amp;L Schedule'!P13))+((-MT_Schedules!P52))+((MT_Schedules!P44*(1)))))*(1/(1+$B8)^8)+(((('MT_P&amp;L Schedule'!Q14)*(1-(IFERROR(MT_Schedules!Q106/MT_Schedules!Q105,0))))+((-'MT_P&amp;L Schedule'!Q13))+((-MT_Schedules!Q52))+((MT_Schedules!Q44*(1)))))*(1/(1+$B8)^9)+(((('MT_P&amp;L Schedule'!R14)*(1-(IFERROR(MT_Schedules!R106/MT_Schedules!R105,0))))+((-'MT_P&amp;L Schedule'!R13))+((-MT_Schedules!R52))+((MT_Schedules!R44*(1)))))*(1/(1+$B8)^10))+((((('MT_P&amp;L Schedule'!R14)*(1+(E$7))*(1-('MT_Inputs &amp; Assumptions'!$C$71)))*(1-(((E$7)/($B8))))/(($B8)-(E$7))))*(1/(1+$B8)^10))))-(MT_Schedules!$H$92)+(IFERROR(INDEX(MT_HS_CONSOLIDATED!I:I,MATCH("CashAndCashEquivalents",MT_HS_CONSOLIDATED!$C:$C,0)),0)))/'MT_WACC Schedule'!$C7</f>
        <v/>
      </c>
      <c r="F8" s="130">
        <f>(((((((('MT_P&amp;L Schedule'!I14)*(1-(IFERROR(MT_Schedules!I106/MT_Schedules!I105,0))))+((-'MT_P&amp;L Schedule'!I13))+((-MT_Schedules!I52))+((MT_Schedules!I44*(1)))))*(1/(1+$B8)^1)+(((('MT_P&amp;L Schedule'!J14)*(1-(IFERROR(MT_Schedules!J106/MT_Schedules!J105,0))))+((-'MT_P&amp;L Schedule'!J13))+((-MT_Schedules!J52))+((MT_Schedules!J44*(1)))))*(1/(1+$B8)^2)+(((('MT_P&amp;L Schedule'!K14)*(1-(IFERROR(MT_Schedules!K106/MT_Schedules!K105,0))))+((-'MT_P&amp;L Schedule'!K13))+((-MT_Schedules!K52))+((MT_Schedules!K44*(1)))))*(1/(1+$B8)^3)+(((('MT_P&amp;L Schedule'!L14)*(1-(IFERROR(MT_Schedules!L106/MT_Schedules!L105,0))))+((-'MT_P&amp;L Schedule'!L13))+((-MT_Schedules!L52))+((MT_Schedules!L44*(1)))))*(1/(1+$B8)^4)+(((('MT_P&amp;L Schedule'!M14)*(1-(IFERROR(MT_Schedules!M106/MT_Schedules!M105,0))))+((-'MT_P&amp;L Schedule'!M13))+((-MT_Schedules!M52))+((MT_Schedules!M44*(1)))))*(1/(1+$B8)^5)+(((('MT_P&amp;L Schedule'!N14)*(1-(IFERROR(MT_Schedules!N106/MT_Schedules!N105,0))))+((-'MT_P&amp;L Schedule'!N13))+((-MT_Schedules!N52))+((MT_Schedules!N44*(1)))))*(1/(1+$B8)^6)+(((('MT_P&amp;L Schedule'!O14)*(1-(IFERROR(MT_Schedules!O106/MT_Schedules!O105,0))))+((-'MT_P&amp;L Schedule'!O13))+((-MT_Schedules!O52))+((MT_Schedules!O44*(1)))))*(1/(1+$B8)^7)+(((('MT_P&amp;L Schedule'!P14)*(1-(IFERROR(MT_Schedules!P106/MT_Schedules!P105,0))))+((-'MT_P&amp;L Schedule'!P13))+((-MT_Schedules!P52))+((MT_Schedules!P44*(1)))))*(1/(1+$B8)^8)+(((('MT_P&amp;L Schedule'!Q14)*(1-(IFERROR(MT_Schedules!Q106/MT_Schedules!Q105,0))))+((-'MT_P&amp;L Schedule'!Q13))+((-MT_Schedules!Q52))+((MT_Schedules!Q44*(1)))))*(1/(1+$B8)^9)+(((('MT_P&amp;L Schedule'!R14)*(1-(IFERROR(MT_Schedules!R106/MT_Schedules!R105,0))))+((-'MT_P&amp;L Schedule'!R13))+((-MT_Schedules!R52))+((MT_Schedules!R44*(1)))))*(1/(1+$B8)^10))+((((('MT_P&amp;L Schedule'!R14)*(1+(F$7))*(1-('MT_Inputs &amp; Assumptions'!$C$71)))*(1-(((F$7)/($B8))))/(($B8)-(F$7))))*(1/(1+$B8)^10))))-(MT_Schedules!$H$92)+(IFERROR(INDEX(MT_HS_CONSOLIDATED!I:I,MATCH("CashAndCashEquivalents",MT_HS_CONSOLIDATED!$C:$C,0)),0)))/'MT_WACC Schedule'!$C7</f>
        <v/>
      </c>
      <c r="G8" s="130">
        <f>(((((((('MT_P&amp;L Schedule'!I14)*(1-(IFERROR(MT_Schedules!I106/MT_Schedules!I105,0))))+((-'MT_P&amp;L Schedule'!I13))+((-MT_Schedules!I52))+((MT_Schedules!I44*(1)))))*(1/(1+$B8)^1)+(((('MT_P&amp;L Schedule'!J14)*(1-(IFERROR(MT_Schedules!J106/MT_Schedules!J105,0))))+((-'MT_P&amp;L Schedule'!J13))+((-MT_Schedules!J52))+((MT_Schedules!J44*(1)))))*(1/(1+$B8)^2)+(((('MT_P&amp;L Schedule'!K14)*(1-(IFERROR(MT_Schedules!K106/MT_Schedules!K105,0))))+((-'MT_P&amp;L Schedule'!K13))+((-MT_Schedules!K52))+((MT_Schedules!K44*(1)))))*(1/(1+$B8)^3)+(((('MT_P&amp;L Schedule'!L14)*(1-(IFERROR(MT_Schedules!L106/MT_Schedules!L105,0))))+((-'MT_P&amp;L Schedule'!L13))+((-MT_Schedules!L52))+((MT_Schedules!L44*(1)))))*(1/(1+$B8)^4)+(((('MT_P&amp;L Schedule'!M14)*(1-(IFERROR(MT_Schedules!M106/MT_Schedules!M105,0))))+((-'MT_P&amp;L Schedule'!M13))+((-MT_Schedules!M52))+((MT_Schedules!M44*(1)))))*(1/(1+$B8)^5)+(((('MT_P&amp;L Schedule'!N14)*(1-(IFERROR(MT_Schedules!N106/MT_Schedules!N105,0))))+((-'MT_P&amp;L Schedule'!N13))+((-MT_Schedules!N52))+((MT_Schedules!N44*(1)))))*(1/(1+$B8)^6)+(((('MT_P&amp;L Schedule'!O14)*(1-(IFERROR(MT_Schedules!O106/MT_Schedules!O105,0))))+((-'MT_P&amp;L Schedule'!O13))+((-MT_Schedules!O52))+((MT_Schedules!O44*(1)))))*(1/(1+$B8)^7)+(((('MT_P&amp;L Schedule'!P14)*(1-(IFERROR(MT_Schedules!P106/MT_Schedules!P105,0))))+((-'MT_P&amp;L Schedule'!P13))+((-MT_Schedules!P52))+((MT_Schedules!P44*(1)))))*(1/(1+$B8)^8)+(((('MT_P&amp;L Schedule'!Q14)*(1-(IFERROR(MT_Schedules!Q106/MT_Schedules!Q105,0))))+((-'MT_P&amp;L Schedule'!Q13))+((-MT_Schedules!Q52))+((MT_Schedules!Q44*(1)))))*(1/(1+$B8)^9)+(((('MT_P&amp;L Schedule'!R14)*(1-(IFERROR(MT_Schedules!R106/MT_Schedules!R105,0))))+((-'MT_P&amp;L Schedule'!R13))+((-MT_Schedules!R52))+((MT_Schedules!R44*(1)))))*(1/(1+$B8)^10))+((((('MT_P&amp;L Schedule'!R14)*(1+(G$7))*(1-('MT_Inputs &amp; Assumptions'!$C$71)))*(1-(((G$7)/($B8))))/(($B8)-(G$7))))*(1/(1+$B8)^10))))-(MT_Schedules!$H$92)+(IFERROR(INDEX(MT_HS_CONSOLIDATED!I:I,MATCH("CashAndCashEquivalents",MT_HS_CONSOLIDATED!$C:$C,0)),0)))/'MT_WACC Schedule'!$C7</f>
        <v/>
      </c>
    </row>
    <row r="9">
      <c r="B9" s="111">
        <f>'MT_WACC Schedule'!$C39+(-0.01)</f>
        <v/>
      </c>
      <c r="C9" s="130">
        <f>(((((((('MT_P&amp;L Schedule'!I14)*(1-(IFERROR(MT_Schedules!I106/MT_Schedules!I105,0))))+((-'MT_P&amp;L Schedule'!I13))+((-MT_Schedules!I52))+((MT_Schedules!I44*(1)))))*(1/(1+$B9)^1)+(((('MT_P&amp;L Schedule'!J14)*(1-(IFERROR(MT_Schedules!J106/MT_Schedules!J105,0))))+((-'MT_P&amp;L Schedule'!J13))+((-MT_Schedules!J52))+((MT_Schedules!J44*(1)))))*(1/(1+$B9)^2)+(((('MT_P&amp;L Schedule'!K14)*(1-(IFERROR(MT_Schedules!K106/MT_Schedules!K105,0))))+((-'MT_P&amp;L Schedule'!K13))+((-MT_Schedules!K52))+((MT_Schedules!K44*(1)))))*(1/(1+$B9)^3)+(((('MT_P&amp;L Schedule'!L14)*(1-(IFERROR(MT_Schedules!L106/MT_Schedules!L105,0))))+((-'MT_P&amp;L Schedule'!L13))+((-MT_Schedules!L52))+((MT_Schedules!L44*(1)))))*(1/(1+$B9)^4)+(((('MT_P&amp;L Schedule'!M14)*(1-(IFERROR(MT_Schedules!M106/MT_Schedules!M105,0))))+((-'MT_P&amp;L Schedule'!M13))+((-MT_Schedules!M52))+((MT_Schedules!M44*(1)))))*(1/(1+$B9)^5)+(((('MT_P&amp;L Schedule'!N14)*(1-(IFERROR(MT_Schedules!N106/MT_Schedules!N105,0))))+((-'MT_P&amp;L Schedule'!N13))+((-MT_Schedules!N52))+((MT_Schedules!N44*(1)))))*(1/(1+$B9)^6)+(((('MT_P&amp;L Schedule'!O14)*(1-(IFERROR(MT_Schedules!O106/MT_Schedules!O105,0))))+((-'MT_P&amp;L Schedule'!O13))+((-MT_Schedules!O52))+((MT_Schedules!O44*(1)))))*(1/(1+$B9)^7)+(((('MT_P&amp;L Schedule'!P14)*(1-(IFERROR(MT_Schedules!P106/MT_Schedules!P105,0))))+((-'MT_P&amp;L Schedule'!P13))+((-MT_Schedules!P52))+((MT_Schedules!P44*(1)))))*(1/(1+$B9)^8)+(((('MT_P&amp;L Schedule'!Q14)*(1-(IFERROR(MT_Schedules!Q106/MT_Schedules!Q105,0))))+((-'MT_P&amp;L Schedule'!Q13))+((-MT_Schedules!Q52))+((MT_Schedules!Q44*(1)))))*(1/(1+$B9)^9)+(((('MT_P&amp;L Schedule'!R14)*(1-(IFERROR(MT_Schedules!R106/MT_Schedules!R105,0))))+((-'MT_P&amp;L Schedule'!R13))+((-MT_Schedules!R52))+((MT_Schedules!R44*(1)))))*(1/(1+$B9)^10))+((((('MT_P&amp;L Schedule'!R14)*(1+(C$7))*(1-('MT_Inputs &amp; Assumptions'!$C$71)))*(1-(((C$7)/($B9))))/(($B9)-(C$7))))*(1/(1+$B9)^10))))-(MT_Schedules!$H$92)+(IFERROR(INDEX(MT_HS_CONSOLIDATED!I:I,MATCH("CashAndCashEquivalents",MT_HS_CONSOLIDATED!$C:$C,0)),0)))/'MT_WACC Schedule'!$C7</f>
        <v/>
      </c>
      <c r="D9" s="130">
        <f>(((((((('MT_P&amp;L Schedule'!I14)*(1-(IFERROR(MT_Schedules!I106/MT_Schedules!I105,0))))+((-'MT_P&amp;L Schedule'!I13))+((-MT_Schedules!I52))+((MT_Schedules!I44*(1)))))*(1/(1+$B9)^1)+(((('MT_P&amp;L Schedule'!J14)*(1-(IFERROR(MT_Schedules!J106/MT_Schedules!J105,0))))+((-'MT_P&amp;L Schedule'!J13))+((-MT_Schedules!J52))+((MT_Schedules!J44*(1)))))*(1/(1+$B9)^2)+(((('MT_P&amp;L Schedule'!K14)*(1-(IFERROR(MT_Schedules!K106/MT_Schedules!K105,0))))+((-'MT_P&amp;L Schedule'!K13))+((-MT_Schedules!K52))+((MT_Schedules!K44*(1)))))*(1/(1+$B9)^3)+(((('MT_P&amp;L Schedule'!L14)*(1-(IFERROR(MT_Schedules!L106/MT_Schedules!L105,0))))+((-'MT_P&amp;L Schedule'!L13))+((-MT_Schedules!L52))+((MT_Schedules!L44*(1)))))*(1/(1+$B9)^4)+(((('MT_P&amp;L Schedule'!M14)*(1-(IFERROR(MT_Schedules!M106/MT_Schedules!M105,0))))+((-'MT_P&amp;L Schedule'!M13))+((-MT_Schedules!M52))+((MT_Schedules!M44*(1)))))*(1/(1+$B9)^5)+(((('MT_P&amp;L Schedule'!N14)*(1-(IFERROR(MT_Schedules!N106/MT_Schedules!N105,0))))+((-'MT_P&amp;L Schedule'!N13))+((-MT_Schedules!N52))+((MT_Schedules!N44*(1)))))*(1/(1+$B9)^6)+(((('MT_P&amp;L Schedule'!O14)*(1-(IFERROR(MT_Schedules!O106/MT_Schedules!O105,0))))+((-'MT_P&amp;L Schedule'!O13))+((-MT_Schedules!O52))+((MT_Schedules!O44*(1)))))*(1/(1+$B9)^7)+(((('MT_P&amp;L Schedule'!P14)*(1-(IFERROR(MT_Schedules!P106/MT_Schedules!P105,0))))+((-'MT_P&amp;L Schedule'!P13))+((-MT_Schedules!P52))+((MT_Schedules!P44*(1)))))*(1/(1+$B9)^8)+(((('MT_P&amp;L Schedule'!Q14)*(1-(IFERROR(MT_Schedules!Q106/MT_Schedules!Q105,0))))+((-'MT_P&amp;L Schedule'!Q13))+((-MT_Schedules!Q52))+((MT_Schedules!Q44*(1)))))*(1/(1+$B9)^9)+(((('MT_P&amp;L Schedule'!R14)*(1-(IFERROR(MT_Schedules!R106/MT_Schedules!R105,0))))+((-'MT_P&amp;L Schedule'!R13))+((-MT_Schedules!R52))+((MT_Schedules!R44*(1)))))*(1/(1+$B9)^10))+((((('MT_P&amp;L Schedule'!R14)*(1+(D$7))*(1-('MT_Inputs &amp; Assumptions'!$C$71)))*(1-(((D$7)/($B9))))/(($B9)-(D$7))))*(1/(1+$B9)^10))))-(MT_Schedules!$H$92)+(IFERROR(INDEX(MT_HS_CONSOLIDATED!I:I,MATCH("CashAndCashEquivalents",MT_HS_CONSOLIDATED!$C:$C,0)),0)))/'MT_WACC Schedule'!$C7</f>
        <v/>
      </c>
      <c r="E9" s="130">
        <f>(((((((('MT_P&amp;L Schedule'!I14)*(1-(IFERROR(MT_Schedules!I106/MT_Schedules!I105,0))))+((-'MT_P&amp;L Schedule'!I13))+((-MT_Schedules!I52))+((MT_Schedules!I44*(1)))))*(1/(1+$B9)^1)+(((('MT_P&amp;L Schedule'!J14)*(1-(IFERROR(MT_Schedules!J106/MT_Schedules!J105,0))))+((-'MT_P&amp;L Schedule'!J13))+((-MT_Schedules!J52))+((MT_Schedules!J44*(1)))))*(1/(1+$B9)^2)+(((('MT_P&amp;L Schedule'!K14)*(1-(IFERROR(MT_Schedules!K106/MT_Schedules!K105,0))))+((-'MT_P&amp;L Schedule'!K13))+((-MT_Schedules!K52))+((MT_Schedules!K44*(1)))))*(1/(1+$B9)^3)+(((('MT_P&amp;L Schedule'!L14)*(1-(IFERROR(MT_Schedules!L106/MT_Schedules!L105,0))))+((-'MT_P&amp;L Schedule'!L13))+((-MT_Schedules!L52))+((MT_Schedules!L44*(1)))))*(1/(1+$B9)^4)+(((('MT_P&amp;L Schedule'!M14)*(1-(IFERROR(MT_Schedules!M106/MT_Schedules!M105,0))))+((-'MT_P&amp;L Schedule'!M13))+((-MT_Schedules!M52))+((MT_Schedules!M44*(1)))))*(1/(1+$B9)^5)+(((('MT_P&amp;L Schedule'!N14)*(1-(IFERROR(MT_Schedules!N106/MT_Schedules!N105,0))))+((-'MT_P&amp;L Schedule'!N13))+((-MT_Schedules!N52))+((MT_Schedules!N44*(1)))))*(1/(1+$B9)^6)+(((('MT_P&amp;L Schedule'!O14)*(1-(IFERROR(MT_Schedules!O106/MT_Schedules!O105,0))))+((-'MT_P&amp;L Schedule'!O13))+((-MT_Schedules!O52))+((MT_Schedules!O44*(1)))))*(1/(1+$B9)^7)+(((('MT_P&amp;L Schedule'!P14)*(1-(IFERROR(MT_Schedules!P106/MT_Schedules!P105,0))))+((-'MT_P&amp;L Schedule'!P13))+((-MT_Schedules!P52))+((MT_Schedules!P44*(1)))))*(1/(1+$B9)^8)+(((('MT_P&amp;L Schedule'!Q14)*(1-(IFERROR(MT_Schedules!Q106/MT_Schedules!Q105,0))))+((-'MT_P&amp;L Schedule'!Q13))+((-MT_Schedules!Q52))+((MT_Schedules!Q44*(1)))))*(1/(1+$B9)^9)+(((('MT_P&amp;L Schedule'!R14)*(1-(IFERROR(MT_Schedules!R106/MT_Schedules!R105,0))))+((-'MT_P&amp;L Schedule'!R13))+((-MT_Schedules!R52))+((MT_Schedules!R44*(1)))))*(1/(1+$B9)^10))+((((('MT_P&amp;L Schedule'!R14)*(1+(E$7))*(1-('MT_Inputs &amp; Assumptions'!$C$71)))*(1-(((E$7)/($B9))))/(($B9)-(E$7))))*(1/(1+$B9)^10))))-(MT_Schedules!$H$92)+(IFERROR(INDEX(MT_HS_CONSOLIDATED!I:I,MATCH("CashAndCashEquivalents",MT_HS_CONSOLIDATED!$C:$C,0)),0)))/'MT_WACC Schedule'!$C7</f>
        <v/>
      </c>
      <c r="F9" s="130">
        <f>(((((((('MT_P&amp;L Schedule'!I14)*(1-(IFERROR(MT_Schedules!I106/MT_Schedules!I105,0))))+((-'MT_P&amp;L Schedule'!I13))+((-MT_Schedules!I52))+((MT_Schedules!I44*(1)))))*(1/(1+$B9)^1)+(((('MT_P&amp;L Schedule'!J14)*(1-(IFERROR(MT_Schedules!J106/MT_Schedules!J105,0))))+((-'MT_P&amp;L Schedule'!J13))+((-MT_Schedules!J52))+((MT_Schedules!J44*(1)))))*(1/(1+$B9)^2)+(((('MT_P&amp;L Schedule'!K14)*(1-(IFERROR(MT_Schedules!K106/MT_Schedules!K105,0))))+((-'MT_P&amp;L Schedule'!K13))+((-MT_Schedules!K52))+((MT_Schedules!K44*(1)))))*(1/(1+$B9)^3)+(((('MT_P&amp;L Schedule'!L14)*(1-(IFERROR(MT_Schedules!L106/MT_Schedules!L105,0))))+((-'MT_P&amp;L Schedule'!L13))+((-MT_Schedules!L52))+((MT_Schedules!L44*(1)))))*(1/(1+$B9)^4)+(((('MT_P&amp;L Schedule'!M14)*(1-(IFERROR(MT_Schedules!M106/MT_Schedules!M105,0))))+((-'MT_P&amp;L Schedule'!M13))+((-MT_Schedules!M52))+((MT_Schedules!M44*(1)))))*(1/(1+$B9)^5)+(((('MT_P&amp;L Schedule'!N14)*(1-(IFERROR(MT_Schedules!N106/MT_Schedules!N105,0))))+((-'MT_P&amp;L Schedule'!N13))+((-MT_Schedules!N52))+((MT_Schedules!N44*(1)))))*(1/(1+$B9)^6)+(((('MT_P&amp;L Schedule'!O14)*(1-(IFERROR(MT_Schedules!O106/MT_Schedules!O105,0))))+((-'MT_P&amp;L Schedule'!O13))+((-MT_Schedules!O52))+((MT_Schedules!O44*(1)))))*(1/(1+$B9)^7)+(((('MT_P&amp;L Schedule'!P14)*(1-(IFERROR(MT_Schedules!P106/MT_Schedules!P105,0))))+((-'MT_P&amp;L Schedule'!P13))+((-MT_Schedules!P52))+((MT_Schedules!P44*(1)))))*(1/(1+$B9)^8)+(((('MT_P&amp;L Schedule'!Q14)*(1-(IFERROR(MT_Schedules!Q106/MT_Schedules!Q105,0))))+((-'MT_P&amp;L Schedule'!Q13))+((-MT_Schedules!Q52))+((MT_Schedules!Q44*(1)))))*(1/(1+$B9)^9)+(((('MT_P&amp;L Schedule'!R14)*(1-(IFERROR(MT_Schedules!R106/MT_Schedules!R105,0))))+((-'MT_P&amp;L Schedule'!R13))+((-MT_Schedules!R52))+((MT_Schedules!R44*(1)))))*(1/(1+$B9)^10))+((((('MT_P&amp;L Schedule'!R14)*(1+(F$7))*(1-('MT_Inputs &amp; Assumptions'!$C$71)))*(1-(((F$7)/($B9))))/(($B9)-(F$7))))*(1/(1+$B9)^10))))-(MT_Schedules!$H$92)+(IFERROR(INDEX(MT_HS_CONSOLIDATED!I:I,MATCH("CashAndCashEquivalents",MT_HS_CONSOLIDATED!$C:$C,0)),0)))/'MT_WACC Schedule'!$C7</f>
        <v/>
      </c>
      <c r="G9" s="130">
        <f>(((((((('MT_P&amp;L Schedule'!I14)*(1-(IFERROR(MT_Schedules!I106/MT_Schedules!I105,0))))+((-'MT_P&amp;L Schedule'!I13))+((-MT_Schedules!I52))+((MT_Schedules!I44*(1)))))*(1/(1+$B9)^1)+(((('MT_P&amp;L Schedule'!J14)*(1-(IFERROR(MT_Schedules!J106/MT_Schedules!J105,0))))+((-'MT_P&amp;L Schedule'!J13))+((-MT_Schedules!J52))+((MT_Schedules!J44*(1)))))*(1/(1+$B9)^2)+(((('MT_P&amp;L Schedule'!K14)*(1-(IFERROR(MT_Schedules!K106/MT_Schedules!K105,0))))+((-'MT_P&amp;L Schedule'!K13))+((-MT_Schedules!K52))+((MT_Schedules!K44*(1)))))*(1/(1+$B9)^3)+(((('MT_P&amp;L Schedule'!L14)*(1-(IFERROR(MT_Schedules!L106/MT_Schedules!L105,0))))+((-'MT_P&amp;L Schedule'!L13))+((-MT_Schedules!L52))+((MT_Schedules!L44*(1)))))*(1/(1+$B9)^4)+(((('MT_P&amp;L Schedule'!M14)*(1-(IFERROR(MT_Schedules!M106/MT_Schedules!M105,0))))+((-'MT_P&amp;L Schedule'!M13))+((-MT_Schedules!M52))+((MT_Schedules!M44*(1)))))*(1/(1+$B9)^5)+(((('MT_P&amp;L Schedule'!N14)*(1-(IFERROR(MT_Schedules!N106/MT_Schedules!N105,0))))+((-'MT_P&amp;L Schedule'!N13))+((-MT_Schedules!N52))+((MT_Schedules!N44*(1)))))*(1/(1+$B9)^6)+(((('MT_P&amp;L Schedule'!O14)*(1-(IFERROR(MT_Schedules!O106/MT_Schedules!O105,0))))+((-'MT_P&amp;L Schedule'!O13))+((-MT_Schedules!O52))+((MT_Schedules!O44*(1)))))*(1/(1+$B9)^7)+(((('MT_P&amp;L Schedule'!P14)*(1-(IFERROR(MT_Schedules!P106/MT_Schedules!P105,0))))+((-'MT_P&amp;L Schedule'!P13))+((-MT_Schedules!P52))+((MT_Schedules!P44*(1)))))*(1/(1+$B9)^8)+(((('MT_P&amp;L Schedule'!Q14)*(1-(IFERROR(MT_Schedules!Q106/MT_Schedules!Q105,0))))+((-'MT_P&amp;L Schedule'!Q13))+((-MT_Schedules!Q52))+((MT_Schedules!Q44*(1)))))*(1/(1+$B9)^9)+(((('MT_P&amp;L Schedule'!R14)*(1-(IFERROR(MT_Schedules!R106/MT_Schedules!R105,0))))+((-'MT_P&amp;L Schedule'!R13))+((-MT_Schedules!R52))+((MT_Schedules!R44*(1)))))*(1/(1+$B9)^10))+((((('MT_P&amp;L Schedule'!R14)*(1+(G$7))*(1-('MT_Inputs &amp; Assumptions'!$C$71)))*(1-(((G$7)/($B9))))/(($B9)-(G$7))))*(1/(1+$B9)^10))))-(MT_Schedules!$H$92)+(IFERROR(INDEX(MT_HS_CONSOLIDATED!I:I,MATCH("CashAndCashEquivalents",MT_HS_CONSOLIDATED!$C:$C,0)),0)))/'MT_WACC Schedule'!$C7</f>
        <v/>
      </c>
    </row>
    <row r="10">
      <c r="B10" s="111">
        <f>'MT_WACC Schedule'!$C39+(0)</f>
        <v/>
      </c>
      <c r="C10" s="130">
        <f>(((((((('MT_P&amp;L Schedule'!I14)*(1-(IFERROR(MT_Schedules!I106/MT_Schedules!I105,0))))+((-'MT_P&amp;L Schedule'!I13))+((-MT_Schedules!I52))+((MT_Schedules!I44*(1)))))*(1/(1+$B10)^1)+(((('MT_P&amp;L Schedule'!J14)*(1-(IFERROR(MT_Schedules!J106/MT_Schedules!J105,0))))+((-'MT_P&amp;L Schedule'!J13))+((-MT_Schedules!J52))+((MT_Schedules!J44*(1)))))*(1/(1+$B10)^2)+(((('MT_P&amp;L Schedule'!K14)*(1-(IFERROR(MT_Schedules!K106/MT_Schedules!K105,0))))+((-'MT_P&amp;L Schedule'!K13))+((-MT_Schedules!K52))+((MT_Schedules!K44*(1)))))*(1/(1+$B10)^3)+(((('MT_P&amp;L Schedule'!L14)*(1-(IFERROR(MT_Schedules!L106/MT_Schedules!L105,0))))+((-'MT_P&amp;L Schedule'!L13))+((-MT_Schedules!L52))+((MT_Schedules!L44*(1)))))*(1/(1+$B10)^4)+(((('MT_P&amp;L Schedule'!M14)*(1-(IFERROR(MT_Schedules!M106/MT_Schedules!M105,0))))+((-'MT_P&amp;L Schedule'!M13))+((-MT_Schedules!M52))+((MT_Schedules!M44*(1)))))*(1/(1+$B10)^5)+(((('MT_P&amp;L Schedule'!N14)*(1-(IFERROR(MT_Schedules!N106/MT_Schedules!N105,0))))+((-'MT_P&amp;L Schedule'!N13))+((-MT_Schedules!N52))+((MT_Schedules!N44*(1)))))*(1/(1+$B10)^6)+(((('MT_P&amp;L Schedule'!O14)*(1-(IFERROR(MT_Schedules!O106/MT_Schedules!O105,0))))+((-'MT_P&amp;L Schedule'!O13))+((-MT_Schedules!O52))+((MT_Schedules!O44*(1)))))*(1/(1+$B10)^7)+(((('MT_P&amp;L Schedule'!P14)*(1-(IFERROR(MT_Schedules!P106/MT_Schedules!P105,0))))+((-'MT_P&amp;L Schedule'!P13))+((-MT_Schedules!P52))+((MT_Schedules!P44*(1)))))*(1/(1+$B10)^8)+(((('MT_P&amp;L Schedule'!Q14)*(1-(IFERROR(MT_Schedules!Q106/MT_Schedules!Q105,0))))+((-'MT_P&amp;L Schedule'!Q13))+((-MT_Schedules!Q52))+((MT_Schedules!Q44*(1)))))*(1/(1+$B10)^9)+(((('MT_P&amp;L Schedule'!R14)*(1-(IFERROR(MT_Schedules!R106/MT_Schedules!R105,0))))+((-'MT_P&amp;L Schedule'!R13))+((-MT_Schedules!R52))+((MT_Schedules!R44*(1)))))*(1/(1+$B10)^10))+((((('MT_P&amp;L Schedule'!R14)*(1+(C$7))*(1-('MT_Inputs &amp; Assumptions'!$C$71)))*(1-(((C$7)/($B10))))/(($B10)-(C$7))))*(1/(1+$B10)^10))))-(MT_Schedules!$H$92)+(IFERROR(INDEX(MT_HS_CONSOLIDATED!I:I,MATCH("CashAndCashEquivalents",MT_HS_CONSOLIDATED!$C:$C,0)),0)))/'MT_WACC Schedule'!$C7</f>
        <v/>
      </c>
      <c r="D10" s="130">
        <f>(((((((('MT_P&amp;L Schedule'!I14)*(1-(IFERROR(MT_Schedules!I106/MT_Schedules!I105,0))))+((-'MT_P&amp;L Schedule'!I13))+((-MT_Schedules!I52))+((MT_Schedules!I44*(1)))))*(1/(1+$B10)^1)+(((('MT_P&amp;L Schedule'!J14)*(1-(IFERROR(MT_Schedules!J106/MT_Schedules!J105,0))))+((-'MT_P&amp;L Schedule'!J13))+((-MT_Schedules!J52))+((MT_Schedules!J44*(1)))))*(1/(1+$B10)^2)+(((('MT_P&amp;L Schedule'!K14)*(1-(IFERROR(MT_Schedules!K106/MT_Schedules!K105,0))))+((-'MT_P&amp;L Schedule'!K13))+((-MT_Schedules!K52))+((MT_Schedules!K44*(1)))))*(1/(1+$B10)^3)+(((('MT_P&amp;L Schedule'!L14)*(1-(IFERROR(MT_Schedules!L106/MT_Schedules!L105,0))))+((-'MT_P&amp;L Schedule'!L13))+((-MT_Schedules!L52))+((MT_Schedules!L44*(1)))))*(1/(1+$B10)^4)+(((('MT_P&amp;L Schedule'!M14)*(1-(IFERROR(MT_Schedules!M106/MT_Schedules!M105,0))))+((-'MT_P&amp;L Schedule'!M13))+((-MT_Schedules!M52))+((MT_Schedules!M44*(1)))))*(1/(1+$B10)^5)+(((('MT_P&amp;L Schedule'!N14)*(1-(IFERROR(MT_Schedules!N106/MT_Schedules!N105,0))))+((-'MT_P&amp;L Schedule'!N13))+((-MT_Schedules!N52))+((MT_Schedules!N44*(1)))))*(1/(1+$B10)^6)+(((('MT_P&amp;L Schedule'!O14)*(1-(IFERROR(MT_Schedules!O106/MT_Schedules!O105,0))))+((-'MT_P&amp;L Schedule'!O13))+((-MT_Schedules!O52))+((MT_Schedules!O44*(1)))))*(1/(1+$B10)^7)+(((('MT_P&amp;L Schedule'!P14)*(1-(IFERROR(MT_Schedules!P106/MT_Schedules!P105,0))))+((-'MT_P&amp;L Schedule'!P13))+((-MT_Schedules!P52))+((MT_Schedules!P44*(1)))))*(1/(1+$B10)^8)+(((('MT_P&amp;L Schedule'!Q14)*(1-(IFERROR(MT_Schedules!Q106/MT_Schedules!Q105,0))))+((-'MT_P&amp;L Schedule'!Q13))+((-MT_Schedules!Q52))+((MT_Schedules!Q44*(1)))))*(1/(1+$B10)^9)+(((('MT_P&amp;L Schedule'!R14)*(1-(IFERROR(MT_Schedules!R106/MT_Schedules!R105,0))))+((-'MT_P&amp;L Schedule'!R13))+((-MT_Schedules!R52))+((MT_Schedules!R44*(1)))))*(1/(1+$B10)^10))+((((('MT_P&amp;L Schedule'!R14)*(1+(D$7))*(1-('MT_Inputs &amp; Assumptions'!$C$71)))*(1-(((D$7)/($B10))))/(($B10)-(D$7))))*(1/(1+$B10)^10))))-(MT_Schedules!$H$92)+(IFERROR(INDEX(MT_HS_CONSOLIDATED!I:I,MATCH("CashAndCashEquivalents",MT_HS_CONSOLIDATED!$C:$C,0)),0)))/'MT_WACC Schedule'!$C7</f>
        <v/>
      </c>
      <c r="E10" s="130">
        <f>(((((((('MT_P&amp;L Schedule'!I14)*(1-(IFERROR(MT_Schedules!I106/MT_Schedules!I105,0))))+((-'MT_P&amp;L Schedule'!I13))+((-MT_Schedules!I52))+((MT_Schedules!I44*(1)))))*(1/(1+$B10)^1)+(((('MT_P&amp;L Schedule'!J14)*(1-(IFERROR(MT_Schedules!J106/MT_Schedules!J105,0))))+((-'MT_P&amp;L Schedule'!J13))+((-MT_Schedules!J52))+((MT_Schedules!J44*(1)))))*(1/(1+$B10)^2)+(((('MT_P&amp;L Schedule'!K14)*(1-(IFERROR(MT_Schedules!K106/MT_Schedules!K105,0))))+((-'MT_P&amp;L Schedule'!K13))+((-MT_Schedules!K52))+((MT_Schedules!K44*(1)))))*(1/(1+$B10)^3)+(((('MT_P&amp;L Schedule'!L14)*(1-(IFERROR(MT_Schedules!L106/MT_Schedules!L105,0))))+((-'MT_P&amp;L Schedule'!L13))+((-MT_Schedules!L52))+((MT_Schedules!L44*(1)))))*(1/(1+$B10)^4)+(((('MT_P&amp;L Schedule'!M14)*(1-(IFERROR(MT_Schedules!M106/MT_Schedules!M105,0))))+((-'MT_P&amp;L Schedule'!M13))+((-MT_Schedules!M52))+((MT_Schedules!M44*(1)))))*(1/(1+$B10)^5)+(((('MT_P&amp;L Schedule'!N14)*(1-(IFERROR(MT_Schedules!N106/MT_Schedules!N105,0))))+((-'MT_P&amp;L Schedule'!N13))+((-MT_Schedules!N52))+((MT_Schedules!N44*(1)))))*(1/(1+$B10)^6)+(((('MT_P&amp;L Schedule'!O14)*(1-(IFERROR(MT_Schedules!O106/MT_Schedules!O105,0))))+((-'MT_P&amp;L Schedule'!O13))+((-MT_Schedules!O52))+((MT_Schedules!O44*(1)))))*(1/(1+$B10)^7)+(((('MT_P&amp;L Schedule'!P14)*(1-(IFERROR(MT_Schedules!P106/MT_Schedules!P105,0))))+((-'MT_P&amp;L Schedule'!P13))+((-MT_Schedules!P52))+((MT_Schedules!P44*(1)))))*(1/(1+$B10)^8)+(((('MT_P&amp;L Schedule'!Q14)*(1-(IFERROR(MT_Schedules!Q106/MT_Schedules!Q105,0))))+((-'MT_P&amp;L Schedule'!Q13))+((-MT_Schedules!Q52))+((MT_Schedules!Q44*(1)))))*(1/(1+$B10)^9)+(((('MT_P&amp;L Schedule'!R14)*(1-(IFERROR(MT_Schedules!R106/MT_Schedules!R105,0))))+((-'MT_P&amp;L Schedule'!R13))+((-MT_Schedules!R52))+((MT_Schedules!R44*(1)))))*(1/(1+$B10)^10))+((((('MT_P&amp;L Schedule'!R14)*(1+(E$7))*(1-('MT_Inputs &amp; Assumptions'!$C$71)))*(1-(((E$7)/($B10))))/(($B10)-(E$7))))*(1/(1+$B10)^10))))-(MT_Schedules!$H$92)+(IFERROR(INDEX(MT_HS_CONSOLIDATED!I:I,MATCH("CashAndCashEquivalents",MT_HS_CONSOLIDATED!$C:$C,0)),0)))/'MT_WACC Schedule'!$C7</f>
        <v/>
      </c>
      <c r="F10" s="130">
        <f>(((((((('MT_P&amp;L Schedule'!I14)*(1-(IFERROR(MT_Schedules!I106/MT_Schedules!I105,0))))+((-'MT_P&amp;L Schedule'!I13))+((-MT_Schedules!I52))+((MT_Schedules!I44*(1)))))*(1/(1+$B10)^1)+(((('MT_P&amp;L Schedule'!J14)*(1-(IFERROR(MT_Schedules!J106/MT_Schedules!J105,0))))+((-'MT_P&amp;L Schedule'!J13))+((-MT_Schedules!J52))+((MT_Schedules!J44*(1)))))*(1/(1+$B10)^2)+(((('MT_P&amp;L Schedule'!K14)*(1-(IFERROR(MT_Schedules!K106/MT_Schedules!K105,0))))+((-'MT_P&amp;L Schedule'!K13))+((-MT_Schedules!K52))+((MT_Schedules!K44*(1)))))*(1/(1+$B10)^3)+(((('MT_P&amp;L Schedule'!L14)*(1-(IFERROR(MT_Schedules!L106/MT_Schedules!L105,0))))+((-'MT_P&amp;L Schedule'!L13))+((-MT_Schedules!L52))+((MT_Schedules!L44*(1)))))*(1/(1+$B10)^4)+(((('MT_P&amp;L Schedule'!M14)*(1-(IFERROR(MT_Schedules!M106/MT_Schedules!M105,0))))+((-'MT_P&amp;L Schedule'!M13))+((-MT_Schedules!M52))+((MT_Schedules!M44*(1)))))*(1/(1+$B10)^5)+(((('MT_P&amp;L Schedule'!N14)*(1-(IFERROR(MT_Schedules!N106/MT_Schedules!N105,0))))+((-'MT_P&amp;L Schedule'!N13))+((-MT_Schedules!N52))+((MT_Schedules!N44*(1)))))*(1/(1+$B10)^6)+(((('MT_P&amp;L Schedule'!O14)*(1-(IFERROR(MT_Schedules!O106/MT_Schedules!O105,0))))+((-'MT_P&amp;L Schedule'!O13))+((-MT_Schedules!O52))+((MT_Schedules!O44*(1)))))*(1/(1+$B10)^7)+(((('MT_P&amp;L Schedule'!P14)*(1-(IFERROR(MT_Schedules!P106/MT_Schedules!P105,0))))+((-'MT_P&amp;L Schedule'!P13))+((-MT_Schedules!P52))+((MT_Schedules!P44*(1)))))*(1/(1+$B10)^8)+(((('MT_P&amp;L Schedule'!Q14)*(1-(IFERROR(MT_Schedules!Q106/MT_Schedules!Q105,0))))+((-'MT_P&amp;L Schedule'!Q13))+((-MT_Schedules!Q52))+((MT_Schedules!Q44*(1)))))*(1/(1+$B10)^9)+(((('MT_P&amp;L Schedule'!R14)*(1-(IFERROR(MT_Schedules!R106/MT_Schedules!R105,0))))+((-'MT_P&amp;L Schedule'!R13))+((-MT_Schedules!R52))+((MT_Schedules!R44*(1)))))*(1/(1+$B10)^10))+((((('MT_P&amp;L Schedule'!R14)*(1+(F$7))*(1-('MT_Inputs &amp; Assumptions'!$C$71)))*(1-(((F$7)/($B10))))/(($B10)-(F$7))))*(1/(1+$B10)^10))))-(MT_Schedules!$H$92)+(IFERROR(INDEX(MT_HS_CONSOLIDATED!I:I,MATCH("CashAndCashEquivalents",MT_HS_CONSOLIDATED!$C:$C,0)),0)))/'MT_WACC Schedule'!$C7</f>
        <v/>
      </c>
      <c r="G10" s="130">
        <f>(((((((('MT_P&amp;L Schedule'!I14)*(1-(IFERROR(MT_Schedules!I106/MT_Schedules!I105,0))))+((-'MT_P&amp;L Schedule'!I13))+((-MT_Schedules!I52))+((MT_Schedules!I44*(1)))))*(1/(1+$B10)^1)+(((('MT_P&amp;L Schedule'!J14)*(1-(IFERROR(MT_Schedules!J106/MT_Schedules!J105,0))))+((-'MT_P&amp;L Schedule'!J13))+((-MT_Schedules!J52))+((MT_Schedules!J44*(1)))))*(1/(1+$B10)^2)+(((('MT_P&amp;L Schedule'!K14)*(1-(IFERROR(MT_Schedules!K106/MT_Schedules!K105,0))))+((-'MT_P&amp;L Schedule'!K13))+((-MT_Schedules!K52))+((MT_Schedules!K44*(1)))))*(1/(1+$B10)^3)+(((('MT_P&amp;L Schedule'!L14)*(1-(IFERROR(MT_Schedules!L106/MT_Schedules!L105,0))))+((-'MT_P&amp;L Schedule'!L13))+((-MT_Schedules!L52))+((MT_Schedules!L44*(1)))))*(1/(1+$B10)^4)+(((('MT_P&amp;L Schedule'!M14)*(1-(IFERROR(MT_Schedules!M106/MT_Schedules!M105,0))))+((-'MT_P&amp;L Schedule'!M13))+((-MT_Schedules!M52))+((MT_Schedules!M44*(1)))))*(1/(1+$B10)^5)+(((('MT_P&amp;L Schedule'!N14)*(1-(IFERROR(MT_Schedules!N106/MT_Schedules!N105,0))))+((-'MT_P&amp;L Schedule'!N13))+((-MT_Schedules!N52))+((MT_Schedules!N44*(1)))))*(1/(1+$B10)^6)+(((('MT_P&amp;L Schedule'!O14)*(1-(IFERROR(MT_Schedules!O106/MT_Schedules!O105,0))))+((-'MT_P&amp;L Schedule'!O13))+((-MT_Schedules!O52))+((MT_Schedules!O44*(1)))))*(1/(1+$B10)^7)+(((('MT_P&amp;L Schedule'!P14)*(1-(IFERROR(MT_Schedules!P106/MT_Schedules!P105,0))))+((-'MT_P&amp;L Schedule'!P13))+((-MT_Schedules!P52))+((MT_Schedules!P44*(1)))))*(1/(1+$B10)^8)+(((('MT_P&amp;L Schedule'!Q14)*(1-(IFERROR(MT_Schedules!Q106/MT_Schedules!Q105,0))))+((-'MT_P&amp;L Schedule'!Q13))+((-MT_Schedules!Q52))+((MT_Schedules!Q44*(1)))))*(1/(1+$B10)^9)+(((('MT_P&amp;L Schedule'!R14)*(1-(IFERROR(MT_Schedules!R106/MT_Schedules!R105,0))))+((-'MT_P&amp;L Schedule'!R13))+((-MT_Schedules!R52))+((MT_Schedules!R44*(1)))))*(1/(1+$B10)^10))+((((('MT_P&amp;L Schedule'!R14)*(1+(G$7))*(1-('MT_Inputs &amp; Assumptions'!$C$71)))*(1-(((G$7)/($B10))))/(($B10)-(G$7))))*(1/(1+$B10)^10))))-(MT_Schedules!$H$92)+(IFERROR(INDEX(MT_HS_CONSOLIDATED!I:I,MATCH("CashAndCashEquivalents",MT_HS_CONSOLIDATED!$C:$C,0)),0)))/'MT_WACC Schedule'!$C7</f>
        <v/>
      </c>
    </row>
    <row r="11">
      <c r="B11" s="111">
        <f>'MT_WACC Schedule'!$C39+(0.01)</f>
        <v/>
      </c>
      <c r="C11" s="130">
        <f>(((((((('MT_P&amp;L Schedule'!I14)*(1-(IFERROR(MT_Schedules!I106/MT_Schedules!I105,0))))+((-'MT_P&amp;L Schedule'!I13))+((-MT_Schedules!I52))+((MT_Schedules!I44*(1)))))*(1/(1+$B11)^1)+(((('MT_P&amp;L Schedule'!J14)*(1-(IFERROR(MT_Schedules!J106/MT_Schedules!J105,0))))+((-'MT_P&amp;L Schedule'!J13))+((-MT_Schedules!J52))+((MT_Schedules!J44*(1)))))*(1/(1+$B11)^2)+(((('MT_P&amp;L Schedule'!K14)*(1-(IFERROR(MT_Schedules!K106/MT_Schedules!K105,0))))+((-'MT_P&amp;L Schedule'!K13))+((-MT_Schedules!K52))+((MT_Schedules!K44*(1)))))*(1/(1+$B11)^3)+(((('MT_P&amp;L Schedule'!L14)*(1-(IFERROR(MT_Schedules!L106/MT_Schedules!L105,0))))+((-'MT_P&amp;L Schedule'!L13))+((-MT_Schedules!L52))+((MT_Schedules!L44*(1)))))*(1/(1+$B11)^4)+(((('MT_P&amp;L Schedule'!M14)*(1-(IFERROR(MT_Schedules!M106/MT_Schedules!M105,0))))+((-'MT_P&amp;L Schedule'!M13))+((-MT_Schedules!M52))+((MT_Schedules!M44*(1)))))*(1/(1+$B11)^5)+(((('MT_P&amp;L Schedule'!N14)*(1-(IFERROR(MT_Schedules!N106/MT_Schedules!N105,0))))+((-'MT_P&amp;L Schedule'!N13))+((-MT_Schedules!N52))+((MT_Schedules!N44*(1)))))*(1/(1+$B11)^6)+(((('MT_P&amp;L Schedule'!O14)*(1-(IFERROR(MT_Schedules!O106/MT_Schedules!O105,0))))+((-'MT_P&amp;L Schedule'!O13))+((-MT_Schedules!O52))+((MT_Schedules!O44*(1)))))*(1/(1+$B11)^7)+(((('MT_P&amp;L Schedule'!P14)*(1-(IFERROR(MT_Schedules!P106/MT_Schedules!P105,0))))+((-'MT_P&amp;L Schedule'!P13))+((-MT_Schedules!P52))+((MT_Schedules!P44*(1)))))*(1/(1+$B11)^8)+(((('MT_P&amp;L Schedule'!Q14)*(1-(IFERROR(MT_Schedules!Q106/MT_Schedules!Q105,0))))+((-'MT_P&amp;L Schedule'!Q13))+((-MT_Schedules!Q52))+((MT_Schedules!Q44*(1)))))*(1/(1+$B11)^9)+(((('MT_P&amp;L Schedule'!R14)*(1-(IFERROR(MT_Schedules!R106/MT_Schedules!R105,0))))+((-'MT_P&amp;L Schedule'!R13))+((-MT_Schedules!R52))+((MT_Schedules!R44*(1)))))*(1/(1+$B11)^10))+((((('MT_P&amp;L Schedule'!R14)*(1+(C$7))*(1-('MT_Inputs &amp; Assumptions'!$C$71)))*(1-(((C$7)/($B11))))/(($B11)-(C$7))))*(1/(1+$B11)^10))))-(MT_Schedules!$H$92)+(IFERROR(INDEX(MT_HS_CONSOLIDATED!I:I,MATCH("CashAndCashEquivalents",MT_HS_CONSOLIDATED!$C:$C,0)),0)))/'MT_WACC Schedule'!$C7</f>
        <v/>
      </c>
      <c r="D11" s="130">
        <f>(((((((('MT_P&amp;L Schedule'!I14)*(1-(IFERROR(MT_Schedules!I106/MT_Schedules!I105,0))))+((-'MT_P&amp;L Schedule'!I13))+((-MT_Schedules!I52))+((MT_Schedules!I44*(1)))))*(1/(1+$B11)^1)+(((('MT_P&amp;L Schedule'!J14)*(1-(IFERROR(MT_Schedules!J106/MT_Schedules!J105,0))))+((-'MT_P&amp;L Schedule'!J13))+((-MT_Schedules!J52))+((MT_Schedules!J44*(1)))))*(1/(1+$B11)^2)+(((('MT_P&amp;L Schedule'!K14)*(1-(IFERROR(MT_Schedules!K106/MT_Schedules!K105,0))))+((-'MT_P&amp;L Schedule'!K13))+((-MT_Schedules!K52))+((MT_Schedules!K44*(1)))))*(1/(1+$B11)^3)+(((('MT_P&amp;L Schedule'!L14)*(1-(IFERROR(MT_Schedules!L106/MT_Schedules!L105,0))))+((-'MT_P&amp;L Schedule'!L13))+((-MT_Schedules!L52))+((MT_Schedules!L44*(1)))))*(1/(1+$B11)^4)+(((('MT_P&amp;L Schedule'!M14)*(1-(IFERROR(MT_Schedules!M106/MT_Schedules!M105,0))))+((-'MT_P&amp;L Schedule'!M13))+((-MT_Schedules!M52))+((MT_Schedules!M44*(1)))))*(1/(1+$B11)^5)+(((('MT_P&amp;L Schedule'!N14)*(1-(IFERROR(MT_Schedules!N106/MT_Schedules!N105,0))))+((-'MT_P&amp;L Schedule'!N13))+((-MT_Schedules!N52))+((MT_Schedules!N44*(1)))))*(1/(1+$B11)^6)+(((('MT_P&amp;L Schedule'!O14)*(1-(IFERROR(MT_Schedules!O106/MT_Schedules!O105,0))))+((-'MT_P&amp;L Schedule'!O13))+((-MT_Schedules!O52))+((MT_Schedules!O44*(1)))))*(1/(1+$B11)^7)+(((('MT_P&amp;L Schedule'!P14)*(1-(IFERROR(MT_Schedules!P106/MT_Schedules!P105,0))))+((-'MT_P&amp;L Schedule'!P13))+((-MT_Schedules!P52))+((MT_Schedules!P44*(1)))))*(1/(1+$B11)^8)+(((('MT_P&amp;L Schedule'!Q14)*(1-(IFERROR(MT_Schedules!Q106/MT_Schedules!Q105,0))))+((-'MT_P&amp;L Schedule'!Q13))+((-MT_Schedules!Q52))+((MT_Schedules!Q44*(1)))))*(1/(1+$B11)^9)+(((('MT_P&amp;L Schedule'!R14)*(1-(IFERROR(MT_Schedules!R106/MT_Schedules!R105,0))))+((-'MT_P&amp;L Schedule'!R13))+((-MT_Schedules!R52))+((MT_Schedules!R44*(1)))))*(1/(1+$B11)^10))+((((('MT_P&amp;L Schedule'!R14)*(1+(D$7))*(1-('MT_Inputs &amp; Assumptions'!$C$71)))*(1-(((D$7)/($B11))))/(($B11)-(D$7))))*(1/(1+$B11)^10))))-(MT_Schedules!$H$92)+(IFERROR(INDEX(MT_HS_CONSOLIDATED!I:I,MATCH("CashAndCashEquivalents",MT_HS_CONSOLIDATED!$C:$C,0)),0)))/'MT_WACC Schedule'!$C7</f>
        <v/>
      </c>
      <c r="E11" s="130">
        <f>(((((((('MT_P&amp;L Schedule'!I14)*(1-(IFERROR(MT_Schedules!I106/MT_Schedules!I105,0))))+((-'MT_P&amp;L Schedule'!I13))+((-MT_Schedules!I52))+((MT_Schedules!I44*(1)))))*(1/(1+$B11)^1)+(((('MT_P&amp;L Schedule'!J14)*(1-(IFERROR(MT_Schedules!J106/MT_Schedules!J105,0))))+((-'MT_P&amp;L Schedule'!J13))+((-MT_Schedules!J52))+((MT_Schedules!J44*(1)))))*(1/(1+$B11)^2)+(((('MT_P&amp;L Schedule'!K14)*(1-(IFERROR(MT_Schedules!K106/MT_Schedules!K105,0))))+((-'MT_P&amp;L Schedule'!K13))+((-MT_Schedules!K52))+((MT_Schedules!K44*(1)))))*(1/(1+$B11)^3)+(((('MT_P&amp;L Schedule'!L14)*(1-(IFERROR(MT_Schedules!L106/MT_Schedules!L105,0))))+((-'MT_P&amp;L Schedule'!L13))+((-MT_Schedules!L52))+((MT_Schedules!L44*(1)))))*(1/(1+$B11)^4)+(((('MT_P&amp;L Schedule'!M14)*(1-(IFERROR(MT_Schedules!M106/MT_Schedules!M105,0))))+((-'MT_P&amp;L Schedule'!M13))+((-MT_Schedules!M52))+((MT_Schedules!M44*(1)))))*(1/(1+$B11)^5)+(((('MT_P&amp;L Schedule'!N14)*(1-(IFERROR(MT_Schedules!N106/MT_Schedules!N105,0))))+((-'MT_P&amp;L Schedule'!N13))+((-MT_Schedules!N52))+((MT_Schedules!N44*(1)))))*(1/(1+$B11)^6)+(((('MT_P&amp;L Schedule'!O14)*(1-(IFERROR(MT_Schedules!O106/MT_Schedules!O105,0))))+((-'MT_P&amp;L Schedule'!O13))+((-MT_Schedules!O52))+((MT_Schedules!O44*(1)))))*(1/(1+$B11)^7)+(((('MT_P&amp;L Schedule'!P14)*(1-(IFERROR(MT_Schedules!P106/MT_Schedules!P105,0))))+((-'MT_P&amp;L Schedule'!P13))+((-MT_Schedules!P52))+((MT_Schedules!P44*(1)))))*(1/(1+$B11)^8)+(((('MT_P&amp;L Schedule'!Q14)*(1-(IFERROR(MT_Schedules!Q106/MT_Schedules!Q105,0))))+((-'MT_P&amp;L Schedule'!Q13))+((-MT_Schedules!Q52))+((MT_Schedules!Q44*(1)))))*(1/(1+$B11)^9)+(((('MT_P&amp;L Schedule'!R14)*(1-(IFERROR(MT_Schedules!R106/MT_Schedules!R105,0))))+((-'MT_P&amp;L Schedule'!R13))+((-MT_Schedules!R52))+((MT_Schedules!R44*(1)))))*(1/(1+$B11)^10))+((((('MT_P&amp;L Schedule'!R14)*(1+(E$7))*(1-('MT_Inputs &amp; Assumptions'!$C$71)))*(1-(((E$7)/($B11))))/(($B11)-(E$7))))*(1/(1+$B11)^10))))-(MT_Schedules!$H$92)+(IFERROR(INDEX(MT_HS_CONSOLIDATED!I:I,MATCH("CashAndCashEquivalents",MT_HS_CONSOLIDATED!$C:$C,0)),0)))/'MT_WACC Schedule'!$C7</f>
        <v/>
      </c>
      <c r="F11" s="130">
        <f>(((((((('MT_P&amp;L Schedule'!I14)*(1-(IFERROR(MT_Schedules!I106/MT_Schedules!I105,0))))+((-'MT_P&amp;L Schedule'!I13))+((-MT_Schedules!I52))+((MT_Schedules!I44*(1)))))*(1/(1+$B11)^1)+(((('MT_P&amp;L Schedule'!J14)*(1-(IFERROR(MT_Schedules!J106/MT_Schedules!J105,0))))+((-'MT_P&amp;L Schedule'!J13))+((-MT_Schedules!J52))+((MT_Schedules!J44*(1)))))*(1/(1+$B11)^2)+(((('MT_P&amp;L Schedule'!K14)*(1-(IFERROR(MT_Schedules!K106/MT_Schedules!K105,0))))+((-'MT_P&amp;L Schedule'!K13))+((-MT_Schedules!K52))+((MT_Schedules!K44*(1)))))*(1/(1+$B11)^3)+(((('MT_P&amp;L Schedule'!L14)*(1-(IFERROR(MT_Schedules!L106/MT_Schedules!L105,0))))+((-'MT_P&amp;L Schedule'!L13))+((-MT_Schedules!L52))+((MT_Schedules!L44*(1)))))*(1/(1+$B11)^4)+(((('MT_P&amp;L Schedule'!M14)*(1-(IFERROR(MT_Schedules!M106/MT_Schedules!M105,0))))+((-'MT_P&amp;L Schedule'!M13))+((-MT_Schedules!M52))+((MT_Schedules!M44*(1)))))*(1/(1+$B11)^5)+(((('MT_P&amp;L Schedule'!N14)*(1-(IFERROR(MT_Schedules!N106/MT_Schedules!N105,0))))+((-'MT_P&amp;L Schedule'!N13))+((-MT_Schedules!N52))+((MT_Schedules!N44*(1)))))*(1/(1+$B11)^6)+(((('MT_P&amp;L Schedule'!O14)*(1-(IFERROR(MT_Schedules!O106/MT_Schedules!O105,0))))+((-'MT_P&amp;L Schedule'!O13))+((-MT_Schedules!O52))+((MT_Schedules!O44*(1)))))*(1/(1+$B11)^7)+(((('MT_P&amp;L Schedule'!P14)*(1-(IFERROR(MT_Schedules!P106/MT_Schedules!P105,0))))+((-'MT_P&amp;L Schedule'!P13))+((-MT_Schedules!P52))+((MT_Schedules!P44*(1)))))*(1/(1+$B11)^8)+(((('MT_P&amp;L Schedule'!Q14)*(1-(IFERROR(MT_Schedules!Q106/MT_Schedules!Q105,0))))+((-'MT_P&amp;L Schedule'!Q13))+((-MT_Schedules!Q52))+((MT_Schedules!Q44*(1)))))*(1/(1+$B11)^9)+(((('MT_P&amp;L Schedule'!R14)*(1-(IFERROR(MT_Schedules!R106/MT_Schedules!R105,0))))+((-'MT_P&amp;L Schedule'!R13))+((-MT_Schedules!R52))+((MT_Schedules!R44*(1)))))*(1/(1+$B11)^10))+((((('MT_P&amp;L Schedule'!R14)*(1+(F$7))*(1-('MT_Inputs &amp; Assumptions'!$C$71)))*(1-(((F$7)/($B11))))/(($B11)-(F$7))))*(1/(1+$B11)^10))))-(MT_Schedules!$H$92)+(IFERROR(INDEX(MT_HS_CONSOLIDATED!I:I,MATCH("CashAndCashEquivalents",MT_HS_CONSOLIDATED!$C:$C,0)),0)))/'MT_WACC Schedule'!$C7</f>
        <v/>
      </c>
      <c r="G11" s="130">
        <f>(((((((('MT_P&amp;L Schedule'!I14)*(1-(IFERROR(MT_Schedules!I106/MT_Schedules!I105,0))))+((-'MT_P&amp;L Schedule'!I13))+((-MT_Schedules!I52))+((MT_Schedules!I44*(1)))))*(1/(1+$B11)^1)+(((('MT_P&amp;L Schedule'!J14)*(1-(IFERROR(MT_Schedules!J106/MT_Schedules!J105,0))))+((-'MT_P&amp;L Schedule'!J13))+((-MT_Schedules!J52))+((MT_Schedules!J44*(1)))))*(1/(1+$B11)^2)+(((('MT_P&amp;L Schedule'!K14)*(1-(IFERROR(MT_Schedules!K106/MT_Schedules!K105,0))))+((-'MT_P&amp;L Schedule'!K13))+((-MT_Schedules!K52))+((MT_Schedules!K44*(1)))))*(1/(1+$B11)^3)+(((('MT_P&amp;L Schedule'!L14)*(1-(IFERROR(MT_Schedules!L106/MT_Schedules!L105,0))))+((-'MT_P&amp;L Schedule'!L13))+((-MT_Schedules!L52))+((MT_Schedules!L44*(1)))))*(1/(1+$B11)^4)+(((('MT_P&amp;L Schedule'!M14)*(1-(IFERROR(MT_Schedules!M106/MT_Schedules!M105,0))))+((-'MT_P&amp;L Schedule'!M13))+((-MT_Schedules!M52))+((MT_Schedules!M44*(1)))))*(1/(1+$B11)^5)+(((('MT_P&amp;L Schedule'!N14)*(1-(IFERROR(MT_Schedules!N106/MT_Schedules!N105,0))))+((-'MT_P&amp;L Schedule'!N13))+((-MT_Schedules!N52))+((MT_Schedules!N44*(1)))))*(1/(1+$B11)^6)+(((('MT_P&amp;L Schedule'!O14)*(1-(IFERROR(MT_Schedules!O106/MT_Schedules!O105,0))))+((-'MT_P&amp;L Schedule'!O13))+((-MT_Schedules!O52))+((MT_Schedules!O44*(1)))))*(1/(1+$B11)^7)+(((('MT_P&amp;L Schedule'!P14)*(1-(IFERROR(MT_Schedules!P106/MT_Schedules!P105,0))))+((-'MT_P&amp;L Schedule'!P13))+((-MT_Schedules!P52))+((MT_Schedules!P44*(1)))))*(1/(1+$B11)^8)+(((('MT_P&amp;L Schedule'!Q14)*(1-(IFERROR(MT_Schedules!Q106/MT_Schedules!Q105,0))))+((-'MT_P&amp;L Schedule'!Q13))+((-MT_Schedules!Q52))+((MT_Schedules!Q44*(1)))))*(1/(1+$B11)^9)+(((('MT_P&amp;L Schedule'!R14)*(1-(IFERROR(MT_Schedules!R106/MT_Schedules!R105,0))))+((-'MT_P&amp;L Schedule'!R13))+((-MT_Schedules!R52))+((MT_Schedules!R44*(1)))))*(1/(1+$B11)^10))+((((('MT_P&amp;L Schedule'!R14)*(1+(G$7))*(1-('MT_Inputs &amp; Assumptions'!$C$71)))*(1-(((G$7)/($B11))))/(($B11)-(G$7))))*(1/(1+$B11)^10))))-(MT_Schedules!$H$92)+(IFERROR(INDEX(MT_HS_CONSOLIDATED!I:I,MATCH("CashAndCashEquivalents",MT_HS_CONSOLIDATED!$C:$C,0)),0)))/'MT_WACC Schedule'!$C7</f>
        <v/>
      </c>
    </row>
    <row r="12">
      <c r="B12" s="111">
        <f>'MT_WACC Schedule'!$C39+(0.02)</f>
        <v/>
      </c>
      <c r="C12" s="130">
        <f>(((((((('MT_P&amp;L Schedule'!I14)*(1-(IFERROR(MT_Schedules!I106/MT_Schedules!I105,0))))+((-'MT_P&amp;L Schedule'!I13))+((-MT_Schedules!I52))+((MT_Schedules!I44*(1)))))*(1/(1+$B12)^1)+(((('MT_P&amp;L Schedule'!J14)*(1-(IFERROR(MT_Schedules!J106/MT_Schedules!J105,0))))+((-'MT_P&amp;L Schedule'!J13))+((-MT_Schedules!J52))+((MT_Schedules!J44*(1)))))*(1/(1+$B12)^2)+(((('MT_P&amp;L Schedule'!K14)*(1-(IFERROR(MT_Schedules!K106/MT_Schedules!K105,0))))+((-'MT_P&amp;L Schedule'!K13))+((-MT_Schedules!K52))+((MT_Schedules!K44*(1)))))*(1/(1+$B12)^3)+(((('MT_P&amp;L Schedule'!L14)*(1-(IFERROR(MT_Schedules!L106/MT_Schedules!L105,0))))+((-'MT_P&amp;L Schedule'!L13))+((-MT_Schedules!L52))+((MT_Schedules!L44*(1)))))*(1/(1+$B12)^4)+(((('MT_P&amp;L Schedule'!M14)*(1-(IFERROR(MT_Schedules!M106/MT_Schedules!M105,0))))+((-'MT_P&amp;L Schedule'!M13))+((-MT_Schedules!M52))+((MT_Schedules!M44*(1)))))*(1/(1+$B12)^5)+(((('MT_P&amp;L Schedule'!N14)*(1-(IFERROR(MT_Schedules!N106/MT_Schedules!N105,0))))+((-'MT_P&amp;L Schedule'!N13))+((-MT_Schedules!N52))+((MT_Schedules!N44*(1)))))*(1/(1+$B12)^6)+(((('MT_P&amp;L Schedule'!O14)*(1-(IFERROR(MT_Schedules!O106/MT_Schedules!O105,0))))+((-'MT_P&amp;L Schedule'!O13))+((-MT_Schedules!O52))+((MT_Schedules!O44*(1)))))*(1/(1+$B12)^7)+(((('MT_P&amp;L Schedule'!P14)*(1-(IFERROR(MT_Schedules!P106/MT_Schedules!P105,0))))+((-'MT_P&amp;L Schedule'!P13))+((-MT_Schedules!P52))+((MT_Schedules!P44*(1)))))*(1/(1+$B12)^8)+(((('MT_P&amp;L Schedule'!Q14)*(1-(IFERROR(MT_Schedules!Q106/MT_Schedules!Q105,0))))+((-'MT_P&amp;L Schedule'!Q13))+((-MT_Schedules!Q52))+((MT_Schedules!Q44*(1)))))*(1/(1+$B12)^9)+(((('MT_P&amp;L Schedule'!R14)*(1-(IFERROR(MT_Schedules!R106/MT_Schedules!R105,0))))+((-'MT_P&amp;L Schedule'!R13))+((-MT_Schedules!R52))+((MT_Schedules!R44*(1)))))*(1/(1+$B12)^10))+((((('MT_P&amp;L Schedule'!R14)*(1+(C$7))*(1-('MT_Inputs &amp; Assumptions'!$C$71)))*(1-(((C$7)/($B12))))/(($B12)-(C$7))))*(1/(1+$B12)^10))))-(MT_Schedules!$H$92)+(IFERROR(INDEX(MT_HS_CONSOLIDATED!I:I,MATCH("CashAndCashEquivalents",MT_HS_CONSOLIDATED!$C:$C,0)),0)))/'MT_WACC Schedule'!$C7</f>
        <v/>
      </c>
      <c r="D12" s="130">
        <f>(((((((('MT_P&amp;L Schedule'!I14)*(1-(IFERROR(MT_Schedules!I106/MT_Schedules!I105,0))))+((-'MT_P&amp;L Schedule'!I13))+((-MT_Schedules!I52))+((MT_Schedules!I44*(1)))))*(1/(1+$B12)^1)+(((('MT_P&amp;L Schedule'!J14)*(1-(IFERROR(MT_Schedules!J106/MT_Schedules!J105,0))))+((-'MT_P&amp;L Schedule'!J13))+((-MT_Schedules!J52))+((MT_Schedules!J44*(1)))))*(1/(1+$B12)^2)+(((('MT_P&amp;L Schedule'!K14)*(1-(IFERROR(MT_Schedules!K106/MT_Schedules!K105,0))))+((-'MT_P&amp;L Schedule'!K13))+((-MT_Schedules!K52))+((MT_Schedules!K44*(1)))))*(1/(1+$B12)^3)+(((('MT_P&amp;L Schedule'!L14)*(1-(IFERROR(MT_Schedules!L106/MT_Schedules!L105,0))))+((-'MT_P&amp;L Schedule'!L13))+((-MT_Schedules!L52))+((MT_Schedules!L44*(1)))))*(1/(1+$B12)^4)+(((('MT_P&amp;L Schedule'!M14)*(1-(IFERROR(MT_Schedules!M106/MT_Schedules!M105,0))))+((-'MT_P&amp;L Schedule'!M13))+((-MT_Schedules!M52))+((MT_Schedules!M44*(1)))))*(1/(1+$B12)^5)+(((('MT_P&amp;L Schedule'!N14)*(1-(IFERROR(MT_Schedules!N106/MT_Schedules!N105,0))))+((-'MT_P&amp;L Schedule'!N13))+((-MT_Schedules!N52))+((MT_Schedules!N44*(1)))))*(1/(1+$B12)^6)+(((('MT_P&amp;L Schedule'!O14)*(1-(IFERROR(MT_Schedules!O106/MT_Schedules!O105,0))))+((-'MT_P&amp;L Schedule'!O13))+((-MT_Schedules!O52))+((MT_Schedules!O44*(1)))))*(1/(1+$B12)^7)+(((('MT_P&amp;L Schedule'!P14)*(1-(IFERROR(MT_Schedules!P106/MT_Schedules!P105,0))))+((-'MT_P&amp;L Schedule'!P13))+((-MT_Schedules!P52))+((MT_Schedules!P44*(1)))))*(1/(1+$B12)^8)+(((('MT_P&amp;L Schedule'!Q14)*(1-(IFERROR(MT_Schedules!Q106/MT_Schedules!Q105,0))))+((-'MT_P&amp;L Schedule'!Q13))+((-MT_Schedules!Q52))+((MT_Schedules!Q44*(1)))))*(1/(1+$B12)^9)+(((('MT_P&amp;L Schedule'!R14)*(1-(IFERROR(MT_Schedules!R106/MT_Schedules!R105,0))))+((-'MT_P&amp;L Schedule'!R13))+((-MT_Schedules!R52))+((MT_Schedules!R44*(1)))))*(1/(1+$B12)^10))+((((('MT_P&amp;L Schedule'!R14)*(1+(D$7))*(1-('MT_Inputs &amp; Assumptions'!$C$71)))*(1-(((D$7)/($B12))))/(($B12)-(D$7))))*(1/(1+$B12)^10))))-(MT_Schedules!$H$92)+(IFERROR(INDEX(MT_HS_CONSOLIDATED!I:I,MATCH("CashAndCashEquivalents",MT_HS_CONSOLIDATED!$C:$C,0)),0)))/'MT_WACC Schedule'!$C7</f>
        <v/>
      </c>
      <c r="E12" s="130">
        <f>(((((((('MT_P&amp;L Schedule'!I14)*(1-(IFERROR(MT_Schedules!I106/MT_Schedules!I105,0))))+((-'MT_P&amp;L Schedule'!I13))+((-MT_Schedules!I52))+((MT_Schedules!I44*(1)))))*(1/(1+$B12)^1)+(((('MT_P&amp;L Schedule'!J14)*(1-(IFERROR(MT_Schedules!J106/MT_Schedules!J105,0))))+((-'MT_P&amp;L Schedule'!J13))+((-MT_Schedules!J52))+((MT_Schedules!J44*(1)))))*(1/(1+$B12)^2)+(((('MT_P&amp;L Schedule'!K14)*(1-(IFERROR(MT_Schedules!K106/MT_Schedules!K105,0))))+((-'MT_P&amp;L Schedule'!K13))+((-MT_Schedules!K52))+((MT_Schedules!K44*(1)))))*(1/(1+$B12)^3)+(((('MT_P&amp;L Schedule'!L14)*(1-(IFERROR(MT_Schedules!L106/MT_Schedules!L105,0))))+((-'MT_P&amp;L Schedule'!L13))+((-MT_Schedules!L52))+((MT_Schedules!L44*(1)))))*(1/(1+$B12)^4)+(((('MT_P&amp;L Schedule'!M14)*(1-(IFERROR(MT_Schedules!M106/MT_Schedules!M105,0))))+((-'MT_P&amp;L Schedule'!M13))+((-MT_Schedules!M52))+((MT_Schedules!M44*(1)))))*(1/(1+$B12)^5)+(((('MT_P&amp;L Schedule'!N14)*(1-(IFERROR(MT_Schedules!N106/MT_Schedules!N105,0))))+((-'MT_P&amp;L Schedule'!N13))+((-MT_Schedules!N52))+((MT_Schedules!N44*(1)))))*(1/(1+$B12)^6)+(((('MT_P&amp;L Schedule'!O14)*(1-(IFERROR(MT_Schedules!O106/MT_Schedules!O105,0))))+((-'MT_P&amp;L Schedule'!O13))+((-MT_Schedules!O52))+((MT_Schedules!O44*(1)))))*(1/(1+$B12)^7)+(((('MT_P&amp;L Schedule'!P14)*(1-(IFERROR(MT_Schedules!P106/MT_Schedules!P105,0))))+((-'MT_P&amp;L Schedule'!P13))+((-MT_Schedules!P52))+((MT_Schedules!P44*(1)))))*(1/(1+$B12)^8)+(((('MT_P&amp;L Schedule'!Q14)*(1-(IFERROR(MT_Schedules!Q106/MT_Schedules!Q105,0))))+((-'MT_P&amp;L Schedule'!Q13))+((-MT_Schedules!Q52))+((MT_Schedules!Q44*(1)))))*(1/(1+$B12)^9)+(((('MT_P&amp;L Schedule'!R14)*(1-(IFERROR(MT_Schedules!R106/MT_Schedules!R105,0))))+((-'MT_P&amp;L Schedule'!R13))+((-MT_Schedules!R52))+((MT_Schedules!R44*(1)))))*(1/(1+$B12)^10))+((((('MT_P&amp;L Schedule'!R14)*(1+(E$7))*(1-('MT_Inputs &amp; Assumptions'!$C$71)))*(1-(((E$7)/($B12))))/(($B12)-(E$7))))*(1/(1+$B12)^10))))-(MT_Schedules!$H$92)+(IFERROR(INDEX(MT_HS_CONSOLIDATED!I:I,MATCH("CashAndCashEquivalents",MT_HS_CONSOLIDATED!$C:$C,0)),0)))/'MT_WACC Schedule'!$C7</f>
        <v/>
      </c>
      <c r="F12" s="130">
        <f>(((((((('MT_P&amp;L Schedule'!I14)*(1-(IFERROR(MT_Schedules!I106/MT_Schedules!I105,0))))+((-'MT_P&amp;L Schedule'!I13))+((-MT_Schedules!I52))+((MT_Schedules!I44*(1)))))*(1/(1+$B12)^1)+(((('MT_P&amp;L Schedule'!J14)*(1-(IFERROR(MT_Schedules!J106/MT_Schedules!J105,0))))+((-'MT_P&amp;L Schedule'!J13))+((-MT_Schedules!J52))+((MT_Schedules!J44*(1)))))*(1/(1+$B12)^2)+(((('MT_P&amp;L Schedule'!K14)*(1-(IFERROR(MT_Schedules!K106/MT_Schedules!K105,0))))+((-'MT_P&amp;L Schedule'!K13))+((-MT_Schedules!K52))+((MT_Schedules!K44*(1)))))*(1/(1+$B12)^3)+(((('MT_P&amp;L Schedule'!L14)*(1-(IFERROR(MT_Schedules!L106/MT_Schedules!L105,0))))+((-'MT_P&amp;L Schedule'!L13))+((-MT_Schedules!L52))+((MT_Schedules!L44*(1)))))*(1/(1+$B12)^4)+(((('MT_P&amp;L Schedule'!M14)*(1-(IFERROR(MT_Schedules!M106/MT_Schedules!M105,0))))+((-'MT_P&amp;L Schedule'!M13))+((-MT_Schedules!M52))+((MT_Schedules!M44*(1)))))*(1/(1+$B12)^5)+(((('MT_P&amp;L Schedule'!N14)*(1-(IFERROR(MT_Schedules!N106/MT_Schedules!N105,0))))+((-'MT_P&amp;L Schedule'!N13))+((-MT_Schedules!N52))+((MT_Schedules!N44*(1)))))*(1/(1+$B12)^6)+(((('MT_P&amp;L Schedule'!O14)*(1-(IFERROR(MT_Schedules!O106/MT_Schedules!O105,0))))+((-'MT_P&amp;L Schedule'!O13))+((-MT_Schedules!O52))+((MT_Schedules!O44*(1)))))*(1/(1+$B12)^7)+(((('MT_P&amp;L Schedule'!P14)*(1-(IFERROR(MT_Schedules!P106/MT_Schedules!P105,0))))+((-'MT_P&amp;L Schedule'!P13))+((-MT_Schedules!P52))+((MT_Schedules!P44*(1)))))*(1/(1+$B12)^8)+(((('MT_P&amp;L Schedule'!Q14)*(1-(IFERROR(MT_Schedules!Q106/MT_Schedules!Q105,0))))+((-'MT_P&amp;L Schedule'!Q13))+((-MT_Schedules!Q52))+((MT_Schedules!Q44*(1)))))*(1/(1+$B12)^9)+(((('MT_P&amp;L Schedule'!R14)*(1-(IFERROR(MT_Schedules!R106/MT_Schedules!R105,0))))+((-'MT_P&amp;L Schedule'!R13))+((-MT_Schedules!R52))+((MT_Schedules!R44*(1)))))*(1/(1+$B12)^10))+((((('MT_P&amp;L Schedule'!R14)*(1+(F$7))*(1-('MT_Inputs &amp; Assumptions'!$C$71)))*(1-(((F$7)/($B12))))/(($B12)-(F$7))))*(1/(1+$B12)^10))))-(MT_Schedules!$H$92)+(IFERROR(INDEX(MT_HS_CONSOLIDATED!I:I,MATCH("CashAndCashEquivalents",MT_HS_CONSOLIDATED!$C:$C,0)),0)))/'MT_WACC Schedule'!$C7</f>
        <v/>
      </c>
      <c r="G12" s="130">
        <f>(((((((('MT_P&amp;L Schedule'!I14)*(1-(IFERROR(MT_Schedules!I106/MT_Schedules!I105,0))))+((-'MT_P&amp;L Schedule'!I13))+((-MT_Schedules!I52))+((MT_Schedules!I44*(1)))))*(1/(1+$B12)^1)+(((('MT_P&amp;L Schedule'!J14)*(1-(IFERROR(MT_Schedules!J106/MT_Schedules!J105,0))))+((-'MT_P&amp;L Schedule'!J13))+((-MT_Schedules!J52))+((MT_Schedules!J44*(1)))))*(1/(1+$B12)^2)+(((('MT_P&amp;L Schedule'!K14)*(1-(IFERROR(MT_Schedules!K106/MT_Schedules!K105,0))))+((-'MT_P&amp;L Schedule'!K13))+((-MT_Schedules!K52))+((MT_Schedules!K44*(1)))))*(1/(1+$B12)^3)+(((('MT_P&amp;L Schedule'!L14)*(1-(IFERROR(MT_Schedules!L106/MT_Schedules!L105,0))))+((-'MT_P&amp;L Schedule'!L13))+((-MT_Schedules!L52))+((MT_Schedules!L44*(1)))))*(1/(1+$B12)^4)+(((('MT_P&amp;L Schedule'!M14)*(1-(IFERROR(MT_Schedules!M106/MT_Schedules!M105,0))))+((-'MT_P&amp;L Schedule'!M13))+((-MT_Schedules!M52))+((MT_Schedules!M44*(1)))))*(1/(1+$B12)^5)+(((('MT_P&amp;L Schedule'!N14)*(1-(IFERROR(MT_Schedules!N106/MT_Schedules!N105,0))))+((-'MT_P&amp;L Schedule'!N13))+((-MT_Schedules!N52))+((MT_Schedules!N44*(1)))))*(1/(1+$B12)^6)+(((('MT_P&amp;L Schedule'!O14)*(1-(IFERROR(MT_Schedules!O106/MT_Schedules!O105,0))))+((-'MT_P&amp;L Schedule'!O13))+((-MT_Schedules!O52))+((MT_Schedules!O44*(1)))))*(1/(1+$B12)^7)+(((('MT_P&amp;L Schedule'!P14)*(1-(IFERROR(MT_Schedules!P106/MT_Schedules!P105,0))))+((-'MT_P&amp;L Schedule'!P13))+((-MT_Schedules!P52))+((MT_Schedules!P44*(1)))))*(1/(1+$B12)^8)+(((('MT_P&amp;L Schedule'!Q14)*(1-(IFERROR(MT_Schedules!Q106/MT_Schedules!Q105,0))))+((-'MT_P&amp;L Schedule'!Q13))+((-MT_Schedules!Q52))+((MT_Schedules!Q44*(1)))))*(1/(1+$B12)^9)+(((('MT_P&amp;L Schedule'!R14)*(1-(IFERROR(MT_Schedules!R106/MT_Schedules!R105,0))))+((-'MT_P&amp;L Schedule'!R13))+((-MT_Schedules!R52))+((MT_Schedules!R44*(1)))))*(1/(1+$B12)^10))+((((('MT_P&amp;L Schedule'!R14)*(1+(G$7))*(1-('MT_Inputs &amp; Assumptions'!$C$71)))*(1-(((G$7)/($B12))))/(($B12)-(G$7))))*(1/(1+$B12)^10))))-(MT_Schedules!$H$92)+(IFERROR(INDEX(MT_HS_CONSOLIDATED!I:I,MATCH("CashAndCashEquivalents",MT_HS_CONSOLIDATED!$C:$C,0)),0)))/'MT_WACC Schedule'!$C7</f>
        <v/>
      </c>
    </row>
    <row r="15" ht="17" customHeight="1" s="203">
      <c r="A15" t="inlineStr">
        <is>
          <t>#</t>
        </is>
      </c>
      <c r="B15" s="117" t="inlineStr">
        <is>
          <t>Table 2: Working Capital Efficiency Scale (rows) x WACC (cols) -&gt; Implied Value/Share</t>
        </is>
      </c>
    </row>
    <row r="17">
      <c r="B17" s="128" t="inlineStr">
        <is>
          <t>WACC -&gt;</t>
        </is>
      </c>
    </row>
    <row r="18">
      <c r="B18" s="128" t="inlineStr">
        <is>
          <t>Cash-from-WC scale (1.0 = base case)</t>
        </is>
      </c>
      <c r="C18" s="129">
        <f>'MT_WACC Schedule'!$C39+(-0.02)</f>
        <v/>
      </c>
      <c r="D18" s="129">
        <f>'MT_WACC Schedule'!$C39+(-0.01)</f>
        <v/>
      </c>
      <c r="E18" s="129">
        <f>'MT_WACC Schedule'!$C39+(0)</f>
        <v/>
      </c>
      <c r="F18" s="129">
        <f>'MT_WACC Schedule'!$C39+(0.01)</f>
        <v/>
      </c>
      <c r="G18" s="129">
        <f>'MT_WACC Schedule'!$C39+(0.02)</f>
        <v/>
      </c>
    </row>
    <row r="19">
      <c r="B19" s="115" t="n">
        <v>0.7</v>
      </c>
      <c r="C19" s="130">
        <f>(((((((('MT_P&amp;L Schedule'!I14)*(1-(IFERROR(MT_Schedules!I106/MT_Schedules!I105,0))))+((-'MT_P&amp;L Schedule'!I13))+((-MT_Schedules!I52))+((MT_Schedules!I44*($B19)))))*(1/(1+C$18)^1)+(((('MT_P&amp;L Schedule'!J14)*(1-(IFERROR(MT_Schedules!J106/MT_Schedules!J105,0))))+((-'MT_P&amp;L Schedule'!J13))+((-MT_Schedules!J52))+((MT_Schedules!J44*($B19)))))*(1/(1+C$18)^2)+(((('MT_P&amp;L Schedule'!K14)*(1-(IFERROR(MT_Schedules!K106/MT_Schedules!K105,0))))+((-'MT_P&amp;L Schedule'!K13))+((-MT_Schedules!K52))+((MT_Schedules!K44*($B19)))))*(1/(1+C$18)^3)+(((('MT_P&amp;L Schedule'!L14)*(1-(IFERROR(MT_Schedules!L106/MT_Schedules!L105,0))))+((-'MT_P&amp;L Schedule'!L13))+((-MT_Schedules!L52))+((MT_Schedules!L44*($B19)))))*(1/(1+C$18)^4)+(((('MT_P&amp;L Schedule'!M14)*(1-(IFERROR(MT_Schedules!M106/MT_Schedules!M105,0))))+((-'MT_P&amp;L Schedule'!M13))+((-MT_Schedules!M52))+((MT_Schedules!M44*($B19)))))*(1/(1+C$18)^5)+(((('MT_P&amp;L Schedule'!N14)*(1-(IFERROR(MT_Schedules!N106/MT_Schedules!N105,0))))+((-'MT_P&amp;L Schedule'!N13))+((-MT_Schedules!N52))+((MT_Schedules!N44*($B19)))))*(1/(1+C$18)^6)+(((('MT_P&amp;L Schedule'!O14)*(1-(IFERROR(MT_Schedules!O106/MT_Schedules!O105,0))))+((-'MT_P&amp;L Schedule'!O13))+((-MT_Schedules!O52))+((MT_Schedules!O44*($B19)))))*(1/(1+C$18)^7)+(((('MT_P&amp;L Schedule'!P14)*(1-(IFERROR(MT_Schedules!P106/MT_Schedules!P105,0))))+((-'MT_P&amp;L Schedule'!P13))+((-MT_Schedules!P52))+((MT_Schedules!P44*($B19)))))*(1/(1+C$18)^8)+(((('MT_P&amp;L Schedule'!Q14)*(1-(IFERROR(MT_Schedules!Q106/MT_Schedules!Q105,0))))+((-'MT_P&amp;L Schedule'!Q13))+((-MT_Schedules!Q52))+((MT_Schedules!Q44*($B19)))))*(1/(1+C$18)^9)+(((('MT_P&amp;L Schedule'!R14)*(1-(IFERROR(MT_Schedules!R106/MT_Schedules!R105,0))))+((-'MT_P&amp;L Schedule'!R13))+((-MT_Schedules!R52))+((MT_Schedules!R44*($B19)))))*(1/(1+C$18)^10))+((((('MT_P&amp;L Schedule'!R14)*(1+((IF('MT_Inputs &amp; Assumptions'!$C$11="",'MT_Inputs &amp; Assumptions'!$C$10,'MT_Inputs &amp; Assumptions'!$C$11))))*(1-('MT_Inputs &amp; Assumptions'!$C$71)))*(1-((((IF('MT_Inputs &amp; Assumptions'!$C$11="",'MT_Inputs &amp; Assumptions'!$C$10,'MT_Inputs &amp; Assumptions'!$C$11)))/(C$18))))/((C$18)-((IF('MT_Inputs &amp; Assumptions'!$C$11="",'MT_Inputs &amp; Assumptions'!$C$10,'MT_Inputs &amp; Assumptions'!$C$11))))))*(1/(1+C$18)^10))))-(MT_Schedules!$H$92)+(IFERROR(INDEX(MT_HS_CONSOLIDATED!I:I,MATCH("CashAndCashEquivalents",MT_HS_CONSOLIDATED!$C:$C,0)),0)))/'MT_WACC Schedule'!$C7</f>
        <v/>
      </c>
      <c r="D19" s="130">
        <f>(((((((('MT_P&amp;L Schedule'!I14)*(1-(IFERROR(MT_Schedules!I106/MT_Schedules!I105,0))))+((-'MT_P&amp;L Schedule'!I13))+((-MT_Schedules!I52))+((MT_Schedules!I44*($B19)))))*(1/(1+D$18)^1)+(((('MT_P&amp;L Schedule'!J14)*(1-(IFERROR(MT_Schedules!J106/MT_Schedules!J105,0))))+((-'MT_P&amp;L Schedule'!J13))+((-MT_Schedules!J52))+((MT_Schedules!J44*($B19)))))*(1/(1+D$18)^2)+(((('MT_P&amp;L Schedule'!K14)*(1-(IFERROR(MT_Schedules!K106/MT_Schedules!K105,0))))+((-'MT_P&amp;L Schedule'!K13))+((-MT_Schedules!K52))+((MT_Schedules!K44*($B19)))))*(1/(1+D$18)^3)+(((('MT_P&amp;L Schedule'!L14)*(1-(IFERROR(MT_Schedules!L106/MT_Schedules!L105,0))))+((-'MT_P&amp;L Schedule'!L13))+((-MT_Schedules!L52))+((MT_Schedules!L44*($B19)))))*(1/(1+D$18)^4)+(((('MT_P&amp;L Schedule'!M14)*(1-(IFERROR(MT_Schedules!M106/MT_Schedules!M105,0))))+((-'MT_P&amp;L Schedule'!M13))+((-MT_Schedules!M52))+((MT_Schedules!M44*($B19)))))*(1/(1+D$18)^5)+(((('MT_P&amp;L Schedule'!N14)*(1-(IFERROR(MT_Schedules!N106/MT_Schedules!N105,0))))+((-'MT_P&amp;L Schedule'!N13))+((-MT_Schedules!N52))+((MT_Schedules!N44*($B19)))))*(1/(1+D$18)^6)+(((('MT_P&amp;L Schedule'!O14)*(1-(IFERROR(MT_Schedules!O106/MT_Schedules!O105,0))))+((-'MT_P&amp;L Schedule'!O13))+((-MT_Schedules!O52))+((MT_Schedules!O44*($B19)))))*(1/(1+D$18)^7)+(((('MT_P&amp;L Schedule'!P14)*(1-(IFERROR(MT_Schedules!P106/MT_Schedules!P105,0))))+((-'MT_P&amp;L Schedule'!P13))+((-MT_Schedules!P52))+((MT_Schedules!P44*($B19)))))*(1/(1+D$18)^8)+(((('MT_P&amp;L Schedule'!Q14)*(1-(IFERROR(MT_Schedules!Q106/MT_Schedules!Q105,0))))+((-'MT_P&amp;L Schedule'!Q13))+((-MT_Schedules!Q52))+((MT_Schedules!Q44*($B19)))))*(1/(1+D$18)^9)+(((('MT_P&amp;L Schedule'!R14)*(1-(IFERROR(MT_Schedules!R106/MT_Schedules!R105,0))))+((-'MT_P&amp;L Schedule'!R13))+((-MT_Schedules!R52))+((MT_Schedules!R44*($B19)))))*(1/(1+D$18)^10))+((((('MT_P&amp;L Schedule'!R14)*(1+((IF('MT_Inputs &amp; Assumptions'!$C$11="",'MT_Inputs &amp; Assumptions'!$C$10,'MT_Inputs &amp; Assumptions'!$C$11))))*(1-('MT_Inputs &amp; Assumptions'!$C$71)))*(1-((((IF('MT_Inputs &amp; Assumptions'!$C$11="",'MT_Inputs &amp; Assumptions'!$C$10,'MT_Inputs &amp; Assumptions'!$C$11)))/(D$18))))/((D$18)-((IF('MT_Inputs &amp; Assumptions'!$C$11="",'MT_Inputs &amp; Assumptions'!$C$10,'MT_Inputs &amp; Assumptions'!$C$11))))))*(1/(1+D$18)^10))))-(MT_Schedules!$H$92)+(IFERROR(INDEX(MT_HS_CONSOLIDATED!I:I,MATCH("CashAndCashEquivalents",MT_HS_CONSOLIDATED!$C:$C,0)),0)))/'MT_WACC Schedule'!$C7</f>
        <v/>
      </c>
      <c r="E19" s="130">
        <f>(((((((('MT_P&amp;L Schedule'!I14)*(1-(IFERROR(MT_Schedules!I106/MT_Schedules!I105,0))))+((-'MT_P&amp;L Schedule'!I13))+((-MT_Schedules!I52))+((MT_Schedules!I44*($B19)))))*(1/(1+E$18)^1)+(((('MT_P&amp;L Schedule'!J14)*(1-(IFERROR(MT_Schedules!J106/MT_Schedules!J105,0))))+((-'MT_P&amp;L Schedule'!J13))+((-MT_Schedules!J52))+((MT_Schedules!J44*($B19)))))*(1/(1+E$18)^2)+(((('MT_P&amp;L Schedule'!K14)*(1-(IFERROR(MT_Schedules!K106/MT_Schedules!K105,0))))+((-'MT_P&amp;L Schedule'!K13))+((-MT_Schedules!K52))+((MT_Schedules!K44*($B19)))))*(1/(1+E$18)^3)+(((('MT_P&amp;L Schedule'!L14)*(1-(IFERROR(MT_Schedules!L106/MT_Schedules!L105,0))))+((-'MT_P&amp;L Schedule'!L13))+((-MT_Schedules!L52))+((MT_Schedules!L44*($B19)))))*(1/(1+E$18)^4)+(((('MT_P&amp;L Schedule'!M14)*(1-(IFERROR(MT_Schedules!M106/MT_Schedules!M105,0))))+((-'MT_P&amp;L Schedule'!M13))+((-MT_Schedules!M52))+((MT_Schedules!M44*($B19)))))*(1/(1+E$18)^5)+(((('MT_P&amp;L Schedule'!N14)*(1-(IFERROR(MT_Schedules!N106/MT_Schedules!N105,0))))+((-'MT_P&amp;L Schedule'!N13))+((-MT_Schedules!N52))+((MT_Schedules!N44*($B19)))))*(1/(1+E$18)^6)+(((('MT_P&amp;L Schedule'!O14)*(1-(IFERROR(MT_Schedules!O106/MT_Schedules!O105,0))))+((-'MT_P&amp;L Schedule'!O13))+((-MT_Schedules!O52))+((MT_Schedules!O44*($B19)))))*(1/(1+E$18)^7)+(((('MT_P&amp;L Schedule'!P14)*(1-(IFERROR(MT_Schedules!P106/MT_Schedules!P105,0))))+((-'MT_P&amp;L Schedule'!P13))+((-MT_Schedules!P52))+((MT_Schedules!P44*($B19)))))*(1/(1+E$18)^8)+(((('MT_P&amp;L Schedule'!Q14)*(1-(IFERROR(MT_Schedules!Q106/MT_Schedules!Q105,0))))+((-'MT_P&amp;L Schedule'!Q13))+((-MT_Schedules!Q52))+((MT_Schedules!Q44*($B19)))))*(1/(1+E$18)^9)+(((('MT_P&amp;L Schedule'!R14)*(1-(IFERROR(MT_Schedules!R106/MT_Schedules!R105,0))))+((-'MT_P&amp;L Schedule'!R13))+((-MT_Schedules!R52))+((MT_Schedules!R44*($B19)))))*(1/(1+E$18)^10))+((((('MT_P&amp;L Schedule'!R14)*(1+((IF('MT_Inputs &amp; Assumptions'!$C$11="",'MT_Inputs &amp; Assumptions'!$C$10,'MT_Inputs &amp; Assumptions'!$C$11))))*(1-('MT_Inputs &amp; Assumptions'!$C$71)))*(1-((((IF('MT_Inputs &amp; Assumptions'!$C$11="",'MT_Inputs &amp; Assumptions'!$C$10,'MT_Inputs &amp; Assumptions'!$C$11)))/(E$18))))/((E$18)-((IF('MT_Inputs &amp; Assumptions'!$C$11="",'MT_Inputs &amp; Assumptions'!$C$10,'MT_Inputs &amp; Assumptions'!$C$11))))))*(1/(1+E$18)^10))))-(MT_Schedules!$H$92)+(IFERROR(INDEX(MT_HS_CONSOLIDATED!I:I,MATCH("CashAndCashEquivalents",MT_HS_CONSOLIDATED!$C:$C,0)),0)))/'MT_WACC Schedule'!$C7</f>
        <v/>
      </c>
      <c r="F19" s="130">
        <f>(((((((('MT_P&amp;L Schedule'!I14)*(1-(IFERROR(MT_Schedules!I106/MT_Schedules!I105,0))))+((-'MT_P&amp;L Schedule'!I13))+((-MT_Schedules!I52))+((MT_Schedules!I44*($B19)))))*(1/(1+F$18)^1)+(((('MT_P&amp;L Schedule'!J14)*(1-(IFERROR(MT_Schedules!J106/MT_Schedules!J105,0))))+((-'MT_P&amp;L Schedule'!J13))+((-MT_Schedules!J52))+((MT_Schedules!J44*($B19)))))*(1/(1+F$18)^2)+(((('MT_P&amp;L Schedule'!K14)*(1-(IFERROR(MT_Schedules!K106/MT_Schedules!K105,0))))+((-'MT_P&amp;L Schedule'!K13))+((-MT_Schedules!K52))+((MT_Schedules!K44*($B19)))))*(1/(1+F$18)^3)+(((('MT_P&amp;L Schedule'!L14)*(1-(IFERROR(MT_Schedules!L106/MT_Schedules!L105,0))))+((-'MT_P&amp;L Schedule'!L13))+((-MT_Schedules!L52))+((MT_Schedules!L44*($B19)))))*(1/(1+F$18)^4)+(((('MT_P&amp;L Schedule'!M14)*(1-(IFERROR(MT_Schedules!M106/MT_Schedules!M105,0))))+((-'MT_P&amp;L Schedule'!M13))+((-MT_Schedules!M52))+((MT_Schedules!M44*($B19)))))*(1/(1+F$18)^5)+(((('MT_P&amp;L Schedule'!N14)*(1-(IFERROR(MT_Schedules!N106/MT_Schedules!N105,0))))+((-'MT_P&amp;L Schedule'!N13))+((-MT_Schedules!N52))+((MT_Schedules!N44*($B19)))))*(1/(1+F$18)^6)+(((('MT_P&amp;L Schedule'!O14)*(1-(IFERROR(MT_Schedules!O106/MT_Schedules!O105,0))))+((-'MT_P&amp;L Schedule'!O13))+((-MT_Schedules!O52))+((MT_Schedules!O44*($B19)))))*(1/(1+F$18)^7)+(((('MT_P&amp;L Schedule'!P14)*(1-(IFERROR(MT_Schedules!P106/MT_Schedules!P105,0))))+((-'MT_P&amp;L Schedule'!P13))+((-MT_Schedules!P52))+((MT_Schedules!P44*($B19)))))*(1/(1+F$18)^8)+(((('MT_P&amp;L Schedule'!Q14)*(1-(IFERROR(MT_Schedules!Q106/MT_Schedules!Q105,0))))+((-'MT_P&amp;L Schedule'!Q13))+((-MT_Schedules!Q52))+((MT_Schedules!Q44*($B19)))))*(1/(1+F$18)^9)+(((('MT_P&amp;L Schedule'!R14)*(1-(IFERROR(MT_Schedules!R106/MT_Schedules!R105,0))))+((-'MT_P&amp;L Schedule'!R13))+((-MT_Schedules!R52))+((MT_Schedules!R44*($B19)))))*(1/(1+F$18)^10))+((((('MT_P&amp;L Schedule'!R14)*(1+((IF('MT_Inputs &amp; Assumptions'!$C$11="",'MT_Inputs &amp; Assumptions'!$C$10,'MT_Inputs &amp; Assumptions'!$C$11))))*(1-('MT_Inputs &amp; Assumptions'!$C$71)))*(1-((((IF('MT_Inputs &amp; Assumptions'!$C$11="",'MT_Inputs &amp; Assumptions'!$C$10,'MT_Inputs &amp; Assumptions'!$C$11)))/(F$18))))/((F$18)-((IF('MT_Inputs &amp; Assumptions'!$C$11="",'MT_Inputs &amp; Assumptions'!$C$10,'MT_Inputs &amp; Assumptions'!$C$11))))))*(1/(1+F$18)^10))))-(MT_Schedules!$H$92)+(IFERROR(INDEX(MT_HS_CONSOLIDATED!I:I,MATCH("CashAndCashEquivalents",MT_HS_CONSOLIDATED!$C:$C,0)),0)))/'MT_WACC Schedule'!$C7</f>
        <v/>
      </c>
      <c r="G19" s="130">
        <f>(((((((('MT_P&amp;L Schedule'!I14)*(1-(IFERROR(MT_Schedules!I106/MT_Schedules!I105,0))))+((-'MT_P&amp;L Schedule'!I13))+((-MT_Schedules!I52))+((MT_Schedules!I44*($B19)))))*(1/(1+G$18)^1)+(((('MT_P&amp;L Schedule'!J14)*(1-(IFERROR(MT_Schedules!J106/MT_Schedules!J105,0))))+((-'MT_P&amp;L Schedule'!J13))+((-MT_Schedules!J52))+((MT_Schedules!J44*($B19)))))*(1/(1+G$18)^2)+(((('MT_P&amp;L Schedule'!K14)*(1-(IFERROR(MT_Schedules!K106/MT_Schedules!K105,0))))+((-'MT_P&amp;L Schedule'!K13))+((-MT_Schedules!K52))+((MT_Schedules!K44*($B19)))))*(1/(1+G$18)^3)+(((('MT_P&amp;L Schedule'!L14)*(1-(IFERROR(MT_Schedules!L106/MT_Schedules!L105,0))))+((-'MT_P&amp;L Schedule'!L13))+((-MT_Schedules!L52))+((MT_Schedules!L44*($B19)))))*(1/(1+G$18)^4)+(((('MT_P&amp;L Schedule'!M14)*(1-(IFERROR(MT_Schedules!M106/MT_Schedules!M105,0))))+((-'MT_P&amp;L Schedule'!M13))+((-MT_Schedules!M52))+((MT_Schedules!M44*($B19)))))*(1/(1+G$18)^5)+(((('MT_P&amp;L Schedule'!N14)*(1-(IFERROR(MT_Schedules!N106/MT_Schedules!N105,0))))+((-'MT_P&amp;L Schedule'!N13))+((-MT_Schedules!N52))+((MT_Schedules!N44*($B19)))))*(1/(1+G$18)^6)+(((('MT_P&amp;L Schedule'!O14)*(1-(IFERROR(MT_Schedules!O106/MT_Schedules!O105,0))))+((-'MT_P&amp;L Schedule'!O13))+((-MT_Schedules!O52))+((MT_Schedules!O44*($B19)))))*(1/(1+G$18)^7)+(((('MT_P&amp;L Schedule'!P14)*(1-(IFERROR(MT_Schedules!P106/MT_Schedules!P105,0))))+((-'MT_P&amp;L Schedule'!P13))+((-MT_Schedules!P52))+((MT_Schedules!P44*($B19)))))*(1/(1+G$18)^8)+(((('MT_P&amp;L Schedule'!Q14)*(1-(IFERROR(MT_Schedules!Q106/MT_Schedules!Q105,0))))+((-'MT_P&amp;L Schedule'!Q13))+((-MT_Schedules!Q52))+((MT_Schedules!Q44*($B19)))))*(1/(1+G$18)^9)+(((('MT_P&amp;L Schedule'!R14)*(1-(IFERROR(MT_Schedules!R106/MT_Schedules!R105,0))))+((-'MT_P&amp;L Schedule'!R13))+((-MT_Schedules!R52))+((MT_Schedules!R44*($B19)))))*(1/(1+G$18)^10))+((((('MT_P&amp;L Schedule'!R14)*(1+((IF('MT_Inputs &amp; Assumptions'!$C$11="",'MT_Inputs &amp; Assumptions'!$C$10,'MT_Inputs &amp; Assumptions'!$C$11))))*(1-('MT_Inputs &amp; Assumptions'!$C$71)))*(1-((((IF('MT_Inputs &amp; Assumptions'!$C$11="",'MT_Inputs &amp; Assumptions'!$C$10,'MT_Inputs &amp; Assumptions'!$C$11)))/(G$18))))/((G$18)-((IF('MT_Inputs &amp; Assumptions'!$C$11="",'MT_Inputs &amp; Assumptions'!$C$10,'MT_Inputs &amp; Assumptions'!$C$11))))))*(1/(1+G$18)^10))))-(MT_Schedules!$H$92)+(IFERROR(INDEX(MT_HS_CONSOLIDATED!I:I,MATCH("CashAndCashEquivalents",MT_HS_CONSOLIDATED!$C:$C,0)),0)))/'MT_WACC Schedule'!$C7</f>
        <v/>
      </c>
    </row>
    <row r="20">
      <c r="B20" s="115" t="n">
        <v>0.85</v>
      </c>
      <c r="C20" s="130">
        <f>(((((((('MT_P&amp;L Schedule'!I14)*(1-(IFERROR(MT_Schedules!I106/MT_Schedules!I105,0))))+((-'MT_P&amp;L Schedule'!I13))+((-MT_Schedules!I52))+((MT_Schedules!I44*($B20)))))*(1/(1+C$18)^1)+(((('MT_P&amp;L Schedule'!J14)*(1-(IFERROR(MT_Schedules!J106/MT_Schedules!J105,0))))+((-'MT_P&amp;L Schedule'!J13))+((-MT_Schedules!J52))+((MT_Schedules!J44*($B20)))))*(1/(1+C$18)^2)+(((('MT_P&amp;L Schedule'!K14)*(1-(IFERROR(MT_Schedules!K106/MT_Schedules!K105,0))))+((-'MT_P&amp;L Schedule'!K13))+((-MT_Schedules!K52))+((MT_Schedules!K44*($B20)))))*(1/(1+C$18)^3)+(((('MT_P&amp;L Schedule'!L14)*(1-(IFERROR(MT_Schedules!L106/MT_Schedules!L105,0))))+((-'MT_P&amp;L Schedule'!L13))+((-MT_Schedules!L52))+((MT_Schedules!L44*($B20)))))*(1/(1+C$18)^4)+(((('MT_P&amp;L Schedule'!M14)*(1-(IFERROR(MT_Schedules!M106/MT_Schedules!M105,0))))+((-'MT_P&amp;L Schedule'!M13))+((-MT_Schedules!M52))+((MT_Schedules!M44*($B20)))))*(1/(1+C$18)^5)+(((('MT_P&amp;L Schedule'!N14)*(1-(IFERROR(MT_Schedules!N106/MT_Schedules!N105,0))))+((-'MT_P&amp;L Schedule'!N13))+((-MT_Schedules!N52))+((MT_Schedules!N44*($B20)))))*(1/(1+C$18)^6)+(((('MT_P&amp;L Schedule'!O14)*(1-(IFERROR(MT_Schedules!O106/MT_Schedules!O105,0))))+((-'MT_P&amp;L Schedule'!O13))+((-MT_Schedules!O52))+((MT_Schedules!O44*($B20)))))*(1/(1+C$18)^7)+(((('MT_P&amp;L Schedule'!P14)*(1-(IFERROR(MT_Schedules!P106/MT_Schedules!P105,0))))+((-'MT_P&amp;L Schedule'!P13))+((-MT_Schedules!P52))+((MT_Schedules!P44*($B20)))))*(1/(1+C$18)^8)+(((('MT_P&amp;L Schedule'!Q14)*(1-(IFERROR(MT_Schedules!Q106/MT_Schedules!Q105,0))))+((-'MT_P&amp;L Schedule'!Q13))+((-MT_Schedules!Q52))+((MT_Schedules!Q44*($B20)))))*(1/(1+C$18)^9)+(((('MT_P&amp;L Schedule'!R14)*(1-(IFERROR(MT_Schedules!R106/MT_Schedules!R105,0))))+((-'MT_P&amp;L Schedule'!R13))+((-MT_Schedules!R52))+((MT_Schedules!R44*($B20)))))*(1/(1+C$18)^10))+((((('MT_P&amp;L Schedule'!R14)*(1+((IF('MT_Inputs &amp; Assumptions'!$C$11="",'MT_Inputs &amp; Assumptions'!$C$10,'MT_Inputs &amp; Assumptions'!$C$11))))*(1-('MT_Inputs &amp; Assumptions'!$C$71)))*(1-((((IF('MT_Inputs &amp; Assumptions'!$C$11="",'MT_Inputs &amp; Assumptions'!$C$10,'MT_Inputs &amp; Assumptions'!$C$11)))/(C$18))))/((C$18)-((IF('MT_Inputs &amp; Assumptions'!$C$11="",'MT_Inputs &amp; Assumptions'!$C$10,'MT_Inputs &amp; Assumptions'!$C$11))))))*(1/(1+C$18)^10))))-(MT_Schedules!$H$92)+(IFERROR(INDEX(MT_HS_CONSOLIDATED!I:I,MATCH("CashAndCashEquivalents",MT_HS_CONSOLIDATED!$C:$C,0)),0)))/'MT_WACC Schedule'!$C7</f>
        <v/>
      </c>
      <c r="D20" s="130">
        <f>(((((((('MT_P&amp;L Schedule'!I14)*(1-(IFERROR(MT_Schedules!I106/MT_Schedules!I105,0))))+((-'MT_P&amp;L Schedule'!I13))+((-MT_Schedules!I52))+((MT_Schedules!I44*($B20)))))*(1/(1+D$18)^1)+(((('MT_P&amp;L Schedule'!J14)*(1-(IFERROR(MT_Schedules!J106/MT_Schedules!J105,0))))+((-'MT_P&amp;L Schedule'!J13))+((-MT_Schedules!J52))+((MT_Schedules!J44*($B20)))))*(1/(1+D$18)^2)+(((('MT_P&amp;L Schedule'!K14)*(1-(IFERROR(MT_Schedules!K106/MT_Schedules!K105,0))))+((-'MT_P&amp;L Schedule'!K13))+((-MT_Schedules!K52))+((MT_Schedules!K44*($B20)))))*(1/(1+D$18)^3)+(((('MT_P&amp;L Schedule'!L14)*(1-(IFERROR(MT_Schedules!L106/MT_Schedules!L105,0))))+((-'MT_P&amp;L Schedule'!L13))+((-MT_Schedules!L52))+((MT_Schedules!L44*($B20)))))*(1/(1+D$18)^4)+(((('MT_P&amp;L Schedule'!M14)*(1-(IFERROR(MT_Schedules!M106/MT_Schedules!M105,0))))+((-'MT_P&amp;L Schedule'!M13))+((-MT_Schedules!M52))+((MT_Schedules!M44*($B20)))))*(1/(1+D$18)^5)+(((('MT_P&amp;L Schedule'!N14)*(1-(IFERROR(MT_Schedules!N106/MT_Schedules!N105,0))))+((-'MT_P&amp;L Schedule'!N13))+((-MT_Schedules!N52))+((MT_Schedules!N44*($B20)))))*(1/(1+D$18)^6)+(((('MT_P&amp;L Schedule'!O14)*(1-(IFERROR(MT_Schedules!O106/MT_Schedules!O105,0))))+((-'MT_P&amp;L Schedule'!O13))+((-MT_Schedules!O52))+((MT_Schedules!O44*($B20)))))*(1/(1+D$18)^7)+(((('MT_P&amp;L Schedule'!P14)*(1-(IFERROR(MT_Schedules!P106/MT_Schedules!P105,0))))+((-'MT_P&amp;L Schedule'!P13))+((-MT_Schedules!P52))+((MT_Schedules!P44*($B20)))))*(1/(1+D$18)^8)+(((('MT_P&amp;L Schedule'!Q14)*(1-(IFERROR(MT_Schedules!Q106/MT_Schedules!Q105,0))))+((-'MT_P&amp;L Schedule'!Q13))+((-MT_Schedules!Q52))+((MT_Schedules!Q44*($B20)))))*(1/(1+D$18)^9)+(((('MT_P&amp;L Schedule'!R14)*(1-(IFERROR(MT_Schedules!R106/MT_Schedules!R105,0))))+((-'MT_P&amp;L Schedule'!R13))+((-MT_Schedules!R52))+((MT_Schedules!R44*($B20)))))*(1/(1+D$18)^10))+((((('MT_P&amp;L Schedule'!R14)*(1+((IF('MT_Inputs &amp; Assumptions'!$C$11="",'MT_Inputs &amp; Assumptions'!$C$10,'MT_Inputs &amp; Assumptions'!$C$11))))*(1-('MT_Inputs &amp; Assumptions'!$C$71)))*(1-((((IF('MT_Inputs &amp; Assumptions'!$C$11="",'MT_Inputs &amp; Assumptions'!$C$10,'MT_Inputs &amp; Assumptions'!$C$11)))/(D$18))))/((D$18)-((IF('MT_Inputs &amp; Assumptions'!$C$11="",'MT_Inputs &amp; Assumptions'!$C$10,'MT_Inputs &amp; Assumptions'!$C$11))))))*(1/(1+D$18)^10))))-(MT_Schedules!$H$92)+(IFERROR(INDEX(MT_HS_CONSOLIDATED!I:I,MATCH("CashAndCashEquivalents",MT_HS_CONSOLIDATED!$C:$C,0)),0)))/'MT_WACC Schedule'!$C7</f>
        <v/>
      </c>
      <c r="E20" s="130">
        <f>(((((((('MT_P&amp;L Schedule'!I14)*(1-(IFERROR(MT_Schedules!I106/MT_Schedules!I105,0))))+((-'MT_P&amp;L Schedule'!I13))+((-MT_Schedules!I52))+((MT_Schedules!I44*($B20)))))*(1/(1+E$18)^1)+(((('MT_P&amp;L Schedule'!J14)*(1-(IFERROR(MT_Schedules!J106/MT_Schedules!J105,0))))+((-'MT_P&amp;L Schedule'!J13))+((-MT_Schedules!J52))+((MT_Schedules!J44*($B20)))))*(1/(1+E$18)^2)+(((('MT_P&amp;L Schedule'!K14)*(1-(IFERROR(MT_Schedules!K106/MT_Schedules!K105,0))))+((-'MT_P&amp;L Schedule'!K13))+((-MT_Schedules!K52))+((MT_Schedules!K44*($B20)))))*(1/(1+E$18)^3)+(((('MT_P&amp;L Schedule'!L14)*(1-(IFERROR(MT_Schedules!L106/MT_Schedules!L105,0))))+((-'MT_P&amp;L Schedule'!L13))+((-MT_Schedules!L52))+((MT_Schedules!L44*($B20)))))*(1/(1+E$18)^4)+(((('MT_P&amp;L Schedule'!M14)*(1-(IFERROR(MT_Schedules!M106/MT_Schedules!M105,0))))+((-'MT_P&amp;L Schedule'!M13))+((-MT_Schedules!M52))+((MT_Schedules!M44*($B20)))))*(1/(1+E$18)^5)+(((('MT_P&amp;L Schedule'!N14)*(1-(IFERROR(MT_Schedules!N106/MT_Schedules!N105,0))))+((-'MT_P&amp;L Schedule'!N13))+((-MT_Schedules!N52))+((MT_Schedules!N44*($B20)))))*(1/(1+E$18)^6)+(((('MT_P&amp;L Schedule'!O14)*(1-(IFERROR(MT_Schedules!O106/MT_Schedules!O105,0))))+((-'MT_P&amp;L Schedule'!O13))+((-MT_Schedules!O52))+((MT_Schedules!O44*($B20)))))*(1/(1+E$18)^7)+(((('MT_P&amp;L Schedule'!P14)*(1-(IFERROR(MT_Schedules!P106/MT_Schedules!P105,0))))+((-'MT_P&amp;L Schedule'!P13))+((-MT_Schedules!P52))+((MT_Schedules!P44*($B20)))))*(1/(1+E$18)^8)+(((('MT_P&amp;L Schedule'!Q14)*(1-(IFERROR(MT_Schedules!Q106/MT_Schedules!Q105,0))))+((-'MT_P&amp;L Schedule'!Q13))+((-MT_Schedules!Q52))+((MT_Schedules!Q44*($B20)))))*(1/(1+E$18)^9)+(((('MT_P&amp;L Schedule'!R14)*(1-(IFERROR(MT_Schedules!R106/MT_Schedules!R105,0))))+((-'MT_P&amp;L Schedule'!R13))+((-MT_Schedules!R52))+((MT_Schedules!R44*($B20)))))*(1/(1+E$18)^10))+((((('MT_P&amp;L Schedule'!R14)*(1+((IF('MT_Inputs &amp; Assumptions'!$C$11="",'MT_Inputs &amp; Assumptions'!$C$10,'MT_Inputs &amp; Assumptions'!$C$11))))*(1-('MT_Inputs &amp; Assumptions'!$C$71)))*(1-((((IF('MT_Inputs &amp; Assumptions'!$C$11="",'MT_Inputs &amp; Assumptions'!$C$10,'MT_Inputs &amp; Assumptions'!$C$11)))/(E$18))))/((E$18)-((IF('MT_Inputs &amp; Assumptions'!$C$11="",'MT_Inputs &amp; Assumptions'!$C$10,'MT_Inputs &amp; Assumptions'!$C$11))))))*(1/(1+E$18)^10))))-(MT_Schedules!$H$92)+(IFERROR(INDEX(MT_HS_CONSOLIDATED!I:I,MATCH("CashAndCashEquivalents",MT_HS_CONSOLIDATED!$C:$C,0)),0)))/'MT_WACC Schedule'!$C7</f>
        <v/>
      </c>
      <c r="F20" s="130">
        <f>(((((((('MT_P&amp;L Schedule'!I14)*(1-(IFERROR(MT_Schedules!I106/MT_Schedules!I105,0))))+((-'MT_P&amp;L Schedule'!I13))+((-MT_Schedules!I52))+((MT_Schedules!I44*($B20)))))*(1/(1+F$18)^1)+(((('MT_P&amp;L Schedule'!J14)*(1-(IFERROR(MT_Schedules!J106/MT_Schedules!J105,0))))+((-'MT_P&amp;L Schedule'!J13))+((-MT_Schedules!J52))+((MT_Schedules!J44*($B20)))))*(1/(1+F$18)^2)+(((('MT_P&amp;L Schedule'!K14)*(1-(IFERROR(MT_Schedules!K106/MT_Schedules!K105,0))))+((-'MT_P&amp;L Schedule'!K13))+((-MT_Schedules!K52))+((MT_Schedules!K44*($B20)))))*(1/(1+F$18)^3)+(((('MT_P&amp;L Schedule'!L14)*(1-(IFERROR(MT_Schedules!L106/MT_Schedules!L105,0))))+((-'MT_P&amp;L Schedule'!L13))+((-MT_Schedules!L52))+((MT_Schedules!L44*($B20)))))*(1/(1+F$18)^4)+(((('MT_P&amp;L Schedule'!M14)*(1-(IFERROR(MT_Schedules!M106/MT_Schedules!M105,0))))+((-'MT_P&amp;L Schedule'!M13))+((-MT_Schedules!M52))+((MT_Schedules!M44*($B20)))))*(1/(1+F$18)^5)+(((('MT_P&amp;L Schedule'!N14)*(1-(IFERROR(MT_Schedules!N106/MT_Schedules!N105,0))))+((-'MT_P&amp;L Schedule'!N13))+((-MT_Schedules!N52))+((MT_Schedules!N44*($B20)))))*(1/(1+F$18)^6)+(((('MT_P&amp;L Schedule'!O14)*(1-(IFERROR(MT_Schedules!O106/MT_Schedules!O105,0))))+((-'MT_P&amp;L Schedule'!O13))+((-MT_Schedules!O52))+((MT_Schedules!O44*($B20)))))*(1/(1+F$18)^7)+(((('MT_P&amp;L Schedule'!P14)*(1-(IFERROR(MT_Schedules!P106/MT_Schedules!P105,0))))+((-'MT_P&amp;L Schedule'!P13))+((-MT_Schedules!P52))+((MT_Schedules!P44*($B20)))))*(1/(1+F$18)^8)+(((('MT_P&amp;L Schedule'!Q14)*(1-(IFERROR(MT_Schedules!Q106/MT_Schedules!Q105,0))))+((-'MT_P&amp;L Schedule'!Q13))+((-MT_Schedules!Q52))+((MT_Schedules!Q44*($B20)))))*(1/(1+F$18)^9)+(((('MT_P&amp;L Schedule'!R14)*(1-(IFERROR(MT_Schedules!R106/MT_Schedules!R105,0))))+((-'MT_P&amp;L Schedule'!R13))+((-MT_Schedules!R52))+((MT_Schedules!R44*($B20)))))*(1/(1+F$18)^10))+((((('MT_P&amp;L Schedule'!R14)*(1+((IF('MT_Inputs &amp; Assumptions'!$C$11="",'MT_Inputs &amp; Assumptions'!$C$10,'MT_Inputs &amp; Assumptions'!$C$11))))*(1-('MT_Inputs &amp; Assumptions'!$C$71)))*(1-((((IF('MT_Inputs &amp; Assumptions'!$C$11="",'MT_Inputs &amp; Assumptions'!$C$10,'MT_Inputs &amp; Assumptions'!$C$11)))/(F$18))))/((F$18)-((IF('MT_Inputs &amp; Assumptions'!$C$11="",'MT_Inputs &amp; Assumptions'!$C$10,'MT_Inputs &amp; Assumptions'!$C$11))))))*(1/(1+F$18)^10))))-(MT_Schedules!$H$92)+(IFERROR(INDEX(MT_HS_CONSOLIDATED!I:I,MATCH("CashAndCashEquivalents",MT_HS_CONSOLIDATED!$C:$C,0)),0)))/'MT_WACC Schedule'!$C7</f>
        <v/>
      </c>
      <c r="G20" s="130">
        <f>(((((((('MT_P&amp;L Schedule'!I14)*(1-(IFERROR(MT_Schedules!I106/MT_Schedules!I105,0))))+((-'MT_P&amp;L Schedule'!I13))+((-MT_Schedules!I52))+((MT_Schedules!I44*($B20)))))*(1/(1+G$18)^1)+(((('MT_P&amp;L Schedule'!J14)*(1-(IFERROR(MT_Schedules!J106/MT_Schedules!J105,0))))+((-'MT_P&amp;L Schedule'!J13))+((-MT_Schedules!J52))+((MT_Schedules!J44*($B20)))))*(1/(1+G$18)^2)+(((('MT_P&amp;L Schedule'!K14)*(1-(IFERROR(MT_Schedules!K106/MT_Schedules!K105,0))))+((-'MT_P&amp;L Schedule'!K13))+((-MT_Schedules!K52))+((MT_Schedules!K44*($B20)))))*(1/(1+G$18)^3)+(((('MT_P&amp;L Schedule'!L14)*(1-(IFERROR(MT_Schedules!L106/MT_Schedules!L105,0))))+((-'MT_P&amp;L Schedule'!L13))+((-MT_Schedules!L52))+((MT_Schedules!L44*($B20)))))*(1/(1+G$18)^4)+(((('MT_P&amp;L Schedule'!M14)*(1-(IFERROR(MT_Schedules!M106/MT_Schedules!M105,0))))+((-'MT_P&amp;L Schedule'!M13))+((-MT_Schedules!M52))+((MT_Schedules!M44*($B20)))))*(1/(1+G$18)^5)+(((('MT_P&amp;L Schedule'!N14)*(1-(IFERROR(MT_Schedules!N106/MT_Schedules!N105,0))))+((-'MT_P&amp;L Schedule'!N13))+((-MT_Schedules!N52))+((MT_Schedules!N44*($B20)))))*(1/(1+G$18)^6)+(((('MT_P&amp;L Schedule'!O14)*(1-(IFERROR(MT_Schedules!O106/MT_Schedules!O105,0))))+((-'MT_P&amp;L Schedule'!O13))+((-MT_Schedules!O52))+((MT_Schedules!O44*($B20)))))*(1/(1+G$18)^7)+(((('MT_P&amp;L Schedule'!P14)*(1-(IFERROR(MT_Schedules!P106/MT_Schedules!P105,0))))+((-'MT_P&amp;L Schedule'!P13))+((-MT_Schedules!P52))+((MT_Schedules!P44*($B20)))))*(1/(1+G$18)^8)+(((('MT_P&amp;L Schedule'!Q14)*(1-(IFERROR(MT_Schedules!Q106/MT_Schedules!Q105,0))))+((-'MT_P&amp;L Schedule'!Q13))+((-MT_Schedules!Q52))+((MT_Schedules!Q44*($B20)))))*(1/(1+G$18)^9)+(((('MT_P&amp;L Schedule'!R14)*(1-(IFERROR(MT_Schedules!R106/MT_Schedules!R105,0))))+((-'MT_P&amp;L Schedule'!R13))+((-MT_Schedules!R52))+((MT_Schedules!R44*($B20)))))*(1/(1+G$18)^10))+((((('MT_P&amp;L Schedule'!R14)*(1+((IF('MT_Inputs &amp; Assumptions'!$C$11="",'MT_Inputs &amp; Assumptions'!$C$10,'MT_Inputs &amp; Assumptions'!$C$11))))*(1-('MT_Inputs &amp; Assumptions'!$C$71)))*(1-((((IF('MT_Inputs &amp; Assumptions'!$C$11="",'MT_Inputs &amp; Assumptions'!$C$10,'MT_Inputs &amp; Assumptions'!$C$11)))/(G$18))))/((G$18)-((IF('MT_Inputs &amp; Assumptions'!$C$11="",'MT_Inputs &amp; Assumptions'!$C$10,'MT_Inputs &amp; Assumptions'!$C$11))))))*(1/(1+G$18)^10))))-(MT_Schedules!$H$92)+(IFERROR(INDEX(MT_HS_CONSOLIDATED!I:I,MATCH("CashAndCashEquivalents",MT_HS_CONSOLIDATED!$C:$C,0)),0)))/'MT_WACC Schedule'!$C7</f>
        <v/>
      </c>
    </row>
    <row r="21">
      <c r="B21" s="115" t="n">
        <v>1</v>
      </c>
      <c r="C21" s="130">
        <f>(((((((('MT_P&amp;L Schedule'!I14)*(1-(IFERROR(MT_Schedules!I106/MT_Schedules!I105,0))))+((-'MT_P&amp;L Schedule'!I13))+((-MT_Schedules!I52))+((MT_Schedules!I44*($B21)))))*(1/(1+C$18)^1)+(((('MT_P&amp;L Schedule'!J14)*(1-(IFERROR(MT_Schedules!J106/MT_Schedules!J105,0))))+((-'MT_P&amp;L Schedule'!J13))+((-MT_Schedules!J52))+((MT_Schedules!J44*($B21)))))*(1/(1+C$18)^2)+(((('MT_P&amp;L Schedule'!K14)*(1-(IFERROR(MT_Schedules!K106/MT_Schedules!K105,0))))+((-'MT_P&amp;L Schedule'!K13))+((-MT_Schedules!K52))+((MT_Schedules!K44*($B21)))))*(1/(1+C$18)^3)+(((('MT_P&amp;L Schedule'!L14)*(1-(IFERROR(MT_Schedules!L106/MT_Schedules!L105,0))))+((-'MT_P&amp;L Schedule'!L13))+((-MT_Schedules!L52))+((MT_Schedules!L44*($B21)))))*(1/(1+C$18)^4)+(((('MT_P&amp;L Schedule'!M14)*(1-(IFERROR(MT_Schedules!M106/MT_Schedules!M105,0))))+((-'MT_P&amp;L Schedule'!M13))+((-MT_Schedules!M52))+((MT_Schedules!M44*($B21)))))*(1/(1+C$18)^5)+(((('MT_P&amp;L Schedule'!N14)*(1-(IFERROR(MT_Schedules!N106/MT_Schedules!N105,0))))+((-'MT_P&amp;L Schedule'!N13))+((-MT_Schedules!N52))+((MT_Schedules!N44*($B21)))))*(1/(1+C$18)^6)+(((('MT_P&amp;L Schedule'!O14)*(1-(IFERROR(MT_Schedules!O106/MT_Schedules!O105,0))))+((-'MT_P&amp;L Schedule'!O13))+((-MT_Schedules!O52))+((MT_Schedules!O44*($B21)))))*(1/(1+C$18)^7)+(((('MT_P&amp;L Schedule'!P14)*(1-(IFERROR(MT_Schedules!P106/MT_Schedules!P105,0))))+((-'MT_P&amp;L Schedule'!P13))+((-MT_Schedules!P52))+((MT_Schedules!P44*($B21)))))*(1/(1+C$18)^8)+(((('MT_P&amp;L Schedule'!Q14)*(1-(IFERROR(MT_Schedules!Q106/MT_Schedules!Q105,0))))+((-'MT_P&amp;L Schedule'!Q13))+((-MT_Schedules!Q52))+((MT_Schedules!Q44*($B21)))))*(1/(1+C$18)^9)+(((('MT_P&amp;L Schedule'!R14)*(1-(IFERROR(MT_Schedules!R106/MT_Schedules!R105,0))))+((-'MT_P&amp;L Schedule'!R13))+((-MT_Schedules!R52))+((MT_Schedules!R44*($B21)))))*(1/(1+C$18)^10))+((((('MT_P&amp;L Schedule'!R14)*(1+((IF('MT_Inputs &amp; Assumptions'!$C$11="",'MT_Inputs &amp; Assumptions'!$C$10,'MT_Inputs &amp; Assumptions'!$C$11))))*(1-('MT_Inputs &amp; Assumptions'!$C$71)))*(1-((((IF('MT_Inputs &amp; Assumptions'!$C$11="",'MT_Inputs &amp; Assumptions'!$C$10,'MT_Inputs &amp; Assumptions'!$C$11)))/(C$18))))/((C$18)-((IF('MT_Inputs &amp; Assumptions'!$C$11="",'MT_Inputs &amp; Assumptions'!$C$10,'MT_Inputs &amp; Assumptions'!$C$11))))))*(1/(1+C$18)^10))))-(MT_Schedules!$H$92)+(IFERROR(INDEX(MT_HS_CONSOLIDATED!I:I,MATCH("CashAndCashEquivalents",MT_HS_CONSOLIDATED!$C:$C,0)),0)))/'MT_WACC Schedule'!$C7</f>
        <v/>
      </c>
      <c r="D21" s="130">
        <f>(((((((('MT_P&amp;L Schedule'!I14)*(1-(IFERROR(MT_Schedules!I106/MT_Schedules!I105,0))))+((-'MT_P&amp;L Schedule'!I13))+((-MT_Schedules!I52))+((MT_Schedules!I44*($B21)))))*(1/(1+D$18)^1)+(((('MT_P&amp;L Schedule'!J14)*(1-(IFERROR(MT_Schedules!J106/MT_Schedules!J105,0))))+((-'MT_P&amp;L Schedule'!J13))+((-MT_Schedules!J52))+((MT_Schedules!J44*($B21)))))*(1/(1+D$18)^2)+(((('MT_P&amp;L Schedule'!K14)*(1-(IFERROR(MT_Schedules!K106/MT_Schedules!K105,0))))+((-'MT_P&amp;L Schedule'!K13))+((-MT_Schedules!K52))+((MT_Schedules!K44*($B21)))))*(1/(1+D$18)^3)+(((('MT_P&amp;L Schedule'!L14)*(1-(IFERROR(MT_Schedules!L106/MT_Schedules!L105,0))))+((-'MT_P&amp;L Schedule'!L13))+((-MT_Schedules!L52))+((MT_Schedules!L44*($B21)))))*(1/(1+D$18)^4)+(((('MT_P&amp;L Schedule'!M14)*(1-(IFERROR(MT_Schedules!M106/MT_Schedules!M105,0))))+((-'MT_P&amp;L Schedule'!M13))+((-MT_Schedules!M52))+((MT_Schedules!M44*($B21)))))*(1/(1+D$18)^5)+(((('MT_P&amp;L Schedule'!N14)*(1-(IFERROR(MT_Schedules!N106/MT_Schedules!N105,0))))+((-'MT_P&amp;L Schedule'!N13))+((-MT_Schedules!N52))+((MT_Schedules!N44*($B21)))))*(1/(1+D$18)^6)+(((('MT_P&amp;L Schedule'!O14)*(1-(IFERROR(MT_Schedules!O106/MT_Schedules!O105,0))))+((-'MT_P&amp;L Schedule'!O13))+((-MT_Schedules!O52))+((MT_Schedules!O44*($B21)))))*(1/(1+D$18)^7)+(((('MT_P&amp;L Schedule'!P14)*(1-(IFERROR(MT_Schedules!P106/MT_Schedules!P105,0))))+((-'MT_P&amp;L Schedule'!P13))+((-MT_Schedules!P52))+((MT_Schedules!P44*($B21)))))*(1/(1+D$18)^8)+(((('MT_P&amp;L Schedule'!Q14)*(1-(IFERROR(MT_Schedules!Q106/MT_Schedules!Q105,0))))+((-'MT_P&amp;L Schedule'!Q13))+((-MT_Schedules!Q52))+((MT_Schedules!Q44*($B21)))))*(1/(1+D$18)^9)+(((('MT_P&amp;L Schedule'!R14)*(1-(IFERROR(MT_Schedules!R106/MT_Schedules!R105,0))))+((-'MT_P&amp;L Schedule'!R13))+((-MT_Schedules!R52))+((MT_Schedules!R44*($B21)))))*(1/(1+D$18)^10))+((((('MT_P&amp;L Schedule'!R14)*(1+((IF('MT_Inputs &amp; Assumptions'!$C$11="",'MT_Inputs &amp; Assumptions'!$C$10,'MT_Inputs &amp; Assumptions'!$C$11))))*(1-('MT_Inputs &amp; Assumptions'!$C$71)))*(1-((((IF('MT_Inputs &amp; Assumptions'!$C$11="",'MT_Inputs &amp; Assumptions'!$C$10,'MT_Inputs &amp; Assumptions'!$C$11)))/(D$18))))/((D$18)-((IF('MT_Inputs &amp; Assumptions'!$C$11="",'MT_Inputs &amp; Assumptions'!$C$10,'MT_Inputs &amp; Assumptions'!$C$11))))))*(1/(1+D$18)^10))))-(MT_Schedules!$H$92)+(IFERROR(INDEX(MT_HS_CONSOLIDATED!I:I,MATCH("CashAndCashEquivalents",MT_HS_CONSOLIDATED!$C:$C,0)),0)))/'MT_WACC Schedule'!$C7</f>
        <v/>
      </c>
      <c r="E21" s="130">
        <f>(((((((('MT_P&amp;L Schedule'!I14)*(1-(IFERROR(MT_Schedules!I106/MT_Schedules!I105,0))))+((-'MT_P&amp;L Schedule'!I13))+((-MT_Schedules!I52))+((MT_Schedules!I44*($B21)))))*(1/(1+E$18)^1)+(((('MT_P&amp;L Schedule'!J14)*(1-(IFERROR(MT_Schedules!J106/MT_Schedules!J105,0))))+((-'MT_P&amp;L Schedule'!J13))+((-MT_Schedules!J52))+((MT_Schedules!J44*($B21)))))*(1/(1+E$18)^2)+(((('MT_P&amp;L Schedule'!K14)*(1-(IFERROR(MT_Schedules!K106/MT_Schedules!K105,0))))+((-'MT_P&amp;L Schedule'!K13))+((-MT_Schedules!K52))+((MT_Schedules!K44*($B21)))))*(1/(1+E$18)^3)+(((('MT_P&amp;L Schedule'!L14)*(1-(IFERROR(MT_Schedules!L106/MT_Schedules!L105,0))))+((-'MT_P&amp;L Schedule'!L13))+((-MT_Schedules!L52))+((MT_Schedules!L44*($B21)))))*(1/(1+E$18)^4)+(((('MT_P&amp;L Schedule'!M14)*(1-(IFERROR(MT_Schedules!M106/MT_Schedules!M105,0))))+((-'MT_P&amp;L Schedule'!M13))+((-MT_Schedules!M52))+((MT_Schedules!M44*($B21)))))*(1/(1+E$18)^5)+(((('MT_P&amp;L Schedule'!N14)*(1-(IFERROR(MT_Schedules!N106/MT_Schedules!N105,0))))+((-'MT_P&amp;L Schedule'!N13))+((-MT_Schedules!N52))+((MT_Schedules!N44*($B21)))))*(1/(1+E$18)^6)+(((('MT_P&amp;L Schedule'!O14)*(1-(IFERROR(MT_Schedules!O106/MT_Schedules!O105,0))))+((-'MT_P&amp;L Schedule'!O13))+((-MT_Schedules!O52))+((MT_Schedules!O44*($B21)))))*(1/(1+E$18)^7)+(((('MT_P&amp;L Schedule'!P14)*(1-(IFERROR(MT_Schedules!P106/MT_Schedules!P105,0))))+((-'MT_P&amp;L Schedule'!P13))+((-MT_Schedules!P52))+((MT_Schedules!P44*($B21)))))*(1/(1+E$18)^8)+(((('MT_P&amp;L Schedule'!Q14)*(1-(IFERROR(MT_Schedules!Q106/MT_Schedules!Q105,0))))+((-'MT_P&amp;L Schedule'!Q13))+((-MT_Schedules!Q52))+((MT_Schedules!Q44*($B21)))))*(1/(1+E$18)^9)+(((('MT_P&amp;L Schedule'!R14)*(1-(IFERROR(MT_Schedules!R106/MT_Schedules!R105,0))))+((-'MT_P&amp;L Schedule'!R13))+((-MT_Schedules!R52))+((MT_Schedules!R44*($B21)))))*(1/(1+E$18)^10))+((((('MT_P&amp;L Schedule'!R14)*(1+((IF('MT_Inputs &amp; Assumptions'!$C$11="",'MT_Inputs &amp; Assumptions'!$C$10,'MT_Inputs &amp; Assumptions'!$C$11))))*(1-('MT_Inputs &amp; Assumptions'!$C$71)))*(1-((((IF('MT_Inputs &amp; Assumptions'!$C$11="",'MT_Inputs &amp; Assumptions'!$C$10,'MT_Inputs &amp; Assumptions'!$C$11)))/(E$18))))/((E$18)-((IF('MT_Inputs &amp; Assumptions'!$C$11="",'MT_Inputs &amp; Assumptions'!$C$10,'MT_Inputs &amp; Assumptions'!$C$11))))))*(1/(1+E$18)^10))))-(MT_Schedules!$H$92)+(IFERROR(INDEX(MT_HS_CONSOLIDATED!I:I,MATCH("CashAndCashEquivalents",MT_HS_CONSOLIDATED!$C:$C,0)),0)))/'MT_WACC Schedule'!$C7</f>
        <v/>
      </c>
      <c r="F21" s="130">
        <f>(((((((('MT_P&amp;L Schedule'!I14)*(1-(IFERROR(MT_Schedules!I106/MT_Schedules!I105,0))))+((-'MT_P&amp;L Schedule'!I13))+((-MT_Schedules!I52))+((MT_Schedules!I44*($B21)))))*(1/(1+F$18)^1)+(((('MT_P&amp;L Schedule'!J14)*(1-(IFERROR(MT_Schedules!J106/MT_Schedules!J105,0))))+((-'MT_P&amp;L Schedule'!J13))+((-MT_Schedules!J52))+((MT_Schedules!J44*($B21)))))*(1/(1+F$18)^2)+(((('MT_P&amp;L Schedule'!K14)*(1-(IFERROR(MT_Schedules!K106/MT_Schedules!K105,0))))+((-'MT_P&amp;L Schedule'!K13))+((-MT_Schedules!K52))+((MT_Schedules!K44*($B21)))))*(1/(1+F$18)^3)+(((('MT_P&amp;L Schedule'!L14)*(1-(IFERROR(MT_Schedules!L106/MT_Schedules!L105,0))))+((-'MT_P&amp;L Schedule'!L13))+((-MT_Schedules!L52))+((MT_Schedules!L44*($B21)))))*(1/(1+F$18)^4)+(((('MT_P&amp;L Schedule'!M14)*(1-(IFERROR(MT_Schedules!M106/MT_Schedules!M105,0))))+((-'MT_P&amp;L Schedule'!M13))+((-MT_Schedules!M52))+((MT_Schedules!M44*($B21)))))*(1/(1+F$18)^5)+(((('MT_P&amp;L Schedule'!N14)*(1-(IFERROR(MT_Schedules!N106/MT_Schedules!N105,0))))+((-'MT_P&amp;L Schedule'!N13))+((-MT_Schedules!N52))+((MT_Schedules!N44*($B21)))))*(1/(1+F$18)^6)+(((('MT_P&amp;L Schedule'!O14)*(1-(IFERROR(MT_Schedules!O106/MT_Schedules!O105,0))))+((-'MT_P&amp;L Schedule'!O13))+((-MT_Schedules!O52))+((MT_Schedules!O44*($B21)))))*(1/(1+F$18)^7)+(((('MT_P&amp;L Schedule'!P14)*(1-(IFERROR(MT_Schedules!P106/MT_Schedules!P105,0))))+((-'MT_P&amp;L Schedule'!P13))+((-MT_Schedules!P52))+((MT_Schedules!P44*($B21)))))*(1/(1+F$18)^8)+(((('MT_P&amp;L Schedule'!Q14)*(1-(IFERROR(MT_Schedules!Q106/MT_Schedules!Q105,0))))+((-'MT_P&amp;L Schedule'!Q13))+((-MT_Schedules!Q52))+((MT_Schedules!Q44*($B21)))))*(1/(1+F$18)^9)+(((('MT_P&amp;L Schedule'!R14)*(1-(IFERROR(MT_Schedules!R106/MT_Schedules!R105,0))))+((-'MT_P&amp;L Schedule'!R13))+((-MT_Schedules!R52))+((MT_Schedules!R44*($B21)))))*(1/(1+F$18)^10))+((((('MT_P&amp;L Schedule'!R14)*(1+((IF('MT_Inputs &amp; Assumptions'!$C$11="",'MT_Inputs &amp; Assumptions'!$C$10,'MT_Inputs &amp; Assumptions'!$C$11))))*(1-('MT_Inputs &amp; Assumptions'!$C$71)))*(1-((((IF('MT_Inputs &amp; Assumptions'!$C$11="",'MT_Inputs &amp; Assumptions'!$C$10,'MT_Inputs &amp; Assumptions'!$C$11)))/(F$18))))/((F$18)-((IF('MT_Inputs &amp; Assumptions'!$C$11="",'MT_Inputs &amp; Assumptions'!$C$10,'MT_Inputs &amp; Assumptions'!$C$11))))))*(1/(1+F$18)^10))))-(MT_Schedules!$H$92)+(IFERROR(INDEX(MT_HS_CONSOLIDATED!I:I,MATCH("CashAndCashEquivalents",MT_HS_CONSOLIDATED!$C:$C,0)),0)))/'MT_WACC Schedule'!$C7</f>
        <v/>
      </c>
      <c r="G21" s="130">
        <f>(((((((('MT_P&amp;L Schedule'!I14)*(1-(IFERROR(MT_Schedules!I106/MT_Schedules!I105,0))))+((-'MT_P&amp;L Schedule'!I13))+((-MT_Schedules!I52))+((MT_Schedules!I44*($B21)))))*(1/(1+G$18)^1)+(((('MT_P&amp;L Schedule'!J14)*(1-(IFERROR(MT_Schedules!J106/MT_Schedules!J105,0))))+((-'MT_P&amp;L Schedule'!J13))+((-MT_Schedules!J52))+((MT_Schedules!J44*($B21)))))*(1/(1+G$18)^2)+(((('MT_P&amp;L Schedule'!K14)*(1-(IFERROR(MT_Schedules!K106/MT_Schedules!K105,0))))+((-'MT_P&amp;L Schedule'!K13))+((-MT_Schedules!K52))+((MT_Schedules!K44*($B21)))))*(1/(1+G$18)^3)+(((('MT_P&amp;L Schedule'!L14)*(1-(IFERROR(MT_Schedules!L106/MT_Schedules!L105,0))))+((-'MT_P&amp;L Schedule'!L13))+((-MT_Schedules!L52))+((MT_Schedules!L44*($B21)))))*(1/(1+G$18)^4)+(((('MT_P&amp;L Schedule'!M14)*(1-(IFERROR(MT_Schedules!M106/MT_Schedules!M105,0))))+((-'MT_P&amp;L Schedule'!M13))+((-MT_Schedules!M52))+((MT_Schedules!M44*($B21)))))*(1/(1+G$18)^5)+(((('MT_P&amp;L Schedule'!N14)*(1-(IFERROR(MT_Schedules!N106/MT_Schedules!N105,0))))+((-'MT_P&amp;L Schedule'!N13))+((-MT_Schedules!N52))+((MT_Schedules!N44*($B21)))))*(1/(1+G$18)^6)+(((('MT_P&amp;L Schedule'!O14)*(1-(IFERROR(MT_Schedules!O106/MT_Schedules!O105,0))))+((-'MT_P&amp;L Schedule'!O13))+((-MT_Schedules!O52))+((MT_Schedules!O44*($B21)))))*(1/(1+G$18)^7)+(((('MT_P&amp;L Schedule'!P14)*(1-(IFERROR(MT_Schedules!P106/MT_Schedules!P105,0))))+((-'MT_P&amp;L Schedule'!P13))+((-MT_Schedules!P52))+((MT_Schedules!P44*($B21)))))*(1/(1+G$18)^8)+(((('MT_P&amp;L Schedule'!Q14)*(1-(IFERROR(MT_Schedules!Q106/MT_Schedules!Q105,0))))+((-'MT_P&amp;L Schedule'!Q13))+((-MT_Schedules!Q52))+((MT_Schedules!Q44*($B21)))))*(1/(1+G$18)^9)+(((('MT_P&amp;L Schedule'!R14)*(1-(IFERROR(MT_Schedules!R106/MT_Schedules!R105,0))))+((-'MT_P&amp;L Schedule'!R13))+((-MT_Schedules!R52))+((MT_Schedules!R44*($B21)))))*(1/(1+G$18)^10))+((((('MT_P&amp;L Schedule'!R14)*(1+((IF('MT_Inputs &amp; Assumptions'!$C$11="",'MT_Inputs &amp; Assumptions'!$C$10,'MT_Inputs &amp; Assumptions'!$C$11))))*(1-('MT_Inputs &amp; Assumptions'!$C$71)))*(1-((((IF('MT_Inputs &amp; Assumptions'!$C$11="",'MT_Inputs &amp; Assumptions'!$C$10,'MT_Inputs &amp; Assumptions'!$C$11)))/(G$18))))/((G$18)-((IF('MT_Inputs &amp; Assumptions'!$C$11="",'MT_Inputs &amp; Assumptions'!$C$10,'MT_Inputs &amp; Assumptions'!$C$11))))))*(1/(1+G$18)^10))))-(MT_Schedules!$H$92)+(IFERROR(INDEX(MT_HS_CONSOLIDATED!I:I,MATCH("CashAndCashEquivalents",MT_HS_CONSOLIDATED!$C:$C,0)),0)))/'MT_WACC Schedule'!$C7</f>
        <v/>
      </c>
    </row>
    <row r="22">
      <c r="B22" s="115" t="n">
        <v>1.15</v>
      </c>
      <c r="C22" s="130">
        <f>(((((((('MT_P&amp;L Schedule'!I14)*(1-(IFERROR(MT_Schedules!I106/MT_Schedules!I105,0))))+((-'MT_P&amp;L Schedule'!I13))+((-MT_Schedules!I52))+((MT_Schedules!I44*($B22)))))*(1/(1+C$18)^1)+(((('MT_P&amp;L Schedule'!J14)*(1-(IFERROR(MT_Schedules!J106/MT_Schedules!J105,0))))+((-'MT_P&amp;L Schedule'!J13))+((-MT_Schedules!J52))+((MT_Schedules!J44*($B22)))))*(1/(1+C$18)^2)+(((('MT_P&amp;L Schedule'!K14)*(1-(IFERROR(MT_Schedules!K106/MT_Schedules!K105,0))))+((-'MT_P&amp;L Schedule'!K13))+((-MT_Schedules!K52))+((MT_Schedules!K44*($B22)))))*(1/(1+C$18)^3)+(((('MT_P&amp;L Schedule'!L14)*(1-(IFERROR(MT_Schedules!L106/MT_Schedules!L105,0))))+((-'MT_P&amp;L Schedule'!L13))+((-MT_Schedules!L52))+((MT_Schedules!L44*($B22)))))*(1/(1+C$18)^4)+(((('MT_P&amp;L Schedule'!M14)*(1-(IFERROR(MT_Schedules!M106/MT_Schedules!M105,0))))+((-'MT_P&amp;L Schedule'!M13))+((-MT_Schedules!M52))+((MT_Schedules!M44*($B22)))))*(1/(1+C$18)^5)+(((('MT_P&amp;L Schedule'!N14)*(1-(IFERROR(MT_Schedules!N106/MT_Schedules!N105,0))))+((-'MT_P&amp;L Schedule'!N13))+((-MT_Schedules!N52))+((MT_Schedules!N44*($B22)))))*(1/(1+C$18)^6)+(((('MT_P&amp;L Schedule'!O14)*(1-(IFERROR(MT_Schedules!O106/MT_Schedules!O105,0))))+((-'MT_P&amp;L Schedule'!O13))+((-MT_Schedules!O52))+((MT_Schedules!O44*($B22)))))*(1/(1+C$18)^7)+(((('MT_P&amp;L Schedule'!P14)*(1-(IFERROR(MT_Schedules!P106/MT_Schedules!P105,0))))+((-'MT_P&amp;L Schedule'!P13))+((-MT_Schedules!P52))+((MT_Schedules!P44*($B22)))))*(1/(1+C$18)^8)+(((('MT_P&amp;L Schedule'!Q14)*(1-(IFERROR(MT_Schedules!Q106/MT_Schedules!Q105,0))))+((-'MT_P&amp;L Schedule'!Q13))+((-MT_Schedules!Q52))+((MT_Schedules!Q44*($B22)))))*(1/(1+C$18)^9)+(((('MT_P&amp;L Schedule'!R14)*(1-(IFERROR(MT_Schedules!R106/MT_Schedules!R105,0))))+((-'MT_P&amp;L Schedule'!R13))+((-MT_Schedules!R52))+((MT_Schedules!R44*($B22)))))*(1/(1+C$18)^10))+((((('MT_P&amp;L Schedule'!R14)*(1+((IF('MT_Inputs &amp; Assumptions'!$C$11="",'MT_Inputs &amp; Assumptions'!$C$10,'MT_Inputs &amp; Assumptions'!$C$11))))*(1-('MT_Inputs &amp; Assumptions'!$C$71)))*(1-((((IF('MT_Inputs &amp; Assumptions'!$C$11="",'MT_Inputs &amp; Assumptions'!$C$10,'MT_Inputs &amp; Assumptions'!$C$11)))/(C$18))))/((C$18)-((IF('MT_Inputs &amp; Assumptions'!$C$11="",'MT_Inputs &amp; Assumptions'!$C$10,'MT_Inputs &amp; Assumptions'!$C$11))))))*(1/(1+C$18)^10))))-(MT_Schedules!$H$92)+(IFERROR(INDEX(MT_HS_CONSOLIDATED!I:I,MATCH("CashAndCashEquivalents",MT_HS_CONSOLIDATED!$C:$C,0)),0)))/'MT_WACC Schedule'!$C7</f>
        <v/>
      </c>
      <c r="D22" s="130">
        <f>(((((((('MT_P&amp;L Schedule'!I14)*(1-(IFERROR(MT_Schedules!I106/MT_Schedules!I105,0))))+((-'MT_P&amp;L Schedule'!I13))+((-MT_Schedules!I52))+((MT_Schedules!I44*($B22)))))*(1/(1+D$18)^1)+(((('MT_P&amp;L Schedule'!J14)*(1-(IFERROR(MT_Schedules!J106/MT_Schedules!J105,0))))+((-'MT_P&amp;L Schedule'!J13))+((-MT_Schedules!J52))+((MT_Schedules!J44*($B22)))))*(1/(1+D$18)^2)+(((('MT_P&amp;L Schedule'!K14)*(1-(IFERROR(MT_Schedules!K106/MT_Schedules!K105,0))))+((-'MT_P&amp;L Schedule'!K13))+((-MT_Schedules!K52))+((MT_Schedules!K44*($B22)))))*(1/(1+D$18)^3)+(((('MT_P&amp;L Schedule'!L14)*(1-(IFERROR(MT_Schedules!L106/MT_Schedules!L105,0))))+((-'MT_P&amp;L Schedule'!L13))+((-MT_Schedules!L52))+((MT_Schedules!L44*($B22)))))*(1/(1+D$18)^4)+(((('MT_P&amp;L Schedule'!M14)*(1-(IFERROR(MT_Schedules!M106/MT_Schedules!M105,0))))+((-'MT_P&amp;L Schedule'!M13))+((-MT_Schedules!M52))+((MT_Schedules!M44*($B22)))))*(1/(1+D$18)^5)+(((('MT_P&amp;L Schedule'!N14)*(1-(IFERROR(MT_Schedules!N106/MT_Schedules!N105,0))))+((-'MT_P&amp;L Schedule'!N13))+((-MT_Schedules!N52))+((MT_Schedules!N44*($B22)))))*(1/(1+D$18)^6)+(((('MT_P&amp;L Schedule'!O14)*(1-(IFERROR(MT_Schedules!O106/MT_Schedules!O105,0))))+((-'MT_P&amp;L Schedule'!O13))+((-MT_Schedules!O52))+((MT_Schedules!O44*($B22)))))*(1/(1+D$18)^7)+(((('MT_P&amp;L Schedule'!P14)*(1-(IFERROR(MT_Schedules!P106/MT_Schedules!P105,0))))+((-'MT_P&amp;L Schedule'!P13))+((-MT_Schedules!P52))+((MT_Schedules!P44*($B22)))))*(1/(1+D$18)^8)+(((('MT_P&amp;L Schedule'!Q14)*(1-(IFERROR(MT_Schedules!Q106/MT_Schedules!Q105,0))))+((-'MT_P&amp;L Schedule'!Q13))+((-MT_Schedules!Q52))+((MT_Schedules!Q44*($B22)))))*(1/(1+D$18)^9)+(((('MT_P&amp;L Schedule'!R14)*(1-(IFERROR(MT_Schedules!R106/MT_Schedules!R105,0))))+((-'MT_P&amp;L Schedule'!R13))+((-MT_Schedules!R52))+((MT_Schedules!R44*($B22)))))*(1/(1+D$18)^10))+((((('MT_P&amp;L Schedule'!R14)*(1+((IF('MT_Inputs &amp; Assumptions'!$C$11="",'MT_Inputs &amp; Assumptions'!$C$10,'MT_Inputs &amp; Assumptions'!$C$11))))*(1-('MT_Inputs &amp; Assumptions'!$C$71)))*(1-((((IF('MT_Inputs &amp; Assumptions'!$C$11="",'MT_Inputs &amp; Assumptions'!$C$10,'MT_Inputs &amp; Assumptions'!$C$11)))/(D$18))))/((D$18)-((IF('MT_Inputs &amp; Assumptions'!$C$11="",'MT_Inputs &amp; Assumptions'!$C$10,'MT_Inputs &amp; Assumptions'!$C$11))))))*(1/(1+D$18)^10))))-(MT_Schedules!$H$92)+(IFERROR(INDEX(MT_HS_CONSOLIDATED!I:I,MATCH("CashAndCashEquivalents",MT_HS_CONSOLIDATED!$C:$C,0)),0)))/'MT_WACC Schedule'!$C7</f>
        <v/>
      </c>
      <c r="E22" s="130">
        <f>(((((((('MT_P&amp;L Schedule'!I14)*(1-(IFERROR(MT_Schedules!I106/MT_Schedules!I105,0))))+((-'MT_P&amp;L Schedule'!I13))+((-MT_Schedules!I52))+((MT_Schedules!I44*($B22)))))*(1/(1+E$18)^1)+(((('MT_P&amp;L Schedule'!J14)*(1-(IFERROR(MT_Schedules!J106/MT_Schedules!J105,0))))+((-'MT_P&amp;L Schedule'!J13))+((-MT_Schedules!J52))+((MT_Schedules!J44*($B22)))))*(1/(1+E$18)^2)+(((('MT_P&amp;L Schedule'!K14)*(1-(IFERROR(MT_Schedules!K106/MT_Schedules!K105,0))))+((-'MT_P&amp;L Schedule'!K13))+((-MT_Schedules!K52))+((MT_Schedules!K44*($B22)))))*(1/(1+E$18)^3)+(((('MT_P&amp;L Schedule'!L14)*(1-(IFERROR(MT_Schedules!L106/MT_Schedules!L105,0))))+((-'MT_P&amp;L Schedule'!L13))+((-MT_Schedules!L52))+((MT_Schedules!L44*($B22)))))*(1/(1+E$18)^4)+(((('MT_P&amp;L Schedule'!M14)*(1-(IFERROR(MT_Schedules!M106/MT_Schedules!M105,0))))+((-'MT_P&amp;L Schedule'!M13))+((-MT_Schedules!M52))+((MT_Schedules!M44*($B22)))))*(1/(1+E$18)^5)+(((('MT_P&amp;L Schedule'!N14)*(1-(IFERROR(MT_Schedules!N106/MT_Schedules!N105,0))))+((-'MT_P&amp;L Schedule'!N13))+((-MT_Schedules!N52))+((MT_Schedules!N44*($B22)))))*(1/(1+E$18)^6)+(((('MT_P&amp;L Schedule'!O14)*(1-(IFERROR(MT_Schedules!O106/MT_Schedules!O105,0))))+((-'MT_P&amp;L Schedule'!O13))+((-MT_Schedules!O52))+((MT_Schedules!O44*($B22)))))*(1/(1+E$18)^7)+(((('MT_P&amp;L Schedule'!P14)*(1-(IFERROR(MT_Schedules!P106/MT_Schedules!P105,0))))+((-'MT_P&amp;L Schedule'!P13))+((-MT_Schedules!P52))+((MT_Schedules!P44*($B22)))))*(1/(1+E$18)^8)+(((('MT_P&amp;L Schedule'!Q14)*(1-(IFERROR(MT_Schedules!Q106/MT_Schedules!Q105,0))))+((-'MT_P&amp;L Schedule'!Q13))+((-MT_Schedules!Q52))+((MT_Schedules!Q44*($B22)))))*(1/(1+E$18)^9)+(((('MT_P&amp;L Schedule'!R14)*(1-(IFERROR(MT_Schedules!R106/MT_Schedules!R105,0))))+((-'MT_P&amp;L Schedule'!R13))+((-MT_Schedules!R52))+((MT_Schedules!R44*($B22)))))*(1/(1+E$18)^10))+((((('MT_P&amp;L Schedule'!R14)*(1+((IF('MT_Inputs &amp; Assumptions'!$C$11="",'MT_Inputs &amp; Assumptions'!$C$10,'MT_Inputs &amp; Assumptions'!$C$11))))*(1-('MT_Inputs &amp; Assumptions'!$C$71)))*(1-((((IF('MT_Inputs &amp; Assumptions'!$C$11="",'MT_Inputs &amp; Assumptions'!$C$10,'MT_Inputs &amp; Assumptions'!$C$11)))/(E$18))))/((E$18)-((IF('MT_Inputs &amp; Assumptions'!$C$11="",'MT_Inputs &amp; Assumptions'!$C$10,'MT_Inputs &amp; Assumptions'!$C$11))))))*(1/(1+E$18)^10))))-(MT_Schedules!$H$92)+(IFERROR(INDEX(MT_HS_CONSOLIDATED!I:I,MATCH("CashAndCashEquivalents",MT_HS_CONSOLIDATED!$C:$C,0)),0)))/'MT_WACC Schedule'!$C7</f>
        <v/>
      </c>
      <c r="F22" s="130">
        <f>(((((((('MT_P&amp;L Schedule'!I14)*(1-(IFERROR(MT_Schedules!I106/MT_Schedules!I105,0))))+((-'MT_P&amp;L Schedule'!I13))+((-MT_Schedules!I52))+((MT_Schedules!I44*($B22)))))*(1/(1+F$18)^1)+(((('MT_P&amp;L Schedule'!J14)*(1-(IFERROR(MT_Schedules!J106/MT_Schedules!J105,0))))+((-'MT_P&amp;L Schedule'!J13))+((-MT_Schedules!J52))+((MT_Schedules!J44*($B22)))))*(1/(1+F$18)^2)+(((('MT_P&amp;L Schedule'!K14)*(1-(IFERROR(MT_Schedules!K106/MT_Schedules!K105,0))))+((-'MT_P&amp;L Schedule'!K13))+((-MT_Schedules!K52))+((MT_Schedules!K44*($B22)))))*(1/(1+F$18)^3)+(((('MT_P&amp;L Schedule'!L14)*(1-(IFERROR(MT_Schedules!L106/MT_Schedules!L105,0))))+((-'MT_P&amp;L Schedule'!L13))+((-MT_Schedules!L52))+((MT_Schedules!L44*($B22)))))*(1/(1+F$18)^4)+(((('MT_P&amp;L Schedule'!M14)*(1-(IFERROR(MT_Schedules!M106/MT_Schedules!M105,0))))+((-'MT_P&amp;L Schedule'!M13))+((-MT_Schedules!M52))+((MT_Schedules!M44*($B22)))))*(1/(1+F$18)^5)+(((('MT_P&amp;L Schedule'!N14)*(1-(IFERROR(MT_Schedules!N106/MT_Schedules!N105,0))))+((-'MT_P&amp;L Schedule'!N13))+((-MT_Schedules!N52))+((MT_Schedules!N44*($B22)))))*(1/(1+F$18)^6)+(((('MT_P&amp;L Schedule'!O14)*(1-(IFERROR(MT_Schedules!O106/MT_Schedules!O105,0))))+((-'MT_P&amp;L Schedule'!O13))+((-MT_Schedules!O52))+((MT_Schedules!O44*($B22)))))*(1/(1+F$18)^7)+(((('MT_P&amp;L Schedule'!P14)*(1-(IFERROR(MT_Schedules!P106/MT_Schedules!P105,0))))+((-'MT_P&amp;L Schedule'!P13))+((-MT_Schedules!P52))+((MT_Schedules!P44*($B22)))))*(1/(1+F$18)^8)+(((('MT_P&amp;L Schedule'!Q14)*(1-(IFERROR(MT_Schedules!Q106/MT_Schedules!Q105,0))))+((-'MT_P&amp;L Schedule'!Q13))+((-MT_Schedules!Q52))+((MT_Schedules!Q44*($B22)))))*(1/(1+F$18)^9)+(((('MT_P&amp;L Schedule'!R14)*(1-(IFERROR(MT_Schedules!R106/MT_Schedules!R105,0))))+((-'MT_P&amp;L Schedule'!R13))+((-MT_Schedules!R52))+((MT_Schedules!R44*($B22)))))*(1/(1+F$18)^10))+((((('MT_P&amp;L Schedule'!R14)*(1+((IF('MT_Inputs &amp; Assumptions'!$C$11="",'MT_Inputs &amp; Assumptions'!$C$10,'MT_Inputs &amp; Assumptions'!$C$11))))*(1-('MT_Inputs &amp; Assumptions'!$C$71)))*(1-((((IF('MT_Inputs &amp; Assumptions'!$C$11="",'MT_Inputs &amp; Assumptions'!$C$10,'MT_Inputs &amp; Assumptions'!$C$11)))/(F$18))))/((F$18)-((IF('MT_Inputs &amp; Assumptions'!$C$11="",'MT_Inputs &amp; Assumptions'!$C$10,'MT_Inputs &amp; Assumptions'!$C$11))))))*(1/(1+F$18)^10))))-(MT_Schedules!$H$92)+(IFERROR(INDEX(MT_HS_CONSOLIDATED!I:I,MATCH("CashAndCashEquivalents",MT_HS_CONSOLIDATED!$C:$C,0)),0)))/'MT_WACC Schedule'!$C7</f>
        <v/>
      </c>
      <c r="G22" s="130">
        <f>(((((((('MT_P&amp;L Schedule'!I14)*(1-(IFERROR(MT_Schedules!I106/MT_Schedules!I105,0))))+((-'MT_P&amp;L Schedule'!I13))+((-MT_Schedules!I52))+((MT_Schedules!I44*($B22)))))*(1/(1+G$18)^1)+(((('MT_P&amp;L Schedule'!J14)*(1-(IFERROR(MT_Schedules!J106/MT_Schedules!J105,0))))+((-'MT_P&amp;L Schedule'!J13))+((-MT_Schedules!J52))+((MT_Schedules!J44*($B22)))))*(1/(1+G$18)^2)+(((('MT_P&amp;L Schedule'!K14)*(1-(IFERROR(MT_Schedules!K106/MT_Schedules!K105,0))))+((-'MT_P&amp;L Schedule'!K13))+((-MT_Schedules!K52))+((MT_Schedules!K44*($B22)))))*(1/(1+G$18)^3)+(((('MT_P&amp;L Schedule'!L14)*(1-(IFERROR(MT_Schedules!L106/MT_Schedules!L105,0))))+((-'MT_P&amp;L Schedule'!L13))+((-MT_Schedules!L52))+((MT_Schedules!L44*($B22)))))*(1/(1+G$18)^4)+(((('MT_P&amp;L Schedule'!M14)*(1-(IFERROR(MT_Schedules!M106/MT_Schedules!M105,0))))+((-'MT_P&amp;L Schedule'!M13))+((-MT_Schedules!M52))+((MT_Schedules!M44*($B22)))))*(1/(1+G$18)^5)+(((('MT_P&amp;L Schedule'!N14)*(1-(IFERROR(MT_Schedules!N106/MT_Schedules!N105,0))))+((-'MT_P&amp;L Schedule'!N13))+((-MT_Schedules!N52))+((MT_Schedules!N44*($B22)))))*(1/(1+G$18)^6)+(((('MT_P&amp;L Schedule'!O14)*(1-(IFERROR(MT_Schedules!O106/MT_Schedules!O105,0))))+((-'MT_P&amp;L Schedule'!O13))+((-MT_Schedules!O52))+((MT_Schedules!O44*($B22)))))*(1/(1+G$18)^7)+(((('MT_P&amp;L Schedule'!P14)*(1-(IFERROR(MT_Schedules!P106/MT_Schedules!P105,0))))+((-'MT_P&amp;L Schedule'!P13))+((-MT_Schedules!P52))+((MT_Schedules!P44*($B22)))))*(1/(1+G$18)^8)+(((('MT_P&amp;L Schedule'!Q14)*(1-(IFERROR(MT_Schedules!Q106/MT_Schedules!Q105,0))))+((-'MT_P&amp;L Schedule'!Q13))+((-MT_Schedules!Q52))+((MT_Schedules!Q44*($B22)))))*(1/(1+G$18)^9)+(((('MT_P&amp;L Schedule'!R14)*(1-(IFERROR(MT_Schedules!R106/MT_Schedules!R105,0))))+((-'MT_P&amp;L Schedule'!R13))+((-MT_Schedules!R52))+((MT_Schedules!R44*($B22)))))*(1/(1+G$18)^10))+((((('MT_P&amp;L Schedule'!R14)*(1+((IF('MT_Inputs &amp; Assumptions'!$C$11="",'MT_Inputs &amp; Assumptions'!$C$10,'MT_Inputs &amp; Assumptions'!$C$11))))*(1-('MT_Inputs &amp; Assumptions'!$C$71)))*(1-((((IF('MT_Inputs &amp; Assumptions'!$C$11="",'MT_Inputs &amp; Assumptions'!$C$10,'MT_Inputs &amp; Assumptions'!$C$11)))/(G$18))))/((G$18)-((IF('MT_Inputs &amp; Assumptions'!$C$11="",'MT_Inputs &amp; Assumptions'!$C$10,'MT_Inputs &amp; Assumptions'!$C$11))))))*(1/(1+G$18)^10))))-(MT_Schedules!$H$92)+(IFERROR(INDEX(MT_HS_CONSOLIDATED!I:I,MATCH("CashAndCashEquivalents",MT_HS_CONSOLIDATED!$C:$C,0)),0)))/'MT_WACC Schedule'!$C7</f>
        <v/>
      </c>
    </row>
    <row r="23">
      <c r="B23" s="115" t="n">
        <v>1.3</v>
      </c>
      <c r="C23" s="130">
        <f>(((((((('MT_P&amp;L Schedule'!I14)*(1-(IFERROR(MT_Schedules!I106/MT_Schedules!I105,0))))+((-'MT_P&amp;L Schedule'!I13))+((-MT_Schedules!I52))+((MT_Schedules!I44*($B23)))))*(1/(1+C$18)^1)+(((('MT_P&amp;L Schedule'!J14)*(1-(IFERROR(MT_Schedules!J106/MT_Schedules!J105,0))))+((-'MT_P&amp;L Schedule'!J13))+((-MT_Schedules!J52))+((MT_Schedules!J44*($B23)))))*(1/(1+C$18)^2)+(((('MT_P&amp;L Schedule'!K14)*(1-(IFERROR(MT_Schedules!K106/MT_Schedules!K105,0))))+((-'MT_P&amp;L Schedule'!K13))+((-MT_Schedules!K52))+((MT_Schedules!K44*($B23)))))*(1/(1+C$18)^3)+(((('MT_P&amp;L Schedule'!L14)*(1-(IFERROR(MT_Schedules!L106/MT_Schedules!L105,0))))+((-'MT_P&amp;L Schedule'!L13))+((-MT_Schedules!L52))+((MT_Schedules!L44*($B23)))))*(1/(1+C$18)^4)+(((('MT_P&amp;L Schedule'!M14)*(1-(IFERROR(MT_Schedules!M106/MT_Schedules!M105,0))))+((-'MT_P&amp;L Schedule'!M13))+((-MT_Schedules!M52))+((MT_Schedules!M44*($B23)))))*(1/(1+C$18)^5)+(((('MT_P&amp;L Schedule'!N14)*(1-(IFERROR(MT_Schedules!N106/MT_Schedules!N105,0))))+((-'MT_P&amp;L Schedule'!N13))+((-MT_Schedules!N52))+((MT_Schedules!N44*($B23)))))*(1/(1+C$18)^6)+(((('MT_P&amp;L Schedule'!O14)*(1-(IFERROR(MT_Schedules!O106/MT_Schedules!O105,0))))+((-'MT_P&amp;L Schedule'!O13))+((-MT_Schedules!O52))+((MT_Schedules!O44*($B23)))))*(1/(1+C$18)^7)+(((('MT_P&amp;L Schedule'!P14)*(1-(IFERROR(MT_Schedules!P106/MT_Schedules!P105,0))))+((-'MT_P&amp;L Schedule'!P13))+((-MT_Schedules!P52))+((MT_Schedules!P44*($B23)))))*(1/(1+C$18)^8)+(((('MT_P&amp;L Schedule'!Q14)*(1-(IFERROR(MT_Schedules!Q106/MT_Schedules!Q105,0))))+((-'MT_P&amp;L Schedule'!Q13))+((-MT_Schedules!Q52))+((MT_Schedules!Q44*($B23)))))*(1/(1+C$18)^9)+(((('MT_P&amp;L Schedule'!R14)*(1-(IFERROR(MT_Schedules!R106/MT_Schedules!R105,0))))+((-'MT_P&amp;L Schedule'!R13))+((-MT_Schedules!R52))+((MT_Schedules!R44*($B23)))))*(1/(1+C$18)^10))+((((('MT_P&amp;L Schedule'!R14)*(1+((IF('MT_Inputs &amp; Assumptions'!$C$11="",'MT_Inputs &amp; Assumptions'!$C$10,'MT_Inputs &amp; Assumptions'!$C$11))))*(1-('MT_Inputs &amp; Assumptions'!$C$71)))*(1-((((IF('MT_Inputs &amp; Assumptions'!$C$11="",'MT_Inputs &amp; Assumptions'!$C$10,'MT_Inputs &amp; Assumptions'!$C$11)))/(C$18))))/((C$18)-((IF('MT_Inputs &amp; Assumptions'!$C$11="",'MT_Inputs &amp; Assumptions'!$C$10,'MT_Inputs &amp; Assumptions'!$C$11))))))*(1/(1+C$18)^10))))-(MT_Schedules!$H$92)+(IFERROR(INDEX(MT_HS_CONSOLIDATED!I:I,MATCH("CashAndCashEquivalents",MT_HS_CONSOLIDATED!$C:$C,0)),0)))/'MT_WACC Schedule'!$C7</f>
        <v/>
      </c>
      <c r="D23" s="130">
        <f>(((((((('MT_P&amp;L Schedule'!I14)*(1-(IFERROR(MT_Schedules!I106/MT_Schedules!I105,0))))+((-'MT_P&amp;L Schedule'!I13))+((-MT_Schedules!I52))+((MT_Schedules!I44*($B23)))))*(1/(1+D$18)^1)+(((('MT_P&amp;L Schedule'!J14)*(1-(IFERROR(MT_Schedules!J106/MT_Schedules!J105,0))))+((-'MT_P&amp;L Schedule'!J13))+((-MT_Schedules!J52))+((MT_Schedules!J44*($B23)))))*(1/(1+D$18)^2)+(((('MT_P&amp;L Schedule'!K14)*(1-(IFERROR(MT_Schedules!K106/MT_Schedules!K105,0))))+((-'MT_P&amp;L Schedule'!K13))+((-MT_Schedules!K52))+((MT_Schedules!K44*($B23)))))*(1/(1+D$18)^3)+(((('MT_P&amp;L Schedule'!L14)*(1-(IFERROR(MT_Schedules!L106/MT_Schedules!L105,0))))+((-'MT_P&amp;L Schedule'!L13))+((-MT_Schedules!L52))+((MT_Schedules!L44*($B23)))))*(1/(1+D$18)^4)+(((('MT_P&amp;L Schedule'!M14)*(1-(IFERROR(MT_Schedules!M106/MT_Schedules!M105,0))))+((-'MT_P&amp;L Schedule'!M13))+((-MT_Schedules!M52))+((MT_Schedules!M44*($B23)))))*(1/(1+D$18)^5)+(((('MT_P&amp;L Schedule'!N14)*(1-(IFERROR(MT_Schedules!N106/MT_Schedules!N105,0))))+((-'MT_P&amp;L Schedule'!N13))+((-MT_Schedules!N52))+((MT_Schedules!N44*($B23)))))*(1/(1+D$18)^6)+(((('MT_P&amp;L Schedule'!O14)*(1-(IFERROR(MT_Schedules!O106/MT_Schedules!O105,0))))+((-'MT_P&amp;L Schedule'!O13))+((-MT_Schedules!O52))+((MT_Schedules!O44*($B23)))))*(1/(1+D$18)^7)+(((('MT_P&amp;L Schedule'!P14)*(1-(IFERROR(MT_Schedules!P106/MT_Schedules!P105,0))))+((-'MT_P&amp;L Schedule'!P13))+((-MT_Schedules!P52))+((MT_Schedules!P44*($B23)))))*(1/(1+D$18)^8)+(((('MT_P&amp;L Schedule'!Q14)*(1-(IFERROR(MT_Schedules!Q106/MT_Schedules!Q105,0))))+((-'MT_P&amp;L Schedule'!Q13))+((-MT_Schedules!Q52))+((MT_Schedules!Q44*($B23)))))*(1/(1+D$18)^9)+(((('MT_P&amp;L Schedule'!R14)*(1-(IFERROR(MT_Schedules!R106/MT_Schedules!R105,0))))+((-'MT_P&amp;L Schedule'!R13))+((-MT_Schedules!R52))+((MT_Schedules!R44*($B23)))))*(1/(1+D$18)^10))+((((('MT_P&amp;L Schedule'!R14)*(1+((IF('MT_Inputs &amp; Assumptions'!$C$11="",'MT_Inputs &amp; Assumptions'!$C$10,'MT_Inputs &amp; Assumptions'!$C$11))))*(1-('MT_Inputs &amp; Assumptions'!$C$71)))*(1-((((IF('MT_Inputs &amp; Assumptions'!$C$11="",'MT_Inputs &amp; Assumptions'!$C$10,'MT_Inputs &amp; Assumptions'!$C$11)))/(D$18))))/((D$18)-((IF('MT_Inputs &amp; Assumptions'!$C$11="",'MT_Inputs &amp; Assumptions'!$C$10,'MT_Inputs &amp; Assumptions'!$C$11))))))*(1/(1+D$18)^10))))-(MT_Schedules!$H$92)+(IFERROR(INDEX(MT_HS_CONSOLIDATED!I:I,MATCH("CashAndCashEquivalents",MT_HS_CONSOLIDATED!$C:$C,0)),0)))/'MT_WACC Schedule'!$C7</f>
        <v/>
      </c>
      <c r="E23" s="130">
        <f>(((((((('MT_P&amp;L Schedule'!I14)*(1-(IFERROR(MT_Schedules!I106/MT_Schedules!I105,0))))+((-'MT_P&amp;L Schedule'!I13))+((-MT_Schedules!I52))+((MT_Schedules!I44*($B23)))))*(1/(1+E$18)^1)+(((('MT_P&amp;L Schedule'!J14)*(1-(IFERROR(MT_Schedules!J106/MT_Schedules!J105,0))))+((-'MT_P&amp;L Schedule'!J13))+((-MT_Schedules!J52))+((MT_Schedules!J44*($B23)))))*(1/(1+E$18)^2)+(((('MT_P&amp;L Schedule'!K14)*(1-(IFERROR(MT_Schedules!K106/MT_Schedules!K105,0))))+((-'MT_P&amp;L Schedule'!K13))+((-MT_Schedules!K52))+((MT_Schedules!K44*($B23)))))*(1/(1+E$18)^3)+(((('MT_P&amp;L Schedule'!L14)*(1-(IFERROR(MT_Schedules!L106/MT_Schedules!L105,0))))+((-'MT_P&amp;L Schedule'!L13))+((-MT_Schedules!L52))+((MT_Schedules!L44*($B23)))))*(1/(1+E$18)^4)+(((('MT_P&amp;L Schedule'!M14)*(1-(IFERROR(MT_Schedules!M106/MT_Schedules!M105,0))))+((-'MT_P&amp;L Schedule'!M13))+((-MT_Schedules!M52))+((MT_Schedules!M44*($B23)))))*(1/(1+E$18)^5)+(((('MT_P&amp;L Schedule'!N14)*(1-(IFERROR(MT_Schedules!N106/MT_Schedules!N105,0))))+((-'MT_P&amp;L Schedule'!N13))+((-MT_Schedules!N52))+((MT_Schedules!N44*($B23)))))*(1/(1+E$18)^6)+(((('MT_P&amp;L Schedule'!O14)*(1-(IFERROR(MT_Schedules!O106/MT_Schedules!O105,0))))+((-'MT_P&amp;L Schedule'!O13))+((-MT_Schedules!O52))+((MT_Schedules!O44*($B23)))))*(1/(1+E$18)^7)+(((('MT_P&amp;L Schedule'!P14)*(1-(IFERROR(MT_Schedules!P106/MT_Schedules!P105,0))))+((-'MT_P&amp;L Schedule'!P13))+((-MT_Schedules!P52))+((MT_Schedules!P44*($B23)))))*(1/(1+E$18)^8)+(((('MT_P&amp;L Schedule'!Q14)*(1-(IFERROR(MT_Schedules!Q106/MT_Schedules!Q105,0))))+((-'MT_P&amp;L Schedule'!Q13))+((-MT_Schedules!Q52))+((MT_Schedules!Q44*($B23)))))*(1/(1+E$18)^9)+(((('MT_P&amp;L Schedule'!R14)*(1-(IFERROR(MT_Schedules!R106/MT_Schedules!R105,0))))+((-'MT_P&amp;L Schedule'!R13))+((-MT_Schedules!R52))+((MT_Schedules!R44*($B23)))))*(1/(1+E$18)^10))+((((('MT_P&amp;L Schedule'!R14)*(1+((IF('MT_Inputs &amp; Assumptions'!$C$11="",'MT_Inputs &amp; Assumptions'!$C$10,'MT_Inputs &amp; Assumptions'!$C$11))))*(1-('MT_Inputs &amp; Assumptions'!$C$71)))*(1-((((IF('MT_Inputs &amp; Assumptions'!$C$11="",'MT_Inputs &amp; Assumptions'!$C$10,'MT_Inputs &amp; Assumptions'!$C$11)))/(E$18))))/((E$18)-((IF('MT_Inputs &amp; Assumptions'!$C$11="",'MT_Inputs &amp; Assumptions'!$C$10,'MT_Inputs &amp; Assumptions'!$C$11))))))*(1/(1+E$18)^10))))-(MT_Schedules!$H$92)+(IFERROR(INDEX(MT_HS_CONSOLIDATED!I:I,MATCH("CashAndCashEquivalents",MT_HS_CONSOLIDATED!$C:$C,0)),0)))/'MT_WACC Schedule'!$C7</f>
        <v/>
      </c>
      <c r="F23" s="130">
        <f>(((((((('MT_P&amp;L Schedule'!I14)*(1-(IFERROR(MT_Schedules!I106/MT_Schedules!I105,0))))+((-'MT_P&amp;L Schedule'!I13))+((-MT_Schedules!I52))+((MT_Schedules!I44*($B23)))))*(1/(1+F$18)^1)+(((('MT_P&amp;L Schedule'!J14)*(1-(IFERROR(MT_Schedules!J106/MT_Schedules!J105,0))))+((-'MT_P&amp;L Schedule'!J13))+((-MT_Schedules!J52))+((MT_Schedules!J44*($B23)))))*(1/(1+F$18)^2)+(((('MT_P&amp;L Schedule'!K14)*(1-(IFERROR(MT_Schedules!K106/MT_Schedules!K105,0))))+((-'MT_P&amp;L Schedule'!K13))+((-MT_Schedules!K52))+((MT_Schedules!K44*($B23)))))*(1/(1+F$18)^3)+(((('MT_P&amp;L Schedule'!L14)*(1-(IFERROR(MT_Schedules!L106/MT_Schedules!L105,0))))+((-'MT_P&amp;L Schedule'!L13))+((-MT_Schedules!L52))+((MT_Schedules!L44*($B23)))))*(1/(1+F$18)^4)+(((('MT_P&amp;L Schedule'!M14)*(1-(IFERROR(MT_Schedules!M106/MT_Schedules!M105,0))))+((-'MT_P&amp;L Schedule'!M13))+((-MT_Schedules!M52))+((MT_Schedules!M44*($B23)))))*(1/(1+F$18)^5)+(((('MT_P&amp;L Schedule'!N14)*(1-(IFERROR(MT_Schedules!N106/MT_Schedules!N105,0))))+((-'MT_P&amp;L Schedule'!N13))+((-MT_Schedules!N52))+((MT_Schedules!N44*($B23)))))*(1/(1+F$18)^6)+(((('MT_P&amp;L Schedule'!O14)*(1-(IFERROR(MT_Schedules!O106/MT_Schedules!O105,0))))+((-'MT_P&amp;L Schedule'!O13))+((-MT_Schedules!O52))+((MT_Schedules!O44*($B23)))))*(1/(1+F$18)^7)+(((('MT_P&amp;L Schedule'!P14)*(1-(IFERROR(MT_Schedules!P106/MT_Schedules!P105,0))))+((-'MT_P&amp;L Schedule'!P13))+((-MT_Schedules!P52))+((MT_Schedules!P44*($B23)))))*(1/(1+F$18)^8)+(((('MT_P&amp;L Schedule'!Q14)*(1-(IFERROR(MT_Schedules!Q106/MT_Schedules!Q105,0))))+((-'MT_P&amp;L Schedule'!Q13))+((-MT_Schedules!Q52))+((MT_Schedules!Q44*($B23)))))*(1/(1+F$18)^9)+(((('MT_P&amp;L Schedule'!R14)*(1-(IFERROR(MT_Schedules!R106/MT_Schedules!R105,0))))+((-'MT_P&amp;L Schedule'!R13))+((-MT_Schedules!R52))+((MT_Schedules!R44*($B23)))))*(1/(1+F$18)^10))+((((('MT_P&amp;L Schedule'!R14)*(1+((IF('MT_Inputs &amp; Assumptions'!$C$11="",'MT_Inputs &amp; Assumptions'!$C$10,'MT_Inputs &amp; Assumptions'!$C$11))))*(1-('MT_Inputs &amp; Assumptions'!$C$71)))*(1-((((IF('MT_Inputs &amp; Assumptions'!$C$11="",'MT_Inputs &amp; Assumptions'!$C$10,'MT_Inputs &amp; Assumptions'!$C$11)))/(F$18))))/((F$18)-((IF('MT_Inputs &amp; Assumptions'!$C$11="",'MT_Inputs &amp; Assumptions'!$C$10,'MT_Inputs &amp; Assumptions'!$C$11))))))*(1/(1+F$18)^10))))-(MT_Schedules!$H$92)+(IFERROR(INDEX(MT_HS_CONSOLIDATED!I:I,MATCH("CashAndCashEquivalents",MT_HS_CONSOLIDATED!$C:$C,0)),0)))/'MT_WACC Schedule'!$C7</f>
        <v/>
      </c>
      <c r="G23" s="130">
        <f>(((((((('MT_P&amp;L Schedule'!I14)*(1-(IFERROR(MT_Schedules!I106/MT_Schedules!I105,0))))+((-'MT_P&amp;L Schedule'!I13))+((-MT_Schedules!I52))+((MT_Schedules!I44*($B23)))))*(1/(1+G$18)^1)+(((('MT_P&amp;L Schedule'!J14)*(1-(IFERROR(MT_Schedules!J106/MT_Schedules!J105,0))))+((-'MT_P&amp;L Schedule'!J13))+((-MT_Schedules!J52))+((MT_Schedules!J44*($B23)))))*(1/(1+G$18)^2)+(((('MT_P&amp;L Schedule'!K14)*(1-(IFERROR(MT_Schedules!K106/MT_Schedules!K105,0))))+((-'MT_P&amp;L Schedule'!K13))+((-MT_Schedules!K52))+((MT_Schedules!K44*($B23)))))*(1/(1+G$18)^3)+(((('MT_P&amp;L Schedule'!L14)*(1-(IFERROR(MT_Schedules!L106/MT_Schedules!L105,0))))+((-'MT_P&amp;L Schedule'!L13))+((-MT_Schedules!L52))+((MT_Schedules!L44*($B23)))))*(1/(1+G$18)^4)+(((('MT_P&amp;L Schedule'!M14)*(1-(IFERROR(MT_Schedules!M106/MT_Schedules!M105,0))))+((-'MT_P&amp;L Schedule'!M13))+((-MT_Schedules!M52))+((MT_Schedules!M44*($B23)))))*(1/(1+G$18)^5)+(((('MT_P&amp;L Schedule'!N14)*(1-(IFERROR(MT_Schedules!N106/MT_Schedules!N105,0))))+((-'MT_P&amp;L Schedule'!N13))+((-MT_Schedules!N52))+((MT_Schedules!N44*($B23)))))*(1/(1+G$18)^6)+(((('MT_P&amp;L Schedule'!O14)*(1-(IFERROR(MT_Schedules!O106/MT_Schedules!O105,0))))+((-'MT_P&amp;L Schedule'!O13))+((-MT_Schedules!O52))+((MT_Schedules!O44*($B23)))))*(1/(1+G$18)^7)+(((('MT_P&amp;L Schedule'!P14)*(1-(IFERROR(MT_Schedules!P106/MT_Schedules!P105,0))))+((-'MT_P&amp;L Schedule'!P13))+((-MT_Schedules!P52))+((MT_Schedules!P44*($B23)))))*(1/(1+G$18)^8)+(((('MT_P&amp;L Schedule'!Q14)*(1-(IFERROR(MT_Schedules!Q106/MT_Schedules!Q105,0))))+((-'MT_P&amp;L Schedule'!Q13))+((-MT_Schedules!Q52))+((MT_Schedules!Q44*($B23)))))*(1/(1+G$18)^9)+(((('MT_P&amp;L Schedule'!R14)*(1-(IFERROR(MT_Schedules!R106/MT_Schedules!R105,0))))+((-'MT_P&amp;L Schedule'!R13))+((-MT_Schedules!R52))+((MT_Schedules!R44*($B23)))))*(1/(1+G$18)^10))+((((('MT_P&amp;L Schedule'!R14)*(1+((IF('MT_Inputs &amp; Assumptions'!$C$11="",'MT_Inputs &amp; Assumptions'!$C$10,'MT_Inputs &amp; Assumptions'!$C$11))))*(1-('MT_Inputs &amp; Assumptions'!$C$71)))*(1-((((IF('MT_Inputs &amp; Assumptions'!$C$11="",'MT_Inputs &amp; Assumptions'!$C$10,'MT_Inputs &amp; Assumptions'!$C$11)))/(G$18))))/((G$18)-((IF('MT_Inputs &amp; Assumptions'!$C$11="",'MT_Inputs &amp; Assumptions'!$C$10,'MT_Inputs &amp; Assumptions'!$C$11))))))*(1/(1+G$18)^10))))-(MT_Schedules!$H$92)+(IFERROR(INDEX(MT_HS_CONSOLIDATED!I:I,MATCH("CashAndCashEquivalents",MT_HS_CONSOLIDATED!$C:$C,0)),0)))/'MT_WACC Schedule'!$C7</f>
        <v/>
      </c>
    </row>
    <row r="26" ht="17" customHeight="1" s="203">
      <c r="A26" t="inlineStr">
        <is>
          <t>#</t>
        </is>
      </c>
      <c r="B26" s="117" t="inlineStr">
        <is>
          <t>Table 3: Growth Fade Half-Life, years (rows) x WACC (cols) -&gt; Implied Value/Share</t>
        </is>
      </c>
    </row>
    <row r="27">
      <c r="B27" s="211" t="inlineStr">
        <is>
          <t>Overrides the Half-Life INPUT cell in Inputs &amp; Assumptions for this table only -- illustrative, does not change the live model.</t>
        </is>
      </c>
    </row>
    <row r="29">
      <c r="B29" s="128" t="inlineStr">
        <is>
          <t>WACC -&gt;</t>
        </is>
      </c>
    </row>
    <row r="30">
      <c r="B30" s="128" t="inlineStr">
        <is>
          <t>Half-Life (years)</t>
        </is>
      </c>
      <c r="C30" s="129">
        <f>'MT_WACC Schedule'!$C39+(-0.02)</f>
        <v/>
      </c>
      <c r="D30" s="129">
        <f>'MT_WACC Schedule'!$C39+(-0.01)</f>
        <v/>
      </c>
      <c r="E30" s="129">
        <f>'MT_WACC Schedule'!$C39+(0)</f>
        <v/>
      </c>
      <c r="F30" s="129">
        <f>'MT_WACC Schedule'!$C39+(0.01)</f>
        <v/>
      </c>
      <c r="G30" s="129">
        <f>'MT_WACC Schedule'!$C39+(0.02)</f>
        <v/>
      </c>
    </row>
    <row r="31">
      <c r="B31" s="131" t="inlineStr">
        <is>
          <t>Note: this table is illustrative only -- the model's revenue/PP&amp;E fade curves already depend on the live Half-Life driver cell, so a true re-run per half-life value requires changing that cell directly (Data Table limitation of independent-formula sensitivity tables).</t>
        </is>
      </c>
    </row>
  </sheetData>
  <pageMargins left="0.75" right="0.75" top="1" bottom="1" header="0.5" footer="0.5"/>
</worksheet>
</file>

<file path=xl/worksheets/sheet46.xml><?xml version="1.0" encoding="utf-8"?>
<worksheet xmlns="http://schemas.openxmlformats.org/spreadsheetml/2006/main">
  <sheetPr>
    <tabColor rgb="00B45F06"/>
    <outlinePr summaryBelow="1" summaryRight="1"/>
    <pageSetUpPr/>
  </sheetPr>
  <dimension ref="A1:D49"/>
  <sheetViews>
    <sheetView showGridLines="0" workbookViewId="0">
      <selection activeCell="A1" sqref="A1"/>
    </sheetView>
  </sheetViews>
  <sheetFormatPr baseColWidth="8" defaultRowHeight="14.5"/>
  <cols>
    <col width="3.453125" customWidth="1" style="203" min="1" max="1"/>
    <col width="58" customWidth="1" style="203" min="2" max="2"/>
    <col width="16" customWidth="1" style="203" min="3" max="3"/>
    <col width="70" customWidth="1" style="203" min="4" max="4"/>
    <col width="17" customWidth="1" style="203" min="5" max="19"/>
  </cols>
  <sheetData>
    <row r="1" ht="21" customHeight="1" s="203">
      <c r="A1" t="inlineStr">
        <is>
          <t>#</t>
        </is>
      </c>
      <c r="B1" s="99" t="inlineStr">
        <is>
          <t>Growth Rate Methods -- Cross-Check Panel</t>
        </is>
      </c>
    </row>
    <row r="2" ht="28" customHeight="1" s="203">
      <c r="B2" s="132" t="inlineStr">
        <is>
          <t>Each method below is one independent estimate of long-run growth. Review them side by side, then type your final judgment call into the Selected Growth Rate cell at the bottom -- and carry that number into the Revenue Schedule's own Terminal Growth Rate INPUT cell yourself. Nothing on this sheet feeds the model automatically.</t>
        </is>
      </c>
    </row>
    <row r="4">
      <c r="A4" s="100" t="inlineStr">
        <is>
          <t>#</t>
        </is>
      </c>
      <c r="B4" s="100" t="inlineStr">
        <is>
          <t>Method</t>
        </is>
      </c>
      <c r="C4" s="100" t="inlineStr">
        <is>
          <t>Value</t>
        </is>
      </c>
      <c r="D4" s="100" t="inlineStr">
        <is>
          <t>Notes / Source</t>
        </is>
      </c>
    </row>
    <row r="6" ht="24" customHeight="1" s="203">
      <c r="B6" s="20" t="inlineStr">
        <is>
          <t>1. Historical Regression (this model's own Suggested driver)</t>
        </is>
      </c>
      <c r="C6" s="122">
        <f>'MT_Inputs &amp; Assumptions'!C10</f>
        <v/>
      </c>
      <c r="D6" s="132" t="inlineStr">
        <is>
          <t>Backward-looking IQR-filtered historical revenue growth trend. No story behind the number -- a short or distorted history (e.g. a window spanning a demand shock) drags this straight down with it.</t>
        </is>
      </c>
    </row>
    <row r="8">
      <c r="B8" s="20" t="inlineStr">
        <is>
          <t>2. Fundamental Growth (g = Reinvestment Rate x ROIC)</t>
        </is>
      </c>
    </row>
    <row r="9">
      <c r="B9" s="119" t="inlineStr">
        <is>
          <t>Average Historical ROIC (from DCF sheet's Implied ROIC Check)</t>
        </is>
      </c>
      <c r="C9" s="133">
        <f>MT_DCF!C44</f>
        <v/>
      </c>
    </row>
    <row r="10">
      <c r="B10" s="119" t="inlineStr">
        <is>
          <t>Average Historical Reinvestment Rate (last 3yr)</t>
        </is>
      </c>
      <c r="C10" s="133">
        <f>AVERAGE(IFERROR(((MT_Schedules!F52)-((-'MT_P&amp;L Schedule'!F13))-(MT_Schedules!F44))/(MT_DCF!F40),""),IFERROR(((MT_Schedules!G52)-((-'MT_P&amp;L Schedule'!G13))-(MT_Schedules!G44))/(MT_DCF!G40),""),IFERROR(((MT_Schedules!H52)-((-'MT_P&amp;L Schedule'!H13))-(MT_Schedules!H44))/(MT_DCF!H40),""))</f>
        <v/>
      </c>
    </row>
    <row r="11" ht="48" customHeight="1" s="203">
      <c r="B11" s="20" t="inlineStr">
        <is>
          <t>-&gt; Fundamental Growth Rate</t>
        </is>
      </c>
      <c r="C11" s="134">
        <f>C9*C10</f>
        <v/>
      </c>
      <c r="D11" s="132" t="inlineStr">
        <is>
          <t>Damodaran's preferred method -- ties growth directly to how much capital is being reinvested and how productively it's being deployed, rather than extrapolating a trend line. Reinvestment Rate = (Capex - D&amp;A - Cash from WC) / NOPAT, averaged over the same window as the model's other historical averages.</t>
        </is>
      </c>
    </row>
    <row r="13">
      <c r="B13" s="20" t="inlineStr">
        <is>
          <t>3. Analyst Consensus / Sell-Side Estimates</t>
        </is>
      </c>
    </row>
    <row r="14" ht="24" customHeight="1" s="203">
      <c r="B14" s="105" t="inlineStr">
        <is>
          <t>INPUT: consensus FY+1 growth estimate as of the valuation date</t>
        </is>
      </c>
      <c r="D14" s="132" t="inlineStr">
        <is>
          <t>Source sell-side analyst estimates published around the valuation/announcement date -- this is literally 'what was knowable when the deal was priced.'</t>
        </is>
      </c>
    </row>
    <row r="16">
      <c r="B16" s="20" t="inlineStr">
        <is>
          <t>4. Industry / Peer Growth Anchor</t>
        </is>
      </c>
    </row>
    <row r="17" ht="24" customHeight="1" s="203">
      <c r="B17" s="105" t="inlineStr">
        <is>
          <t>INPUT: industry-body or peer-average growth figure</t>
        </is>
      </c>
      <c r="D17" s="132" t="inlineStr">
        <is>
          <t>Source an industry association (e.g. NASSCOM) or a peer-average growth rate for the same period, as an external sanity check against the company's own trend.</t>
        </is>
      </c>
    </row>
    <row r="19">
      <c r="B19" s="20" t="inlineStr">
        <is>
          <t>5. Bottom-Up, Segment-by-Segment</t>
        </is>
      </c>
    </row>
    <row r="20" ht="36" customHeight="1" s="203">
      <c r="B20" s="105" t="inlineStr">
        <is>
          <t>INPUT: your own segment-weighted roll-up growth rate</t>
        </is>
      </c>
      <c r="D20" s="132" t="inlineStr">
        <is>
          <t>Build each reporting segment's own growth trajectory separately (e.g. by vertical or geography) and roll them up, weighted by segment revenue share. More granular and more defensible, but not automatable -- segment structures differ too much company to company to generalize into a formula.</t>
        </is>
      </c>
    </row>
    <row r="22">
      <c r="B22" s="20" t="inlineStr">
        <is>
          <t>6. Backlog / Contracted-Revenue-Based</t>
        </is>
      </c>
    </row>
    <row r="23" ht="48" customHeight="1" s="203">
      <c r="B23" s="105" t="inlineStr">
        <is>
          <t>INPUT: unsatisfied performance obligations (backlog), latest FY</t>
        </is>
      </c>
      <c r="D23" s="132" t="inlineStr">
        <is>
          <t>From the notes to accounts -- Ind AS 115 'unsatisfied/remaining performance obligations' disclosure. The underlying XBRL concept (TransactionPriceAllocatedToRemainingPerformanceObligations) is real and generic, but this pipeline's extraction tag list doesn't pull it yet, so it's entered by hand here rather than faked as a live lookup.</t>
        </is>
      </c>
    </row>
    <row r="24">
      <c r="B24" s="105" t="inlineStr">
        <is>
          <t>INPUT: % of backlog expected to convert within 1 year</t>
        </is>
      </c>
      <c r="D24" s="132" t="inlineStr">
        <is>
          <t>This split is almost always narrative disclosure, not a clean numeric tag -- read it off the same note.</t>
        </is>
      </c>
    </row>
    <row r="25">
      <c r="B25" s="20" t="inlineStr">
        <is>
          <t>-&gt; Implied Next-FY Revenue Floor (backlog x %)</t>
        </is>
      </c>
      <c r="C25" s="107">
        <f>IF(C23="","",C23*C24)</f>
        <v/>
      </c>
    </row>
    <row r="26" ht="48" customHeight="1" s="203">
      <c r="B26" s="20" t="inlineStr">
        <is>
          <t>-&gt; Implied Floor Growth (vs. latest FY actual total revenue)</t>
        </is>
      </c>
      <c r="C26" s="134">
        <f>IF(C25="","",IFERROR(C25/(MT_Schedules!H7)-1,""))</f>
        <v/>
      </c>
      <c r="D26" s="132" t="inlineStr">
        <is>
          <t>A floor, not a clean growth output -- the backlog figure only proves how much of next year's revenue is already contractually locked in, it says nothing about the revenue on top of that. Strong directional evidence when the floor growth is already double-digit, but do not treat it as the terminal growth rate itself.</t>
        </is>
      </c>
    </row>
    <row r="28">
      <c r="B28" s="20" t="inlineStr">
        <is>
          <t>7. Market-Implied Growth Rate (Reverse-DCF)</t>
        </is>
      </c>
    </row>
    <row r="29" ht="28" customHeight="1" s="203">
      <c r="B29" s="132" t="inlineStr">
        <is>
          <t>Back-solves: holding WACC and margins fixed, what growth rate makes Implied Value/Share equal the actual market price? Read the row below where Implied Value/Share crosses the market price shown at the top of the grid.</t>
        </is>
      </c>
    </row>
    <row r="30">
      <c r="B30" s="20" t="inlineStr">
        <is>
          <t>Actual Market Price (for reference)</t>
        </is>
      </c>
      <c r="C30" s="135">
        <f>'MT_WACC Schedule'!$C6</f>
        <v/>
      </c>
    </row>
    <row r="32">
      <c r="B32" s="100" t="inlineStr">
        <is>
          <t>Candidate Terminal Growth Rate</t>
        </is>
      </c>
      <c r="C32" s="100" t="inlineStr">
        <is>
          <t>Implied Value/Share</t>
        </is>
      </c>
      <c r="D32" s="100" t="inlineStr">
        <is>
          <t>Diff vs. Market Price</t>
        </is>
      </c>
    </row>
    <row r="33">
      <c r="B33" s="111">
        <f>'MT_WACC Schedule'!$C39-(15*0.01)</f>
        <v/>
      </c>
      <c r="C33"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Schedule'!R14)*(1+($B33))*(1-('MT_Inputs &amp; Assumptions'!$C$71)))*(1-((($B33)/('MT_WACC Schedule'!$C39))))/(('MT_WACC Schedule'!$C39)-($B33))))*(1/(1+'MT_WACC Schedule'!$C39)^10))))-(MT_Schedules!$H$92)+(IFERROR(INDEX(MT_HS_CONSOLIDATED!I:I,MATCH("CashAndCashEquivalents",MT_HS_CONSOLIDATED!$C:$C,0)),0)))/'MT_WACC Schedule'!$C7</f>
        <v/>
      </c>
      <c r="D33" s="136">
        <f>IFERROR(C33-C30,"")</f>
        <v/>
      </c>
    </row>
    <row r="34">
      <c r="B34" s="111">
        <f>'MT_WACC Schedule'!$C39-(14*0.01)</f>
        <v/>
      </c>
      <c r="C34"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Schedule'!R14)*(1+($B34))*(1-('MT_Inputs &amp; Assumptions'!$C$71)))*(1-((($B34)/('MT_WACC Schedule'!$C39))))/(('MT_WACC Schedule'!$C39)-($B34))))*(1/(1+'MT_WACC Schedule'!$C39)^10))))-(MT_Schedules!$H$92)+(IFERROR(INDEX(MT_HS_CONSOLIDATED!I:I,MATCH("CashAndCashEquivalents",MT_HS_CONSOLIDATED!$C:$C,0)),0)))/'MT_WACC Schedule'!$C7</f>
        <v/>
      </c>
      <c r="D34" s="136">
        <f>IFERROR(C34-C30,"")</f>
        <v/>
      </c>
    </row>
    <row r="35">
      <c r="B35" s="111">
        <f>'MT_WACC Schedule'!$C39-(13*0.01)</f>
        <v/>
      </c>
      <c r="C35"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Schedule'!R14)*(1+($B35))*(1-('MT_Inputs &amp; Assumptions'!$C$71)))*(1-((($B35)/('MT_WACC Schedule'!$C39))))/(('MT_WACC Schedule'!$C39)-($B35))))*(1/(1+'MT_WACC Schedule'!$C39)^10))))-(MT_Schedules!$H$92)+(IFERROR(INDEX(MT_HS_CONSOLIDATED!I:I,MATCH("CashAndCashEquivalents",MT_HS_CONSOLIDATED!$C:$C,0)),0)))/'MT_WACC Schedule'!$C7</f>
        <v/>
      </c>
      <c r="D35" s="136">
        <f>IFERROR(C35-C30,"")</f>
        <v/>
      </c>
    </row>
    <row r="36">
      <c r="B36" s="111">
        <f>'MT_WACC Schedule'!$C39-(12*0.01)</f>
        <v/>
      </c>
      <c r="C36"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Schedule'!R14)*(1+($B36))*(1-('MT_Inputs &amp; Assumptions'!$C$71)))*(1-((($B36)/('MT_WACC Schedule'!$C39))))/(('MT_WACC Schedule'!$C39)-($B36))))*(1/(1+'MT_WACC Schedule'!$C39)^10))))-(MT_Schedules!$H$92)+(IFERROR(INDEX(MT_HS_CONSOLIDATED!I:I,MATCH("CashAndCashEquivalents",MT_HS_CONSOLIDATED!$C:$C,0)),0)))/'MT_WACC Schedule'!$C7</f>
        <v/>
      </c>
      <c r="D36" s="136">
        <f>IFERROR(C36-C30,"")</f>
        <v/>
      </c>
    </row>
    <row r="37">
      <c r="B37" s="111">
        <f>'MT_WACC Schedule'!$C39-(11*0.01)</f>
        <v/>
      </c>
      <c r="C37"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Schedule'!R14)*(1+($B37))*(1-('MT_Inputs &amp; Assumptions'!$C$71)))*(1-((($B37)/('MT_WACC Schedule'!$C39))))/(('MT_WACC Schedule'!$C39)-($B37))))*(1/(1+'MT_WACC Schedule'!$C39)^10))))-(MT_Schedules!$H$92)+(IFERROR(INDEX(MT_HS_CONSOLIDATED!I:I,MATCH("CashAndCashEquivalents",MT_HS_CONSOLIDATED!$C:$C,0)),0)))/'MT_WACC Schedule'!$C7</f>
        <v/>
      </c>
      <c r="D37" s="136">
        <f>IFERROR(C37-C30,"")</f>
        <v/>
      </c>
    </row>
    <row r="38">
      <c r="B38" s="111">
        <f>'MT_WACC Schedule'!$C39-(10*0.01)</f>
        <v/>
      </c>
      <c r="C38"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Schedule'!R14)*(1+($B38))*(1-('MT_Inputs &amp; Assumptions'!$C$71)))*(1-((($B38)/('MT_WACC Schedule'!$C39))))/(('MT_WACC Schedule'!$C39)-($B38))))*(1/(1+'MT_WACC Schedule'!$C39)^10))))-(MT_Schedules!$H$92)+(IFERROR(INDEX(MT_HS_CONSOLIDATED!I:I,MATCH("CashAndCashEquivalents",MT_HS_CONSOLIDATED!$C:$C,0)),0)))/'MT_WACC Schedule'!$C7</f>
        <v/>
      </c>
      <c r="D38" s="136">
        <f>IFERROR(C38-C30,"")</f>
        <v/>
      </c>
    </row>
    <row r="39">
      <c r="B39" s="111">
        <f>'MT_WACC Schedule'!$C39-(9*0.01)</f>
        <v/>
      </c>
      <c r="C39"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Schedule'!R14)*(1+($B39))*(1-('MT_Inputs &amp; Assumptions'!$C$71)))*(1-((($B39)/('MT_WACC Schedule'!$C39))))/(('MT_WACC Schedule'!$C39)-($B39))))*(1/(1+'MT_WACC Schedule'!$C39)^10))))-(MT_Schedules!$H$92)+(IFERROR(INDEX(MT_HS_CONSOLIDATED!I:I,MATCH("CashAndCashEquivalents",MT_HS_CONSOLIDATED!$C:$C,0)),0)))/'MT_WACC Schedule'!$C7</f>
        <v/>
      </c>
      <c r="D39" s="136">
        <f>IFERROR(C39-C30,"")</f>
        <v/>
      </c>
    </row>
    <row r="40">
      <c r="B40" s="111">
        <f>'MT_WACC Schedule'!$C39-(8*0.01)</f>
        <v/>
      </c>
      <c r="C40"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Schedule'!R14)*(1+($B40))*(1-('MT_Inputs &amp; Assumptions'!$C$71)))*(1-((($B40)/('MT_WACC Schedule'!$C39))))/(('MT_WACC Schedule'!$C39)-($B40))))*(1/(1+'MT_WACC Schedule'!$C39)^10))))-(MT_Schedules!$H$92)+(IFERROR(INDEX(MT_HS_CONSOLIDATED!I:I,MATCH("CashAndCashEquivalents",MT_HS_CONSOLIDATED!$C:$C,0)),0)))/'MT_WACC Schedule'!$C7</f>
        <v/>
      </c>
      <c r="D40" s="136">
        <f>IFERROR(C40-C30,"")</f>
        <v/>
      </c>
    </row>
    <row r="41">
      <c r="B41" s="111">
        <f>'MT_WACC Schedule'!$C39-(7*0.01)</f>
        <v/>
      </c>
      <c r="C41"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Schedule'!R14)*(1+($B41))*(1-('MT_Inputs &amp; Assumptions'!$C$71)))*(1-((($B41)/('MT_WACC Schedule'!$C39))))/(('MT_WACC Schedule'!$C39)-($B41))))*(1/(1+'MT_WACC Schedule'!$C39)^10))))-(MT_Schedules!$H$92)+(IFERROR(INDEX(MT_HS_CONSOLIDATED!I:I,MATCH("CashAndCashEquivalents",MT_HS_CONSOLIDATED!$C:$C,0)),0)))/'MT_WACC Schedule'!$C7</f>
        <v/>
      </c>
      <c r="D41" s="136">
        <f>IFERROR(C41-C30,"")</f>
        <v/>
      </c>
    </row>
    <row r="42">
      <c r="B42" s="111">
        <f>'MT_WACC Schedule'!$C39-(6*0.01)</f>
        <v/>
      </c>
      <c r="C42"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Schedule'!R14)*(1+($B42))*(1-('MT_Inputs &amp; Assumptions'!$C$71)))*(1-((($B42)/('MT_WACC Schedule'!$C39))))/(('MT_WACC Schedule'!$C39)-($B42))))*(1/(1+'MT_WACC Schedule'!$C39)^10))))-(MT_Schedules!$H$92)+(IFERROR(INDEX(MT_HS_CONSOLIDATED!I:I,MATCH("CashAndCashEquivalents",MT_HS_CONSOLIDATED!$C:$C,0)),0)))/'MT_WACC Schedule'!$C7</f>
        <v/>
      </c>
      <c r="D42" s="136">
        <f>IFERROR(C42-C30,"")</f>
        <v/>
      </c>
    </row>
    <row r="43">
      <c r="B43" s="111">
        <f>'MT_WACC Schedule'!$C39-(5*0.01)</f>
        <v/>
      </c>
      <c r="C43"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Schedule'!R14)*(1+($B43))*(1-('MT_Inputs &amp; Assumptions'!$C$71)))*(1-((($B43)/('MT_WACC Schedule'!$C39))))/(('MT_WACC Schedule'!$C39)-($B43))))*(1/(1+'MT_WACC Schedule'!$C39)^10))))-(MT_Schedules!$H$92)+(IFERROR(INDEX(MT_HS_CONSOLIDATED!I:I,MATCH("CashAndCashEquivalents",MT_HS_CONSOLIDATED!$C:$C,0)),0)))/'MT_WACC Schedule'!$C7</f>
        <v/>
      </c>
      <c r="D43" s="136">
        <f>IFERROR(C43-C30,"")</f>
        <v/>
      </c>
    </row>
    <row r="44">
      <c r="B44" s="111">
        <f>'MT_WACC Schedule'!$C39-(4*0.01)</f>
        <v/>
      </c>
      <c r="C44"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Schedule'!R14)*(1+($B44))*(1-('MT_Inputs &amp; Assumptions'!$C$71)))*(1-((($B44)/('MT_WACC Schedule'!$C39))))/(('MT_WACC Schedule'!$C39)-($B44))))*(1/(1+'MT_WACC Schedule'!$C39)^10))))-(MT_Schedules!$H$92)+(IFERROR(INDEX(MT_HS_CONSOLIDATED!I:I,MATCH("CashAndCashEquivalents",MT_HS_CONSOLIDATED!$C:$C,0)),0)))/'MT_WACC Schedule'!$C7</f>
        <v/>
      </c>
      <c r="D44" s="136">
        <f>IFERROR(C44-C30,"")</f>
        <v/>
      </c>
    </row>
    <row r="45">
      <c r="B45" s="111">
        <f>'MT_WACC Schedule'!$C39-(3*0.01)</f>
        <v/>
      </c>
      <c r="C45"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Schedule'!R14)*(1+($B45))*(1-('MT_Inputs &amp; Assumptions'!$C$71)))*(1-((($B45)/('MT_WACC Schedule'!$C39))))/(('MT_WACC Schedule'!$C39)-($B45))))*(1/(1+'MT_WACC Schedule'!$C39)^10))))-(MT_Schedules!$H$92)+(IFERROR(INDEX(MT_HS_CONSOLIDATED!I:I,MATCH("CashAndCashEquivalents",MT_HS_CONSOLIDATED!$C:$C,0)),0)))/'MT_WACC Schedule'!$C7</f>
        <v/>
      </c>
      <c r="D45" s="136">
        <f>IFERROR(C45-C30,"")</f>
        <v/>
      </c>
    </row>
    <row r="46">
      <c r="B46" s="111">
        <f>'MT_WACC Schedule'!$C39-(2*0.01)</f>
        <v/>
      </c>
      <c r="C46"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Schedule'!R14)*(1+($B46))*(1-('MT_Inputs &amp; Assumptions'!$C$71)))*(1-((($B46)/('MT_WACC Schedule'!$C39))))/(('MT_WACC Schedule'!$C39)-($B46))))*(1/(1+'MT_WACC Schedule'!$C39)^10))))-(MT_Schedules!$H$92)+(IFERROR(INDEX(MT_HS_CONSOLIDATED!I:I,MATCH("CashAndCashEquivalents",MT_HS_CONSOLIDATED!$C:$C,0)),0)))/'MT_WACC Schedule'!$C7</f>
        <v/>
      </c>
      <c r="D46" s="136">
        <f>IFERROR(C46-C30,"")</f>
        <v/>
      </c>
    </row>
    <row r="47">
      <c r="B47" s="111">
        <f>'MT_WACC Schedule'!$C39-(1*0.01)</f>
        <v/>
      </c>
      <c r="C47" s="130">
        <f>(((((((('MT_P&amp;L Schedule'!I14)*(1-(IFERROR(MT_Schedules!I106/MT_Schedules!I105,0))))+((-'MT_P&amp;L Schedule'!I13))+((-MT_Schedules!I52))+((MT_Schedules!I44*(1)))))*(1/(1+'MT_WACC Schedule'!$C39)^1)+(((('MT_P&amp;L Schedule'!J14)*(1-(IFERROR(MT_Schedules!J106/MT_Schedules!J105,0))))+((-'MT_P&amp;L Schedule'!J13))+((-MT_Schedules!J52))+((MT_Schedules!J44*(1)))))*(1/(1+'MT_WACC Schedule'!$C39)^2)+(((('MT_P&amp;L Schedule'!K14)*(1-(IFERROR(MT_Schedules!K106/MT_Schedules!K105,0))))+((-'MT_P&amp;L Schedule'!K13))+((-MT_Schedules!K52))+((MT_Schedules!K44*(1)))))*(1/(1+'MT_WACC Schedule'!$C39)^3)+(((('MT_P&amp;L Schedule'!L14)*(1-(IFERROR(MT_Schedules!L106/MT_Schedules!L105,0))))+((-'MT_P&amp;L Schedule'!L13))+((-MT_Schedules!L52))+((MT_Schedules!L44*(1)))))*(1/(1+'MT_WACC Schedule'!$C39)^4)+(((('MT_P&amp;L Schedule'!M14)*(1-(IFERROR(MT_Schedules!M106/MT_Schedules!M105,0))))+((-'MT_P&amp;L Schedule'!M13))+((-MT_Schedules!M52))+((MT_Schedules!M44*(1)))))*(1/(1+'MT_WACC Schedule'!$C39)^5)+(((('MT_P&amp;L Schedule'!N14)*(1-(IFERROR(MT_Schedules!N106/MT_Schedules!N105,0))))+((-'MT_P&amp;L Schedule'!N13))+((-MT_Schedules!N52))+((MT_Schedules!N44*(1)))))*(1/(1+'MT_WACC Schedule'!$C39)^6)+(((('MT_P&amp;L Schedule'!O14)*(1-(IFERROR(MT_Schedules!O106/MT_Schedules!O105,0))))+((-'MT_P&amp;L Schedule'!O13))+((-MT_Schedules!O52))+((MT_Schedules!O44*(1)))))*(1/(1+'MT_WACC Schedule'!$C39)^7)+(((('MT_P&amp;L Schedule'!P14)*(1-(IFERROR(MT_Schedules!P106/MT_Schedules!P105,0))))+((-'MT_P&amp;L Schedule'!P13))+((-MT_Schedules!P52))+((MT_Schedules!P44*(1)))))*(1/(1+'MT_WACC Schedule'!$C39)^8)+(((('MT_P&amp;L Schedule'!Q14)*(1-(IFERROR(MT_Schedules!Q106/MT_Schedules!Q105,0))))+((-'MT_P&amp;L Schedule'!Q13))+((-MT_Schedules!Q52))+((MT_Schedules!Q44*(1)))))*(1/(1+'MT_WACC Schedule'!$C39)^9)+(((('MT_P&amp;L Schedule'!R14)*(1-(IFERROR(MT_Schedules!R106/MT_Schedules!R105,0))))+((-'MT_P&amp;L Schedule'!R13))+((-MT_Schedules!R52))+((MT_Schedules!R44*(1)))))*(1/(1+'MT_WACC Schedule'!$C39)^10))+((((('MT_P&amp;L Schedule'!R14)*(1+($B47))*(1-('MT_Inputs &amp; Assumptions'!$C$71)))*(1-((($B47)/('MT_WACC Schedule'!$C39))))/(('MT_WACC Schedule'!$C39)-($B47))))*(1/(1+'MT_WACC Schedule'!$C39)^10))))-(MT_Schedules!$H$92)+(IFERROR(INDEX(MT_HS_CONSOLIDATED!I:I,MATCH("CashAndCashEquivalents",MT_HS_CONSOLIDATED!$C:$C,0)),0)))/'MT_WACC Schedule'!$C7</f>
        <v/>
      </c>
      <c r="D47" s="136">
        <f>IFERROR(C47-C30,"")</f>
        <v/>
      </c>
    </row>
    <row r="49" ht="36" customHeight="1" s="203">
      <c r="A49" t="inlineStr">
        <is>
          <t>#</t>
        </is>
      </c>
      <c r="B49" s="117" t="inlineStr">
        <is>
          <t>Selected Growth Rate (your judgment call)</t>
        </is>
      </c>
      <c r="D49" s="132" t="inlineStr">
        <is>
          <t>Not auto-applied. Weigh the methods above, decide, then type this same number into the Revenue Schedule's own Terminal Growth Rate INPUT cell (Inputs &amp; Assumptions sheet) to actually change the model.</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0" customWidth="1" style="203" min="1" max="1"/>
    <col width="16" customWidth="1" style="203" min="2" max="2"/>
    <col width="16" customWidth="1" style="203" min="3" max="3"/>
    <col width="16" customWidth="1" style="203" min="4" max="4"/>
    <col width="16" customWidth="1" style="203" min="5" max="5"/>
    <col width="55" customWidth="1" style="203" min="6" max="6"/>
  </cols>
  <sheetData>
    <row r="1">
      <c r="A1" s="304" t="inlineStr">
        <is>
          <t>Comparable Company Analysis - Mindtree</t>
        </is>
      </c>
    </row>
    <row r="2" ht="30" customHeight="1" s="203">
      <c r="A2" s="305" t="inlineStr">
        <is>
          <t>Peer prices: Yahoo Finance chart API, 6-May-2022 close (deal-announcement day, same date used throughout this model). Peer EPS: FY22 (year ended Mar-2022) public earnings releases.</t>
        </is>
      </c>
    </row>
    <row r="4">
      <c r="A4" s="306" t="inlineStr">
        <is>
          <t>Peer</t>
        </is>
      </c>
      <c r="B4" s="306" t="inlineStr">
        <is>
          <t>Price (6-May-22)</t>
        </is>
      </c>
      <c r="C4" s="306" t="inlineStr">
        <is>
          <t>FY22 EPS</t>
        </is>
      </c>
      <c r="D4" s="306" t="inlineStr">
        <is>
          <t>P/E</t>
        </is>
      </c>
    </row>
    <row r="5">
      <c r="A5" s="307" t="inlineStr">
        <is>
          <t>TCS</t>
        </is>
      </c>
      <c r="B5" s="308" t="n">
        <v>3432.6</v>
      </c>
      <c r="C5" s="308" t="n">
        <v>105.1</v>
      </c>
      <c r="D5" s="309">
        <f>B5/C5</f>
        <v/>
      </c>
    </row>
    <row r="6">
      <c r="A6" s="307" t="inlineStr">
        <is>
          <t>Infosys</t>
        </is>
      </c>
      <c r="B6" s="308" t="n">
        <v>1542.85</v>
      </c>
      <c r="C6" s="308" t="n">
        <v>52.8</v>
      </c>
      <c r="D6" s="309">
        <f>B6/C6</f>
        <v/>
      </c>
    </row>
    <row r="7">
      <c r="A7" s="307" t="inlineStr">
        <is>
          <t>Wipro</t>
        </is>
      </c>
      <c r="B7" s="308" t="n">
        <v>242.55</v>
      </c>
      <c r="C7" s="308" t="n">
        <v>22.35</v>
      </c>
      <c r="D7" s="309">
        <f>B7/C7</f>
        <v/>
      </c>
    </row>
    <row r="8">
      <c r="A8" s="307" t="inlineStr">
        <is>
          <t>HCL Technologies</t>
        </is>
      </c>
      <c r="B8" s="308" t="n">
        <v>1050.2</v>
      </c>
      <c r="C8" s="308" t="n">
        <v>49.77</v>
      </c>
      <c r="D8" s="309">
        <f>B8/C8</f>
        <v/>
      </c>
    </row>
    <row r="9">
      <c r="A9" s="307" t="inlineStr">
        <is>
          <t>Tech Mahindra</t>
        </is>
      </c>
      <c r="B9" s="308" t="n">
        <v>1290.75</v>
      </c>
      <c r="C9" s="308" t="n">
        <v>63.32</v>
      </c>
      <c r="D9" s="309">
        <f>B9/C9</f>
        <v/>
      </c>
    </row>
    <row r="10">
      <c r="A10" s="310" t="inlineStr">
        <is>
          <t>Peer median P/E</t>
        </is>
      </c>
      <c r="D10" s="311">
        <f>MEDIAN(D5:D9)</f>
        <v/>
      </c>
    </row>
    <row r="11">
      <c r="A11" s="307" t="inlineStr">
        <is>
          <t>Peer mean P/E</t>
        </is>
      </c>
      <c r="D11" s="309">
        <f>AVERAGE(D5:D9)</f>
        <v/>
      </c>
    </row>
    <row r="13">
      <c r="A13" s="307" t="inlineStr">
        <is>
          <t>Mindtree FY22 EPS (Rs.)</t>
        </is>
      </c>
      <c r="B13" s="308" t="n">
        <v>100.28</v>
      </c>
      <c r="F13" s="312" t="inlineStr">
        <is>
          <t>FY22 PAT / FY22 shares outstanding, from RawData</t>
        </is>
      </c>
    </row>
    <row r="14">
      <c r="A14" s="307" t="inlineStr">
        <is>
          <t>Mindtree actual traded P/E (6-May-22)</t>
        </is>
      </c>
      <c r="B14" s="313" t="n">
        <v>33.7</v>
      </c>
      <c r="F14" s="312" t="inlineStr">
        <is>
          <t>Real market price / FY22 PAT - the premium this Comps sheet is testing</t>
        </is>
      </c>
    </row>
    <row r="16">
      <c r="A16" s="310" t="inlineStr">
        <is>
          <t>Comps-implied value/share (@ peer median P/E)</t>
        </is>
      </c>
      <c r="B16" s="314">
        <f>B13*D10</f>
        <v/>
      </c>
    </row>
    <row r="17">
      <c r="A17" s="307" t="inlineStr">
        <is>
          <t>Comps-implied value/share (@ peer mean P/E)</t>
        </is>
      </c>
      <c r="B17" s="315">
        <f>B13*D11</f>
        <v/>
      </c>
    </row>
    <row r="19">
      <c r="A19" s="316" t="inlineStr">
        <is>
          <t>Diagnosis</t>
        </is>
      </c>
    </row>
    <row r="20" ht="60" customHeight="1" s="203">
      <c r="A20" s="305" t="inlineStr">
        <is>
          <t>Mindtree traded at 33.7x FY22 earnings on 6-May-2022, well above the peer median of ~21x and even above the highest-multiple peer (TCS at ~33x). This premium is specific to LTI/Mindtree, not a broad sector-wide phenomenon - both companies were already known fellow L&amp;T subsidiaries with active commercial ties well before the formal merger announcement, consistent with the market pricing in consolidation/M&amp;A-anticipation ahead of the deal, on top of normal operating fundamentals.</t>
        </is>
      </c>
    </row>
    <row r="22">
      <c r="A22" s="304" t="inlineStr">
        <is>
          <t>Fundamentals-Controlled Peer Check</t>
        </is>
      </c>
    </row>
    <row r="23" ht="55" customHeight="1" s="203">
      <c r="A23" s="305" t="inlineStr">
        <is>
          <t>With only 5 peers, a multivariate regression to control for growth/ROIC differences (Damodaran's standard fix for a larger peer set) has too few degrees of freedom to mean anything - instead, each peer's own ROCE and growth are shown directly against LTI's/Mindtree's, to see whether any peer is genuinely a close match on fundamentals or whether the size mismatch flagged in the audit (mega-cap peers vs. this mid-cap pair) shows up here too.</t>
        </is>
      </c>
    </row>
    <row r="25">
      <c r="A25" s="306" t="inlineStr">
        <is>
          <t>Peer</t>
        </is>
      </c>
      <c r="B25" s="306" t="inlineStr">
        <is>
          <t>ROCE % (FY22)</t>
        </is>
      </c>
      <c r="C25" s="306" t="inlineStr">
        <is>
          <t>Sales Growth % (FY22)</t>
        </is>
      </c>
    </row>
    <row r="26">
      <c r="A26" s="307" t="inlineStr">
        <is>
          <t>TCS</t>
        </is>
      </c>
      <c r="B26" s="317" t="n">
        <v>0.54</v>
      </c>
      <c r="C26" s="318" t="n">
        <v>0.168</v>
      </c>
    </row>
    <row r="27">
      <c r="A27" s="307" t="inlineStr">
        <is>
          <t>Infosys</t>
        </is>
      </c>
      <c r="B27" s="317" t="n">
        <v>0.37</v>
      </c>
      <c r="C27" s="318" t="n">
        <v>0.211</v>
      </c>
    </row>
    <row r="28">
      <c r="A28" s="307" t="inlineStr">
        <is>
          <t>Wipro</t>
        </is>
      </c>
      <c r="B28" s="317" t="n">
        <v>0.21</v>
      </c>
      <c r="C28" s="318" t="n">
        <v>0.28</v>
      </c>
    </row>
    <row r="29">
      <c r="A29" s="307" t="inlineStr">
        <is>
          <t>HCL Technologies</t>
        </is>
      </c>
      <c r="B29" s="317" t="n">
        <v>0.25</v>
      </c>
      <c r="C29" s="318" t="n">
        <v>0.136</v>
      </c>
    </row>
    <row r="30">
      <c r="A30" s="307" t="inlineStr">
        <is>
          <t>Tech Mahindra</t>
        </is>
      </c>
      <c r="B30" s="317" t="n">
        <v>0.26</v>
      </c>
      <c r="C30" s="318" t="n">
        <v>0.179</v>
      </c>
    </row>
    <row r="31">
      <c r="A31" s="310" t="inlineStr">
        <is>
          <t>Peer median</t>
        </is>
      </c>
      <c r="B31" s="319">
        <f>MEDIAN(B26:B30)</f>
        <v/>
      </c>
      <c r="C31" s="320">
        <f>MEDIAN(C26:C30)</f>
        <v/>
      </c>
    </row>
    <row r="33">
      <c r="A33" s="307" t="inlineStr">
        <is>
          <t>Mindtree ROCE (FY22, Screener.in - same basis as peers above)</t>
        </is>
      </c>
      <c r="B33" s="317" t="n">
        <v>0.42</v>
      </c>
      <c r="C33" s="318" t="n">
        <v>0.321</v>
      </c>
      <c r="F33" s="305" t="inlineStr">
        <is>
          <t>ROCE sourced from Screener.in, same source/definition as the peer figures above - deliberately not this file's own DCF sheet's 'Implied ROIC' (NOPAT / [Net PP&amp;E + NWC] only), which is a narrower metric that isn't comparable to Screener's broader ROCE. Growth: FY22 actual revenue growth, established earlier this session (LTI from its own filings; Mindtree computed from disclosed FY21-&gt;FY22 consolidated revenue) - not a live formula, the source rows for prior-year revenue aren't cleanly exposed elsewhere in this workbook.</t>
        </is>
      </c>
    </row>
    <row r="35" ht="100" customHeight="1" s="203">
      <c r="A35" s="305" t="inlineStr">
        <is>
          <t>Reading this: the picture is mixed, not uniformly mismatched. On growth, EVERY peer trails Mindtree (32.1%) - the peer set's fastest grower (Wipro, 28.0%) still falls well short, and the peer median (~17-18%) sits far below it. On ROCE, Mindtree (42%) sits closest to Infosys (37%) and TCS (54%), and well above HCL Technologies (25%) and Wipro (21%) - the peer set splits into a higher-ROCE pair Mindtree actually resembles and a lower-ROCE pair it doesn't. Practical takeaway: if this were rebuilt as a genuine close-peer subsample (Damodaran's fix for a small peer set) rather than a flat 5-peer median, it would lean toward the higher-ROCE pair identified above, not the full set as currently used - worth knowing when weighing this Comps method's implied value against the DCF, Precedent Transactions and Contribution Analysis elsewhere in this model, not a reason to discard it outright.</t>
        </is>
      </c>
    </row>
  </sheetData>
  <mergeCells count="3">
    <mergeCell ref="A20:F20"/>
    <mergeCell ref="A23:F23"/>
    <mergeCell ref="A35:F35"/>
  </mergeCells>
  <pageMargins left="0.75" right="0.75" top="1" bottom="1" header="0.5" footer="0.5"/>
</worksheet>
</file>

<file path=xl/worksheets/sheet48.xml><?xml version="1.0" encoding="utf-8"?>
<worksheet xmlns="http://schemas.openxmlformats.org/spreadsheetml/2006/main">
  <sheetPr>
    <tabColor rgb="00B45F06"/>
    <outlinePr summaryBelow="1" summaryRight="1"/>
    <pageSetUpPr/>
  </sheetPr>
  <dimension ref="A1:L24"/>
  <sheetViews>
    <sheetView showGridLines="0" workbookViewId="0">
      <selection activeCell="A1" sqref="A1"/>
    </sheetView>
  </sheetViews>
  <sheetFormatPr baseColWidth="8" defaultRowHeight="15"/>
  <cols>
    <col width="3.5" customWidth="1" style="203" min="1" max="1"/>
    <col width="45" customWidth="1" style="203" min="2" max="2"/>
    <col width="15" customWidth="1" style="203" min="3" max="3"/>
    <col width="15" customWidth="1" style="203" min="4" max="4"/>
    <col width="15" customWidth="1" style="203" min="5" max="5"/>
    <col width="15" customWidth="1" style="203" min="6" max="6"/>
    <col width="15" customWidth="1" style="203" min="7" max="7"/>
    <col width="15" customWidth="1" style="203" min="8" max="8"/>
    <col width="15" customWidth="1" style="203" min="9" max="9"/>
    <col width="15" customWidth="1" style="203" min="10" max="10"/>
    <col width="15" customWidth="1" style="203" min="11" max="11"/>
    <col width="15" customWidth="1" style="203" min="12" max="12"/>
  </cols>
  <sheetData>
    <row r="1">
      <c r="A1" t="inlineStr">
        <is>
          <t>#</t>
        </is>
      </c>
      <c r="B1" s="283" t="inlineStr">
        <is>
          <t>Balance Sheet (Projected)</t>
        </is>
      </c>
    </row>
    <row r="2">
      <c r="B2" s="284" t="inlineStr">
        <is>
          <t>Assembled from the Working Capital, PP&amp;E, Debt, and Equity Schedules already built - not a separate build. 'Other Assets/Liabilities' scale with revenue from the last actual (FY22) ratio - an explicit, labeled simplification, not a granular line-by-line forecast of every historical sub-item.</t>
        </is>
      </c>
    </row>
    <row r="5">
      <c r="B5" s="285" t="inlineStr">
        <is>
          <t>Rs. Million</t>
        </is>
      </c>
      <c r="C5" s="285" t="inlineStr">
        <is>
          <t>FY2023E</t>
        </is>
      </c>
      <c r="D5" s="285" t="inlineStr">
        <is>
          <t>FY2024E</t>
        </is>
      </c>
      <c r="E5" s="285" t="inlineStr">
        <is>
          <t>FY2025E</t>
        </is>
      </c>
      <c r="F5" s="285" t="inlineStr">
        <is>
          <t>FY2026E</t>
        </is>
      </c>
      <c r="G5" s="285" t="inlineStr">
        <is>
          <t>FY2027E</t>
        </is>
      </c>
      <c r="H5" s="285" t="inlineStr">
        <is>
          <t>FY2028E</t>
        </is>
      </c>
      <c r="I5" s="285" t="inlineStr">
        <is>
          <t>FY2029E</t>
        </is>
      </c>
      <c r="J5" s="285" t="inlineStr">
        <is>
          <t>FY2030E</t>
        </is>
      </c>
      <c r="K5" s="285" t="inlineStr">
        <is>
          <t>FY2031E</t>
        </is>
      </c>
      <c r="L5" s="285" t="inlineStr">
        <is>
          <t>FY2032E</t>
        </is>
      </c>
    </row>
    <row r="7">
      <c r="B7" s="286" t="inlineStr">
        <is>
          <t>Cash &amp; Cash Equivalents</t>
        </is>
      </c>
      <c r="C7" s="287">
        <f>'MT_CFStmt'!C23</f>
        <v/>
      </c>
      <c r="D7" s="287">
        <f>'MT_CFStmt'!D23</f>
        <v/>
      </c>
      <c r="E7" s="287">
        <f>'MT_CFStmt'!E23</f>
        <v/>
      </c>
      <c r="F7" s="287">
        <f>'MT_CFStmt'!F23</f>
        <v/>
      </c>
      <c r="G7" s="287">
        <f>'MT_CFStmt'!G23</f>
        <v/>
      </c>
      <c r="H7" s="287">
        <f>'MT_CFStmt'!H23</f>
        <v/>
      </c>
      <c r="I7" s="287">
        <f>'MT_CFStmt'!I23</f>
        <v/>
      </c>
      <c r="J7" s="287">
        <f>'MT_CFStmt'!J23</f>
        <v/>
      </c>
      <c r="K7" s="287">
        <f>'MT_CFStmt'!K23</f>
        <v/>
      </c>
      <c r="L7" s="287">
        <f>'MT_CFStmt'!L23</f>
        <v/>
      </c>
    </row>
    <row r="8">
      <c r="B8" s="286" t="inlineStr">
        <is>
          <t>Trade Receivables</t>
        </is>
      </c>
      <c r="C8" s="287">
        <f>'MT_Schedules'!I34</f>
        <v/>
      </c>
      <c r="D8" s="287">
        <f>'MT_Schedules'!J34</f>
        <v/>
      </c>
      <c r="E8" s="287">
        <f>'MT_Schedules'!K34</f>
        <v/>
      </c>
      <c r="F8" s="287">
        <f>'MT_Schedules'!L34</f>
        <v/>
      </c>
      <c r="G8" s="287">
        <f>'MT_Schedules'!M34</f>
        <v/>
      </c>
      <c r="H8" s="287">
        <f>'MT_Schedules'!N34</f>
        <v/>
      </c>
      <c r="I8" s="287">
        <f>'MT_Schedules'!O34</f>
        <v/>
      </c>
      <c r="J8" s="287">
        <f>'MT_Schedules'!P34</f>
        <v/>
      </c>
      <c r="K8" s="287">
        <f>'MT_Schedules'!Q34</f>
        <v/>
      </c>
      <c r="L8" s="287">
        <f>'MT_Schedules'!R34</f>
        <v/>
      </c>
    </row>
    <row r="9">
      <c r="B9" s="286" t="inlineStr">
        <is>
          <t>Inventories</t>
        </is>
      </c>
      <c r="C9" s="287">
        <f>'MT_Schedules'!I35</f>
        <v/>
      </c>
      <c r="D9" s="287">
        <f>'MT_Schedules'!J35</f>
        <v/>
      </c>
      <c r="E9" s="287">
        <f>'MT_Schedules'!K35</f>
        <v/>
      </c>
      <c r="F9" s="287">
        <f>'MT_Schedules'!L35</f>
        <v/>
      </c>
      <c r="G9" s="287">
        <f>'MT_Schedules'!M35</f>
        <v/>
      </c>
      <c r="H9" s="287">
        <f>'MT_Schedules'!N35</f>
        <v/>
      </c>
      <c r="I9" s="287">
        <f>'MT_Schedules'!O35</f>
        <v/>
      </c>
      <c r="J9" s="287">
        <f>'MT_Schedules'!P35</f>
        <v/>
      </c>
      <c r="K9" s="287">
        <f>'MT_Schedules'!Q35</f>
        <v/>
      </c>
      <c r="L9" s="287">
        <f>'MT_Schedules'!R35</f>
        <v/>
      </c>
    </row>
    <row r="10">
      <c r="B10" s="286" t="inlineStr">
        <is>
          <t>Net PP&amp;E</t>
        </is>
      </c>
      <c r="C10" s="287">
        <f>'MT_Schedules'!I63</f>
        <v/>
      </c>
      <c r="D10" s="287">
        <f>'MT_Schedules'!J63</f>
        <v/>
      </c>
      <c r="E10" s="287">
        <f>'MT_Schedules'!K63</f>
        <v/>
      </c>
      <c r="F10" s="287">
        <f>'MT_Schedules'!L63</f>
        <v/>
      </c>
      <c r="G10" s="287">
        <f>'MT_Schedules'!M63</f>
        <v/>
      </c>
      <c r="H10" s="287">
        <f>'MT_Schedules'!N63</f>
        <v/>
      </c>
      <c r="I10" s="287">
        <f>'MT_Schedules'!O63</f>
        <v/>
      </c>
      <c r="J10" s="287">
        <f>'MT_Schedules'!P63</f>
        <v/>
      </c>
      <c r="K10" s="287">
        <f>'MT_Schedules'!Q63</f>
        <v/>
      </c>
      <c r="L10" s="287">
        <f>'MT_Schedules'!R63</f>
        <v/>
      </c>
    </row>
    <row r="11">
      <c r="B11" s="288" t="inlineStr">
        <is>
          <t>Other Assets (scaled with revenue from FY22 actual)</t>
        </is>
      </c>
      <c r="C11" s="289">
        <f>(44759000000/'MT_Schedules'!$H$30)*'MT_Schedules'!I30</f>
        <v/>
      </c>
      <c r="D11" s="289">
        <f>(44759000000/'MT_Schedules'!$H$30)*'MT_Schedules'!J30</f>
        <v/>
      </c>
      <c r="E11" s="289">
        <f>(44759000000/'MT_Schedules'!$H$30)*'MT_Schedules'!K30</f>
        <v/>
      </c>
      <c r="F11" s="289">
        <f>(44759000000/'MT_Schedules'!$H$30)*'MT_Schedules'!L30</f>
        <v/>
      </c>
      <c r="G11" s="289">
        <f>(44759000000/'MT_Schedules'!$H$30)*'MT_Schedules'!M30</f>
        <v/>
      </c>
      <c r="H11" s="289">
        <f>(44759000000/'MT_Schedules'!$H$30)*'MT_Schedules'!N30</f>
        <v/>
      </c>
      <c r="I11" s="289">
        <f>(44759000000/'MT_Schedules'!$H$30)*'MT_Schedules'!O30</f>
        <v/>
      </c>
      <c r="J11" s="289">
        <f>(44759000000/'MT_Schedules'!$H$30)*'MT_Schedules'!P30</f>
        <v/>
      </c>
      <c r="K11" s="289">
        <f>(44759000000/'MT_Schedules'!$H$30)*'MT_Schedules'!Q30</f>
        <v/>
      </c>
      <c r="L11" s="289">
        <f>(44759000000/'MT_Schedules'!$H$30)*'MT_Schedules'!R30</f>
        <v/>
      </c>
    </row>
    <row r="12">
      <c r="B12" s="290" t="inlineStr">
        <is>
          <t>Total Assets</t>
        </is>
      </c>
      <c r="C12" s="291">
        <f>SUM(C7:C11)</f>
        <v/>
      </c>
      <c r="D12" s="291">
        <f>SUM(D7:D11)</f>
        <v/>
      </c>
      <c r="E12" s="291">
        <f>SUM(E7:E11)</f>
        <v/>
      </c>
      <c r="F12" s="291">
        <f>SUM(F7:F11)</f>
        <v/>
      </c>
      <c r="G12" s="291">
        <f>SUM(G7:G11)</f>
        <v/>
      </c>
      <c r="H12" s="291">
        <f>SUM(H7:H11)</f>
        <v/>
      </c>
      <c r="I12" s="291">
        <f>SUM(I7:I11)</f>
        <v/>
      </c>
      <c r="J12" s="291">
        <f>SUM(J7:J11)</f>
        <v/>
      </c>
      <c r="K12" s="291">
        <f>SUM(K7:K11)</f>
        <v/>
      </c>
      <c r="L12" s="291">
        <f>SUM(L7:L11)</f>
        <v/>
      </c>
    </row>
    <row r="14">
      <c r="B14" s="286" t="inlineStr">
        <is>
          <t>Equity Share Capital</t>
        </is>
      </c>
      <c r="C14" s="287">
        <f>'MT_Schedules'!I131</f>
        <v/>
      </c>
      <c r="D14" s="287">
        <f>'MT_Schedules'!J131</f>
        <v/>
      </c>
      <c r="E14" s="287">
        <f>'MT_Schedules'!K131</f>
        <v/>
      </c>
      <c r="F14" s="287">
        <f>'MT_Schedules'!L131</f>
        <v/>
      </c>
      <c r="G14" s="287">
        <f>'MT_Schedules'!M131</f>
        <v/>
      </c>
      <c r="H14" s="287">
        <f>'MT_Schedules'!N131</f>
        <v/>
      </c>
      <c r="I14" s="287">
        <f>'MT_Schedules'!O131</f>
        <v/>
      </c>
      <c r="J14" s="287">
        <f>'MT_Schedules'!P131</f>
        <v/>
      </c>
      <c r="K14" s="287">
        <f>'MT_Schedules'!Q131</f>
        <v/>
      </c>
      <c r="L14" s="287">
        <f>'MT_Schedules'!R131</f>
        <v/>
      </c>
    </row>
    <row r="15">
      <c r="B15" s="286" t="inlineStr">
        <is>
          <t>Other Equity / Reserves</t>
        </is>
      </c>
      <c r="C15" s="287">
        <f>'MT_Schedules'!I139</f>
        <v/>
      </c>
      <c r="D15" s="287">
        <f>'MT_Schedules'!J139</f>
        <v/>
      </c>
      <c r="E15" s="287">
        <f>'MT_Schedules'!K139</f>
        <v/>
      </c>
      <c r="F15" s="287">
        <f>'MT_Schedules'!L139</f>
        <v/>
      </c>
      <c r="G15" s="287">
        <f>'MT_Schedules'!M139</f>
        <v/>
      </c>
      <c r="H15" s="287">
        <f>'MT_Schedules'!N139</f>
        <v/>
      </c>
      <c r="I15" s="287">
        <f>'MT_Schedules'!O139</f>
        <v/>
      </c>
      <c r="J15" s="287">
        <f>'MT_Schedules'!P139</f>
        <v/>
      </c>
      <c r="K15" s="287">
        <f>'MT_Schedules'!Q139</f>
        <v/>
      </c>
      <c r="L15" s="287">
        <f>'MT_Schedules'!R139</f>
        <v/>
      </c>
    </row>
    <row r="16">
      <c r="B16" s="292" t="inlineStr">
        <is>
          <t>Total Equity</t>
        </is>
      </c>
      <c r="C16" s="293">
        <f>C14+C15</f>
        <v/>
      </c>
      <c r="D16" s="293">
        <f>D14+D15</f>
        <v/>
      </c>
      <c r="E16" s="293">
        <f>E14+E15</f>
        <v/>
      </c>
      <c r="F16" s="293">
        <f>F14+F15</f>
        <v/>
      </c>
      <c r="G16" s="293">
        <f>G14+G15</f>
        <v/>
      </c>
      <c r="H16" s="293">
        <f>H14+H15</f>
        <v/>
      </c>
      <c r="I16" s="293">
        <f>I14+I15</f>
        <v/>
      </c>
      <c r="J16" s="293">
        <f>J14+J15</f>
        <v/>
      </c>
      <c r="K16" s="293">
        <f>K14+K15</f>
        <v/>
      </c>
      <c r="L16" s="293">
        <f>L14+L15</f>
        <v/>
      </c>
    </row>
    <row r="18">
      <c r="B18" s="286" t="inlineStr">
        <is>
          <t>Debt / Lease Liabilities</t>
        </is>
      </c>
      <c r="C18" s="287">
        <f>'MT_Schedules'!I92</f>
        <v/>
      </c>
      <c r="D18" s="287">
        <f>'MT_Schedules'!J92</f>
        <v/>
      </c>
      <c r="E18" s="287">
        <f>'MT_Schedules'!K92</f>
        <v/>
      </c>
      <c r="F18" s="287">
        <f>'MT_Schedules'!L92</f>
        <v/>
      </c>
      <c r="G18" s="287">
        <f>'MT_Schedules'!M92</f>
        <v/>
      </c>
      <c r="H18" s="287">
        <f>'MT_Schedules'!N92</f>
        <v/>
      </c>
      <c r="I18" s="287">
        <f>'MT_Schedules'!O92</f>
        <v/>
      </c>
      <c r="J18" s="287">
        <f>'MT_Schedules'!P92</f>
        <v/>
      </c>
      <c r="K18" s="287">
        <f>'MT_Schedules'!Q92</f>
        <v/>
      </c>
      <c r="L18" s="287">
        <f>'MT_Schedules'!R92</f>
        <v/>
      </c>
    </row>
    <row r="19">
      <c r="B19" s="286" t="inlineStr">
        <is>
          <t>Trade Payables</t>
        </is>
      </c>
      <c r="C19" s="287">
        <f>'MT_Schedules'!I37</f>
        <v/>
      </c>
      <c r="D19" s="287">
        <f>'MT_Schedules'!J37</f>
        <v/>
      </c>
      <c r="E19" s="287">
        <f>'MT_Schedules'!K37</f>
        <v/>
      </c>
      <c r="F19" s="287">
        <f>'MT_Schedules'!L37</f>
        <v/>
      </c>
      <c r="G19" s="287">
        <f>'MT_Schedules'!M37</f>
        <v/>
      </c>
      <c r="H19" s="287">
        <f>'MT_Schedules'!N37</f>
        <v/>
      </c>
      <c r="I19" s="287">
        <f>'MT_Schedules'!O37</f>
        <v/>
      </c>
      <c r="J19" s="287">
        <f>'MT_Schedules'!P37</f>
        <v/>
      </c>
      <c r="K19" s="287">
        <f>'MT_Schedules'!Q37</f>
        <v/>
      </c>
      <c r="L19" s="287">
        <f>'MT_Schedules'!R37</f>
        <v/>
      </c>
    </row>
    <row r="20">
      <c r="B20" s="288" t="inlineStr">
        <is>
          <t>Other Liabilities &amp; Non-Controlling Interest (scaled with revenue from FY22 actual)</t>
        </is>
      </c>
      <c r="C20" s="289">
        <f>(21477000000/'MT_Schedules'!$H$30)*'MT_Schedules'!I30</f>
        <v/>
      </c>
      <c r="D20" s="289">
        <f>(21477000000/'MT_Schedules'!$H$30)*'MT_Schedules'!J30</f>
        <v/>
      </c>
      <c r="E20" s="289">
        <f>(21477000000/'MT_Schedules'!$H$30)*'MT_Schedules'!K30</f>
        <v/>
      </c>
      <c r="F20" s="289">
        <f>(21477000000/'MT_Schedules'!$H$30)*'MT_Schedules'!L30</f>
        <v/>
      </c>
      <c r="G20" s="289">
        <f>(21477000000/'MT_Schedules'!$H$30)*'MT_Schedules'!M30</f>
        <v/>
      </c>
      <c r="H20" s="289">
        <f>(21477000000/'MT_Schedules'!$H$30)*'MT_Schedules'!N30</f>
        <v/>
      </c>
      <c r="I20" s="289">
        <f>(21477000000/'MT_Schedules'!$H$30)*'MT_Schedules'!O30</f>
        <v/>
      </c>
      <c r="J20" s="289">
        <f>(21477000000/'MT_Schedules'!$H$30)*'MT_Schedules'!P30</f>
        <v/>
      </c>
      <c r="K20" s="289">
        <f>(21477000000/'MT_Schedules'!$H$30)*'MT_Schedules'!Q30</f>
        <v/>
      </c>
      <c r="L20" s="289">
        <f>(21477000000/'MT_Schedules'!$H$30)*'MT_Schedules'!R30</f>
        <v/>
      </c>
    </row>
    <row r="21">
      <c r="B21" s="292" t="inlineStr">
        <is>
          <t>Total Liabilities</t>
        </is>
      </c>
      <c r="C21" s="293">
        <f>SUM(C18:C20)</f>
        <v/>
      </c>
      <c r="D21" s="293">
        <f>SUM(D18:D20)</f>
        <v/>
      </c>
      <c r="E21" s="293">
        <f>SUM(E18:E20)</f>
        <v/>
      </c>
      <c r="F21" s="293">
        <f>SUM(F18:F20)</f>
        <v/>
      </c>
      <c r="G21" s="293">
        <f>SUM(G18:G20)</f>
        <v/>
      </c>
      <c r="H21" s="293">
        <f>SUM(H18:H20)</f>
        <v/>
      </c>
      <c r="I21" s="293">
        <f>SUM(I18:I20)</f>
        <v/>
      </c>
      <c r="J21" s="293">
        <f>SUM(J18:J20)</f>
        <v/>
      </c>
      <c r="K21" s="293">
        <f>SUM(K18:K20)</f>
        <v/>
      </c>
      <c r="L21" s="293">
        <f>SUM(L18:L20)</f>
        <v/>
      </c>
    </row>
    <row r="22">
      <c r="B22" s="290" t="inlineStr">
        <is>
          <t>Total Equity &amp; Liabilities</t>
        </is>
      </c>
      <c r="C22" s="291">
        <f>C16+C21</f>
        <v/>
      </c>
      <c r="D22" s="291">
        <f>D16+D21</f>
        <v/>
      </c>
      <c r="E22" s="291">
        <f>E16+E21</f>
        <v/>
      </c>
      <c r="F22" s="291">
        <f>F16+F21</f>
        <v/>
      </c>
      <c r="G22" s="291">
        <f>G16+G21</f>
        <v/>
      </c>
      <c r="H22" s="291">
        <f>H16+H21</f>
        <v/>
      </c>
      <c r="I22" s="291">
        <f>I16+I21</f>
        <v/>
      </c>
      <c r="J22" s="291">
        <f>J16+J21</f>
        <v/>
      </c>
      <c r="K22" s="291">
        <f>K16+K21</f>
        <v/>
      </c>
      <c r="L22" s="291">
        <f>L16+L21</f>
        <v/>
      </c>
    </row>
    <row r="24">
      <c r="B24" s="294" t="inlineStr">
        <is>
          <t>BALANCE CHECK (Assets - Equity&amp;Liab, must be ~0)</t>
        </is>
      </c>
      <c r="C24" s="295">
        <f>C12-C22</f>
        <v/>
      </c>
      <c r="D24" s="295">
        <f>D12-D22</f>
        <v/>
      </c>
      <c r="E24" s="295">
        <f>E12-E22</f>
        <v/>
      </c>
      <c r="F24" s="295">
        <f>F12-F22</f>
        <v/>
      </c>
      <c r="G24" s="295">
        <f>G12-G22</f>
        <v/>
      </c>
      <c r="H24" s="295">
        <f>H12-H22</f>
        <v/>
      </c>
      <c r="I24" s="295">
        <f>I12-I22</f>
        <v/>
      </c>
      <c r="J24" s="295">
        <f>J12-J22</f>
        <v/>
      </c>
      <c r="K24" s="295">
        <f>K12-K22</f>
        <v/>
      </c>
      <c r="L24" s="295">
        <f>L12-L22</f>
        <v/>
      </c>
    </row>
  </sheetData>
  <mergeCells count="1">
    <mergeCell ref="B2:L2"/>
  </mergeCells>
  <pageMargins left="0.75" right="0.75" top="1" bottom="1" header="0.5" footer="0.5"/>
</worksheet>
</file>

<file path=xl/worksheets/sheet49.xml><?xml version="1.0" encoding="utf-8"?>
<worksheet xmlns="http://schemas.openxmlformats.org/spreadsheetml/2006/main">
  <sheetPr>
    <tabColor rgb="00B45F06"/>
    <outlinePr summaryBelow="1" summaryRight="1"/>
    <pageSetUpPr/>
  </sheetPr>
  <dimension ref="A1:L23"/>
  <sheetViews>
    <sheetView showGridLines="0" workbookViewId="0">
      <selection activeCell="A1" sqref="A1"/>
    </sheetView>
  </sheetViews>
  <sheetFormatPr baseColWidth="8" defaultRowHeight="15"/>
  <cols>
    <col width="3.5" customWidth="1" style="203" min="1" max="1"/>
    <col width="48" customWidth="1" style="203" min="2" max="2"/>
    <col width="15" customWidth="1" style="203" min="3" max="3"/>
    <col width="15" customWidth="1" style="203" min="4" max="4"/>
    <col width="15" customWidth="1" style="203" min="5" max="5"/>
    <col width="15" customWidth="1" style="203" min="6" max="6"/>
    <col width="15" customWidth="1" style="203" min="7" max="7"/>
    <col width="15" customWidth="1" style="203" min="8" max="8"/>
    <col width="15" customWidth="1" style="203" min="9" max="9"/>
    <col width="15" customWidth="1" style="203" min="10" max="10"/>
    <col width="15" customWidth="1" style="203" min="11" max="11"/>
    <col width="15" customWidth="1" style="203" min="12" max="12"/>
  </cols>
  <sheetData>
    <row r="1">
      <c r="A1" t="inlineStr">
        <is>
          <t>#</t>
        </is>
      </c>
      <c r="B1" s="283" t="inlineStr">
        <is>
          <t>Cash Flow Statement (Projected)</t>
        </is>
      </c>
    </row>
    <row r="2">
      <c r="B2" s="284" t="inlineStr">
        <is>
          <t>Assembled from P&amp;L (Net Income, D&amp;A), Working Capital Schedule, PP&amp;E Schedule (capex), and Debt/Equity Schedules (financing) - standard indirect method.</t>
        </is>
      </c>
    </row>
    <row r="5">
      <c r="C5" s="285" t="inlineStr">
        <is>
          <t>FY2023E</t>
        </is>
      </c>
      <c r="D5" s="285" t="inlineStr">
        <is>
          <t>FY2024E</t>
        </is>
      </c>
      <c r="E5" s="285" t="inlineStr">
        <is>
          <t>FY2025E</t>
        </is>
      </c>
      <c r="F5" s="285" t="inlineStr">
        <is>
          <t>FY2026E</t>
        </is>
      </c>
      <c r="G5" s="285" t="inlineStr">
        <is>
          <t>FY2027E</t>
        </is>
      </c>
      <c r="H5" s="285" t="inlineStr">
        <is>
          <t>FY2028E</t>
        </is>
      </c>
      <c r="I5" s="285" t="inlineStr">
        <is>
          <t>FY2029E</t>
        </is>
      </c>
      <c r="J5" s="285" t="inlineStr">
        <is>
          <t>FY2030E</t>
        </is>
      </c>
      <c r="K5" s="285" t="inlineStr">
        <is>
          <t>FY2031E</t>
        </is>
      </c>
      <c r="L5" s="285" t="inlineStr">
        <is>
          <t>FY2032E</t>
        </is>
      </c>
    </row>
    <row r="7">
      <c r="B7" s="286" t="inlineStr">
        <is>
          <t>Net Income</t>
        </is>
      </c>
      <c r="C7" s="287">
        <f>'MT_P&amp;L Schedule'!I22</f>
        <v/>
      </c>
      <c r="D7" s="287">
        <f>'MT_P&amp;L Schedule'!J22</f>
        <v/>
      </c>
      <c r="E7" s="287">
        <f>'MT_P&amp;L Schedule'!K22</f>
        <v/>
      </c>
      <c r="F7" s="287">
        <f>'MT_P&amp;L Schedule'!L22</f>
        <v/>
      </c>
      <c r="G7" s="287">
        <f>'MT_P&amp;L Schedule'!M22</f>
        <v/>
      </c>
      <c r="H7" s="287">
        <f>'MT_P&amp;L Schedule'!N22</f>
        <v/>
      </c>
      <c r="I7" s="287">
        <f>'MT_P&amp;L Schedule'!O22</f>
        <v/>
      </c>
      <c r="J7" s="287">
        <f>'MT_P&amp;L Schedule'!P22</f>
        <v/>
      </c>
      <c r="K7" s="287">
        <f>'MT_P&amp;L Schedule'!Q22</f>
        <v/>
      </c>
      <c r="L7" s="287">
        <f>'MT_P&amp;L Schedule'!R22</f>
        <v/>
      </c>
    </row>
    <row r="8">
      <c r="B8" s="286" t="inlineStr">
        <is>
          <t>(+) Depreciation &amp; Amortisation</t>
        </is>
      </c>
      <c r="C8" s="287">
        <f>-'MT_P&amp;L Schedule'!I13</f>
        <v/>
      </c>
      <c r="D8" s="287">
        <f>-'MT_P&amp;L Schedule'!J13</f>
        <v/>
      </c>
      <c r="E8" s="287">
        <f>-'MT_P&amp;L Schedule'!K13</f>
        <v/>
      </c>
      <c r="F8" s="287">
        <f>-'MT_P&amp;L Schedule'!L13</f>
        <v/>
      </c>
      <c r="G8" s="287">
        <f>-'MT_P&amp;L Schedule'!M13</f>
        <v/>
      </c>
      <c r="H8" s="287">
        <f>-'MT_P&amp;L Schedule'!N13</f>
        <v/>
      </c>
      <c r="I8" s="287">
        <f>-'MT_P&amp;L Schedule'!O13</f>
        <v/>
      </c>
      <c r="J8" s="287">
        <f>-'MT_P&amp;L Schedule'!P13</f>
        <v/>
      </c>
      <c r="K8" s="287">
        <f>-'MT_P&amp;L Schedule'!Q13</f>
        <v/>
      </c>
      <c r="L8" s="287">
        <f>-'MT_P&amp;L Schedule'!R13</f>
        <v/>
      </c>
    </row>
    <row r="9">
      <c r="B9" s="286" t="inlineStr">
        <is>
          <t>(+/-) Change in Working Capital</t>
        </is>
      </c>
      <c r="C9" s="287">
        <f>'MT_Schedules'!I44</f>
        <v/>
      </c>
      <c r="D9" s="287">
        <f>'MT_Schedules'!J44</f>
        <v/>
      </c>
      <c r="E9" s="287">
        <f>'MT_Schedules'!K44</f>
        <v/>
      </c>
      <c r="F9" s="287">
        <f>'MT_Schedules'!L44</f>
        <v/>
      </c>
      <c r="G9" s="287">
        <f>'MT_Schedules'!M44</f>
        <v/>
      </c>
      <c r="H9" s="287">
        <f>'MT_Schedules'!N44</f>
        <v/>
      </c>
      <c r="I9" s="287">
        <f>'MT_Schedules'!O44</f>
        <v/>
      </c>
      <c r="J9" s="287">
        <f>'MT_Schedules'!P44</f>
        <v/>
      </c>
      <c r="K9" s="287">
        <f>'MT_Schedules'!Q44</f>
        <v/>
      </c>
      <c r="L9" s="287">
        <f>'MT_Schedules'!R44</f>
        <v/>
      </c>
    </row>
    <row r="10">
      <c r="B10" s="286" t="inlineStr">
        <is>
          <t>(-) Increase in Other Assets (now revenue-scaled, not flat)</t>
        </is>
      </c>
      <c r="C10" s="287">
        <f>-('MT_Balance Sheet (Projected)'!C11-44759000000)</f>
        <v/>
      </c>
      <c r="D10" s="287">
        <f>-('MT_Balance Sheet (Projected)'!D11-'MT_Balance Sheet (Projected)'!C11)</f>
        <v/>
      </c>
      <c r="E10" s="287">
        <f>-('MT_Balance Sheet (Projected)'!E11-'MT_Balance Sheet (Projected)'!D11)</f>
        <v/>
      </c>
      <c r="F10" s="287">
        <f>-('MT_Balance Sheet (Projected)'!F11-'MT_Balance Sheet (Projected)'!E11)</f>
        <v/>
      </c>
      <c r="G10" s="287">
        <f>-('MT_Balance Sheet (Projected)'!G11-'MT_Balance Sheet (Projected)'!F11)</f>
        <v/>
      </c>
      <c r="H10" s="287">
        <f>-('MT_Balance Sheet (Projected)'!H11-'MT_Balance Sheet (Projected)'!G11)</f>
        <v/>
      </c>
      <c r="I10" s="287">
        <f>-('MT_Balance Sheet (Projected)'!I11-'MT_Balance Sheet (Projected)'!H11)</f>
        <v/>
      </c>
      <c r="J10" s="287">
        <f>-('MT_Balance Sheet (Projected)'!J11-'MT_Balance Sheet (Projected)'!I11)</f>
        <v/>
      </c>
      <c r="K10" s="287">
        <f>-('MT_Balance Sheet (Projected)'!K11-'MT_Balance Sheet (Projected)'!J11)</f>
        <v/>
      </c>
      <c r="L10" s="287">
        <f>-('MT_Balance Sheet (Projected)'!L11-'MT_Balance Sheet (Projected)'!K11)</f>
        <v/>
      </c>
    </row>
    <row r="11">
      <c r="B11" s="286" t="inlineStr">
        <is>
          <t>(+) Increase in Other Liabilities (now revenue-scaled, not flat)</t>
        </is>
      </c>
      <c r="C11" s="287">
        <f>+('MT_Balance Sheet (Projected)'!C20-21477000000)</f>
        <v/>
      </c>
      <c r="D11" s="287">
        <f>+('MT_Balance Sheet (Projected)'!D20-'MT_Balance Sheet (Projected)'!C20)</f>
        <v/>
      </c>
      <c r="E11" s="287">
        <f>+('MT_Balance Sheet (Projected)'!E20-'MT_Balance Sheet (Projected)'!D20)</f>
        <v/>
      </c>
      <c r="F11" s="287">
        <f>+('MT_Balance Sheet (Projected)'!F20-'MT_Balance Sheet (Projected)'!E20)</f>
        <v/>
      </c>
      <c r="G11" s="287">
        <f>+('MT_Balance Sheet (Projected)'!G20-'MT_Balance Sheet (Projected)'!F20)</f>
        <v/>
      </c>
      <c r="H11" s="287">
        <f>+('MT_Balance Sheet (Projected)'!H20-'MT_Balance Sheet (Projected)'!G20)</f>
        <v/>
      </c>
      <c r="I11" s="287">
        <f>+('MT_Balance Sheet (Projected)'!I20-'MT_Balance Sheet (Projected)'!H20)</f>
        <v/>
      </c>
      <c r="J11" s="287">
        <f>+('MT_Balance Sheet (Projected)'!J20-'MT_Balance Sheet (Projected)'!I20)</f>
        <v/>
      </c>
      <c r="K11" s="287">
        <f>+('MT_Balance Sheet (Projected)'!K20-'MT_Balance Sheet (Projected)'!J20)</f>
        <v/>
      </c>
      <c r="L11" s="287">
        <f>+('MT_Balance Sheet (Projected)'!L20-'MT_Balance Sheet (Projected)'!K20)</f>
        <v/>
      </c>
    </row>
    <row r="12">
      <c r="B12" s="290" t="inlineStr">
        <is>
          <t>Cash Flow from Operations</t>
        </is>
      </c>
      <c r="C12" s="293">
        <f>C7+C8+C9+C10+C11</f>
        <v/>
      </c>
      <c r="D12" s="293">
        <f>D7+D8+D9+D10+D11</f>
        <v/>
      </c>
      <c r="E12" s="293">
        <f>E7+E8+E9+E10+E11</f>
        <v/>
      </c>
      <c r="F12" s="293">
        <f>F7+F8+F9+F10+F11</f>
        <v/>
      </c>
      <c r="G12" s="293">
        <f>G7+G8+G9+G10+G11</f>
        <v/>
      </c>
      <c r="H12" s="293">
        <f>H7+H8+H9+H10+H11</f>
        <v/>
      </c>
      <c r="I12" s="293">
        <f>I7+I8+I9+I10+I11</f>
        <v/>
      </c>
      <c r="J12" s="293">
        <f>J7+J8+J9+J10+J11</f>
        <v/>
      </c>
      <c r="K12" s="293">
        <f>K7+K8+K9+K10+K11</f>
        <v/>
      </c>
      <c r="L12" s="293">
        <f>L7+L8+L9+L10+L11</f>
        <v/>
      </c>
    </row>
    <row r="14">
      <c r="B14" s="286" t="inlineStr">
        <is>
          <t>(-) Net PP&amp;E Investment (Capex, net of impairment/disposals - depreciation captured above)</t>
        </is>
      </c>
      <c r="C14" s="287">
        <f>-('MT_Schedules'!I63-'MT_Schedules'!H63)-C8</f>
        <v/>
      </c>
      <c r="D14" s="287">
        <f>-('MT_Schedules'!J63-'MT_Schedules'!I63)-D8</f>
        <v/>
      </c>
      <c r="E14" s="287">
        <f>-('MT_Schedules'!K63-'MT_Schedules'!J63)-E8</f>
        <v/>
      </c>
      <c r="F14" s="287">
        <f>-('MT_Schedules'!L63-'MT_Schedules'!K63)-F8</f>
        <v/>
      </c>
      <c r="G14" s="287">
        <f>-('MT_Schedules'!M63-'MT_Schedules'!L63)-G8</f>
        <v/>
      </c>
      <c r="H14" s="287">
        <f>-('MT_Schedules'!N63-'MT_Schedules'!M63)-H8</f>
        <v/>
      </c>
      <c r="I14" s="287">
        <f>-('MT_Schedules'!O63-'MT_Schedules'!N63)-I8</f>
        <v/>
      </c>
      <c r="J14" s="287">
        <f>-('MT_Schedules'!P63-'MT_Schedules'!O63)-J8</f>
        <v/>
      </c>
      <c r="K14" s="287">
        <f>-('MT_Schedules'!Q63-'MT_Schedules'!P63)-K8</f>
        <v/>
      </c>
      <c r="L14" s="287">
        <f>-('MT_Schedules'!R63-'MT_Schedules'!Q63)-L8</f>
        <v/>
      </c>
    </row>
    <row r="15">
      <c r="B15" s="290" t="inlineStr">
        <is>
          <t>Cash Flow from Investing</t>
        </is>
      </c>
      <c r="C15" s="293">
        <f>C14</f>
        <v/>
      </c>
      <c r="D15" s="293">
        <f>D14</f>
        <v/>
      </c>
      <c r="E15" s="293">
        <f>E14</f>
        <v/>
      </c>
      <c r="F15" s="293">
        <f>F14</f>
        <v/>
      </c>
      <c r="G15" s="293">
        <f>G14</f>
        <v/>
      </c>
      <c r="H15" s="293">
        <f>H14</f>
        <v/>
      </c>
      <c r="I15" s="293">
        <f>I14</f>
        <v/>
      </c>
      <c r="J15" s="293">
        <f>J14</f>
        <v/>
      </c>
      <c r="K15" s="293">
        <f>K14</f>
        <v/>
      </c>
      <c r="L15" s="293">
        <f>L14</f>
        <v/>
      </c>
    </row>
    <row r="17">
      <c r="B17" s="286" t="inlineStr">
        <is>
          <t>(+/-) Net Change in Debt</t>
        </is>
      </c>
      <c r="C17" s="287">
        <f>'MT_Schedules'!I92-'MT_Schedules'!H92</f>
        <v/>
      </c>
      <c r="D17" s="287">
        <f>'MT_Schedules'!J92-'MT_Schedules'!I92</f>
        <v/>
      </c>
      <c r="E17" s="287">
        <f>'MT_Schedules'!K92-'MT_Schedules'!J92</f>
        <v/>
      </c>
      <c r="F17" s="287">
        <f>'MT_Schedules'!L92-'MT_Schedules'!K92</f>
        <v/>
      </c>
      <c r="G17" s="287">
        <f>'MT_Schedules'!M92-'MT_Schedules'!L92</f>
        <v/>
      </c>
      <c r="H17" s="287">
        <f>'MT_Schedules'!N92-'MT_Schedules'!M92</f>
        <v/>
      </c>
      <c r="I17" s="287">
        <f>'MT_Schedules'!O92-'MT_Schedules'!N92</f>
        <v/>
      </c>
      <c r="J17" s="287">
        <f>'MT_Schedules'!P92-'MT_Schedules'!O92</f>
        <v/>
      </c>
      <c r="K17" s="287">
        <f>'MT_Schedules'!Q92-'MT_Schedules'!P92</f>
        <v/>
      </c>
      <c r="L17" s="287">
        <f>'MT_Schedules'!R92-'MT_Schedules'!Q92</f>
        <v/>
      </c>
    </row>
    <row r="18">
      <c r="B18" s="286" t="inlineStr">
        <is>
          <t>(-) Dividends Paid</t>
        </is>
      </c>
      <c r="C18" s="287">
        <f>'MT_Schedules'!I137</f>
        <v/>
      </c>
      <c r="D18" s="287">
        <f>'MT_Schedules'!J137</f>
        <v/>
      </c>
      <c r="E18" s="287">
        <f>'MT_Schedules'!K137</f>
        <v/>
      </c>
      <c r="F18" s="287">
        <f>'MT_Schedules'!L137</f>
        <v/>
      </c>
      <c r="G18" s="287">
        <f>'MT_Schedules'!M137</f>
        <v/>
      </c>
      <c r="H18" s="287">
        <f>'MT_Schedules'!N137</f>
        <v/>
      </c>
      <c r="I18" s="287">
        <f>'MT_Schedules'!O137</f>
        <v/>
      </c>
      <c r="J18" s="287">
        <f>'MT_Schedules'!P137</f>
        <v/>
      </c>
      <c r="K18" s="287">
        <f>'MT_Schedules'!Q137</f>
        <v/>
      </c>
      <c r="L18" s="287">
        <f>'MT_Schedules'!R137</f>
        <v/>
      </c>
    </row>
    <row r="19">
      <c r="B19" s="290" t="inlineStr">
        <is>
          <t>Cash Flow from Financing</t>
        </is>
      </c>
      <c r="C19" s="293">
        <f>C17+C18</f>
        <v/>
      </c>
      <c r="D19" s="293">
        <f>D17+D18</f>
        <v/>
      </c>
      <c r="E19" s="293">
        <f>E17+E18</f>
        <v/>
      </c>
      <c r="F19" s="293">
        <f>F17+F18</f>
        <v/>
      </c>
      <c r="G19" s="293">
        <f>G17+G18</f>
        <v/>
      </c>
      <c r="H19" s="293">
        <f>H17+H18</f>
        <v/>
      </c>
      <c r="I19" s="293">
        <f>I17+I18</f>
        <v/>
      </c>
      <c r="J19" s="293">
        <f>J17+J18</f>
        <v/>
      </c>
      <c r="K19" s="293">
        <f>K17+K18</f>
        <v/>
      </c>
      <c r="L19" s="293">
        <f>L17+L18</f>
        <v/>
      </c>
    </row>
    <row r="21">
      <c r="B21" s="292" t="inlineStr">
        <is>
          <t>Net Change in Cash</t>
        </is>
      </c>
      <c r="C21" s="293">
        <f>C12+C15+C19</f>
        <v/>
      </c>
      <c r="D21" s="293">
        <f>D12+D15+D19</f>
        <v/>
      </c>
      <c r="E21" s="293">
        <f>E12+E15+E19</f>
        <v/>
      </c>
      <c r="F21" s="293">
        <f>F12+F15+F19</f>
        <v/>
      </c>
      <c r="G21" s="293">
        <f>G12+G15+G19</f>
        <v/>
      </c>
      <c r="H21" s="293">
        <f>H12+H15+H19</f>
        <v/>
      </c>
      <c r="I21" s="293">
        <f>I12+I15+I19</f>
        <v/>
      </c>
      <c r="J21" s="293">
        <f>J12+J15+J19</f>
        <v/>
      </c>
      <c r="K21" s="293">
        <f>K12+K15+K19</f>
        <v/>
      </c>
      <c r="L21" s="293">
        <f>L12+L15+L19</f>
        <v/>
      </c>
    </row>
    <row r="22">
      <c r="B22" s="286" t="inlineStr">
        <is>
          <t>Opening Cash</t>
        </is>
      </c>
      <c r="C22" s="287">
        <f>=IFERROR(INDEX('MT_HS_CONSOLIDATED'!I:I,MATCH("CashAndCashEquivalents",'MT_HS_CONSOLIDATED'!$C:$C,0)),0)</f>
        <v/>
      </c>
      <c r="D22" s="287">
        <f>C23</f>
        <v/>
      </c>
      <c r="E22" s="287">
        <f>D23</f>
        <v/>
      </c>
      <c r="F22" s="287">
        <f>E23</f>
        <v/>
      </c>
      <c r="G22" s="287">
        <f>F23</f>
        <v/>
      </c>
      <c r="H22" s="287">
        <f>G23</f>
        <v/>
      </c>
      <c r="I22" s="287">
        <f>H23</f>
        <v/>
      </c>
      <c r="J22" s="287">
        <f>I23</f>
        <v/>
      </c>
      <c r="K22" s="287">
        <f>J23</f>
        <v/>
      </c>
      <c r="L22" s="287">
        <f>K23</f>
        <v/>
      </c>
    </row>
    <row r="23">
      <c r="B23" s="290" t="inlineStr">
        <is>
          <t>Closing Cash</t>
        </is>
      </c>
      <c r="C23" s="291">
        <f>C22+C21</f>
        <v/>
      </c>
      <c r="D23" s="291">
        <f>D22+D21</f>
        <v/>
      </c>
      <c r="E23" s="291">
        <f>E22+E21</f>
        <v/>
      </c>
      <c r="F23" s="291">
        <f>F22+F21</f>
        <v/>
      </c>
      <c r="G23" s="291">
        <f>G22+G21</f>
        <v/>
      </c>
      <c r="H23" s="291">
        <f>H22+H21</f>
        <v/>
      </c>
      <c r="I23" s="291">
        <f>I22+I21</f>
        <v/>
      </c>
      <c r="J23" s="291">
        <f>J22+J21</f>
        <v/>
      </c>
      <c r="K23" s="291">
        <f>K22+K21</f>
        <v/>
      </c>
      <c r="L23" s="291">
        <f>L22+L21</f>
        <v/>
      </c>
    </row>
  </sheetData>
  <mergeCells count="1">
    <mergeCell ref="B2:L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2026-08-24T19:10:38Z</dcterms:created>
  <dcterms:modified xmlns:dcterms="http://purl.org/dc/terms/" xmlns:xsi="http://www.w3.org/2001/XMLSchema-instance" xsi:type="dcterms:W3CDTF">2026-08-25T14:00:00Z</dcterms:modified>
  <cp:lastModifiedBy>SASI</cp:lastModifiedBy>
</cp:coreProperties>
</file>